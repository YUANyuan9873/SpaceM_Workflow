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g" sheetId="1" state="visible" r:id="rId1"/>
    <sheet name="neg-all" sheetId="2" state="visible" r:id="rId2"/>
    <sheet name="pos" sheetId="3" state="visible" r:id="rId3"/>
    <sheet name="pos-all" sheetId="4" state="visible" r:id="rId4"/>
  </sheets>
</workbook>
</file>

<file path=xl/sharedStrings.xml><?xml version="1.0" encoding="utf-8"?>
<sst xmlns="http://schemas.openxmlformats.org/spreadsheetml/2006/main" count="28179" uniqueCount="28179">
  <si>
    <t xml:space="preserve">ID</t>
  </si>
  <si>
    <t xml:space="preserve">mz</t>
  </si>
  <si>
    <t xml:space="preserve">Adduct Mass</t>
  </si>
  <si>
    <t xml:space="preserve">ppm</t>
  </si>
  <si>
    <t xml:space="preserve">Formula</t>
  </si>
  <si>
    <t xml:space="preserve">Adduct</t>
  </si>
  <si>
    <t xml:space="preserve">Metabolites</t>
  </si>
  <si>
    <t xml:space="preserve">cid</t>
  </si>
  <si>
    <t xml:space="preserve">HMDB</t>
  </si>
  <si>
    <t xml:space="preserve">METLIN</t>
  </si>
  <si>
    <t xml:space="preserve">Lipidmaps</t>
  </si>
  <si>
    <t xml:space="preserve">KEGG</t>
  </si>
  <si>
    <t xml:space="preserve">ChEBI</t>
  </si>
  <si>
    <t xml:space="preserve">PubChem</t>
  </si>
  <si>
    <t xml:space="preserve">CAS</t>
  </si>
  <si>
    <t xml:space="preserve">smiles</t>
  </si>
  <si>
    <t xml:space="preserve">InChIKey</t>
  </si>
  <si>
    <t xml:space="preserve">Super Class</t>
  </si>
  <si>
    <t xml:space="preserve">Class</t>
  </si>
  <si>
    <t xml:space="preserve">Sub Class</t>
  </si>
  <si>
    <t xml:space="preserve">level</t>
  </si>
  <si>
    <t xml:space="preserve">num</t>
  </si>
  <si>
    <t xml:space="preserve">72.99403</t>
  </si>
  <si>
    <t xml:space="preserve">C2H2O3</t>
  </si>
  <si>
    <t xml:space="preserve">M-H</t>
  </si>
  <si>
    <t xml:space="preserve">Glyoxylic acid</t>
  </si>
  <si>
    <t xml:space="preserve">46878</t>
  </si>
  <si>
    <t xml:space="preserve">HMDB0000119</t>
  </si>
  <si>
    <t xml:space="preserve">64613</t>
  </si>
  <si>
    <t xml:space="preserve"/>
  </si>
  <si>
    <t xml:space="preserve">C00048</t>
  </si>
  <si>
    <t xml:space="preserve">16891</t>
  </si>
  <si>
    <t xml:space="preserve">760</t>
  </si>
  <si>
    <t xml:space="preserve">298-12-4</t>
  </si>
  <si>
    <t xml:space="preserve">OC(=O)C=O</t>
  </si>
  <si>
    <t xml:space="preserve">HHLFWLYXYJOTON-UHFFFAOYSA-N</t>
  </si>
  <si>
    <t xml:space="preserve">Organic acids and derivatives</t>
  </si>
  <si>
    <t xml:space="preserve">Carboxylic acids and derivatives</t>
  </si>
  <si>
    <t xml:space="preserve">Carboxylic acids</t>
  </si>
  <si>
    <t xml:space="preserve">***</t>
  </si>
  <si>
    <t xml:space="preserve">73.02984</t>
  </si>
  <si>
    <t xml:space="preserve">C3H6O2</t>
  </si>
  <si>
    <t xml:space="preserve">Propionic acid; Lactaldehyde; 3-Hydroxypropanal</t>
  </si>
  <si>
    <t xml:space="preserve">50; 48020; 48109</t>
  </si>
  <si>
    <t xml:space="preserve">HMDB0000237; HMDB0003052; HMDB0003453</t>
  </si>
  <si>
    <t xml:space="preserve">3215; 3214; 65545</t>
  </si>
  <si>
    <t xml:space="preserve">LMFA01010003; ; </t>
  </si>
  <si>
    <t xml:space="preserve">C00163; C00424; C00969</t>
  </si>
  <si>
    <t xml:space="preserve">30768; 18041; 17871</t>
  </si>
  <si>
    <t xml:space="preserve">1032; 439231; 75049</t>
  </si>
  <si>
    <t xml:space="preserve">79-09-4; 598-35-6; 2134-29-4</t>
  </si>
  <si>
    <t xml:space="preserve">CCC(=O)O; C[C@H](O)C=O; OCCC=O</t>
  </si>
  <si>
    <t xml:space="preserve">XBDQKXXYIPTUBI-UHFFFAOYSA-N; BSABBBMNWQWLLU-VKHMYHEASA-N; AKXKFZDCRYJKTF-UHFFFAOYSA-N</t>
  </si>
  <si>
    <t xml:space="preserve">Organic acids and derivatives; Organic oxygen compounds; Organic oxygen compounds</t>
  </si>
  <si>
    <t xml:space="preserve">Carboxylic acids and derivatives; Organooxygen compounds; Organooxygen compounds</t>
  </si>
  <si>
    <t xml:space="preserve">Carboxylic acids; Carbonyl compounds; Carbonyl compounds</t>
  </si>
  <si>
    <t xml:space="preserve">**</t>
  </si>
  <si>
    <t xml:space="preserve">74.02522</t>
  </si>
  <si>
    <t xml:space="preserve">C2H5NO2</t>
  </si>
  <si>
    <t xml:space="preserve">Glycine</t>
  </si>
  <si>
    <t xml:space="preserve">46881</t>
  </si>
  <si>
    <t xml:space="preserve">HMDB0000123</t>
  </si>
  <si>
    <t xml:space="preserve">20</t>
  </si>
  <si>
    <t xml:space="preserve">C00037</t>
  </si>
  <si>
    <t xml:space="preserve">15428</t>
  </si>
  <si>
    <t xml:space="preserve">750</t>
  </si>
  <si>
    <t xml:space="preserve">56-40-6</t>
  </si>
  <si>
    <t xml:space="preserve">NCC(O)=O</t>
  </si>
  <si>
    <t xml:space="preserve">DHMQDGOQFOQNFH-UHFFFAOYSA-N</t>
  </si>
  <si>
    <t xml:space="preserve">Amino acids, peptides, and analogues</t>
  </si>
  <si>
    <t xml:space="preserve">75.00922</t>
  </si>
  <si>
    <t xml:space="preserve">C2H4O3</t>
  </si>
  <si>
    <t xml:space="preserve">Glycolic acid</t>
  </si>
  <si>
    <t xml:space="preserve">46876</t>
  </si>
  <si>
    <t xml:space="preserve">HMDB0000115</t>
  </si>
  <si>
    <t xml:space="preserve">3219</t>
  </si>
  <si>
    <t xml:space="preserve">C03547</t>
  </si>
  <si>
    <t xml:space="preserve">17497</t>
  </si>
  <si>
    <t xml:space="preserve">757</t>
  </si>
  <si>
    <t xml:space="preserve">79-14-1</t>
  </si>
  <si>
    <t xml:space="preserve">OCC(O)=O</t>
  </si>
  <si>
    <t xml:space="preserve">AEMRFAOFKBGASW-UHFFFAOYSA-N</t>
  </si>
  <si>
    <t xml:space="preserve">Hydroxy acids and derivatives</t>
  </si>
  <si>
    <t xml:space="preserve">Alpha hydroxy acids and derivatives</t>
  </si>
  <si>
    <t xml:space="preserve">80.02805</t>
  </si>
  <si>
    <t xml:space="preserve">C2H7N</t>
  </si>
  <si>
    <t xml:space="preserve">M+Cl</t>
  </si>
  <si>
    <t xml:space="preserve">Dimethylamine; Ethylamine</t>
  </si>
  <si>
    <t xml:space="preserve">46864; 52221</t>
  </si>
  <si>
    <t xml:space="preserve">HMDB0000087; HMDB0013231</t>
  </si>
  <si>
    <t xml:space="preserve">3758; 65533</t>
  </si>
  <si>
    <t xml:space="preserve">; </t>
  </si>
  <si>
    <t xml:space="preserve">C00543; C00797</t>
  </si>
  <si>
    <t xml:space="preserve">17170; 15862</t>
  </si>
  <si>
    <t xml:space="preserve">674; 6341</t>
  </si>
  <si>
    <t xml:space="preserve">124-40-3; 75-04-7</t>
  </si>
  <si>
    <t xml:space="preserve">CNC; CCN</t>
  </si>
  <si>
    <t xml:space="preserve">ROSDSFDQCJNGOL-UHFFFAOYSA-N; QUSNBJAOOMFDIB-UHFFFAOYSA-N</t>
  </si>
  <si>
    <t xml:space="preserve">Organic nitrogen compounds; Organic nitrogen compounds</t>
  </si>
  <si>
    <t xml:space="preserve">Organonitrogen compounds; Organonitrogen compounds</t>
  </si>
  <si>
    <t xml:space="preserve">Amines; Amines</t>
  </si>
  <si>
    <t xml:space="preserve">*</t>
  </si>
  <si>
    <t xml:space="preserve">83.01472</t>
  </si>
  <si>
    <t xml:space="preserve">C4H4O2</t>
  </si>
  <si>
    <t xml:space="preserve">4-Hydroxy-2-butenoic acid gamma-lactone</t>
  </si>
  <si>
    <t xml:space="preserve">56702</t>
  </si>
  <si>
    <t xml:space="preserve">HMDB0032330</t>
  </si>
  <si>
    <t xml:space="preserve">71806</t>
  </si>
  <si>
    <t xml:space="preserve">C17601</t>
  </si>
  <si>
    <t xml:space="preserve">38118</t>
  </si>
  <si>
    <t xml:space="preserve">10341</t>
  </si>
  <si>
    <t xml:space="preserve">497-23-4</t>
  </si>
  <si>
    <t xml:space="preserve">O=C1OCC=C1</t>
  </si>
  <si>
    <t xml:space="preserve">VIHAEDVKXSOUAT-UHFFFAOYSA-N</t>
  </si>
  <si>
    <t xml:space="preserve">Organoheterocyclic compounds</t>
  </si>
  <si>
    <t xml:space="preserve">Dihydrofurans</t>
  </si>
  <si>
    <t xml:space="preserve">Furanones</t>
  </si>
  <si>
    <t xml:space="preserve">83.05012</t>
  </si>
  <si>
    <t xml:space="preserve">C5H8O</t>
  </si>
  <si>
    <t xml:space="preserve">3-Methyl-2-butenal</t>
  </si>
  <si>
    <t xml:space="preserve">51872</t>
  </si>
  <si>
    <t xml:space="preserve">HMDB0012157</t>
  </si>
  <si>
    <t xml:space="preserve">62820</t>
  </si>
  <si>
    <t xml:space="preserve">C15604</t>
  </si>
  <si>
    <t xml:space="preserve">15825</t>
  </si>
  <si>
    <t xml:space="preserve">61020</t>
  </si>
  <si>
    <t xml:space="preserve">107-86-8</t>
  </si>
  <si>
    <t xml:space="preserve">CC(C)=CC=O</t>
  </si>
  <si>
    <t xml:space="preserve">SEPQTYODOKLVSB-UHFFFAOYSA-N</t>
  </si>
  <si>
    <t xml:space="preserve">Organic oxygen compounds</t>
  </si>
  <si>
    <t xml:space="preserve">Organooxygen compounds</t>
  </si>
  <si>
    <t xml:space="preserve">Carbonyl compounds</t>
  </si>
  <si>
    <t xml:space="preserve">88.04100</t>
  </si>
  <si>
    <t xml:space="preserve">C3H7NO2</t>
  </si>
  <si>
    <t xml:space="preserve">beta-Alanine; L-Alanine</t>
  </si>
  <si>
    <t xml:space="preserve">46848; 46903</t>
  </si>
  <si>
    <t xml:space="preserve">HMDB0000056; HMDB0000161</t>
  </si>
  <si>
    <t xml:space="preserve">36; 11</t>
  </si>
  <si>
    <t xml:space="preserve">C00099; C00041</t>
  </si>
  <si>
    <t xml:space="preserve">16958; 16977</t>
  </si>
  <si>
    <t xml:space="preserve">239; 5950</t>
  </si>
  <si>
    <t xml:space="preserve">107-95-9; 56-41-7</t>
  </si>
  <si>
    <t xml:space="preserve">NCCC(O)=O; C[C@H](N)C(O)=O</t>
  </si>
  <si>
    <t xml:space="preserve">UCMIRNVEIXFBKS-UHFFFAOYSA-N; QNAYBMKLOCPYGJ-REOHCLBHSA-N</t>
  </si>
  <si>
    <t xml:space="preserve">Organic acids and derivatives; Organic acids and derivatives</t>
  </si>
  <si>
    <t xml:space="preserve">Carboxylic acids and derivatives; Carboxylic acids and derivatives</t>
  </si>
  <si>
    <t xml:space="preserve">Amino acids, peptides, and analogues; Amino acids, peptides, and analogues</t>
  </si>
  <si>
    <t xml:space="preserve">89.02566</t>
  </si>
  <si>
    <t xml:space="preserve">C3H6O3</t>
  </si>
  <si>
    <t xml:space="preserve">D-Lactic acid</t>
  </si>
  <si>
    <t xml:space="preserve">47508</t>
  </si>
  <si>
    <t xml:space="preserve">HMDB0001311</t>
  </si>
  <si>
    <t xml:space="preserve">63094</t>
  </si>
  <si>
    <t xml:space="preserve">C00256</t>
  </si>
  <si>
    <t xml:space="preserve">42111</t>
  </si>
  <si>
    <t xml:space="preserve">61503</t>
  </si>
  <si>
    <t xml:space="preserve">10326-41-7</t>
  </si>
  <si>
    <t xml:space="preserve">C[C@@H](O)C(O)=O</t>
  </si>
  <si>
    <t xml:space="preserve">JVTAAEKCZFNVCJ-UWTATZPHSA-N</t>
  </si>
  <si>
    <t xml:space="preserve">91.02995</t>
  </si>
  <si>
    <t xml:space="preserve">C5H6N2O</t>
  </si>
  <si>
    <t xml:space="preserve">M-H2O-H</t>
  </si>
  <si>
    <t xml:space="preserve">Imidazole-4-acetaldehyde</t>
  </si>
  <si>
    <t xml:space="preserve">48180</t>
  </si>
  <si>
    <t xml:space="preserve">HMDB0003905</t>
  </si>
  <si>
    <t xml:space="preserve">58184</t>
  </si>
  <si>
    <t xml:space="preserve">C05130</t>
  </si>
  <si>
    <t xml:space="preserve">27398</t>
  </si>
  <si>
    <t xml:space="preserve">150841</t>
  </si>
  <si>
    <t xml:space="preserve">645-14-7</t>
  </si>
  <si>
    <t xml:space="preserve">O=CCC1=CN=CN1</t>
  </si>
  <si>
    <t xml:space="preserve">MQSRGWNVEZRLDK-UHFFFAOYSA-N</t>
  </si>
  <si>
    <t xml:space="preserve">Azoles</t>
  </si>
  <si>
    <t xml:space="preserve">Imidazoles</t>
  </si>
  <si>
    <t xml:space="preserve">91.05633</t>
  </si>
  <si>
    <t xml:space="preserve">C7H8</t>
  </si>
  <si>
    <t xml:space="preserve">Toluene</t>
  </si>
  <si>
    <t xml:space="preserve">58243</t>
  </si>
  <si>
    <t xml:space="preserve">HMDB0034168</t>
  </si>
  <si>
    <t xml:space="preserve">65600</t>
  </si>
  <si>
    <t xml:space="preserve">C01455</t>
  </si>
  <si>
    <t xml:space="preserve">17578</t>
  </si>
  <si>
    <t xml:space="preserve">1140</t>
  </si>
  <si>
    <t xml:space="preserve">108-88-3</t>
  </si>
  <si>
    <t xml:space="preserve">CC1=CC=CC=C1</t>
  </si>
  <si>
    <t xml:space="preserve">YXFVVABEGXRONW-UHFFFAOYSA-N</t>
  </si>
  <si>
    <t xml:space="preserve">Benzenoids</t>
  </si>
  <si>
    <t xml:space="preserve">Benzene and substituted derivatives</t>
  </si>
  <si>
    <t xml:space="preserve">Toluenes</t>
  </si>
  <si>
    <t xml:space="preserve">92.02657</t>
  </si>
  <si>
    <t xml:space="preserve">C3H7N</t>
  </si>
  <si>
    <t xml:space="preserve">Allylamine; Azetidine; Propan-1-imine</t>
  </si>
  <si>
    <t xml:space="preserve">144438; 203834; 210610</t>
  </si>
  <si>
    <t xml:space="preserve">HMDB0168957; HMDB0248796; HMDB0256811</t>
  </si>
  <si>
    <t xml:space="preserve">; 337680; </t>
  </si>
  <si>
    <t xml:space="preserve">; ; </t>
  </si>
  <si>
    <t xml:space="preserve">; 30968; </t>
  </si>
  <si>
    <t xml:space="preserve">7853; 10422; 5289472</t>
  </si>
  <si>
    <t xml:space="preserve">NCC=C; C1CNC1; CCC=N</t>
  </si>
  <si>
    <t xml:space="preserve">VVJKKWFAADXIJK-UHFFFAOYSA-N; HONIICLYMWZJFZ-UHFFFAOYSA-N; WJKYOQDIQYJXSD-UHFFFAOYSA-N</t>
  </si>
  <si>
    <t xml:space="preserve">Organic nitrogen compounds; Organoheterocyclic compounds; Organic nitrogen compounds</t>
  </si>
  <si>
    <t xml:space="preserve">Organonitrogen compounds; Azetidines; Organonitrogen compounds</t>
  </si>
  <si>
    <t xml:space="preserve">Amines; Unclassified; Imines</t>
  </si>
  <si>
    <t xml:space="preserve">93.03657</t>
  </si>
  <si>
    <t xml:space="preserve">C2H5F</t>
  </si>
  <si>
    <t xml:space="preserve">M+FA-H</t>
  </si>
  <si>
    <t xml:space="preserve">Fluoroethane</t>
  </si>
  <si>
    <t xml:space="preserve">206868</t>
  </si>
  <si>
    <t xml:space="preserve">HMDB0252377</t>
  </si>
  <si>
    <t xml:space="preserve">336755</t>
  </si>
  <si>
    <t xml:space="preserve">9620</t>
  </si>
  <si>
    <t xml:space="preserve">CCF</t>
  </si>
  <si>
    <t xml:space="preserve">UHCBBWUQDAVSMS-UHFFFAOYSA-N</t>
  </si>
  <si>
    <t xml:space="preserve">Organohalogen compounds</t>
  </si>
  <si>
    <t xml:space="preserve">Organofluorides</t>
  </si>
  <si>
    <t xml:space="preserve">Unclassified</t>
  </si>
  <si>
    <t xml:space="preserve">96.97024</t>
  </si>
  <si>
    <t xml:space="preserve">C2H4O2</t>
  </si>
  <si>
    <t xml:space="preserve">M+K-2H</t>
  </si>
  <si>
    <t xml:space="preserve">Acetic acid</t>
  </si>
  <si>
    <t xml:space="preserve">49</t>
  </si>
  <si>
    <t xml:space="preserve">HMDB0000042</t>
  </si>
  <si>
    <t xml:space="preserve">3206</t>
  </si>
  <si>
    <t xml:space="preserve">LMFA01010002</t>
  </si>
  <si>
    <t xml:space="preserve">C00033</t>
  </si>
  <si>
    <t xml:space="preserve">15366</t>
  </si>
  <si>
    <t xml:space="preserve">176</t>
  </si>
  <si>
    <t xml:space="preserve">64-19-7</t>
  </si>
  <si>
    <t xml:space="preserve">CC(=O)O</t>
  </si>
  <si>
    <t xml:space="preserve">QTBSBXVTEAMEQO-UHFFFAOYSA-N</t>
  </si>
  <si>
    <t xml:space="preserve">99.00965</t>
  </si>
  <si>
    <t xml:space="preserve">C4H4O3</t>
  </si>
  <si>
    <t xml:space="preserve">Succinic anhydride</t>
  </si>
  <si>
    <t xml:space="preserve">56827</t>
  </si>
  <si>
    <t xml:space="preserve">HMDB0032523</t>
  </si>
  <si>
    <t xml:space="preserve">24050</t>
  </si>
  <si>
    <t xml:space="preserve">C19524</t>
  </si>
  <si>
    <t xml:space="preserve">36595</t>
  </si>
  <si>
    <t xml:space="preserve">7922</t>
  </si>
  <si>
    <t xml:space="preserve">108-30-5</t>
  </si>
  <si>
    <t xml:space="preserve">O=C1CCC(=O)O1</t>
  </si>
  <si>
    <t xml:space="preserve">RINCXYDBBGOEEQ-UHFFFAOYSA-N</t>
  </si>
  <si>
    <t xml:space="preserve">Dicarboxylic acids and derivatives</t>
  </si>
  <si>
    <t xml:space="preserve">99.04699</t>
  </si>
  <si>
    <t xml:space="preserve">C5H8O2</t>
  </si>
  <si>
    <t xml:space="preserve">2-Pentenoic acid; 4-Pentenoic acid; Senecioic acid</t>
  </si>
  <si>
    <t xml:space="preserve">515; 517; 192</t>
  </si>
  <si>
    <t xml:space="preserve">HMDB0032459; HMDB0031602; HMDB0000509</t>
  </si>
  <si>
    <t xml:space="preserve">; 34698; 4623</t>
  </si>
  <si>
    <t xml:space="preserve">LMFA01030005; LMFA01030007; LMFA01020097</t>
  </si>
  <si>
    <t xml:space="preserve">38366; 35936; 37127</t>
  </si>
  <si>
    <t xml:space="preserve">638122; 61138; 10931</t>
  </si>
  <si>
    <t xml:space="preserve">626-98-2; 591-80-0; 541-47-9</t>
  </si>
  <si>
    <t xml:space="preserve">CC/C=C/C(=O)O; C=CCCC(=O)O; C(=C(/C)\C)\C(=O)O</t>
  </si>
  <si>
    <t xml:space="preserve">YIYBQIKDCADOSF-ONEGZZNKSA-N; HVAMZGADVCBITI-UHFFFAOYSA-N; YYPNJNDODFVZLE-UHFFFAOYSA-N</t>
  </si>
  <si>
    <t xml:space="preserve">Lipids and lipid-like molecules; Lipids and lipid-like molecules; Lipids and lipid-like molecules</t>
  </si>
  <si>
    <t xml:space="preserve">Fatty Acyls; Fatty Acyls; Fatty Acyls</t>
  </si>
  <si>
    <t xml:space="preserve">Fatty acids and conjugates; Fatty acids and conjugates; Fatty acids and conjugates</t>
  </si>
  <si>
    <t xml:space="preserve">101.02600</t>
  </si>
  <si>
    <t xml:space="preserve">C4H6O3</t>
  </si>
  <si>
    <t xml:space="preserve">Acetoacetic acid</t>
  </si>
  <si>
    <t xml:space="preserve">2039</t>
  </si>
  <si>
    <t xml:space="preserve">HMDB0000060</t>
  </si>
  <si>
    <t xml:space="preserve">276</t>
  </si>
  <si>
    <t xml:space="preserve">LMFA01060003</t>
  </si>
  <si>
    <t xml:space="preserve">C00164</t>
  </si>
  <si>
    <t xml:space="preserve">15344</t>
  </si>
  <si>
    <t xml:space="preserve">96</t>
  </si>
  <si>
    <t xml:space="preserve">541-50-4</t>
  </si>
  <si>
    <t xml:space="preserve">CC(=O)CC(=O)O</t>
  </si>
  <si>
    <t xml:space="preserve">WDJHALXBUFZDSR-UHFFFAOYSA-N</t>
  </si>
  <si>
    <t xml:space="preserve">Keto acids and derivatives</t>
  </si>
  <si>
    <t xml:space="preserve">Short-chain keto acids and derivatives</t>
  </si>
  <si>
    <t xml:space="preserve">101.07306</t>
  </si>
  <si>
    <t xml:space="preserve">C4H10N2O</t>
  </si>
  <si>
    <t xml:space="preserve">N-Propylurea</t>
  </si>
  <si>
    <t xml:space="preserve">209252</t>
  </si>
  <si>
    <t xml:space="preserve">HMDB0255240</t>
  </si>
  <si>
    <t xml:space="preserve">340237</t>
  </si>
  <si>
    <t xml:space="preserve">12303</t>
  </si>
  <si>
    <t xml:space="preserve">CCCNC(N)=O</t>
  </si>
  <si>
    <t xml:space="preserve">ZQZJKHIIQFPZCS-UHFFFAOYSA-N</t>
  </si>
  <si>
    <t xml:space="preserve">Organic carbonic acids and derivatives</t>
  </si>
  <si>
    <t xml:space="preserve">Ureas</t>
  </si>
  <si>
    <t xml:space="preserve">102.05657</t>
  </si>
  <si>
    <t xml:space="preserve">C4H9NO2</t>
  </si>
  <si>
    <t xml:space="preserve">L-alpha-Aminobutyric acid</t>
  </si>
  <si>
    <t xml:space="preserve">2477</t>
  </si>
  <si>
    <t xml:space="preserve">HMDB0000452</t>
  </si>
  <si>
    <t xml:space="preserve">35945</t>
  </si>
  <si>
    <t xml:space="preserve">LMFA01100034</t>
  </si>
  <si>
    <t xml:space="preserve">C02356</t>
  </si>
  <si>
    <t xml:space="preserve">35619</t>
  </si>
  <si>
    <t xml:space="preserve">80283</t>
  </si>
  <si>
    <t xml:space="preserve">1492-24-6</t>
  </si>
  <si>
    <t xml:space="preserve">[C@H](N)(CC)C(=O)O</t>
  </si>
  <si>
    <t xml:space="preserve">QWCKQJZIFLGMSD-VKHMYHEASA-N</t>
  </si>
  <si>
    <t xml:space="preserve">102.95803</t>
  </si>
  <si>
    <t xml:space="preserve">C3H3ClO3</t>
  </si>
  <si>
    <t xml:space="preserve">4-Chloro-1,3-dioxolan-2-one</t>
  </si>
  <si>
    <t xml:space="preserve">201725</t>
  </si>
  <si>
    <t xml:space="preserve">HMDB0246382</t>
  </si>
  <si>
    <t xml:space="preserve">98075</t>
  </si>
  <si>
    <t xml:space="preserve">ClC1COC(=O)O1</t>
  </si>
  <si>
    <t xml:space="preserve">OYOKPDLAMOMTEE-UHFFFAOYSA-N</t>
  </si>
  <si>
    <t xml:space="preserve">Carbonic acid diesters</t>
  </si>
  <si>
    <t xml:space="preserve">103.04137</t>
  </si>
  <si>
    <t xml:space="preserve">C4H8O3</t>
  </si>
  <si>
    <t xml:space="preserve">2-Hydroxybutyric acid; 3-Hydroxybutyric acid</t>
  </si>
  <si>
    <t xml:space="preserve">1847; 1796</t>
  </si>
  <si>
    <t xml:space="preserve">HMDB0000008; HMDB0000011</t>
  </si>
  <si>
    <t xml:space="preserve">3783; 35598</t>
  </si>
  <si>
    <t xml:space="preserve">LMFA01050342; LMFA01050243</t>
  </si>
  <si>
    <t xml:space="preserve">C05984; C01089</t>
  </si>
  <si>
    <t xml:space="preserve">50613; 17066</t>
  </si>
  <si>
    <t xml:space="preserve">440864; 92135</t>
  </si>
  <si>
    <t xml:space="preserve">3347-90-8; 625-72-9</t>
  </si>
  <si>
    <t xml:space="preserve">[C@H](O)(CC)C(=O)O; C(C[C@H](O)C)(=O)O</t>
  </si>
  <si>
    <t xml:space="preserve">AFENDNXGAFYKQO-VKHMYHEASA-N; WHBMMWSBFZVSSR-GSVOUGTGSA-N</t>
  </si>
  <si>
    <t xml:space="preserve">Hydroxy acids and derivatives; Hydroxy acids and derivatives</t>
  </si>
  <si>
    <t xml:space="preserve">Alpha hydroxy acids and derivatives; Beta hydroxy acids and derivatives</t>
  </si>
  <si>
    <t xml:space="preserve">104.03596</t>
  </si>
  <si>
    <t xml:space="preserve">C2H5NO</t>
  </si>
  <si>
    <t xml:space="preserve">Acetamide; N-Methylformamide</t>
  </si>
  <si>
    <t xml:space="preserve">56139; 47404</t>
  </si>
  <si>
    <t xml:space="preserve">HMDB0031645; HMDB0001122</t>
  </si>
  <si>
    <t xml:space="preserve">3711; </t>
  </si>
  <si>
    <t xml:space="preserve">C06244; C11489</t>
  </si>
  <si>
    <t xml:space="preserve">27856; 7438</t>
  </si>
  <si>
    <t xml:space="preserve">178; 31254</t>
  </si>
  <si>
    <t xml:space="preserve">60-35-5; 123-39-7</t>
  </si>
  <si>
    <t xml:space="preserve">CC(N)=O; CNC=O</t>
  </si>
  <si>
    <t xml:space="preserve">DLFVBJFMPXGRIB-UHFFFAOYSA-N; ATHHXGZTWNVVOU-UHFFFAOYSA-N</t>
  </si>
  <si>
    <t xml:space="preserve">Carboximidic acids and derivatives; Carboximidic acids and derivatives</t>
  </si>
  <si>
    <t xml:space="preserve">Carboximidic acids; Carboximidic acids</t>
  </si>
  <si>
    <t xml:space="preserve">106.98098</t>
  </si>
  <si>
    <t xml:space="preserve">C2H4O3S</t>
  </si>
  <si>
    <t xml:space="preserve">VINYLSULFONIC ACID</t>
  </si>
  <si>
    <t xml:space="preserve">213066</t>
  </si>
  <si>
    <t xml:space="preserve">HMDB0259830</t>
  </si>
  <si>
    <t xml:space="preserve">316770</t>
  </si>
  <si>
    <t xml:space="preserve">62474</t>
  </si>
  <si>
    <t xml:space="preserve">OS(=O)(=O)C=C</t>
  </si>
  <si>
    <t xml:space="preserve">NLVXSWCKKBEXTG-UHFFFAOYSA-N</t>
  </si>
  <si>
    <t xml:space="preserve">Organic sulfonic acids and derivatives</t>
  </si>
  <si>
    <t xml:space="preserve">Organosulfonic acids and derivatives</t>
  </si>
  <si>
    <t xml:space="preserve">108.02186</t>
  </si>
  <si>
    <t xml:space="preserve">C6H5O2</t>
  </si>
  <si>
    <t xml:space="preserve">p-Benzosemiquinone</t>
  </si>
  <si>
    <t xml:space="preserve">209931</t>
  </si>
  <si>
    <t xml:space="preserve">HMDB0256033</t>
  </si>
  <si>
    <t xml:space="preserve">65762</t>
  </si>
  <si>
    <t xml:space="preserve">C02389</t>
  </si>
  <si>
    <t xml:space="preserve">17977</t>
  </si>
  <si>
    <t xml:space="preserve">46173720</t>
  </si>
  <si>
    <t xml:space="preserve">O[C]1C=CC(=O)C=C1</t>
  </si>
  <si>
    <t xml:space="preserve">XLHUBROMZOAQMV-UHFFFAOYSA-N</t>
  </si>
  <si>
    <t xml:space="preserve">Phenols</t>
  </si>
  <si>
    <t xml:space="preserve">1-hydroxy-2-unsubstituted benzenoids</t>
  </si>
  <si>
    <t xml:space="preserve">109.04122</t>
  </si>
  <si>
    <t xml:space="preserve">C5H8N2O2</t>
  </si>
  <si>
    <t xml:space="preserve">Dihydrothymine</t>
  </si>
  <si>
    <t xml:space="preserve">46860</t>
  </si>
  <si>
    <t xml:space="preserve">HMDB0000079</t>
  </si>
  <si>
    <t xml:space="preserve">C00906</t>
  </si>
  <si>
    <t xml:space="preserve">676414</t>
  </si>
  <si>
    <t xml:space="preserve">19140-80-8</t>
  </si>
  <si>
    <t xml:space="preserve">C[C@H]1CNC(=O)NC1=O</t>
  </si>
  <si>
    <t xml:space="preserve">NBAKTGXDIBVZOO-VKHMYHEASA-N</t>
  </si>
  <si>
    <t xml:space="preserve">Diazines</t>
  </si>
  <si>
    <t xml:space="preserve">Pyrimidines and pyrimidine derivatives</t>
  </si>
  <si>
    <t xml:space="preserve">109.06645</t>
  </si>
  <si>
    <t xml:space="preserve">C7H10O</t>
  </si>
  <si>
    <t xml:space="preserve">2,3,5-Trimethylfuran; 3-Methyl-2-cyclohexen-1-one; 2-Ethyl-5-methylfuran</t>
  </si>
  <si>
    <t xml:space="preserve">54620; 56060; 54625</t>
  </si>
  <si>
    <t xml:space="preserve">HMDB0029721; HMDB0031541; HMDB0029728</t>
  </si>
  <si>
    <t xml:space="preserve">86445; 87750; 86449</t>
  </si>
  <si>
    <t xml:space="preserve">; ; 88617</t>
  </si>
  <si>
    <t xml:space="preserve">517859; 14511; 74346</t>
  </si>
  <si>
    <t xml:space="preserve">10504-04-8; 1193-18-6; 1703-52-2</t>
  </si>
  <si>
    <t xml:space="preserve">CC1=CC(C)=C(C)O1; CC1=CC(=O)CCC1; CCC1=CC=C(C)O1</t>
  </si>
  <si>
    <t xml:space="preserve">NJXZFRUNHWKHEC-UHFFFAOYSA-N; IITQJMYAYSNIMI-UHFFFAOYSA-N; NBXLPPVOZWYADY-UHFFFAOYSA-N</t>
  </si>
  <si>
    <t xml:space="preserve">Organoheterocyclic compounds; Organic oxygen compounds; Organoheterocyclic compounds</t>
  </si>
  <si>
    <t xml:space="preserve">Heteroaromatic compounds; Organooxygen compounds; Heteroaromatic compounds</t>
  </si>
  <si>
    <t xml:space="preserve">Unclassified; Carbonyl compounds; Unclassified</t>
  </si>
  <si>
    <t xml:space="preserve">110.02515</t>
  </si>
  <si>
    <t xml:space="preserve">C5H5NO2</t>
  </si>
  <si>
    <t xml:space="preserve">Pyrrole-2-carboxylic acid</t>
  </si>
  <si>
    <t xml:space="preserve">48264</t>
  </si>
  <si>
    <t xml:space="preserve">HMDB0004230</t>
  </si>
  <si>
    <t xml:space="preserve">3787</t>
  </si>
  <si>
    <t xml:space="preserve">C05942</t>
  </si>
  <si>
    <t xml:space="preserve">36751</t>
  </si>
  <si>
    <t xml:space="preserve">12473</t>
  </si>
  <si>
    <t xml:space="preserve">634-97-9</t>
  </si>
  <si>
    <t xml:space="preserve">OC(=O)C1=CC=CN1</t>
  </si>
  <si>
    <t xml:space="preserve">WRHZVMBBRYBTKZ-UHFFFAOYSA-N</t>
  </si>
  <si>
    <t xml:space="preserve">Pyrroles</t>
  </si>
  <si>
    <t xml:space="preserve">Pyrrole carboxylic acids and derivatives</t>
  </si>
  <si>
    <t xml:space="preserve">111.01014</t>
  </si>
  <si>
    <t xml:space="preserve">C5H6O4</t>
  </si>
  <si>
    <t xml:space="preserve">Citraconic acid; Itaconic acid</t>
  </si>
  <si>
    <t xml:space="preserve">2909; 2875</t>
  </si>
  <si>
    <t xml:space="preserve">HMDB0000634; HMDB0002092</t>
  </si>
  <si>
    <t xml:space="preserve">5607; 44764</t>
  </si>
  <si>
    <t xml:space="preserve">LMFA01170099; LMFA01170063</t>
  </si>
  <si>
    <t xml:space="preserve">C02226; C00490</t>
  </si>
  <si>
    <t xml:space="preserve">17626; 30838</t>
  </si>
  <si>
    <t xml:space="preserve">643798; 811</t>
  </si>
  <si>
    <t xml:space="preserve">498-23-7; 97-65-4</t>
  </si>
  <si>
    <t xml:space="preserve">C(=O)(O)/C(/C)=C\C(=O)O; C(=O)(O)C(=C)CC(=O)O</t>
  </si>
  <si>
    <t xml:space="preserve">HNEGQIOMVPPMNR-IHWYPQMZSA-N; LVHBHZANLOWSRM-UHFFFAOYSA-N</t>
  </si>
  <si>
    <t xml:space="preserve">Lipids and lipid-like molecules; Lipids and lipid-like molecules</t>
  </si>
  <si>
    <t xml:space="preserve">Fatty Acyls; Fatty Acyls</t>
  </si>
  <si>
    <t xml:space="preserve">Fatty acids and conjugates; Fatty acids and conjugates</t>
  </si>
  <si>
    <t xml:space="preserve">111.02114</t>
  </si>
  <si>
    <t xml:space="preserve">C3H8O2</t>
  </si>
  <si>
    <t xml:space="preserve">(S)-Propane-1,2-diol; Propylene glycol</t>
  </si>
  <si>
    <t xml:space="preserve">48677; 47691</t>
  </si>
  <si>
    <t xml:space="preserve">HMDB0006213; HMDB0001881</t>
  </si>
  <si>
    <t xml:space="preserve">3220; </t>
  </si>
  <si>
    <t xml:space="preserve">C02917; C02912</t>
  </si>
  <si>
    <t xml:space="preserve">29002; 28972</t>
  </si>
  <si>
    <t xml:space="preserve">439846; 259994</t>
  </si>
  <si>
    <t xml:space="preserve">4254-15-3; 4254-14-2</t>
  </si>
  <si>
    <t xml:space="preserve">C[C@H](O)CO; C[C@@H](O)CO</t>
  </si>
  <si>
    <t xml:space="preserve">DNIAPMSPPWPWGF-VKHMYHEASA-N; DNIAPMSPPWPWGF-GSVOUGTGSA-N</t>
  </si>
  <si>
    <t xml:space="preserve">Organic oxygen compounds; Organic oxygen compounds</t>
  </si>
  <si>
    <t xml:space="preserve">Organooxygen compounds; Organooxygen compounds</t>
  </si>
  <si>
    <t xml:space="preserve">Alcohols and polyols; Alcohols and polyols</t>
  </si>
  <si>
    <t xml:space="preserve">113.02579</t>
  </si>
  <si>
    <t xml:space="preserve">C5H6O3</t>
  </si>
  <si>
    <t xml:space="preserve">Norfuraneol</t>
  </si>
  <si>
    <t xml:space="preserve">56324</t>
  </si>
  <si>
    <t xml:space="preserve">HMDB0031859</t>
  </si>
  <si>
    <t xml:space="preserve">87978</t>
  </si>
  <si>
    <t xml:space="preserve">74456</t>
  </si>
  <si>
    <t xml:space="preserve">4564493</t>
  </si>
  <si>
    <t xml:space="preserve">19322-27-1</t>
  </si>
  <si>
    <t xml:space="preserve">CC1=C(O)C(=O)CO1</t>
  </si>
  <si>
    <t xml:space="preserve">DLVYTANECMRFGX-UHFFFAOYSA-N</t>
  </si>
  <si>
    <t xml:space="preserve">114.05695</t>
  </si>
  <si>
    <t xml:space="preserve">C4H7N</t>
  </si>
  <si>
    <t xml:space="preserve">1-Pyrroline</t>
  </si>
  <si>
    <t xml:space="preserve">52033</t>
  </si>
  <si>
    <t xml:space="preserve">HMDB0012497</t>
  </si>
  <si>
    <t xml:space="preserve">71009</t>
  </si>
  <si>
    <t xml:space="preserve">C15668</t>
  </si>
  <si>
    <t xml:space="preserve">19092</t>
  </si>
  <si>
    <t xml:space="preserve">79803</t>
  </si>
  <si>
    <t xml:space="preserve">5724-81-2</t>
  </si>
  <si>
    <t xml:space="preserve">C1CC=NC1</t>
  </si>
  <si>
    <t xml:space="preserve">ZVJHJDDKYZXRJI-UHFFFAOYSA-N</t>
  </si>
  <si>
    <t xml:space="preserve">Pyrrolines</t>
  </si>
  <si>
    <t xml:space="preserve">114.93623</t>
  </si>
  <si>
    <t xml:space="preserve">C2H3ClO</t>
  </si>
  <si>
    <t xml:space="preserve">Chloroacetaldehyde</t>
  </si>
  <si>
    <t xml:space="preserve">52482</t>
  </si>
  <si>
    <t xml:space="preserve">HMDB0013860</t>
  </si>
  <si>
    <t xml:space="preserve">66522</t>
  </si>
  <si>
    <t xml:space="preserve">C06754</t>
  </si>
  <si>
    <t xml:space="preserve">27871</t>
  </si>
  <si>
    <t xml:space="preserve">33</t>
  </si>
  <si>
    <t xml:space="preserve">107-20-0</t>
  </si>
  <si>
    <t xml:space="preserve">[H]C(=O)CCl</t>
  </si>
  <si>
    <t xml:space="preserve">QSKPIOLLBIHNAC-UHFFFAOYSA-N</t>
  </si>
  <si>
    <t xml:space="preserve">Organochlorides</t>
  </si>
  <si>
    <t xml:space="preserve">115.00463</t>
  </si>
  <si>
    <t xml:space="preserve">C3H2O2</t>
  </si>
  <si>
    <t xml:space="preserve">Propynoic acid</t>
  </si>
  <si>
    <t xml:space="preserve">48884</t>
  </si>
  <si>
    <t xml:space="preserve">HMDB0006804</t>
  </si>
  <si>
    <t xml:space="preserve">4117</t>
  </si>
  <si>
    <t xml:space="preserve">C00804</t>
  </si>
  <si>
    <t xml:space="preserve">33199</t>
  </si>
  <si>
    <t xml:space="preserve">10110</t>
  </si>
  <si>
    <t xml:space="preserve">471-25-0</t>
  </si>
  <si>
    <t xml:space="preserve">OC(=O)C#C</t>
  </si>
  <si>
    <t xml:space="preserve">UORVCLMRJXCDCP-UHFFFAOYSA-N</t>
  </si>
  <si>
    <t xml:space="preserve">115.02309</t>
  </si>
  <si>
    <t xml:space="preserve">C5H8OS</t>
  </si>
  <si>
    <t xml:space="preserve">xI-Dihydro-2-methyl-3(2H)-thiophenone; Dihydro-5-methyl-2(3H)-thiophenone; xi-2-Acetylthietane</t>
  </si>
  <si>
    <t xml:space="preserve">61927; 63382; 63463</t>
  </si>
  <si>
    <t xml:space="preserve">HMDB0038556; HMDB0040150; HMDB0040258</t>
  </si>
  <si>
    <t xml:space="preserve">93227; 94690; 94787</t>
  </si>
  <si>
    <t xml:space="preserve">87506; ; </t>
  </si>
  <si>
    <t xml:space="preserve">61664; 530400; 526187</t>
  </si>
  <si>
    <t xml:space="preserve">; 5650-74-8; </t>
  </si>
  <si>
    <t xml:space="preserve">CC1SCCC1=O; CC1CCC(=O)S1; CC(=O)C1CCS1</t>
  </si>
  <si>
    <t xml:space="preserve">YMZZPMVKABUEBL-UHFFFAOYSA-N; BNHNVGAUODLKKT-UHFFFAOYSA-N; LHLNSXFHEGETML-UHFFFAOYSA-N</t>
  </si>
  <si>
    <t xml:space="preserve">Organoheterocyclic compounds; Organoheterocyclic compounds; Organoheterocyclic compounds</t>
  </si>
  <si>
    <t xml:space="preserve">Thiolanes; Thiolanes; Thietanes</t>
  </si>
  <si>
    <t xml:space="preserve">Unclassified; Unclassified; Unclassified</t>
  </si>
  <si>
    <t xml:space="preserve">116.03913</t>
  </si>
  <si>
    <t xml:space="preserve">C6H9</t>
  </si>
  <si>
    <t xml:space="preserve">Cyclohexenyl</t>
  </si>
  <si>
    <t xml:space="preserve">205404</t>
  </si>
  <si>
    <t xml:space="preserve">HMDB0250656</t>
  </si>
  <si>
    <t xml:space="preserve">12630265</t>
  </si>
  <si>
    <t xml:space="preserve">C1CCC=[C]C1</t>
  </si>
  <si>
    <t xml:space="preserve">QKJSVPBYHKEILK-UHFFFAOYSA-N</t>
  </si>
  <si>
    <t xml:space="preserve">Hydrocarbons</t>
  </si>
  <si>
    <t xml:space="preserve">Unsaturated hydrocarbons</t>
  </si>
  <si>
    <t xml:space="preserve">Olefins</t>
  </si>
  <si>
    <t xml:space="preserve">117.02102</t>
  </si>
  <si>
    <t xml:space="preserve">C4H6O4</t>
  </si>
  <si>
    <t xml:space="preserve">Succinic acid</t>
  </si>
  <si>
    <t xml:space="preserve">2857</t>
  </si>
  <si>
    <t xml:space="preserve">HMDB0000254</t>
  </si>
  <si>
    <t xml:space="preserve">114</t>
  </si>
  <si>
    <t xml:space="preserve">LMFA01170043</t>
  </si>
  <si>
    <t xml:space="preserve">C00042</t>
  </si>
  <si>
    <t xml:space="preserve">15741</t>
  </si>
  <si>
    <t xml:space="preserve">1110</t>
  </si>
  <si>
    <t xml:space="preserve">110-15-6</t>
  </si>
  <si>
    <t xml:space="preserve">C(CCC(=O)O)(=O)O</t>
  </si>
  <si>
    <t xml:space="preserve">KDYFGRWQOYBRFD-UHFFFAOYSA-N</t>
  </si>
  <si>
    <t xml:space="preserve">118.05262</t>
  </si>
  <si>
    <t xml:space="preserve">C4H9NO3</t>
  </si>
  <si>
    <t xml:space="preserve">L-Threonine</t>
  </si>
  <si>
    <t xml:space="preserve">46907</t>
  </si>
  <si>
    <t xml:space="preserve">HMDB0000167</t>
  </si>
  <si>
    <t xml:space="preserve">32</t>
  </si>
  <si>
    <t xml:space="preserve">C00188</t>
  </si>
  <si>
    <t xml:space="preserve">16857</t>
  </si>
  <si>
    <t xml:space="preserve">6288</t>
  </si>
  <si>
    <t xml:space="preserve">72-19-5</t>
  </si>
  <si>
    <t xml:space="preserve">C[C@@H](O)[C@H](N)C(O)=O</t>
  </si>
  <si>
    <t xml:space="preserve">AYFVYJQAPQTCCC-GBXIJSLDSA-N</t>
  </si>
  <si>
    <t xml:space="preserve">118.99409</t>
  </si>
  <si>
    <t xml:space="preserve">C5H6S</t>
  </si>
  <si>
    <t xml:space="preserve">M+Na-2H</t>
  </si>
  <si>
    <t xml:space="preserve">3-Methylthiophene; 2-Methylthiophene</t>
  </si>
  <si>
    <t xml:space="preserve">57381; 57380</t>
  </si>
  <si>
    <t xml:space="preserve">HMDB0033119; HMDB0033118</t>
  </si>
  <si>
    <t xml:space="preserve">89010; 89009</t>
  </si>
  <si>
    <t xml:space="preserve">; 141567</t>
  </si>
  <si>
    <t xml:space="preserve">12024; 11126</t>
  </si>
  <si>
    <t xml:space="preserve">616-44-4; 554-14-3</t>
  </si>
  <si>
    <t xml:space="preserve">CC1=CSC=C1; CC1=CC=CS1</t>
  </si>
  <si>
    <t xml:space="preserve">QENGPZGAWFQWCZ-UHFFFAOYSA-N; XQQBUAPQHNYYRS-UHFFFAOYSA-N</t>
  </si>
  <si>
    <t xml:space="preserve">Organoheterocyclic compounds; Organoheterocyclic compounds</t>
  </si>
  <si>
    <t xml:space="preserve">Heteroaromatic compounds; Heteroaromatic compounds</t>
  </si>
  <si>
    <t xml:space="preserve">Unclassified; Unclassified</t>
  </si>
  <si>
    <t xml:space="preserve">119.08730</t>
  </si>
  <si>
    <t xml:space="preserve">C9H12</t>
  </si>
  <si>
    <t xml:space="preserve">1,2,4-Trimethylbenzene</t>
  </si>
  <si>
    <t xml:space="preserve">52446</t>
  </si>
  <si>
    <t xml:space="preserve">HMDB0013733</t>
  </si>
  <si>
    <t xml:space="preserve">70134</t>
  </si>
  <si>
    <t xml:space="preserve">C14533</t>
  </si>
  <si>
    <t xml:space="preserve">34039</t>
  </si>
  <si>
    <t xml:space="preserve">7247</t>
  </si>
  <si>
    <t xml:space="preserve">95-63-6</t>
  </si>
  <si>
    <t xml:space="preserve">CC1=CC(C)=C(C)C=C1</t>
  </si>
  <si>
    <t xml:space="preserve">GWHJZXXIDMPWGX-UHFFFAOYSA-N</t>
  </si>
  <si>
    <t xml:space="preserve">120.03949</t>
  </si>
  <si>
    <t xml:space="preserve">CH5N3O</t>
  </si>
  <si>
    <t xml:space="preserve">Semicarbazide</t>
  </si>
  <si>
    <t xml:space="preserve">211789</t>
  </si>
  <si>
    <t xml:space="preserve">HMDB0258225</t>
  </si>
  <si>
    <t xml:space="preserve">65708</t>
  </si>
  <si>
    <t xml:space="preserve">C02077</t>
  </si>
  <si>
    <t xml:space="preserve">28306</t>
  </si>
  <si>
    <t xml:space="preserve">5196</t>
  </si>
  <si>
    <t xml:space="preserve">57-56-7</t>
  </si>
  <si>
    <t xml:space="preserve">NNC(N)=O</t>
  </si>
  <si>
    <t xml:space="preserve">DUIOPKIIICUYRZ-UHFFFAOYSA-N</t>
  </si>
  <si>
    <t xml:space="preserve">Carboximidic acids and derivatives</t>
  </si>
  <si>
    <t xml:space="preserve">124.99195</t>
  </si>
  <si>
    <t xml:space="preserve">C2H6O4S</t>
  </si>
  <si>
    <t xml:space="preserve">2-Hydroxyethanesulfonate</t>
  </si>
  <si>
    <t xml:space="preserve">48178</t>
  </si>
  <si>
    <t xml:space="preserve">HMDB0003903</t>
  </si>
  <si>
    <t xml:space="preserve">6987</t>
  </si>
  <si>
    <t xml:space="preserve">C05123</t>
  </si>
  <si>
    <t xml:space="preserve">1157</t>
  </si>
  <si>
    <t xml:space="preserve">7866</t>
  </si>
  <si>
    <t xml:space="preserve">107-36-8</t>
  </si>
  <si>
    <t xml:space="preserve">OCCS(O)(=O)=O</t>
  </si>
  <si>
    <t xml:space="preserve">SUMDYPCJJOFFON-UHFFFAOYSA-N</t>
  </si>
  <si>
    <t xml:space="preserve">125.01257</t>
  </si>
  <si>
    <t xml:space="preserve">C2H6N2O2</t>
  </si>
  <si>
    <t xml:space="preserve">Methanol, (methyl-ONN-azoxy)-; Dimethylnitramine</t>
  </si>
  <si>
    <t xml:space="preserve">208713; 206028</t>
  </si>
  <si>
    <t xml:space="preserve">HMDB0254623; HMDB0251404</t>
  </si>
  <si>
    <t xml:space="preserve">11554; 20120</t>
  </si>
  <si>
    <t xml:space="preserve">C[N+]([O-])=NCO; CN(C)[N+]([O-])=O</t>
  </si>
  <si>
    <t xml:space="preserve">BJNBRIBHKLJMAG-UHFFFAOYSA-N; XRWKADIRZXTTLH-UHFFFAOYSA-N</t>
  </si>
  <si>
    <t xml:space="preserve">Organic 1,3-dipolar compounds; Organic 1,3-dipolar compounds</t>
  </si>
  <si>
    <t xml:space="preserve">Allyl-type 1,3-dipolar organic compounds; Allyl-type 1,3-dipolar organic compounds</t>
  </si>
  <si>
    <t xml:space="preserve">Azoxy compounds; Organic nitro compounds</t>
  </si>
  <si>
    <t xml:space="preserve">125.02454</t>
  </si>
  <si>
    <t xml:space="preserve">CH6N4O</t>
  </si>
  <si>
    <t xml:space="preserve">Carbohydrazide</t>
  </si>
  <si>
    <t xml:space="preserve">204546</t>
  </si>
  <si>
    <t xml:space="preserve">HMDB0249636</t>
  </si>
  <si>
    <t xml:space="preserve">61308</t>
  </si>
  <si>
    <t xml:space="preserve">73948</t>
  </si>
  <si>
    <t xml:space="preserve">NNC(O)=NN</t>
  </si>
  <si>
    <t xml:space="preserve">XEVRDFDBXJMZFG-UHFFFAOYSA-N</t>
  </si>
  <si>
    <t xml:space="preserve">Organic nitrogen compounds</t>
  </si>
  <si>
    <t xml:space="preserve">Organonitrogen compounds</t>
  </si>
  <si>
    <t xml:space="preserve">Hydrazines and derivatives</t>
  </si>
  <si>
    <t xml:space="preserve">125.06273</t>
  </si>
  <si>
    <t xml:space="preserve">C6H8</t>
  </si>
  <si>
    <t xml:space="preserve">1,3,5-Hexatriene</t>
  </si>
  <si>
    <t xml:space="preserve">206123</t>
  </si>
  <si>
    <t xml:space="preserve">HMDB0251502</t>
  </si>
  <si>
    <t xml:space="preserve">16695</t>
  </si>
  <si>
    <t xml:space="preserve">C=CC=CC=C</t>
  </si>
  <si>
    <t xml:space="preserve">AFVDZBIIBXWASR-UHFFFAOYSA-N</t>
  </si>
  <si>
    <t xml:space="preserve">126.00528</t>
  </si>
  <si>
    <t xml:space="preserve">C5H3N3</t>
  </si>
  <si>
    <t xml:space="preserve">2-Cyanopyrimidine</t>
  </si>
  <si>
    <t xml:space="preserve">200533</t>
  </si>
  <si>
    <t xml:space="preserve">HMDB0245088</t>
  </si>
  <si>
    <t xml:space="preserve">45032</t>
  </si>
  <si>
    <t xml:space="preserve">2757979</t>
  </si>
  <si>
    <t xml:space="preserve">14080-23-0</t>
  </si>
  <si>
    <t xml:space="preserve">N#CC1=NC=CC=N1</t>
  </si>
  <si>
    <t xml:space="preserve">IIHQNAXFIODVDU-UHFFFAOYSA-N</t>
  </si>
  <si>
    <t xml:space="preserve">127.07791</t>
  </si>
  <si>
    <t xml:space="preserve">C7H12O2</t>
  </si>
  <si>
    <t xml:space="preserve">Cyclohexanecarboxylic acid</t>
  </si>
  <si>
    <t xml:space="preserve">55916</t>
  </si>
  <si>
    <t xml:space="preserve">HMDB0031342</t>
  </si>
  <si>
    <t xml:space="preserve">67955</t>
  </si>
  <si>
    <t xml:space="preserve">C09822</t>
  </si>
  <si>
    <t xml:space="preserve">36096</t>
  </si>
  <si>
    <t xml:space="preserve">7413</t>
  </si>
  <si>
    <t xml:space="preserve">98-89-5</t>
  </si>
  <si>
    <t xml:space="preserve">OC(=O)C1CCCCC1</t>
  </si>
  <si>
    <t xml:space="preserve">NZNMSOFKMUBTKW-UHFFFAOYSA-N</t>
  </si>
  <si>
    <t xml:space="preserve">128.05521</t>
  </si>
  <si>
    <t xml:space="preserve">C6H11NS</t>
  </si>
  <si>
    <t xml:space="preserve">Isoamyl isothiocyanate</t>
  </si>
  <si>
    <t xml:space="preserve">56709</t>
  </si>
  <si>
    <t xml:space="preserve">HMDB0032341</t>
  </si>
  <si>
    <t xml:space="preserve">88376</t>
  </si>
  <si>
    <t xml:space="preserve">79086</t>
  </si>
  <si>
    <t xml:space="preserve">628-03-5</t>
  </si>
  <si>
    <t xml:space="preserve">CC(C)CCN=C=S</t>
  </si>
  <si>
    <t xml:space="preserve">JATNWMBUDXLMEO-UHFFFAOYSA-N</t>
  </si>
  <si>
    <t xml:space="preserve">Organosulfur compounds</t>
  </si>
  <si>
    <t xml:space="preserve">Isothiocyanates</t>
  </si>
  <si>
    <t xml:space="preserve">129.02087</t>
  </si>
  <si>
    <t xml:space="preserve">C5H6N2</t>
  </si>
  <si>
    <t xml:space="preserve">Methylpyrazine</t>
  </si>
  <si>
    <t xml:space="preserve">57374</t>
  </si>
  <si>
    <t xml:space="preserve">HMDB0033112</t>
  </si>
  <si>
    <t xml:space="preserve">89003</t>
  </si>
  <si>
    <t xml:space="preserve">7976</t>
  </si>
  <si>
    <t xml:space="preserve">109-08-0</t>
  </si>
  <si>
    <t xml:space="preserve">CC1=CN=CC=N1</t>
  </si>
  <si>
    <t xml:space="preserve">CAWHJQAVHZEVTJ-UHFFFAOYSA-N</t>
  </si>
  <si>
    <t xml:space="preserve">Pyrazines</t>
  </si>
  <si>
    <t xml:space="preserve">129.03895</t>
  </si>
  <si>
    <t xml:space="preserve">C6H12O2S</t>
  </si>
  <si>
    <t xml:space="preserve">Ethyl 3-mercaptobutyrate; Methyl 2-(methylthio)butyrate; Methyl 3-(methylthio)butanoate</t>
  </si>
  <si>
    <t xml:space="preserve">7531; 7593; 7602</t>
  </si>
  <si>
    <t xml:space="preserve">HMDB0032271; HMDB0041306; HMDB0032410</t>
  </si>
  <si>
    <t xml:space="preserve">88317; 95719; 88434</t>
  </si>
  <si>
    <t xml:space="preserve">LMFA07010863; LMFA07010938; LMFA07010947</t>
  </si>
  <si>
    <t xml:space="preserve">9833996; 560572; 547907</t>
  </si>
  <si>
    <t xml:space="preserve">156472-94-5; 51534-66-8; 207983-28-6</t>
  </si>
  <si>
    <t xml:space="preserve">O=C(CC(C)S)OCC; CCC(C(OC)=O)SC; O=C(CC(C)SC)OC</t>
  </si>
  <si>
    <t xml:space="preserve">FPBCNQQYLDBWMH-UHFFFAOYSA-N; PBYSEUNXLXTEAN-UHFFFAOYSA-N; HJJHJUWCICDDEL-UHFFFAOYSA-N</t>
  </si>
  <si>
    <t xml:space="preserve">Fatty acid esters; Fatty acid esters; Fatty acid esters</t>
  </si>
  <si>
    <t xml:space="preserve">131.03697</t>
  </si>
  <si>
    <t xml:space="preserve">C6H4N4</t>
  </si>
  <si>
    <t xml:space="preserve">Pteridine</t>
  </si>
  <si>
    <t xml:space="preserve">210695</t>
  </si>
  <si>
    <t xml:space="preserve">HMDB0256912</t>
  </si>
  <si>
    <t xml:space="preserve">5807</t>
  </si>
  <si>
    <t xml:space="preserve">C07581</t>
  </si>
  <si>
    <t xml:space="preserve">27601</t>
  </si>
  <si>
    <t xml:space="preserve">1043</t>
  </si>
  <si>
    <t xml:space="preserve">C1=NC2=CN=CN=C2N=C1</t>
  </si>
  <si>
    <t xml:space="preserve">CPNGPNLZQNNVQM-UHFFFAOYSA-N</t>
  </si>
  <si>
    <t xml:space="preserve">Pteridines and derivatives</t>
  </si>
  <si>
    <t xml:space="preserve">131.04880</t>
  </si>
  <si>
    <t xml:space="preserve">C2H4F2</t>
  </si>
  <si>
    <t xml:space="preserve">2M-H</t>
  </si>
  <si>
    <t xml:space="preserve">1,2-Difluoroethane; 1,1-Difluoroethane</t>
  </si>
  <si>
    <t xml:space="preserve">199599; 199549</t>
  </si>
  <si>
    <t xml:space="preserve">HMDB0244073; HMDB0244022</t>
  </si>
  <si>
    <t xml:space="preserve">12223; 6368</t>
  </si>
  <si>
    <t xml:space="preserve">FCCF; CC(F)F</t>
  </si>
  <si>
    <t xml:space="preserve">AHFMSNDOYCFEPH-UHFFFAOYSA-N; NPNPZTNLOVBDOC-UHFFFAOYSA-N</t>
  </si>
  <si>
    <t xml:space="preserve">Organohalogen compounds; Organohalogen compounds</t>
  </si>
  <si>
    <t xml:space="preserve">Organofluorides; Organofluorides</t>
  </si>
  <si>
    <t xml:space="preserve">131.08016</t>
  </si>
  <si>
    <t xml:space="preserve">C5H12N2O2</t>
  </si>
  <si>
    <t xml:space="preserve">Ornithine</t>
  </si>
  <si>
    <t xml:space="preserve">46935</t>
  </si>
  <si>
    <t xml:space="preserve">HMDB0000214</t>
  </si>
  <si>
    <t xml:space="preserve">45121</t>
  </si>
  <si>
    <t xml:space="preserve">C00077</t>
  </si>
  <si>
    <t xml:space="preserve">15729</t>
  </si>
  <si>
    <t xml:space="preserve">6262</t>
  </si>
  <si>
    <t xml:space="preserve">70-26-8</t>
  </si>
  <si>
    <t xml:space="preserve">NCCC[C@H](N)C(O)=O</t>
  </si>
  <si>
    <t xml:space="preserve">AHLPHDHHMVZTML-BYPYZUCNSA-N</t>
  </si>
  <si>
    <t xml:space="preserve">131.09087</t>
  </si>
  <si>
    <t xml:space="preserve">C7H16S</t>
  </si>
  <si>
    <t xml:space="preserve">2-Heptanethiol; Heptane-1-thiol</t>
  </si>
  <si>
    <t xml:space="preserve">56685; 56686</t>
  </si>
  <si>
    <t xml:space="preserve">HMDB0032303; HMDB0032304</t>
  </si>
  <si>
    <t xml:space="preserve">88347; 88348</t>
  </si>
  <si>
    <t xml:space="preserve">169377; </t>
  </si>
  <si>
    <t xml:space="preserve">522071; 15422</t>
  </si>
  <si>
    <t xml:space="preserve">628-00-2; 1639-09-4</t>
  </si>
  <si>
    <t xml:space="preserve">CCCCCC(C)S; CCCCCCCS</t>
  </si>
  <si>
    <t xml:space="preserve">DAZNOIJJVKASGS-UHFFFAOYSA-N; VPIAKHNXCOTPAY-UHFFFAOYSA-N</t>
  </si>
  <si>
    <t xml:space="preserve">Organosulfur compounds; Organosulfur compounds</t>
  </si>
  <si>
    <t xml:space="preserve">Thiols; Thiols</t>
  </si>
  <si>
    <t xml:space="preserve">Alkylthiols; Alkylthiols</t>
  </si>
  <si>
    <t xml:space="preserve">132.03203</t>
  </si>
  <si>
    <t xml:space="preserve">C5H5N5O</t>
  </si>
  <si>
    <t xml:space="preserve">Guanine</t>
  </si>
  <si>
    <t xml:space="preserve">46889</t>
  </si>
  <si>
    <t xml:space="preserve">HMDB0000132</t>
  </si>
  <si>
    <t xml:space="preserve">315</t>
  </si>
  <si>
    <t xml:space="preserve">C00242</t>
  </si>
  <si>
    <t xml:space="preserve">16235</t>
  </si>
  <si>
    <t xml:space="preserve">764</t>
  </si>
  <si>
    <t xml:space="preserve">73-40-5</t>
  </si>
  <si>
    <t xml:space="preserve">NC1=NC(=O)C2=C(N1)N=CN2</t>
  </si>
  <si>
    <t xml:space="preserve">UYTPUPDQBNUYGX-UHFFFAOYSA-N</t>
  </si>
  <si>
    <t xml:space="preserve">Imidazopyrimidines</t>
  </si>
  <si>
    <t xml:space="preserve">Purines and purine derivatives</t>
  </si>
  <si>
    <t xml:space="preserve">133.03365</t>
  </si>
  <si>
    <t xml:space="preserve">C5H10O2S</t>
  </si>
  <si>
    <t xml:space="preserve">Methyl 3-mercaptobutanoate; Ethyl 2-mercaptopropionate; Methyl 3-(methylthio)propanoate</t>
  </si>
  <si>
    <t xml:space="preserve">7604; 56042; 58415</t>
  </si>
  <si>
    <t xml:space="preserve">HMDB0032409; HMDB0031521; HMDB0034377</t>
  </si>
  <si>
    <t xml:space="preserve">88433; 87736; 89887</t>
  </si>
  <si>
    <t xml:space="preserve">LMFA07010949; ; </t>
  </si>
  <si>
    <t xml:space="preserve">9898836; 519709; 61641</t>
  </si>
  <si>
    <t xml:space="preserve">54051-19-3; 103616-07-5; 13532-18-8</t>
  </si>
  <si>
    <t xml:space="preserve">O=C(CC(C)S)OC; CCOC(=O)C(C)S; COC(=O)CCSC</t>
  </si>
  <si>
    <t xml:space="preserve">BHDKXXOGPCSBQI-UHFFFAOYSA-N; LXXNWCFBZHKFPT-UHFFFAOYSA-N; DMMJVMYCBULSIS-UHFFFAOYSA-N</t>
  </si>
  <si>
    <t xml:space="preserve">Lipids and lipid-like molecules; Organic acids and derivatives; Organic acids and derivatives</t>
  </si>
  <si>
    <t xml:space="preserve">Fatty Acyls; Carboxylic acids and derivatives; Carboxylic acids and derivatives</t>
  </si>
  <si>
    <t xml:space="preserve">Fatty acid esters; Carboxylic acid derivatives; Carboxylic acid derivatives</t>
  </si>
  <si>
    <t xml:space="preserve">134.04797</t>
  </si>
  <si>
    <t xml:space="preserve">C5H5N5</t>
  </si>
  <si>
    <t xml:space="preserve">Adenine</t>
  </si>
  <si>
    <t xml:space="preserve">46837</t>
  </si>
  <si>
    <t xml:space="preserve">HMDB0000034</t>
  </si>
  <si>
    <t xml:space="preserve">85</t>
  </si>
  <si>
    <t xml:space="preserve">C00147</t>
  </si>
  <si>
    <t xml:space="preserve">16708</t>
  </si>
  <si>
    <t xml:space="preserve">190</t>
  </si>
  <si>
    <t xml:space="preserve">73-24-5</t>
  </si>
  <si>
    <t xml:space="preserve">NC1=C2NC=NC2=NC=N1</t>
  </si>
  <si>
    <t xml:space="preserve">GFFGJBXGBJISGV-UHFFFAOYSA-N</t>
  </si>
  <si>
    <t xml:space="preserve">135.04614</t>
  </si>
  <si>
    <t xml:space="preserve">C8H8O2</t>
  </si>
  <si>
    <t xml:space="preserve">4-Hydroxyphenylacetaldehyde; Phenylacetic acid</t>
  </si>
  <si>
    <t xml:space="preserve">48165; 46930</t>
  </si>
  <si>
    <t xml:space="preserve">HMDB0003767; HMDB0000209</t>
  </si>
  <si>
    <t xml:space="preserve">63506; 129</t>
  </si>
  <si>
    <t xml:space="preserve">C03765; C07086</t>
  </si>
  <si>
    <t xml:space="preserve">15621; 30745</t>
  </si>
  <si>
    <t xml:space="preserve">440113; 999</t>
  </si>
  <si>
    <t xml:space="preserve">7339-87-9; 103-82-2</t>
  </si>
  <si>
    <t xml:space="preserve">OC1=CC=C(CC=O)C=C1; OC(=O)CC1=CC=CC=C1</t>
  </si>
  <si>
    <t xml:space="preserve">IPRPPFIAVHPVJH-UHFFFAOYSA-N; WLJVXDMOQOGPHL-UHFFFAOYSA-N</t>
  </si>
  <si>
    <t xml:space="preserve">Benzenoids; Benzenoids</t>
  </si>
  <si>
    <t xml:space="preserve">Benzene and substituted derivatives; Benzene and substituted derivatives</t>
  </si>
  <si>
    <t xml:space="preserve">Phenylacetaldehydes; Unclassified</t>
  </si>
  <si>
    <t xml:space="preserve">137.05588</t>
  </si>
  <si>
    <t xml:space="preserve">C2H3N3</t>
  </si>
  <si>
    <t xml:space="preserve">1H-1,2,3-Triazole; 1,2,4-Triazole</t>
  </si>
  <si>
    <t xml:space="preserve">200319; 200320</t>
  </si>
  <si>
    <t xml:space="preserve">HMDB0244867; HMDB0244868</t>
  </si>
  <si>
    <t xml:space="preserve">35565; 35550</t>
  </si>
  <si>
    <t xml:space="preserve">67516; 9257</t>
  </si>
  <si>
    <t xml:space="preserve">N1N=CC=N1; N1C=NC=N1</t>
  </si>
  <si>
    <t xml:space="preserve">QWENRTYMTSOGBR-UHFFFAOYSA-N; NSPMIYGKQJPBQR-UHFFFAOYSA-N</t>
  </si>
  <si>
    <t xml:space="preserve">Azoles; Azoles</t>
  </si>
  <si>
    <t xml:space="preserve">Triazoles; Triazoles</t>
  </si>
  <si>
    <t xml:space="preserve">137.09814</t>
  </si>
  <si>
    <t xml:space="preserve">C9H16O2</t>
  </si>
  <si>
    <t xml:space="preserve">2-Nonenoic acid</t>
  </si>
  <si>
    <t xml:space="preserve">536</t>
  </si>
  <si>
    <t xml:space="preserve">HMDB0031271</t>
  </si>
  <si>
    <t xml:space="preserve">LMFA01030026</t>
  </si>
  <si>
    <t xml:space="preserve">5282722</t>
  </si>
  <si>
    <t xml:space="preserve">3760-11-0</t>
  </si>
  <si>
    <t xml:space="preserve">C(=C/CCCCCC)/C(=O)O</t>
  </si>
  <si>
    <t xml:space="preserve">ADLXTJMPCFOTOO-FPLPWBNLSA-N</t>
  </si>
  <si>
    <t xml:space="preserve">Lipids and lipid-like molecules</t>
  </si>
  <si>
    <t xml:space="preserve">Fatty Acyls</t>
  </si>
  <si>
    <t xml:space="preserve">Fatty acids and conjugates</t>
  </si>
  <si>
    <t xml:space="preserve">138.02092</t>
  </si>
  <si>
    <t xml:space="preserve">C6H5NO3</t>
  </si>
  <si>
    <t xml:space="preserve">3-Hydroxypicolinic acid; 4-Nitrophenol</t>
  </si>
  <si>
    <t xml:space="preserve">52200; 47464</t>
  </si>
  <si>
    <t xml:space="preserve">HMDB0013188; HMDB0001232</t>
  </si>
  <si>
    <t xml:space="preserve">64950; 4100</t>
  </si>
  <si>
    <t xml:space="preserve">C18620; C00870</t>
  </si>
  <si>
    <t xml:space="preserve">64342; 16836</t>
  </si>
  <si>
    <t xml:space="preserve">13401; 980</t>
  </si>
  <si>
    <t xml:space="preserve">874-24-8; 100-02-7</t>
  </si>
  <si>
    <t xml:space="preserve">OC(=O)C1=C(O)C=CC=N1; OC1=CC=C(C=C1)[N+]([O-])=O</t>
  </si>
  <si>
    <t xml:space="preserve">BRARRAHGNDUELT-UHFFFAOYSA-N; BTJIUGUIPKRLHP-UHFFFAOYSA-N</t>
  </si>
  <si>
    <t xml:space="preserve">Organoheterocyclic compounds; Benzenoids</t>
  </si>
  <si>
    <t xml:space="preserve">Pyridines and derivatives; Phenols</t>
  </si>
  <si>
    <t xml:space="preserve">Pyridinecarboxylic acids and derivatives; Nitrophenols</t>
  </si>
  <si>
    <t xml:space="preserve">139.00271</t>
  </si>
  <si>
    <t xml:space="preserve">C5H2O2</t>
  </si>
  <si>
    <t xml:space="preserve">Oxybutynin AL</t>
  </si>
  <si>
    <t xml:space="preserve">209909</t>
  </si>
  <si>
    <t xml:space="preserve">HMDB0256006</t>
  </si>
  <si>
    <t xml:space="preserve">86217377</t>
  </si>
  <si>
    <t xml:space="preserve">OC#CC#CC=O</t>
  </si>
  <si>
    <t xml:space="preserve">HKRQYGNUINCFGR-UHFFFAOYSA-N</t>
  </si>
  <si>
    <t xml:space="preserve">139.02517</t>
  </si>
  <si>
    <t xml:space="preserve">C4H6N4O3</t>
  </si>
  <si>
    <t xml:space="preserve">Allantoin</t>
  </si>
  <si>
    <t xml:space="preserve">47044</t>
  </si>
  <si>
    <t xml:space="preserve">HMDB0000462</t>
  </si>
  <si>
    <t xml:space="preserve">89</t>
  </si>
  <si>
    <t xml:space="preserve">C01551</t>
  </si>
  <si>
    <t xml:space="preserve">15676</t>
  </si>
  <si>
    <t xml:space="preserve">204</t>
  </si>
  <si>
    <t xml:space="preserve">97-59-6</t>
  </si>
  <si>
    <t xml:space="preserve">NC(=O)NC1NC(=O)NC1=O</t>
  </si>
  <si>
    <t xml:space="preserve">POJWUDADGALRAB-UHFFFAOYSA-N</t>
  </si>
  <si>
    <t xml:space="preserve">139.07679</t>
  </si>
  <si>
    <t xml:space="preserve">C4H6O</t>
  </si>
  <si>
    <t xml:space="preserve">2-Butenal</t>
  </si>
  <si>
    <t xml:space="preserve">58299</t>
  </si>
  <si>
    <t xml:space="preserve">HMDB0034233</t>
  </si>
  <si>
    <t xml:space="preserve">73080</t>
  </si>
  <si>
    <t xml:space="preserve">C19377</t>
  </si>
  <si>
    <t xml:space="preserve">41607</t>
  </si>
  <si>
    <t xml:space="preserve">447466</t>
  </si>
  <si>
    <t xml:space="preserve">123-73-9</t>
  </si>
  <si>
    <t xml:space="preserve">C\C=C\C=O</t>
  </si>
  <si>
    <t xml:space="preserve">MLUCVPSAIODCQM-NSCUHMNNSA-N</t>
  </si>
  <si>
    <t xml:space="preserve">139.11418</t>
  </si>
  <si>
    <t xml:space="preserve">C9H18O2</t>
  </si>
  <si>
    <t xml:space="preserve">FA(9:0)</t>
  </si>
  <si>
    <t xml:space="preserve">56</t>
  </si>
  <si>
    <t xml:space="preserve">HMDB0000847</t>
  </si>
  <si>
    <t xml:space="preserve">5810</t>
  </si>
  <si>
    <t xml:space="preserve">LMFA01010009</t>
  </si>
  <si>
    <t xml:space="preserve">C01601</t>
  </si>
  <si>
    <t xml:space="preserve">29019</t>
  </si>
  <si>
    <t xml:space="preserve">8158</t>
  </si>
  <si>
    <t xml:space="preserve">112-05-0</t>
  </si>
  <si>
    <t xml:space="preserve">C(CCCCCCC(=O)O)C</t>
  </si>
  <si>
    <t xml:space="preserve">FBUKVWPVBMHYJY-UHFFFAOYSA-N</t>
  </si>
  <si>
    <t xml:space="preserve">139.98342</t>
  </si>
  <si>
    <t xml:space="preserve">C2H7NO2S2</t>
  </si>
  <si>
    <t xml:space="preserve">(1R)-1-Amino-2-sulfanylethanesulfinic acid</t>
  </si>
  <si>
    <t xml:space="preserve">198807</t>
  </si>
  <si>
    <t xml:space="preserve">HMDB0242353</t>
  </si>
  <si>
    <t xml:space="preserve">17841242</t>
  </si>
  <si>
    <t xml:space="preserve">NC(CS)S(O)=O</t>
  </si>
  <si>
    <t xml:space="preserve">QDYOZKNUWCMVJZ-UHFFFAOYSA-N</t>
  </si>
  <si>
    <t xml:space="preserve">Sulfinic acids and derivatives</t>
  </si>
  <si>
    <t xml:space="preserve">Sulfinic acids</t>
  </si>
  <si>
    <t xml:space="preserve">143.00061</t>
  </si>
  <si>
    <t xml:space="preserve">C6H8S2</t>
  </si>
  <si>
    <t xml:space="preserve">3-(Methylthio)methylthiophene</t>
  </si>
  <si>
    <t xml:space="preserve">56779</t>
  </si>
  <si>
    <t xml:space="preserve">HMDB0032429</t>
  </si>
  <si>
    <t xml:space="preserve">88453</t>
  </si>
  <si>
    <t xml:space="preserve">20158044</t>
  </si>
  <si>
    <t xml:space="preserve">61675-72-7</t>
  </si>
  <si>
    <t xml:space="preserve">CSCC1=CSC=C1</t>
  </si>
  <si>
    <t xml:space="preserve">YWUFGNXATBTVEB-UHFFFAOYSA-N</t>
  </si>
  <si>
    <t xml:space="preserve">Heteroaromatic compounds</t>
  </si>
  <si>
    <t xml:space="preserve">143.03784</t>
  </si>
  <si>
    <t xml:space="preserve">C6H8N2</t>
  </si>
  <si>
    <t xml:space="preserve">2-Ethylpyrazine; 2,3-Dimethylpyrazine; 2,6-Dimethylpyrazine</t>
  </si>
  <si>
    <t xml:space="preserve">56314; 57233; 59134</t>
  </si>
  <si>
    <t xml:space="preserve">HMDB0031849; HMDB0032971; HMDB0035248</t>
  </si>
  <si>
    <t xml:space="preserve">87969; 88870; 90558</t>
  </si>
  <si>
    <t xml:space="preserve">73232; ; </t>
  </si>
  <si>
    <t xml:space="preserve">26331; 22201; 7938</t>
  </si>
  <si>
    <t xml:space="preserve">13925-00-3; 5910-89-4; 108-50-9</t>
  </si>
  <si>
    <t xml:space="preserve">CCC1=CN=CC=N1; CC1=C(C)N=CC=N1; CC1=CN=CC(C)=N1</t>
  </si>
  <si>
    <t xml:space="preserve">KVFIJIWMDBAGDP-UHFFFAOYSA-N; OXQOBQJCDNLAPO-UHFFFAOYSA-N; HJFZAYHYIWGLNL-UHFFFAOYSA-N</t>
  </si>
  <si>
    <t xml:space="preserve">Diazines; Diazines; Diazines</t>
  </si>
  <si>
    <t xml:space="preserve">Pyrazines; Pyrazines; Pyrazines</t>
  </si>
  <si>
    <t xml:space="preserve">144.00321</t>
  </si>
  <si>
    <t xml:space="preserve">C2HN3O2</t>
  </si>
  <si>
    <t xml:space="preserve">triazolinedione</t>
  </si>
  <si>
    <t xml:space="preserve">212559</t>
  </si>
  <si>
    <t xml:space="preserve">HMDB0259155</t>
  </si>
  <si>
    <t xml:space="preserve">18755011</t>
  </si>
  <si>
    <t xml:space="preserve">O=C1NN=NC1=O</t>
  </si>
  <si>
    <t xml:space="preserve">NCJXHPIYRWIILF-UHFFFAOYSA-N</t>
  </si>
  <si>
    <t xml:space="preserve">144.04285</t>
  </si>
  <si>
    <t xml:space="preserve">C7H9NO</t>
  </si>
  <si>
    <t xml:space="preserve">p-Anisidine</t>
  </si>
  <si>
    <t xml:space="preserve">54271</t>
  </si>
  <si>
    <t xml:space="preserve">HMDB0029300</t>
  </si>
  <si>
    <t xml:space="preserve">73035</t>
  </si>
  <si>
    <t xml:space="preserve">C19326</t>
  </si>
  <si>
    <t xml:space="preserve">82388</t>
  </si>
  <si>
    <t xml:space="preserve">7732</t>
  </si>
  <si>
    <t xml:space="preserve">104-94-9</t>
  </si>
  <si>
    <t xml:space="preserve">COC1=CC=C(N)C=C1</t>
  </si>
  <si>
    <t xml:space="preserve">BHAAPTBBJKJZER-UHFFFAOYSA-N</t>
  </si>
  <si>
    <t xml:space="preserve">Phenol ethers</t>
  </si>
  <si>
    <t xml:space="preserve">Aminophenyl ethers</t>
  </si>
  <si>
    <t xml:space="preserve">144.06447</t>
  </si>
  <si>
    <t xml:space="preserve">C6H13NO4</t>
  </si>
  <si>
    <t xml:space="preserve">Bicine</t>
  </si>
  <si>
    <t xml:space="preserve">51498</t>
  </si>
  <si>
    <t xml:space="preserve">HMDB0011727</t>
  </si>
  <si>
    <t xml:space="preserve">62455</t>
  </si>
  <si>
    <t xml:space="preserve">39066</t>
  </si>
  <si>
    <t xml:space="preserve">8761</t>
  </si>
  <si>
    <t xml:space="preserve">150-25-4</t>
  </si>
  <si>
    <t xml:space="preserve">OCCN(CCO)CC(O)=O</t>
  </si>
  <si>
    <t xml:space="preserve">FSVCELGFZIQNCK-UHFFFAOYSA-N</t>
  </si>
  <si>
    <t xml:space="preserve">145.04005</t>
  </si>
  <si>
    <t xml:space="preserve">C8H8N2O2</t>
  </si>
  <si>
    <t xml:space="preserve">Ricinine</t>
  </si>
  <si>
    <t xml:space="preserve">64993</t>
  </si>
  <si>
    <t xml:space="preserve">HMDB0042006</t>
  </si>
  <si>
    <t xml:space="preserve">65606</t>
  </si>
  <si>
    <t xml:space="preserve">C01526</t>
  </si>
  <si>
    <t xml:space="preserve">18043</t>
  </si>
  <si>
    <t xml:space="preserve">10666</t>
  </si>
  <si>
    <t xml:space="preserve">524-40-3</t>
  </si>
  <si>
    <t xml:space="preserve">COC1=C(C#N)C(=O)N(C)C=C1</t>
  </si>
  <si>
    <t xml:space="preserve">PETSAYFQSGAEQY-UHFFFAOYSA-N</t>
  </si>
  <si>
    <t xml:space="preserve">Pyridines and derivatives</t>
  </si>
  <si>
    <t xml:space="preserve">3-pyridinecarbonitriles</t>
  </si>
  <si>
    <t xml:space="preserve">145.06363</t>
  </si>
  <si>
    <t xml:space="preserve">C5H10N2O3</t>
  </si>
  <si>
    <t xml:space="preserve">L-Glutamine</t>
  </si>
  <si>
    <t xml:space="preserve">47136</t>
  </si>
  <si>
    <t xml:space="preserve">HMDB0000641</t>
  </si>
  <si>
    <t xml:space="preserve">18</t>
  </si>
  <si>
    <t xml:space="preserve">C00064</t>
  </si>
  <si>
    <t xml:space="preserve">18050</t>
  </si>
  <si>
    <t xml:space="preserve">5961</t>
  </si>
  <si>
    <t xml:space="preserve">56-85-9</t>
  </si>
  <si>
    <t xml:space="preserve">N[C@@H](CCC(N)=O)C(O)=O</t>
  </si>
  <si>
    <t xml:space="preserve">ZDXPYRJPNDTMRX-VKHMYHEASA-N</t>
  </si>
  <si>
    <t xml:space="preserve">145.08923</t>
  </si>
  <si>
    <t xml:space="preserve">C7H14O3</t>
  </si>
  <si>
    <t xml:space="preserve">(+/-)-Ethyl 2-hydroxy-2-methylbutyrate; Methyl DL-Leucate; 3-Hydroxyisoheptanoic acid</t>
  </si>
  <si>
    <t xml:space="preserve">7427; 7614; 47859</t>
  </si>
  <si>
    <t xml:space="preserve">HMDB0032269; HMDB0036231; HMDB0002207</t>
  </si>
  <si>
    <t xml:space="preserve">88315; 91377; 6547</t>
  </si>
  <si>
    <t xml:space="preserve">LMFA07010693; LMFA07010959; </t>
  </si>
  <si>
    <t xml:space="preserve">; ; 165406</t>
  </si>
  <si>
    <t xml:space="preserve">101536; 62908; 193804</t>
  </si>
  <si>
    <t xml:space="preserve">77-70-3; 40348-72-9; 40309-49-7</t>
  </si>
  <si>
    <t xml:space="preserve">O=C(C(CC)(C)O)OCC; CC(C)CC(C(OC)=O)O; CC(C)CC(O)CC(O)=O</t>
  </si>
  <si>
    <t xml:space="preserve">KIYWRWLZHQZKKD-UHFFFAOYSA-N; JOSNYUDSMPILKL-UHFFFAOYSA-N; SCAWECGFPWPHAR-UHFFFAOYSA-N</t>
  </si>
  <si>
    <t xml:space="preserve">Lipids and lipid-like molecules; Lipids and lipid-like molecules; Organic acids and derivatives</t>
  </si>
  <si>
    <t xml:space="preserve">Fatty Acyls; Fatty Acyls; Hydroxy acids and derivatives</t>
  </si>
  <si>
    <t xml:space="preserve">Fatty acid esters; Fatty acid esters; Medium-chain hydroxy acids and derivatives</t>
  </si>
  <si>
    <t xml:space="preserve">145.10226</t>
  </si>
  <si>
    <t xml:space="preserve">C11H14</t>
  </si>
  <si>
    <t xml:space="preserve">(3-Methyl-2-butenyl)-benzene</t>
  </si>
  <si>
    <t xml:space="preserve">83332</t>
  </si>
  <si>
    <t xml:space="preserve">HMDB0061808</t>
  </si>
  <si>
    <t xml:space="preserve">20572</t>
  </si>
  <si>
    <t xml:space="preserve">CC(C)=CCC1=CC=CC=C1</t>
  </si>
  <si>
    <t xml:space="preserve">XGADZHWYGCKKJF-UHFFFAOYSA-N</t>
  </si>
  <si>
    <t xml:space="preserve">146.00119</t>
  </si>
  <si>
    <t xml:space="preserve">C3H4NOP</t>
  </si>
  <si>
    <t xml:space="preserve">Oxazaphosphorine; 6H-Oxazaphosphinine</t>
  </si>
  <si>
    <t xml:space="preserve">209873; 213514</t>
  </si>
  <si>
    <t xml:space="preserve">HMDB0255969; HMDB0260394</t>
  </si>
  <si>
    <t xml:space="preserve">22137869; 54483113</t>
  </si>
  <si>
    <t xml:space="preserve">N1OC=CC=P1; C1ON=PC=C1</t>
  </si>
  <si>
    <t xml:space="preserve">ZZVDXRCAGGQFAK-UHFFFAOYSA-N; XQKIAXHLJBULSS-UHFFFAOYSA-N</t>
  </si>
  <si>
    <t xml:space="preserve">Phosphacyclic compounds; Phosphacyclic compounds</t>
  </si>
  <si>
    <t xml:space="preserve">146.02619</t>
  </si>
  <si>
    <t xml:space="preserve">C8H5NO2</t>
  </si>
  <si>
    <t xml:space="preserve">Indole-5,6-quinone</t>
  </si>
  <si>
    <t xml:space="preserve">48871</t>
  </si>
  <si>
    <t xml:space="preserve">HMDB0006779</t>
  </si>
  <si>
    <t xml:space="preserve">58543</t>
  </si>
  <si>
    <t xml:space="preserve">C05579</t>
  </si>
  <si>
    <t xml:space="preserve">27406</t>
  </si>
  <si>
    <t xml:space="preserve">440728</t>
  </si>
  <si>
    <t xml:space="preserve">582-59-2</t>
  </si>
  <si>
    <t xml:space="preserve">O=C1C=C2NC=CC2=CC1=O</t>
  </si>
  <si>
    <t xml:space="preserve">IGGVVGHJSQSLFO-UHFFFAOYSA-N</t>
  </si>
  <si>
    <t xml:space="preserve">Indoles and derivatives</t>
  </si>
  <si>
    <t xml:space="preserve">146.04740</t>
  </si>
  <si>
    <t xml:space="preserve">C5H9NO4</t>
  </si>
  <si>
    <t xml:space="preserve">L-Glutamic acid</t>
  </si>
  <si>
    <t xml:space="preserve">46895</t>
  </si>
  <si>
    <t xml:space="preserve">HMDB0000148</t>
  </si>
  <si>
    <t xml:space="preserve">19</t>
  </si>
  <si>
    <t xml:space="preserve">C00025</t>
  </si>
  <si>
    <t xml:space="preserve">16015</t>
  </si>
  <si>
    <t xml:space="preserve">33032</t>
  </si>
  <si>
    <t xml:space="preserve">56-86-0</t>
  </si>
  <si>
    <t xml:space="preserve">N[C@@H](CCC(O)=O)C(O)=O</t>
  </si>
  <si>
    <t xml:space="preserve">WHUUTDBJXJRKMK-VKHMYHEASA-N</t>
  </si>
  <si>
    <t xml:space="preserve">146.98536</t>
  </si>
  <si>
    <t xml:space="preserve">C5H4O3</t>
  </si>
  <si>
    <t xml:space="preserve">2-Furoic acid</t>
  </si>
  <si>
    <t xml:space="preserve">47125</t>
  </si>
  <si>
    <t xml:space="preserve">HMDB0000617</t>
  </si>
  <si>
    <t xml:space="preserve">2266</t>
  </si>
  <si>
    <t xml:space="preserve">C01546</t>
  </si>
  <si>
    <t xml:space="preserve">30845</t>
  </si>
  <si>
    <t xml:space="preserve">6919</t>
  </si>
  <si>
    <t xml:space="preserve">88-14-2</t>
  </si>
  <si>
    <t xml:space="preserve">OC(=O)C1=CC=CO1</t>
  </si>
  <si>
    <t xml:space="preserve">SMNDYUVBFMFKNZ-UHFFFAOYSA-N</t>
  </si>
  <si>
    <t xml:space="preserve">Furans</t>
  </si>
  <si>
    <t xml:space="preserve">Furoic acid and derivatives</t>
  </si>
  <si>
    <t xml:space="preserve">147.03169</t>
  </si>
  <si>
    <t xml:space="preserve">C8H8NO3</t>
  </si>
  <si>
    <t xml:space="preserve">Noradrenochrome o-semiquinone</t>
  </si>
  <si>
    <t xml:space="preserve">52146</t>
  </si>
  <si>
    <t xml:space="preserve">HMDB0013029</t>
  </si>
  <si>
    <t xml:space="preserve">[O]C1=C(O)C=C2NCC(O)C2=C1</t>
  </si>
  <si>
    <t xml:space="preserve">OHRTXTGCGQYCMB-UHFFFAOYSA-N</t>
  </si>
  <si>
    <t xml:space="preserve">Indolines</t>
  </si>
  <si>
    <t xml:space="preserve">147.07125</t>
  </si>
  <si>
    <t xml:space="preserve">C6H12N2</t>
  </si>
  <si>
    <t xml:space="preserve">1,4-Diazabicyclo[2.2.2]octane</t>
  </si>
  <si>
    <t xml:space="preserve">199732</t>
  </si>
  <si>
    <t xml:space="preserve">HMDB0244208</t>
  </si>
  <si>
    <t xml:space="preserve">151129</t>
  </si>
  <si>
    <t xml:space="preserve">9237</t>
  </si>
  <si>
    <t xml:space="preserve">C1CN2CCN1CC2</t>
  </si>
  <si>
    <t xml:space="preserve">IMNIMPAHZVJRPE-UHFFFAOYSA-N</t>
  </si>
  <si>
    <t xml:space="preserve">Diazinanes</t>
  </si>
  <si>
    <t xml:space="preserve">Piperazines</t>
  </si>
  <si>
    <t xml:space="preserve">148.04385</t>
  </si>
  <si>
    <t xml:space="preserve">C4H9NS</t>
  </si>
  <si>
    <t xml:space="preserve">(±)-2-Methylthiazolidine</t>
  </si>
  <si>
    <t xml:space="preserve">56166</t>
  </si>
  <si>
    <t xml:space="preserve">HMDB0031682</t>
  </si>
  <si>
    <t xml:space="preserve">87859</t>
  </si>
  <si>
    <t xml:space="preserve">166517</t>
  </si>
  <si>
    <t xml:space="preserve">32196</t>
  </si>
  <si>
    <t xml:space="preserve">CC1NCCS1</t>
  </si>
  <si>
    <t xml:space="preserve">DQMLFUMEBNHPPB-UHFFFAOYSA-N</t>
  </si>
  <si>
    <t xml:space="preserve">Azolidines</t>
  </si>
  <si>
    <t xml:space="preserve">Thiazolidines</t>
  </si>
  <si>
    <t xml:space="preserve">149.04690</t>
  </si>
  <si>
    <t xml:space="preserve">C6H6N4O</t>
  </si>
  <si>
    <t xml:space="preserve">1-Methylhypoxanthine</t>
  </si>
  <si>
    <t xml:space="preserve">52193</t>
  </si>
  <si>
    <t xml:space="preserve">HMDB0013141</t>
  </si>
  <si>
    <t xml:space="preserve">3779</t>
  </si>
  <si>
    <t xml:space="preserve">73959</t>
  </si>
  <si>
    <t xml:space="preserve">70765</t>
  </si>
  <si>
    <t xml:space="preserve">1125-39-9</t>
  </si>
  <si>
    <t xml:space="preserve">CN1C=NC2=C(NC=N2)C1=O</t>
  </si>
  <si>
    <t xml:space="preserve">KIQMCGMHGVXDFW-UHFFFAOYSA-N</t>
  </si>
  <si>
    <t xml:space="preserve">150.01937</t>
  </si>
  <si>
    <t xml:space="preserve">C7H5NO3</t>
  </si>
  <si>
    <t xml:space="preserve">3-Nitrobenzaldehyde; 4-Nitrobenzaldehyde</t>
  </si>
  <si>
    <t xml:space="preserve">201323; 201865</t>
  </si>
  <si>
    <t xml:space="preserve">HMDB0245945; HMDB0246531</t>
  </si>
  <si>
    <t xml:space="preserve">323917; </t>
  </si>
  <si>
    <t xml:space="preserve">; 66926</t>
  </si>
  <si>
    <t xml:space="preserve">7449; </t>
  </si>
  <si>
    <t xml:space="preserve">[O-][N+](=O)C1=CC=CC(C=O)=C1; O=CC1=CC=C(C=C1)N(=O)=O</t>
  </si>
  <si>
    <t xml:space="preserve">ZETIVVHRRQLWFW-UHFFFAOYSA-N; BXRFQSNOROATLV-UHFFFAOYSA-N</t>
  </si>
  <si>
    <t xml:space="preserve">Nitrobenzenes; Nitrobenzenes</t>
  </si>
  <si>
    <t xml:space="preserve">151.02795</t>
  </si>
  <si>
    <t xml:space="preserve">C4H8N2O2</t>
  </si>
  <si>
    <t xml:space="preserve">N,N'-Diacetylhydrazine</t>
  </si>
  <si>
    <t xml:space="preserve">82390</t>
  </si>
  <si>
    <t xml:space="preserve">HMDB0060496</t>
  </si>
  <si>
    <t xml:space="preserve">851</t>
  </si>
  <si>
    <t xml:space="preserve">C16622</t>
  </si>
  <si>
    <t xml:space="preserve">72884</t>
  </si>
  <si>
    <t xml:space="preserve">3148-73-0</t>
  </si>
  <si>
    <t xml:space="preserve">CC(O)=NN=C(C)O</t>
  </si>
  <si>
    <t xml:space="preserve">ZLHNYIHIHQEHJQ-UHFFFAOYSA-N</t>
  </si>
  <si>
    <t xml:space="preserve">151.11315</t>
  </si>
  <si>
    <t xml:space="preserve">C10H16O</t>
  </si>
  <si>
    <t xml:space="preserve">Pinocarveol</t>
  </si>
  <si>
    <t xml:space="preserve">35435</t>
  </si>
  <si>
    <t xml:space="preserve">HMDB0035743</t>
  </si>
  <si>
    <t xml:space="preserve">41138</t>
  </si>
  <si>
    <t xml:space="preserve">LMPR0102120025</t>
  </si>
  <si>
    <t xml:space="preserve">C11941</t>
  </si>
  <si>
    <t xml:space="preserve">26137</t>
  </si>
  <si>
    <t xml:space="preserve">102667</t>
  </si>
  <si>
    <t xml:space="preserve">5947-36-4</t>
  </si>
  <si>
    <t xml:space="preserve">C12C(=C)C(O)CC(C1)C2(C)C</t>
  </si>
  <si>
    <t xml:space="preserve">LCYXQUJDODZYIJ-UHFFFAOYSA-N</t>
  </si>
  <si>
    <t xml:space="preserve">Prenol lipids</t>
  </si>
  <si>
    <t xml:space="preserve">Monoterpenoids</t>
  </si>
  <si>
    <t xml:space="preserve">152.99766</t>
  </si>
  <si>
    <t xml:space="preserve">C3H7O5P</t>
  </si>
  <si>
    <t xml:space="preserve">2-Phosphonopropionic acid</t>
  </si>
  <si>
    <t xml:space="preserve">200732</t>
  </si>
  <si>
    <t xml:space="preserve">HMDB0245296</t>
  </si>
  <si>
    <t xml:space="preserve">73187</t>
  </si>
  <si>
    <t xml:space="preserve">CC(C(O)=O)P(O)(O)=O</t>
  </si>
  <si>
    <t xml:space="preserve">GUXRZQZCNOHHDO-UHFFFAOYSA-N</t>
  </si>
  <si>
    <t xml:space="preserve">Organic phosphonic acids and derivatives</t>
  </si>
  <si>
    <t xml:space="preserve">Organic phosphonic acids</t>
  </si>
  <si>
    <t xml:space="preserve">153.03067</t>
  </si>
  <si>
    <t xml:space="preserve">C6H8N2O4</t>
  </si>
  <si>
    <t xml:space="preserve">Hydantoin-5-propionic acid</t>
  </si>
  <si>
    <t xml:space="preserve">47456</t>
  </si>
  <si>
    <t xml:space="preserve">HMDB0001212</t>
  </si>
  <si>
    <t xml:space="preserve">6084</t>
  </si>
  <si>
    <t xml:space="preserve">C05565</t>
  </si>
  <si>
    <t xml:space="preserve">28297</t>
  </si>
  <si>
    <t xml:space="preserve">782</t>
  </si>
  <si>
    <t xml:space="preserve">5624-26-0</t>
  </si>
  <si>
    <t xml:space="preserve">OC(=O)CCC1NC(=O)NC1=O</t>
  </si>
  <si>
    <t xml:space="preserve">VWFWNXQAMGDPGG-UHFFFAOYSA-N</t>
  </si>
  <si>
    <t xml:space="preserve">Imidazolidines</t>
  </si>
  <si>
    <t xml:space="preserve">153.09256</t>
  </si>
  <si>
    <t xml:space="preserve">C9H14O2</t>
  </si>
  <si>
    <t xml:space="preserve">Allyl hexenoate; 2-Nonenoic acid gamma-lactone; 2,4-Hexadienyl propionate</t>
  </si>
  <si>
    <t xml:space="preserve">7474; 7761; 56692</t>
  </si>
  <si>
    <t xml:space="preserve">HMDB0038268; HMDB0032442; HMDB0032314</t>
  </si>
  <si>
    <t xml:space="preserve">92993; 88465; 88355</t>
  </si>
  <si>
    <t xml:space="preserve">LMFA07010777; LMFA07040020; </t>
  </si>
  <si>
    <t xml:space="preserve">11812127; 89559; 6386721</t>
  </si>
  <si>
    <t xml:space="preserve">; 21963-26-8; 16491-25-1</t>
  </si>
  <si>
    <t xml:space="preserve">O(CC=C)C(=O)/C=C/CCC; C1(OC(CCCCC)C=C1)=O; CCC(=O)OC\C=C\C=C\C</t>
  </si>
  <si>
    <t xml:space="preserve">VOLVXFXDLNXTMV-VOTSOKGWSA-N; MXZSZHJBUODOJK-UHFFFAOYSA-N; ZVBREIRNEOXCKQ-TWTPFVCWSA-N</t>
  </si>
  <si>
    <t xml:space="preserve">Lipids and lipid-like molecules; Organoheterocyclic compounds; Organic acids and derivatives</t>
  </si>
  <si>
    <t xml:space="preserve">Fatty Acyls; Dihydrofurans; Carboxylic acids and derivatives</t>
  </si>
  <si>
    <t xml:space="preserve">Fatty acid esters; Furanones; Carboxylic acid derivatives</t>
  </si>
  <si>
    <t xml:space="preserve">154.01558</t>
  </si>
  <si>
    <t xml:space="preserve">C6H5NO4</t>
  </si>
  <si>
    <t xml:space="preserve">4-Nitrocatechol</t>
  </si>
  <si>
    <t xml:space="preserve">48001</t>
  </si>
  <si>
    <t xml:space="preserve">HMDB0002916</t>
  </si>
  <si>
    <t xml:space="preserve">58136</t>
  </si>
  <si>
    <t xml:space="preserve">C02235</t>
  </si>
  <si>
    <t xml:space="preserve">16318</t>
  </si>
  <si>
    <t xml:space="preserve">3505109</t>
  </si>
  <si>
    <t xml:space="preserve">3316-09-4</t>
  </si>
  <si>
    <t xml:space="preserve">OC1=C(O)C=C(C=C1)[N+]([O-])=O</t>
  </si>
  <si>
    <t xml:space="preserve">XJNPNXSISMKQEX-UHFFFAOYSA-N</t>
  </si>
  <si>
    <t xml:space="preserve">Nitrophenols</t>
  </si>
  <si>
    <t xml:space="preserve">154.06454</t>
  </si>
  <si>
    <t xml:space="preserve">C5H13NO2</t>
  </si>
  <si>
    <t xml:space="preserve">N,N-Dimethylformamide dimethyl acetal</t>
  </si>
  <si>
    <t xml:space="preserve">209275</t>
  </si>
  <si>
    <t xml:space="preserve">HMDB0255265</t>
  </si>
  <si>
    <t xml:space="preserve">349988</t>
  </si>
  <si>
    <t xml:space="preserve">85061</t>
  </si>
  <si>
    <t xml:space="preserve">78373</t>
  </si>
  <si>
    <t xml:space="preserve">COC(OC)N(C)C</t>
  </si>
  <si>
    <t xml:space="preserve">ZSXGLVDWWRXATF-UHFFFAOYSA-N</t>
  </si>
  <si>
    <t xml:space="preserve">Orthocarboxylic acid derivatives</t>
  </si>
  <si>
    <t xml:space="preserve">Carboxylic acid amide acetals</t>
  </si>
  <si>
    <t xml:space="preserve">154.92916</t>
  </si>
  <si>
    <t xml:space="preserve">C2H2ClF3</t>
  </si>
  <si>
    <t xml:space="preserve">2-Chloro-1,1,1-trifluoroethane</t>
  </si>
  <si>
    <t xml:space="preserve">200497</t>
  </si>
  <si>
    <t xml:space="preserve">HMDB0245048</t>
  </si>
  <si>
    <t xml:space="preserve">73071</t>
  </si>
  <si>
    <t xml:space="preserve">C19367</t>
  </si>
  <si>
    <t xml:space="preserve">6408</t>
  </si>
  <si>
    <t xml:space="preserve">75-88-7</t>
  </si>
  <si>
    <t xml:space="preserve">FC(F)(F)CCl</t>
  </si>
  <si>
    <t xml:space="preserve">CYXIKYKBLDZZNW-UHFFFAOYSA-N</t>
  </si>
  <si>
    <t xml:space="preserve">154.97805</t>
  </si>
  <si>
    <t xml:space="preserve">C4H8S2</t>
  </si>
  <si>
    <t xml:space="preserve">1,4-Dithiane; Methyl 2-propenyl disulfide</t>
  </si>
  <si>
    <t xml:space="preserve">56025; 64480</t>
  </si>
  <si>
    <t xml:space="preserve">HMDB0031474; HMDB0041389</t>
  </si>
  <si>
    <t xml:space="preserve">65667; 66933</t>
  </si>
  <si>
    <t xml:space="preserve">C01871; C08383</t>
  </si>
  <si>
    <t xml:space="preserve">540; 6854</t>
  </si>
  <si>
    <t xml:space="preserve">10452; 62434</t>
  </si>
  <si>
    <t xml:space="preserve">505-29-3; 2179-58-0</t>
  </si>
  <si>
    <t xml:space="preserve">C1CSCCS1; CSSCC=C</t>
  </si>
  <si>
    <t xml:space="preserve">LOZWAPSEEHRYPG-UHFFFAOYSA-N; XNZOTQPMYMCTBZ-UHFFFAOYSA-N</t>
  </si>
  <si>
    <t xml:space="preserve">Organoheterocyclic compounds; Organosulfur compounds</t>
  </si>
  <si>
    <t xml:space="preserve">Dithianes; Allyl sulfur compounds</t>
  </si>
  <si>
    <t xml:space="preserve">156.92640</t>
  </si>
  <si>
    <t xml:space="preserve">C2H6S4</t>
  </si>
  <si>
    <t xml:space="preserve">Dimethyl tetrasulfide</t>
  </si>
  <si>
    <t xml:space="preserve">64175</t>
  </si>
  <si>
    <t xml:space="preserve">HMDB0041065</t>
  </si>
  <si>
    <t xml:space="preserve">95498</t>
  </si>
  <si>
    <t xml:space="preserve">79828</t>
  </si>
  <si>
    <t xml:space="preserve">5756-24-1</t>
  </si>
  <si>
    <t xml:space="preserve">CSSSSC</t>
  </si>
  <si>
    <t xml:space="preserve">NPNIZCVKXVRCHF-UHFFFAOYSA-N</t>
  </si>
  <si>
    <t xml:space="preserve">Sulfenyl compounds</t>
  </si>
  <si>
    <t xml:space="preserve">156.99307</t>
  </si>
  <si>
    <t xml:space="preserve">C6H4NO2</t>
  </si>
  <si>
    <t xml:space="preserve">Para-Nitrophenyl</t>
  </si>
  <si>
    <t xml:space="preserve">201062</t>
  </si>
  <si>
    <t xml:space="preserve">HMDB0245652</t>
  </si>
  <si>
    <t xml:space="preserve">119211</t>
  </si>
  <si>
    <t xml:space="preserve">O=N(=O)C1=CC=C=C[CH]1</t>
  </si>
  <si>
    <t xml:space="preserve">ZHCAAFJSYLFLPX-UHFFFAOYSA-N</t>
  </si>
  <si>
    <t xml:space="preserve">Nitrobenzenes</t>
  </si>
  <si>
    <t xml:space="preserve">157.03681</t>
  </si>
  <si>
    <t xml:space="preserve">C3H4N4O</t>
  </si>
  <si>
    <t xml:space="preserve">1H-1,2,4-Triazole-3-carboxamide</t>
  </si>
  <si>
    <t xml:space="preserve">200321</t>
  </si>
  <si>
    <t xml:space="preserve">HMDB0244869</t>
  </si>
  <si>
    <t xml:space="preserve">2299</t>
  </si>
  <si>
    <t xml:space="preserve">65125</t>
  </si>
  <si>
    <t xml:space="preserve">3641-08-5</t>
  </si>
  <si>
    <t xml:space="preserve">NC(=O)C1=NC=NN1</t>
  </si>
  <si>
    <t xml:space="preserve">ZEWJFUNFEABPGL-UHFFFAOYSA-N</t>
  </si>
  <si>
    <t xml:space="preserve">Carboxylic acid derivatives</t>
  </si>
  <si>
    <t xml:space="preserve">159.03253</t>
  </si>
  <si>
    <t xml:space="preserve">C6H8N2O</t>
  </si>
  <si>
    <t xml:space="preserve">Methylimidazole acetaldehyde</t>
  </si>
  <si>
    <t xml:space="preserve">48253</t>
  </si>
  <si>
    <t xml:space="preserve">HMDB0004181</t>
  </si>
  <si>
    <t xml:space="preserve">58224</t>
  </si>
  <si>
    <t xml:space="preserve">C05827</t>
  </si>
  <si>
    <t xml:space="preserve">28104</t>
  </si>
  <si>
    <t xml:space="preserve">193545</t>
  </si>
  <si>
    <t xml:space="preserve">19639-03-3</t>
  </si>
  <si>
    <t xml:space="preserve">CN1C=NC(CC=O)=C1</t>
  </si>
  <si>
    <t xml:space="preserve">GCQHUBANENYTLB-UHFFFAOYSA-N</t>
  </si>
  <si>
    <t xml:space="preserve">159.04885</t>
  </si>
  <si>
    <t xml:space="preserve">C6H10S</t>
  </si>
  <si>
    <t xml:space="preserve">Di-2-propenyl sulfide</t>
  </si>
  <si>
    <t xml:space="preserve">60239</t>
  </si>
  <si>
    <t xml:space="preserve">HMDB0036491</t>
  </si>
  <si>
    <t xml:space="preserve">44102</t>
  </si>
  <si>
    <t xml:space="preserve">C08370</t>
  </si>
  <si>
    <t xml:space="preserve">11617</t>
  </si>
  <si>
    <t xml:space="preserve">592-88-1</t>
  </si>
  <si>
    <t xml:space="preserve">C=CCSCC=C</t>
  </si>
  <si>
    <t xml:space="preserve">UBJVUCKUDDKUJF-UHFFFAOYSA-N</t>
  </si>
  <si>
    <t xml:space="preserve">Allyl sulfur compounds</t>
  </si>
  <si>
    <t xml:space="preserve">159.06803</t>
  </si>
  <si>
    <t xml:space="preserve">C8H8N4</t>
  </si>
  <si>
    <t xml:space="preserve">Hydralazine</t>
  </si>
  <si>
    <t xml:space="preserve">53474</t>
  </si>
  <si>
    <t xml:space="preserve">HMDB0015400</t>
  </si>
  <si>
    <t xml:space="preserve">3163</t>
  </si>
  <si>
    <t xml:space="preserve">C07040</t>
  </si>
  <si>
    <t xml:space="preserve">5775</t>
  </si>
  <si>
    <t xml:space="preserve">3637</t>
  </si>
  <si>
    <t xml:space="preserve">86-54-4</t>
  </si>
  <si>
    <t xml:space="preserve">NNC1=NN=CC2=CC=CC=C12</t>
  </si>
  <si>
    <t xml:space="preserve">RPTUSVTUFVMDQK-UHFFFAOYSA-N</t>
  </si>
  <si>
    <t xml:space="preserve">Diazanaphthalenes</t>
  </si>
  <si>
    <t xml:space="preserve">Benzodiazines</t>
  </si>
  <si>
    <t xml:space="preserve">159.07943</t>
  </si>
  <si>
    <t xml:space="preserve">C6H12N2O3</t>
  </si>
  <si>
    <t xml:space="preserve">D-Alanyl-D-alanine; 4-Acetamido-2-aminobutanoic acid</t>
  </si>
  <si>
    <t xml:space="preserve">48112; 55982</t>
  </si>
  <si>
    <t xml:space="preserve">HMDB0003459; HMDB0031411</t>
  </si>
  <si>
    <t xml:space="preserve">6937; 327986</t>
  </si>
  <si>
    <t xml:space="preserve">C00993; C06442</t>
  </si>
  <si>
    <t xml:space="preserve">16576; 7351</t>
  </si>
  <si>
    <t xml:space="preserve">5460362; 902</t>
  </si>
  <si>
    <t xml:space="preserve">923-16-0; 1190-46-1</t>
  </si>
  <si>
    <t xml:space="preserve">C[C@@H](N)C(=O)N[C@H](C)C(O)=O; CC(=O)NCC[C@H](N)C(O)=O</t>
  </si>
  <si>
    <t xml:space="preserve">DEFJQIDDEAULHB-QWWZWVQMSA-N; YLZRFVZUZIJABA-YFKPBYRVSA-N</t>
  </si>
  <si>
    <t xml:space="preserve">160.01034</t>
  </si>
  <si>
    <t xml:space="preserve">C4H5NOS</t>
  </si>
  <si>
    <t xml:space="preserve">2-Methyl-4-isothiazolin-3-one; Methylisothiazolone</t>
  </si>
  <si>
    <t xml:space="preserve">200659; 208737</t>
  </si>
  <si>
    <t xml:space="preserve">HMDB0245220; HMDB0254651</t>
  </si>
  <si>
    <t xml:space="preserve">53620; </t>
  </si>
  <si>
    <t xml:space="preserve">39800; 57269290</t>
  </si>
  <si>
    <t xml:space="preserve">CN1SC=CC1=O; CC1=NS(=O)C=C1</t>
  </si>
  <si>
    <t xml:space="preserve">BEGLCMHJXHIJLR-UHFFFAOYSA-N; KFGWEMFTDGCYSK-UHFFFAOYSA-N</t>
  </si>
  <si>
    <t xml:space="preserve">Thiazoles; Thiazoles</t>
  </si>
  <si>
    <t xml:space="preserve">160.06407</t>
  </si>
  <si>
    <t xml:space="preserve">C7H9N5O</t>
  </si>
  <si>
    <t xml:space="preserve">7-Aminomethyl-7-carbaguanine</t>
  </si>
  <si>
    <t xml:space="preserve">51471</t>
  </si>
  <si>
    <t xml:space="preserve">HMDB0011690</t>
  </si>
  <si>
    <t xml:space="preserve">62428</t>
  </si>
  <si>
    <t xml:space="preserve">C16675</t>
  </si>
  <si>
    <t xml:space="preserve">45126</t>
  </si>
  <si>
    <t xml:space="preserve">171</t>
  </si>
  <si>
    <t xml:space="preserve">NCC1=CNC2=C1C(=O)NC(N)=N2</t>
  </si>
  <si>
    <t xml:space="preserve">MEYMBLGOKYDGLZ-UHFFFAOYSA-N</t>
  </si>
  <si>
    <t xml:space="preserve">Pyrrolopyrimidines</t>
  </si>
  <si>
    <t xml:space="preserve">Pyrrolo[2,3-d]pyrimidines</t>
  </si>
  <si>
    <t xml:space="preserve">160.96150</t>
  </si>
  <si>
    <t xml:space="preserve">C2ClF3</t>
  </si>
  <si>
    <t xml:space="preserve">Chlorotrifluoroethylene</t>
  </si>
  <si>
    <t xml:space="preserve">204962</t>
  </si>
  <si>
    <t xml:space="preserve">HMDB0250127</t>
  </si>
  <si>
    <t xml:space="preserve">FC(F)=C(F)Cl</t>
  </si>
  <si>
    <t xml:space="preserve">UUAGAQFQZIEFAH-UHFFFAOYSA-N</t>
  </si>
  <si>
    <t xml:space="preserve">Vinyl halides</t>
  </si>
  <si>
    <t xml:space="preserve">Vinyl fluorides</t>
  </si>
  <si>
    <t xml:space="preserve">161.99656</t>
  </si>
  <si>
    <t xml:space="preserve">C5H5NO3</t>
  </si>
  <si>
    <t xml:space="preserve">Hydroxyminaline</t>
  </si>
  <si>
    <t xml:space="preserve">58406</t>
  </si>
  <si>
    <t xml:space="preserve">HMDB0034368</t>
  </si>
  <si>
    <t xml:space="preserve">89879</t>
  </si>
  <si>
    <t xml:space="preserve">55287504</t>
  </si>
  <si>
    <t xml:space="preserve">OC(=O)C1=CC(O)=CN1</t>
  </si>
  <si>
    <t xml:space="preserve">FCGOBISRCUOUQH-UHFFFAOYSA-N</t>
  </si>
  <si>
    <t xml:space="preserve">162.02847</t>
  </si>
  <si>
    <t xml:space="preserve">C5H7N3O2</t>
  </si>
  <si>
    <t xml:space="preserve">Dimetridazole; hydroxymethylcytosine</t>
  </si>
  <si>
    <t xml:space="preserve">206033; 207638</t>
  </si>
  <si>
    <t xml:space="preserve">HMDB0251409; HMDB0253278</t>
  </si>
  <si>
    <t xml:space="preserve">141155; </t>
  </si>
  <si>
    <t xml:space="preserve">; 21989274</t>
  </si>
  <si>
    <t xml:space="preserve">CN1C(C)=NC=C1N(=O)=O; NC1=NC(=O)N(CO)C=C1</t>
  </si>
  <si>
    <t xml:space="preserve">IBXPYPUJPLLOIN-UHFFFAOYSA-N; MJEQLGCFPLHMNV-UHFFFAOYSA-N</t>
  </si>
  <si>
    <t xml:space="preserve">Azoles; Diazines</t>
  </si>
  <si>
    <t xml:space="preserve">Imidazoles; Pyrimidines and pyrimidine derivatives</t>
  </si>
  <si>
    <t xml:space="preserve">162.05153</t>
  </si>
  <si>
    <t xml:space="preserve">C3H7N3O2</t>
  </si>
  <si>
    <t xml:space="preserve">Guanidoacetic acid</t>
  </si>
  <si>
    <t xml:space="preserve">46886</t>
  </si>
  <si>
    <t xml:space="preserve">HMDB0000128</t>
  </si>
  <si>
    <t xml:space="preserve">9</t>
  </si>
  <si>
    <t xml:space="preserve">C00581</t>
  </si>
  <si>
    <t xml:space="preserve">16344</t>
  </si>
  <si>
    <t xml:space="preserve">763</t>
  </si>
  <si>
    <t xml:space="preserve">352-97-6</t>
  </si>
  <si>
    <t xml:space="preserve">NC(=N)NCC(O)=O</t>
  </si>
  <si>
    <t xml:space="preserve">BPMFZUMJYQTVII-UHFFFAOYSA-N</t>
  </si>
  <si>
    <t xml:space="preserve">162.98450</t>
  </si>
  <si>
    <t xml:space="preserve">C5H5ClN2</t>
  </si>
  <si>
    <t xml:space="preserve">2-Amino-5-chloropyridine; 2-Chloro-3-methylpyrazine; 2-Amino-4-chloropyridine</t>
  </si>
  <si>
    <t xml:space="preserve">200447; 200500; 200438</t>
  </si>
  <si>
    <t xml:space="preserve">HMDB0244996; HMDB0245051; HMDB0244987</t>
  </si>
  <si>
    <t xml:space="preserve">; 334127; </t>
  </si>
  <si>
    <t xml:space="preserve">; 66769; </t>
  </si>
  <si>
    <t xml:space="preserve">NC1=NC=C(Cl)C=C1; CC1=NC=CN=C1Cl; NC1=NC=CC(Cl)=C1</t>
  </si>
  <si>
    <t xml:space="preserve">MAXBVGJEFDMHNV-UHFFFAOYSA-N; WZHWPZQQPWKEAV-UHFFFAOYSA-N; RQMWVVBHJMUJNZ-UHFFFAOYSA-N</t>
  </si>
  <si>
    <t xml:space="preserve">Pyridines and derivatives; Diazines; Pyridines and derivatives</t>
  </si>
  <si>
    <t xml:space="preserve">Aminopyridines and derivatives; Pyrazines; Aminopyridines and derivatives</t>
  </si>
  <si>
    <t xml:space="preserve">163.03893</t>
  </si>
  <si>
    <t xml:space="preserve">C9H10O4</t>
  </si>
  <si>
    <t xml:space="preserve">Hydroxyphenyllactic acid</t>
  </si>
  <si>
    <t xml:space="preserve">47202</t>
  </si>
  <si>
    <t xml:space="preserve">HMDB0000755</t>
  </si>
  <si>
    <t xml:space="preserve">34515</t>
  </si>
  <si>
    <t xml:space="preserve">C03672</t>
  </si>
  <si>
    <t xml:space="preserve">17385</t>
  </si>
  <si>
    <t xml:space="preserve">9378</t>
  </si>
  <si>
    <t xml:space="preserve">306-23-0</t>
  </si>
  <si>
    <t xml:space="preserve">OC(CC1=CC=C(O)C=C1)C(O)=O</t>
  </si>
  <si>
    <t xml:space="preserve">JVGVDSSUAVXRDY-UHFFFAOYSA-N</t>
  </si>
  <si>
    <t xml:space="preserve">Phenylpropanoids and polyketides</t>
  </si>
  <si>
    <t xml:space="preserve">Phenylpropanoic acids</t>
  </si>
  <si>
    <t xml:space="preserve">163.11403</t>
  </si>
  <si>
    <t xml:space="preserve">C11H18O2</t>
  </si>
  <si>
    <t xml:space="preserve">Neryl formate</t>
  </si>
  <si>
    <t xml:space="preserve">7362</t>
  </si>
  <si>
    <t xml:space="preserve">HMDB0035156</t>
  </si>
  <si>
    <t xml:space="preserve">97316</t>
  </si>
  <si>
    <t xml:space="preserve">LMFA07010623</t>
  </si>
  <si>
    <t xml:space="preserve">C12294</t>
  </si>
  <si>
    <t xml:space="preserve">31648</t>
  </si>
  <si>
    <t xml:space="preserve">5354882</t>
  </si>
  <si>
    <t xml:space="preserve">105-86-2</t>
  </si>
  <si>
    <t xml:space="preserve">O=COC/C=C(/C)\CC/C=C(\C)/C</t>
  </si>
  <si>
    <t xml:space="preserve">FQMZVFJYMPNUCT-XFFZJAGNSA-N</t>
  </si>
  <si>
    <t xml:space="preserve">Fatty alcohol esters</t>
  </si>
  <si>
    <t xml:space="preserve">164.95737</t>
  </si>
  <si>
    <t xml:space="preserve">C3H3F3O2</t>
  </si>
  <si>
    <t xml:space="preserve">1,1,1-Trifluoro-3-hydroxypropan-2-one</t>
  </si>
  <si>
    <t xml:space="preserve">200734</t>
  </si>
  <si>
    <t xml:space="preserve">HMDB0245298</t>
  </si>
  <si>
    <t xml:space="preserve">705990</t>
  </si>
  <si>
    <t xml:space="preserve">13861740</t>
  </si>
  <si>
    <t xml:space="preserve">OCC(=O)C(F)(F)F</t>
  </si>
  <si>
    <t xml:space="preserve">FROJKGLPWQKKOL-UHFFFAOYSA-N</t>
  </si>
  <si>
    <t xml:space="preserve">165.01573</t>
  </si>
  <si>
    <t xml:space="preserve">C6H10OS</t>
  </si>
  <si>
    <t xml:space="preserve">2-[(Methylthio)methyl]-2-butenal</t>
  </si>
  <si>
    <t xml:space="preserve">55944</t>
  </si>
  <si>
    <t xml:space="preserve">HMDB0031370</t>
  </si>
  <si>
    <t xml:space="preserve">87623</t>
  </si>
  <si>
    <t xml:space="preserve">172409</t>
  </si>
  <si>
    <t xml:space="preserve">57501028</t>
  </si>
  <si>
    <t xml:space="preserve">40878-72-6</t>
  </si>
  <si>
    <t xml:space="preserve">CSC\C(=C\C)C=O</t>
  </si>
  <si>
    <t xml:space="preserve">IBSLHWQWKUNIJE-ZZXKWVIFSA-N</t>
  </si>
  <si>
    <t xml:space="preserve">165.07313</t>
  </si>
  <si>
    <t xml:space="preserve">C10H14S</t>
  </si>
  <si>
    <t xml:space="preserve">3-(4-Methyl-3-pentenyl)thiophene</t>
  </si>
  <si>
    <t xml:space="preserve">61613</t>
  </si>
  <si>
    <t xml:space="preserve">HMDB0038183</t>
  </si>
  <si>
    <t xml:space="preserve">92919</t>
  </si>
  <si>
    <t xml:space="preserve">566107</t>
  </si>
  <si>
    <t xml:space="preserve">62469-65-2</t>
  </si>
  <si>
    <t xml:space="preserve">CC(C)=CCCC1=CSC=C1</t>
  </si>
  <si>
    <t xml:space="preserve">UAGFAMQTBLSQSU-UHFFFAOYSA-N</t>
  </si>
  <si>
    <t xml:space="preserve">166.02014</t>
  </si>
  <si>
    <t xml:space="preserve">C6H10ClN</t>
  </si>
  <si>
    <t xml:space="preserve">6-Chlorohexanenitrile</t>
  </si>
  <si>
    <t xml:space="preserve">202327</t>
  </si>
  <si>
    <t xml:space="preserve">HMDB0247047</t>
  </si>
  <si>
    <t xml:space="preserve">ClCCCCCC#N</t>
  </si>
  <si>
    <t xml:space="preserve">PLKNMBFMTVKLEW-UHFFFAOYSA-N</t>
  </si>
  <si>
    <t xml:space="preserve">Organic cyanides</t>
  </si>
  <si>
    <t xml:space="preserve">166.04904</t>
  </si>
  <si>
    <t xml:space="preserve">C8H9NO3</t>
  </si>
  <si>
    <t xml:space="preserve">Isopyridoxal; Pyridoxal</t>
  </si>
  <si>
    <t xml:space="preserve">48274; 47645</t>
  </si>
  <si>
    <t xml:space="preserve">HMDB0004290; HMDB0001545</t>
  </si>
  <si>
    <t xml:space="preserve">63863; 313876</t>
  </si>
  <si>
    <t xml:space="preserve">C06051; C00250</t>
  </si>
  <si>
    <t xml:space="preserve">17889; 17310</t>
  </si>
  <si>
    <t xml:space="preserve">440899; 1050</t>
  </si>
  <si>
    <t xml:space="preserve">; 66-72-8</t>
  </si>
  <si>
    <t xml:space="preserve">CC1=NC=C(C=O)C(CO)=C1O; CC1=NC=C(CO)C(C=O)=C1O</t>
  </si>
  <si>
    <t xml:space="preserve">GNKXHPULSPWUAK-UHFFFAOYSA-N; RADKZDMFGJYCBB-UHFFFAOYSA-N</t>
  </si>
  <si>
    <t xml:space="preserve">Pyridines and derivatives; Pyridines and derivatives</t>
  </si>
  <si>
    <t xml:space="preserve">Pyridine carboxaldehydes; Pyridine carboxaldehydes</t>
  </si>
  <si>
    <t xml:space="preserve">167.02308</t>
  </si>
  <si>
    <t xml:space="preserve">C5H10N2O2</t>
  </si>
  <si>
    <t xml:space="preserve">L-cis-3-Amino-2-pyrrolidinecarboxylic acid; D-1-Amino-2-pyrrolidinecarboxylic acid</t>
  </si>
  <si>
    <t xml:space="preserve">54354; 55221</t>
  </si>
  <si>
    <t xml:space="preserve">HMDB0029396; HMDB0030405</t>
  </si>
  <si>
    <t xml:space="preserve">86241; 86950</t>
  </si>
  <si>
    <t xml:space="preserve">21998160; 273022</t>
  </si>
  <si>
    <t xml:space="preserve">25876-88-4; 10139-05-6</t>
  </si>
  <si>
    <t xml:space="preserve">NC1CCNC1C(O)=O; NN1CCCC1C(O)=O</t>
  </si>
  <si>
    <t xml:space="preserve">VJLXSTXGGXYQCT-UHFFFAOYSA-N; OUCUOMVLTQBZCY-UHFFFAOYSA-N</t>
  </si>
  <si>
    <t xml:space="preserve">167.11065</t>
  </si>
  <si>
    <t xml:space="preserve">C10H16O2</t>
  </si>
  <si>
    <t xml:space="preserve">(+/-)-2-(5-Methyl-5-vinyltetrahydrofuran-2-yl)propionaldehyde</t>
  </si>
  <si>
    <t xml:space="preserve">56782</t>
  </si>
  <si>
    <t xml:space="preserve">HMDB0032434</t>
  </si>
  <si>
    <t xml:space="preserve">67022</t>
  </si>
  <si>
    <t xml:space="preserve">C08498</t>
  </si>
  <si>
    <t xml:space="preserve">25038</t>
  </si>
  <si>
    <t xml:space="preserve">155007</t>
  </si>
  <si>
    <t xml:space="preserve">67920-63-2</t>
  </si>
  <si>
    <t xml:space="preserve">CC(C=O)C1CCC(C)(O1)C=C</t>
  </si>
  <si>
    <t xml:space="preserve">YPZQHCLBLRWNMJ-UHFFFAOYSA-N</t>
  </si>
  <si>
    <t xml:space="preserve">Tetrahydrofurans</t>
  </si>
  <si>
    <t xml:space="preserve">167.99560</t>
  </si>
  <si>
    <t xml:space="preserve">C3H7NO5S</t>
  </si>
  <si>
    <t xml:space="preserve">Cysteic acid</t>
  </si>
  <si>
    <t xml:space="preserve">47986</t>
  </si>
  <si>
    <t xml:space="preserve">HMDB0002757</t>
  </si>
  <si>
    <t xml:space="preserve">332</t>
  </si>
  <si>
    <t xml:space="preserve">C00506</t>
  </si>
  <si>
    <t xml:space="preserve">21260</t>
  </si>
  <si>
    <t xml:space="preserve">25701</t>
  </si>
  <si>
    <t xml:space="preserve">498-40-8</t>
  </si>
  <si>
    <t xml:space="preserve">NC(CS(O)(=O)=O)C(O)=O</t>
  </si>
  <si>
    <t xml:space="preserve">XVOYSCVBGLVSOL-UHFFFAOYSA-N</t>
  </si>
  <si>
    <t xml:space="preserve">168.04541</t>
  </si>
  <si>
    <t xml:space="preserve">C11H9NO2</t>
  </si>
  <si>
    <t xml:space="preserve">Indoleacrylic acid</t>
  </si>
  <si>
    <t xml:space="preserve">47188</t>
  </si>
  <si>
    <t xml:space="preserve">HMDB0000734</t>
  </si>
  <si>
    <t xml:space="preserve">132244</t>
  </si>
  <si>
    <t xml:space="preserve">5375048</t>
  </si>
  <si>
    <t xml:space="preserve">29953-71-7</t>
  </si>
  <si>
    <t xml:space="preserve">OC(=O)\C=C\C1=CNC2=C1C=CC=C2</t>
  </si>
  <si>
    <t xml:space="preserve">PLVPPLCLBIEYEA-AATRIKPKSA-N</t>
  </si>
  <si>
    <t xml:space="preserve">Indoles</t>
  </si>
  <si>
    <t xml:space="preserve">168.99251</t>
  </si>
  <si>
    <t xml:space="preserve">C5H2N4O</t>
  </si>
  <si>
    <t xml:space="preserve">Pyrazolopyrimidinone</t>
  </si>
  <si>
    <t xml:space="preserve">210732</t>
  </si>
  <si>
    <t xml:space="preserve">HMDB0256955</t>
  </si>
  <si>
    <t xml:space="preserve">831145</t>
  </si>
  <si>
    <t xml:space="preserve">53630237</t>
  </si>
  <si>
    <t xml:space="preserve">O=C1N=NC2=CN=CN=C12</t>
  </si>
  <si>
    <t xml:space="preserve">DOTPSQVYOBAWPQ-UHFFFAOYSA-N</t>
  </si>
  <si>
    <t xml:space="preserve">Pyrazolopyrimidines</t>
  </si>
  <si>
    <t xml:space="preserve">169.99249</t>
  </si>
  <si>
    <t xml:space="preserve">C6H7NO4S</t>
  </si>
  <si>
    <t xml:space="preserve">Lanthionine ketimine</t>
  </si>
  <si>
    <t xml:space="preserve">48318</t>
  </si>
  <si>
    <t xml:space="preserve">HMDB0004823</t>
  </si>
  <si>
    <t xml:space="preserve">7085</t>
  </si>
  <si>
    <t xml:space="preserve">89479</t>
  </si>
  <si>
    <t xml:space="preserve">134340</t>
  </si>
  <si>
    <t xml:space="preserve">83923-11-9</t>
  </si>
  <si>
    <t xml:space="preserve">OC(=O)C1CSCC(=N1)C(O)=O</t>
  </si>
  <si>
    <t xml:space="preserve">XIVVIYYWXOMYOD-UHFFFAOYSA-N</t>
  </si>
  <si>
    <t xml:space="preserve">170.04493</t>
  </si>
  <si>
    <t xml:space="preserve">C7H11NO5</t>
  </si>
  <si>
    <t xml:space="preserve">N-Acetyl-L-glutamic acid</t>
  </si>
  <si>
    <t xml:space="preserve">47415</t>
  </si>
  <si>
    <t xml:space="preserve">HMDB0001138</t>
  </si>
  <si>
    <t xml:space="preserve">3325</t>
  </si>
  <si>
    <t xml:space="preserve">C00624</t>
  </si>
  <si>
    <t xml:space="preserve">17533</t>
  </si>
  <si>
    <t xml:space="preserve">70914</t>
  </si>
  <si>
    <t xml:space="preserve">1188-37-0</t>
  </si>
  <si>
    <t xml:space="preserve">CC(=O)N[C@@H](CCC(O)=O)C(O)=O</t>
  </si>
  <si>
    <t xml:space="preserve">RFMMMVDNIPUKGG-YFKPBYRVSA-N</t>
  </si>
  <si>
    <t xml:space="preserve">171.00839</t>
  </si>
  <si>
    <t xml:space="preserve">C5H4N4O</t>
  </si>
  <si>
    <t xml:space="preserve">Hypoxanthine</t>
  </si>
  <si>
    <t xml:space="preserve">46900</t>
  </si>
  <si>
    <t xml:space="preserve">HMDB0000157</t>
  </si>
  <si>
    <t xml:space="preserve">83</t>
  </si>
  <si>
    <t xml:space="preserve">C00262</t>
  </si>
  <si>
    <t xml:space="preserve">17368</t>
  </si>
  <si>
    <t xml:space="preserve">790</t>
  </si>
  <si>
    <t xml:space="preserve">68-94-0</t>
  </si>
  <si>
    <t xml:space="preserve">OC1=NC=NC2=C1NC=N2</t>
  </si>
  <si>
    <t xml:space="preserve">FDGQSTZJBFJUBT-UHFFFAOYSA-N</t>
  </si>
  <si>
    <t xml:space="preserve">171.06670</t>
  </si>
  <si>
    <t xml:space="preserve">C8H12O4</t>
  </si>
  <si>
    <t xml:space="preserve">cis-4-Octenedioic acid; 2-Octenedioic acid; trans-3-Octenedioic acid</t>
  </si>
  <si>
    <t xml:space="preserve">2890; 47001; 52244</t>
  </si>
  <si>
    <t xml:space="preserve">HMDB0004982; HMDB0000341; HMDB0013312</t>
  </si>
  <si>
    <t xml:space="preserve">5451; 5330; </t>
  </si>
  <si>
    <t xml:space="preserve">LMFA01170078; ; </t>
  </si>
  <si>
    <t xml:space="preserve">; 89192; 173786</t>
  </si>
  <si>
    <t xml:space="preserve">11805205; 6079438; 22495178</t>
  </si>
  <si>
    <t xml:space="preserve">38561-68-1; 5698-50-0; </t>
  </si>
  <si>
    <t xml:space="preserve">C(=O)(O)CC/C=C\CCC(=O)O; OC(=O)CCCC\C=C\C(O)=O; OC(=O)CCC\C=C\CC(O)=O</t>
  </si>
  <si>
    <t xml:space="preserve">LQVYKEXVMZXOAH-UPHRSURJSA-N; BNTPVRGYUHJFHN-HWKANZROSA-N; QWWZNXBOJLOHGI-HNQUOIGGSA-N</t>
  </si>
  <si>
    <t xml:space="preserve">171.10452</t>
  </si>
  <si>
    <t xml:space="preserve">C9H16O3</t>
  </si>
  <si>
    <t xml:space="preserve">9-Oxo-nonanoic acid</t>
  </si>
  <si>
    <t xml:space="preserve">2157</t>
  </si>
  <si>
    <t xml:space="preserve">HMDB0094711</t>
  </si>
  <si>
    <t xml:space="preserve">74794</t>
  </si>
  <si>
    <t xml:space="preserve">LMFA01060160</t>
  </si>
  <si>
    <t xml:space="preserve">C16322</t>
  </si>
  <si>
    <t xml:space="preserve">78700</t>
  </si>
  <si>
    <t xml:space="preserve">75704</t>
  </si>
  <si>
    <t xml:space="preserve">C(CCCCCCCC([H])=O)(=O)O</t>
  </si>
  <si>
    <t xml:space="preserve">WLGDDELKYAWBBL-UHFFFAOYSA-N</t>
  </si>
  <si>
    <t xml:space="preserve">172.00573</t>
  </si>
  <si>
    <t xml:space="preserve">C6H7NO3S</t>
  </si>
  <si>
    <t xml:space="preserve">2-Aminobenzenesulfonic acid; Sulfanilic acid</t>
  </si>
  <si>
    <t xml:space="preserve">257678; 212068</t>
  </si>
  <si>
    <t xml:space="preserve">HMDB0304940; HMDB0258581</t>
  </si>
  <si>
    <t xml:space="preserve">C06333; C06335</t>
  </si>
  <si>
    <t xml:space="preserve">1015; 27500</t>
  </si>
  <si>
    <t xml:space="preserve">6926; </t>
  </si>
  <si>
    <t xml:space="preserve">NC1=CC=CC=C1S(O)(=O)=O; NC1=CC=C(C=C1)S(O)(=O)=O</t>
  </si>
  <si>
    <t xml:space="preserve">ZMCHBSMFKQYNKA-UHFFFAOYSA-N; HVBSAKJJOYLTQU-UHFFFAOYSA-N</t>
  </si>
  <si>
    <t xml:space="preserve">Benzenesulfonic acids and derivatives; Benzenesulfonic acids and derivatives</t>
  </si>
  <si>
    <t xml:space="preserve">172.10645</t>
  </si>
  <si>
    <t xml:space="preserve">C7H15N3O2</t>
  </si>
  <si>
    <t xml:space="preserve">2,7-Diamino-7-iminoheptanoic acid; 5-[(1-Iminoethyl)amino]-2-aminopentanoic acid; apo-[3-methylcrotonoyl-CoA:carbon-dioxide ligase (ADP-forming)]</t>
  </si>
  <si>
    <t xml:space="preserve">201075; 201569; 81712</t>
  </si>
  <si>
    <t xml:space="preserve">HMDB0245671; HMDB0246210; HMDB0059607</t>
  </si>
  <si>
    <t xml:space="preserve">; ; 96232</t>
  </si>
  <si>
    <t xml:space="preserve">4479245; ; 25244460</t>
  </si>
  <si>
    <t xml:space="preserve">NC(CCCCC(N)=N)C(O)=O; CC(=N)NCCCC(N)C(O)=O; NCCCC[C@H](NC=O)C(N)=O</t>
  </si>
  <si>
    <t xml:space="preserve">SILQDLDAWPQMEL-UHFFFAOYSA-N; UYZFAUAYFLEHRC-UHFFFAOYSA-N; DKPYGQKMNSGPGT-LURJTMIESA-N</t>
  </si>
  <si>
    <t xml:space="preserve">Organic acids and derivatives; Organic acids and derivatives; Organic acids and derivatives</t>
  </si>
  <si>
    <t xml:space="preserve">Carboxylic acids and derivatives; Carboxylic acids and derivatives; Carboximidic acids and derivatives</t>
  </si>
  <si>
    <t xml:space="preserve">Amino acids, peptides, and analogues; Amino acids, peptides, and analogues; Carboximidic acids</t>
  </si>
  <si>
    <t xml:space="preserve">172.90100</t>
  </si>
  <si>
    <t xml:space="preserve">C2H6S2Se</t>
  </si>
  <si>
    <t xml:space="preserve">Bis(methylthio) selenide</t>
  </si>
  <si>
    <t xml:space="preserve">55596</t>
  </si>
  <si>
    <t xml:space="preserve">HMDB0030876</t>
  </si>
  <si>
    <t xml:space="preserve">87245</t>
  </si>
  <si>
    <t xml:space="preserve">14933478</t>
  </si>
  <si>
    <t xml:space="preserve">41884-44-0</t>
  </si>
  <si>
    <t xml:space="preserve">CS[Se]SC</t>
  </si>
  <si>
    <t xml:space="preserve">SMYUGMJGEHVHJO-UHFFFAOYSA-N</t>
  </si>
  <si>
    <t xml:space="preserve">Thioselenides</t>
  </si>
  <si>
    <t xml:space="preserve">173.09168</t>
  </si>
  <si>
    <t xml:space="preserve">C7H14N2O3</t>
  </si>
  <si>
    <t xml:space="preserve">Glycylvaline</t>
  </si>
  <si>
    <t xml:space="preserve">53881</t>
  </si>
  <si>
    <t xml:space="preserve">HMDB0028854</t>
  </si>
  <si>
    <t xml:space="preserve">23847</t>
  </si>
  <si>
    <t xml:space="preserve">73922</t>
  </si>
  <si>
    <t xml:space="preserve">2724807</t>
  </si>
  <si>
    <t xml:space="preserve">1963-21-9</t>
  </si>
  <si>
    <t xml:space="preserve">CC(C)[C@H](NC(=O)CN)C(O)=O</t>
  </si>
  <si>
    <t xml:space="preserve">STKYPAFSDFAEPH-LURJTMIESA-N</t>
  </si>
  <si>
    <t xml:space="preserve">173.11980</t>
  </si>
  <si>
    <t xml:space="preserve">C9H18O3</t>
  </si>
  <si>
    <t xml:space="preserve">(±)-3-Hydroxynonanoic acid</t>
  </si>
  <si>
    <t xml:space="preserve">1671</t>
  </si>
  <si>
    <t xml:space="preserve">HMDB0031513</t>
  </si>
  <si>
    <t xml:space="preserve">35407</t>
  </si>
  <si>
    <t xml:space="preserve">LMFA01050025</t>
  </si>
  <si>
    <t xml:space="preserve">36599</t>
  </si>
  <si>
    <t xml:space="preserve">88930-09-0</t>
  </si>
  <si>
    <t xml:space="preserve">C(O)(CCCCCC)CC(=O)O</t>
  </si>
  <si>
    <t xml:space="preserve">XBUXARJOYUQNTC-UHFFFAOYSA-N</t>
  </si>
  <si>
    <t xml:space="preserve">Medium-chain hydroxy acids and derivatives</t>
  </si>
  <si>
    <t xml:space="preserve">174.02226</t>
  </si>
  <si>
    <t xml:space="preserve">C6H11NO4S</t>
  </si>
  <si>
    <t xml:space="preserve">S-(2-Carboxyethyl)-L-cysteine</t>
  </si>
  <si>
    <t xml:space="preserve">201976</t>
  </si>
  <si>
    <t xml:space="preserve">HMDB0246645</t>
  </si>
  <si>
    <t xml:space="preserve">19945</t>
  </si>
  <si>
    <t xml:space="preserve">NC(CSCCC(O)=O)C(O)=O</t>
  </si>
  <si>
    <t xml:space="preserve">FBPINGSGHKXIQA-UHFFFAOYSA-N</t>
  </si>
  <si>
    <t xml:space="preserve">175.02712</t>
  </si>
  <si>
    <t xml:space="preserve">C9H8NO4</t>
  </si>
  <si>
    <t xml:space="preserve">Dopachrome o-semiquinone</t>
  </si>
  <si>
    <t xml:space="preserve">52106</t>
  </si>
  <si>
    <t xml:space="preserve">HMDB0012931</t>
  </si>
  <si>
    <t xml:space="preserve">1246035-97-1</t>
  </si>
  <si>
    <t xml:space="preserve">[O]C1=C(O)C=C2N[C@H](CC2=C1)C(O)=O</t>
  </si>
  <si>
    <t xml:space="preserve">YHAPBGUGQAHLME-ZCFIWIBFSA-N</t>
  </si>
  <si>
    <t xml:space="preserve">Indolecarboxylic acids and derivatives</t>
  </si>
  <si>
    <t xml:space="preserve">175.07321</t>
  </si>
  <si>
    <t xml:space="preserve">C7H8N6</t>
  </si>
  <si>
    <t xml:space="preserve">6-Methylpteridine-2,4-diamine</t>
  </si>
  <si>
    <t xml:space="preserve">202367</t>
  </si>
  <si>
    <t xml:space="preserve">HMDB0247090</t>
  </si>
  <si>
    <t xml:space="preserve">254916</t>
  </si>
  <si>
    <t xml:space="preserve">CC1=CN=C2N=C(N)N=C(N)C2=N1</t>
  </si>
  <si>
    <t xml:space="preserve">MFNAKLLYSPINFZ-UHFFFAOYSA-N</t>
  </si>
  <si>
    <t xml:space="preserve">176.93848</t>
  </si>
  <si>
    <t xml:space="preserve">C2H5O5P</t>
  </si>
  <si>
    <t xml:space="preserve">Acetylphosphate; Phosphonoacetate</t>
  </si>
  <si>
    <t xml:space="preserve">47613; 48235</t>
  </si>
  <si>
    <t xml:space="preserve">HMDB0001494; HMDB0004110</t>
  </si>
  <si>
    <t xml:space="preserve">63131; 63576</t>
  </si>
  <si>
    <t xml:space="preserve">C00227; C05682</t>
  </si>
  <si>
    <t xml:space="preserve">15350; 15732</t>
  </si>
  <si>
    <t xml:space="preserve">186; 546</t>
  </si>
  <si>
    <t xml:space="preserve">590-54-5; 4408-78-0</t>
  </si>
  <si>
    <t xml:space="preserve">CC(=O)OP(O)(O)=O; OC(=O)CP(O)(O)=O</t>
  </si>
  <si>
    <t xml:space="preserve">LIPOUNRJVLNBCD-UHFFFAOYSA-N; XUYJLQHKOGNDPB-UHFFFAOYSA-N</t>
  </si>
  <si>
    <t xml:space="preserve">Organic phosphoric acids and derivatives; Organic phosphonic acids and derivatives</t>
  </si>
  <si>
    <t xml:space="preserve">Phosphate esters; Organic phosphonic acids</t>
  </si>
  <si>
    <t xml:space="preserve">177.03904</t>
  </si>
  <si>
    <t xml:space="preserve">C6H10O6</t>
  </si>
  <si>
    <t xml:space="preserve">L-Gulonolactone</t>
  </si>
  <si>
    <t xml:space="preserve">48114</t>
  </si>
  <si>
    <t xml:space="preserve">HMDB0003466</t>
  </si>
  <si>
    <t xml:space="preserve">327343</t>
  </si>
  <si>
    <t xml:space="preserve">C01040</t>
  </si>
  <si>
    <t xml:space="preserve">17587</t>
  </si>
  <si>
    <t xml:space="preserve">439373</t>
  </si>
  <si>
    <t xml:space="preserve">1128-23-0</t>
  </si>
  <si>
    <t xml:space="preserve">[H][C@@]1(OC(=O)[C@@H](O)[C@H]1O)[C@@H](O)CO</t>
  </si>
  <si>
    <t xml:space="preserve">SXZYCXMUPBBULW-SKNVOMKLSA-N</t>
  </si>
  <si>
    <t xml:space="preserve">Lactones</t>
  </si>
  <si>
    <t xml:space="preserve">Gamma butyrolactones</t>
  </si>
  <si>
    <t xml:space="preserve">178.01910</t>
  </si>
  <si>
    <t xml:space="preserve">C8H5N3</t>
  </si>
  <si>
    <t xml:space="preserve">4-Aminophthalonitrile</t>
  </si>
  <si>
    <t xml:space="preserve">201708</t>
  </si>
  <si>
    <t xml:space="preserve">HMDB0246361</t>
  </si>
  <si>
    <t xml:space="preserve">92529</t>
  </si>
  <si>
    <t xml:space="preserve">NC1=CC(C#N)=C(C=C1)C#N</t>
  </si>
  <si>
    <t xml:space="preserve">RRCAJFYQXKPXOJ-UHFFFAOYSA-N</t>
  </si>
  <si>
    <t xml:space="preserve">Benzonitriles</t>
  </si>
  <si>
    <t xml:space="preserve">178.97482</t>
  </si>
  <si>
    <t xml:space="preserve">C6H6O4</t>
  </si>
  <si>
    <t xml:space="preserve">cis,cis-Muconic acid; Sumiki's acid; trans-trans-Muconic acid</t>
  </si>
  <si>
    <t xml:space="preserve">2889; 47942; 2925</t>
  </si>
  <si>
    <t xml:space="preserve">HMDB0006331; HMDB0002432; HMDB0002349</t>
  </si>
  <si>
    <t xml:space="preserve">45919; 6680; 6639</t>
  </si>
  <si>
    <t xml:space="preserve">LMFA01170077; ; LMFA01170124</t>
  </si>
  <si>
    <t xml:space="preserve">C02480; C20448; C03647</t>
  </si>
  <si>
    <t xml:space="preserve">16508; 89118; 27036</t>
  </si>
  <si>
    <t xml:space="preserve">5280518; 80642; 5356793</t>
  </si>
  <si>
    <t xml:space="preserve">1119-72-8; 6338-41-6; 3588-17-8</t>
  </si>
  <si>
    <t xml:space="preserve">C(=O)(O)/C=C\C=C/C(=O)O; OCC1=CC=C(O1)C(O)=O; C(=O)(O)/C=C/C=C/C(=O)O</t>
  </si>
  <si>
    <t xml:space="preserve">TXXHDPDFNKHHGW-CCAGOZQPSA-N; PCSKKIUURRTAEM-UHFFFAOYSA-N; TXXHDPDFNKHHGW-ZPUQHVIOSA-N</t>
  </si>
  <si>
    <t xml:space="preserve">Lipids and lipid-like molecules; Organoheterocyclic compounds; Lipids and lipid-like molecules</t>
  </si>
  <si>
    <t xml:space="preserve">Fatty Acyls; Furans; Fatty Acyls</t>
  </si>
  <si>
    <t xml:space="preserve">Fatty acids and conjugates; Furoic acid and derivatives; Fatty acids and conjugates</t>
  </si>
  <si>
    <t xml:space="preserve">179.01102</t>
  </si>
  <si>
    <t xml:space="preserve">C6H11ClO5</t>
  </si>
  <si>
    <t xml:space="preserve">2-Chloro-DG</t>
  </si>
  <si>
    <t xml:space="preserve">200506</t>
  </si>
  <si>
    <t xml:space="preserve">HMDB0245057</t>
  </si>
  <si>
    <t xml:space="preserve">1545</t>
  </si>
  <si>
    <t xml:space="preserve">OCC1OC(O)C(Cl)C(O)C1O</t>
  </si>
  <si>
    <t xml:space="preserve">SNGNCYILSHZBLM-UHFFFAOYSA-N</t>
  </si>
  <si>
    <t xml:space="preserve">Carbohydrates and carbohydrate conjugates</t>
  </si>
  <si>
    <t xml:space="preserve">179.05761</t>
  </si>
  <si>
    <t xml:space="preserve">C9H10NO3</t>
  </si>
  <si>
    <t xml:space="preserve">Adrenochrome o-semiquinone</t>
  </si>
  <si>
    <t xml:space="preserve">52093</t>
  </si>
  <si>
    <t xml:space="preserve">HMDB0012883</t>
  </si>
  <si>
    <t xml:space="preserve">132551346</t>
  </si>
  <si>
    <t xml:space="preserve">CN1CC(O)C2=C1C=C(O)C([O])=C2</t>
  </si>
  <si>
    <t xml:space="preserve">YNKQTALYBHMWCC-UHFFFAOYSA-N</t>
  </si>
  <si>
    <t xml:space="preserve">179.10810</t>
  </si>
  <si>
    <t xml:space="preserve">C11H16O2</t>
  </si>
  <si>
    <t xml:space="preserve">2,2,7,7-Tetramethyl-1,6-dioxaspiro[4.4]nona-3,8-diene; Jasmolone; (+)-Myrtenyl formate</t>
  </si>
  <si>
    <t xml:space="preserve">54866; 54892; 60349</t>
  </si>
  <si>
    <t xml:space="preserve">HMDB0030007; HMDB0030039; HMDB0036669</t>
  </si>
  <si>
    <t xml:space="preserve">86659; 86681; 91711</t>
  </si>
  <si>
    <t xml:space="preserve">172426; ; </t>
  </si>
  <si>
    <t xml:space="preserve">11745236; 5374699; 6429195</t>
  </si>
  <si>
    <t xml:space="preserve">15129-55-2; 54383-66-3; 72928-52-0</t>
  </si>
  <si>
    <t xml:space="preserve">CC1(C)OC2(OC(C)(C)C=C2)C=C1; CC\C=C\CC1=C(C)C(O)CC1=O; CC1(C)C2CC1C(COC=O)=CC2</t>
  </si>
  <si>
    <t xml:space="preserve">XBYJEPZKXGPIKK-UHFFFAOYSA-N; SVRKACAGHUZSGU-SNAWJCMRSA-N; QHPJGDWWLWJMPM-UHFFFAOYSA-N</t>
  </si>
  <si>
    <t xml:space="preserve">Organic oxygen compounds; Organic oxygen compounds; Lipids and lipid-like molecules</t>
  </si>
  <si>
    <t xml:space="preserve">Organooxygen compounds; Organooxygen compounds; Prenol lipids</t>
  </si>
  <si>
    <t xml:space="preserve">Ethers; Alcohols and polyols; Monoterpenoids</t>
  </si>
  <si>
    <t xml:space="preserve">180.04065</t>
  </si>
  <si>
    <t xml:space="preserve">C7H9N3O4</t>
  </si>
  <si>
    <t xml:space="preserve">(S)-Isowillardiine</t>
  </si>
  <si>
    <t xml:space="preserve">55193</t>
  </si>
  <si>
    <t xml:space="preserve">HMDB0030376</t>
  </si>
  <si>
    <t xml:space="preserve">C08289</t>
  </si>
  <si>
    <t xml:space="preserve">168734</t>
  </si>
  <si>
    <t xml:space="preserve">4479246</t>
  </si>
  <si>
    <t xml:space="preserve">21381-33-9</t>
  </si>
  <si>
    <t xml:space="preserve">NC(CN1C(O)=NC=CC1=O)C(O)=O</t>
  </si>
  <si>
    <t xml:space="preserve">AZSWUZQIIMMKOZ-UHFFFAOYSA-N</t>
  </si>
  <si>
    <t xml:space="preserve">181.12550</t>
  </si>
  <si>
    <t xml:space="preserve">C10H16</t>
  </si>
  <si>
    <t xml:space="preserve">(+)-Limonene; (R)-alpha-Phellandrene; beta-Myrcene</t>
  </si>
  <si>
    <t xml:space="preserve">35359; 35367; 35243</t>
  </si>
  <si>
    <t xml:space="preserve">HMDB0003375; HMDB0035851; HMDB0038169</t>
  </si>
  <si>
    <t xml:space="preserve">41087; 316889; 41086</t>
  </si>
  <si>
    <t xml:space="preserve">LMPR0102090013; LMPR0102090021; LMPR0102010005</t>
  </si>
  <si>
    <t xml:space="preserve">C06099; C09875; C06074</t>
  </si>
  <si>
    <t xml:space="preserve">15382; 301; 17221</t>
  </si>
  <si>
    <t xml:space="preserve">440917; 442482; 31253</t>
  </si>
  <si>
    <t xml:space="preserve">5989-27-5; 4221-98-1; 123-35-3</t>
  </si>
  <si>
    <t xml:space="preserve">C1C[C@H](CC=C1C)C(C)=C; [C@H]1(C=CC(C)=CC1)C(C)C; C(=C)(C=C)CC/C=C(/C)\C</t>
  </si>
  <si>
    <t xml:space="preserve">XMGQYMWWDOXHJM-JTQLQIEISA-N; OGLDWXZKYODSOB-SNVBAGLBSA-N; UAHWPYUMFXYFJY-UHFFFAOYSA-N</t>
  </si>
  <si>
    <t xml:space="preserve">Prenol lipids; Prenol lipids; Prenol lipids</t>
  </si>
  <si>
    <t xml:space="preserve">Monoterpenoids; Monoterpenoids; Monoterpenoids</t>
  </si>
  <si>
    <t xml:space="preserve">181.96855</t>
  </si>
  <si>
    <t xml:space="preserve">C4H5NO3S</t>
  </si>
  <si>
    <t xml:space="preserve">2-Oxothiazolidine-4-carboxylic acid</t>
  </si>
  <si>
    <t xml:space="preserve">200723</t>
  </si>
  <si>
    <t xml:space="preserve">HMDB0245287</t>
  </si>
  <si>
    <t xml:space="preserve">OC(=O)C1CSC(=O)N1</t>
  </si>
  <si>
    <t xml:space="preserve">BMLMGCPTLHPWPY-UHFFFAOYSA-N</t>
  </si>
  <si>
    <t xml:space="preserve">182.05780</t>
  </si>
  <si>
    <t xml:space="preserve">C6H7N3O</t>
  </si>
  <si>
    <t xml:space="preserve">Isoniazid</t>
  </si>
  <si>
    <t xml:space="preserve">53205</t>
  </si>
  <si>
    <t xml:space="preserve">HMDB0015086</t>
  </si>
  <si>
    <t xml:space="preserve">788</t>
  </si>
  <si>
    <t xml:space="preserve">C07054</t>
  </si>
  <si>
    <t xml:space="preserve">6030</t>
  </si>
  <si>
    <t xml:space="preserve">3767</t>
  </si>
  <si>
    <t xml:space="preserve">54-85-3</t>
  </si>
  <si>
    <t xml:space="preserve">NNC(=O)C1=CC=NC=C1</t>
  </si>
  <si>
    <t xml:space="preserve">QRXWMOHMRWLFEY-UHFFFAOYSA-N</t>
  </si>
  <si>
    <t xml:space="preserve">Pyridinecarboxylic acids and derivatives</t>
  </si>
  <si>
    <t xml:space="preserve">183.00374</t>
  </si>
  <si>
    <t xml:space="preserve">C7H5F3O</t>
  </si>
  <si>
    <t xml:space="preserve">para-Trifluoromethylphenol</t>
  </si>
  <si>
    <t xml:space="preserve">52558</t>
  </si>
  <si>
    <t xml:space="preserve">HMDB0014023</t>
  </si>
  <si>
    <t xml:space="preserve">85334</t>
  </si>
  <si>
    <t xml:space="preserve">42578</t>
  </si>
  <si>
    <t xml:space="preserve">67874</t>
  </si>
  <si>
    <t xml:space="preserve">OC1=CC=C(C=C1)C(F)(F)F</t>
  </si>
  <si>
    <t xml:space="preserve">BAYGVMXZJBFEMB-UHFFFAOYSA-N</t>
  </si>
  <si>
    <t xml:space="preserve">Trifluoromethylbenzenes</t>
  </si>
  <si>
    <t xml:space="preserve">184.00390</t>
  </si>
  <si>
    <t xml:space="preserve">C5H3N5O</t>
  </si>
  <si>
    <t xml:space="preserve">6-Aminopurin-8-one</t>
  </si>
  <si>
    <t xml:space="preserve">211602</t>
  </si>
  <si>
    <t xml:space="preserve">HMDB0258004</t>
  </si>
  <si>
    <t xml:space="preserve">22134339</t>
  </si>
  <si>
    <t xml:space="preserve">NC1=NC=NC2=NC(=O)N=C12</t>
  </si>
  <si>
    <t xml:space="preserve">WFSSNYXARPONJV-UHFFFAOYSA-N</t>
  </si>
  <si>
    <t xml:space="preserve">185.04663</t>
  </si>
  <si>
    <t xml:space="preserve">C8H10O5</t>
  </si>
  <si>
    <t xml:space="preserve">Erinapyrone C</t>
  </si>
  <si>
    <t xml:space="preserve">64137</t>
  </si>
  <si>
    <t xml:space="preserve">HMDB0041026</t>
  </si>
  <si>
    <t xml:space="preserve">168041</t>
  </si>
  <si>
    <t xml:space="preserve">85125837</t>
  </si>
  <si>
    <t xml:space="preserve">157207-53-9</t>
  </si>
  <si>
    <t xml:space="preserve">CC(O)C12OC1OC(CO)=CC2=O</t>
  </si>
  <si>
    <t xml:space="preserve">ZXCJKDVKXCEBEI-UHFFFAOYSA-N</t>
  </si>
  <si>
    <t xml:space="preserve">Pyrans</t>
  </si>
  <si>
    <t xml:space="preserve">Pyranones and derivatives</t>
  </si>
  <si>
    <t xml:space="preserve">185.08414</t>
  </si>
  <si>
    <t xml:space="preserve">C9H14N2</t>
  </si>
  <si>
    <t xml:space="preserve">2,5-Dimethyl-3-propylpyrazine; 3,5-Dimethyl-2-propylpyrazine; 2,3-Dimethyl-5-propylpyrazine</t>
  </si>
  <si>
    <t xml:space="preserve">56307; 63228; 63229</t>
  </si>
  <si>
    <t xml:space="preserve">HMDB0031841; HMDB0039995; HMDB0039996</t>
  </si>
  <si>
    <t xml:space="preserve">87963; 94536; 94537</t>
  </si>
  <si>
    <t xml:space="preserve">87637; 122594; 520566</t>
  </si>
  <si>
    <t xml:space="preserve">18433-97-1; 32350-16-6; 32262-98-9</t>
  </si>
  <si>
    <t xml:space="preserve">CCCC1=C(C)N=CC(C)=N1; CCCC1=C(C)N=C(C)C=N1; CCCC1=NC(C)=C(C)N=C1</t>
  </si>
  <si>
    <t xml:space="preserve">ARRSOXMGLBJPNV-UHFFFAOYSA-N; UTRAUCDSVCDVIW-UHFFFAOYSA-N; RHCYSZMTNWMCOO-UHFFFAOYSA-N</t>
  </si>
  <si>
    <t xml:space="preserve">186.04712</t>
  </si>
  <si>
    <t xml:space="preserve">C6H14ClNO</t>
  </si>
  <si>
    <t xml:space="preserve">2-((2-Chloroethyl)ethylamino)ethanol</t>
  </si>
  <si>
    <t xml:space="preserve">206588</t>
  </si>
  <si>
    <t xml:space="preserve">HMDB0252064</t>
  </si>
  <si>
    <t xml:space="preserve">131420</t>
  </si>
  <si>
    <t xml:space="preserve">199656</t>
  </si>
  <si>
    <t xml:space="preserve">CCN(CCO)CCCl</t>
  </si>
  <si>
    <t xml:space="preserve">ODCWAALEHCNIBY-UHFFFAOYSA-N</t>
  </si>
  <si>
    <t xml:space="preserve">Amines</t>
  </si>
  <si>
    <t xml:space="preserve">187.04491</t>
  </si>
  <si>
    <t xml:space="preserve">C7H10OS</t>
  </si>
  <si>
    <t xml:space="preserve">2,5-Dimethyl-3-(methylthio)furan; 2-[(Ethylthio)methyl]furan</t>
  </si>
  <si>
    <t xml:space="preserve">63417; 63113</t>
  </si>
  <si>
    <t xml:space="preserve">HMDB0040198; HMDB0039875</t>
  </si>
  <si>
    <t xml:space="preserve">94732; 94421</t>
  </si>
  <si>
    <t xml:space="preserve">; 168930</t>
  </si>
  <si>
    <t xml:space="preserve">143990; 519751</t>
  </si>
  <si>
    <t xml:space="preserve">63359-63-7; 2024-70-6</t>
  </si>
  <si>
    <t xml:space="preserve">CSC1=C(C)OC(C)=C1; CCSCC1=CC=CO1</t>
  </si>
  <si>
    <t xml:space="preserve">DWAOFMNMQUXUGG-UHFFFAOYSA-N; WGQJSONNMGREEA-UHFFFAOYSA-N</t>
  </si>
  <si>
    <t xml:space="preserve">Organosulfur compounds; Organoheterocyclic compounds</t>
  </si>
  <si>
    <t xml:space="preserve">Thioethers; Heteroaromatic compounds</t>
  </si>
  <si>
    <t xml:space="preserve">Aryl thioethers; Unclassified</t>
  </si>
  <si>
    <t xml:space="preserve">187.07490</t>
  </si>
  <si>
    <t xml:space="preserve">C7H15ClN4O</t>
  </si>
  <si>
    <t xml:space="preserve">Arginine chloromethyl ketone</t>
  </si>
  <si>
    <t xml:space="preserve">200381</t>
  </si>
  <si>
    <t xml:space="preserve">HMDB0244930</t>
  </si>
  <si>
    <t xml:space="preserve">196479</t>
  </si>
  <si>
    <t xml:space="preserve">NC(CCCN=C(N)N)C(=O)CCl</t>
  </si>
  <si>
    <t xml:space="preserve">VNDNKFJKUBLYQB-UHFFFAOYSA-N</t>
  </si>
  <si>
    <t xml:space="preserve">188.06290</t>
  </si>
  <si>
    <t xml:space="preserve">C7H11N3O</t>
  </si>
  <si>
    <t xml:space="preserve">N-Acetylhistamine</t>
  </si>
  <si>
    <t xml:space="preserve">52232</t>
  </si>
  <si>
    <t xml:space="preserve">HMDB0013253</t>
  </si>
  <si>
    <t xml:space="preserve">44795</t>
  </si>
  <si>
    <t xml:space="preserve">C05135</t>
  </si>
  <si>
    <t xml:space="preserve">28483</t>
  </si>
  <si>
    <t xml:space="preserve">69602</t>
  </si>
  <si>
    <t xml:space="preserve">673-49-4</t>
  </si>
  <si>
    <t xml:space="preserve">CC(=O)NCCC1=CN=CN1</t>
  </si>
  <si>
    <t xml:space="preserve">XJWPISBUKWZALE-UHFFFAOYSA-N</t>
  </si>
  <si>
    <t xml:space="preserve">188.09403</t>
  </si>
  <si>
    <t xml:space="preserve">C8H15NO4</t>
  </si>
  <si>
    <t xml:space="preserve">N-Lactoylvaline; 1-hydroxyhexanoylglycine; 2-hydroxyhexanoylglycine</t>
  </si>
  <si>
    <t xml:space="preserve">83451; 115466; 115467</t>
  </si>
  <si>
    <t xml:space="preserve">HMDB0062181; HMDB0094718; HMDB0094719</t>
  </si>
  <si>
    <t xml:space="preserve">131770417; 87772907; 131802902</t>
  </si>
  <si>
    <t xml:space="preserve">21753-44-6; ; </t>
  </si>
  <si>
    <t xml:space="preserve">CC(C)C(NC(=O)[C@H](C)O)C(O)=O; CCCCC(NCC(O)=O)C(O)=O; CCCCC(O)C(O)=NCC(O)=O</t>
  </si>
  <si>
    <t xml:space="preserve">IJKKTQLUXOILBQ-ZBHICJROSA-N; MBBNCIKYWHIZGN-UHFFFAOYSA-N; YQMRIHFIEQHCOJ-UHFFFAOYSA-N</t>
  </si>
  <si>
    <t xml:space="preserve">Carboxylic acids and derivatives; Carboxylic acids and derivatives; Carboxylic acids and derivatives</t>
  </si>
  <si>
    <t xml:space="preserve">Amino acids, peptides, and analogues; Amino acids, peptides, and analogues; Amino acids, peptides, and analogues</t>
  </si>
  <si>
    <t xml:space="preserve">188.98628</t>
  </si>
  <si>
    <t xml:space="preserve">C6H6O5S</t>
  </si>
  <si>
    <t xml:space="preserve">Pyrocatechol sulfate</t>
  </si>
  <si>
    <t xml:space="preserve">81775</t>
  </si>
  <si>
    <t xml:space="preserve">HMDB0059724</t>
  </si>
  <si>
    <t xml:space="preserve">1829</t>
  </si>
  <si>
    <t xml:space="preserve">68505</t>
  </si>
  <si>
    <t xml:space="preserve">3083879</t>
  </si>
  <si>
    <t xml:space="preserve">4918-96-1</t>
  </si>
  <si>
    <t xml:space="preserve">OC1=C(OS(O)(=O)=O)C=CC=C1</t>
  </si>
  <si>
    <t xml:space="preserve">MZPWKJZDOCIALD-UHFFFAOYSA-N</t>
  </si>
  <si>
    <t xml:space="preserve">Organic sulfuric acids and derivatives</t>
  </si>
  <si>
    <t xml:space="preserve">Arylsulfates</t>
  </si>
  <si>
    <t xml:space="preserve">189.05924</t>
  </si>
  <si>
    <t xml:space="preserve">C8H14O3S</t>
  </si>
  <si>
    <t xml:space="preserve">Ethyl 4-(acetylthio)butyrate</t>
  </si>
  <si>
    <t xml:space="preserve">7533</t>
  </si>
  <si>
    <t xml:space="preserve">HMDB0032259</t>
  </si>
  <si>
    <t xml:space="preserve">88307</t>
  </si>
  <si>
    <t xml:space="preserve">LMFA07010866</t>
  </si>
  <si>
    <t xml:space="preserve">54048924</t>
  </si>
  <si>
    <t xml:space="preserve">104228-51-5</t>
  </si>
  <si>
    <t xml:space="preserve">O=C(SCCCC(OCC)=O)C</t>
  </si>
  <si>
    <t xml:space="preserve">AKUUBUQNHOTPHG-UHFFFAOYSA-N</t>
  </si>
  <si>
    <t xml:space="preserve">Fatty acid esters</t>
  </si>
  <si>
    <t xml:space="preserve">189.08779</t>
  </si>
  <si>
    <t xml:space="preserve">C7H14N2O4</t>
  </si>
  <si>
    <t xml:space="preserve">Diaminopimelic acid</t>
  </si>
  <si>
    <t xml:space="preserve">2910</t>
  </si>
  <si>
    <t xml:space="preserve">HMDB0001370</t>
  </si>
  <si>
    <t xml:space="preserve">45927</t>
  </si>
  <si>
    <t xml:space="preserve">LMFA01170102</t>
  </si>
  <si>
    <t xml:space="preserve">C00666</t>
  </si>
  <si>
    <t xml:space="preserve">16026</t>
  </si>
  <si>
    <t xml:space="preserve">439283</t>
  </si>
  <si>
    <t xml:space="preserve">583-93-7</t>
  </si>
  <si>
    <t xml:space="preserve">C(=O)(O)[C@@H](N)CCC[C@H](N)C(=O)O</t>
  </si>
  <si>
    <t xml:space="preserve">GMKMEZVLHJARHF-WHFBIAKZSA-N</t>
  </si>
  <si>
    <t xml:space="preserve">189.16521</t>
  </si>
  <si>
    <t xml:space="preserve">C14H22</t>
  </si>
  <si>
    <t xml:space="preserve">2-Methyl-2-phenyl-undecane</t>
  </si>
  <si>
    <t xml:space="preserve">52464</t>
  </si>
  <si>
    <t xml:space="preserve">HMDB0013820</t>
  </si>
  <si>
    <t xml:space="preserve">85274</t>
  </si>
  <si>
    <t xml:space="preserve">89191</t>
  </si>
  <si>
    <t xml:space="preserve">9794112</t>
  </si>
  <si>
    <t xml:space="preserve">27854-40-6</t>
  </si>
  <si>
    <t xml:space="preserve">[H]C1=C([H])C([H])=C(C([H])=C1[H])C(C([H])([H])[H])(C([H])([H])[H])C([H])([H])C(C([H])([H])[H])(C([H])([H])[H])C([H])([H])[H]</t>
  </si>
  <si>
    <t xml:space="preserve">CQMDBLRKZWOZIW-UHFFFAOYSA-N</t>
  </si>
  <si>
    <t xml:space="preserve">Phenylpropanes</t>
  </si>
  <si>
    <t xml:space="preserve">190.97001</t>
  </si>
  <si>
    <t xml:space="preserve">C3H9O3PS</t>
  </si>
  <si>
    <t xml:space="preserve">O,O,S-Trimethyl phosphorothioate</t>
  </si>
  <si>
    <t xml:space="preserve">209794</t>
  </si>
  <si>
    <t xml:space="preserve">HMDB0255873</t>
  </si>
  <si>
    <t xml:space="preserve">432522</t>
  </si>
  <si>
    <t xml:space="preserve">9039</t>
  </si>
  <si>
    <t xml:space="preserve">COP(=O)(OC)SC</t>
  </si>
  <si>
    <t xml:space="preserve">WTUNGUOZHBRADH-UHFFFAOYSA-N</t>
  </si>
  <si>
    <t xml:space="preserve">Organophosphorus compounds</t>
  </si>
  <si>
    <t xml:space="preserve">Organothiophosphorus compounds</t>
  </si>
  <si>
    <t xml:space="preserve">191.02320</t>
  </si>
  <si>
    <t xml:space="preserve">C6H8N2O3</t>
  </si>
  <si>
    <t xml:space="preserve">Imidazolelactic acid; 4-Imidazolone-5-propionic acid</t>
  </si>
  <si>
    <t xml:space="preserve">47907; 47346</t>
  </si>
  <si>
    <t xml:space="preserve">HMDB0002320; HMDB0001014</t>
  </si>
  <si>
    <t xml:space="preserve">4196; 319</t>
  </si>
  <si>
    <t xml:space="preserve">C05132; C03680</t>
  </si>
  <si>
    <t xml:space="preserve">70808; 27384</t>
  </si>
  <si>
    <t xml:space="preserve">459122; 128</t>
  </si>
  <si>
    <t xml:space="preserve">876-19-7; 17340-16-8</t>
  </si>
  <si>
    <t xml:space="preserve">OC(CN1C=CN=C1)C(O)=O; OC(=O)CCC1N=CNC1=O</t>
  </si>
  <si>
    <t xml:space="preserve">JTYMXXCJQKGGFG-UHFFFAOYSA-N; HEXMLHKQVUFYME-UHFFFAOYSA-N</t>
  </si>
  <si>
    <t xml:space="preserve">Imidazoles; Imidazoles</t>
  </si>
  <si>
    <t xml:space="preserve">191.10910</t>
  </si>
  <si>
    <t xml:space="preserve">C12H16O2</t>
  </si>
  <si>
    <t xml:space="preserve">2-Phenylethyl butanoate</t>
  </si>
  <si>
    <t xml:space="preserve">58934</t>
  </si>
  <si>
    <t xml:space="preserve">HMDB0035014</t>
  </si>
  <si>
    <t xml:space="preserve">90374</t>
  </si>
  <si>
    <t xml:space="preserve">87413</t>
  </si>
  <si>
    <t xml:space="preserve">7658</t>
  </si>
  <si>
    <t xml:space="preserve">103-52-6</t>
  </si>
  <si>
    <t xml:space="preserve">CCCC(=O)OCCC1=CC=CC=C1</t>
  </si>
  <si>
    <t xml:space="preserve">WFNDDSQUKATKNX-UHFFFAOYSA-N</t>
  </si>
  <si>
    <t xml:space="preserve">191.18214</t>
  </si>
  <si>
    <t xml:space="preserve">C14H24</t>
  </si>
  <si>
    <t xml:space="preserve">1-Acetyl-2-methylcyclopentene</t>
  </si>
  <si>
    <t xml:space="preserve">83354</t>
  </si>
  <si>
    <t xml:space="preserve">HMDB0061832</t>
  </si>
  <si>
    <t xml:space="preserve">572165</t>
  </si>
  <si>
    <t xml:space="preserve">CC1CC(CC(C1C)C(C)=C)C(C)=C</t>
  </si>
  <si>
    <t xml:space="preserve">PLHCNOGRIXPXHK-UHFFFAOYSA-N</t>
  </si>
  <si>
    <t xml:space="preserve">192.99510</t>
  </si>
  <si>
    <t xml:space="preserve">C7H8O3S</t>
  </si>
  <si>
    <t xml:space="preserve">p-Toluenesulfonic acid</t>
  </si>
  <si>
    <t xml:space="preserve">81952</t>
  </si>
  <si>
    <t xml:space="preserve">HMDB0059933</t>
  </si>
  <si>
    <t xml:space="preserve">C06677</t>
  </si>
  <si>
    <t xml:space="preserve">27849</t>
  </si>
  <si>
    <t xml:space="preserve">6101</t>
  </si>
  <si>
    <t xml:space="preserve">104-15-4</t>
  </si>
  <si>
    <t xml:space="preserve">CC1=CC=C(C=C1)S(O)(=O)=O</t>
  </si>
  <si>
    <t xml:space="preserve">JOXIMZWYDAKGHI-UHFFFAOYSA-N</t>
  </si>
  <si>
    <t xml:space="preserve">Benzenesulfonic acids and derivatives</t>
  </si>
  <si>
    <t xml:space="preserve">193.03335</t>
  </si>
  <si>
    <t xml:space="preserve">C10H10O2S</t>
  </si>
  <si>
    <t xml:space="preserve">Bis(2-furanylmethyl) sulfide</t>
  </si>
  <si>
    <t xml:space="preserve">64585</t>
  </si>
  <si>
    <t xml:space="preserve">HMDB0041503</t>
  </si>
  <si>
    <t xml:space="preserve">95888</t>
  </si>
  <si>
    <t xml:space="preserve">61659</t>
  </si>
  <si>
    <t xml:space="preserve">13678-67-6</t>
  </si>
  <si>
    <t xml:space="preserve">C(SCC1=CC=CO1)C1=CC=CO1</t>
  </si>
  <si>
    <t xml:space="preserve">UYLKDZXJEKFFHJ-UHFFFAOYSA-N</t>
  </si>
  <si>
    <t xml:space="preserve">193.08481</t>
  </si>
  <si>
    <t xml:space="preserve">C6H14N4O</t>
  </si>
  <si>
    <t xml:space="preserve">2-[(4S)-4-Amino-5-oxopentyl]guanidine</t>
  </si>
  <si>
    <t xml:space="preserve">203650</t>
  </si>
  <si>
    <t xml:space="preserve">HMDB0248581</t>
  </si>
  <si>
    <t xml:space="preserve">19919009</t>
  </si>
  <si>
    <t xml:space="preserve">NC(CCCN=C(N)N)C=O</t>
  </si>
  <si>
    <t xml:space="preserve">QJYRUYURLPTHLR-UHFFFAOYSA-N</t>
  </si>
  <si>
    <t xml:space="preserve">Guanidines</t>
  </si>
  <si>
    <t xml:space="preserve">193.98523</t>
  </si>
  <si>
    <t xml:space="preserve">C4H8NO7P</t>
  </si>
  <si>
    <t xml:space="preserve">L-Aspartyl-4-phosphate</t>
  </si>
  <si>
    <t xml:space="preserve">51944</t>
  </si>
  <si>
    <t xml:space="preserve">HMDB0012250</t>
  </si>
  <si>
    <t xml:space="preserve">360</t>
  </si>
  <si>
    <t xml:space="preserve">C03082</t>
  </si>
  <si>
    <t xml:space="preserve">15836</t>
  </si>
  <si>
    <t xml:space="preserve">152441</t>
  </si>
  <si>
    <t xml:space="preserve">22138-53-0</t>
  </si>
  <si>
    <t xml:space="preserve">N[C@@H](CC(=O)OP(O)(O)=O)C(O)=O</t>
  </si>
  <si>
    <t xml:space="preserve">IXZNKTPIYKDIGG-REOHCLBHSA-N</t>
  </si>
  <si>
    <t xml:space="preserve">194.08596</t>
  </si>
  <si>
    <t xml:space="preserve">C10H13NO3</t>
  </si>
  <si>
    <t xml:space="preserve">2-Phenyl-1,3-propanediol monocarbamate</t>
  </si>
  <si>
    <t xml:space="preserve">82262</t>
  </si>
  <si>
    <t xml:space="preserve">HMDB0060351</t>
  </si>
  <si>
    <t xml:space="preserve">C16586</t>
  </si>
  <si>
    <t xml:space="preserve">80585</t>
  </si>
  <si>
    <t xml:space="preserve">213060</t>
  </si>
  <si>
    <t xml:space="preserve">OCC(COC(O)=N)C1=CC=CC=C1</t>
  </si>
  <si>
    <t xml:space="preserve">JQVQIZWJBLGVRW-UHFFFAOYSA-N</t>
  </si>
  <si>
    <t xml:space="preserve">194.94913</t>
  </si>
  <si>
    <t xml:space="preserve">C6H3ClO4</t>
  </si>
  <si>
    <t xml:space="preserve">cis-2-Chloro-4-carboxymethylenebut-2-en-1,4-olide</t>
  </si>
  <si>
    <t xml:space="preserve">82350</t>
  </si>
  <si>
    <t xml:space="preserve">HMDB0060455</t>
  </si>
  <si>
    <t xml:space="preserve">38122</t>
  </si>
  <si>
    <t xml:space="preserve">190225</t>
  </si>
  <si>
    <t xml:space="preserve">OC(=O)C=C1OC(=O)C(Cl)=C1</t>
  </si>
  <si>
    <t xml:space="preserve">ADSGHWJRPOXXTD-UHFFFAOYSA-N</t>
  </si>
  <si>
    <t xml:space="preserve">195.05412</t>
  </si>
  <si>
    <t xml:space="preserve">C8H8NO2</t>
  </si>
  <si>
    <t xml:space="preserve">Aminochrome o-semiquinone</t>
  </si>
  <si>
    <t xml:space="preserve">82211</t>
  </si>
  <si>
    <t xml:space="preserve">HMDB0060279</t>
  </si>
  <si>
    <t xml:space="preserve">131769908</t>
  </si>
  <si>
    <t xml:space="preserve">[O]C1=C(O)C=C2NCCC2=C1</t>
  </si>
  <si>
    <t xml:space="preserve">SUOKBNMHVMNQDG-UHFFFAOYSA-N</t>
  </si>
  <si>
    <t xml:space="preserve">195.10337</t>
  </si>
  <si>
    <t xml:space="preserve">C11H16O3</t>
  </si>
  <si>
    <t xml:space="preserve">Isobutyl 2-furanpropionate; 2,6-Dimethoxy-4-propylphenol</t>
  </si>
  <si>
    <t xml:space="preserve">7575; 60001</t>
  </si>
  <si>
    <t xml:space="preserve">HMDB0037734; HMDB0036226</t>
  </si>
  <si>
    <t xml:space="preserve">92557; 91372</t>
  </si>
  <si>
    <t xml:space="preserve">LMFA07010915; </t>
  </si>
  <si>
    <t xml:space="preserve">7733; 524975</t>
  </si>
  <si>
    <t xml:space="preserve">105-01-1; 6766-82-1</t>
  </si>
  <si>
    <t xml:space="preserve">O(CC(C)C)C(=O)CCC1=CC=CO1; CCCC1=CC(OC)=C(O)C(OC)=C1</t>
  </si>
  <si>
    <t xml:space="preserve">SVDPTFHRRNUNRS-UHFFFAOYSA-N; YHEWWEXPVKCVFY-UHFFFAOYSA-N</t>
  </si>
  <si>
    <t xml:space="preserve">Lipids and lipid-like molecules; Benzenoids</t>
  </si>
  <si>
    <t xml:space="preserve">Fatty Acyls; Phenols</t>
  </si>
  <si>
    <t xml:space="preserve">Fatty acid esters; Methoxyphenols</t>
  </si>
  <si>
    <t xml:space="preserve">195.14216</t>
  </si>
  <si>
    <t xml:space="preserve">C12H20O2</t>
  </si>
  <si>
    <t xml:space="preserve">alpha-Terpineol acetate</t>
  </si>
  <si>
    <t xml:space="preserve">35391</t>
  </si>
  <si>
    <t xml:space="preserve">HMDB0032051</t>
  </si>
  <si>
    <t xml:space="preserve">LMPR0102090045</t>
  </si>
  <si>
    <t xml:space="preserve">C12300</t>
  </si>
  <si>
    <t xml:space="preserve">111037</t>
  </si>
  <si>
    <t xml:space="preserve">10581-37-0</t>
  </si>
  <si>
    <t xml:space="preserve">C1C(=CCC(C1)C(OC(C)=O)(C)C)C</t>
  </si>
  <si>
    <t xml:space="preserve">IGODOXYLBBXFDW-UHFFFAOYSA-N</t>
  </si>
  <si>
    <t xml:space="preserve">196.98675</t>
  </si>
  <si>
    <t xml:space="preserve">C4H7O7P</t>
  </si>
  <si>
    <t xml:space="preserve">Dihydroxyacetone Phosphate Acyl Ester</t>
  </si>
  <si>
    <t xml:space="preserve">51515</t>
  </si>
  <si>
    <t xml:space="preserve">HMDB0011750</t>
  </si>
  <si>
    <t xml:space="preserve">62468</t>
  </si>
  <si>
    <t xml:space="preserve">C03372</t>
  </si>
  <si>
    <t xml:space="preserve">15835</t>
  </si>
  <si>
    <t xml:space="preserve">6857386</t>
  </si>
  <si>
    <t xml:space="preserve">OP(O)(=O)OCC(=O)COC=O</t>
  </si>
  <si>
    <t xml:space="preserve">IWFZHMQFZRLGDQ-UHFFFAOYSA-N</t>
  </si>
  <si>
    <t xml:space="preserve">197.08399</t>
  </si>
  <si>
    <t xml:space="preserve">C11H10N4</t>
  </si>
  <si>
    <t xml:space="preserve">2-Amino-3-methylimidazo[4,5-f]quinoline</t>
  </si>
  <si>
    <t xml:space="preserve">54606</t>
  </si>
  <si>
    <t xml:space="preserve">HMDB0029706</t>
  </si>
  <si>
    <t xml:space="preserve">72911</t>
  </si>
  <si>
    <t xml:space="preserve">C19180</t>
  </si>
  <si>
    <t xml:space="preserve">42725</t>
  </si>
  <si>
    <t xml:space="preserve">53462</t>
  </si>
  <si>
    <t xml:space="preserve">76180-96-6</t>
  </si>
  <si>
    <t xml:space="preserve">CN1C(N)=NC2=C1C=CC1=NC=CC=C21</t>
  </si>
  <si>
    <t xml:space="preserve">ARZWATDYIYAUTA-UHFFFAOYSA-N</t>
  </si>
  <si>
    <t xml:space="preserve">Quinolines and derivatives</t>
  </si>
  <si>
    <t xml:space="preserve">197.12092</t>
  </si>
  <si>
    <t xml:space="preserve">C11H18O3</t>
  </si>
  <si>
    <t xml:space="preserve">4-(4-Methylcyclohexyl)-4-oxobutanoic acid</t>
  </si>
  <si>
    <t xml:space="preserve">208044</t>
  </si>
  <si>
    <t xml:space="preserve">HMDB0253742</t>
  </si>
  <si>
    <t xml:space="preserve">6919096</t>
  </si>
  <si>
    <t xml:space="preserve">CC1CCC(CC1)C(=O)CCC(O)=O</t>
  </si>
  <si>
    <t xml:space="preserve">JOWMTYWOBJALGB-UHFFFAOYSA-N</t>
  </si>
  <si>
    <t xml:space="preserve">Gamma-keto acids and derivatives</t>
  </si>
  <si>
    <t xml:space="preserve">198.07822</t>
  </si>
  <si>
    <t xml:space="preserve">C10H9N5</t>
  </si>
  <si>
    <t xml:space="preserve">3-Methyl-3H-imidazo[4,5-f]quinoxalin-2-amine</t>
  </si>
  <si>
    <t xml:space="preserve">63610</t>
  </si>
  <si>
    <t xml:space="preserve">HMDB0040443</t>
  </si>
  <si>
    <t xml:space="preserve">94946</t>
  </si>
  <si>
    <t xml:space="preserve">105041</t>
  </si>
  <si>
    <t xml:space="preserve">108354-47-8</t>
  </si>
  <si>
    <t xml:space="preserve">CN1C(N)=NC2=C1C=CC1=C2N=CC=N1</t>
  </si>
  <si>
    <t xml:space="preserve">HKZZYGFWIFKKIR-UHFFFAOYSA-N</t>
  </si>
  <si>
    <t xml:space="preserve">198.12460</t>
  </si>
  <si>
    <t xml:space="preserve">C9H19N3O3</t>
  </si>
  <si>
    <t xml:space="preserve">Gamma-glutamyl-L-putrescine</t>
  </si>
  <si>
    <t xml:space="preserve">51927</t>
  </si>
  <si>
    <t xml:space="preserve">HMDB0012230</t>
  </si>
  <si>
    <t xml:space="preserve">62876</t>
  </si>
  <si>
    <t xml:space="preserve">C15699</t>
  </si>
  <si>
    <t xml:space="preserve">48005</t>
  </si>
  <si>
    <t xml:space="preserve">20841830</t>
  </si>
  <si>
    <t xml:space="preserve">NCCCCNC(=O)CC[C@H](N)C(O)=O</t>
  </si>
  <si>
    <t xml:space="preserve">WKGTVHGVLRCTCF-ZETCQYMHSA-N</t>
  </si>
  <si>
    <t xml:space="preserve">199.00374</t>
  </si>
  <si>
    <t xml:space="preserve">C6H4N4O2</t>
  </si>
  <si>
    <t xml:space="preserve">Lumazine</t>
  </si>
  <si>
    <t xml:space="preserve">208375</t>
  </si>
  <si>
    <t xml:space="preserve">HMDB0254198</t>
  </si>
  <si>
    <t xml:space="preserve">44770</t>
  </si>
  <si>
    <t xml:space="preserve">C03212</t>
  </si>
  <si>
    <t xml:space="preserve">16489</t>
  </si>
  <si>
    <t xml:space="preserve">10250</t>
  </si>
  <si>
    <t xml:space="preserve">487-21-8</t>
  </si>
  <si>
    <t xml:space="preserve">O=C1NC(=O)C2=NC=CNC2=N1</t>
  </si>
  <si>
    <t xml:space="preserve">UYEUUXMDVNYCAM-UHFFFAOYSA-N</t>
  </si>
  <si>
    <t xml:space="preserve">199.10091</t>
  </si>
  <si>
    <t xml:space="preserve">C10H16N2</t>
  </si>
  <si>
    <t xml:space="preserve">2,5-Diethyl-3,6-dimethylpyrazine; 2,3-Diethyl-5,6-dimethylpyrazine; 2,6-Diethyl-3,5-dimethylpyrazine</t>
  </si>
  <si>
    <t xml:space="preserve">63212; 63213; 63214</t>
  </si>
  <si>
    <t xml:space="preserve">HMDB0039979; HMDB0039980; HMDB0039981</t>
  </si>
  <si>
    <t xml:space="preserve">94520; 94521; 94522</t>
  </si>
  <si>
    <t xml:space="preserve">12669071; 182198; 22152543</t>
  </si>
  <si>
    <t xml:space="preserve">18903-30-5; 106060-96-2; 18940-74-4</t>
  </si>
  <si>
    <t xml:space="preserve">CCC1=NC(C)=C(CC)N=C1C; CCC1=C(CC)N=C(C)C(C)=N1; CCC1=NC(CC)=C(C)N=C1C</t>
  </si>
  <si>
    <t xml:space="preserve">WOKWCTYNOKUPRA-UHFFFAOYSA-N; YAGSHZPMYHTMPZ-UHFFFAOYSA-N; LQIGIQZSHAYEKN-UHFFFAOYSA-N</t>
  </si>
  <si>
    <t xml:space="preserve">199.13653</t>
  </si>
  <si>
    <t xml:space="preserve">C10H18O</t>
  </si>
  <si>
    <t xml:space="preserve">alpha-Terpineol; Geraniol; beta-Geraniol</t>
  </si>
  <si>
    <t xml:space="preserve">35374; 35248; 35254</t>
  </si>
  <si>
    <t xml:space="preserve">HMDB0004043; HMDB0005812; HMDB0035155</t>
  </si>
  <si>
    <t xml:space="preserve">; 41105; 41060</t>
  </si>
  <si>
    <t xml:space="preserve">LMPR0102090028; LMPR0102010010; LMPR0102010016</t>
  </si>
  <si>
    <t xml:space="preserve">C09902; C09871; C01500</t>
  </si>
  <si>
    <t xml:space="preserve">300; 29452; 17447</t>
  </si>
  <si>
    <t xml:space="preserve">442501; 643820; 637566</t>
  </si>
  <si>
    <t xml:space="preserve">7785-53-7; 106-25-2; 106-24-1</t>
  </si>
  <si>
    <t xml:space="preserve">C(O)(C)(C)[C@H]1CC=C(C)CC1; C(/C)(=C\CO)\CC/C=C(\C)/C; OC/C=C(\C)/CC/C=C(\C)/C</t>
  </si>
  <si>
    <t xml:space="preserve">WUOACPNHFRMFPN-VIFPVBQESA-N; GLZPCOQZEFWAFX-YFHOEESVSA-N; GLZPCOQZEFWAFX-JXMROGBWSA-N</t>
  </si>
  <si>
    <t xml:space="preserve">199.93996</t>
  </si>
  <si>
    <t xml:space="preserve">C4H5NO4S</t>
  </si>
  <si>
    <t xml:space="preserve">Acesulfame</t>
  </si>
  <si>
    <t xml:space="preserve">57801</t>
  </si>
  <si>
    <t xml:space="preserve">HMDB0033585</t>
  </si>
  <si>
    <t xml:space="preserve">319828</t>
  </si>
  <si>
    <t xml:space="preserve">83501</t>
  </si>
  <si>
    <t xml:space="preserve">36573</t>
  </si>
  <si>
    <t xml:space="preserve">33665-90-6</t>
  </si>
  <si>
    <t xml:space="preserve">CC1=CC(=O)NS(=O)(=O)O1</t>
  </si>
  <si>
    <t xml:space="preserve">YGCFIWIQZPHFLU-UHFFFAOYSA-N</t>
  </si>
  <si>
    <t xml:space="preserve">200.01496</t>
  </si>
  <si>
    <t xml:space="preserve">C9H9NOS</t>
  </si>
  <si>
    <t xml:space="preserve">1-(Isothiocyanatomethyl)-4-methoxybenzene</t>
  </si>
  <si>
    <t xml:space="preserve">56873</t>
  </si>
  <si>
    <t xml:space="preserve">HMDB0032581</t>
  </si>
  <si>
    <t xml:space="preserve">88542</t>
  </si>
  <si>
    <t xml:space="preserve">123197</t>
  </si>
  <si>
    <t xml:space="preserve">3694-57-3</t>
  </si>
  <si>
    <t xml:space="preserve">COC1=CC=C(CN=C=S)C=C1</t>
  </si>
  <si>
    <t xml:space="preserve">IMFQYAJJXFXVMM-UHFFFAOYSA-N</t>
  </si>
  <si>
    <t xml:space="preserve">Anisoles</t>
  </si>
  <si>
    <t xml:space="preserve">200.05869</t>
  </si>
  <si>
    <t xml:space="preserve">C9H17NOS2</t>
  </si>
  <si>
    <t xml:space="preserve">1-Isothiocyanato-7-(methylsulfinyl)heptane</t>
  </si>
  <si>
    <t xml:space="preserve">61828</t>
  </si>
  <si>
    <t xml:space="preserve">HMDB0038441</t>
  </si>
  <si>
    <t xml:space="preserve">93132</t>
  </si>
  <si>
    <t xml:space="preserve">138800</t>
  </si>
  <si>
    <t xml:space="preserve">9837367</t>
  </si>
  <si>
    <t xml:space="preserve">129244-98-0</t>
  </si>
  <si>
    <t xml:space="preserve">CS(=O)CCCCCCCN=C=S</t>
  </si>
  <si>
    <t xml:space="preserve">OGYHCBGORZWBPH-UHFFFAOYSA-N</t>
  </si>
  <si>
    <t xml:space="preserve">Sulfoxides</t>
  </si>
  <si>
    <t xml:space="preserve">200.13781</t>
  </si>
  <si>
    <t xml:space="preserve">C9H21N3O3</t>
  </si>
  <si>
    <t xml:space="preserve">Grotan</t>
  </si>
  <si>
    <t xml:space="preserve">199137</t>
  </si>
  <si>
    <t xml:space="preserve">HMDB0243492</t>
  </si>
  <si>
    <t xml:space="preserve">104556</t>
  </si>
  <si>
    <t xml:space="preserve">OCCN1CN(CCO)CN(CCO)C1</t>
  </si>
  <si>
    <t xml:space="preserve">HUHGPYXAVBJSJV-UHFFFAOYSA-N</t>
  </si>
  <si>
    <t xml:space="preserve">Triazinanes</t>
  </si>
  <si>
    <t xml:space="preserve">1,3,5-triazinanes</t>
  </si>
  <si>
    <t xml:space="preserve">201.03967</t>
  </si>
  <si>
    <t xml:space="preserve">C6H14O3S</t>
  </si>
  <si>
    <t xml:space="preserve">Hexanesulfonic acid</t>
  </si>
  <si>
    <t xml:space="preserve">207524</t>
  </si>
  <si>
    <t xml:space="preserve">HMDB0253146</t>
  </si>
  <si>
    <t xml:space="preserve">49937</t>
  </si>
  <si>
    <t xml:space="preserve">CCCCCCS(O)(=O)=O</t>
  </si>
  <si>
    <t xml:space="preserve">FYAQQULBLMNGAH-UHFFFAOYSA-N</t>
  </si>
  <si>
    <t xml:space="preserve">201.08676</t>
  </si>
  <si>
    <t xml:space="preserve">C8H14N2O4</t>
  </si>
  <si>
    <t xml:space="preserve">Serylproline; Hydroxyprolyl-Alanine; Prolyl-Serine</t>
  </si>
  <si>
    <t xml:space="preserve">54058; 53883; 54037</t>
  </si>
  <si>
    <t xml:space="preserve">HMDB0029047; HMDB0028856; HMDB0029026</t>
  </si>
  <si>
    <t xml:space="preserve">23688; 85765; </t>
  </si>
  <si>
    <t xml:space="preserve">74820; ; </t>
  </si>
  <si>
    <t xml:space="preserve">4369021; 61156985; 18218236</t>
  </si>
  <si>
    <t xml:space="preserve">23827-93-2; ; </t>
  </si>
  <si>
    <t xml:space="preserve">N[C@@H](CO)C(=O)N1CCC[C@H]1C(O)=O; CC(NC(=O)C1CC(O)CN1)C(O)=O; OCC(NC(=O)C1CCCN1)C(O)=O</t>
  </si>
  <si>
    <t xml:space="preserve">WBAXJMCUFIXCNI-WDSKDSINSA-N; PHMGRHJWVYZMPA-UHFFFAOYSA-N; AFWBWPCXSWUCLB-UHFFFAOYSA-N</t>
  </si>
  <si>
    <t xml:space="preserve">201.11561</t>
  </si>
  <si>
    <t xml:space="preserve">C11H16N4O</t>
  </si>
  <si>
    <t xml:space="preserve">Lidamidine</t>
  </si>
  <si>
    <t xml:space="preserve">208283</t>
  </si>
  <si>
    <t xml:space="preserve">HMDB0254081</t>
  </si>
  <si>
    <t xml:space="preserve">323215</t>
  </si>
  <si>
    <t xml:space="preserve">47510</t>
  </si>
  <si>
    <t xml:space="preserve">CNC(=N)NC(O)=NC1=C(C)C=CC=C1C</t>
  </si>
  <si>
    <t xml:space="preserve">RRHJHSBDJDZUGL-UHFFFAOYSA-N</t>
  </si>
  <si>
    <t xml:space="preserve">N-phenylureas</t>
  </si>
  <si>
    <t xml:space="preserve">202.01099</t>
  </si>
  <si>
    <t xml:space="preserve">C4H3N3O4</t>
  </si>
  <si>
    <t xml:space="preserve">Oxonic Acid</t>
  </si>
  <si>
    <t xml:space="preserve">209901</t>
  </si>
  <si>
    <t xml:space="preserve">HMDB0255998</t>
  </si>
  <si>
    <t xml:space="preserve">320732</t>
  </si>
  <si>
    <t xml:space="preserve">30863</t>
  </si>
  <si>
    <t xml:space="preserve">4604</t>
  </si>
  <si>
    <t xml:space="preserve">OC(=O)C1=NC(=O)NC(=O)N1</t>
  </si>
  <si>
    <t xml:space="preserve">RYYCJUAHISIHTL-UHFFFAOYSA-N</t>
  </si>
  <si>
    <t xml:space="preserve">Triazines</t>
  </si>
  <si>
    <t xml:space="preserve">Triazinones</t>
  </si>
  <si>
    <t xml:space="preserve">202.11139</t>
  </si>
  <si>
    <t xml:space="preserve">C10H13N5</t>
  </si>
  <si>
    <t xml:space="preserve">N-(3-Methylbut-2-EN-1-YL)-9H-purin-6-amine</t>
  </si>
  <si>
    <t xml:space="preserve">201056</t>
  </si>
  <si>
    <t xml:space="preserve">HMDB0245646</t>
  </si>
  <si>
    <t xml:space="preserve">6612</t>
  </si>
  <si>
    <t xml:space="preserve">C04083</t>
  </si>
  <si>
    <t xml:space="preserve">17660</t>
  </si>
  <si>
    <t xml:space="preserve">92180</t>
  </si>
  <si>
    <t xml:space="preserve">2365-40-4</t>
  </si>
  <si>
    <t xml:space="preserve">CC(C)=CCNC1=NC=NC2=C1N=CN2</t>
  </si>
  <si>
    <t xml:space="preserve">HYVABZIGRDEKCD-UHFFFAOYSA-N</t>
  </si>
  <si>
    <t xml:space="preserve">203.02464</t>
  </si>
  <si>
    <t xml:space="preserve">C7H8N2O3</t>
  </si>
  <si>
    <t xml:space="preserve">2-Pyrroloylglycine; 2,3-Diaminosalicylic acid</t>
  </si>
  <si>
    <t xml:space="preserve">81820; 52197</t>
  </si>
  <si>
    <t xml:space="preserve">HMDB0059778; HMDB0013159</t>
  </si>
  <si>
    <t xml:space="preserve">; 88769</t>
  </si>
  <si>
    <t xml:space="preserve">21126202; 53481699</t>
  </si>
  <si>
    <t xml:space="preserve">98276-81-4; </t>
  </si>
  <si>
    <t xml:space="preserve">OC(=O)CNC(=O)C1=CC=CN1; NC1=CC=C(O)C(C(O)=O)=C1N</t>
  </si>
  <si>
    <t xml:space="preserve">GCBXCOXVQXMSOS-UHFFFAOYSA-N; CGKSFNAGRBJNJO-UHFFFAOYSA-N</t>
  </si>
  <si>
    <t xml:space="preserve">Organic acids and derivatives; Benzenoids</t>
  </si>
  <si>
    <t xml:space="preserve">Carboxylic acids and derivatives; Benzene and substituted derivatives</t>
  </si>
  <si>
    <t xml:space="preserve">Amino acids, peptides, and analogues; Benzoic acids and derivatives</t>
  </si>
  <si>
    <t xml:space="preserve">203.07957</t>
  </si>
  <si>
    <t xml:space="preserve">C9H14N2O2</t>
  </si>
  <si>
    <t xml:space="preserve">4-Azaspiro[bicyclo[2.2.2]octane-2,2'-[1,4]oxazolidine]-5'-one; Alaptide</t>
  </si>
  <si>
    <t xml:space="preserve">200264; 203259</t>
  </si>
  <si>
    <t xml:space="preserve">HMDB0244796; HMDB0248111</t>
  </si>
  <si>
    <t xml:space="preserve">; 351987</t>
  </si>
  <si>
    <t xml:space="preserve">9852730; 541931</t>
  </si>
  <si>
    <t xml:space="preserve">O=C1NCC2(CN3CCC2CC3)O1; CC1NC(=O)C2(CCCC2)NC1=O</t>
  </si>
  <si>
    <t xml:space="preserve">TYAGAVRSOFABFO-UHFFFAOYSA-N; LTRSPDHUDXWHRY-UHFFFAOYSA-N</t>
  </si>
  <si>
    <t xml:space="preserve">Organoheterocyclic compounds; Organic acids and derivatives</t>
  </si>
  <si>
    <t xml:space="preserve">Azaspirodecane derivatives; Carboxylic acids and derivatives</t>
  </si>
  <si>
    <t xml:space="preserve">Unclassified; Amino acids, peptides, and analogues</t>
  </si>
  <si>
    <t xml:space="preserve">203.09934</t>
  </si>
  <si>
    <t xml:space="preserve">C2H6N4O</t>
  </si>
  <si>
    <t xml:space="preserve">N-Methyl-N'-nitrosoguanidine</t>
  </si>
  <si>
    <t xml:space="preserve">209199</t>
  </si>
  <si>
    <t xml:space="preserve">HMDB0255182</t>
  </si>
  <si>
    <t xml:space="preserve">424339</t>
  </si>
  <si>
    <t xml:space="preserve">95720</t>
  </si>
  <si>
    <t xml:space="preserve">CN=C(N)NN=O</t>
  </si>
  <si>
    <t xml:space="preserve">DMSDCBKFWUBTKX-UHFFFAOYSA-N</t>
  </si>
  <si>
    <t xml:space="preserve">Organic nitroso compounds</t>
  </si>
  <si>
    <t xml:space="preserve">203.18375</t>
  </si>
  <si>
    <t xml:space="preserve">C15H24</t>
  </si>
  <si>
    <t xml:space="preserve">(Z)-2,6,10-Bisabolatriene; trans-beta-Farnesene; alpha-Humulene</t>
  </si>
  <si>
    <t xml:space="preserve">35514; 9154; 35564</t>
  </si>
  <si>
    <t xml:space="preserve">HMDB0036154; HMDB0062763; HMDB0036467</t>
  </si>
  <si>
    <t xml:space="preserve">53375; 316880; 43510</t>
  </si>
  <si>
    <t xml:space="preserve">LMPR0103060005; LMFA11000040; LMPR0103110001</t>
  </si>
  <si>
    <t xml:space="preserve">C19748; C09666; C09684</t>
  </si>
  <si>
    <t xml:space="preserve">49239; 10418; 5768</t>
  </si>
  <si>
    <t xml:space="preserve">5352437; 5281517; 5281520</t>
  </si>
  <si>
    <t xml:space="preserve">13062-00-5; 18794-84-8; 6753-98-6</t>
  </si>
  <si>
    <t xml:space="preserve">C1C/C(/CC=C1C)=C(/C)\CC/C=C(/C)\C; C=CC(=C)CC/C=C(\C)/CC/C=C(\C)/C; C1C(C)(C)CC=C(C)CCC=C(C)CC=1</t>
  </si>
  <si>
    <t xml:space="preserve">XBGUIVFBMBVUEG-PFONDFGASA-N; JSNRRGGBADWTMC-NTCAYCPXSA-N; FAMPSKZZVDUYOS-HRGUGZIWSA-N</t>
  </si>
  <si>
    <t xml:space="preserve">Sesquiterpenoids; Sesquiterpenoids; Sesquiterpenoids</t>
  </si>
  <si>
    <t xml:space="preserve">205.01998</t>
  </si>
  <si>
    <t xml:space="preserve">C7H10N2OS</t>
  </si>
  <si>
    <t xml:space="preserve">Propylthiouracil</t>
  </si>
  <si>
    <t xml:space="preserve">52885</t>
  </si>
  <si>
    <t xml:space="preserve">HMDB0014690</t>
  </si>
  <si>
    <t xml:space="preserve">2177</t>
  </si>
  <si>
    <t xml:space="preserve">C07569</t>
  </si>
  <si>
    <t xml:space="preserve">8502</t>
  </si>
  <si>
    <t xml:space="preserve">657298</t>
  </si>
  <si>
    <t xml:space="preserve">51-52-5</t>
  </si>
  <si>
    <t xml:space="preserve">CCCC1=CC(=O)NC(=S)N1</t>
  </si>
  <si>
    <t xml:space="preserve">KNAHARQHSZJURB-UHFFFAOYSA-N</t>
  </si>
  <si>
    <t xml:space="preserve">205.05342</t>
  </si>
  <si>
    <t xml:space="preserve">C11H10N2</t>
  </si>
  <si>
    <t xml:space="preserve">2-Amino-5-phenylpyridine</t>
  </si>
  <si>
    <t xml:space="preserve">54644</t>
  </si>
  <si>
    <t xml:space="preserve">HMDB0029747</t>
  </si>
  <si>
    <t xml:space="preserve">86463</t>
  </si>
  <si>
    <t xml:space="preserve">105097</t>
  </si>
  <si>
    <t xml:space="preserve">33421-40-8</t>
  </si>
  <si>
    <t xml:space="preserve">NC1=NC=C(C=C1)C1=CC=CC=C1</t>
  </si>
  <si>
    <t xml:space="preserve">OAPVIBHQRYFYSE-UHFFFAOYSA-N</t>
  </si>
  <si>
    <t xml:space="preserve">Phenylpyridines</t>
  </si>
  <si>
    <t xml:space="preserve">205.16185</t>
  </si>
  <si>
    <t xml:space="preserve">C14H22O</t>
  </si>
  <si>
    <t xml:space="preserve">4-(1,1,3,3-Tetramethylbutyl)-phenol; alpha-Irone</t>
  </si>
  <si>
    <t xml:space="preserve">52466; 59489</t>
  </si>
  <si>
    <t xml:space="preserve">HMDB0013825; HMDB0035631</t>
  </si>
  <si>
    <t xml:space="preserve">69877; 67886</t>
  </si>
  <si>
    <t xml:space="preserve">C14205; C09690</t>
  </si>
  <si>
    <t xml:space="preserve">; 10284</t>
  </si>
  <si>
    <t xml:space="preserve">8814; 5371002</t>
  </si>
  <si>
    <t xml:space="preserve">140-66-9; 79-69-6</t>
  </si>
  <si>
    <t xml:space="preserve">CC(C)(C)CC(C)(C)C1=CC=C(O)C=C1; CC1CC=C(C)C(\C=C\C(C)=O)C1(C)C</t>
  </si>
  <si>
    <t xml:space="preserve">ISAVYTVYFVQUDY-UHFFFAOYSA-N; JZQOJFLIJNRDHK-CMDGGOBGSA-N</t>
  </si>
  <si>
    <t xml:space="preserve">Benzenoids; Lipids and lipid-like molecules</t>
  </si>
  <si>
    <t xml:space="preserve">Benzene and substituted derivatives; Prenol lipids</t>
  </si>
  <si>
    <t xml:space="preserve">Phenylpropanes; Sesquiterpenoids</t>
  </si>
  <si>
    <t xml:space="preserve">205.19811</t>
  </si>
  <si>
    <t xml:space="preserve">C15H26</t>
  </si>
  <si>
    <t xml:space="preserve">1,1,2-Trimethyl-3,5-bis(1-methylethenyl)cyclohexane</t>
  </si>
  <si>
    <t xml:space="preserve">83307</t>
  </si>
  <si>
    <t xml:space="preserve">HMDB0061780</t>
  </si>
  <si>
    <t xml:space="preserve">90061</t>
  </si>
  <si>
    <t xml:space="preserve">535217</t>
  </si>
  <si>
    <t xml:space="preserve">CC1C(CC(CC1(C)C)C(C)=C)C(C)=C</t>
  </si>
  <si>
    <t xml:space="preserve">JGZYEZBCFOHEEC-UHFFFAOYSA-N</t>
  </si>
  <si>
    <t xml:space="preserve">206.94932</t>
  </si>
  <si>
    <t xml:space="preserve">C7H4Cl2N2</t>
  </si>
  <si>
    <t xml:space="preserve">5,6-Dichloro-1H-benzimidazole</t>
  </si>
  <si>
    <t xml:space="preserve">202435</t>
  </si>
  <si>
    <t xml:space="preserve">HMDB0247168</t>
  </si>
  <si>
    <t xml:space="preserve">351199</t>
  </si>
  <si>
    <t xml:space="preserve">331775</t>
  </si>
  <si>
    <t xml:space="preserve">ClC1=C(Cl)C=C2N=CNC2=C1</t>
  </si>
  <si>
    <t xml:space="preserve">IPRDZAMUYMOJTA-UHFFFAOYSA-N</t>
  </si>
  <si>
    <t xml:space="preserve">Benzimidazoles</t>
  </si>
  <si>
    <t xml:space="preserve">207.01435</t>
  </si>
  <si>
    <t xml:space="preserve">C6H8O8</t>
  </si>
  <si>
    <t xml:space="preserve">Garcinia acid</t>
  </si>
  <si>
    <t xml:space="preserve">55769</t>
  </si>
  <si>
    <t xml:space="preserve">HMDB0031159</t>
  </si>
  <si>
    <t xml:space="preserve">84968</t>
  </si>
  <si>
    <t xml:space="preserve">123908</t>
  </si>
  <si>
    <t xml:space="preserve">27750-10-3</t>
  </si>
  <si>
    <t xml:space="preserve">OC(C(O)=O)C(O)(CC(O)=O)C(O)=O</t>
  </si>
  <si>
    <t xml:space="preserve">ZMJBYMUCKBYSCP-UHFFFAOYSA-N</t>
  </si>
  <si>
    <t xml:space="preserve">Tricarboxylic acids and derivatives</t>
  </si>
  <si>
    <t xml:space="preserve">208.00133</t>
  </si>
  <si>
    <t xml:space="preserve">C7H9NO4</t>
  </si>
  <si>
    <t xml:space="preserve">Tetrahydrodipicolinate</t>
  </si>
  <si>
    <t xml:space="preserve">51971</t>
  </si>
  <si>
    <t xml:space="preserve">HMDB0012289</t>
  </si>
  <si>
    <t xml:space="preserve">C03972</t>
  </si>
  <si>
    <t xml:space="preserve">864</t>
  </si>
  <si>
    <t xml:space="preserve">440179</t>
  </si>
  <si>
    <t xml:space="preserve">4226-22-6</t>
  </si>
  <si>
    <t xml:space="preserve">OC(=O)[C@@H]1CCCC(=N1)C(O)=O</t>
  </si>
  <si>
    <t xml:space="preserve">CXMBCXQHOXUCEO-BYPYZUCNSA-N</t>
  </si>
  <si>
    <t xml:space="preserve">208.07453</t>
  </si>
  <si>
    <t xml:space="preserve">C8H16ClNO3</t>
  </si>
  <si>
    <t xml:space="preserve">n-(3-Chloro-2-hydroxypropyl)valine</t>
  </si>
  <si>
    <t xml:space="preserve">209040</t>
  </si>
  <si>
    <t xml:space="preserve">HMDB0255000</t>
  </si>
  <si>
    <t xml:space="preserve">CC(C)C(NCC(O)CCl)C(O)=O</t>
  </si>
  <si>
    <t xml:space="preserve">ROURNSDBRYKIAJ-UHFFFAOYSA-N</t>
  </si>
  <si>
    <t xml:space="preserve">208.98384</t>
  </si>
  <si>
    <t xml:space="preserve">C7H4N2O7</t>
  </si>
  <si>
    <t xml:space="preserve">3,5-Dinitrosalicylic acid</t>
  </si>
  <si>
    <t xml:space="preserve">201443</t>
  </si>
  <si>
    <t xml:space="preserve">HMDB0246071</t>
  </si>
  <si>
    <t xml:space="preserve">68986</t>
  </si>
  <si>
    <t xml:space="preserve">C11319</t>
  </si>
  <si>
    <t xml:space="preserve">53648</t>
  </si>
  <si>
    <t xml:space="preserve">11873</t>
  </si>
  <si>
    <t xml:space="preserve">609-99-4</t>
  </si>
  <si>
    <t xml:space="preserve">OC(=O)C1=CC(=CC(=C1O)[N+]([O-])=O)[N+]([O-])=O</t>
  </si>
  <si>
    <t xml:space="preserve">LWFUFLREGJMOIZ-UHFFFAOYSA-N</t>
  </si>
  <si>
    <t xml:space="preserve">209.06805</t>
  </si>
  <si>
    <t xml:space="preserve">C8H10N4O3</t>
  </si>
  <si>
    <t xml:space="preserve">1,3,7-Trimethyluric acid</t>
  </si>
  <si>
    <t xml:space="preserve">47818</t>
  </si>
  <si>
    <t xml:space="preserve">HMDB0002123</t>
  </si>
  <si>
    <t xml:space="preserve">58099</t>
  </si>
  <si>
    <t xml:space="preserve">C16361</t>
  </si>
  <si>
    <t xml:space="preserve">691622</t>
  </si>
  <si>
    <t xml:space="preserve">79437</t>
  </si>
  <si>
    <t xml:space="preserve">5415-44-1</t>
  </si>
  <si>
    <t xml:space="preserve">CN1C(=O)NC2=C1C(=O)N(C)C(=O)N2C</t>
  </si>
  <si>
    <t xml:space="preserve">BYXCFUMGEBZDDI-UHFFFAOYSA-N</t>
  </si>
  <si>
    <t xml:space="preserve">209.12245</t>
  </si>
  <si>
    <t xml:space="preserve">C12H18O3</t>
  </si>
  <si>
    <t xml:space="preserve">Jasmonic acid</t>
  </si>
  <si>
    <t xml:space="preserve">3360</t>
  </si>
  <si>
    <t xml:space="preserve">HMDB0032797</t>
  </si>
  <si>
    <t xml:space="preserve">LMFA02020001</t>
  </si>
  <si>
    <t xml:space="preserve">C08491</t>
  </si>
  <si>
    <t xml:space="preserve">18292</t>
  </si>
  <si>
    <t xml:space="preserve">5281166</t>
  </si>
  <si>
    <t xml:space="preserve">59366-47-1</t>
  </si>
  <si>
    <t xml:space="preserve">C1C(=O)[C@H](C/C=C\CC)[C@@H](CC(O)=O)C1</t>
  </si>
  <si>
    <t xml:space="preserve">ZNJFBWYDHIGLCU-HWKXXFMVSA-N</t>
  </si>
  <si>
    <t xml:space="preserve">Lineolic acids and derivatives</t>
  </si>
  <si>
    <t xml:space="preserve">210.05239</t>
  </si>
  <si>
    <t xml:space="preserve">C8H9N3O4</t>
  </si>
  <si>
    <t xml:space="preserve">Nicorandil</t>
  </si>
  <si>
    <t xml:space="preserve">209549</t>
  </si>
  <si>
    <t xml:space="preserve">HMDB0255584</t>
  </si>
  <si>
    <t xml:space="preserve">1521</t>
  </si>
  <si>
    <t xml:space="preserve">C13280</t>
  </si>
  <si>
    <t xml:space="preserve">31905</t>
  </si>
  <si>
    <t xml:space="preserve">47528</t>
  </si>
  <si>
    <t xml:space="preserve">65141-46-0</t>
  </si>
  <si>
    <t xml:space="preserve">[O-][N+](=O)OCCNC(=O)C1=CC=CN=C1</t>
  </si>
  <si>
    <t xml:space="preserve">LBHIOVVIQHSOQN-UHFFFAOYSA-N</t>
  </si>
  <si>
    <t xml:space="preserve">210.08615</t>
  </si>
  <si>
    <t xml:space="preserve">C9H13N3O3</t>
  </si>
  <si>
    <t xml:space="preserve">Zalcitabine</t>
  </si>
  <si>
    <t xml:space="preserve">53199</t>
  </si>
  <si>
    <t xml:space="preserve">HMDB0015078</t>
  </si>
  <si>
    <t xml:space="preserve">3061</t>
  </si>
  <si>
    <t xml:space="preserve">C07207</t>
  </si>
  <si>
    <t xml:space="preserve">10101</t>
  </si>
  <si>
    <t xml:space="preserve">24066</t>
  </si>
  <si>
    <t xml:space="preserve">7481-89-2</t>
  </si>
  <si>
    <t xml:space="preserve">NC1=NC(=O)N(C=C1)[C@H]1CC[C@@H](CO)O1</t>
  </si>
  <si>
    <t xml:space="preserve">WREGKURFCTUGRC-POYBYMJQSA-N</t>
  </si>
  <si>
    <t xml:space="preserve">Nucleosides, nucleotides, and analogues</t>
  </si>
  <si>
    <t xml:space="preserve">Pyrimidine nucleosides</t>
  </si>
  <si>
    <t xml:space="preserve">Pyrimidine 2',3'-dideoxyribonucleosides</t>
  </si>
  <si>
    <t xml:space="preserve">211.00094</t>
  </si>
  <si>
    <t xml:space="preserve">C6H8O6</t>
  </si>
  <si>
    <t xml:space="preserve">Ascorbic acid</t>
  </si>
  <si>
    <t xml:space="preserve">46840</t>
  </si>
  <si>
    <t xml:space="preserve">HMDB0000044</t>
  </si>
  <si>
    <t xml:space="preserve">320050</t>
  </si>
  <si>
    <t xml:space="preserve">C01041</t>
  </si>
  <si>
    <t xml:space="preserve">29073</t>
  </si>
  <si>
    <t xml:space="preserve">54670067</t>
  </si>
  <si>
    <t xml:space="preserve">134-03-2</t>
  </si>
  <si>
    <t xml:space="preserve">[H][C@@]1(OC(=O)C(O)=C1O)[C@@H](O)CO</t>
  </si>
  <si>
    <t xml:space="preserve">CIWBSHSKHKDKBQ-JLAZNSOCSA-N</t>
  </si>
  <si>
    <t xml:space="preserve">211.08403</t>
  </si>
  <si>
    <t xml:space="preserve">C8H12N4O3</t>
  </si>
  <si>
    <t xml:space="preserve">Histidylglycine; Glycyl-Histidine</t>
  </si>
  <si>
    <t xml:space="preserve">53909; 53872</t>
  </si>
  <si>
    <t xml:space="preserve">HMDB0028885; HMDB0028843</t>
  </si>
  <si>
    <t xml:space="preserve">85791; 23939</t>
  </si>
  <si>
    <t xml:space="preserve">73930; 172454</t>
  </si>
  <si>
    <t xml:space="preserve">101179; 417360</t>
  </si>
  <si>
    <t xml:space="preserve">2578-58-7; </t>
  </si>
  <si>
    <t xml:space="preserve">N[C@@H](CC1=CNC=N1)C(=O)NCC(O)=O; NCC(=O)NC(CC1=CN=CN1)C(O)=O</t>
  </si>
  <si>
    <t xml:space="preserve">LYCVKHSJGDMDLM-LURJTMIESA-N; YIWFXZNIBQBFHR-UHFFFAOYSA-N</t>
  </si>
  <si>
    <t xml:space="preserve">211.17281</t>
  </si>
  <si>
    <t xml:space="preserve">C12H22</t>
  </si>
  <si>
    <t xml:space="preserve">trans-2-trans-4-Nonadiene</t>
  </si>
  <si>
    <t xml:space="preserve">56834</t>
  </si>
  <si>
    <t xml:space="preserve">HMDB0032537</t>
  </si>
  <si>
    <t xml:space="preserve">88512</t>
  </si>
  <si>
    <t xml:space="preserve">5358327</t>
  </si>
  <si>
    <t xml:space="preserve">56700-78-8</t>
  </si>
  <si>
    <t xml:space="preserve">CCCC\C=C\C=C\CCCC</t>
  </si>
  <si>
    <t xml:space="preserve">ZARLDNIZTZBEDV-WGDLNXRISA-N</t>
  </si>
  <si>
    <t xml:space="preserve">212.02654</t>
  </si>
  <si>
    <t xml:space="preserve">C13H10ClNO</t>
  </si>
  <si>
    <t xml:space="preserve">2-Amino-5-chlorobenzophenone</t>
  </si>
  <si>
    <t xml:space="preserve">200446</t>
  </si>
  <si>
    <t xml:space="preserve">HMDB0244995</t>
  </si>
  <si>
    <t xml:space="preserve">328124</t>
  </si>
  <si>
    <t xml:space="preserve">12870</t>
  </si>
  <si>
    <t xml:space="preserve">NC1=C(C=C(Cl)C=C1)C(=O)C1=CC=CC=C1</t>
  </si>
  <si>
    <t xml:space="preserve">ZUWXHHBROGLWNH-UHFFFAOYSA-N</t>
  </si>
  <si>
    <t xml:space="preserve">Benzophenones</t>
  </si>
  <si>
    <t xml:space="preserve">212.09007</t>
  </si>
  <si>
    <t xml:space="preserve">C8H17NO4</t>
  </si>
  <si>
    <t xml:space="preserve">N-(2,3-Dihydroxypropyl)valine</t>
  </si>
  <si>
    <t xml:space="preserve">209034</t>
  </si>
  <si>
    <t xml:space="preserve">HMDB0254994</t>
  </si>
  <si>
    <t xml:space="preserve">23088918</t>
  </si>
  <si>
    <t xml:space="preserve">CC(C)C(NCC(O)CO)C(O)=O</t>
  </si>
  <si>
    <t xml:space="preserve">XSRKHYQASYXTMX-UHFFFAOYSA-N</t>
  </si>
  <si>
    <t xml:space="preserve">212.93761</t>
  </si>
  <si>
    <t xml:space="preserve">C6H5ClO4</t>
  </si>
  <si>
    <t xml:space="preserve">5-Chlorobenzene-1,2,3,4-tetrol</t>
  </si>
  <si>
    <t xml:space="preserve">211278</t>
  </si>
  <si>
    <t xml:space="preserve">HMDB0257617</t>
  </si>
  <si>
    <t xml:space="preserve">18006427</t>
  </si>
  <si>
    <t xml:space="preserve">OC1=CC(Cl)=C(O)C(O)=C1O</t>
  </si>
  <si>
    <t xml:space="preserve">FCUSHBQVKJTCNF-UHFFFAOYSA-N</t>
  </si>
  <si>
    <t xml:space="preserve">1,4-dihydroxy-2-halobenzenoids</t>
  </si>
  <si>
    <t xml:space="preserve">212.98268</t>
  </si>
  <si>
    <t xml:space="preserve">C6H10O2S2</t>
  </si>
  <si>
    <t xml:space="preserve">Bissulfine</t>
  </si>
  <si>
    <t xml:space="preserve">54860</t>
  </si>
  <si>
    <t xml:space="preserve">HMDB0030000</t>
  </si>
  <si>
    <t xml:space="preserve">86653</t>
  </si>
  <si>
    <t xml:space="preserve">169161</t>
  </si>
  <si>
    <t xml:space="preserve">14607984</t>
  </si>
  <si>
    <t xml:space="preserve">127793-93-5</t>
  </si>
  <si>
    <t xml:space="preserve">CC(C=S=O)C(C)C=S=O</t>
  </si>
  <si>
    <t xml:space="preserve">RUYPPTVRJRANOX-UHFFFAOYSA-N</t>
  </si>
  <si>
    <t xml:space="preserve">Thiocarbonyl compounds</t>
  </si>
  <si>
    <t xml:space="preserve">Thioaldehydes</t>
  </si>
  <si>
    <t xml:space="preserve">213.01781</t>
  </si>
  <si>
    <t xml:space="preserve">C7H7ClN4O2</t>
  </si>
  <si>
    <t xml:space="preserve">8-Chlorotheophylline</t>
  </si>
  <si>
    <t xml:space="preserve">202662</t>
  </si>
  <si>
    <t xml:space="preserve">HMDB0247429</t>
  </si>
  <si>
    <t xml:space="preserve">43519</t>
  </si>
  <si>
    <t xml:space="preserve">59771</t>
  </si>
  <si>
    <t xml:space="preserve">10661</t>
  </si>
  <si>
    <t xml:space="preserve">85-18-7</t>
  </si>
  <si>
    <t xml:space="preserve">CN1C2=C(N=C(Cl)N2)C(=O)N(C)C1=O</t>
  </si>
  <si>
    <t xml:space="preserve">RYIGNEOBDRVTHA-UHFFFAOYSA-N</t>
  </si>
  <si>
    <t xml:space="preserve">213.05173</t>
  </si>
  <si>
    <t xml:space="preserve">C8H12N2O6</t>
  </si>
  <si>
    <t xml:space="preserve">Glutamine pyruvate; (2S)-5-Amino-2-[(2-carboxy-2-oxoethyl)amino]-5-oxopentanoic acid; Kifunensine</t>
  </si>
  <si>
    <t xml:space="preserve">207244; 211577; 208087</t>
  </si>
  <si>
    <t xml:space="preserve">HMDB0252812; HMDB0257975; HMDB0253800</t>
  </si>
  <si>
    <t xml:space="preserve">129629480; ; 3829</t>
  </si>
  <si>
    <t xml:space="preserve">CC(=O)C(=O)OOC(=O)C(N)CCC(N)=O; NC(=O)CCC(NCC(=O)C(O)=O)C(O)=O; OCC1C(O)C(O)C(O)C2NC(=O)C(=O)N12</t>
  </si>
  <si>
    <t xml:space="preserve">QIQFLMKYOPAMLL-UHFFFAOYSA-N; FBZQQZFTYAAHAJ-UHFFFAOYSA-N; OIURYJWYVIAOCW-UHFFFAOYSA-N</t>
  </si>
  <si>
    <t xml:space="preserve">213.11439</t>
  </si>
  <si>
    <t xml:space="preserve">C12H14N4</t>
  </si>
  <si>
    <t xml:space="preserve">3,3'-Diaminobenzidine; 2,3-Diamino-benzidine; 4,4'-Dihydrazino-biphenyl</t>
  </si>
  <si>
    <t xml:space="preserve">201371; 200815; 199576</t>
  </si>
  <si>
    <t xml:space="preserve">HMDB0245998; HMDB0245384; HMDB0244050</t>
  </si>
  <si>
    <t xml:space="preserve">90994; ; </t>
  </si>
  <si>
    <t xml:space="preserve">7071; 21226166; 111063</t>
  </si>
  <si>
    <t xml:space="preserve">NC1=C(N)C=C(C=C1)C1=CC(N)=C(N)C=C1; NC1=CC=C(C=C1)C1=C(N)C(N)=C(N)C=C1; NNC1=CC=C(C=C1)C1=CC=C(NN)C=C1</t>
  </si>
  <si>
    <t xml:space="preserve">HSTOKWSFWGCZMH-UHFFFAOYSA-N; GPDSDIPDQRRHPV-UHFFFAOYSA-N; SXEHKFHPFVVDIR-UHFFFAOYSA-N</t>
  </si>
  <si>
    <t xml:space="preserve">Benzenoids; Benzenoids; Benzenoids</t>
  </si>
  <si>
    <t xml:space="preserve">Benzene and substituted derivatives; Benzene and substituted derivatives; Benzene and substituted derivatives</t>
  </si>
  <si>
    <t xml:space="preserve">Biphenyls and derivatives; Biphenyls and derivatives; Biphenyls and derivatives</t>
  </si>
  <si>
    <t xml:space="preserve">213.15315</t>
  </si>
  <si>
    <t xml:space="preserve">C12H22O3</t>
  </si>
  <si>
    <t xml:space="preserve">3-Oxododecanoic acid</t>
  </si>
  <si>
    <t xml:space="preserve">2110</t>
  </si>
  <si>
    <t xml:space="preserve">HMDB0010727</t>
  </si>
  <si>
    <t xml:space="preserve">74729</t>
  </si>
  <si>
    <t xml:space="preserve">LMFA01060091</t>
  </si>
  <si>
    <t xml:space="preserve">C02367</t>
  </si>
  <si>
    <t xml:space="preserve">439717</t>
  </si>
  <si>
    <t xml:space="preserve">C(CC(=O)CCCCCCCCC)(=O)O</t>
  </si>
  <si>
    <t xml:space="preserve">DZHSPYMHDVROSM-UHFFFAOYSA-N</t>
  </si>
  <si>
    <t xml:space="preserve">Medium-chain keto acids and derivatives</t>
  </si>
  <si>
    <t xml:space="preserve">214.05205</t>
  </si>
  <si>
    <t xml:space="preserve">C9H10FNO4</t>
  </si>
  <si>
    <t xml:space="preserve">2-Amino-3-(3-fluoro-4,5-dihydroxyphenyl)propanoic acid; 2-Fluoro-5-hydroxy-L-tyrosine; 2-Amino-3-(2-fluoro-3,4-dihydroxyphenyl)propanoic acid</t>
  </si>
  <si>
    <t xml:space="preserve">202111; 202338; 202339</t>
  </si>
  <si>
    <t xml:space="preserve">HMDB0246792; HMDB0247059; HMDB0247060</t>
  </si>
  <si>
    <t xml:space="preserve">121901; 10242367; 343523</t>
  </si>
  <si>
    <t xml:space="preserve">NC(CC1=CC(O)=C(O)C(F)=C1)C(O)=O; NC(CC1=CC(O)=C(O)C=C1F)C(O)=O; NC(CC1=C(F)C(O)=C(O)C=C1)C(O)=O</t>
  </si>
  <si>
    <t xml:space="preserve">HAAXTGIFJHNHSX-UHFFFAOYSA-N; PAXWQORCRCBOCU-UHFFFAOYSA-N; AIDLBEYXQMVQQH-UHFFFAOYSA-N</t>
  </si>
  <si>
    <t xml:space="preserve">215.09873</t>
  </si>
  <si>
    <t xml:space="preserve">C10H16N2O</t>
  </si>
  <si>
    <t xml:space="preserve">Rilmenidine</t>
  </si>
  <si>
    <t xml:space="preserve">210956</t>
  </si>
  <si>
    <t xml:space="preserve">HMDB0257232</t>
  </si>
  <si>
    <t xml:space="preserve">68861</t>
  </si>
  <si>
    <t xml:space="preserve">C11120</t>
  </si>
  <si>
    <t xml:space="preserve">68712</t>
  </si>
  <si>
    <t xml:space="preserve">54187-04-1</t>
  </si>
  <si>
    <t xml:space="preserve">C1CC1C(NC1=NCCO1)C1CC1</t>
  </si>
  <si>
    <t xml:space="preserve">CQXADFVORZEARL-UHFFFAOYSA-N</t>
  </si>
  <si>
    <t xml:space="preserve">Azolines</t>
  </si>
  <si>
    <t xml:space="preserve">Oxazolines</t>
  </si>
  <si>
    <t xml:space="preserve">215.13279</t>
  </si>
  <si>
    <t xml:space="preserve">C11H20N2</t>
  </si>
  <si>
    <t xml:space="preserve">n-octylimidazole</t>
  </si>
  <si>
    <t xml:space="preserve">209230</t>
  </si>
  <si>
    <t xml:space="preserve">HMDB0255217</t>
  </si>
  <si>
    <t xml:space="preserve">18347297</t>
  </si>
  <si>
    <t xml:space="preserve">CCCCCCCCC1=NC=CN1</t>
  </si>
  <si>
    <t xml:space="preserve">MMDFSEGJGPURPF-UHFFFAOYSA-N</t>
  </si>
  <si>
    <t xml:space="preserve">216.93054</t>
  </si>
  <si>
    <t xml:space="preserve">C3H3O7P</t>
  </si>
  <si>
    <t xml:space="preserve">Glyceraldehyde phosphate</t>
  </si>
  <si>
    <t xml:space="preserve">207267</t>
  </si>
  <si>
    <t xml:space="preserve">HMDB0252837</t>
  </si>
  <si>
    <t xml:space="preserve">129627713</t>
  </si>
  <si>
    <t xml:space="preserve">OC1OP2(=O)OC(=O)C1(O)O2</t>
  </si>
  <si>
    <t xml:space="preserve">PETZCSJWFDNTSJ-UHFFFAOYSA-N</t>
  </si>
  <si>
    <t xml:space="preserve">Organic phosphoric acids and derivatives</t>
  </si>
  <si>
    <t xml:space="preserve">217.08498</t>
  </si>
  <si>
    <t xml:space="preserve">C8H14N4O</t>
  </si>
  <si>
    <t xml:space="preserve">Carcinine</t>
  </si>
  <si>
    <t xml:space="preserve">204576</t>
  </si>
  <si>
    <t xml:space="preserve">HMDB0249666</t>
  </si>
  <si>
    <t xml:space="preserve">131429</t>
  </si>
  <si>
    <t xml:space="preserve">2574</t>
  </si>
  <si>
    <t xml:space="preserve">NCCC(=O)NCCC1=CN=CN1</t>
  </si>
  <si>
    <t xml:space="preserve">ANRUJJLGVODXIK-UHFFFAOYSA-N</t>
  </si>
  <si>
    <t xml:space="preserve">217.11947</t>
  </si>
  <si>
    <t xml:space="preserve">C9H18N2O4</t>
  </si>
  <si>
    <t xml:space="preserve">Valylthreonine; Ser-Leu</t>
  </si>
  <si>
    <t xml:space="preserve">54148; 211803</t>
  </si>
  <si>
    <t xml:space="preserve">HMDB0029137; HMDB0258242</t>
  </si>
  <si>
    <t xml:space="preserve">72636-02-3; </t>
  </si>
  <si>
    <t xml:space="preserve">CC(C)[C@H](N)C(=O)N[C@@H](C(C)O)C(O)=O; CC(C)CC(NC(=O)C(N)CO)C(O)=O</t>
  </si>
  <si>
    <t xml:space="preserve">GVRKWABULJAONN-BYRXKDITSA-N; NFDYGNFETJVMSE-UHFFFAOYSA-N</t>
  </si>
  <si>
    <t xml:space="preserve">217.14460</t>
  </si>
  <si>
    <t xml:space="preserve">C11H22O4</t>
  </si>
  <si>
    <t xml:space="preserve">2,3-Dihydroxypropyl octanoate</t>
  </si>
  <si>
    <t xml:space="preserve">208914</t>
  </si>
  <si>
    <t xml:space="preserve">HMDB0254850</t>
  </si>
  <si>
    <t xml:space="preserve">320825</t>
  </si>
  <si>
    <t xml:space="preserve">84309</t>
  </si>
  <si>
    <t xml:space="preserve">3033877</t>
  </si>
  <si>
    <t xml:space="preserve">CCCCCCCC(=O)OCC(O)CO</t>
  </si>
  <si>
    <t xml:space="preserve">GHBFNMLVSPCDGN-UHFFFAOYSA-N</t>
  </si>
  <si>
    <t xml:space="preserve">Glycerolipids</t>
  </si>
  <si>
    <t xml:space="preserve">Monoradylglycerols</t>
  </si>
  <si>
    <t xml:space="preserve">218.10617</t>
  </si>
  <si>
    <t xml:space="preserve">C10H13N5O</t>
  </si>
  <si>
    <t xml:space="preserve">Zeatin</t>
  </si>
  <si>
    <t xml:space="preserve">51903</t>
  </si>
  <si>
    <t xml:space="preserve">HMDB0012204</t>
  </si>
  <si>
    <t xml:space="preserve">45500</t>
  </si>
  <si>
    <t xml:space="preserve">C00371</t>
  </si>
  <si>
    <t xml:space="preserve">16522</t>
  </si>
  <si>
    <t xml:space="preserve">449093</t>
  </si>
  <si>
    <t xml:space="preserve">1637-39-4</t>
  </si>
  <si>
    <t xml:space="preserve">C\C(CO)=C/CNC1=C2N=CN=C2N=CN1</t>
  </si>
  <si>
    <t xml:space="preserve">UZKQTCBAMSWPJD-FARCUNLSSA-N</t>
  </si>
  <si>
    <t xml:space="preserve">218.99676</t>
  </si>
  <si>
    <t xml:space="preserve">C7H8O6S</t>
  </si>
  <si>
    <t xml:space="preserve">Methylpyrogallol sulfate 3; Methylpyrogallol sulfate 1; Methylpyrogallol sulfate 2</t>
  </si>
  <si>
    <t xml:space="preserve">197296; 197299; 197307</t>
  </si>
  <si>
    <t xml:space="preserve">HMDB0240694; HMDB0240699; HMDB0240709</t>
  </si>
  <si>
    <t xml:space="preserve">133548; ; 176448</t>
  </si>
  <si>
    <t xml:space="preserve">122164840; 122397220; 122397221</t>
  </si>
  <si>
    <t xml:space="preserve">COC1=C(O)C=CC=C1OS(O)(=O)=O; COC1=CC=CC(O)=C1OS(O)(=O)=O; COC1=C(O)C(OS(O)(=O)=O)=CC=C1</t>
  </si>
  <si>
    <t xml:space="preserve">ARLAWMCEVZUXEY-UHFFFAOYSA-N; DIWVSUYQBQOOTK-UHFFFAOYSA-N; NTXOJWKIHIOUQN-UHFFFAOYSA-N</t>
  </si>
  <si>
    <t xml:space="preserve">Organic sulfuric acids and derivatives; Organic sulfuric acids and derivatives; Organic sulfuric acids and derivatives</t>
  </si>
  <si>
    <t xml:space="preserve">Arylsulfates; Arylsulfates; Arylsulfates</t>
  </si>
  <si>
    <t xml:space="preserve">219.03732</t>
  </si>
  <si>
    <t xml:space="preserve">C6H14FO3P</t>
  </si>
  <si>
    <t xml:space="preserve">Isoflurophate</t>
  </si>
  <si>
    <t xml:space="preserve">52985</t>
  </si>
  <si>
    <t xml:space="preserve">HMDB0014815</t>
  </si>
  <si>
    <t xml:space="preserve">43220</t>
  </si>
  <si>
    <t xml:space="preserve">C00202</t>
  </si>
  <si>
    <t xml:space="preserve">17941</t>
  </si>
  <si>
    <t xml:space="preserve">5936</t>
  </si>
  <si>
    <t xml:space="preserve">55-91-4</t>
  </si>
  <si>
    <t xml:space="preserve">CC(C)OP(F)(=O)OC(C)C</t>
  </si>
  <si>
    <t xml:space="preserve">MUCZHBLJLSDCSD-UHFFFAOYSA-N</t>
  </si>
  <si>
    <t xml:space="preserve">Phosphate esters</t>
  </si>
  <si>
    <t xml:space="preserve">219.07644</t>
  </si>
  <si>
    <t xml:space="preserve">C11H12N2O3</t>
  </si>
  <si>
    <t xml:space="preserve">5-Hydroxy-L-tryptophan</t>
  </si>
  <si>
    <t xml:space="preserve">47050</t>
  </si>
  <si>
    <t xml:space="preserve">HMDB0000472</t>
  </si>
  <si>
    <t xml:space="preserve">C00643</t>
  </si>
  <si>
    <t xml:space="preserve">17780</t>
  </si>
  <si>
    <t xml:space="preserve">439280</t>
  </si>
  <si>
    <t xml:space="preserve">4350-09-8</t>
  </si>
  <si>
    <t xml:space="preserve">N[C@@H](CC1=CNC2=C1C=C(O)C=C2)C(O)=O</t>
  </si>
  <si>
    <t xml:space="preserve">LDCYZAJDBXYCGN-VIFPVBQESA-N</t>
  </si>
  <si>
    <t xml:space="preserve">Tryptamines and derivatives</t>
  </si>
  <si>
    <t xml:space="preserve">219.13852</t>
  </si>
  <si>
    <t xml:space="preserve">C14H20O2</t>
  </si>
  <si>
    <t xml:space="preserve">13-Tetradecene-1,3-diyne-6,7-diol; 2,6-Di-tert-butylbenzoquinone; 3-Phenylpropyl isovalerate</t>
  </si>
  <si>
    <t xml:space="preserve">6325; 52462; 60149</t>
  </si>
  <si>
    <t xml:space="preserve">HMDB0039539; HMDB0013817; HMDB0036389</t>
  </si>
  <si>
    <t xml:space="preserve">94100; 85272; 91532</t>
  </si>
  <si>
    <t xml:space="preserve">LMFA05000589; ; </t>
  </si>
  <si>
    <t xml:space="preserve">53440552; 12867; 62578</t>
  </si>
  <si>
    <t xml:space="preserve">122855-49-6; 719-22-2; 5452-07-3</t>
  </si>
  <si>
    <t xml:space="preserve">C=CCCCCCC(C(CC#CC#C)O)O; CC(C)(C)C1=CC(=O)C=C(C1=O)C(C)(C)C; CC(C)CC(=O)OCCCC1=CC=CC=C1</t>
  </si>
  <si>
    <t xml:space="preserve">WOVGAQBKTGZPTO-UHFFFAOYSA-N; RDQSIADLBQFVMY-UHFFFAOYSA-N; LBNFCOMOXOWXCD-UHFFFAOYSA-N</t>
  </si>
  <si>
    <t xml:space="preserve">Fatty Acyls; Prenol lipids; Fatty Acyls</t>
  </si>
  <si>
    <t xml:space="preserve">Fatty alcohols; Monoterpenoids; Fatty acid esters</t>
  </si>
  <si>
    <t xml:space="preserve">220.99510</t>
  </si>
  <si>
    <t xml:space="preserve">C12H8Cl2</t>
  </si>
  <si>
    <t xml:space="preserve">2,6-Dichlorobiphenyl; 2,4'-Dichlorobiphenyl</t>
  </si>
  <si>
    <t xml:space="preserve">200941; 200914</t>
  </si>
  <si>
    <t xml:space="preserve">HMDB0245513; HMDB0245485</t>
  </si>
  <si>
    <t xml:space="preserve">69990; 69907</t>
  </si>
  <si>
    <t xml:space="preserve">C14355; C14246</t>
  </si>
  <si>
    <t xml:space="preserve">34249; 34232</t>
  </si>
  <si>
    <t xml:space="preserve">36342; 36982</t>
  </si>
  <si>
    <t xml:space="preserve">33146-45-1; 34883-43-7</t>
  </si>
  <si>
    <t xml:space="preserve">ClC1=CC=CC(Cl)=C1C1=CC=CC=C1; ClC1=CC=C(C=C1)C1=CC=CC=C1Cl</t>
  </si>
  <si>
    <t xml:space="preserve">IYZWUWBAFUBNCH-UHFFFAOYSA-N; UFNIBRDIUNVOMX-UHFFFAOYSA-N</t>
  </si>
  <si>
    <t xml:space="preserve">Biphenyls and derivatives; Biphenyls and derivatives</t>
  </si>
  <si>
    <t xml:space="preserve">221.08487</t>
  </si>
  <si>
    <t xml:space="preserve">C8H16O2S</t>
  </si>
  <si>
    <t xml:space="preserve">(S)-3-Mercaptohexyl acetate; Methylthiomethyl hexanoate; Methionyl butyrate</t>
  </si>
  <si>
    <t xml:space="preserve">6283; 7624; 56732</t>
  </si>
  <si>
    <t xml:space="preserve">HMDB0038920; HMDB0038300; HMDB0032378</t>
  </si>
  <si>
    <t xml:space="preserve">93533; 93024; 88405</t>
  </si>
  <si>
    <t xml:space="preserve">LMFA05000540; LMFA07010969; </t>
  </si>
  <si>
    <t xml:space="preserve">77818; ; 37902</t>
  </si>
  <si>
    <t xml:space="preserve">518810; 173312; 85520</t>
  </si>
  <si>
    <t xml:space="preserve">145937-71-9; 74758-91-1; 16630-60-7</t>
  </si>
  <si>
    <t xml:space="preserve">CCCC(S)CCOC(=O)C; O(C(=O)CCCCC)CSC; CCCC(=O)OCCCSC</t>
  </si>
  <si>
    <t xml:space="preserve">JUCARGIKESIVLB-UHFFFAOYSA-N; NWSZEYNCLKNLMJ-UHFFFAOYSA-N; HSCZLQOPSGMKTK-UHFFFAOYSA-N</t>
  </si>
  <si>
    <t xml:space="preserve">Organic acids and derivatives; Lipids and lipid-like molecules; Lipids and lipid-like molecules</t>
  </si>
  <si>
    <t xml:space="preserve">Carboxylic acids and derivatives; Fatty Acyls; Fatty Acyls</t>
  </si>
  <si>
    <t xml:space="preserve">Carboxylic acid derivatives; Fatty acid esters; Fatty acid esters</t>
  </si>
  <si>
    <t xml:space="preserve">221.12306</t>
  </si>
  <si>
    <t xml:space="preserve">C10H22O3S</t>
  </si>
  <si>
    <t xml:space="preserve">Decane-1-sulfonic acid</t>
  </si>
  <si>
    <t xml:space="preserve">205600</t>
  </si>
  <si>
    <t xml:space="preserve">HMDB0250916</t>
  </si>
  <si>
    <t xml:space="preserve">449814</t>
  </si>
  <si>
    <t xml:space="preserve">49957</t>
  </si>
  <si>
    <t xml:space="preserve">CCCCCCCCCCS(O)(=O)=O</t>
  </si>
  <si>
    <t xml:space="preserve">KVGOXGQSTGQXDD-UHFFFAOYSA-N</t>
  </si>
  <si>
    <t xml:space="preserve">221.15622</t>
  </si>
  <si>
    <t xml:space="preserve">C14H22O2</t>
  </si>
  <si>
    <t xml:space="preserve">Isokobusone; Rishitin</t>
  </si>
  <si>
    <t xml:space="preserve">60466; 59455</t>
  </si>
  <si>
    <t xml:space="preserve">HMDB0036791; HMDB0035593</t>
  </si>
  <si>
    <t xml:space="preserve">44491; </t>
  </si>
  <si>
    <t xml:space="preserve">C16977; C09715</t>
  </si>
  <si>
    <t xml:space="preserve">3860435; 534260</t>
  </si>
  <si>
    <t xml:space="preserve">24173-72-6; 18178-54-6</t>
  </si>
  <si>
    <t xml:space="preserve">CC1(C)CC2C1CCC(=C)C(O)CCC2=O; CC1C(O)C(O)CC2=C1CC(CC2)C(C)=C</t>
  </si>
  <si>
    <t xml:space="preserve">BSFUDCIRZBAPDS-UHFFFAOYSA-N; XSCYYIVXGBKTOC-UHFFFAOYSA-N</t>
  </si>
  <si>
    <t xml:space="preserve">223.09979</t>
  </si>
  <si>
    <t xml:space="preserve">C12H16N2</t>
  </si>
  <si>
    <t xml:space="preserve">Dimethyltryptamine</t>
  </si>
  <si>
    <t xml:space="preserve">48642</t>
  </si>
  <si>
    <t xml:space="preserve">HMDB0005973</t>
  </si>
  <si>
    <t xml:space="preserve">C08302</t>
  </si>
  <si>
    <t xml:space="preserve">28969</t>
  </si>
  <si>
    <t xml:space="preserve">6089</t>
  </si>
  <si>
    <t xml:space="preserve">61-50-7</t>
  </si>
  <si>
    <t xml:space="preserve">CN(C)CCC1=CNC2=CC=CC=C12</t>
  </si>
  <si>
    <t xml:space="preserve">DMULVCHRPCFFGV-UHFFFAOYSA-N</t>
  </si>
  <si>
    <t xml:space="preserve">223.13642</t>
  </si>
  <si>
    <t xml:space="preserve">C13H20O3</t>
  </si>
  <si>
    <t xml:space="preserve">Methyl jasmonate</t>
  </si>
  <si>
    <t xml:space="preserve">3368</t>
  </si>
  <si>
    <t xml:space="preserve">HMDB0036583</t>
  </si>
  <si>
    <t xml:space="preserve">3361</t>
  </si>
  <si>
    <t xml:space="preserve">LMFA02020010</t>
  </si>
  <si>
    <t xml:space="preserve">C11512</t>
  </si>
  <si>
    <t xml:space="preserve">15929</t>
  </si>
  <si>
    <t xml:space="preserve">5281929</t>
  </si>
  <si>
    <t xml:space="preserve">1211-29-6</t>
  </si>
  <si>
    <t xml:space="preserve">[C@H]1([C@@H](CC(=O)OC)CCC1=O)C/C=C\CC</t>
  </si>
  <si>
    <t xml:space="preserve">GEWDNTWNSAZUDX-WQMVXFAESA-N</t>
  </si>
  <si>
    <t xml:space="preserve">223.17381</t>
  </si>
  <si>
    <t xml:space="preserve">C14H24O2</t>
  </si>
  <si>
    <t xml:space="preserve">FA(14:2); Neryl butyrate; 2-Propenyl cyclohexanepentanoate</t>
  </si>
  <si>
    <t xml:space="preserve">752; 7365; 7457</t>
  </si>
  <si>
    <t xml:space="preserve">HMDB0000560; HMDB0038259; HMDB0037814</t>
  </si>
  <si>
    <t xml:space="preserve">34921; 92984; 92625</t>
  </si>
  <si>
    <t xml:space="preserve">LMFA01030257; LMFA07010626; LMFA07010745</t>
  </si>
  <si>
    <t xml:space="preserve">70719; ; </t>
  </si>
  <si>
    <t xml:space="preserve">5312409; 5352162; 61407</t>
  </si>
  <si>
    <t xml:space="preserve">39039-37-7; 999-40-6; 7493-68-7</t>
  </si>
  <si>
    <t xml:space="preserve">C(CCC/C=C\C/C=C\CCCCC)(=O)O; O=C(CCC)OC/C=C(/C)\CC/C=C(\C)/C; C1C(CCCCC(OCC=C)=O)CCCC1</t>
  </si>
  <si>
    <t xml:space="preserve">HXHZGHRLVRFQDR-HZJYTTRNSA-N; ZSBOMYJPSRFZAL-RAXLEYEMSA-N; NDXGAVFJHHVIQN-UHFFFAOYSA-N</t>
  </si>
  <si>
    <t xml:space="preserve">Fatty acids and conjugates; Fatty alcohol esters; Fatty acid esters</t>
  </si>
  <si>
    <t xml:space="preserve">223.97658</t>
  </si>
  <si>
    <t xml:space="preserve">C6H12Cl3N</t>
  </si>
  <si>
    <t xml:space="preserve">trichlormethine</t>
  </si>
  <si>
    <t xml:space="preserve">212572</t>
  </si>
  <si>
    <t xml:space="preserve">HMDB0259169</t>
  </si>
  <si>
    <t xml:space="preserve">44062</t>
  </si>
  <si>
    <t xml:space="preserve">5561</t>
  </si>
  <si>
    <t xml:space="preserve">555-77-1</t>
  </si>
  <si>
    <t xml:space="preserve">ClCCN(CCCl)CCCl</t>
  </si>
  <si>
    <t xml:space="preserve">FDAYLTPAFBGXAB-UHFFFAOYSA-N</t>
  </si>
  <si>
    <t xml:space="preserve">Nitrogen mustard compounds</t>
  </si>
  <si>
    <t xml:space="preserve">224.03126</t>
  </si>
  <si>
    <t xml:space="preserve">C8H7N3O5</t>
  </si>
  <si>
    <t xml:space="preserve">Dinitolmide</t>
  </si>
  <si>
    <t xml:space="preserve">56850</t>
  </si>
  <si>
    <t xml:space="preserve">HMDB0032558</t>
  </si>
  <si>
    <t xml:space="preserve">88528</t>
  </si>
  <si>
    <t xml:space="preserve">3092</t>
  </si>
  <si>
    <t xml:space="preserve">148-01-6</t>
  </si>
  <si>
    <t xml:space="preserve">CC1=C(C=C(C=C1N(=O)=O)N(=O)=O)C(N)=O</t>
  </si>
  <si>
    <t xml:space="preserve">ZEFNOZRLAWVAQF-UHFFFAOYSA-N</t>
  </si>
  <si>
    <t xml:space="preserve">224.07388</t>
  </si>
  <si>
    <t xml:space="preserve">C11H15NO2S</t>
  </si>
  <si>
    <t xml:space="preserve">Ethiofencarb</t>
  </si>
  <si>
    <t xml:space="preserve">56253</t>
  </si>
  <si>
    <t xml:space="preserve">HMDB0031782</t>
  </si>
  <si>
    <t xml:space="preserve">72435</t>
  </si>
  <si>
    <t xml:space="preserve">C18649</t>
  </si>
  <si>
    <t xml:space="preserve">38483</t>
  </si>
  <si>
    <t xml:space="preserve">34766</t>
  </si>
  <si>
    <t xml:space="preserve">29973-13-5</t>
  </si>
  <si>
    <t xml:space="preserve">CCSCC1=CC=CC=C1OC(O)=NC</t>
  </si>
  <si>
    <t xml:space="preserve">HEZNVIYQEUHLNI-UHFFFAOYSA-N</t>
  </si>
  <si>
    <t xml:space="preserve">Phenyl methylcarbamates</t>
  </si>
  <si>
    <t xml:space="preserve">224.96033</t>
  </si>
  <si>
    <t xml:space="preserve">C7H6Cl2N2O</t>
  </si>
  <si>
    <t xml:space="preserve">1-(3,4-Dichlorophenyl)urea</t>
  </si>
  <si>
    <t xml:space="preserve">199330</t>
  </si>
  <si>
    <t xml:space="preserve">HMDB0243790</t>
  </si>
  <si>
    <t xml:space="preserve">83464</t>
  </si>
  <si>
    <t xml:space="preserve">16854</t>
  </si>
  <si>
    <t xml:space="preserve">NC(=O)NC1=CC=C(Cl)C(Cl)=C1</t>
  </si>
  <si>
    <t xml:space="preserve">CYESCLHCWJKRKM-UHFFFAOYSA-N</t>
  </si>
  <si>
    <t xml:space="preserve">Halobenzenes</t>
  </si>
  <si>
    <t xml:space="preserve">225.05819</t>
  </si>
  <si>
    <t xml:space="preserve">C11H12ClFN2</t>
  </si>
  <si>
    <t xml:space="preserve">(2S)-1-(6-Chloro-5-fluoroindol-1-yl)propan-2-amine</t>
  </si>
  <si>
    <t xml:space="preserve">210999</t>
  </si>
  <si>
    <t xml:space="preserve">HMDB0257279</t>
  </si>
  <si>
    <t xml:space="preserve">91736</t>
  </si>
  <si>
    <t xml:space="preserve">5191289</t>
  </si>
  <si>
    <t xml:space="preserve">CC(N)CN1C=CC2=CC(F)=C(Cl)C=C12</t>
  </si>
  <si>
    <t xml:space="preserve">XJJZQXUGLLXTHO-UHFFFAOYSA-N</t>
  </si>
  <si>
    <t xml:space="preserve">N-alkylindoles</t>
  </si>
  <si>
    <t xml:space="preserve">225.15257</t>
  </si>
  <si>
    <t xml:space="preserve">C13H22O3</t>
  </si>
  <si>
    <t xml:space="preserve">4,5-Dihydrovomifoliol; Riesling acetal</t>
  </si>
  <si>
    <t xml:space="preserve">63758; 61100</t>
  </si>
  <si>
    <t xml:space="preserve">HMDB0040615; HMDB0037562</t>
  </si>
  <si>
    <t xml:space="preserve">; 92419</t>
  </si>
  <si>
    <t xml:space="preserve">138758; 156167</t>
  </si>
  <si>
    <t xml:space="preserve">23136584; 57473083</t>
  </si>
  <si>
    <t xml:space="preserve">142173-08-8; </t>
  </si>
  <si>
    <t xml:space="preserve">CC(O)\C=C\C1(O)C(C)CC(=O)CC1(C)C; CC1=CC(O)CC(C)(C)C11CCC(C)(O)O1</t>
  </si>
  <si>
    <t xml:space="preserve">IHDJYDVWNNFPHR-AATRIKPKSA-N; SJZGKFZUNCXEEW-UHFFFAOYSA-N</t>
  </si>
  <si>
    <t xml:space="preserve">Lipids and lipid-like molecules; Organoheterocyclic compounds</t>
  </si>
  <si>
    <t xml:space="preserve">Prenol lipids; Tetrahydrofurans</t>
  </si>
  <si>
    <t xml:space="preserve">Sesquiterpenoids; Unclassified</t>
  </si>
  <si>
    <t xml:space="preserve">225.98849</t>
  </si>
  <si>
    <t xml:space="preserve">C7H4F3NO2</t>
  </si>
  <si>
    <t xml:space="preserve">2-(Trifluoromethyl)isonicotinic acid</t>
  </si>
  <si>
    <t xml:space="preserve">200410</t>
  </si>
  <si>
    <t xml:space="preserve">HMDB0244959</t>
  </si>
  <si>
    <t xml:space="preserve">14761447</t>
  </si>
  <si>
    <t xml:space="preserve">OC(=O)C1=CC(=NC=C1)C(F)(F)F</t>
  </si>
  <si>
    <t xml:space="preserve">BZFGKBQHQJVAHS-UHFFFAOYSA-N</t>
  </si>
  <si>
    <t xml:space="preserve">226.99772</t>
  </si>
  <si>
    <t xml:space="preserve">C6H8O7</t>
  </si>
  <si>
    <t xml:space="preserve">Citric acid</t>
  </si>
  <si>
    <t xml:space="preserve">46867</t>
  </si>
  <si>
    <t xml:space="preserve">HMDB0000094</t>
  </si>
  <si>
    <t xml:space="preserve">124</t>
  </si>
  <si>
    <t xml:space="preserve">C00158</t>
  </si>
  <si>
    <t xml:space="preserve">30769</t>
  </si>
  <si>
    <t xml:space="preserve">311</t>
  </si>
  <si>
    <t xml:space="preserve">77-92-9</t>
  </si>
  <si>
    <t xml:space="preserve">OC(=O)CC(O)(CC(O)=O)C(O)=O</t>
  </si>
  <si>
    <t xml:space="preserve">KRKNYBCHXYNGOX-UHFFFAOYSA-N</t>
  </si>
  <si>
    <t xml:space="preserve">227.06753</t>
  </si>
  <si>
    <t xml:space="preserve">C9H12N2O5</t>
  </si>
  <si>
    <t xml:space="preserve">Deoxyuridine</t>
  </si>
  <si>
    <t xml:space="preserve">46825</t>
  </si>
  <si>
    <t xml:space="preserve">HMDB0000012</t>
  </si>
  <si>
    <t xml:space="preserve">91</t>
  </si>
  <si>
    <t xml:space="preserve">C00526</t>
  </si>
  <si>
    <t xml:space="preserve">16450</t>
  </si>
  <si>
    <t xml:space="preserve">13712</t>
  </si>
  <si>
    <t xml:space="preserve">951-78-0</t>
  </si>
  <si>
    <t xml:space="preserve">OC[C@H]1O[C@H](C[C@@H]1O)N1C=CC(=O)NC1=O</t>
  </si>
  <si>
    <t xml:space="preserve">MXHRCPNRJAMMIM-SHYZEUOFSA-N</t>
  </si>
  <si>
    <t xml:space="preserve">Pyrimidine 2'-deoxyribonucleosides</t>
  </si>
  <si>
    <t xml:space="preserve">227.10151</t>
  </si>
  <si>
    <t xml:space="preserve">C10H16N2O4</t>
  </si>
  <si>
    <t xml:space="preserve">Prolylhydroxyproline; Hydroxyprolyl-Proline</t>
  </si>
  <si>
    <t xml:space="preserve">48836; 53895</t>
  </si>
  <si>
    <t xml:space="preserve">HMDB0006695; HMDB0028871</t>
  </si>
  <si>
    <t xml:space="preserve">58518; 85777</t>
  </si>
  <si>
    <t xml:space="preserve">74767; 169724</t>
  </si>
  <si>
    <t xml:space="preserve">11902892; 61156945</t>
  </si>
  <si>
    <t xml:space="preserve">18684-24-7; </t>
  </si>
  <si>
    <t xml:space="preserve">O[C@@H]1C[C@H](N(C1)C(=O)[C@@H]1CCCN1)C(O)=O; OC1CNC(C1)C(=O)N1CCCC1C(O)=O</t>
  </si>
  <si>
    <t xml:space="preserve">ONPXCLZMBSJLSP-CSMHCCOUSA-N; GIOMWAZJQDYWEU-UHFFFAOYSA-N</t>
  </si>
  <si>
    <t xml:space="preserve">227.13139</t>
  </si>
  <si>
    <t xml:space="preserve">C6H10O2</t>
  </si>
  <si>
    <t xml:space="preserve">trans-Hex-2-enoic acid; 3-Hexenoic acid; 2-Methyl-2-pentenoic acid</t>
  </si>
  <si>
    <t xml:space="preserve">518; 1191; 1352</t>
  </si>
  <si>
    <t xml:space="preserve">HMDB0010719; HMDB0031501; HMDB0031560</t>
  </si>
  <si>
    <t xml:space="preserve">34699; 45785; 87765</t>
  </si>
  <si>
    <t xml:space="preserve">LMFA01030008; LMFA01030779; LMFA01030971</t>
  </si>
  <si>
    <t xml:space="preserve">87721; 49284; </t>
  </si>
  <si>
    <t xml:space="preserve">5282707; 5355152; 6436344</t>
  </si>
  <si>
    <t xml:space="preserve">; 4219-24-3; 3142-72-1</t>
  </si>
  <si>
    <t xml:space="preserve">C(C)C/C=C/C(=O)O; O=C(O)C/C=C\CC; CC/C=C(\C(O)=O)/C</t>
  </si>
  <si>
    <t xml:space="preserve">NIONDZDPPYHYKY-SNAWJCMRSA-N; XXHDAWYDNSXJQM-ARJAWSKDSA-N; JJYWRQLLQAKNAD-PLNGDYQASA-N</t>
  </si>
  <si>
    <t xml:space="preserve">227.16572</t>
  </si>
  <si>
    <t xml:space="preserve">C13H26O4</t>
  </si>
  <si>
    <t xml:space="preserve">MG(10:0)</t>
  </si>
  <si>
    <t xml:space="preserve">93690</t>
  </si>
  <si>
    <t xml:space="preserve">HMDB0072866</t>
  </si>
  <si>
    <t xml:space="preserve">75526</t>
  </si>
  <si>
    <t xml:space="preserve">3085401</t>
  </si>
  <si>
    <t xml:space="preserve">[H][C@@](O)(CO)COC(=O)CCCCCCCCC</t>
  </si>
  <si>
    <t xml:space="preserve">LKUNXBRZDFMZOK-GFCCVEGCSA-N</t>
  </si>
  <si>
    <t xml:space="preserve">227.20451</t>
  </si>
  <si>
    <t xml:space="preserve">C14H28O2</t>
  </si>
  <si>
    <t xml:space="preserve">FA(14:0)</t>
  </si>
  <si>
    <t xml:space="preserve">61</t>
  </si>
  <si>
    <t xml:space="preserve">HMDB0000806</t>
  </si>
  <si>
    <t xml:space="preserve">196</t>
  </si>
  <si>
    <t xml:space="preserve">LMFA01010014</t>
  </si>
  <si>
    <t xml:space="preserve">C06424</t>
  </si>
  <si>
    <t xml:space="preserve">28875</t>
  </si>
  <si>
    <t xml:space="preserve">11005</t>
  </si>
  <si>
    <t xml:space="preserve">544-63-8</t>
  </si>
  <si>
    <t xml:space="preserve">C(CCCC)CCCCCCCCC(=O)O</t>
  </si>
  <si>
    <t xml:space="preserve">TUNFSRHWOTWDNC-UHFFFAOYSA-N</t>
  </si>
  <si>
    <t xml:space="preserve">227.99952</t>
  </si>
  <si>
    <t xml:space="preserve">C8H7NO5S</t>
  </si>
  <si>
    <t xml:space="preserve">3- Hydroxyindolin-2-one-sulfate</t>
  </si>
  <si>
    <t xml:space="preserve">257668</t>
  </si>
  <si>
    <t xml:space="preserve">HMDB0304928</t>
  </si>
  <si>
    <t xml:space="preserve">OC1=NC2=CC=CC=C2C1OS(O)(=O)=O</t>
  </si>
  <si>
    <t xml:space="preserve">HLYCAHONCGGOOJ-UHFFFAOYSA-N</t>
  </si>
  <si>
    <t xml:space="preserve">228.06120</t>
  </si>
  <si>
    <t xml:space="preserve">C8H13N3O6</t>
  </si>
  <si>
    <t xml:space="preserve">Asparaginylaspartic acid; Aspartyl-Asparagine</t>
  </si>
  <si>
    <t xml:space="preserve">53766; 53787</t>
  </si>
  <si>
    <t xml:space="preserve">HMDB0028727; HMDB0028748</t>
  </si>
  <si>
    <t xml:space="preserve">23963; 85663</t>
  </si>
  <si>
    <t xml:space="preserve">73419; 174277</t>
  </si>
  <si>
    <t xml:space="preserve">25145403; 18218190</t>
  </si>
  <si>
    <t xml:space="preserve">61365-15-9; </t>
  </si>
  <si>
    <t xml:space="preserve">N[C@@H](CC(N)=O)C(=O)N[C@@H](CC(O)=O)C(O)=O; NC(CC(O)=O)C(=O)NC(CC(N)=O)C(O)=O</t>
  </si>
  <si>
    <t xml:space="preserve">HZYFHQOWCFUSOV-IMJSIDKUSA-N; VGRHZPNRCLAHQA-UHFFFAOYSA-N</t>
  </si>
  <si>
    <t xml:space="preserve">228.90860</t>
  </si>
  <si>
    <t xml:space="preserve">C6H2Cl2O4</t>
  </si>
  <si>
    <t xml:space="preserve">2,5-Dichloro-carboxymethylenebut-2-en-4-olide</t>
  </si>
  <si>
    <t xml:space="preserve">82273</t>
  </si>
  <si>
    <t xml:space="preserve">HMDB0060364</t>
  </si>
  <si>
    <t xml:space="preserve">443961</t>
  </si>
  <si>
    <t xml:space="preserve">OC(=O)C(Cl)=C1OC(=O)C(Cl)=C1</t>
  </si>
  <si>
    <t xml:space="preserve">XJQKWSUIZRECMR-UHFFFAOYSA-N</t>
  </si>
  <si>
    <t xml:space="preserve">228.96577</t>
  </si>
  <si>
    <t xml:space="preserve">C7H3ClN2O5</t>
  </si>
  <si>
    <t xml:space="preserve">3,5-Dinitrobenzoyl chloride</t>
  </si>
  <si>
    <t xml:space="preserve">201440</t>
  </si>
  <si>
    <t xml:space="preserve">HMDB0246068</t>
  </si>
  <si>
    <t xml:space="preserve">334356</t>
  </si>
  <si>
    <t xml:space="preserve">7432</t>
  </si>
  <si>
    <t xml:space="preserve">[O-][N+](=O)C1=CC(=CC(=C1)C(Cl)=O)[N+]([O-])=O</t>
  </si>
  <si>
    <t xml:space="preserve">NNOHXABAQAGKRZ-UHFFFAOYSA-N</t>
  </si>
  <si>
    <t xml:space="preserve">229.01350</t>
  </si>
  <si>
    <t xml:space="preserve">C6H15O3PS2</t>
  </si>
  <si>
    <t xml:space="preserve">Demeton-S-methyl</t>
  </si>
  <si>
    <t xml:space="preserve">205669</t>
  </si>
  <si>
    <t xml:space="preserve">HMDB0250995</t>
  </si>
  <si>
    <t xml:space="preserve">72441</t>
  </si>
  <si>
    <t xml:space="preserve">C18655</t>
  </si>
  <si>
    <t xml:space="preserve">38624</t>
  </si>
  <si>
    <t xml:space="preserve">13526</t>
  </si>
  <si>
    <t xml:space="preserve">919-86-8</t>
  </si>
  <si>
    <t xml:space="preserve">CCSCCSP(=O)(OC)OC</t>
  </si>
  <si>
    <t xml:space="preserve">WEBQKRLKWNIYKK-UHFFFAOYSA-N</t>
  </si>
  <si>
    <t xml:space="preserve">229.10011</t>
  </si>
  <si>
    <t xml:space="preserve">C10H20N2O3S</t>
  </si>
  <si>
    <t xml:space="preserve">Valylmethionine</t>
  </si>
  <si>
    <t xml:space="preserve">54144</t>
  </si>
  <si>
    <t xml:space="preserve">HMDB0029133</t>
  </si>
  <si>
    <t xml:space="preserve">23761</t>
  </si>
  <si>
    <t xml:space="preserve">75015</t>
  </si>
  <si>
    <t xml:space="preserve">6993038</t>
  </si>
  <si>
    <t xml:space="preserve">14486-09-0</t>
  </si>
  <si>
    <t xml:space="preserve">CSCC[C@H](NC(=O)[C@@H](N)C(C)C)C(O)=O</t>
  </si>
  <si>
    <t xml:space="preserve">YSGSDAIMSCVPHG-YUMQZZPRSA-N</t>
  </si>
  <si>
    <t xml:space="preserve">229.15364</t>
  </si>
  <si>
    <t xml:space="preserve">C11H22N2O3</t>
  </si>
  <si>
    <t xml:space="preserve">Valylisoleucine; Valylleucine; Isoleucyl-Valine</t>
  </si>
  <si>
    <t xml:space="preserve">54141; 54142; 53943</t>
  </si>
  <si>
    <t xml:space="preserve">HMDB0029130; HMDB0029131; HMDB0028920</t>
  </si>
  <si>
    <t xml:space="preserve">23923; 23950; </t>
  </si>
  <si>
    <t xml:space="preserve">75012; 75013; </t>
  </si>
  <si>
    <t xml:space="preserve">7010531; 6993117; 435949</t>
  </si>
  <si>
    <t xml:space="preserve">20556-14-3; 3989-97-7; </t>
  </si>
  <si>
    <t xml:space="preserve">CC[C@H](C)[C@H](NC(=O)[C@@H](N)C(C)C)C(O)=O; CC(C)C[C@H](NC(=O)[C@@H](N)C(C)C)C(O)=O; CCC(C)C(N)C(=O)NC(C(C)C)C(O)=O</t>
  </si>
  <si>
    <t xml:space="preserve">PNVLWFYAPWAQMU-CIUDSAMLSA-N; XCTHZFGSVQBHBW-IUCAKERBSA-N; BCXBIONYYJCSDF-UHFFFAOYSA-N</t>
  </si>
  <si>
    <t xml:space="preserve">229.19404</t>
  </si>
  <si>
    <t xml:space="preserve">C17H26</t>
  </si>
  <si>
    <t xml:space="preserve">2-Gonen</t>
  </si>
  <si>
    <t xml:space="preserve">200578</t>
  </si>
  <si>
    <t xml:space="preserve">HMDB0245136</t>
  </si>
  <si>
    <t xml:space="preserve">76376697</t>
  </si>
  <si>
    <t xml:space="preserve">C1CC2CCC3C(CCC4CC=CCC34)C2C1</t>
  </si>
  <si>
    <t xml:space="preserve">OCVHUUXFASRJEO-UHFFFAOYSA-N</t>
  </si>
  <si>
    <t xml:space="preserve">Steroids and steroid derivatives</t>
  </si>
  <si>
    <t xml:space="preserve">230.06520</t>
  </si>
  <si>
    <t xml:space="preserve">C9H13NO6</t>
  </si>
  <si>
    <t xml:space="preserve">N2-Succinyl-L-glutamic acid 5-semialdehyde</t>
  </si>
  <si>
    <t xml:space="preserve">47435</t>
  </si>
  <si>
    <t xml:space="preserve">HMDB0001180</t>
  </si>
  <si>
    <t xml:space="preserve">5063</t>
  </si>
  <si>
    <t xml:space="preserve">C05932</t>
  </si>
  <si>
    <t xml:space="preserve">27657</t>
  </si>
  <si>
    <t xml:space="preserve">440848</t>
  </si>
  <si>
    <t xml:space="preserve">OC(=O)CCC(=O)N[C@@H](CCC=O)C(O)=O</t>
  </si>
  <si>
    <t xml:space="preserve">XTOKIEIBKARFSZ-LURJTMIESA-N</t>
  </si>
  <si>
    <t xml:space="preserve">230.15658</t>
  </si>
  <si>
    <t xml:space="preserve">C15H21NO</t>
  </si>
  <si>
    <t xml:space="preserve">Rotundine A</t>
  </si>
  <si>
    <t xml:space="preserve">59155</t>
  </si>
  <si>
    <t xml:space="preserve">HMDB0035271</t>
  </si>
  <si>
    <t xml:space="preserve">90578</t>
  </si>
  <si>
    <t xml:space="preserve">10728239</t>
  </si>
  <si>
    <t xml:space="preserve">CC(=O)CCC1CC2=C(C)N=CC=C2C1(C)C</t>
  </si>
  <si>
    <t xml:space="preserve">RNURUJBYBMGADV-UHFFFAOYSA-N</t>
  </si>
  <si>
    <t xml:space="preserve">Methylpyridines</t>
  </si>
  <si>
    <t xml:space="preserve">231.05685</t>
  </si>
  <si>
    <t xml:space="preserve">C15H8N2O</t>
  </si>
  <si>
    <t xml:space="preserve">Sampangine</t>
  </si>
  <si>
    <t xml:space="preserve">58338</t>
  </si>
  <si>
    <t xml:space="preserve">HMDB0034291</t>
  </si>
  <si>
    <t xml:space="preserve">89826</t>
  </si>
  <si>
    <t xml:space="preserve">387195</t>
  </si>
  <si>
    <t xml:space="preserve">116664-93-8</t>
  </si>
  <si>
    <t xml:space="preserve">O=C1C2=CC=CC=C2C2=NC=CC3=C2C1=NC=C3</t>
  </si>
  <si>
    <t xml:space="preserve">BWQKHOMAOVUASZ-UHFFFAOYSA-N</t>
  </si>
  <si>
    <t xml:space="preserve">Alkaloids and derivatives</t>
  </si>
  <si>
    <t xml:space="preserve">1-azaoxoaporphines</t>
  </si>
  <si>
    <t xml:space="preserve">231.09934</t>
  </si>
  <si>
    <t xml:space="preserve">C9H16N2O5</t>
  </si>
  <si>
    <t xml:space="preserve">Aspartyl-Valine</t>
  </si>
  <si>
    <t xml:space="preserve">53803</t>
  </si>
  <si>
    <t xml:space="preserve">HMDB0028766</t>
  </si>
  <si>
    <t xml:space="preserve">4991131</t>
  </si>
  <si>
    <t xml:space="preserve">CC(C)C(N=C(O)C(N)CC(O)=O)C(O)=O</t>
  </si>
  <si>
    <t xml:space="preserve">CPMKYMGGYUFOHS-UHFFFAOYSA-N</t>
  </si>
  <si>
    <t xml:space="preserve">232.90499</t>
  </si>
  <si>
    <t xml:space="preserve">C4H7BrO2S</t>
  </si>
  <si>
    <t xml:space="preserve">3-Bromosulfolane</t>
  </si>
  <si>
    <t xml:space="preserve">63623</t>
  </si>
  <si>
    <t xml:space="preserve">HMDB0040457</t>
  </si>
  <si>
    <t xml:space="preserve">94959</t>
  </si>
  <si>
    <t xml:space="preserve">3777347</t>
  </si>
  <si>
    <t xml:space="preserve">14008-53-8</t>
  </si>
  <si>
    <t xml:space="preserve">BrC1CCS(=O)(=O)C1</t>
  </si>
  <si>
    <t xml:space="preserve">IPOKQKBJDASROB-UHFFFAOYSA-N</t>
  </si>
  <si>
    <t xml:space="preserve">Thiolanes</t>
  </si>
  <si>
    <t xml:space="preserve">232.98471</t>
  </si>
  <si>
    <t xml:space="preserve">C3F8</t>
  </si>
  <si>
    <t xml:space="preserve">Perflutren</t>
  </si>
  <si>
    <t xml:space="preserve">52891</t>
  </si>
  <si>
    <t xml:space="preserve">HMDB0014696</t>
  </si>
  <si>
    <t xml:space="preserve">85401</t>
  </si>
  <si>
    <t xml:space="preserve">31980</t>
  </si>
  <si>
    <t xml:space="preserve">6432</t>
  </si>
  <si>
    <t xml:space="preserve">76-19-7</t>
  </si>
  <si>
    <t xml:space="preserve">FC(F)(F)C(F)(F)C(F)(F)F</t>
  </si>
  <si>
    <t xml:space="preserve">QYSGYZVSCZSLHT-UHFFFAOYSA-N</t>
  </si>
  <si>
    <t xml:space="preserve">233.11950</t>
  </si>
  <si>
    <t xml:space="preserve">C14H18O3</t>
  </si>
  <si>
    <t xml:space="preserve">(10S,11S)-Pterosin C</t>
  </si>
  <si>
    <t xml:space="preserve">55510</t>
  </si>
  <si>
    <t xml:space="preserve">HMDB0030763</t>
  </si>
  <si>
    <t xml:space="preserve">87182</t>
  </si>
  <si>
    <t xml:space="preserve">172475</t>
  </si>
  <si>
    <t xml:space="preserve">5320782</t>
  </si>
  <si>
    <t xml:space="preserve">35938-43-3</t>
  </si>
  <si>
    <t xml:space="preserve">CC1C(O)C2=C(C1=O)C(C)=C(CCO)C(C)=C2</t>
  </si>
  <si>
    <t xml:space="preserve">QQPCNRKHGFIVLH-UHFFFAOYSA-N</t>
  </si>
  <si>
    <t xml:space="preserve">Indanes</t>
  </si>
  <si>
    <t xml:space="preserve">Indanones</t>
  </si>
  <si>
    <t xml:space="preserve">233.15816</t>
  </si>
  <si>
    <t xml:space="preserve">C15H22O2</t>
  </si>
  <si>
    <t xml:space="preserve">Dehydrocurdione; Valerenic acid; Curcumenol</t>
  </si>
  <si>
    <t xml:space="preserve">59283; 54874; 58106</t>
  </si>
  <si>
    <t xml:space="preserve">HMDB0035407; HMDB0030016; HMDB0033960</t>
  </si>
  <si>
    <t xml:space="preserve">C16949; C09743; C16942</t>
  </si>
  <si>
    <t xml:space="preserve">; ; 80811</t>
  </si>
  <si>
    <t xml:space="preserve">14191392; 6042891; 387977</t>
  </si>
  <si>
    <t xml:space="preserve">38230-32-9; 3569-10-6; 19431-84-6</t>
  </si>
  <si>
    <t xml:space="preserve">CC1CC\C=C(C)/CC(=O)C(CC1=O)=C(C)C; CC1CCC(\C=C(/C)C(O)=O)C2=C(C)CCC12; CC1CCC2C(C)=CC3(O)OC12CC3=C(C)C</t>
  </si>
  <si>
    <t xml:space="preserve">ZYPUZCWWTYIGFV-WDZFZDKYSA-N; FEBNTWHYQKGEIQ-DHZHZOJOSA-N; ISFMXVMWEWLJGJ-UHFFFAOYSA-N</t>
  </si>
  <si>
    <t xml:space="preserve">234.06663</t>
  </si>
  <si>
    <t xml:space="preserve">C14H9N3O</t>
  </si>
  <si>
    <t xml:space="preserve">pyrazoloacridone</t>
  </si>
  <si>
    <t xml:space="preserve">210729</t>
  </si>
  <si>
    <t xml:space="preserve">HMDB0256952</t>
  </si>
  <si>
    <t xml:space="preserve">129696828</t>
  </si>
  <si>
    <t xml:space="preserve">O=C1CC=C2N=C3C=CC4=NN=CC4=C3C=C2C1</t>
  </si>
  <si>
    <t xml:space="preserve">YZUYZKPCYQMFAH-UHFFFAOYSA-N</t>
  </si>
  <si>
    <t xml:space="preserve">Benzoquinolines</t>
  </si>
  <si>
    <t xml:space="preserve">235.13719</t>
  </si>
  <si>
    <t xml:space="preserve">C14H20O3</t>
  </si>
  <si>
    <t xml:space="preserve">Eremopetasidione</t>
  </si>
  <si>
    <t xml:space="preserve">63910</t>
  </si>
  <si>
    <t xml:space="preserve">HMDB0040778</t>
  </si>
  <si>
    <t xml:space="preserve">95243</t>
  </si>
  <si>
    <t xml:space="preserve">174214</t>
  </si>
  <si>
    <t xml:space="preserve">72755911</t>
  </si>
  <si>
    <t xml:space="preserve">163135-94-2</t>
  </si>
  <si>
    <t xml:space="preserve">CC1C(O)CCC2CC(=O)C(=CC12C)C(C)=O</t>
  </si>
  <si>
    <t xml:space="preserve">ZKOZDFWTXYIUDZ-UHFFFAOYSA-N</t>
  </si>
  <si>
    <t xml:space="preserve">Sesquiterpenoids</t>
  </si>
  <si>
    <t xml:space="preserve">235.17216</t>
  </si>
  <si>
    <t xml:space="preserve">C15H24O2</t>
  </si>
  <si>
    <t xml:space="preserve">2-Hydroxyacorenone</t>
  </si>
  <si>
    <t xml:space="preserve">55635</t>
  </si>
  <si>
    <t xml:space="preserve">HMDB0030916</t>
  </si>
  <si>
    <t xml:space="preserve">138759</t>
  </si>
  <si>
    <t xml:space="preserve">85213626</t>
  </si>
  <si>
    <t xml:space="preserve">185154-94-3</t>
  </si>
  <si>
    <t xml:space="preserve">CC(C)C1C(O)CC(C)C11CC=C(C)C(=O)C1</t>
  </si>
  <si>
    <t xml:space="preserve">ADNFCKCPNFGLCH-UHFFFAOYSA-N</t>
  </si>
  <si>
    <t xml:space="preserve">236.02695</t>
  </si>
  <si>
    <t xml:space="preserve">C7H11NO6S</t>
  </si>
  <si>
    <t xml:space="preserve">S-Cysteinosuccinic acid</t>
  </si>
  <si>
    <t xml:space="preserve">54376</t>
  </si>
  <si>
    <t xml:space="preserve">HMDB0029418</t>
  </si>
  <si>
    <t xml:space="preserve">86255</t>
  </si>
  <si>
    <t xml:space="preserve">157780</t>
  </si>
  <si>
    <t xml:space="preserve">169591</t>
  </si>
  <si>
    <t xml:space="preserve">34317-60-7</t>
  </si>
  <si>
    <t xml:space="preserve">NC(CSC(CC(O)=O)C(O)=O)C(O)=O</t>
  </si>
  <si>
    <t xml:space="preserve">XPKKFTKCRVIDAG-UHFFFAOYSA-N</t>
  </si>
  <si>
    <t xml:space="preserve">236.08013</t>
  </si>
  <si>
    <t xml:space="preserve">C12H13N3O</t>
  </si>
  <si>
    <t xml:space="preserve">3-(1,2,5,6-Tetrahydropyrid-4-yl)pyrrolo(3,2-b)pyrid-5-one</t>
  </si>
  <si>
    <t xml:space="preserve">205273</t>
  </si>
  <si>
    <t xml:space="preserve">HMDB0250504</t>
  </si>
  <si>
    <t xml:space="preserve">415325</t>
  </si>
  <si>
    <t xml:space="preserve">124007</t>
  </si>
  <si>
    <t xml:space="preserve">O=C1NC2=C(NC=C2C2=CCNCC2)C=C1</t>
  </si>
  <si>
    <t xml:space="preserve">PJYVGMRFPFNZCT-UHFFFAOYSA-N</t>
  </si>
  <si>
    <t xml:space="preserve">Pyrrolopyridines</t>
  </si>
  <si>
    <t xml:space="preserve">236.10454</t>
  </si>
  <si>
    <t xml:space="preserve">C11H15N3O3</t>
  </si>
  <si>
    <t xml:space="preserve">n-methacryloyl-l-histidine methyl ester</t>
  </si>
  <si>
    <t xml:space="preserve">209186</t>
  </si>
  <si>
    <t xml:space="preserve">HMDB0255167</t>
  </si>
  <si>
    <t xml:space="preserve">86021246</t>
  </si>
  <si>
    <t xml:space="preserve">COC(=O)C(CC1=CN=CN1)NC(=O)C(C)=C</t>
  </si>
  <si>
    <t xml:space="preserve">LTELWGJDCBOKRL-UHFFFAOYSA-N</t>
  </si>
  <si>
    <t xml:space="preserve">236.87718</t>
  </si>
  <si>
    <t xml:space="preserve">C3H6S5</t>
  </si>
  <si>
    <t xml:space="preserve">1,2,4,5,7-Pentathiocane</t>
  </si>
  <si>
    <t xml:space="preserve">62708</t>
  </si>
  <si>
    <t xml:space="preserve">HMDB0039431</t>
  </si>
  <si>
    <t xml:space="preserve">94005</t>
  </si>
  <si>
    <t xml:space="preserve">522753</t>
  </si>
  <si>
    <t xml:space="preserve">81531-39-7</t>
  </si>
  <si>
    <t xml:space="preserve">C1SCSSCSS1</t>
  </si>
  <si>
    <t xml:space="preserve">QFHGOPGLIADNQA-UHFFFAOYSA-N</t>
  </si>
  <si>
    <t xml:space="preserve">Organic disulfides</t>
  </si>
  <si>
    <t xml:space="preserve">237.11302</t>
  </si>
  <si>
    <t xml:space="preserve">C13H18O4</t>
  </si>
  <si>
    <t xml:space="preserve">2,2,4,4,-Tetramethyl-6-(1-oxopropyl)-1,3,5-cyclohexanetrione</t>
  </si>
  <si>
    <t xml:space="preserve">57444</t>
  </si>
  <si>
    <t xml:space="preserve">HMDB0033191</t>
  </si>
  <si>
    <t xml:space="preserve">89065</t>
  </si>
  <si>
    <t xml:space="preserve">171929</t>
  </si>
  <si>
    <t xml:space="preserve">100958560</t>
  </si>
  <si>
    <t xml:space="preserve">CCC(=O)C1C(=O)C(C)(C)C(=O)C(C)(C)C1=O</t>
  </si>
  <si>
    <t xml:space="preserve">IZVWNTVILPFEDY-UHFFFAOYSA-N</t>
  </si>
  <si>
    <t xml:space="preserve">237.15277</t>
  </si>
  <si>
    <t xml:space="preserve">C14H22O3</t>
  </si>
  <si>
    <t xml:space="preserve">3,4-Dimethyl-5-pentyl-2-furanpropanoic acid; Geranyl acetoacetate</t>
  </si>
  <si>
    <t xml:space="preserve">2636; 7559</t>
  </si>
  <si>
    <t xml:space="preserve">HMDB0112083; HMDB0038256</t>
  </si>
  <si>
    <t xml:space="preserve">; 92981</t>
  </si>
  <si>
    <t xml:space="preserve">LMFA01150023; LMFA07010896</t>
  </si>
  <si>
    <t xml:space="preserve">23425504; 54611954</t>
  </si>
  <si>
    <t xml:space="preserve">116627-39-5; 10032-00-5</t>
  </si>
  <si>
    <t xml:space="preserve">C(CC)CCC1=C(C)C(C)=C(CCC(=O)O)O1; C/C(=C\CC/C(=C\COC(=O)CC(=O)C)/C)/C</t>
  </si>
  <si>
    <t xml:space="preserve">OSCJFAHVJDDMFL-UHFFFAOYSA-N; RYILZWKGLGVPOC-WQLSENKSSA-N</t>
  </si>
  <si>
    <t xml:space="preserve">Fatty acids and conjugates; Fatty alcohol esters</t>
  </si>
  <si>
    <t xml:space="preserve">238.99623</t>
  </si>
  <si>
    <t xml:space="preserve">C7H8O7</t>
  </si>
  <si>
    <t xml:space="preserve">2-(2-Oxopropanoyloxy)butanedioic acid; Daucic acid</t>
  </si>
  <si>
    <t xml:space="preserve">211624; 56152</t>
  </si>
  <si>
    <t xml:space="preserve">HMDB0258031; HMDB0031665</t>
  </si>
  <si>
    <t xml:space="preserve">; 87845</t>
  </si>
  <si>
    <t xml:space="preserve">; 172444</t>
  </si>
  <si>
    <t xml:space="preserve">53644070; 5316316</t>
  </si>
  <si>
    <t xml:space="preserve">; 34098-52-7</t>
  </si>
  <si>
    <t xml:space="preserve">CC(=O)C(=O)OC(CC(O)=O)C(O)=O; OC1C=C(OC(C1O)C(O)=O)C(O)=O</t>
  </si>
  <si>
    <t xml:space="preserve">AIBNGERYLGBBKO-UHFFFAOYSA-N; KUKCUROTFRBUNU-UHFFFAOYSA-N</t>
  </si>
  <si>
    <t xml:space="preserve">Carboxylic acids and derivatives; Hydroxy acids and derivatives</t>
  </si>
  <si>
    <t xml:space="preserve">Tricarboxylic acids and derivatives; Beta hydroxy acids and derivatives</t>
  </si>
  <si>
    <t xml:space="preserve">239.16754</t>
  </si>
  <si>
    <t xml:space="preserve">C14H24O3</t>
  </si>
  <si>
    <t xml:space="preserve">L-Menthyl acetoacetate</t>
  </si>
  <si>
    <t xml:space="preserve">56723</t>
  </si>
  <si>
    <t xml:space="preserve">HMDB0032369</t>
  </si>
  <si>
    <t xml:space="preserve">88396</t>
  </si>
  <si>
    <t xml:space="preserve">168575</t>
  </si>
  <si>
    <t xml:space="preserve">43045</t>
  </si>
  <si>
    <t xml:space="preserve">59557-05-0</t>
  </si>
  <si>
    <t xml:space="preserve">CC(C)[C@H]1CC[C@H](C)C[C@@H]1OC(=O)CC(C)=O</t>
  </si>
  <si>
    <t xml:space="preserve">QSVQIPXQOCAWHP-UHTWSYAYSA-N</t>
  </si>
  <si>
    <t xml:space="preserve">240.06263</t>
  </si>
  <si>
    <t xml:space="preserve">C9H13N3O6</t>
  </si>
  <si>
    <t xml:space="preserve">Mizoribine</t>
  </si>
  <si>
    <t xml:space="preserve">64944</t>
  </si>
  <si>
    <t xml:space="preserve">HMDB0041934</t>
  </si>
  <si>
    <t xml:space="preserve">44352</t>
  </si>
  <si>
    <t xml:space="preserve">49776908</t>
  </si>
  <si>
    <t xml:space="preserve">50924-49-7</t>
  </si>
  <si>
    <t xml:space="preserve">NC(=O)C1=C(O)N(C=N1)[C@@H]1O[C@H](CO)[C@@H](O)[C@H]1O</t>
  </si>
  <si>
    <t xml:space="preserve">HZQDCMWJEBCWBR-UUOKFMHZSA-N</t>
  </si>
  <si>
    <t xml:space="preserve">Imidazole ribonucleosides and ribonucleotides</t>
  </si>
  <si>
    <t xml:space="preserve">1-ribosyl-imidazolecarboxamides</t>
  </si>
  <si>
    <t xml:space="preserve">241.10896</t>
  </si>
  <si>
    <t xml:space="preserve">C13H14N4O</t>
  </si>
  <si>
    <t xml:space="preserve">1,5-Diphenylcarbazide</t>
  </si>
  <si>
    <t xml:space="preserve">199755</t>
  </si>
  <si>
    <t xml:space="preserve">HMDB0244234</t>
  </si>
  <si>
    <t xml:space="preserve">68930</t>
  </si>
  <si>
    <t xml:space="preserve">C11232</t>
  </si>
  <si>
    <t xml:space="preserve">8789</t>
  </si>
  <si>
    <t xml:space="preserve">140-22-7</t>
  </si>
  <si>
    <t xml:space="preserve">O=C(NNC1=CC=CC=C1)NNC1=CC=CC=C1</t>
  </si>
  <si>
    <t xml:space="preserve">KSPIHGBHKVISFI-UHFFFAOYSA-N</t>
  </si>
  <si>
    <t xml:space="preserve">Phenylhydrazines</t>
  </si>
  <si>
    <t xml:space="preserve">241.18440</t>
  </si>
  <si>
    <t xml:space="preserve">C14H26O3</t>
  </si>
  <si>
    <t xml:space="preserve">3-Oxotetradecanoic acid; L-Menthyl (R,S)-3-hydroxybutyrate; 6-Ketomyristic acid</t>
  </si>
  <si>
    <t xml:space="preserve">2118; 56724; 2119</t>
  </si>
  <si>
    <t xml:space="preserve">HMDB0010730; HMDB0032370; HMDB0030982</t>
  </si>
  <si>
    <t xml:space="preserve">74737; 88397; 74738</t>
  </si>
  <si>
    <t xml:space="preserve">LMFA01060099; ; LMFA01060100</t>
  </si>
  <si>
    <t xml:space="preserve">454064; 10220444; 454063</t>
  </si>
  <si>
    <t xml:space="preserve">; 108766-16-1; 1619-89-2</t>
  </si>
  <si>
    <t xml:space="preserve">C(CC(=O)CCCCCCCCCCC)(=O)O; CC(O)CC(=O)O[C@@H]1C[C@H](C)CC[C@H]1C(C)C; C(CCCCC(=O)CCCCCCCC)(=O)O</t>
  </si>
  <si>
    <t xml:space="preserve">XLKOZYOVXNPWGT-UHFFFAOYSA-N; XSJPRWBZLUYOOI-IBSWDFHHSA-N; FCMLVMXRWKFUTG-UHFFFAOYSA-N</t>
  </si>
  <si>
    <t xml:space="preserve">Fatty acids and conjugates; Monoterpenoids; Fatty acids and conjugates</t>
  </si>
  <si>
    <t xml:space="preserve">242.08268</t>
  </si>
  <si>
    <t xml:space="preserve">C13H11NO</t>
  </si>
  <si>
    <t xml:space="preserve">2-Hydroxy-3-methyl-9H-carbazole; 1-Hydroxy-3-methyl-9H-carbazole</t>
  </si>
  <si>
    <t xml:space="preserve">57685; 57711</t>
  </si>
  <si>
    <t xml:space="preserve">HMDB0033455; HMDB0033487</t>
  </si>
  <si>
    <t xml:space="preserve">89286; 89307</t>
  </si>
  <si>
    <t xml:space="preserve">; 173545</t>
  </si>
  <si>
    <t xml:space="preserve">3459141; 607542</t>
  </si>
  <si>
    <t xml:space="preserve">24224-30-4; 14960-81-7</t>
  </si>
  <si>
    <t xml:space="preserve">CC1=C(O)C=C2NC3=CC=CC=C3C2=C1; CC1=CC2=C(NC3=CC=CC=C23)C(O)=C1</t>
  </si>
  <si>
    <t xml:space="preserve">ZLOJFAGTWDOURE-UHFFFAOYSA-N; IKITXHOOBOBUFJ-UHFFFAOYSA-N</t>
  </si>
  <si>
    <t xml:space="preserve">Indoles and derivatives; Indoles and derivatives</t>
  </si>
  <si>
    <t xml:space="preserve">Carbazoles; Carbazoles</t>
  </si>
  <si>
    <t xml:space="preserve">242.14819</t>
  </si>
  <si>
    <t xml:space="preserve">C11H21N3O3</t>
  </si>
  <si>
    <t xml:space="preserve">Lysylproline; Prolyl-Lysine</t>
  </si>
  <si>
    <t xml:space="preserve">53980; 54035</t>
  </si>
  <si>
    <t xml:space="preserve">HMDB0028959; HMDB0029022</t>
  </si>
  <si>
    <t xml:space="preserve">85861; </t>
  </si>
  <si>
    <t xml:space="preserve">74567; </t>
  </si>
  <si>
    <t xml:space="preserve">171204; 13653495</t>
  </si>
  <si>
    <t xml:space="preserve">52766-27-5; </t>
  </si>
  <si>
    <t xml:space="preserve">NCCCC[C@H](N)C(=O)N1CCC[C@H]1C(O)=O; NCCCCC(NC(=O)C1CCCN1)C(O)=O</t>
  </si>
  <si>
    <t xml:space="preserve">AIXUQKMMBQJZCU-IUCAKERBSA-N; RVQDZELMXZRSSI-UHFFFAOYSA-N</t>
  </si>
  <si>
    <t xml:space="preserve">243.06543</t>
  </si>
  <si>
    <t xml:space="preserve">C14H12O4</t>
  </si>
  <si>
    <t xml:space="preserve">3,3',4'5-Tetrahydroxystilbene</t>
  </si>
  <si>
    <t xml:space="preserve">35073</t>
  </si>
  <si>
    <t xml:space="preserve">HMDB0004215</t>
  </si>
  <si>
    <t xml:space="preserve">7029</t>
  </si>
  <si>
    <t xml:space="preserve">LMPK13090006</t>
  </si>
  <si>
    <t xml:space="preserve">C05901</t>
  </si>
  <si>
    <t xml:space="preserve">28814</t>
  </si>
  <si>
    <t xml:space="preserve">667639</t>
  </si>
  <si>
    <t xml:space="preserve">10083-24-6</t>
  </si>
  <si>
    <t xml:space="preserve">C1=C(O)C=C(/C=C/C2=CC(O)=C(O)C=C2)C=C1O</t>
  </si>
  <si>
    <t xml:space="preserve">CDRPUGZCRXZLFL-OWOJBTEDSA-N</t>
  </si>
  <si>
    <t xml:space="preserve">Stilbenes</t>
  </si>
  <si>
    <t xml:space="preserve">243.14223</t>
  </si>
  <si>
    <t xml:space="preserve">C15H18</t>
  </si>
  <si>
    <t xml:space="preserve">7-Isopropyl-1,4-dimethylazulene</t>
  </si>
  <si>
    <t xml:space="preserve">35661</t>
  </si>
  <si>
    <t xml:space="preserve">HMDB0036648</t>
  </si>
  <si>
    <t xml:space="preserve">53446</t>
  </si>
  <si>
    <t xml:space="preserve">LMPR0103410006</t>
  </si>
  <si>
    <t xml:space="preserve">C09675</t>
  </si>
  <si>
    <t xml:space="preserve">5550</t>
  </si>
  <si>
    <t xml:space="preserve">3515</t>
  </si>
  <si>
    <t xml:space="preserve">489-84-9</t>
  </si>
  <si>
    <t xml:space="preserve">C1=CC(C(C)C)=CC2=C(C)C=CC2=C1C</t>
  </si>
  <si>
    <t xml:space="preserve">FWKQNCXZGNBPFD-UHFFFAOYSA-N</t>
  </si>
  <si>
    <t xml:space="preserve">243.17683</t>
  </si>
  <si>
    <t xml:space="preserve">C17H24O</t>
  </si>
  <si>
    <t xml:space="preserve">Panaxynol</t>
  </si>
  <si>
    <t xml:space="preserve">62851</t>
  </si>
  <si>
    <t xml:space="preserve">HMDB0039588</t>
  </si>
  <si>
    <t xml:space="preserve">C17447</t>
  </si>
  <si>
    <t xml:space="preserve">5353620</t>
  </si>
  <si>
    <t xml:space="preserve">81203-57-8</t>
  </si>
  <si>
    <t xml:space="preserve">CCCCCCC\C=C\CC#CC#CC(O)C=C</t>
  </si>
  <si>
    <t xml:space="preserve">UGJAEDFOKNAMQD-ZHACJKMWSA-N</t>
  </si>
  <si>
    <t xml:space="preserve">Fatty alcohols</t>
  </si>
  <si>
    <t xml:space="preserve">243.19958</t>
  </si>
  <si>
    <t xml:space="preserve">C14H28O3</t>
  </si>
  <si>
    <t xml:space="preserve">(R)-3-Hydroxy-tetradecanoic acid; 3-Hydroxytetradecanoic acid; 2-Hydroxymyristic acid</t>
  </si>
  <si>
    <t xml:space="preserve">1837; 1838; 1950</t>
  </si>
  <si>
    <t xml:space="preserve">HMDB0010731; HMDB0061656; HMDB0002261</t>
  </si>
  <si>
    <t xml:space="preserve">35675; 35676; 6579</t>
  </si>
  <si>
    <t xml:space="preserve">LMFA01050322; LMFA01050323; LMFA01050484</t>
  </si>
  <si>
    <t xml:space="preserve">42539; 37374; 59270</t>
  </si>
  <si>
    <t xml:space="preserve">5288266; 5312869; 1563</t>
  </si>
  <si>
    <t xml:space="preserve">; 35683-15-9; 2507-55-3</t>
  </si>
  <si>
    <t xml:space="preserve">C(C[C@H](O)CCCCCCCCCCC)(=O)O; C(C[C@@H](O)CCCCCCCCCCC)(=O)O; C(C(O)CCCCCCCCCCCC)(O)=O</t>
  </si>
  <si>
    <t xml:space="preserve">ATRNZOYKSNPPBF-CYBMUJFWSA-N; ATRNZOYKSNPPBF-ZDUSSCGKSA-N; JYZJYKOZGGEXSX-UHFFFAOYSA-N</t>
  </si>
  <si>
    <t xml:space="preserve">245.04547</t>
  </si>
  <si>
    <t xml:space="preserve">C13H10O5</t>
  </si>
  <si>
    <t xml:space="preserve">Isopimpinellin</t>
  </si>
  <si>
    <t xml:space="preserve">58357</t>
  </si>
  <si>
    <t xml:space="preserve">HMDB0034312</t>
  </si>
  <si>
    <t xml:space="preserve">43730</t>
  </si>
  <si>
    <t xml:space="preserve">C02162</t>
  </si>
  <si>
    <t xml:space="preserve">28853</t>
  </si>
  <si>
    <t xml:space="preserve">68079</t>
  </si>
  <si>
    <t xml:space="preserve">482-27-9</t>
  </si>
  <si>
    <t xml:space="preserve">COC1=C2OC=CC2=C(OC)C2=C1OC(=O)C=C2</t>
  </si>
  <si>
    <t xml:space="preserve">DFMAXQKDIGCMTL-UHFFFAOYSA-N</t>
  </si>
  <si>
    <t xml:space="preserve">Coumarins and derivatives</t>
  </si>
  <si>
    <t xml:space="preserve">Furanocoumarins</t>
  </si>
  <si>
    <t xml:space="preserve">245.07388</t>
  </si>
  <si>
    <t xml:space="preserve">C15H17ClO2</t>
  </si>
  <si>
    <t xml:space="preserve">3beta-Chlorodehydrocostuslactone</t>
  </si>
  <si>
    <t xml:space="preserve">255029</t>
  </si>
  <si>
    <t xml:space="preserve">HMDB0302038</t>
  </si>
  <si>
    <t xml:space="preserve">10659317</t>
  </si>
  <si>
    <t xml:space="preserve">[H][C@@]12CCC(=C)[C@]3([H])C[C@H](Cl)C(=C)[C@]3([H])[C@@]1([H])OC(=O)C2=C</t>
  </si>
  <si>
    <t xml:space="preserve">XVGIEOUYQLZGPH-PEDHHIEDSA-N</t>
  </si>
  <si>
    <t xml:space="preserve">Terpene lactones</t>
  </si>
  <si>
    <t xml:space="preserve">246.04907</t>
  </si>
  <si>
    <t xml:space="preserve">C7H18NO2PS</t>
  </si>
  <si>
    <t xml:space="preserve">Medemo</t>
  </si>
  <si>
    <t xml:space="preserve">208524</t>
  </si>
  <si>
    <t xml:space="preserve">HMDB0254401</t>
  </si>
  <si>
    <t xml:space="preserve">102302</t>
  </si>
  <si>
    <t xml:space="preserve">CCOP(C)(=O)SCCN(C)C</t>
  </si>
  <si>
    <t xml:space="preserve">PKDYQTANBZBIRM-UHFFFAOYSA-N</t>
  </si>
  <si>
    <t xml:space="preserve">247.06664</t>
  </si>
  <si>
    <t xml:space="preserve">C13H13ClN2O</t>
  </si>
  <si>
    <t xml:space="preserve">6-Chloro-2,3,4,9-tetrahydro-1H-carbazole-1-carboxamide</t>
  </si>
  <si>
    <t xml:space="preserve">202027</t>
  </si>
  <si>
    <t xml:space="preserve">HMDB0246699</t>
  </si>
  <si>
    <t xml:space="preserve">45194</t>
  </si>
  <si>
    <t xml:space="preserve">90369</t>
  </si>
  <si>
    <t xml:space="preserve">5113032</t>
  </si>
  <si>
    <t xml:space="preserve">49843-98-3</t>
  </si>
  <si>
    <t xml:space="preserve">NC(=O)C1CCCC2=C1NC1=C2C=C(Cl)C=C1</t>
  </si>
  <si>
    <t xml:space="preserve">FUZYTVDVLBBXDL-UHFFFAOYSA-N</t>
  </si>
  <si>
    <t xml:space="preserve">Carbazoles</t>
  </si>
  <si>
    <t xml:space="preserve">247.13895</t>
  </si>
  <si>
    <t xml:space="preserve">C8H18N4O2</t>
  </si>
  <si>
    <t xml:space="preserve">Asymmetric dimethylarginine</t>
  </si>
  <si>
    <t xml:space="preserve">47640</t>
  </si>
  <si>
    <t xml:space="preserve">HMDB0001539</t>
  </si>
  <si>
    <t xml:space="preserve">6891</t>
  </si>
  <si>
    <t xml:space="preserve">C03626</t>
  </si>
  <si>
    <t xml:space="preserve">17929</t>
  </si>
  <si>
    <t xml:space="preserve">123831</t>
  </si>
  <si>
    <t xml:space="preserve">30315-93-6</t>
  </si>
  <si>
    <t xml:space="preserve">N[C@@H](CCC\N=C(/N)N(C)C)C(O)=O</t>
  </si>
  <si>
    <t xml:space="preserve">YDGMGEXADBMOMJ-LURJTMIESA-N</t>
  </si>
  <si>
    <t xml:space="preserve">248.97708</t>
  </si>
  <si>
    <t xml:space="preserve">C12H9ClO3S</t>
  </si>
  <si>
    <t xml:space="preserve">Fenson</t>
  </si>
  <si>
    <t xml:space="preserve">206729</t>
  </si>
  <si>
    <t xml:space="preserve">HMDB0252223</t>
  </si>
  <si>
    <t xml:space="preserve">72781</t>
  </si>
  <si>
    <t xml:space="preserve">C19030</t>
  </si>
  <si>
    <t xml:space="preserve">6636</t>
  </si>
  <si>
    <t xml:space="preserve">80-38-6</t>
  </si>
  <si>
    <t xml:space="preserve">ClC1=CC=C(OS(=O)(=O)C2=CC=CC=C2)C=C1</t>
  </si>
  <si>
    <t xml:space="preserve">SPJOZZSIXXJYBT-UHFFFAOYSA-N</t>
  </si>
  <si>
    <t xml:space="preserve">249.15245</t>
  </si>
  <si>
    <t xml:space="preserve">C12H26O3S</t>
  </si>
  <si>
    <t xml:space="preserve">1-Dodecanesulfonic acid</t>
  </si>
  <si>
    <t xml:space="preserve">199402</t>
  </si>
  <si>
    <t xml:space="preserve">HMDB0243865</t>
  </si>
  <si>
    <t xml:space="preserve">15192</t>
  </si>
  <si>
    <t xml:space="preserve">CCCCCCCCCCCCS(O)(=O)=O</t>
  </si>
  <si>
    <t xml:space="preserve">LDMOEFOXLIZJOW-UHFFFAOYSA-N</t>
  </si>
  <si>
    <t xml:space="preserve">250.04771</t>
  </si>
  <si>
    <t xml:space="preserve">C8H12ClNO3</t>
  </si>
  <si>
    <t xml:space="preserve">Pyridoxine hydrochloride</t>
  </si>
  <si>
    <t xml:space="preserve">254844</t>
  </si>
  <si>
    <t xml:space="preserve">HMDB0301760</t>
  </si>
  <si>
    <t xml:space="preserve">30961</t>
  </si>
  <si>
    <t xml:space="preserve">6019</t>
  </si>
  <si>
    <t xml:space="preserve">58-56-0</t>
  </si>
  <si>
    <t xml:space="preserve">Cl.CC1=C(O)C(CO)=C(CO)C=N1</t>
  </si>
  <si>
    <t xml:space="preserve">ZUFQODAHGAHPFQ-UHFFFAOYSA-N</t>
  </si>
  <si>
    <t xml:space="preserve">Pyridoxines</t>
  </si>
  <si>
    <t xml:space="preserve">250.08959</t>
  </si>
  <si>
    <t xml:space="preserve">C11H14ClN5</t>
  </si>
  <si>
    <t xml:space="preserve">cycloguanil</t>
  </si>
  <si>
    <t xml:space="preserve">82817</t>
  </si>
  <si>
    <t xml:space="preserve">HMDB0060974</t>
  </si>
  <si>
    <t xml:space="preserve">2129</t>
  </si>
  <si>
    <t xml:space="preserve">C11724</t>
  </si>
  <si>
    <t xml:space="preserve">135029</t>
  </si>
  <si>
    <t xml:space="preserve">9049</t>
  </si>
  <si>
    <t xml:space="preserve">516-21-2</t>
  </si>
  <si>
    <t xml:space="preserve">CC1(C)NC(=N)NC(=N)N1C1=CC=C(Cl)C=C1</t>
  </si>
  <si>
    <t xml:space="preserve">QMNFFXRFOJIOKZ-UHFFFAOYSA-N</t>
  </si>
  <si>
    <t xml:space="preserve">Aminotriazines</t>
  </si>
  <si>
    <t xml:space="preserve">250.14840</t>
  </si>
  <si>
    <t xml:space="preserve">C14H21NO3</t>
  </si>
  <si>
    <t xml:space="preserve">2-Nitrophenyl octyl ether</t>
  </si>
  <si>
    <t xml:space="preserve">200700</t>
  </si>
  <si>
    <t xml:space="preserve">HMDB0245262</t>
  </si>
  <si>
    <t xml:space="preserve">169952</t>
  </si>
  <si>
    <t xml:space="preserve">CCCCCCCCOC1=CC=CC=C1[N+]([O-])=O</t>
  </si>
  <si>
    <t xml:space="preserve">CXVOIIMJZFREMM-UHFFFAOYSA-N</t>
  </si>
  <si>
    <t xml:space="preserve">251.08500</t>
  </si>
  <si>
    <t xml:space="preserve">C14H17ClO2</t>
  </si>
  <si>
    <t xml:space="preserve">Pterosin J</t>
  </si>
  <si>
    <t xml:space="preserve">61594</t>
  </si>
  <si>
    <t xml:space="preserve">HMDB0038161</t>
  </si>
  <si>
    <t xml:space="preserve">92900</t>
  </si>
  <si>
    <t xml:space="preserve">5320786</t>
  </si>
  <si>
    <t xml:space="preserve">41411-02-3</t>
  </si>
  <si>
    <t xml:space="preserve">CC1C(O)C2=C(C1=O)C(C)=C(CCCl)C(C)=C2</t>
  </si>
  <si>
    <t xml:space="preserve">QKHXGZXWZRQICQ-UHFFFAOYSA-N</t>
  </si>
  <si>
    <t xml:space="preserve">251.20483</t>
  </si>
  <si>
    <t xml:space="preserve">C16H28O2</t>
  </si>
  <si>
    <t xml:space="preserve">7Z,10Z-Hexadecadienoic acid; Geranyl hexanoate; Linalyl hexanoate</t>
  </si>
  <si>
    <t xml:space="preserve">1218; 7366; 55244</t>
  </si>
  <si>
    <t xml:space="preserve">HMDB0000477; HMDB0029351; HMDB0030429</t>
  </si>
  <si>
    <t xml:space="preserve">45809; 86212; 86970</t>
  </si>
  <si>
    <t xml:space="preserve">LMFA01030807; LMFA07010627; </t>
  </si>
  <si>
    <t xml:space="preserve">86147; ; </t>
  </si>
  <si>
    <t xml:space="preserve">13932172; 12571389; 564550</t>
  </si>
  <si>
    <t xml:space="preserve">28290-73-5; 10032-02-7; 7779-23-9</t>
  </si>
  <si>
    <t xml:space="preserve">C(=O)(O)CCCCC/C=C\C/C=C\CCCCC; O=C(CCCCC)OC/C=C(/C)\CC/C=C(\C)/C; CCCCCC(=O)OC(C)(CCC=C(C)C)C=C</t>
  </si>
  <si>
    <t xml:space="preserve">WPJGPAAPSBVXNU-HZJYTTRNSA-N; ARVSCQUZFFSNKF-QINSGFPZSA-N; ALKCLFLTXBBMMP-UHFFFAOYSA-N</t>
  </si>
  <si>
    <t xml:space="preserve">Fatty Acyls; Fatty Acyls; Prenol lipids</t>
  </si>
  <si>
    <t xml:space="preserve">Fatty acids and conjugates; Fatty alcohol esters; Monoterpenoids</t>
  </si>
  <si>
    <t xml:space="preserve">251.99967</t>
  </si>
  <si>
    <t xml:space="preserve">C10H7N3OS</t>
  </si>
  <si>
    <t xml:space="preserve">5-Hydroxythiabendazole</t>
  </si>
  <si>
    <t xml:space="preserve">202883</t>
  </si>
  <si>
    <t xml:space="preserve">HMDB0247680</t>
  </si>
  <si>
    <t xml:space="preserve">2824</t>
  </si>
  <si>
    <t xml:space="preserve">108227</t>
  </si>
  <si>
    <t xml:space="preserve">948-71-0</t>
  </si>
  <si>
    <t xml:space="preserve">OC1=CC2=C(C=C1)N=C(N2)C1=CSC=N1</t>
  </si>
  <si>
    <t xml:space="preserve">VNENJHUOPQAPAT-UHFFFAOYSA-N</t>
  </si>
  <si>
    <t xml:space="preserve">252.10605</t>
  </si>
  <si>
    <t xml:space="preserve">C12H14FNO</t>
  </si>
  <si>
    <t xml:space="preserve">(1E,3E)-1-(4-Fluorophenyl)-2-methyl-1-penten-3-one oxime</t>
  </si>
  <si>
    <t xml:space="preserve">198770</t>
  </si>
  <si>
    <t xml:space="preserve">HMDB0242307</t>
  </si>
  <si>
    <t xml:space="preserve">71317653</t>
  </si>
  <si>
    <t xml:space="preserve">CCC(=NO)C(C)=CC1=CC=C(F)C=C1</t>
  </si>
  <si>
    <t xml:space="preserve">HKROEBDHHKMNBZ-UHFFFAOYSA-N</t>
  </si>
  <si>
    <t xml:space="preserve">252.95477</t>
  </si>
  <si>
    <t xml:space="preserve">C10H2O6</t>
  </si>
  <si>
    <t xml:space="preserve">Pyromellitic dianhydride</t>
  </si>
  <si>
    <t xml:space="preserve">202774</t>
  </si>
  <si>
    <t xml:space="preserve">HMDB0247561</t>
  </si>
  <si>
    <t xml:space="preserve">6966</t>
  </si>
  <si>
    <t xml:space="preserve">O=C1OC(=O)C2=CC3=C(C=C12)C(=O)OC3=O</t>
  </si>
  <si>
    <t xml:space="preserve">ANSXAPJVJOKRDJ-UHFFFAOYSA-N</t>
  </si>
  <si>
    <t xml:space="preserve">Isobenzofurans</t>
  </si>
  <si>
    <t xml:space="preserve">253.10760</t>
  </si>
  <si>
    <t xml:space="preserve">C13H18O5</t>
  </si>
  <si>
    <t xml:space="preserve">Methyl 3-(2,3-dihydroxy-3-methylbutyl)-4-hydroxybenzoate</t>
  </si>
  <si>
    <t xml:space="preserve">57067</t>
  </si>
  <si>
    <t xml:space="preserve">HMDB0032796</t>
  </si>
  <si>
    <t xml:space="preserve">88719</t>
  </si>
  <si>
    <t xml:space="preserve">138773</t>
  </si>
  <si>
    <t xml:space="preserve">11184361</t>
  </si>
  <si>
    <t xml:space="preserve">117176-70-2</t>
  </si>
  <si>
    <t xml:space="preserve">COC(=O)C1=CC(CC(O)C(C)(C)O)=C(O)C=C1</t>
  </si>
  <si>
    <t xml:space="preserve">ABFHVQPVDSMGNR-UHFFFAOYSA-N</t>
  </si>
  <si>
    <t xml:space="preserve">Benzoic acids and derivatives</t>
  </si>
  <si>
    <t xml:space="preserve">253.21990</t>
  </si>
  <si>
    <t xml:space="preserve">C16H30O2</t>
  </si>
  <si>
    <t xml:space="preserve">15-Hexadecenoic acid</t>
  </si>
  <si>
    <t xml:space="preserve">200148</t>
  </si>
  <si>
    <t xml:space="preserve">HMDB0244666</t>
  </si>
  <si>
    <t xml:space="preserve">11680418</t>
  </si>
  <si>
    <t xml:space="preserve">OC(=O)CCCCCCCCCCCCCC=C</t>
  </si>
  <si>
    <t xml:space="preserve">HVODZEXFHPAFHB-UHFFFAOYSA-N</t>
  </si>
  <si>
    <t xml:space="preserve">254.08180</t>
  </si>
  <si>
    <t xml:space="preserve">C15H15NO4</t>
  </si>
  <si>
    <t xml:space="preserve">L-Thyronine</t>
  </si>
  <si>
    <t xml:space="preserve">47147</t>
  </si>
  <si>
    <t xml:space="preserve">HMDB0000667</t>
  </si>
  <si>
    <t xml:space="preserve">5637</t>
  </si>
  <si>
    <t xml:space="preserve">30662</t>
  </si>
  <si>
    <t xml:space="preserve">5461103</t>
  </si>
  <si>
    <t xml:space="preserve">1596-67-4</t>
  </si>
  <si>
    <t xml:space="preserve">N[C@@H](CC1=CC=C(OC2=CC=C(O)C=C2)C=C1)C(O)=O</t>
  </si>
  <si>
    <t xml:space="preserve">KKCIOUWDFWQUBT-AWEZNQCLSA-N</t>
  </si>
  <si>
    <t xml:space="preserve">254.14742</t>
  </si>
  <si>
    <t xml:space="preserve">C10H23N3O3</t>
  </si>
  <si>
    <t xml:space="preserve">Hypusine</t>
  </si>
  <si>
    <t xml:space="preserve">1965</t>
  </si>
  <si>
    <t xml:space="preserve">HMDB0011140</t>
  </si>
  <si>
    <t xml:space="preserve">LMFA01050514</t>
  </si>
  <si>
    <t xml:space="preserve">65396</t>
  </si>
  <si>
    <t xml:space="preserve">34994-11-1</t>
  </si>
  <si>
    <t xml:space="preserve">NCC[C@H](O)CNCCCC[C@H](N)C(O)=O</t>
  </si>
  <si>
    <t xml:space="preserve">BZUIJMCJNWUGKQ-IUCAKERBSA-N</t>
  </si>
  <si>
    <t xml:space="preserve">254.88198</t>
  </si>
  <si>
    <t xml:space="preserve">C2H2Cl2O2</t>
  </si>
  <si>
    <t xml:space="preserve">Chloromethyl chloroformate</t>
  </si>
  <si>
    <t xml:space="preserve">204954</t>
  </si>
  <si>
    <t xml:space="preserve">HMDB0250119</t>
  </si>
  <si>
    <t xml:space="preserve">62754</t>
  </si>
  <si>
    <t xml:space="preserve">ClCOC(Cl)=O</t>
  </si>
  <si>
    <t xml:space="preserve">JYWJULGYGOLCGW-UHFFFAOYSA-N</t>
  </si>
  <si>
    <t xml:space="preserve">254.98179</t>
  </si>
  <si>
    <t xml:space="preserve">C10H8N2S2</t>
  </si>
  <si>
    <t xml:space="preserve">4,4'-Dipyridyl disulfide; 2,2'-Dithiodipyridine</t>
  </si>
  <si>
    <t xml:space="preserve">201938; 200787</t>
  </si>
  <si>
    <t xml:space="preserve">HMDB0246606; HMDB0245356</t>
  </si>
  <si>
    <t xml:space="preserve">462928; 452491</t>
  </si>
  <si>
    <t xml:space="preserve">41814; 143170</t>
  </si>
  <si>
    <t xml:space="preserve">75846; 65093</t>
  </si>
  <si>
    <t xml:space="preserve">S(SC1=CC=NC=C1)C1=CC=NC=C1; S(SC1=CC=CC=N1)C1=CC=CC=N1</t>
  </si>
  <si>
    <t xml:space="preserve">UHBAPGWWRFVTFS-UHFFFAOYSA-N; HAXFWIACAGNFHA-UHFFFAOYSA-N</t>
  </si>
  <si>
    <t xml:space="preserve">255.00374</t>
  </si>
  <si>
    <t xml:space="preserve">C10H9O6P</t>
  </si>
  <si>
    <t xml:space="preserve">4-Methylumbelliferyl phosphate</t>
  </si>
  <si>
    <t xml:space="preserve">201856</t>
  </si>
  <si>
    <t xml:space="preserve">HMDB0246521</t>
  </si>
  <si>
    <t xml:space="preserve">348000</t>
  </si>
  <si>
    <t xml:space="preserve">65118</t>
  </si>
  <si>
    <t xml:space="preserve">CC1=CC(=O)OC2=C1C=CC(OP(O)(O)=O)=C2</t>
  </si>
  <si>
    <t xml:space="preserve">BCHIXGBGRHLSBE-UHFFFAOYSA-N</t>
  </si>
  <si>
    <t xml:space="preserve">255.16822</t>
  </si>
  <si>
    <t xml:space="preserve">C13H26N2O4</t>
  </si>
  <si>
    <t xml:space="preserve">Adelmidrol</t>
  </si>
  <si>
    <t xml:space="preserve">203169</t>
  </si>
  <si>
    <t xml:space="preserve">HMDB0248003</t>
  </si>
  <si>
    <t xml:space="preserve">438755</t>
  </si>
  <si>
    <t xml:space="preserve">176874</t>
  </si>
  <si>
    <t xml:space="preserve">OCCNC(=O)CCCCCCCC(=O)NCCO</t>
  </si>
  <si>
    <t xml:space="preserve">PAHZPHDAJQIETD-UHFFFAOYSA-N</t>
  </si>
  <si>
    <t xml:space="preserve">255.23560</t>
  </si>
  <si>
    <t xml:space="preserve">C16H32O2</t>
  </si>
  <si>
    <t xml:space="preserve">FA(16:0)</t>
  </si>
  <si>
    <t xml:space="preserve">48</t>
  </si>
  <si>
    <t xml:space="preserve">HMDB0000220</t>
  </si>
  <si>
    <t xml:space="preserve">187</t>
  </si>
  <si>
    <t xml:space="preserve">LMFA01010001</t>
  </si>
  <si>
    <t xml:space="preserve">C00249</t>
  </si>
  <si>
    <t xml:space="preserve">15756</t>
  </si>
  <si>
    <t xml:space="preserve">985</t>
  </si>
  <si>
    <t xml:space="preserve">57-10-3</t>
  </si>
  <si>
    <t xml:space="preserve">OC(CCCCCCCCCCCCCCC)=O</t>
  </si>
  <si>
    <t xml:space="preserve">IPCSVZSSVZVIGE-UHFFFAOYSA-N</t>
  </si>
  <si>
    <t xml:space="preserve">256.06279</t>
  </si>
  <si>
    <t xml:space="preserve">C9H11N5O2</t>
  </si>
  <si>
    <t xml:space="preserve">2'-Deoxysepiapterin</t>
  </si>
  <si>
    <t xml:space="preserve">47020</t>
  </si>
  <si>
    <t xml:space="preserve">HMDB0000389</t>
  </si>
  <si>
    <t xml:space="preserve">166566</t>
  </si>
  <si>
    <t xml:space="preserve">14055971</t>
  </si>
  <si>
    <t xml:space="preserve">1797-87-1</t>
  </si>
  <si>
    <t xml:space="preserve">CCC(=O)C1=NC2=C(NC1)NC(N)=NC2=O</t>
  </si>
  <si>
    <t xml:space="preserve">MXQYRFPIGKAGPW-UHFFFAOYSA-N</t>
  </si>
  <si>
    <t xml:space="preserve">Pterins and derivatives</t>
  </si>
  <si>
    <t xml:space="preserve">256.09887</t>
  </si>
  <si>
    <t xml:space="preserve">C11H14FNO2</t>
  </si>
  <si>
    <t xml:space="preserve">2-(3,4-Dimethoxyphenyl)-3-fluoroallylamine</t>
  </si>
  <si>
    <t xml:space="preserve">200550</t>
  </si>
  <si>
    <t xml:space="preserve">HMDB0245106</t>
  </si>
  <si>
    <t xml:space="preserve">121849</t>
  </si>
  <si>
    <t xml:space="preserve">COC1=C(OC)C=C(C=C1)C(CN)=CF</t>
  </si>
  <si>
    <t xml:space="preserve">HLNSVKSSCLHOSW-UHFFFAOYSA-N</t>
  </si>
  <si>
    <t xml:space="preserve">Methoxybenzenes</t>
  </si>
  <si>
    <t xml:space="preserve">257.18026</t>
  </si>
  <si>
    <t xml:space="preserve">C14H26O4</t>
  </si>
  <si>
    <t xml:space="preserve">Tetradecanedioic acid</t>
  </si>
  <si>
    <t xml:space="preserve">2833</t>
  </si>
  <si>
    <t xml:space="preserve">HMDB0000872</t>
  </si>
  <si>
    <t xml:space="preserve">5833</t>
  </si>
  <si>
    <t xml:space="preserve">LMFA01170018</t>
  </si>
  <si>
    <t xml:space="preserve">C11002</t>
  </si>
  <si>
    <t xml:space="preserve">76308</t>
  </si>
  <si>
    <t xml:space="preserve">13185</t>
  </si>
  <si>
    <t xml:space="preserve">821-38-5</t>
  </si>
  <si>
    <t xml:space="preserve">C(CCCCCCCCCCCCC(=O)O)(=O)O</t>
  </si>
  <si>
    <t xml:space="preserve">HQHCYKULIHKCEB-UHFFFAOYSA-N</t>
  </si>
  <si>
    <t xml:space="preserve">259.03503</t>
  </si>
  <si>
    <t xml:space="preserve">C8H10N6O2</t>
  </si>
  <si>
    <t xml:space="preserve">9-(1,3-Dioxolan-2-yl)purine-2,6-diamine</t>
  </si>
  <si>
    <t xml:space="preserve">211385</t>
  </si>
  <si>
    <t xml:space="preserve">HMDB0257744</t>
  </si>
  <si>
    <t xml:space="preserve">21923886</t>
  </si>
  <si>
    <t xml:space="preserve">NC1=NC2=C(N=CN2C2OCCO2)C(N)=N1</t>
  </si>
  <si>
    <t xml:space="preserve">PAYCEUPNUMVUEH-UHFFFAOYSA-N</t>
  </si>
  <si>
    <t xml:space="preserve">259.13101</t>
  </si>
  <si>
    <t xml:space="preserve">C11H20N2O5</t>
  </si>
  <si>
    <t xml:space="preserve">Glutamylisoleucine; Glutamylleucine; gamma-Glutamylleucine</t>
  </si>
  <si>
    <t xml:space="preserve">53856; 53857; 51189</t>
  </si>
  <si>
    <t xml:space="preserve">HMDB0028822; HMDB0028823; HMDB0011171</t>
  </si>
  <si>
    <t xml:space="preserve">; 44684; 23750</t>
  </si>
  <si>
    <t xml:space="preserve">141436; 73506; 68433</t>
  </si>
  <si>
    <t xml:space="preserve">9813855; 9856500; 151023</t>
  </si>
  <si>
    <t xml:space="preserve">5879-22-1; 5969-52-8; 2566-39-4</t>
  </si>
  <si>
    <t xml:space="preserve">CC[C@H](C)[C@H](NC(=O)[C@@H](N)CCC(O)=O)C(O)=O; CC(C)C[C@H](NC(=O)[C@@H](N)CCC(O)=O)C(O)=O; CC(C)C[C@H](NC(=O)CC[C@H](N)C(O)=O)C(O)=O</t>
  </si>
  <si>
    <t xml:space="preserve">SNFUTDLOCQQRQD-ZKWXMUAHSA-N; YBAFDPFAUTYYRW-YUMQZZPRSA-N; MYFMARDICOWMQP-YUMQZZPRSA-N</t>
  </si>
  <si>
    <t xml:space="preserve">260.04112</t>
  </si>
  <si>
    <t xml:space="preserve">C8H9N5O4</t>
  </si>
  <si>
    <t xml:space="preserve">9-Carboxymethoxymethylguanine</t>
  </si>
  <si>
    <t xml:space="preserve">82665</t>
  </si>
  <si>
    <t xml:space="preserve">HMDB0060805</t>
  </si>
  <si>
    <t xml:space="preserve">133521</t>
  </si>
  <si>
    <t xml:space="preserve">OC(=O)COCN1C=NC2=C1NC(=N)N=C2O</t>
  </si>
  <si>
    <t xml:space="preserve">MICNQLKUSOVNNG-UHFFFAOYSA-N</t>
  </si>
  <si>
    <t xml:space="preserve">261.03505</t>
  </si>
  <si>
    <t xml:space="preserve">C10H15O4PS</t>
  </si>
  <si>
    <t xml:space="preserve">Fenthion oxon</t>
  </si>
  <si>
    <t xml:space="preserve">206731</t>
  </si>
  <si>
    <t xml:space="preserve">HMDB0252225</t>
  </si>
  <si>
    <t xml:space="preserve">23046</t>
  </si>
  <si>
    <t xml:space="preserve">COP(=O)(OC)OC1=CC(C)=C(SC)C=C1</t>
  </si>
  <si>
    <t xml:space="preserve">ZNRZGJAHNMGWQN-UHFFFAOYSA-N</t>
  </si>
  <si>
    <t xml:space="preserve">Phenoxy compounds</t>
  </si>
  <si>
    <t xml:space="preserve">261.14184</t>
  </si>
  <si>
    <t xml:space="preserve">C17H22</t>
  </si>
  <si>
    <t xml:space="preserve">(8E,15E)-1,8,15-Heptadecatriene-11,13-diyne</t>
  </si>
  <si>
    <t xml:space="preserve">55698</t>
  </si>
  <si>
    <t xml:space="preserve">HMDB0031041</t>
  </si>
  <si>
    <t xml:space="preserve">87369</t>
  </si>
  <si>
    <t xml:space="preserve">131751122</t>
  </si>
  <si>
    <t xml:space="preserve">28834-02-8</t>
  </si>
  <si>
    <t xml:space="preserve">C\C=C/C#CC#CC\C=C\CCCCCC=C</t>
  </si>
  <si>
    <t xml:space="preserve">OJWVHJFAQCYGMT-LPMQCFACSA-N</t>
  </si>
  <si>
    <t xml:space="preserve">Enynes</t>
  </si>
  <si>
    <t xml:space="preserve">261.94027</t>
  </si>
  <si>
    <t xml:space="preserve">C10H5Cl2NO2</t>
  </si>
  <si>
    <t xml:space="preserve">Quinclorac</t>
  </si>
  <si>
    <t xml:space="preserve">210807</t>
  </si>
  <si>
    <t xml:space="preserve">HMDB0257037</t>
  </si>
  <si>
    <t xml:space="preserve">72574</t>
  </si>
  <si>
    <t xml:space="preserve">C18806</t>
  </si>
  <si>
    <t xml:space="preserve">81974</t>
  </si>
  <si>
    <t xml:space="preserve">91739</t>
  </si>
  <si>
    <t xml:space="preserve">84087-01-4</t>
  </si>
  <si>
    <t xml:space="preserve">OC(=O)C1=C2N=CC(Cl)=CC2=CC=C1Cl</t>
  </si>
  <si>
    <t xml:space="preserve">FFSSWMQPCJRCRV-UHFFFAOYSA-N</t>
  </si>
  <si>
    <t xml:space="preserve">Quinoline carboxylic acids</t>
  </si>
  <si>
    <t xml:space="preserve">262.09461</t>
  </si>
  <si>
    <t xml:space="preserve">C11H15N5O4</t>
  </si>
  <si>
    <t xml:space="preserve">1-Methyladenosine; 2'-O-Methyladenosine</t>
  </si>
  <si>
    <t xml:space="preserve">48062; 48280</t>
  </si>
  <si>
    <t xml:space="preserve">HMDB0003331; HMDB0004326</t>
  </si>
  <si>
    <t xml:space="preserve">6888; 58235</t>
  </si>
  <si>
    <t xml:space="preserve">C02494; C04779</t>
  </si>
  <si>
    <t xml:space="preserve">16020; 119928</t>
  </si>
  <si>
    <t xml:space="preserve">27476; 317398</t>
  </si>
  <si>
    <t xml:space="preserve">15763-06-1; 2140-79-6</t>
  </si>
  <si>
    <t xml:space="preserve">CN1C=NC2=C(N=CN2[C@@H]2O[C@H](CO)[C@@H](O)[C@H]2O)C1=N; COC1C(O)C(CO)OC1N1C=NC2=C(N)N=CN=C12</t>
  </si>
  <si>
    <t xml:space="preserve">GFYLSDSUCHVORB-IOSLPCCCSA-N; FPUGCISOLXNPPC-UHFFFAOYSA-N</t>
  </si>
  <si>
    <t xml:space="preserve">Nucleosides, nucleotides, and analogues; Nucleosides, nucleotides, and analogues</t>
  </si>
  <si>
    <t xml:space="preserve">Purine nucleosides; Purine nucleosides</t>
  </si>
  <si>
    <t xml:space="preserve">263.03630</t>
  </si>
  <si>
    <t xml:space="preserve">C16H10O5</t>
  </si>
  <si>
    <t xml:space="preserve">Pseudobaptigenin</t>
  </si>
  <si>
    <t xml:space="preserve">29192</t>
  </si>
  <si>
    <t xml:space="preserve">HMDB0036616</t>
  </si>
  <si>
    <t xml:space="preserve">47573</t>
  </si>
  <si>
    <t xml:space="preserve">LMPK12050053</t>
  </si>
  <si>
    <t xml:space="preserve">C10522</t>
  </si>
  <si>
    <t xml:space="preserve">8602</t>
  </si>
  <si>
    <t xml:space="preserve">5281805</t>
  </si>
  <si>
    <t xml:space="preserve">90-29-9</t>
  </si>
  <si>
    <t xml:space="preserve">C1(O)C=C2OC=C(C3C=C4OCOC4=CC=3)C(=O)C2=CC=1</t>
  </si>
  <si>
    <t xml:space="preserve">KNJNBKINYHZUGC-UHFFFAOYSA-N</t>
  </si>
  <si>
    <t xml:space="preserve">Isoflavonoids</t>
  </si>
  <si>
    <t xml:space="preserve">Isoflav-2-enes</t>
  </si>
  <si>
    <t xml:space="preserve">263.06374</t>
  </si>
  <si>
    <t xml:space="preserve">C18H12</t>
  </si>
  <si>
    <t xml:space="preserve">Benz[a]anthracene; Chrysene</t>
  </si>
  <si>
    <t xml:space="preserve">203997; 205034</t>
  </si>
  <si>
    <t xml:space="preserve">HMDB0248969; HMDB0250216</t>
  </si>
  <si>
    <t xml:space="preserve">69962; 69889</t>
  </si>
  <si>
    <t xml:space="preserve">C14317; C14222</t>
  </si>
  <si>
    <t xml:space="preserve">51348; 51687</t>
  </si>
  <si>
    <t xml:space="preserve">5954; 9171</t>
  </si>
  <si>
    <t xml:space="preserve">56-55-3; 218-01-9</t>
  </si>
  <si>
    <t xml:space="preserve">C1=CC=C2C=C3C(C=CC4=CC=CC=C34)=CC2=C1; C1=CC2=CC=C3C4=CC=CC=C4C=CC3=C2C=C1</t>
  </si>
  <si>
    <t xml:space="preserve">DXBHBZVCASKNBY-UHFFFAOYSA-N; WDECIBYCCFPHNR-UHFFFAOYSA-N</t>
  </si>
  <si>
    <t xml:space="preserve">Phenanthrenes and derivatives; Phenanthrenes and derivatives</t>
  </si>
  <si>
    <t xml:space="preserve">Unclassified; Chrysenes</t>
  </si>
  <si>
    <t xml:space="preserve">263.13329</t>
  </si>
  <si>
    <t xml:space="preserve">C11H22O2S</t>
  </si>
  <si>
    <t xml:space="preserve">(S)-3-Methylthiohexyl butyrate; (S)-3-Mercaptohexyl pentanoate</t>
  </si>
  <si>
    <t xml:space="preserve">62268; 62267</t>
  </si>
  <si>
    <t xml:space="preserve">HMDB0038946; HMDB0038945</t>
  </si>
  <si>
    <t xml:space="preserve">93557; 93556</t>
  </si>
  <si>
    <t xml:space="preserve">172006; 172008</t>
  </si>
  <si>
    <t xml:space="preserve">537755; 546093</t>
  </si>
  <si>
    <t xml:space="preserve">145937-80-0; </t>
  </si>
  <si>
    <t xml:space="preserve">CCCC(CCOC(=O)CCC)SC; CCCCC(=O)OCCC(S)CCC</t>
  </si>
  <si>
    <t xml:space="preserve">CPZRKTMCYSRJPH-UHFFFAOYSA-N; VMHWVDZUYLYJAJ-UHFFFAOYSA-N</t>
  </si>
  <si>
    <t xml:space="preserve">Fatty acid esters; Fatty acid esters</t>
  </si>
  <si>
    <t xml:space="preserve">263.16468</t>
  </si>
  <si>
    <t xml:space="preserve">C16H24O3</t>
  </si>
  <si>
    <t xml:space="preserve">12-Oxo-2,3-dinor-10,15-phytodienoic acid</t>
  </si>
  <si>
    <t xml:space="preserve">56539</t>
  </si>
  <si>
    <t xml:space="preserve">HMDB0032090</t>
  </si>
  <si>
    <t xml:space="preserve">88174</t>
  </si>
  <si>
    <t xml:space="preserve">138775</t>
  </si>
  <si>
    <t xml:space="preserve">131751254</t>
  </si>
  <si>
    <t xml:space="preserve">197247-23-7</t>
  </si>
  <si>
    <t xml:space="preserve">CC\C=C\CC1C(CCCCCC(O)=O)C=CC1=O</t>
  </si>
  <si>
    <t xml:space="preserve">SZVNKXCDJUBPQO-HWKANZROSA-N</t>
  </si>
  <si>
    <t xml:space="preserve">Eicosanoids</t>
  </si>
  <si>
    <t xml:space="preserve">265.02313</t>
  </si>
  <si>
    <t xml:space="preserve">C6H9N2O5P</t>
  </si>
  <si>
    <t xml:space="preserve">Imidazole acetol-phosphate</t>
  </si>
  <si>
    <t xml:space="preserve">51931</t>
  </si>
  <si>
    <t xml:space="preserve">HMDB0012236</t>
  </si>
  <si>
    <t xml:space="preserve">3354</t>
  </si>
  <si>
    <t xml:space="preserve">C01267</t>
  </si>
  <si>
    <t xml:space="preserve">16426</t>
  </si>
  <si>
    <t xml:space="preserve">792</t>
  </si>
  <si>
    <t xml:space="preserve">99979-59-6</t>
  </si>
  <si>
    <t xml:space="preserve">OP(O)(=O)OCC(=O)CC1=CNC=N1</t>
  </si>
  <si>
    <t xml:space="preserve">YCFFMSOLUMRAMD-UHFFFAOYSA-N</t>
  </si>
  <si>
    <t xml:space="preserve">265.22190</t>
  </si>
  <si>
    <t xml:space="preserve">C17H30O2</t>
  </si>
  <si>
    <t xml:space="preserve">Methyl 2E,4Z-hexadecadienoate</t>
  </si>
  <si>
    <t xml:space="preserve">55700</t>
  </si>
  <si>
    <t xml:space="preserve">HMDB0031050</t>
  </si>
  <si>
    <t xml:space="preserve">87374</t>
  </si>
  <si>
    <t xml:space="preserve">172000</t>
  </si>
  <si>
    <t xml:space="preserve">131751123</t>
  </si>
  <si>
    <t xml:space="preserve">54977-89-8</t>
  </si>
  <si>
    <t xml:space="preserve">CCCCCCCCCCC\C=C/C=C/C(=O)OC</t>
  </si>
  <si>
    <t xml:space="preserve">ACUIYXOOZPHRRA-DHEZTBRESA-N</t>
  </si>
  <si>
    <t xml:space="preserve">266.02040</t>
  </si>
  <si>
    <t xml:space="preserve">C9H12NO5P</t>
  </si>
  <si>
    <t xml:space="preserve">Ethyl 4-nitrophenyl methylphosphonate</t>
  </si>
  <si>
    <t xml:space="preserve">201574</t>
  </si>
  <si>
    <t xml:space="preserve">HMDB0246217</t>
  </si>
  <si>
    <t xml:space="preserve">CCOP(C)(=O)OC1=CC=C(C=C1)[N+]([O-])=O</t>
  </si>
  <si>
    <t xml:space="preserve">BARJAAQSDSOQEY-UHFFFAOYSA-N</t>
  </si>
  <si>
    <t xml:space="preserve">266.08791</t>
  </si>
  <si>
    <t xml:space="preserve">C9H17NO8</t>
  </si>
  <si>
    <t xml:space="preserve">Neuraminic acid</t>
  </si>
  <si>
    <t xml:space="preserve">47247</t>
  </si>
  <si>
    <t xml:space="preserve">HMDB0000830</t>
  </si>
  <si>
    <t xml:space="preserve">3394</t>
  </si>
  <si>
    <t xml:space="preserve">C06469</t>
  </si>
  <si>
    <t xml:space="preserve">49022</t>
  </si>
  <si>
    <t xml:space="preserve">513472</t>
  </si>
  <si>
    <t xml:space="preserve">114-04-5</t>
  </si>
  <si>
    <t xml:space="preserve">N[C@@H]1[C@@H](O)C[C@](O)(O[C@H]1[C@H](O)[C@H](O)CO)C(O)=O</t>
  </si>
  <si>
    <t xml:space="preserve">CERZMXAJYMMUDR-YOQZMRDMSA-N</t>
  </si>
  <si>
    <t xml:space="preserve">266.81757</t>
  </si>
  <si>
    <t xml:space="preserve">CH2I2</t>
  </si>
  <si>
    <t xml:space="preserve">Diiodomethane</t>
  </si>
  <si>
    <t xml:space="preserve">205977</t>
  </si>
  <si>
    <t xml:space="preserve">HMDB0251350</t>
  </si>
  <si>
    <t xml:space="preserve">332919</t>
  </si>
  <si>
    <t xml:space="preserve">6346</t>
  </si>
  <si>
    <t xml:space="preserve">ICI</t>
  </si>
  <si>
    <t xml:space="preserve">NZZFYRREKKOMAT-UHFFFAOYSA-N</t>
  </si>
  <si>
    <t xml:space="preserve">Alkyl halides</t>
  </si>
  <si>
    <t xml:space="preserve">Halomethanes</t>
  </si>
  <si>
    <t xml:space="preserve">267.07775</t>
  </si>
  <si>
    <t xml:space="preserve">C15H12N2O3</t>
  </si>
  <si>
    <t xml:space="preserve">2,3-Dihydroxycarbamazepine</t>
  </si>
  <si>
    <t xml:space="preserve">82546</t>
  </si>
  <si>
    <t xml:space="preserve">HMDB0060673</t>
  </si>
  <si>
    <t xml:space="preserve">71258</t>
  </si>
  <si>
    <t xml:space="preserve">C16603</t>
  </si>
  <si>
    <t xml:space="preserve">80598</t>
  </si>
  <si>
    <t xml:space="preserve">24892806</t>
  </si>
  <si>
    <t xml:space="preserve">NC(=O)N1C2=CC=CC=C2C=CC2=CC(O)=C(O)C=C12</t>
  </si>
  <si>
    <t xml:space="preserve">YITIUNLDWDJVSI-UHFFFAOYSA-N</t>
  </si>
  <si>
    <t xml:space="preserve">Benzazepines</t>
  </si>
  <si>
    <t xml:space="preserve">Dibenzazepines</t>
  </si>
  <si>
    <t xml:space="preserve">267.12020</t>
  </si>
  <si>
    <t xml:space="preserve">C21H16</t>
  </si>
  <si>
    <t xml:space="preserve">3-Methylcholanthrene</t>
  </si>
  <si>
    <t xml:space="preserve">201308</t>
  </si>
  <si>
    <t xml:space="preserve">HMDB0245929</t>
  </si>
  <si>
    <t xml:space="preserve">44182</t>
  </si>
  <si>
    <t xml:space="preserve">C14470</t>
  </si>
  <si>
    <t xml:space="preserve">34342</t>
  </si>
  <si>
    <t xml:space="preserve">1674</t>
  </si>
  <si>
    <t xml:space="preserve">CC1=C2CCC3=C4C=CC5=CC=CC=C5C4=CC(C=C1)=C23</t>
  </si>
  <si>
    <t xml:space="preserve">PPQNQXQZIWHJRB-UHFFFAOYSA-N</t>
  </si>
  <si>
    <t xml:space="preserve">Phenanthrenes and derivatives</t>
  </si>
  <si>
    <t xml:space="preserve">267.23540</t>
  </si>
  <si>
    <t xml:space="preserve">C17H34O3</t>
  </si>
  <si>
    <t xml:space="preserve">12-hydroxyheptadecanoic acid; Avocadene</t>
  </si>
  <si>
    <t xml:space="preserve">83252; 6359</t>
  </si>
  <si>
    <t xml:space="preserve">HMDB0061663; HMDB0031042</t>
  </si>
  <si>
    <t xml:space="preserve">; 43516</t>
  </si>
  <si>
    <t xml:space="preserve">; LMFA05000639</t>
  </si>
  <si>
    <t xml:space="preserve">; 582699</t>
  </si>
  <si>
    <t xml:space="preserve">15110021; 158573</t>
  </si>
  <si>
    <t xml:space="preserve">; 83797-45-9</t>
  </si>
  <si>
    <t xml:space="preserve">CCCCCC(O)CCCCCCCCCCC(O)=O; C=CCCCCCCCCCCCC(O)CC(O)CO</t>
  </si>
  <si>
    <t xml:space="preserve">UGNYDWLENCPIBP-UHFFFAOYSA-N; DFEHQWFIOMAGBM-UHFFFAOYSA-N</t>
  </si>
  <si>
    <t xml:space="preserve">Fatty acids and conjugates; Fatty alcohols</t>
  </si>
  <si>
    <t xml:space="preserve">268.10704</t>
  </si>
  <si>
    <t xml:space="preserve">C10H15N5O4</t>
  </si>
  <si>
    <t xml:space="preserve">Asparaginylhistidine; Histidylasparagine</t>
  </si>
  <si>
    <t xml:space="preserve">53772; 53904</t>
  </si>
  <si>
    <t xml:space="preserve">HMDB0028733; HMDB0028880</t>
  </si>
  <si>
    <t xml:space="preserve">23720; </t>
  </si>
  <si>
    <t xml:space="preserve">73424; </t>
  </si>
  <si>
    <t xml:space="preserve">9835143; 9900076</t>
  </si>
  <si>
    <t xml:space="preserve">224638-52-2; 158691-82-8</t>
  </si>
  <si>
    <t xml:space="preserve">N[C@@H](CC(N)=O)C(=O)N[C@@H](CC1=CNC=N1)C(O)=O; N[C@@H](CC1=CNC=N1)C(=O)N[C@@H](CC(N)=O)C(O)=O</t>
  </si>
  <si>
    <t xml:space="preserve">FFMIYIMKQIMDPK-BQBZGAKWSA-N; WSDOHRLQDGAOGU-BQBZGAKWSA-N</t>
  </si>
  <si>
    <t xml:space="preserve">269.09247</t>
  </si>
  <si>
    <t xml:space="preserve">C14H12N2O</t>
  </si>
  <si>
    <t xml:space="preserve">N-Methoxy-1-vinyl-beta-carboline</t>
  </si>
  <si>
    <t xml:space="preserve">55196</t>
  </si>
  <si>
    <t xml:space="preserve">HMDB0030379</t>
  </si>
  <si>
    <t xml:space="preserve">86930</t>
  </si>
  <si>
    <t xml:space="preserve">639591</t>
  </si>
  <si>
    <t xml:space="preserve">69355-01-7</t>
  </si>
  <si>
    <t xml:space="preserve">CON1C2=CC=CC=C2C2=C1C(C=C)=NC=C2</t>
  </si>
  <si>
    <t xml:space="preserve">CXIOSEMXFPKHOB-UHFFFAOYSA-N</t>
  </si>
  <si>
    <t xml:space="preserve">Harmala alkaloids</t>
  </si>
  <si>
    <t xml:space="preserve">269.21626</t>
  </si>
  <si>
    <t xml:space="preserve">C16H32O4</t>
  </si>
  <si>
    <t xml:space="preserve">(S)-10,16-Dihydroxyhexadecanoic acid</t>
  </si>
  <si>
    <t xml:space="preserve">1846</t>
  </si>
  <si>
    <t xml:space="preserve">HMDB0037798</t>
  </si>
  <si>
    <t xml:space="preserve">35689</t>
  </si>
  <si>
    <t xml:space="preserve">LMFA01050341</t>
  </si>
  <si>
    <t xml:space="preserve">C08285</t>
  </si>
  <si>
    <t xml:space="preserve">692</t>
  </si>
  <si>
    <t xml:space="preserve">441449</t>
  </si>
  <si>
    <t xml:space="preserve">69232-67-3</t>
  </si>
  <si>
    <t xml:space="preserve">C(CCCCCCCCC(O)CCCCCCO)(=O)O</t>
  </si>
  <si>
    <t xml:space="preserve">VJZBXAQGWLMYMS-UHFFFAOYSA-N</t>
  </si>
  <si>
    <t xml:space="preserve">269.25119</t>
  </si>
  <si>
    <t xml:space="preserve">C16H32</t>
  </si>
  <si>
    <t xml:space="preserve">1-Hexadecene</t>
  </si>
  <si>
    <t xml:space="preserve">199424</t>
  </si>
  <si>
    <t xml:space="preserve">HMDB0243889</t>
  </si>
  <si>
    <t xml:space="preserve">77507</t>
  </si>
  <si>
    <t xml:space="preserve">CCCCCCCCCCCCCCC=C</t>
  </si>
  <si>
    <t xml:space="preserve">GQEZCXVZFLOKMC-UHFFFAOYSA-N</t>
  </si>
  <si>
    <t xml:space="preserve">Unsaturated aliphatic hydrocarbons</t>
  </si>
  <si>
    <t xml:space="preserve">271.00348</t>
  </si>
  <si>
    <t xml:space="preserve">C9H16OS3</t>
  </si>
  <si>
    <t xml:space="preserve">2-Propenyl 1-(2-propenylsulfinyl)propyl disulfide; 1-Propenyl 1-(2-propenylsulfinyl)propyl disulfide; 2-Propenyl 1-(1-propenylsulfinyl)propyl disulfide</t>
  </si>
  <si>
    <t xml:space="preserve">57324; 60133; 60134</t>
  </si>
  <si>
    <t xml:space="preserve">HMDB0033062; HMDB0036372; HMDB0036373</t>
  </si>
  <si>
    <t xml:space="preserve">88954; 91516; </t>
  </si>
  <si>
    <t xml:space="preserve">174205; 174206; 174207</t>
  </si>
  <si>
    <t xml:space="preserve">100916212; 131751978; 131751979</t>
  </si>
  <si>
    <t xml:space="preserve">; 138898-92-7; 138898-92-7</t>
  </si>
  <si>
    <t xml:space="preserve">CCC(SSCC=C)S(=O)CC=C; CCC(SS\C=C\C)S(=O)CC=C; CCC(SSCC=C)S(=O)\C=C\C</t>
  </si>
  <si>
    <t xml:space="preserve">SNOBYLKVQZUQSL-UHFFFAOYSA-N; VNGASBNMHZVNNX-QPJJXVBHSA-N; ZNCVCGZAKFLEMH-VMPITWQZSA-N</t>
  </si>
  <si>
    <t xml:space="preserve">Organosulfur compounds; Organosulfur compounds; Organosulfur compounds</t>
  </si>
  <si>
    <t xml:space="preserve">Sulfoxides; Sulfoxides; Sulfoxides</t>
  </si>
  <si>
    <t xml:space="preserve">271.23011</t>
  </si>
  <si>
    <t xml:space="preserve">C16H32O3</t>
  </si>
  <si>
    <t xml:space="preserve">16-Hydroxyhexadecanoic acid</t>
  </si>
  <si>
    <t xml:space="preserve">1695</t>
  </si>
  <si>
    <t xml:space="preserve">HMDB0006294</t>
  </si>
  <si>
    <t xml:space="preserve">58386</t>
  </si>
  <si>
    <t xml:space="preserve">LMFA01050051</t>
  </si>
  <si>
    <t xml:space="preserve">C18218</t>
  </si>
  <si>
    <t xml:space="preserve">55328</t>
  </si>
  <si>
    <t xml:space="preserve">10466</t>
  </si>
  <si>
    <t xml:space="preserve">506-13-8</t>
  </si>
  <si>
    <t xml:space="preserve">C(CCCCCCCCCCCCCO)CC(=O)O</t>
  </si>
  <si>
    <t xml:space="preserve">UGAGPNKCDRTDHP-UHFFFAOYSA-N</t>
  </si>
  <si>
    <t xml:space="preserve">272.01003</t>
  </si>
  <si>
    <t xml:space="preserve">C14H10ClNO4</t>
  </si>
  <si>
    <t xml:space="preserve">Lobenzarit</t>
  </si>
  <si>
    <t xml:space="preserve">208330</t>
  </si>
  <si>
    <t xml:space="preserve">HMDB0254140</t>
  </si>
  <si>
    <t xml:space="preserve">339829</t>
  </si>
  <si>
    <t xml:space="preserve">3946</t>
  </si>
  <si>
    <t xml:space="preserve">OC(=O)C1=CC=CC=C1NC1=C(C=CC(Cl)=C1)C(O)=O</t>
  </si>
  <si>
    <t xml:space="preserve">UGDPYGKWIHHBMB-UHFFFAOYSA-N</t>
  </si>
  <si>
    <t xml:space="preserve">272.09269</t>
  </si>
  <si>
    <t xml:space="preserve">C14H13NO2</t>
  </si>
  <si>
    <t xml:space="preserve">Koenoline; Mukoline</t>
  </si>
  <si>
    <t xml:space="preserve">57682; 64533</t>
  </si>
  <si>
    <t xml:space="preserve">HMDB0033452; HMDB0041444</t>
  </si>
  <si>
    <t xml:space="preserve">89284; 95840</t>
  </si>
  <si>
    <t xml:space="preserve">171730; 171732</t>
  </si>
  <si>
    <t xml:space="preserve">375152; 53465569</t>
  </si>
  <si>
    <t xml:space="preserve">3909-78-2; 87264-41-3</t>
  </si>
  <si>
    <t xml:space="preserve">COC1=CC(CO)=CC2=C1NC1=CC=CC=C21; COC1=CC=CC2=C1NC1=C2C=C(CO)C=C1</t>
  </si>
  <si>
    <t xml:space="preserve">KNKVHLASDDREQS-UHFFFAOYSA-N; SGZIASPZRSVPDJ-UHFFFAOYSA-N</t>
  </si>
  <si>
    <t xml:space="preserve">273.05563</t>
  </si>
  <si>
    <t xml:space="preserve">C18H12O4</t>
  </si>
  <si>
    <t xml:space="preserve">Karanjin; 3-Hydroxy-9-(4-hydroxyphenyl)-1H,3H-naphtho[1,8-cd]pyran-1-one; 3-Hydroxy-4-(4-hydroxyphenyl)-1H,3H-naphtho[1,8-cd]pyran-1-one</t>
  </si>
  <si>
    <t xml:space="preserve">31631; 62681; 62682</t>
  </si>
  <si>
    <t xml:space="preserve">HMDB0253763; HMDB0039404; HMDB0039405</t>
  </si>
  <si>
    <t xml:space="preserve">43509; 93980; 93981</t>
  </si>
  <si>
    <t xml:space="preserve">LMPK12111542; ; </t>
  </si>
  <si>
    <t xml:space="preserve">100633; 10870049; 11033651</t>
  </si>
  <si>
    <t xml:space="preserve">521-88-0; ; </t>
  </si>
  <si>
    <t xml:space="preserve">C12OC=CC=1C1OC(C3C=CC=CC=3)=C(OC)C(=O)C=1C=C2; OC1OC(=O)C2=C(C=CC3=C2C1=CC=C3)C1=CC=C(O)C=C1; OC1OC(=O)C2=CC=CC3=C2C1=C(C=C3)C1=CC=C(O)C=C1</t>
  </si>
  <si>
    <t xml:space="preserve">LKPQNZRGGNOPPU-UHFFFAOYSA-N; UYEXTCFTIVELSS-UHFFFAOYSA-N; LIFGUYJSGKEZDL-UHFFFAOYSA-N</t>
  </si>
  <si>
    <t xml:space="preserve">Phenylpropanoids and polyketides; Benzenoids; Benzenoids</t>
  </si>
  <si>
    <t xml:space="preserve">Flavonoids; Naphthalenes; Naphthalenes</t>
  </si>
  <si>
    <t xml:space="preserve">Flavones; Phenylnaphthalenes; Phenylnaphthalenes</t>
  </si>
  <si>
    <t xml:space="preserve">273.09249</t>
  </si>
  <si>
    <t xml:space="preserve">C19H14O2</t>
  </si>
  <si>
    <t xml:space="preserve">Bakers yeast extract</t>
  </si>
  <si>
    <t xml:space="preserve">56606</t>
  </si>
  <si>
    <t xml:space="preserve">HMDB0032173</t>
  </si>
  <si>
    <t xml:space="preserve">88242</t>
  </si>
  <si>
    <t xml:space="preserve">24973165</t>
  </si>
  <si>
    <t xml:space="preserve">8013-01-2</t>
  </si>
  <si>
    <t xml:space="preserve">OC(=O)CC1C2=CC=CC=C2C2=C1C1=CC=CC=C1C=C2</t>
  </si>
  <si>
    <t xml:space="preserve">GQNBDGXKDJSVGQ-UHFFFAOYSA-N</t>
  </si>
  <si>
    <t xml:space="preserve">Fluorenes</t>
  </si>
  <si>
    <t xml:space="preserve">273.19031</t>
  </si>
  <si>
    <t xml:space="preserve">C12H26N4O3</t>
  </si>
  <si>
    <t xml:space="preserve">Lysyllysine</t>
  </si>
  <si>
    <t xml:space="preserve">53977</t>
  </si>
  <si>
    <t xml:space="preserve">HMDB0028956</t>
  </si>
  <si>
    <t xml:space="preserve">23900</t>
  </si>
  <si>
    <t xml:space="preserve">74564</t>
  </si>
  <si>
    <t xml:space="preserve">128837</t>
  </si>
  <si>
    <t xml:space="preserve">13184-13-9</t>
  </si>
  <si>
    <t xml:space="preserve">NCCCC[C@H](N)C(=O)N[C@@H](CCCCN)C(O)=O</t>
  </si>
  <si>
    <t xml:space="preserve">NVGBPTNZLWRQSY-UWVGGRQHSA-N</t>
  </si>
  <si>
    <t xml:space="preserve">273.22751</t>
  </si>
  <si>
    <t xml:space="preserve">C19H30O</t>
  </si>
  <si>
    <t xml:space="preserve">Androstenol</t>
  </si>
  <si>
    <t xml:space="preserve">44896</t>
  </si>
  <si>
    <t xml:space="preserve">HMDB0005935</t>
  </si>
  <si>
    <t xml:space="preserve">LMST02020008</t>
  </si>
  <si>
    <t xml:space="preserve">40933</t>
  </si>
  <si>
    <t xml:space="preserve">101989</t>
  </si>
  <si>
    <t xml:space="preserve">1153-51-1</t>
  </si>
  <si>
    <t xml:space="preserve">C1[C@]2(C)[C@@]3([H])CC[C@]4(C)C=CC[C@@]4([H])[C@]3([H])CC[C@@]2([H])C[C@H](O)C1</t>
  </si>
  <si>
    <t xml:space="preserve">KRVXMNNRSSQZJP-PHFHYRSDSA-N</t>
  </si>
  <si>
    <t xml:space="preserve">Androstane steroids</t>
  </si>
  <si>
    <t xml:space="preserve">274.03582</t>
  </si>
  <si>
    <t xml:space="preserve">C12H7NO4</t>
  </si>
  <si>
    <t xml:space="preserve">RESAZURIN</t>
  </si>
  <si>
    <t xml:space="preserve">210900</t>
  </si>
  <si>
    <t xml:space="preserve">HMDB0257158</t>
  </si>
  <si>
    <t xml:space="preserve">68894</t>
  </si>
  <si>
    <t xml:space="preserve">C11178</t>
  </si>
  <si>
    <t xml:space="preserve">11077</t>
  </si>
  <si>
    <t xml:space="preserve">550-82-3</t>
  </si>
  <si>
    <t xml:space="preserve">OC1=CC2=C(C=C1)[N+]([O-])=C1C=CC(=O)C=C1O2</t>
  </si>
  <si>
    <t xml:space="preserve">PLXBWHJQWKZRKG-UHFFFAOYSA-N</t>
  </si>
  <si>
    <t xml:space="preserve">Benzoxazines</t>
  </si>
  <si>
    <t xml:space="preserve">Phenoxazines</t>
  </si>
  <si>
    <t xml:space="preserve">274.10432</t>
  </si>
  <si>
    <t xml:space="preserve">C10H17N3O6</t>
  </si>
  <si>
    <t xml:space="preserve">N2-gamma-Glutamylglutamine</t>
  </si>
  <si>
    <t xml:space="preserve">51507</t>
  </si>
  <si>
    <t xml:space="preserve">HMDB0011738</t>
  </si>
  <si>
    <t xml:space="preserve">62461</t>
  </si>
  <si>
    <t xml:space="preserve">C05283</t>
  </si>
  <si>
    <t xml:space="preserve">73707</t>
  </si>
  <si>
    <t xml:space="preserve">150914</t>
  </si>
  <si>
    <t xml:space="preserve">10148-81-9</t>
  </si>
  <si>
    <t xml:space="preserve">N[C@@H](CCC(=O)N[C@@H](CCC(N)=O)C(O)=O)C(O)=O</t>
  </si>
  <si>
    <t xml:space="preserve">JBFYFLXEJFQWMU-WDSKDSINSA-N</t>
  </si>
  <si>
    <t xml:space="preserve">275.05270</t>
  </si>
  <si>
    <t xml:space="preserve">C10H16N2O3S2</t>
  </si>
  <si>
    <t xml:space="preserve">Biotin thiamine</t>
  </si>
  <si>
    <t xml:space="preserve">204209</t>
  </si>
  <si>
    <t xml:space="preserve">HMDB0249230</t>
  </si>
  <si>
    <t xml:space="preserve">SOC(=O)CCCCC1SCC2NC(=O)NC12</t>
  </si>
  <si>
    <t xml:space="preserve">PWAOCCNCAGWBGY-UHFFFAOYSA-N</t>
  </si>
  <si>
    <t xml:space="preserve">Biotin and derivatives</t>
  </si>
  <si>
    <t xml:space="preserve">275.94608</t>
  </si>
  <si>
    <t xml:space="preserve">C5H7Cl2NO3S</t>
  </si>
  <si>
    <t xml:space="preserve">S-(1,2-dichlorovinyl)-L-cysteine sulfoxide</t>
  </si>
  <si>
    <t xml:space="preserve">211076</t>
  </si>
  <si>
    <t xml:space="preserve">HMDB0257379</t>
  </si>
  <si>
    <t xml:space="preserve">NC(CS(=O)C(Cl)=CCl)C(O)=O</t>
  </si>
  <si>
    <t xml:space="preserve">MSOVYRJYSIWWPY-UHFFFAOYSA-N</t>
  </si>
  <si>
    <t xml:space="preserve">276.08043</t>
  </si>
  <si>
    <t xml:space="preserve">C15H15NO2</t>
  </si>
  <si>
    <t xml:space="preserve">N-[2-(4-Hydroxyphenyl)ethyl]benzamide</t>
  </si>
  <si>
    <t xml:space="preserve">54331</t>
  </si>
  <si>
    <t xml:space="preserve">HMDB0029366</t>
  </si>
  <si>
    <t xml:space="preserve">86225</t>
  </si>
  <si>
    <t xml:space="preserve">354566</t>
  </si>
  <si>
    <t xml:space="preserve">577614</t>
  </si>
  <si>
    <t xml:space="preserve">41859-54-5</t>
  </si>
  <si>
    <t xml:space="preserve">O\C(=N/CCC1=CC=C(O)C=C1)C1=CC=CC=C1</t>
  </si>
  <si>
    <t xml:space="preserve">MUCNBPCTSRYLCB-UHFFFAOYSA-N</t>
  </si>
  <si>
    <t xml:space="preserve">277.03708</t>
  </si>
  <si>
    <t xml:space="preserve">C6H15N2O6P</t>
  </si>
  <si>
    <t xml:space="preserve">5-phosphonooxy-L-lysine</t>
  </si>
  <si>
    <t xml:space="preserve">81706</t>
  </si>
  <si>
    <t xml:space="preserve">HMDB0059600</t>
  </si>
  <si>
    <t xml:space="preserve">63462</t>
  </si>
  <si>
    <t xml:space="preserve">C03366</t>
  </si>
  <si>
    <t xml:space="preserve">16752</t>
  </si>
  <si>
    <t xml:space="preserve">25163995</t>
  </si>
  <si>
    <t xml:space="preserve">[H][C@](N)(CC[C@]([H])(CN)OP(O)(O)=O)C(O)=O</t>
  </si>
  <si>
    <t xml:space="preserve">WLPXLNNUXMDSPG-UHNVWZDZSA-N</t>
  </si>
  <si>
    <t xml:space="preserve">277.07741</t>
  </si>
  <si>
    <t xml:space="preserve">C12H14N4O2S</t>
  </si>
  <si>
    <t xml:space="preserve">Sulfamethazine</t>
  </si>
  <si>
    <t xml:space="preserve">53571</t>
  </si>
  <si>
    <t xml:space="preserve">HMDB0015522</t>
  </si>
  <si>
    <t xml:space="preserve">2529</t>
  </si>
  <si>
    <t xml:space="preserve">C19530</t>
  </si>
  <si>
    <t xml:space="preserve">102265</t>
  </si>
  <si>
    <t xml:space="preserve">5327</t>
  </si>
  <si>
    <t xml:space="preserve">57-68-1</t>
  </si>
  <si>
    <t xml:space="preserve">CC1=CC(C)=NC(NS(=O)(=O)C2=CC=C(N)C=C2)=N1</t>
  </si>
  <si>
    <t xml:space="preserve">ASWVTGNCAZCNNR-UHFFFAOYSA-N</t>
  </si>
  <si>
    <t xml:space="preserve">Benzenesulfonamides</t>
  </si>
  <si>
    <t xml:space="preserve">277.15059</t>
  </si>
  <si>
    <t xml:space="preserve">C16H22N2</t>
  </si>
  <si>
    <t xml:space="preserve">Lycodine</t>
  </si>
  <si>
    <t xml:space="preserve">208413</t>
  </si>
  <si>
    <t xml:space="preserve">HMDB0254255</t>
  </si>
  <si>
    <t xml:space="preserve">603959</t>
  </si>
  <si>
    <t xml:space="preserve">CC1CC2CC3=NC=CC=C3C3(C1)NCCCC23</t>
  </si>
  <si>
    <t xml:space="preserve">JJPMUZRSJKMFRK-UHFFFAOYSA-N</t>
  </si>
  <si>
    <t xml:space="preserve">Phenanthrolines</t>
  </si>
  <si>
    <t xml:space="preserve">277.22185</t>
  </si>
  <si>
    <t xml:space="preserve">C18H32O3</t>
  </si>
  <si>
    <t xml:space="preserve">9,10-Epoxyoctadecenoic acid; 12,13-EpOME; alpha-Dimorphecolic acid</t>
  </si>
  <si>
    <t xml:space="preserve">2992; 2993; 3142</t>
  </si>
  <si>
    <t xml:space="preserve">HMDB0004701; HMDB0004702; HMDB0004670</t>
  </si>
  <si>
    <t xml:space="preserve">; 63352; 45662</t>
  </si>
  <si>
    <t xml:space="preserve">LMFA02000037; LMFA02000038; LMFA02000188</t>
  </si>
  <si>
    <t xml:space="preserve">C14825; C14826; C14767</t>
  </si>
  <si>
    <t xml:space="preserve">34494; 38299; 34496</t>
  </si>
  <si>
    <t xml:space="preserve">6246154; 5356421; 5312830</t>
  </si>
  <si>
    <t xml:space="preserve">; ; 73543-67-6</t>
  </si>
  <si>
    <t xml:space="preserve">C(CCCCCCCC1OC1C/C=C\CCCCC)(=O)O; C(CCCCCCC/C=C\CC1OC1CCCCC)(=O)O; C(CCCCCCC[C@H](O)/C=C/C=C\CCCCC)(=O)O</t>
  </si>
  <si>
    <t xml:space="preserve">FBUKMFOXMZRGRB-YFHOEESVSA-N; CCPPLLJZDQAOHD-FLIBITNWSA-N; NPDSHTNEKLQQIJ-UINYOVNOSA-N</t>
  </si>
  <si>
    <t xml:space="preserve">Fatty acids and conjugates; Fatty acids and conjugates; Lineolic acids and derivatives</t>
  </si>
  <si>
    <t xml:space="preserve">278.04222</t>
  </si>
  <si>
    <t xml:space="preserve">C10H13NO6</t>
  </si>
  <si>
    <t xml:space="preserve">1-[3,4-Dihydroxy-5-(hydroxymethyl)oxolan-2-yl]-4-hydroxyhydropyridin-2-one</t>
  </si>
  <si>
    <t xml:space="preserve">199347</t>
  </si>
  <si>
    <t xml:space="preserve">HMDB0243807</t>
  </si>
  <si>
    <t xml:space="preserve">54676525</t>
  </si>
  <si>
    <t xml:space="preserve">OCC1OC(C(O)C1O)N1C=CC(O)=CC1=O</t>
  </si>
  <si>
    <t xml:space="preserve">CBOKZNLSFMZJJA-UHFFFAOYSA-N</t>
  </si>
  <si>
    <t xml:space="preserve">278.12838</t>
  </si>
  <si>
    <t xml:space="preserve">C17H17N3O</t>
  </si>
  <si>
    <t xml:space="preserve">Contragestazol; Ramosetron; Verubulin</t>
  </si>
  <si>
    <t xml:space="preserve">205220; 210853; 202721</t>
  </si>
  <si>
    <t xml:space="preserve">HMDB0250440; HMDB0257105; HMDB0247500</t>
  </si>
  <si>
    <t xml:space="preserve">122000; 4442; 11414799</t>
  </si>
  <si>
    <t xml:space="preserve">CCC1=CC=CC=C1C1=NC(=NN1)C1=CC(OC)=CC=C1; CN1C=C(C(=O)C2CCC3=C(C2)NC=N3)C2=CC=CC=C12; COC1=CC=C(C=C1)N(C)C1=NC(C)=NC2=CC=CC=C12</t>
  </si>
  <si>
    <t xml:space="preserve">GXCZZAKPGMYPDJ-UHFFFAOYSA-N; NTHPAPBPFQJABD-UHFFFAOYSA-N; SNHCRNMVYDHVDT-UHFFFAOYSA-N</t>
  </si>
  <si>
    <t xml:space="preserve">Organoheterocyclic compounds; Organoheterocyclic compounds; Organic nitrogen compounds</t>
  </si>
  <si>
    <t xml:space="preserve">Azoles; Indoles and derivatives; Organonitrogen compounds</t>
  </si>
  <si>
    <t xml:space="preserve">Triazoles; N-alkylindoles; Amines</t>
  </si>
  <si>
    <t xml:space="preserve">279.09167</t>
  </si>
  <si>
    <t xml:space="preserve">C14H16N2O2</t>
  </si>
  <si>
    <t xml:space="preserve">Etomidate</t>
  </si>
  <si>
    <t xml:space="preserve">52680</t>
  </si>
  <si>
    <t xml:space="preserve">HMDB0014437</t>
  </si>
  <si>
    <t xml:space="preserve">2640</t>
  </si>
  <si>
    <t xml:space="preserve">C07522</t>
  </si>
  <si>
    <t xml:space="preserve">4910</t>
  </si>
  <si>
    <t xml:space="preserve">667484</t>
  </si>
  <si>
    <t xml:space="preserve">33125-97-2</t>
  </si>
  <si>
    <t xml:space="preserve">CCOC(=O)C1=CN=CN1[C@H](C)C1=CC=CC=C1</t>
  </si>
  <si>
    <t xml:space="preserve">NPUKDXXFDDZOKR-LLVKDONJSA-N</t>
  </si>
  <si>
    <t xml:space="preserve">279.15836</t>
  </si>
  <si>
    <t xml:space="preserve">C16H26O5</t>
  </si>
  <si>
    <t xml:space="preserve">Artemether</t>
  </si>
  <si>
    <t xml:space="preserve">53671</t>
  </si>
  <si>
    <t xml:space="preserve">HMDB0015643</t>
  </si>
  <si>
    <t xml:space="preserve">603</t>
  </si>
  <si>
    <t xml:space="preserve">195280</t>
  </si>
  <si>
    <t xml:space="preserve">68911</t>
  </si>
  <si>
    <t xml:space="preserve">71963-77-4</t>
  </si>
  <si>
    <t xml:space="preserve">[H][C@@]12CC[C@@H](C)[C@]3([H])CC[C@@]4(C)OO[C@@]13[C@]([H])(O[C@H](OC)[C@@H]2C)O4</t>
  </si>
  <si>
    <t xml:space="preserve">SXYIRMFQILZOAM-HVNFFKDJSA-N</t>
  </si>
  <si>
    <t xml:space="preserve">279.23647</t>
  </si>
  <si>
    <t xml:space="preserve">C18H32O2</t>
  </si>
  <si>
    <t xml:space="preserve">FA(18:2(10E,12Z))</t>
  </si>
  <si>
    <t xml:space="preserve">633</t>
  </si>
  <si>
    <t xml:space="preserve">HMDB0005048</t>
  </si>
  <si>
    <t xml:space="preserve">73836</t>
  </si>
  <si>
    <t xml:space="preserve">LMFA01030125</t>
  </si>
  <si>
    <t xml:space="preserve">44526</t>
  </si>
  <si>
    <t xml:space="preserve">5282800</t>
  </si>
  <si>
    <t xml:space="preserve">2420-56-6</t>
  </si>
  <si>
    <t xml:space="preserve">C(=C/C=C\CCCCC)\CCCCCCCCC(=O)O</t>
  </si>
  <si>
    <t xml:space="preserve">GKJZMAHZJGSBKD-NMMTYZSQSA-N</t>
  </si>
  <si>
    <t xml:space="preserve">280.04406</t>
  </si>
  <si>
    <t xml:space="preserve">C16H13NO3S</t>
  </si>
  <si>
    <t xml:space="preserve">8-Anilino-1-naphthalene sulfonate</t>
  </si>
  <si>
    <t xml:space="preserve">83372</t>
  </si>
  <si>
    <t xml:space="preserve">HMDB0061854</t>
  </si>
  <si>
    <t xml:space="preserve">64696</t>
  </si>
  <si>
    <t xml:space="preserve">C11326</t>
  </si>
  <si>
    <t xml:space="preserve">39708</t>
  </si>
  <si>
    <t xml:space="preserve">1369</t>
  </si>
  <si>
    <t xml:space="preserve">82-76-8</t>
  </si>
  <si>
    <t xml:space="preserve">OS(=O)(=O)C1=C2C(NC3=CC=CC=C3)=CC=CC2=CC=C1</t>
  </si>
  <si>
    <t xml:space="preserve">FWEOQOXTVHGIFQ-UHFFFAOYSA-N</t>
  </si>
  <si>
    <t xml:space="preserve">Naphthalenes</t>
  </si>
  <si>
    <t xml:space="preserve">Naphthalene sulfonic acids and derivatives</t>
  </si>
  <si>
    <t xml:space="preserve">280.99546</t>
  </si>
  <si>
    <t xml:space="preserve">C2H8NO2PS</t>
  </si>
  <si>
    <t xml:space="preserve">(±)-Methamidophos</t>
  </si>
  <si>
    <t xml:space="preserve">56273</t>
  </si>
  <si>
    <t xml:space="preserve">HMDB0031803</t>
  </si>
  <si>
    <t xml:space="preserve">44566</t>
  </si>
  <si>
    <t xml:space="preserve">C18667</t>
  </si>
  <si>
    <t xml:space="preserve">38721</t>
  </si>
  <si>
    <t xml:space="preserve">4096</t>
  </si>
  <si>
    <t xml:space="preserve">115182-35-9</t>
  </si>
  <si>
    <t xml:space="preserve">COP(N)(=O)SC</t>
  </si>
  <si>
    <t xml:space="preserve">NNKVPIKMPCQWCG-UHFFFAOYSA-N</t>
  </si>
  <si>
    <t xml:space="preserve">Phosphoramidothioic-acid-O,S-diesters</t>
  </si>
  <si>
    <t xml:space="preserve">281.09727</t>
  </si>
  <si>
    <t xml:space="preserve">C13H20N2O4S</t>
  </si>
  <si>
    <t xml:space="preserve">3-Butyl-1-(hydroxymethyl)-1-(4-methylphenyl)sulfonylurea</t>
  </si>
  <si>
    <t xml:space="preserve">211268</t>
  </si>
  <si>
    <t xml:space="preserve">HMDB0257606</t>
  </si>
  <si>
    <t xml:space="preserve">53678734</t>
  </si>
  <si>
    <t xml:space="preserve">CCCCNC(=O)N(CO)S(=O)(=O)C1=CC=C(C)C=C1</t>
  </si>
  <si>
    <t xml:space="preserve">BFBJRMADQFCOCV-UHFFFAOYSA-N</t>
  </si>
  <si>
    <t xml:space="preserve">281.14260</t>
  </si>
  <si>
    <t xml:space="preserve">C15H22N2O</t>
  </si>
  <si>
    <t xml:space="preserve">Mepivacaine</t>
  </si>
  <si>
    <t xml:space="preserve">53214</t>
  </si>
  <si>
    <t xml:space="preserve">HMDB0015096</t>
  </si>
  <si>
    <t xml:space="preserve">43244</t>
  </si>
  <si>
    <t xml:space="preserve">C07528</t>
  </si>
  <si>
    <t xml:space="preserve">6759</t>
  </si>
  <si>
    <t xml:space="preserve">4062</t>
  </si>
  <si>
    <t xml:space="preserve">96-88-8</t>
  </si>
  <si>
    <t xml:space="preserve">CN1CCCCC1C(=O)NC1=C(C)C=CC=C1C</t>
  </si>
  <si>
    <t xml:space="preserve">INWLQCZOYSRPNW-UHFFFAOYSA-N</t>
  </si>
  <si>
    <t xml:space="preserve">Piperidines</t>
  </si>
  <si>
    <t xml:space="preserve">Piperidinecarboxylic acids and derivatives</t>
  </si>
  <si>
    <t xml:space="preserve">281.18423</t>
  </si>
  <si>
    <t xml:space="preserve">C14H30O3</t>
  </si>
  <si>
    <t xml:space="preserve">8,8-Diethoxy-2,6-dimethyl-2-octanol</t>
  </si>
  <si>
    <t xml:space="preserve">58555</t>
  </si>
  <si>
    <t xml:space="preserve">HMDB0034557</t>
  </si>
  <si>
    <t xml:space="preserve">90022</t>
  </si>
  <si>
    <t xml:space="preserve">5463911</t>
  </si>
  <si>
    <t xml:space="preserve">7779-94-4</t>
  </si>
  <si>
    <t xml:space="preserve">CCOC(CC(C)CCCC(C)(C)O)OCC</t>
  </si>
  <si>
    <t xml:space="preserve">XOJDKWNFMFCXNE-UHFFFAOYSA-N</t>
  </si>
  <si>
    <t xml:space="preserve">Alcohols and polyols</t>
  </si>
  <si>
    <t xml:space="preserve">281.25299</t>
  </si>
  <si>
    <t xml:space="preserve">C18H34O2</t>
  </si>
  <si>
    <t xml:space="preserve">FA(18:1)</t>
  </si>
  <si>
    <t xml:space="preserve">512</t>
  </si>
  <si>
    <t xml:space="preserve">HMDB0000207</t>
  </si>
  <si>
    <t xml:space="preserve">LMFA01030002</t>
  </si>
  <si>
    <t xml:space="preserve">C00712</t>
  </si>
  <si>
    <t xml:space="preserve">16196</t>
  </si>
  <si>
    <t xml:space="preserve">445639</t>
  </si>
  <si>
    <t xml:space="preserve">112-80-1</t>
  </si>
  <si>
    <t xml:space="preserve">OC(=O)CCCCCCC/C=C\CCCCCCCC</t>
  </si>
  <si>
    <t xml:space="preserve">ZQPPMHVWECSIRJ-KTKRTIGZSA-N</t>
  </si>
  <si>
    <t xml:space="preserve">281.98153</t>
  </si>
  <si>
    <t xml:space="preserve">C5H6N5O5P</t>
  </si>
  <si>
    <t xml:space="preserve">(2-Amino-6-oxo-1H-purin-9-yl) dihydrogen phosphate</t>
  </si>
  <si>
    <t xml:space="preserve">198908</t>
  </si>
  <si>
    <t xml:space="preserve">HMDB0242464</t>
  </si>
  <si>
    <t xml:space="preserve">57012670</t>
  </si>
  <si>
    <t xml:space="preserve">NC1=NC2=C(N=CN2OP(O)(O)=O)C(=O)N1</t>
  </si>
  <si>
    <t xml:space="preserve">XHWMXSBQHMNDOX-UHFFFAOYSA-N</t>
  </si>
  <si>
    <t xml:space="preserve">282.04056</t>
  </si>
  <si>
    <t xml:space="preserve">C10H12ClN5O4</t>
  </si>
  <si>
    <t xml:space="preserve">2-Chloroadenosine; 8-Chloroadenosine</t>
  </si>
  <si>
    <t xml:space="preserve">200512; 202659</t>
  </si>
  <si>
    <t xml:space="preserve">HMDB0245063; HMDB0247426</t>
  </si>
  <si>
    <t xml:space="preserve">235481; 337175</t>
  </si>
  <si>
    <t xml:space="preserve">NC1=C2N=CN(C3OC(CO)C(O)C3O)C2=NC(Cl)=N1; NC1=NC=NC2=C1N=C(Cl)N2C1OC(CO)C(O)C1O</t>
  </si>
  <si>
    <t xml:space="preserve">BIXYYZIIJIXVFW-UHFFFAOYSA-N; MHDPPLULTMGBSI-UHFFFAOYSA-N</t>
  </si>
  <si>
    <t xml:space="preserve">282.09229</t>
  </si>
  <si>
    <t xml:space="preserve">C12H17N3O3S</t>
  </si>
  <si>
    <t xml:space="preserve">Cariporide</t>
  </si>
  <si>
    <t xml:space="preserve">204584</t>
  </si>
  <si>
    <t xml:space="preserve">HMDB0249676</t>
  </si>
  <si>
    <t xml:space="preserve">317845</t>
  </si>
  <si>
    <t xml:space="preserve">151172</t>
  </si>
  <si>
    <t xml:space="preserve">CC(C)C1=CC=C(C=C1S(C)(=O)=O)C(=O)NC(N)=N</t>
  </si>
  <si>
    <t xml:space="preserve">IWXNYAIICFKCTM-UHFFFAOYSA-N</t>
  </si>
  <si>
    <t xml:space="preserve">282.99082</t>
  </si>
  <si>
    <t xml:space="preserve">C10H6O5S</t>
  </si>
  <si>
    <t xml:space="preserve">1-Naphthalenesulfonic acid, 3,4-dihydro-3,4-dioxo-</t>
  </si>
  <si>
    <t xml:space="preserve">201010</t>
  </si>
  <si>
    <t xml:space="preserve">HMDB0245592</t>
  </si>
  <si>
    <t xml:space="preserve">345025</t>
  </si>
  <si>
    <t xml:space="preserve">137378</t>
  </si>
  <si>
    <t xml:space="preserve">10637</t>
  </si>
  <si>
    <t xml:space="preserve">OS(=O)(=O)C1=CC(=O)C(=O)C2=CC=CC=C12</t>
  </si>
  <si>
    <t xml:space="preserve">PZTGRDMCBZUJDL-UHFFFAOYSA-N</t>
  </si>
  <si>
    <t xml:space="preserve">Naphthoquinones</t>
  </si>
  <si>
    <t xml:space="preserve">283.02361</t>
  </si>
  <si>
    <t xml:space="preserve">C10H8N4O4</t>
  </si>
  <si>
    <t xml:space="preserve">Nitrefazole</t>
  </si>
  <si>
    <t xml:space="preserve">209590</t>
  </si>
  <si>
    <t xml:space="preserve">HMDB0255633</t>
  </si>
  <si>
    <t xml:space="preserve">322308</t>
  </si>
  <si>
    <t xml:space="preserve">71900</t>
  </si>
  <si>
    <t xml:space="preserve">CC1=NC(=CN1C1=CC=C(C=C1)N(=O)=O)N(=O)=O</t>
  </si>
  <si>
    <t xml:space="preserve">NMTBSNPBIGRZBL-UHFFFAOYSA-N</t>
  </si>
  <si>
    <t xml:space="preserve">283.07075</t>
  </si>
  <si>
    <t xml:space="preserve">C9H16N2O6</t>
  </si>
  <si>
    <t xml:space="preserve">gamma-Glutamylthreonine</t>
  </si>
  <si>
    <t xml:space="preserve">54162</t>
  </si>
  <si>
    <t xml:space="preserve">HMDB0029159</t>
  </si>
  <si>
    <t xml:space="preserve">133747</t>
  </si>
  <si>
    <t xml:space="preserve">53861142</t>
  </si>
  <si>
    <t xml:space="preserve">5652-48-2</t>
  </si>
  <si>
    <t xml:space="preserve">C[C@@H](O)[C@H](NC(=O)CC[C@H](N)C(O)=O)C(O)=O</t>
  </si>
  <si>
    <t xml:space="preserve">GWNXFCYUJXASDX-ZDLURKLDSA-N</t>
  </si>
  <si>
    <t xml:space="preserve">283.10835</t>
  </si>
  <si>
    <t xml:space="preserve">C15H14N2O</t>
  </si>
  <si>
    <t xml:space="preserve">1H-Imidazole-1-ethanol, alpha-2-naphthalenyl-; Semaxanib; 10,11-Dihydrocarbamazepine</t>
  </si>
  <si>
    <t xml:space="preserve">209418; 211787; 199795</t>
  </si>
  <si>
    <t xml:space="preserve">HMDB0255423; HMDB0258223; HMDB0244276</t>
  </si>
  <si>
    <t xml:space="preserve">130368; ; 19099</t>
  </si>
  <si>
    <t xml:space="preserve">OC(CN1C=CN=C1)C1=CC2=CC=CC=C2C=C1; CC1=CC(C)=C(N1)C=C1C(=O)NC2=CC=CC=C12; OC(=N)N1C2=CC=CC=C2CCC2=CC=CC=C12</t>
  </si>
  <si>
    <t xml:space="preserve">LFAPKHXSAABGPQ-UHFFFAOYSA-N; WUWDLXZGHZSWQZ-UHFFFAOYSA-N; PHNLCHMJDSSPDQ-UHFFFAOYSA-N</t>
  </si>
  <si>
    <t xml:space="preserve">Benzenoids; Organoheterocyclic compounds; Organoheterocyclic compounds</t>
  </si>
  <si>
    <t xml:space="preserve">Naphthalenes; Indoles and derivatives; Benzazepines</t>
  </si>
  <si>
    <t xml:space="preserve">Unclassified; Unclassified; Dibenzazepines</t>
  </si>
  <si>
    <t xml:space="preserve">283.19237</t>
  </si>
  <si>
    <t xml:space="preserve">C16H28O4</t>
  </si>
  <si>
    <t xml:space="preserve">Tetranorprostanedioic acid</t>
  </si>
  <si>
    <t xml:space="preserve">212358</t>
  </si>
  <si>
    <t xml:space="preserve">HMDB0258926</t>
  </si>
  <si>
    <t xml:space="preserve">OC(=O)CCCCCCCC1CCCC1CCC(O)=O</t>
  </si>
  <si>
    <t xml:space="preserve">VDSTWEBFEFGHLI-UHFFFAOYSA-N</t>
  </si>
  <si>
    <t xml:space="preserve">283.26652</t>
  </si>
  <si>
    <t xml:space="preserve">C18H36O2</t>
  </si>
  <si>
    <t xml:space="preserve">FA(18:0)</t>
  </si>
  <si>
    <t xml:space="preserve">64</t>
  </si>
  <si>
    <t xml:space="preserve">HMDB0000827</t>
  </si>
  <si>
    <t xml:space="preserve">189</t>
  </si>
  <si>
    <t xml:space="preserve">LMFA01010018</t>
  </si>
  <si>
    <t xml:space="preserve">C01530</t>
  </si>
  <si>
    <t xml:space="preserve">28842</t>
  </si>
  <si>
    <t xml:space="preserve">5281</t>
  </si>
  <si>
    <t xml:space="preserve">57-11-4</t>
  </si>
  <si>
    <t xml:space="preserve">C(CCCCCCCC)CCCCCCCCC(=O)O</t>
  </si>
  <si>
    <t xml:space="preserve">QIQXTHQIDYTFRH-UHFFFAOYSA-N</t>
  </si>
  <si>
    <t xml:space="preserve">284.07260</t>
  </si>
  <si>
    <t xml:space="preserve">C16H12FNO3</t>
  </si>
  <si>
    <t xml:space="preserve">Flunoxaprofen</t>
  </si>
  <si>
    <t xml:space="preserve">206834</t>
  </si>
  <si>
    <t xml:space="preserve">HMDB0252341</t>
  </si>
  <si>
    <t xml:space="preserve">39940</t>
  </si>
  <si>
    <t xml:space="preserve">CC(C(O)=O)C1=CC2=C(OC(=N2)C2=CC=C(F)C=C2)C=C1</t>
  </si>
  <si>
    <t xml:space="preserve">ARPYQKTVRGFPIS-UHFFFAOYSA-N</t>
  </si>
  <si>
    <t xml:space="preserve">Oxazoles</t>
  </si>
  <si>
    <t xml:space="preserve">284.09957</t>
  </si>
  <si>
    <t xml:space="preserve">C9H13N5O3</t>
  </si>
  <si>
    <t xml:space="preserve">6-Lactoyltetrahydropterin; Dihydrobiopterin; 4a-Carbinolamine tetrahydrobiopterin</t>
  </si>
  <si>
    <t xml:space="preserve">47789; 46838; 47865</t>
  </si>
  <si>
    <t xml:space="preserve">HMDB0002065; HMDB0000038; HMDB0002215</t>
  </si>
  <si>
    <t xml:space="preserve">6468; 5106; 6552</t>
  </si>
  <si>
    <t xml:space="preserve">C04244; C02953; C00268</t>
  </si>
  <si>
    <t xml:space="preserve">17248; 43029; 43120</t>
  </si>
  <si>
    <t xml:space="preserve">135398702; 119055; 133246</t>
  </si>
  <si>
    <t xml:space="preserve">33405-80-0; 6779-87-9; 79647-29-3</t>
  </si>
  <si>
    <t xml:space="preserve">CC(O)C(=O)C1CNC2=C(N1)C(=O)NC(N)=N2; C[C@H](O)[C@H](O)C1=NC2=C(NC1)NC(N)=NC2=O; [H][C@@]1(CN=C2NC(N)=NC(=O)C2=N1)[C@@H](O)[C@H](C)O</t>
  </si>
  <si>
    <t xml:space="preserve">HKCYZTKHPLJZDR-UHFFFAOYSA-N; FEMXZDUTFRTWPE-DZSWIPIPSA-N; ZHQJVZLJDXWFFX-RPDRRWSUSA-N</t>
  </si>
  <si>
    <t xml:space="preserve">Pteridines and derivatives; Pteridines and derivatives; Pteridines and derivatives</t>
  </si>
  <si>
    <t xml:space="preserve">Pterins and derivatives; Pterins and derivatives; Pterins and derivatives</t>
  </si>
  <si>
    <t xml:space="preserve">285.07064</t>
  </si>
  <si>
    <t xml:space="preserve">C14H12N2S</t>
  </si>
  <si>
    <t xml:space="preserve">4-(1,3-Benzothiazol-2-yl)-2-methylaniline</t>
  </si>
  <si>
    <t xml:space="preserve">201719</t>
  </si>
  <si>
    <t xml:space="preserve">HMDB0246375</t>
  </si>
  <si>
    <t xml:space="preserve">CC1=C(N)C=CC(=C1)C1=NC2=CC=CC=C2S1</t>
  </si>
  <si>
    <t xml:space="preserve">IDBCUMFOZBUJCL-UHFFFAOYSA-N</t>
  </si>
  <si>
    <t xml:space="preserve">Benzothiazoles</t>
  </si>
  <si>
    <t xml:space="preserve">285.16856</t>
  </si>
  <si>
    <t xml:space="preserve">C16H22N4O</t>
  </si>
  <si>
    <t xml:space="preserve">Thonzylamine</t>
  </si>
  <si>
    <t xml:space="preserve">196989</t>
  </si>
  <si>
    <t xml:space="preserve">HMDB0240222</t>
  </si>
  <si>
    <t xml:space="preserve">91-85-0</t>
  </si>
  <si>
    <t xml:space="preserve">COC1=CC=C(CN(CCN(C)C)C2=NC=CC=N2)C=C1</t>
  </si>
  <si>
    <t xml:space="preserve">GULNIHOSWFYMRN-UHFFFAOYSA-N</t>
  </si>
  <si>
    <t xml:space="preserve">285.21264</t>
  </si>
  <si>
    <t xml:space="preserve">C16H30O4</t>
  </si>
  <si>
    <t xml:space="preserve">Hexadecanedioic acid</t>
  </si>
  <si>
    <t xml:space="preserve">2837</t>
  </si>
  <si>
    <t xml:space="preserve">HMDB0000672</t>
  </si>
  <si>
    <t xml:space="preserve">5642</t>
  </si>
  <si>
    <t xml:space="preserve">LMFA01170022</t>
  </si>
  <si>
    <t xml:space="preserve">C08260</t>
  </si>
  <si>
    <t xml:space="preserve">73722</t>
  </si>
  <si>
    <t xml:space="preserve">10459</t>
  </si>
  <si>
    <t xml:space="preserve">505-54-4</t>
  </si>
  <si>
    <t xml:space="preserve">C(CCCCCCCCCCCCCCC(=O)O)(=O)O</t>
  </si>
  <si>
    <t xml:space="preserve">QQHJDPROMQRDLA-UHFFFAOYSA-N</t>
  </si>
  <si>
    <t xml:space="preserve">285.95217</t>
  </si>
  <si>
    <t xml:space="preserve">C6H8ClN5O2S</t>
  </si>
  <si>
    <t xml:space="preserve">Clothianidin</t>
  </si>
  <si>
    <t xml:space="preserve">205161</t>
  </si>
  <si>
    <t xml:space="preserve">HMDB0250370</t>
  </si>
  <si>
    <t xml:space="preserve">C18508</t>
  </si>
  <si>
    <t xml:space="preserve">39177</t>
  </si>
  <si>
    <t xml:space="preserve">213027</t>
  </si>
  <si>
    <t xml:space="preserve">CN\C(NCC1=CN=C(Cl)S1)=N/[N+]([O-])=O</t>
  </si>
  <si>
    <t xml:space="preserve">PGOOBECODWQEAB-UHFFFAOYSA-N</t>
  </si>
  <si>
    <t xml:space="preserve">Thiazoles</t>
  </si>
  <si>
    <t xml:space="preserve">286.06269</t>
  </si>
  <si>
    <t xml:space="preserve">C11H15Cl2N5</t>
  </si>
  <si>
    <t xml:space="preserve">1-[Amino-(3,4-dichloroanilino)methylidene]-2-propan-2-ylguanidine</t>
  </si>
  <si>
    <t xml:space="preserve">202230</t>
  </si>
  <si>
    <t xml:space="preserve">HMDB0246933</t>
  </si>
  <si>
    <t xml:space="preserve">22323</t>
  </si>
  <si>
    <t xml:space="preserve">CC(C)NC(=N)NC(=N)NC1=CC=C(Cl)C(Cl)=C1</t>
  </si>
  <si>
    <t xml:space="preserve">ISZNZKHCRKXXAU-UHFFFAOYSA-N</t>
  </si>
  <si>
    <t xml:space="preserve">287.06994</t>
  </si>
  <si>
    <t xml:space="preserve">C14H12N4O</t>
  </si>
  <si>
    <t xml:space="preserve">4-(7-Hydroxy-6,7-dihydro-5H-cyclopenta[d]pyrimidin-4-ylamino)benzonitrile</t>
  </si>
  <si>
    <t xml:space="preserve">199834</t>
  </si>
  <si>
    <t xml:space="preserve">HMDB0244317</t>
  </si>
  <si>
    <t xml:space="preserve">OC1CCC2=C1N=CN=C2NC1=CC=C(C=C1)C#N</t>
  </si>
  <si>
    <t xml:space="preserve">YKTSVZRWKHWINV-UHFFFAOYSA-N</t>
  </si>
  <si>
    <t xml:space="preserve">287.22048</t>
  </si>
  <si>
    <t xml:space="preserve">C15H30O2</t>
  </si>
  <si>
    <t xml:space="preserve">FA(15:0)</t>
  </si>
  <si>
    <t xml:space="preserve">62</t>
  </si>
  <si>
    <t xml:space="preserve">HMDB0000826</t>
  </si>
  <si>
    <t xml:space="preserve">4205</t>
  </si>
  <si>
    <t xml:space="preserve">LMFA01010015</t>
  </si>
  <si>
    <t xml:space="preserve">C16537</t>
  </si>
  <si>
    <t xml:space="preserve">42504</t>
  </si>
  <si>
    <t xml:space="preserve">13849</t>
  </si>
  <si>
    <t xml:space="preserve">1002-84-2</t>
  </si>
  <si>
    <t xml:space="preserve">C(CCCCC)CCCCCCCCC(=O)O</t>
  </si>
  <si>
    <t xml:space="preserve">WQEPLUUGTLDZJY-UHFFFAOYSA-N</t>
  </si>
  <si>
    <t xml:space="preserve">287.98689</t>
  </si>
  <si>
    <t xml:space="preserve">C6H14ClN3O5S2</t>
  </si>
  <si>
    <t xml:space="preserve">Laromustine</t>
  </si>
  <si>
    <t xml:space="preserve">205155</t>
  </si>
  <si>
    <t xml:space="preserve">HMDB0250364</t>
  </si>
  <si>
    <t xml:space="preserve">441274</t>
  </si>
  <si>
    <t xml:space="preserve">3081349</t>
  </si>
  <si>
    <t xml:space="preserve">CNC(=O)N(N(CCCl)S(C)(=O)=O)S(C)(=O)=O</t>
  </si>
  <si>
    <t xml:space="preserve">PVCULFYROUOVGJ-UHFFFAOYSA-N</t>
  </si>
  <si>
    <t xml:space="preserve">Sulfonylureas</t>
  </si>
  <si>
    <t xml:space="preserve">288.12116</t>
  </si>
  <si>
    <t xml:space="preserve">C11H19N3O6</t>
  </si>
  <si>
    <t xml:space="preserve">Ophthalmic acid</t>
  </si>
  <si>
    <t xml:space="preserve">48597</t>
  </si>
  <si>
    <t xml:space="preserve">HMDB0005765</t>
  </si>
  <si>
    <t xml:space="preserve">58300</t>
  </si>
  <si>
    <t xml:space="preserve">84058</t>
  </si>
  <si>
    <t xml:space="preserve">7018721</t>
  </si>
  <si>
    <t xml:space="preserve">495-27-2</t>
  </si>
  <si>
    <t xml:space="preserve">CC[C@H](NC(=O)CC[C@H](N)C(O)=O)C(=O)NCC(O)=O</t>
  </si>
  <si>
    <t xml:space="preserve">JCMUOFQHZLPHQP-BQBZGAKWSA-N</t>
  </si>
  <si>
    <t xml:space="preserve">289.03939</t>
  </si>
  <si>
    <t xml:space="preserve">C11H14O7S</t>
  </si>
  <si>
    <t xml:space="preserve">4-Hydroxy-5-(3'-hydroxyphenyl)-valeric acid-3'-O-sulphate; 4-Hydroxy-5-(4'-hydroxyphenyl)-valeric acid-4'-O-sulphate</t>
  </si>
  <si>
    <t xml:space="preserve">81993; 81994</t>
  </si>
  <si>
    <t xml:space="preserve">HMDB0059975; HMDB0059976</t>
  </si>
  <si>
    <t xml:space="preserve">88682; 88683</t>
  </si>
  <si>
    <t xml:space="preserve">124202067; 124202068</t>
  </si>
  <si>
    <t xml:space="preserve">OC(CCC(O)=O)CC1=CC(OS(O)(=O)=O)=CC=C1; OC(CCC(O)=O)CC1=CC=C(OS(O)(=O)=O)C=C1</t>
  </si>
  <si>
    <t xml:space="preserve">DMBFBGLRQKIWGT-UHFFFAOYSA-N; GIYMZAJHBZLOGR-UHFFFAOYSA-N</t>
  </si>
  <si>
    <t xml:space="preserve">289.07380</t>
  </si>
  <si>
    <t xml:space="preserve">C16H10N4O2</t>
  </si>
  <si>
    <t xml:space="preserve">Ferene triazine</t>
  </si>
  <si>
    <t xml:space="preserve">206739</t>
  </si>
  <si>
    <t xml:space="preserve">HMDB0252233</t>
  </si>
  <si>
    <t xml:space="preserve">O1C=CC=C1C1=C(N=C(N=N1)C1=CC=CC=N1)C1=CC=CO1</t>
  </si>
  <si>
    <t xml:space="preserve">ILGVLLHYNIYCAR-UHFFFAOYSA-N</t>
  </si>
  <si>
    <t xml:space="preserve">1,2,4-triazines</t>
  </si>
  <si>
    <t xml:space="preserve">289.13158</t>
  </si>
  <si>
    <t xml:space="preserve">C14H18N4O3</t>
  </si>
  <si>
    <t xml:space="preserve">Benomyl</t>
  </si>
  <si>
    <t xml:space="preserve">56238</t>
  </si>
  <si>
    <t xml:space="preserve">HMDB0031767</t>
  </si>
  <si>
    <t xml:space="preserve">68666</t>
  </si>
  <si>
    <t xml:space="preserve">C10896</t>
  </si>
  <si>
    <t xml:space="preserve">3015</t>
  </si>
  <si>
    <t xml:space="preserve">28780</t>
  </si>
  <si>
    <t xml:space="preserve">17804-35-2</t>
  </si>
  <si>
    <t xml:space="preserve">CCCCN=C(O)N1C(N=C(O)OC)=NC2=CC=CC=C12</t>
  </si>
  <si>
    <t xml:space="preserve">RIOXQFHNBCKOKP-UHFFFAOYSA-N</t>
  </si>
  <si>
    <t xml:space="preserve">2-benzimidazolylcarbamic acid esters</t>
  </si>
  <si>
    <t xml:space="preserve">289.18120</t>
  </si>
  <si>
    <t xml:space="preserve">C18H28O4</t>
  </si>
  <si>
    <t xml:space="preserve">Methylgingerol; Diplodiatoxin; Corchorifatty acid A</t>
  </si>
  <si>
    <t xml:space="preserve">54735; 56022; 56947</t>
  </si>
  <si>
    <t xml:space="preserve">HMDB0029852; HMDB0031471; HMDB0032664</t>
  </si>
  <si>
    <t xml:space="preserve">86546; ; 88605</t>
  </si>
  <si>
    <t xml:space="preserve">; ; 138783</t>
  </si>
  <si>
    <t xml:space="preserve">71391212; 12309246; 9883083</t>
  </si>
  <si>
    <t xml:space="preserve">; 41060-01-9; </t>
  </si>
  <si>
    <t xml:space="preserve">CCCCCC(O)CC(=O)CCC1=CC=C(OC)C(OC)=C1; CC1CC(C)C2C(C1)C=C(C)C(C(O)=O)C2(C)C(=O)CCO; CCC(=O)\C=C\C=C\C=C\C(O)CCCCCCCC(O)=O</t>
  </si>
  <si>
    <t xml:space="preserve">CTGAPJBPSCUFRO-UHFFFAOYSA-N; SFTQDPVLDKOILY-UHFFFAOYSA-N; FCCFXOHVERVHQR-KDXRDGMUSA-N</t>
  </si>
  <si>
    <t xml:space="preserve">Benzenoids; Organic acids and derivatives; Lipids and lipid-like molecules</t>
  </si>
  <si>
    <t xml:space="preserve">Benzene and substituted derivatives; Keto acids and derivatives; Fatty Acyls</t>
  </si>
  <si>
    <t xml:space="preserve">Methoxybenzenes; Gamma-keto acids and derivatives; Lineolic acids and derivatives</t>
  </si>
  <si>
    <t xml:space="preserve">289.22095</t>
  </si>
  <si>
    <t xml:space="preserve">C12H28N4O</t>
  </si>
  <si>
    <t xml:space="preserve">N1-Acetylspermine</t>
  </si>
  <si>
    <t xml:space="preserve">47439</t>
  </si>
  <si>
    <t xml:space="preserve">HMDB0001186</t>
  </si>
  <si>
    <t xml:space="preserve">3369</t>
  </si>
  <si>
    <t xml:space="preserve">C02567</t>
  </si>
  <si>
    <t xml:space="preserve">17312</t>
  </si>
  <si>
    <t xml:space="preserve">916</t>
  </si>
  <si>
    <t xml:space="preserve">25593-72-0</t>
  </si>
  <si>
    <t xml:space="preserve">CC(=O)NCCCNCCCCNCCCN</t>
  </si>
  <si>
    <t xml:space="preserve">GUNURVWAJRRUAV-UHFFFAOYSA-N</t>
  </si>
  <si>
    <t xml:space="preserve">290.08485</t>
  </si>
  <si>
    <t xml:space="preserve">C18H13NO3</t>
  </si>
  <si>
    <t xml:space="preserve">Avenalumin III</t>
  </si>
  <si>
    <t xml:space="preserve">62277</t>
  </si>
  <si>
    <t xml:space="preserve">HMDB0038956</t>
  </si>
  <si>
    <t xml:space="preserve">137199995</t>
  </si>
  <si>
    <t xml:space="preserve">78214-15-0</t>
  </si>
  <si>
    <t xml:space="preserve">OC1=CC=C(\C=C\C=C/C2=NC3=CC=CC=C3C(=O)O2)C=C1</t>
  </si>
  <si>
    <t xml:space="preserve">ASJBOIQMTVOWBG-UJURIKRHSA-N</t>
  </si>
  <si>
    <t xml:space="preserve">290.96666</t>
  </si>
  <si>
    <t xml:space="preserve">C5H12O11P2</t>
  </si>
  <si>
    <t xml:space="preserve">Ribose 1,5-bisphosphate</t>
  </si>
  <si>
    <t xml:space="preserve">51470</t>
  </si>
  <si>
    <t xml:space="preserve">HMDB0011688</t>
  </si>
  <si>
    <t xml:space="preserve">C01151</t>
  </si>
  <si>
    <t xml:space="preserve">68819</t>
  </si>
  <si>
    <t xml:space="preserve">14035695</t>
  </si>
  <si>
    <t xml:space="preserve">14689-84-0</t>
  </si>
  <si>
    <t xml:space="preserve">O[C@H]1[C@@H](O)[C@@H](OP(O)(O)=O)O[C@@H]1COP(O)(O)=O</t>
  </si>
  <si>
    <t xml:space="preserve">AAAFZMYJJHWUPN-TXICZTDVSA-N</t>
  </si>
  <si>
    <t xml:space="preserve">291.10087</t>
  </si>
  <si>
    <t xml:space="preserve">C11H20N2O5S</t>
  </si>
  <si>
    <t xml:space="preserve">N-gamma-Glutamyl-S-propylcysteine</t>
  </si>
  <si>
    <t xml:space="preserve">62404</t>
  </si>
  <si>
    <t xml:space="preserve">HMDB0039096</t>
  </si>
  <si>
    <t xml:space="preserve">93699</t>
  </si>
  <si>
    <t xml:space="preserve">169188</t>
  </si>
  <si>
    <t xml:space="preserve">21201348</t>
  </si>
  <si>
    <t xml:space="preserve">91212-00-9</t>
  </si>
  <si>
    <t xml:space="preserve">CCCSCC(NC(=O)CCC(N)C(O)=O)C(O)=O</t>
  </si>
  <si>
    <t xml:space="preserve">MTFUIXBAXHURMH-UHFFFAOYSA-N</t>
  </si>
  <si>
    <t xml:space="preserve">291.23695</t>
  </si>
  <si>
    <t xml:space="preserve">C18H30</t>
  </si>
  <si>
    <t xml:space="preserve">Dodecylbenzene; Estrane</t>
  </si>
  <si>
    <t xml:space="preserve">206185; 206507</t>
  </si>
  <si>
    <t xml:space="preserve">HMDB0251572; HMDB0251974</t>
  </si>
  <si>
    <t xml:space="preserve">6946; </t>
  </si>
  <si>
    <t xml:space="preserve">31237; 12313694</t>
  </si>
  <si>
    <t xml:space="preserve">CCCCCCCCCCCCC1=CC=CC=C1; CC12CCCC1C1CCC3CCCCC3C1CC2</t>
  </si>
  <si>
    <t xml:space="preserve">KWKXNDCHNDYVRT-UHFFFAOYSA-N; GRXPVLPQNMUNNX-UHFFFAOYSA-N</t>
  </si>
  <si>
    <t xml:space="preserve">Benzene and substituted derivatives; Steroids and steroid derivatives</t>
  </si>
  <si>
    <t xml:space="preserve">Unclassified; Estrane steroids</t>
  </si>
  <si>
    <t xml:space="preserve">292.07548</t>
  </si>
  <si>
    <t xml:space="preserve">C13H17N3O4S</t>
  </si>
  <si>
    <t xml:space="preserve">Metamizol</t>
  </si>
  <si>
    <t xml:space="preserve">208610</t>
  </si>
  <si>
    <t xml:space="preserve">HMDB0254502</t>
  </si>
  <si>
    <t xml:space="preserve">62088</t>
  </si>
  <si>
    <t xml:space="preserve">3111</t>
  </si>
  <si>
    <t xml:space="preserve">CN(CS(O)(=O)=O)C1=C(C)N(C)N(C1=O)C1=CC=CC=C1</t>
  </si>
  <si>
    <t xml:space="preserve">LVWZTYCIRDMTEY-UHFFFAOYSA-N</t>
  </si>
  <si>
    <t xml:space="preserve">Pyrazoles</t>
  </si>
  <si>
    <t xml:space="preserve">292.13940</t>
  </si>
  <si>
    <t xml:space="preserve">C11H21NO5</t>
  </si>
  <si>
    <t xml:space="preserve">3-Hydroxybutyrylcarnitine; (R)-3-hydroxybutyrylcarnitine</t>
  </si>
  <si>
    <t xml:space="preserve">52185; 83757</t>
  </si>
  <si>
    <t xml:space="preserve">HMDB0013127; HMDB0062735</t>
  </si>
  <si>
    <t xml:space="preserve">; 84842</t>
  </si>
  <si>
    <t xml:space="preserve">; 90659885</t>
  </si>
  <si>
    <t xml:space="preserve">1469900-92-2; </t>
  </si>
  <si>
    <t xml:space="preserve">C[C@@H](O)CC(=O)O[C@@H](CC([O-])=O)C[N+](C)(C)C; [H]C(C)(O)CC(=O)O[C@]([H])(CC([O-])=O)C[N+](C)(C)C</t>
  </si>
  <si>
    <t xml:space="preserve">UEFRDQSMQXDWTO-BDAKNGLRSA-N; UEFRDQSMQXDWTO-YGPZHTELSA-N</t>
  </si>
  <si>
    <t xml:space="preserve">292.17043</t>
  </si>
  <si>
    <t xml:space="preserve">C20H23NO</t>
  </si>
  <si>
    <t xml:space="preserve">E-10-Hydroxyamitriptyline</t>
  </si>
  <si>
    <t xml:space="preserve">52500</t>
  </si>
  <si>
    <t xml:space="preserve">HMDB0013888</t>
  </si>
  <si>
    <t xml:space="preserve">6454906</t>
  </si>
  <si>
    <t xml:space="preserve">CN(C)CC\C=C1/C2=CC=CC=C2CC(O)C2=CC=CC=C12</t>
  </si>
  <si>
    <t xml:space="preserve">GHWBJXOKAFHZAI-SFQUDFHCSA-N</t>
  </si>
  <si>
    <t xml:space="preserve">Dibenzocycloheptenes</t>
  </si>
  <si>
    <t xml:space="preserve">292.20395</t>
  </si>
  <si>
    <t xml:space="preserve">C15H31NO2</t>
  </si>
  <si>
    <t xml:space="preserve">N-Dodecylsarcosinate</t>
  </si>
  <si>
    <t xml:space="preserve">209149</t>
  </si>
  <si>
    <t xml:space="preserve">HMDB0255129</t>
  </si>
  <si>
    <t xml:space="preserve">435607</t>
  </si>
  <si>
    <t xml:space="preserve">61426</t>
  </si>
  <si>
    <t xml:space="preserve">CCCCCCCCCCCCN(C)CC(O)=O</t>
  </si>
  <si>
    <t xml:space="preserve">BMYCCWYAFNPAQC-UHFFFAOYSA-N</t>
  </si>
  <si>
    <t xml:space="preserve">293.06571</t>
  </si>
  <si>
    <t xml:space="preserve">C9H14N4O5</t>
  </si>
  <si>
    <t xml:space="preserve">AICA-riboside</t>
  </si>
  <si>
    <t xml:space="preserve">83449</t>
  </si>
  <si>
    <t xml:space="preserve">HMDB0062179</t>
  </si>
  <si>
    <t xml:space="preserve">313863</t>
  </si>
  <si>
    <t xml:space="preserve">28498</t>
  </si>
  <si>
    <t xml:space="preserve">17513</t>
  </si>
  <si>
    <t xml:space="preserve">2627-69-2</t>
  </si>
  <si>
    <t xml:space="preserve">NC(=O)C1=C(N)N(C=N1)[C@@H]1O[C@H](CO)[C@@H](O)[C@H]1O</t>
  </si>
  <si>
    <t xml:space="preserve">RTRQQBHATOEIAF-UUOKFMHZSA-N</t>
  </si>
  <si>
    <t xml:space="preserve">293.14029</t>
  </si>
  <si>
    <t xml:space="preserve">C17H18N4O</t>
  </si>
  <si>
    <t xml:space="preserve">Alosetron</t>
  </si>
  <si>
    <t xml:space="preserve">53220</t>
  </si>
  <si>
    <t xml:space="preserve">HMDB0015104</t>
  </si>
  <si>
    <t xml:space="preserve">85451</t>
  </si>
  <si>
    <t xml:space="preserve">253342</t>
  </si>
  <si>
    <t xml:space="preserve">2099</t>
  </si>
  <si>
    <t xml:space="preserve">122852-42-0</t>
  </si>
  <si>
    <t xml:space="preserve">CN1C2=C(C3=CC=CC=C13)C(=O)N(CC1=C(C)NC=N1)CC2</t>
  </si>
  <si>
    <t xml:space="preserve">JSWZEAMFRNKZNL-UHFFFAOYSA-N</t>
  </si>
  <si>
    <t xml:space="preserve">293.25125</t>
  </si>
  <si>
    <t xml:space="preserve">C19H34O2</t>
  </si>
  <si>
    <t xml:space="preserve">Methyl linoleate</t>
  </si>
  <si>
    <t xml:space="preserve">58418</t>
  </si>
  <si>
    <t xml:space="preserve">HMDB0034381</t>
  </si>
  <si>
    <t xml:space="preserve">69080</t>
  </si>
  <si>
    <t xml:space="preserve">5284421</t>
  </si>
  <si>
    <t xml:space="preserve">112-63-0</t>
  </si>
  <si>
    <t xml:space="preserve">CCCCC\C=C/C\C=C/CCCCCCCC(=O)OC</t>
  </si>
  <si>
    <t xml:space="preserve">WTTJVINHCBCLGX-NQLNTKRDSA-N</t>
  </si>
  <si>
    <t xml:space="preserve">294.06970</t>
  </si>
  <si>
    <t xml:space="preserve">C16H12FN3O3</t>
  </si>
  <si>
    <t xml:space="preserve">Flunitrazepam</t>
  </si>
  <si>
    <t xml:space="preserve">53561</t>
  </si>
  <si>
    <t xml:space="preserve">HMDB0015510</t>
  </si>
  <si>
    <t xml:space="preserve">85044</t>
  </si>
  <si>
    <t xml:space="preserve">111715</t>
  </si>
  <si>
    <t xml:space="preserve">3380</t>
  </si>
  <si>
    <t xml:space="preserve">1622-62-4</t>
  </si>
  <si>
    <t xml:space="preserve">CN1C2=C(C=C(C=C2)[N+]([O-])=O)C(=NCC1=O)C1=CC=CC=C1F</t>
  </si>
  <si>
    <t xml:space="preserve">PPTYJKAXVCCBDU-UHFFFAOYSA-N</t>
  </si>
  <si>
    <t xml:space="preserve">Benzodiazepines</t>
  </si>
  <si>
    <t xml:space="preserve">1,4-benzodiazepines</t>
  </si>
  <si>
    <t xml:space="preserve">295.08009</t>
  </si>
  <si>
    <t xml:space="preserve">C10H20N2O4S2</t>
  </si>
  <si>
    <t xml:space="preserve">Penicillamine disulfide</t>
  </si>
  <si>
    <t xml:space="preserve">201377</t>
  </si>
  <si>
    <t xml:space="preserve">HMDB0246004</t>
  </si>
  <si>
    <t xml:space="preserve">1730</t>
  </si>
  <si>
    <t xml:space="preserve">258527</t>
  </si>
  <si>
    <t xml:space="preserve">20902-45-8</t>
  </si>
  <si>
    <t xml:space="preserve">CC(C)(SSC(C)(C)C(N)C(O)=O)C(N)C(O)=O</t>
  </si>
  <si>
    <t xml:space="preserve">POYPKGFSZHXASD-UHFFFAOYSA-N</t>
  </si>
  <si>
    <t xml:space="preserve">295.23102</t>
  </si>
  <si>
    <t xml:space="preserve">C18H34O4</t>
  </si>
  <si>
    <t xml:space="preserve">Octadecanedioic acid</t>
  </si>
  <si>
    <t xml:space="preserve">2844</t>
  </si>
  <si>
    <t xml:space="preserve">HMDB0000782</t>
  </si>
  <si>
    <t xml:space="preserve">5748</t>
  </si>
  <si>
    <t xml:space="preserve">LMFA01170029</t>
  </si>
  <si>
    <t xml:space="preserve">133086</t>
  </si>
  <si>
    <t xml:space="preserve">70095</t>
  </si>
  <si>
    <t xml:space="preserve">871-70-5</t>
  </si>
  <si>
    <t xml:space="preserve">C(CCCCCCCCCCCCCCCCC(=O)O)(=O)O</t>
  </si>
  <si>
    <t xml:space="preserve">BNJOQKFENDDGSC-UHFFFAOYSA-N</t>
  </si>
  <si>
    <t xml:space="preserve">295.26839</t>
  </si>
  <si>
    <t xml:space="preserve">C19H36O2</t>
  </si>
  <si>
    <t xml:space="preserve">FA(19:1)</t>
  </si>
  <si>
    <t xml:space="preserve">854</t>
  </si>
  <si>
    <t xml:space="preserve">HMDB0013622</t>
  </si>
  <si>
    <t xml:space="preserve">35026</t>
  </si>
  <si>
    <t xml:space="preserve">LMFA01030362</t>
  </si>
  <si>
    <t xml:space="preserve">83051</t>
  </si>
  <si>
    <t xml:space="preserve">5312513</t>
  </si>
  <si>
    <t xml:space="preserve">73033-09-7</t>
  </si>
  <si>
    <t xml:space="preserve">C(CCCCCCCC/C=C\CCCCCCCC)(=O)O</t>
  </si>
  <si>
    <t xml:space="preserve">BBOWBNGUEWHNQZ-KTKRTIGZSA-N</t>
  </si>
  <si>
    <t xml:space="preserve">297.05406</t>
  </si>
  <si>
    <t xml:space="preserve">C12H14N2O5S</t>
  </si>
  <si>
    <t xml:space="preserve">N-Acetylserotonin sulfate</t>
  </si>
  <si>
    <t xml:space="preserve">82692</t>
  </si>
  <si>
    <t xml:space="preserve">HMDB0060834</t>
  </si>
  <si>
    <t xml:space="preserve">819057</t>
  </si>
  <si>
    <t xml:space="preserve">45479248</t>
  </si>
  <si>
    <t xml:space="preserve">94840-68-3</t>
  </si>
  <si>
    <t xml:space="preserve">CC(=O)NCCC1=CNC2=C1C=C(OS(O)(=O)=O)C=C2</t>
  </si>
  <si>
    <t xml:space="preserve">UCAJZNVFRVLULS-UHFFFAOYSA-N</t>
  </si>
  <si>
    <t xml:space="preserve">297.08925</t>
  </si>
  <si>
    <t xml:space="preserve">C15H19ClO4</t>
  </si>
  <si>
    <t xml:space="preserve">2-[6-(4-Chlorophenoxy)hexyl]oxirane-2-carboxylic acid; 8-Deoxy-11-hydroxy-13-chlorogrosheimin</t>
  </si>
  <si>
    <t xml:space="preserve">200386; 64147</t>
  </si>
  <si>
    <t xml:space="preserve">HMDB0244935; HMDB0041037</t>
  </si>
  <si>
    <t xml:space="preserve">; 95470</t>
  </si>
  <si>
    <t xml:space="preserve">1231; 131753015</t>
  </si>
  <si>
    <t xml:space="preserve">; 83551-02-4</t>
  </si>
  <si>
    <t xml:space="preserve">OC(=O)C1(CCCCCCOC2=CC=C(Cl)C=C2)CO1; CC1C2C(CC1=O)C(=C)CCC1C2OC(=O)C1(O)CCl</t>
  </si>
  <si>
    <t xml:space="preserve">NWSIRTXVYBEURF-UHFFFAOYSA-N; RXUIKPFKVDKIDO-UHFFFAOYSA-N</t>
  </si>
  <si>
    <t xml:space="preserve">Phenol ethers; Prenol lipids</t>
  </si>
  <si>
    <t xml:space="preserve">Unclassified; Terpene lactones</t>
  </si>
  <si>
    <t xml:space="preserve">297.21672</t>
  </si>
  <si>
    <t xml:space="preserve">C21H30O</t>
  </si>
  <si>
    <t xml:space="preserve">3-(8,11,14-Pentadecatrienyl)phenol</t>
  </si>
  <si>
    <t xml:space="preserve">58024</t>
  </si>
  <si>
    <t xml:space="preserve">HMDB0033862</t>
  </si>
  <si>
    <t xml:space="preserve">89575</t>
  </si>
  <si>
    <t xml:space="preserve">171704</t>
  </si>
  <si>
    <t xml:space="preserve">5356112</t>
  </si>
  <si>
    <t xml:space="preserve">79353-39-2</t>
  </si>
  <si>
    <t xml:space="preserve">OC1=CC=CC(CCCCCCC\C=C\C\C=C\CC=C)=C1</t>
  </si>
  <si>
    <t xml:space="preserve">JOLVYUIAMRUBRK-AOSYACOCSA-N</t>
  </si>
  <si>
    <t xml:space="preserve">1-hydroxy-4-unsubstituted benzenoids</t>
  </si>
  <si>
    <t xml:space="preserve">297.24896</t>
  </si>
  <si>
    <t xml:space="preserve">C18H34O3</t>
  </si>
  <si>
    <t xml:space="preserve">Ricinoleic acid</t>
  </si>
  <si>
    <t xml:space="preserve">58342</t>
  </si>
  <si>
    <t xml:space="preserve">HMDB0034297</t>
  </si>
  <si>
    <t xml:space="preserve">C08365</t>
  </si>
  <si>
    <t xml:space="preserve">85639</t>
  </si>
  <si>
    <t xml:space="preserve">5282942</t>
  </si>
  <si>
    <t xml:space="preserve">141-22-0</t>
  </si>
  <si>
    <t xml:space="preserve">CCCCCCC(O)C\C=C/CCCCCCCC(O)=O</t>
  </si>
  <si>
    <t xml:space="preserve">WBHHMMIMDMUBKC-XFXZXTDPSA-N</t>
  </si>
  <si>
    <t xml:space="preserve">298.11782</t>
  </si>
  <si>
    <t xml:space="preserve">C11H18ClN7O</t>
  </si>
  <si>
    <t xml:space="preserve">5-(N-Methyl-N-isobutyl)amiloride; Ethylisopropylamiloride</t>
  </si>
  <si>
    <t xml:space="preserve">202059; 206320</t>
  </si>
  <si>
    <t xml:space="preserve">HMDB0246735; HMDB0251726</t>
  </si>
  <si>
    <t xml:space="preserve">; 406757</t>
  </si>
  <si>
    <t xml:space="preserve">; 136538</t>
  </si>
  <si>
    <t xml:space="preserve">73314; 1795</t>
  </si>
  <si>
    <t xml:space="preserve">CC(C)CN(C)C1=NC(N)=C(N=C1Cl)C(=O)N=C(N)N; CCN(C(C)C)C1=NC(N)=C(N=C1Cl)C(=O)N=C(N)N</t>
  </si>
  <si>
    <t xml:space="preserve">RVIUMPLAOXSSGN-UHFFFAOYSA-N; QDERNBXNXJCIQK-UHFFFAOYSA-N</t>
  </si>
  <si>
    <t xml:space="preserve">Diazines; Diazines</t>
  </si>
  <si>
    <t xml:space="preserve">Pyrazines; Pyrazines</t>
  </si>
  <si>
    <t xml:space="preserve">298.99916</t>
  </si>
  <si>
    <t xml:space="preserve">C9H12O7S</t>
  </si>
  <si>
    <t xml:space="preserve">3-Methoxy-4-Hydroxyphenylglycol sulfate; 3-Methoxy-4-hydroxyphenylethyleneglycol sulfate</t>
  </si>
  <si>
    <t xml:space="preserve">48063; 47092</t>
  </si>
  <si>
    <t xml:space="preserve">HMDB0003332; HMDB0000559</t>
  </si>
  <si>
    <t xml:space="preserve">6889; 1596</t>
  </si>
  <si>
    <t xml:space="preserve">; 137054</t>
  </si>
  <si>
    <t xml:space="preserve">3035420; 4183</t>
  </si>
  <si>
    <t xml:space="preserve">71324-20-4; 3415-67-6</t>
  </si>
  <si>
    <t xml:space="preserve">COC1=C(O)C=CC(=C1)C(CO)OS(O)(=O)=O; COC1=C(OS(O)(=O)=O)C=CC(=C1)C(O)CO</t>
  </si>
  <si>
    <t xml:space="preserve">SBKADJXSGGTEPN-UHFFFAOYSA-N; WUFPNASKMLJSND-UHFFFAOYSA-N</t>
  </si>
  <si>
    <t xml:space="preserve">Benzenoids; Organic acids and derivatives</t>
  </si>
  <si>
    <t xml:space="preserve">Phenols; Organic sulfuric acids and derivatives</t>
  </si>
  <si>
    <t xml:space="preserve">Methoxyphenols; Arylsulfates</t>
  </si>
  <si>
    <t xml:space="preserve">299.09585</t>
  </si>
  <si>
    <t xml:space="preserve">C17H17ClN2O</t>
  </si>
  <si>
    <t xml:space="preserve">Etifoxine</t>
  </si>
  <si>
    <t xml:space="preserve">206618</t>
  </si>
  <si>
    <t xml:space="preserve">HMDB0252098</t>
  </si>
  <si>
    <t xml:space="preserve">30768</t>
  </si>
  <si>
    <t xml:space="preserve">CCNC1=NC2=CC=C(Cl)C=C2C(C)(O1)C1=CC=CC=C1</t>
  </si>
  <si>
    <t xml:space="preserve">IBYCYJFUEJQSMK-UHFFFAOYSA-N</t>
  </si>
  <si>
    <t xml:space="preserve">299.13347</t>
  </si>
  <si>
    <t xml:space="preserve">C18H21ClN2</t>
  </si>
  <si>
    <t xml:space="preserve">Chlorcyclizine; desmethylclomipramine</t>
  </si>
  <si>
    <t xml:space="preserve">196991; 82796</t>
  </si>
  <si>
    <t xml:space="preserve">HMDB0240224; HMDB0060947</t>
  </si>
  <si>
    <t xml:space="preserve">319845; </t>
  </si>
  <si>
    <t xml:space="preserve">; 124969</t>
  </si>
  <si>
    <t xml:space="preserve">2710; 622606</t>
  </si>
  <si>
    <t xml:space="preserve">82-93-9; 303-48-0</t>
  </si>
  <si>
    <t xml:space="preserve">CN1CCN(CC1)C(C1=CC=CC=C1)C1=CC=C(Cl)C=C1; CNCCCN1C2=CC=CC=C2CCC2=C1C=C(Cl)C=C2</t>
  </si>
  <si>
    <t xml:space="preserve">WFNAKBGANONZEQ-UHFFFAOYSA-N; VPIXQGUBUKFLRF-UHFFFAOYSA-N</t>
  </si>
  <si>
    <t xml:space="preserve">Benzenoids; Organoheterocyclic compounds</t>
  </si>
  <si>
    <t xml:space="preserve">Benzene and substituted derivatives; Benzazepines</t>
  </si>
  <si>
    <t xml:space="preserve">Diphenylmethanes; Dibenzazepines</t>
  </si>
  <si>
    <t xml:space="preserve">299.20268</t>
  </si>
  <si>
    <t xml:space="preserve">C19H26</t>
  </si>
  <si>
    <t xml:space="preserve">18-Nor-4(19),8,11,13-abietatetraene</t>
  </si>
  <si>
    <t xml:space="preserve">64462</t>
  </si>
  <si>
    <t xml:space="preserve">HMDB0041371</t>
  </si>
  <si>
    <t xml:space="preserve">95776</t>
  </si>
  <si>
    <t xml:space="preserve">5320205</t>
  </si>
  <si>
    <t xml:space="preserve">22478-62-2</t>
  </si>
  <si>
    <t xml:space="preserve">CC(C)C1=CC2=C(C=C1)C1(C)CCCC(=C)C1CC2</t>
  </si>
  <si>
    <t xml:space="preserve">ZPQHNIHJSIZREW-UHFFFAOYSA-N</t>
  </si>
  <si>
    <t xml:space="preserve">Diterpenoids</t>
  </si>
  <si>
    <t xml:space="preserve">300.04614</t>
  </si>
  <si>
    <t xml:space="preserve">C8H18NO10P</t>
  </si>
  <si>
    <t xml:space="preserve">N-Gluconyl ethanolamine phosphate</t>
  </si>
  <si>
    <t xml:space="preserve">56678</t>
  </si>
  <si>
    <t xml:space="preserve">HMDB0032294</t>
  </si>
  <si>
    <t xml:space="preserve">88338</t>
  </si>
  <si>
    <t xml:space="preserve">71587802</t>
  </si>
  <si>
    <t xml:space="preserve">791807-20-0</t>
  </si>
  <si>
    <t xml:space="preserve">OC[C@@H](O)[C@H](O)[C@H](O)[C@@H](O)C(=O)NCCOP(O)(O)=O</t>
  </si>
  <si>
    <t xml:space="preserve">JNXDTQSHHDGYGF-JRTVQGFMSA-N</t>
  </si>
  <si>
    <t xml:space="preserve">301.05539</t>
  </si>
  <si>
    <t xml:space="preserve">C16H17ClN2OS</t>
  </si>
  <si>
    <t xml:space="preserve">Encenicline</t>
  </si>
  <si>
    <t xml:space="preserve">206374</t>
  </si>
  <si>
    <t xml:space="preserve">HMDB0251788</t>
  </si>
  <si>
    <t xml:space="preserve">66787058</t>
  </si>
  <si>
    <t xml:space="preserve">ClC1=CC=CC2=C1SC(=C2)C(=O)NC1CN2CCC1CC2</t>
  </si>
  <si>
    <t xml:space="preserve">SSRDSYXGYPJKRR-UHFFFAOYSA-N</t>
  </si>
  <si>
    <t xml:space="preserve">Benzothiophenes</t>
  </si>
  <si>
    <t xml:space="preserve">1-benzothiophenes</t>
  </si>
  <si>
    <t xml:space="preserve">301.09460</t>
  </si>
  <si>
    <t xml:space="preserve">C14H14N4O4</t>
  </si>
  <si>
    <t xml:space="preserve">Terizidone</t>
  </si>
  <si>
    <t xml:space="preserve">212276</t>
  </si>
  <si>
    <t xml:space="preserve">HMDB0258834</t>
  </si>
  <si>
    <t xml:space="preserve">65720</t>
  </si>
  <si>
    <t xml:space="preserve">OC1=NOCC1N=CC1=CC=C(C=NC2CON=C2O)C=C1</t>
  </si>
  <si>
    <t xml:space="preserve">ODKYYBOHSVLGNU-UHFFFAOYSA-N</t>
  </si>
  <si>
    <t xml:space="preserve">301.14139</t>
  </si>
  <si>
    <t xml:space="preserve">C7H9N3O</t>
  </si>
  <si>
    <t xml:space="preserve">chondroitin sulfate E (GalNAc4,6diS-GlcA), precursor 5a</t>
  </si>
  <si>
    <t xml:space="preserve">83594</t>
  </si>
  <si>
    <t xml:space="preserve">HMDB0062464</t>
  </si>
  <si>
    <t xml:space="preserve">10837</t>
  </si>
  <si>
    <t xml:space="preserve">NNC(O)=NC1=CC=CC=C1</t>
  </si>
  <si>
    <t xml:space="preserve">MOCKWYUCPREFCZ-UHFFFAOYSA-N</t>
  </si>
  <si>
    <t xml:space="preserve">302.06909</t>
  </si>
  <si>
    <t xml:space="preserve">C15H13N3O2</t>
  </si>
  <si>
    <t xml:space="preserve">Prinomide</t>
  </si>
  <si>
    <t xml:space="preserve">210577</t>
  </si>
  <si>
    <t xml:space="preserve">HMDB0256775</t>
  </si>
  <si>
    <t xml:space="preserve">68722</t>
  </si>
  <si>
    <t xml:space="preserve">C10958</t>
  </si>
  <si>
    <t xml:space="preserve">8415</t>
  </si>
  <si>
    <t xml:space="preserve">60352</t>
  </si>
  <si>
    <t xml:space="preserve">77639-66-8</t>
  </si>
  <si>
    <t xml:space="preserve">CN1C=CC=C1C(=O)C(C#N)C(=O)NC1=CC=CC=C1</t>
  </si>
  <si>
    <t xml:space="preserve">KBQUAIAGRLAZGP-UHFFFAOYSA-N</t>
  </si>
  <si>
    <t xml:space="preserve">Anilides</t>
  </si>
  <si>
    <t xml:space="preserve">302.10738</t>
  </si>
  <si>
    <t xml:space="preserve">C16H17N3O</t>
  </si>
  <si>
    <t xml:space="preserve">LYSERGAMIDE</t>
  </si>
  <si>
    <t xml:space="preserve">208418</t>
  </si>
  <si>
    <t xml:space="preserve">HMDB0254261</t>
  </si>
  <si>
    <t xml:space="preserve">10173</t>
  </si>
  <si>
    <t xml:space="preserve">CN1CC(C=C2C1CC1=CNC3=CC=CC2=C13)C(N)=O</t>
  </si>
  <si>
    <t xml:space="preserve">GENAHGKEFJLNJB-UHFFFAOYSA-N</t>
  </si>
  <si>
    <t xml:space="preserve">Ergoline and derivatives</t>
  </si>
  <si>
    <t xml:space="preserve">Lysergic acids and derivatives</t>
  </si>
  <si>
    <t xml:space="preserve">303.04699</t>
  </si>
  <si>
    <t xml:space="preserve">C11H18N2O5S2</t>
  </si>
  <si>
    <t xml:space="preserve">L-gamma-Glutamyl-S-allylthio-L-cysteine</t>
  </si>
  <si>
    <t xml:space="preserve">61892</t>
  </si>
  <si>
    <t xml:space="preserve">HMDB0038515</t>
  </si>
  <si>
    <t xml:space="preserve">93192</t>
  </si>
  <si>
    <t xml:space="preserve">168042</t>
  </si>
  <si>
    <t xml:space="preserve">131752387</t>
  </si>
  <si>
    <t xml:space="preserve">NC(CCC(=O)NC(CSSCC=C)C(O)=O)C(O)=O</t>
  </si>
  <si>
    <t xml:space="preserve">VTEHWEWRSAXLHY-UHFFFAOYSA-N</t>
  </si>
  <si>
    <t xml:space="preserve">303.16339</t>
  </si>
  <si>
    <t xml:space="preserve">C18H24N2</t>
  </si>
  <si>
    <t xml:space="preserve">N-(1,3-Dimethylbutyl)-N'-phenyl-p-phenylenediamine</t>
  </si>
  <si>
    <t xml:space="preserve">202633</t>
  </si>
  <si>
    <t xml:space="preserve">HMDB0247397</t>
  </si>
  <si>
    <t xml:space="preserve">CC(C)CC(C)NC1=CC=C(NC2=CC=CC=C2)C=C1</t>
  </si>
  <si>
    <t xml:space="preserve">ZZMVLMVFYMGSMY-UHFFFAOYSA-N</t>
  </si>
  <si>
    <t xml:space="preserve">304.06572</t>
  </si>
  <si>
    <t xml:space="preserve">C17H17Cl2N</t>
  </si>
  <si>
    <t xml:space="preserve">Sertraline</t>
  </si>
  <si>
    <t xml:space="preserve">48449</t>
  </si>
  <si>
    <t xml:space="preserve">HMDB0005010</t>
  </si>
  <si>
    <t xml:space="preserve">2417</t>
  </si>
  <si>
    <t xml:space="preserve">C07246</t>
  </si>
  <si>
    <t xml:space="preserve">9123</t>
  </si>
  <si>
    <t xml:space="preserve">68617</t>
  </si>
  <si>
    <t xml:space="preserve">79617-96-2</t>
  </si>
  <si>
    <t xml:space="preserve">CN[C@H]1CC[C@@H](C2=CC(Cl)=C(Cl)C=C2)C2=CC=CC=C12</t>
  </si>
  <si>
    <t xml:space="preserve">VGKDLMBJGBXTGI-SJCJKPOMSA-N</t>
  </si>
  <si>
    <t xml:space="preserve">Tetralins</t>
  </si>
  <si>
    <t xml:space="preserve">Tametralines</t>
  </si>
  <si>
    <t xml:space="preserve">304.90247</t>
  </si>
  <si>
    <t xml:space="preserve">C6H3Cl3O5</t>
  </si>
  <si>
    <t xml:space="preserve">2,3,5-Trichloromaleylacetate</t>
  </si>
  <si>
    <t xml:space="preserve">82271</t>
  </si>
  <si>
    <t xml:space="preserve">HMDB0060361</t>
  </si>
  <si>
    <t xml:space="preserve">72089</t>
  </si>
  <si>
    <t xml:space="preserve">C18243</t>
  </si>
  <si>
    <t xml:space="preserve">19297</t>
  </si>
  <si>
    <t xml:space="preserve">9543107</t>
  </si>
  <si>
    <t xml:space="preserve">OC(=O)C(Cl)C(=O)C(\Cl)=C(\Cl)C(O)=O</t>
  </si>
  <si>
    <t xml:space="preserve">ADCWUQBAGPEBME-UPHRSURJSA-N</t>
  </si>
  <si>
    <t xml:space="preserve">305.07641</t>
  </si>
  <si>
    <t xml:space="preserve">C11H11F3N2O2</t>
  </si>
  <si>
    <t xml:space="preserve">Dezinamide</t>
  </si>
  <si>
    <t xml:space="preserve">205754</t>
  </si>
  <si>
    <t xml:space="preserve">HMDB0251101</t>
  </si>
  <si>
    <t xml:space="preserve">146291</t>
  </si>
  <si>
    <t xml:space="preserve">NC(=O)N1CC(C1)OC1=CC=CC(=C1)C(F)(F)F</t>
  </si>
  <si>
    <t xml:space="preserve">LIAILJLSVRAGSM-UHFFFAOYSA-N</t>
  </si>
  <si>
    <t xml:space="preserve">305.18356</t>
  </si>
  <si>
    <t xml:space="preserve">C9H12FN</t>
  </si>
  <si>
    <t xml:space="preserve">4-Fluoroamphetamine; 2-Fluoroamphetamine</t>
  </si>
  <si>
    <t xml:space="preserve">201767; 200573</t>
  </si>
  <si>
    <t xml:space="preserve">HMDB0246424; HMDB0245131</t>
  </si>
  <si>
    <t xml:space="preserve">; 96628</t>
  </si>
  <si>
    <t xml:space="preserve">9986; 121531</t>
  </si>
  <si>
    <t xml:space="preserve">; 1626-69-3</t>
  </si>
  <si>
    <t xml:space="preserve">CC(N)CC1=CC=C(F)C=C1; CC(N)CC1=CC=CC=C1F</t>
  </si>
  <si>
    <t xml:space="preserve">DGXWNDGLEOIEGT-UHFFFAOYSA-N; GDSXNLDTQFFIEU-UHFFFAOYSA-N</t>
  </si>
  <si>
    <t xml:space="preserve">Phenethylamines; Phenethylamines</t>
  </si>
  <si>
    <t xml:space="preserve">305.25031</t>
  </si>
  <si>
    <t xml:space="preserve">C19H32</t>
  </si>
  <si>
    <t xml:space="preserve">5alpha-Androstane</t>
  </si>
  <si>
    <t xml:space="preserve">202295</t>
  </si>
  <si>
    <t xml:space="preserve">HMDB0247011</t>
  </si>
  <si>
    <t xml:space="preserve">123412</t>
  </si>
  <si>
    <t xml:space="preserve">CC12CCCC1C1CCC3CCCCC3(C)C1CC2</t>
  </si>
  <si>
    <t xml:space="preserve">QZLYKIGBANMMBK-UHFFFAOYSA-N</t>
  </si>
  <si>
    <t xml:space="preserve">306.07851</t>
  </si>
  <si>
    <t xml:space="preserve">C10H17N3O6S</t>
  </si>
  <si>
    <t xml:space="preserve">Glutathione</t>
  </si>
  <si>
    <t xml:space="preserve">46883</t>
  </si>
  <si>
    <t xml:space="preserve">HMDB0000125</t>
  </si>
  <si>
    <t xml:space="preserve">44</t>
  </si>
  <si>
    <t xml:space="preserve">C00051</t>
  </si>
  <si>
    <t xml:space="preserve">16856</t>
  </si>
  <si>
    <t xml:space="preserve">124886</t>
  </si>
  <si>
    <t xml:space="preserve">70-18-8</t>
  </si>
  <si>
    <t xml:space="preserve">N[C@@H](CCC(=O)N[C@@H](CS)C(=O)NCC(O)=O)C(O)=O</t>
  </si>
  <si>
    <t xml:space="preserve">RWSXRVCMGQZWBV-WDSKDSINSA-N</t>
  </si>
  <si>
    <t xml:space="preserve">306.18350</t>
  </si>
  <si>
    <t xml:space="preserve">C15H29NO3</t>
  </si>
  <si>
    <t xml:space="preserve">Tridecanoylglycine</t>
  </si>
  <si>
    <t xml:space="preserve">52246</t>
  </si>
  <si>
    <t xml:space="preserve">HMDB0013317</t>
  </si>
  <si>
    <t xml:space="preserve">74437</t>
  </si>
  <si>
    <t xml:space="preserve">45357453</t>
  </si>
  <si>
    <t xml:space="preserve">CCCCCCCCCCCCC(=O)NCC(O)=O</t>
  </si>
  <si>
    <t xml:space="preserve">BTHNNPTZHGZNAO-UHFFFAOYSA-N</t>
  </si>
  <si>
    <t xml:space="preserve">306.94190</t>
  </si>
  <si>
    <t xml:space="preserve">C3H6O3S2</t>
  </si>
  <si>
    <t xml:space="preserve">(E)-S-1-Propenyl thiosulfate</t>
  </si>
  <si>
    <t xml:space="preserve">64187</t>
  </si>
  <si>
    <t xml:space="preserve">HMDB0041079</t>
  </si>
  <si>
    <t xml:space="preserve">95512</t>
  </si>
  <si>
    <t xml:space="preserve">172415</t>
  </si>
  <si>
    <t xml:space="preserve">101409344</t>
  </si>
  <si>
    <t xml:space="preserve">C\C=C\SS(O)(=O)=O</t>
  </si>
  <si>
    <t xml:space="preserve">RUVGQUCSWPRGRF-NSCUHMNNSA-N</t>
  </si>
  <si>
    <t xml:space="preserve">307.11949</t>
  </si>
  <si>
    <t xml:space="preserve">C16H20O6</t>
  </si>
  <si>
    <t xml:space="preserve">Mono-(2-ethyl-5-carboxypentyl) phthalate; 8-Acetylegelolide</t>
  </si>
  <si>
    <t xml:space="preserve">115425; 61267</t>
  </si>
  <si>
    <t xml:space="preserve">HMDB0094647; HMDB0037772</t>
  </si>
  <si>
    <t xml:space="preserve">; 92587</t>
  </si>
  <si>
    <t xml:space="preserve">132611; </t>
  </si>
  <si>
    <t xml:space="preserve">148386; 131752229</t>
  </si>
  <si>
    <t xml:space="preserve">; 142449-62-5</t>
  </si>
  <si>
    <t xml:space="preserve">CCC(CCCC(O)=O)COC(=O)C1=CC=CC=C1C(O)=O; CC1C2C(OC1=O)C1=C(C)OC=C1C(C)(O)CC2OC(C)=O</t>
  </si>
  <si>
    <t xml:space="preserve">XFGRNAPKLGXDGF-UHFFFAOYSA-N; KOUVNGDGNNAPQW-UHFFFAOYSA-N</t>
  </si>
  <si>
    <t xml:space="preserve">Benzene and substituted derivatives; Cycloheptafurans</t>
  </si>
  <si>
    <t xml:space="preserve">Benzoic acids and derivatives; Unclassified</t>
  </si>
  <si>
    <t xml:space="preserve">307.16008</t>
  </si>
  <si>
    <t xml:space="preserve">C17H24N2O</t>
  </si>
  <si>
    <t xml:space="preserve">Pilsicainide</t>
  </si>
  <si>
    <t xml:space="preserve">210385</t>
  </si>
  <si>
    <t xml:space="preserve">HMDB0256549</t>
  </si>
  <si>
    <t xml:space="preserve">315614</t>
  </si>
  <si>
    <t xml:space="preserve">135127</t>
  </si>
  <si>
    <t xml:space="preserve">4820</t>
  </si>
  <si>
    <t xml:space="preserve">CC1=CC=CC(C)=C1N=C(O)CC12CCCN1CCC2</t>
  </si>
  <si>
    <t xml:space="preserve">BCQTVJKBTWGHCX-UHFFFAOYSA-N</t>
  </si>
  <si>
    <t xml:space="preserve">307.19218</t>
  </si>
  <si>
    <t xml:space="preserve">C18H30O5</t>
  </si>
  <si>
    <t xml:space="preserve">(3b,6b,8a,12a)-8,12-Epoxy-7(11)-eremophilene-6,8,12-trimethoxy-3-ol</t>
  </si>
  <si>
    <t xml:space="preserve">56425</t>
  </si>
  <si>
    <t xml:space="preserve">HMDB0031963</t>
  </si>
  <si>
    <t xml:space="preserve">88075</t>
  </si>
  <si>
    <t xml:space="preserve">172554</t>
  </si>
  <si>
    <t xml:space="preserve">131751225</t>
  </si>
  <si>
    <t xml:space="preserve">COC1OC2(CC3CCC(O)C(C)C3(C)C(OC)C2=C1C)OC</t>
  </si>
  <si>
    <t xml:space="preserve">CLQUNRBWTPVVAG-UHFFFAOYSA-N</t>
  </si>
  <si>
    <t xml:space="preserve">Naphthofurans</t>
  </si>
  <si>
    <t xml:space="preserve">307.26606</t>
  </si>
  <si>
    <t xml:space="preserve">C20H36O2</t>
  </si>
  <si>
    <t xml:space="preserve">FA(20:2); Sclareol</t>
  </si>
  <si>
    <t xml:space="preserve">1397; 60500</t>
  </si>
  <si>
    <t xml:space="preserve">HMDB0005060; HMDB0036827</t>
  </si>
  <si>
    <t xml:space="preserve">62964; </t>
  </si>
  <si>
    <t xml:space="preserve">LMFA01031043; </t>
  </si>
  <si>
    <t xml:space="preserve">C16525; C09183</t>
  </si>
  <si>
    <t xml:space="preserve">73731; 9053</t>
  </si>
  <si>
    <t xml:space="preserve">6439848; 521332</t>
  </si>
  <si>
    <t xml:space="preserve">5598-38-9; 515-03-7</t>
  </si>
  <si>
    <t xml:space="preserve">C(CCCCCCCCC/C=C\C/C=C\CCCCC)(=O)O; CC(O)(CCC1C(C)(O)CCC2C(C)(C)CCCC12C)C=C</t>
  </si>
  <si>
    <t xml:space="preserve">XSXIVVZCUAHUJO-HZJYTTRNSA-N; XVULBTBTFGYVRC-UHFFFAOYSA-N</t>
  </si>
  <si>
    <t xml:space="preserve">Fatty Acyls; Prenol lipids</t>
  </si>
  <si>
    <t xml:space="preserve">Fatty acids and conjugates; Diterpenoids</t>
  </si>
  <si>
    <t xml:space="preserve">308.19192</t>
  </si>
  <si>
    <t xml:space="preserve">C17H27NO4</t>
  </si>
  <si>
    <t xml:space="preserve">Nadolol; Metipranolol</t>
  </si>
  <si>
    <t xml:space="preserve">53417; 53427</t>
  </si>
  <si>
    <t xml:space="preserve">HMDB0015334; HMDB0015345</t>
  </si>
  <si>
    <t xml:space="preserve">1382; 66765</t>
  </si>
  <si>
    <t xml:space="preserve">C07249; C07915</t>
  </si>
  <si>
    <t xml:space="preserve">127570; 6897</t>
  </si>
  <si>
    <t xml:space="preserve">39147; 31477</t>
  </si>
  <si>
    <t xml:space="preserve">42200-33-9; 22664-55-7</t>
  </si>
  <si>
    <t xml:space="preserve">CC(C)(C)NCC(O)COC1=CC=CC2=C1C[C@H](O)[C@H](O)C2; CC(C)NCC(O)COC1=C(C)C(C)=C(OC(C)=O)C(C)=C1</t>
  </si>
  <si>
    <t xml:space="preserve">VWPOSFSPZNDTMJ-UCWKZMIHSA-N; BQIPXWYNLPYNHW-UHFFFAOYSA-N</t>
  </si>
  <si>
    <t xml:space="preserve">Tetralins; Phenol esters</t>
  </si>
  <si>
    <t xml:space="preserve">309.08585</t>
  </si>
  <si>
    <t xml:space="preserve">C15H13F3N2O2</t>
  </si>
  <si>
    <t xml:space="preserve">Laflunimus</t>
  </si>
  <si>
    <t xml:space="preserve">208187</t>
  </si>
  <si>
    <t xml:space="preserve">HMDB0253954</t>
  </si>
  <si>
    <t xml:space="preserve">66583751</t>
  </si>
  <si>
    <t xml:space="preserve">CC1=C(C=CC(NC(=O)C(C#N)=C(O)C2CC2)=C1)C(F)(F)F</t>
  </si>
  <si>
    <t xml:space="preserve">GDHFOVCRYCPOTK-UHFFFAOYSA-N</t>
  </si>
  <si>
    <t xml:space="preserve">309.13754</t>
  </si>
  <si>
    <t xml:space="preserve">C17H18N4O2</t>
  </si>
  <si>
    <t xml:space="preserve">Lersivirine</t>
  </si>
  <si>
    <t xml:space="preserve">208239</t>
  </si>
  <si>
    <t xml:space="preserve">HMDB0254020</t>
  </si>
  <si>
    <t xml:space="preserve">330288</t>
  </si>
  <si>
    <t xml:space="preserve">16739244</t>
  </si>
  <si>
    <t xml:space="preserve">CCC1=NN(CCO)C(CC)=C1OC1=CC(=CC(=C1)C#N)C#N</t>
  </si>
  <si>
    <t xml:space="preserve">MCPUZZJBAHRIPO-UHFFFAOYSA-N</t>
  </si>
  <si>
    <t xml:space="preserve">Ethers</t>
  </si>
  <si>
    <t xml:space="preserve">309.17739</t>
  </si>
  <si>
    <t xml:space="preserve">C16H31ClO</t>
  </si>
  <si>
    <t xml:space="preserve">Palmitoyl chloride; 2-Chlorohexadecanal</t>
  </si>
  <si>
    <t xml:space="preserve">209976; 6579</t>
  </si>
  <si>
    <t xml:space="preserve">HMDB0256088; HMDB0245072</t>
  </si>
  <si>
    <t xml:space="preserve">325268; 46411</t>
  </si>
  <si>
    <t xml:space="preserve">; LMFA06000114</t>
  </si>
  <si>
    <t xml:space="preserve">8206; 42607325</t>
  </si>
  <si>
    <t xml:space="preserve">CCCCCCCCCCCCCCCC(Cl)=O; C(C(Cl)CCCCCCCCCCCCCC)(=O)[H]</t>
  </si>
  <si>
    <t xml:space="preserve">ARBOVOVUTSQWSS-UHFFFAOYSA-N; AUGQGGLBBDGNTG-UHFFFAOYSA-N</t>
  </si>
  <si>
    <t xml:space="preserve">Acyl halides; Organochlorides</t>
  </si>
  <si>
    <t xml:space="preserve">Acyl chlorides; Unclassified</t>
  </si>
  <si>
    <t xml:space="preserve">309.21355</t>
  </si>
  <si>
    <t xml:space="preserve">C17H32N2O4</t>
  </si>
  <si>
    <t xml:space="preserve">N-Lauroyl Glutamine</t>
  </si>
  <si>
    <t xml:space="preserve">198537</t>
  </si>
  <si>
    <t xml:space="preserve">HMDB0242031</t>
  </si>
  <si>
    <t xml:space="preserve">4149210</t>
  </si>
  <si>
    <t xml:space="preserve">CCCCCCCCCCCC(=O)NC(CCC(N)=O)C(O)=O</t>
  </si>
  <si>
    <t xml:space="preserve">USMCNVFGYLZLGM-UHFFFAOYSA-N</t>
  </si>
  <si>
    <t xml:space="preserve">309.28412</t>
  </si>
  <si>
    <t xml:space="preserve">C20H38O2</t>
  </si>
  <si>
    <t xml:space="preserve">Ethyl oleate; FA(20:1)</t>
  </si>
  <si>
    <t xml:space="preserve">7546; 593</t>
  </si>
  <si>
    <t xml:space="preserve">HMDB0034451; HMDB0002231</t>
  </si>
  <si>
    <t xml:space="preserve">318742; 3554</t>
  </si>
  <si>
    <t xml:space="preserve">LMFA07010880; LMFA01030085</t>
  </si>
  <si>
    <t xml:space="preserve">C03425; C16526</t>
  </si>
  <si>
    <t xml:space="preserve">; 32425</t>
  </si>
  <si>
    <t xml:space="preserve">5364430; 5282768</t>
  </si>
  <si>
    <t xml:space="preserve">111-62-6; 5561-99-9</t>
  </si>
  <si>
    <t xml:space="preserve">CCOC(=O)CCCCCCC/C=C/CCCCCCCC; C(CCCCCCC(=O)O)CC/C=C\CCCCCCCC</t>
  </si>
  <si>
    <t xml:space="preserve">LVGKNOAMLMIIKO-VAWYXSNFSA-N; BITHHVVYSMSWAG-KTKRTIGZSA-N</t>
  </si>
  <si>
    <t xml:space="preserve">Fatty acid esters; Fatty acids and conjugates</t>
  </si>
  <si>
    <t xml:space="preserve">310.04458</t>
  </si>
  <si>
    <t xml:space="preserve">C12H18ClNO2S</t>
  </si>
  <si>
    <t xml:space="preserve">Dimethenamid</t>
  </si>
  <si>
    <t xml:space="preserve">206004</t>
  </si>
  <si>
    <t xml:space="preserve">HMDB0251377</t>
  </si>
  <si>
    <t xml:space="preserve">72305</t>
  </si>
  <si>
    <t xml:space="preserve">C18499</t>
  </si>
  <si>
    <t xml:space="preserve">83638</t>
  </si>
  <si>
    <t xml:space="preserve">91744</t>
  </si>
  <si>
    <t xml:space="preserve">87674-68-8</t>
  </si>
  <si>
    <t xml:space="preserve">COCC(C)N(C(=O)CCl)C1=C(C)SC=C1C</t>
  </si>
  <si>
    <t xml:space="preserve">JLYFCTQDENRSOL-UHFFFAOYSA-N</t>
  </si>
  <si>
    <t xml:space="preserve">310.11460</t>
  </si>
  <si>
    <t xml:space="preserve">C10H19NO7</t>
  </si>
  <si>
    <t xml:space="preserve">D-1-[(3-Carboxypropyl)amino]-1-deoxyfructose</t>
  </si>
  <si>
    <t xml:space="preserve">62028</t>
  </si>
  <si>
    <t xml:space="preserve">HMDB0038663</t>
  </si>
  <si>
    <t xml:space="preserve">138790</t>
  </si>
  <si>
    <t xml:space="preserve">131752417</t>
  </si>
  <si>
    <t xml:space="preserve">10003-63-1</t>
  </si>
  <si>
    <t xml:space="preserve">OC[C@H]1O[C@](O)(CNCCCC(O)=O)[C@@H](O)[C@@H]1O</t>
  </si>
  <si>
    <t xml:space="preserve">HUEOABWGBTXQNF-SFKDOBOXSA-N</t>
  </si>
  <si>
    <t xml:space="preserve">310.15448</t>
  </si>
  <si>
    <t xml:space="preserve">C18H21N3O2</t>
  </si>
  <si>
    <t xml:space="preserve">3-(((4,7-Dimethyl-1,3-benzoxazol-2-yl)methyl)amino)-5-ethyl-6-methylpyridin-2(1H)-one</t>
  </si>
  <si>
    <t xml:space="preserve">200055</t>
  </si>
  <si>
    <t xml:space="preserve">HMDB0244562</t>
  </si>
  <si>
    <t xml:space="preserve">422298</t>
  </si>
  <si>
    <t xml:space="preserve">60832</t>
  </si>
  <si>
    <t xml:space="preserve">CCC1=C(C)NC(=O)C(NCC2=NC3=C(C)C=CC(C)=C3O2)=C1</t>
  </si>
  <si>
    <t xml:space="preserve">VDZJXIOFISBBLT-UHFFFAOYSA-N</t>
  </si>
  <si>
    <t xml:space="preserve">Benzoxazoles</t>
  </si>
  <si>
    <t xml:space="preserve">310.21628</t>
  </si>
  <si>
    <t xml:space="preserve">C21H29NO</t>
  </si>
  <si>
    <t xml:space="preserve">Biperiden</t>
  </si>
  <si>
    <t xml:space="preserve">53093</t>
  </si>
  <si>
    <t xml:space="preserve">HMDB0014948</t>
  </si>
  <si>
    <t xml:space="preserve">1342</t>
  </si>
  <si>
    <t xml:space="preserve">C07941</t>
  </si>
  <si>
    <t xml:space="preserve">3112</t>
  </si>
  <si>
    <t xml:space="preserve">2381</t>
  </si>
  <si>
    <t xml:space="preserve">514-65-8</t>
  </si>
  <si>
    <t xml:space="preserve">OC(CCN1CCCCC1)(C1CC2CC1C=C2)C1=CC=CC=C1</t>
  </si>
  <si>
    <t xml:space="preserve">YSXKPIUOCJLQIE-UHFFFAOYSA-N</t>
  </si>
  <si>
    <t xml:space="preserve">311.11372</t>
  </si>
  <si>
    <t xml:space="preserve">C14H18O5</t>
  </si>
  <si>
    <t xml:space="preserve">3',4',5'-Trimethoxycinnamyl alcohol acetate; Sapidolide A</t>
  </si>
  <si>
    <t xml:space="preserve">64013; 64661</t>
  </si>
  <si>
    <t xml:space="preserve">HMDB0040891; HMDB0041582</t>
  </si>
  <si>
    <t xml:space="preserve">95344; 95962</t>
  </si>
  <si>
    <t xml:space="preserve">172912; </t>
  </si>
  <si>
    <t xml:space="preserve">131752972; 85214158</t>
  </si>
  <si>
    <t xml:space="preserve">87200-84-8; 182191-87-3</t>
  </si>
  <si>
    <t xml:space="preserve">COC1=CC(\C=C/COC(C)=O)=CC(OC)=C1OC; CC12C3CCC1(O)C1C(C=C)C(OC1=O)C2(O)OC3</t>
  </si>
  <si>
    <t xml:space="preserve">IMLQOKDTSYBFHF-WAYWQWQTSA-N; OZRZMHKATMSFPV-UHFFFAOYSA-N</t>
  </si>
  <si>
    <t xml:space="preserve">Phenol ethers; Lactones</t>
  </si>
  <si>
    <t xml:space="preserve">Anisoles; Gamma butyrolactones</t>
  </si>
  <si>
    <t xml:space="preserve">311.22842</t>
  </si>
  <si>
    <t xml:space="preserve">C18H32O4</t>
  </si>
  <si>
    <t xml:space="preserve">(10E,12Z)-(9S)-9-Hydroperoxyoctadeca-10,12-dienoic acid; 13-L-Hydroperoxylinoleic acid</t>
  </si>
  <si>
    <t xml:space="preserve">2972; 2989</t>
  </si>
  <si>
    <t xml:space="preserve">HMDB0062434; HMDB0003871</t>
  </si>
  <si>
    <t xml:space="preserve">36019; 36036</t>
  </si>
  <si>
    <t xml:space="preserve">LMFA02000012; LMFA02000034</t>
  </si>
  <si>
    <t xml:space="preserve">C14827; C04717</t>
  </si>
  <si>
    <t xml:space="preserve">34498; 15655</t>
  </si>
  <si>
    <t xml:space="preserve">9548877; 5280720</t>
  </si>
  <si>
    <t xml:space="preserve">29774-12-7; 33964-75-9</t>
  </si>
  <si>
    <t xml:space="preserve">C(CCCCCCC[C@H](OO)/C=C/C=C\CCCCC)(=O)O; C(CCCCCCC/C=C\C=C\[C@@H](OO)CCCCC)(=O)O</t>
  </si>
  <si>
    <t xml:space="preserve">JGUNZIWGNMQSBM-UINYOVNOSA-N; JDSRHVWSAMTSSN-IRQZEAMPSA-N</t>
  </si>
  <si>
    <t xml:space="preserve">Lineolic acids and derivatives; Lineolic acids and derivatives</t>
  </si>
  <si>
    <t xml:space="preserve">312.09080</t>
  </si>
  <si>
    <t xml:space="preserve">C17H15N3O</t>
  </si>
  <si>
    <t xml:space="preserve">2-Methyl-8-(phenylmethoxy)imidazo[1,2-a]pyridine-3-acetonitrile</t>
  </si>
  <si>
    <t xml:space="preserve">211212</t>
  </si>
  <si>
    <t xml:space="preserve">HMDB0257540</t>
  </si>
  <si>
    <t xml:space="preserve">CC1=C(CC#N)N2C=CC=C(OCC3=CC=CC=C3)C2=N1</t>
  </si>
  <si>
    <t xml:space="preserve">PYKJFEPAUKAXNN-UHFFFAOYSA-N</t>
  </si>
  <si>
    <t xml:space="preserve">Imidazopyridines</t>
  </si>
  <si>
    <t xml:space="preserve">313.10380</t>
  </si>
  <si>
    <t xml:space="preserve">C13H20N2O8</t>
  </si>
  <si>
    <t xml:space="preserve">Mytilin A</t>
  </si>
  <si>
    <t xml:space="preserve">62314</t>
  </si>
  <si>
    <t xml:space="preserve">HMDB0039002</t>
  </si>
  <si>
    <t xml:space="preserve">73112-73-9</t>
  </si>
  <si>
    <t xml:space="preserve">COC1=C(CC(O)(CO)C\C1=N/C(CO)C(O)=O)NCC(O)=O</t>
  </si>
  <si>
    <t xml:space="preserve">WXEQFJUHQIGKNG-OVCLIPMQSA-N</t>
  </si>
  <si>
    <t xml:space="preserve">313.18529</t>
  </si>
  <si>
    <t xml:space="preserve">C20H26O3</t>
  </si>
  <si>
    <t xml:space="preserve">4-oxo-Retinoic acid</t>
  </si>
  <si>
    <t xml:space="preserve">37392</t>
  </si>
  <si>
    <t xml:space="preserve">HMDB0006285</t>
  </si>
  <si>
    <t xml:space="preserve">2282</t>
  </si>
  <si>
    <t xml:space="preserve">LMPR01090026</t>
  </si>
  <si>
    <t xml:space="preserve">C16678</t>
  </si>
  <si>
    <t xml:space="preserve">80656</t>
  </si>
  <si>
    <t xml:space="preserve">6437063</t>
  </si>
  <si>
    <t xml:space="preserve">38030-57-8</t>
  </si>
  <si>
    <t xml:space="preserve">C1C(C)(C)C(/C=C/C(=C/C=C/C(=C/C(=O)O)/C)/C)=C(C)C(=O)C1</t>
  </si>
  <si>
    <t xml:space="preserve">GGCUJPCCTQNTJF-FRCNGJHJSA-N</t>
  </si>
  <si>
    <t xml:space="preserve">Retinoids</t>
  </si>
  <si>
    <t xml:space="preserve">314.99220</t>
  </si>
  <si>
    <t xml:space="preserve">C12H9ClN2O4</t>
  </si>
  <si>
    <t xml:space="preserve">N-[(1-Chloro-4-hydroxyisoquinolin-3-YL)carbonyl]glycine</t>
  </si>
  <si>
    <t xml:space="preserve">206750</t>
  </si>
  <si>
    <t xml:space="preserve">HMDB0252244</t>
  </si>
  <si>
    <t xml:space="preserve">OC(=O)CNC(=O)C1=C(O)C2=CC=CC=C2C(Cl)=N1</t>
  </si>
  <si>
    <t xml:space="preserve">OUQVKRKGTAUJQA-UHFFFAOYSA-N</t>
  </si>
  <si>
    <t xml:space="preserve">315.07809</t>
  </si>
  <si>
    <t xml:space="preserve">C18H10N2O</t>
  </si>
  <si>
    <t xml:space="preserve">7H-Benzimidazo(2,1-a)benz(de)isoquinolin-7-one</t>
  </si>
  <si>
    <t xml:space="preserve">208379</t>
  </si>
  <si>
    <t xml:space="preserve">HMDB0254203</t>
  </si>
  <si>
    <t xml:space="preserve">457942</t>
  </si>
  <si>
    <t xml:space="preserve">90247</t>
  </si>
  <si>
    <t xml:space="preserve">O=C1N2C3=CC=CC=C3N=C2C2=CC=CC3=C2C1=CC=C3</t>
  </si>
  <si>
    <t xml:space="preserve">NZBSAAMEZYOGBA-UHFFFAOYSA-N</t>
  </si>
  <si>
    <t xml:space="preserve">Isoquinolines and derivatives</t>
  </si>
  <si>
    <t xml:space="preserve">Isoquinolones and derivatives</t>
  </si>
  <si>
    <t xml:space="preserve">315.11423</t>
  </si>
  <si>
    <t xml:space="preserve">C20H16N2O2</t>
  </si>
  <si>
    <t xml:space="preserve">Emerin; N,N'-Bis(salicylidene)-1,2-phenylenediamine</t>
  </si>
  <si>
    <t xml:space="preserve">206360; 201598</t>
  </si>
  <si>
    <t xml:space="preserve">HMDB0251772; HMDB0246247</t>
  </si>
  <si>
    <t xml:space="preserve">181668; 221227</t>
  </si>
  <si>
    <t xml:space="preserve">COC1=CC=C(C=C(C#N)C(=CC2=CC=C(OC)C=C2)C#N)C=C1; OC1=CC=CC=C1C=NC1=CC=CC=C1N=CC1=CC=CC=C1O</t>
  </si>
  <si>
    <t xml:space="preserve">HCHFRAXBELVCGG-UHFFFAOYSA-N; HXFYGSOGECBSOY-UHFFFAOYSA-N</t>
  </si>
  <si>
    <t xml:space="preserve">Lignans, neolignans and related compounds; Benzenoids</t>
  </si>
  <si>
    <t xml:space="preserve">Unclassified; Phenols</t>
  </si>
  <si>
    <t xml:space="preserve">Unclassified; 1-hydroxy-4-unsubstituted benzenoids</t>
  </si>
  <si>
    <t xml:space="preserve">315.19759</t>
  </si>
  <si>
    <t xml:space="preserve">C20H28O3</t>
  </si>
  <si>
    <t xml:space="preserve">4-Hydroxyretinoic acid</t>
  </si>
  <si>
    <t xml:space="preserve">37391</t>
  </si>
  <si>
    <t xml:space="preserve">HMDB0006254</t>
  </si>
  <si>
    <t xml:space="preserve">2281</t>
  </si>
  <si>
    <t xml:space="preserve">LMPR01090025</t>
  </si>
  <si>
    <t xml:space="preserve">C16677</t>
  </si>
  <si>
    <t xml:space="preserve">63795</t>
  </si>
  <si>
    <t xml:space="preserve">6438629</t>
  </si>
  <si>
    <t xml:space="preserve">66592-72-1</t>
  </si>
  <si>
    <t xml:space="preserve">C1C(C)(C)C(/C=C/C(=C/C=C/C(=C/C(=O)O)/C)/C)=C(C)C(O)C1</t>
  </si>
  <si>
    <t xml:space="preserve">KGUMXGDKXYTTEY-FRCNGJHJSA-N</t>
  </si>
  <si>
    <t xml:space="preserve">316.11724</t>
  </si>
  <si>
    <t xml:space="preserve">C12H19N5O3</t>
  </si>
  <si>
    <t xml:space="preserve">Caffeine, 8-((3-methoxypropyl)amino)-</t>
  </si>
  <si>
    <t xml:space="preserve">202643</t>
  </si>
  <si>
    <t xml:space="preserve">HMDB0247409</t>
  </si>
  <si>
    <t xml:space="preserve">56998</t>
  </si>
  <si>
    <t xml:space="preserve">COCCCNC1=NC2=C(N1C)C(=O)N(C)C(=O)N2C</t>
  </si>
  <si>
    <t xml:space="preserve">ZZQHGKMTMAORFI-UHFFFAOYSA-N</t>
  </si>
  <si>
    <t xml:space="preserve">316.19099</t>
  </si>
  <si>
    <t xml:space="preserve">C19H27NO3</t>
  </si>
  <si>
    <t xml:space="preserve">Nateglinide; Tetrabenazine</t>
  </si>
  <si>
    <t xml:space="preserve">53029; 53628</t>
  </si>
  <si>
    <t xml:space="preserve">HMDB0014869; HMDB0015592</t>
  </si>
  <si>
    <t xml:space="preserve">; 2800</t>
  </si>
  <si>
    <t xml:space="preserve">C12508; C11168</t>
  </si>
  <si>
    <t xml:space="preserve">146727; 64028</t>
  </si>
  <si>
    <t xml:space="preserve">; 6018</t>
  </si>
  <si>
    <t xml:space="preserve">105816-04-4; 58-46-8</t>
  </si>
  <si>
    <t xml:space="preserve">CC(C)C1CC[C@@H](CC1)C(=O)N[C@H](CC1=CC=CC=C1)C(O)=O; COC1=C(OC)C=C2C3CC(=O)C(CC(C)C)CN3CCC2=C1</t>
  </si>
  <si>
    <t xml:space="preserve">OELFLUMRDSZNSF-YJEKIOLLSA-N; MKJIEFSOBYUXJB-UHFFFAOYSA-N</t>
  </si>
  <si>
    <t xml:space="preserve">Organic acids and derivatives; Organoheterocyclic compounds</t>
  </si>
  <si>
    <t xml:space="preserve">Carboxylic acids and derivatives; Tetrahydroisoquinolines</t>
  </si>
  <si>
    <t xml:space="preserve">Amino acids, peptides, and analogues; Unclassified</t>
  </si>
  <si>
    <t xml:space="preserve">316.24038</t>
  </si>
  <si>
    <t xml:space="preserve">C18H35NO</t>
  </si>
  <si>
    <t xml:space="preserve">Oleamide</t>
  </si>
  <si>
    <t xml:space="preserve">8567</t>
  </si>
  <si>
    <t xml:space="preserve">HMDB0002117</t>
  </si>
  <si>
    <t xml:space="preserve">4115</t>
  </si>
  <si>
    <t xml:space="preserve">LMFA08010004</t>
  </si>
  <si>
    <t xml:space="preserve">C19670</t>
  </si>
  <si>
    <t xml:space="preserve">116314</t>
  </si>
  <si>
    <t xml:space="preserve">5283387</t>
  </si>
  <si>
    <t xml:space="preserve">301-02-0</t>
  </si>
  <si>
    <t xml:space="preserve">C(CCCCCCC(=O)N)/C=C\CCCCCCCC</t>
  </si>
  <si>
    <t xml:space="preserve">FATBGEAMYMYZAF-KTKRTIGZSA-N</t>
  </si>
  <si>
    <t xml:space="preserve">Fatty amides</t>
  </si>
  <si>
    <t xml:space="preserve">317.17657</t>
  </si>
  <si>
    <t xml:space="preserve">C19H26O4</t>
  </si>
  <si>
    <t xml:space="preserve">Panaquinquecol 6; (1(10)E,4E,6a,9b)-9-(2-Methylpropanoyloxy)-1(10),4,11(13)-germacratrien-12,6-olide</t>
  </si>
  <si>
    <t xml:space="preserve">7635; 55947</t>
  </si>
  <si>
    <t xml:space="preserve">HMDB0035500; HMDB0031373</t>
  </si>
  <si>
    <t xml:space="preserve">90782; 87626</t>
  </si>
  <si>
    <t xml:space="preserve">LMFA07010986; </t>
  </si>
  <si>
    <t xml:space="preserve">; 174324</t>
  </si>
  <si>
    <t xml:space="preserve">57489663; 131751160</t>
  </si>
  <si>
    <t xml:space="preserve">145400-15-3; </t>
  </si>
  <si>
    <t xml:space="preserve">C=CC(C#CC#CC(C1OC1CCCCCCC)OC(C)=O)O; CC(C)C(=O)OC1CC2C(OC(=O)C2=C)\C=C(C)\CC\C=C1/C</t>
  </si>
  <si>
    <t xml:space="preserve">GWHBQXMCXHWXBO-UHFFFAOYSA-N; XXAILDIUKGAZIM-GHEQENTPSA-N</t>
  </si>
  <si>
    <t xml:space="preserve">Fatty alcohol esters; Terpene lactones</t>
  </si>
  <si>
    <t xml:space="preserve">317.21813</t>
  </si>
  <si>
    <t xml:space="preserve">C13H28N4O2</t>
  </si>
  <si>
    <t xml:space="preserve">Exametazime</t>
  </si>
  <si>
    <t xml:space="preserve">206656</t>
  </si>
  <si>
    <t xml:space="preserve">HMDB0252140</t>
  </si>
  <si>
    <t xml:space="preserve">71341166</t>
  </si>
  <si>
    <t xml:space="preserve">CC(NCC(C)(C)CNC(C)C(C)=NO)C(C)=NO</t>
  </si>
  <si>
    <t xml:space="preserve">BPNZYADGDZPRTK-UHFFFAOYSA-N</t>
  </si>
  <si>
    <t xml:space="preserve">Oximes</t>
  </si>
  <si>
    <t xml:space="preserve">317.25012</t>
  </si>
  <si>
    <t xml:space="preserve">C20H32</t>
  </si>
  <si>
    <t xml:space="preserve">Stemar-13-ene; ent-Cassa-12,15-diene; ent-Sandaracopimaradiene</t>
  </si>
  <si>
    <t xml:space="preserve">35902; 35964; 35939</t>
  </si>
  <si>
    <t xml:space="preserve">HMDB0301828; HMDB0302095; HMDB0301827</t>
  </si>
  <si>
    <t xml:space="preserve">; 53627; </t>
  </si>
  <si>
    <t xml:space="preserve">LMPR0104030008; LMPR0104120001; LMPR0104080001</t>
  </si>
  <si>
    <t xml:space="preserve">C18223; C18226; C11877</t>
  </si>
  <si>
    <t xml:space="preserve">50069; 50060; 63708</t>
  </si>
  <si>
    <t xml:space="preserve">15161496; 11471283; 443469</t>
  </si>
  <si>
    <t xml:space="preserve">C1([C@]2([H])CC[C@@]3([H])C=C(C)[C@@H]4CC[C@]3(C4)[C@@]2(C)CCC1)(C)C; C1[C@]2([C@]3([C@@]([H])([C@H](C)C(C=C)=CC3)CC[C@@]2(C(C)(C)CC1)[H])[H])C; [C@@]1(C)(C=C)CC[C@@]2([H])C(=C1)CC[C@]1([H])[C@@]2(CCCC1(C)C)C</t>
  </si>
  <si>
    <t xml:space="preserve">MCRAOCBPZAIHJQ-QBYKVAOYSA-N; JQPDOKGAOXSRJD-SVEODPQUSA-N; XDSYKASBVOZOAG-QGZVKYPTSA-N</t>
  </si>
  <si>
    <t xml:space="preserve">Diterpenoids; Diterpenoids; Diterpenoids</t>
  </si>
  <si>
    <t xml:space="preserve">318.00629</t>
  </si>
  <si>
    <t xml:space="preserve">C12H12ClN3O3</t>
  </si>
  <si>
    <t xml:space="preserve">4-Chloro-3-ethoxy-7-guanidinoisocoumarin</t>
  </si>
  <si>
    <t xml:space="preserve">201728</t>
  </si>
  <si>
    <t xml:space="preserve">HMDB0246385</t>
  </si>
  <si>
    <t xml:space="preserve">405336</t>
  </si>
  <si>
    <t xml:space="preserve">196678</t>
  </si>
  <si>
    <t xml:space="preserve">CCOC1=C(Cl)C2=C(C=C(C=C2)N=C(N)N)C(=O)O1</t>
  </si>
  <si>
    <t xml:space="preserve">YFGMFEAGVQMIFH-UHFFFAOYSA-N</t>
  </si>
  <si>
    <t xml:space="preserve">Isocoumarins and derivatives</t>
  </si>
  <si>
    <t xml:space="preserve">319.23323</t>
  </si>
  <si>
    <t xml:space="preserve">C20H34O4</t>
  </si>
  <si>
    <t xml:space="preserve">12-Keto-tetrahydro-leukotriene B4</t>
  </si>
  <si>
    <t xml:space="preserve">3843</t>
  </si>
  <si>
    <t xml:space="preserve">HMDB0002995</t>
  </si>
  <si>
    <t xml:space="preserve">36238</t>
  </si>
  <si>
    <t xml:space="preserve">LMFA03020004</t>
  </si>
  <si>
    <t xml:space="preserve">C02165</t>
  </si>
  <si>
    <t xml:space="preserve">15647</t>
  </si>
  <si>
    <t xml:space="preserve">5283122</t>
  </si>
  <si>
    <t xml:space="preserve">C(C(=O)CC/C=C/C=C\[C@@H](O)CCCC(O)=O)CCCCCCC</t>
  </si>
  <si>
    <t xml:space="preserve">RRTYEHFGQWNQKK-KIQAWMAPSA-N</t>
  </si>
  <si>
    <t xml:space="preserve">320.08092</t>
  </si>
  <si>
    <t xml:space="preserve">C12H21NO8S</t>
  </si>
  <si>
    <t xml:space="preserve">Topiramate</t>
  </si>
  <si>
    <t xml:space="preserve">48466</t>
  </si>
  <si>
    <t xml:space="preserve">HMDB0005034</t>
  </si>
  <si>
    <t xml:space="preserve">44196</t>
  </si>
  <si>
    <t xml:space="preserve">C07502</t>
  </si>
  <si>
    <t xml:space="preserve">63631</t>
  </si>
  <si>
    <t xml:space="preserve">5284627</t>
  </si>
  <si>
    <t xml:space="preserve">97240-79-4</t>
  </si>
  <si>
    <t xml:space="preserve">[H][C@@]12CO[C@@]3(COS(N)(=O)=O)OC(C)(C)O[C@@]3([H])[C@]1([H])OC(C)(C)O2</t>
  </si>
  <si>
    <t xml:space="preserve">KJADKKWYZYXHBB-XBWDGYHZSA-N</t>
  </si>
  <si>
    <t xml:space="preserve">Dioxolopyrans</t>
  </si>
  <si>
    <t xml:space="preserve">323.03356</t>
  </si>
  <si>
    <t xml:space="preserve">C15H12O6</t>
  </si>
  <si>
    <t xml:space="preserve">Eriodictyol</t>
  </si>
  <si>
    <t xml:space="preserve">34184</t>
  </si>
  <si>
    <t xml:space="preserve">HMDB0005810</t>
  </si>
  <si>
    <t xml:space="preserve">3415</t>
  </si>
  <si>
    <t xml:space="preserve">LMPK12140002</t>
  </si>
  <si>
    <t xml:space="preserve">C05631</t>
  </si>
  <si>
    <t xml:space="preserve">28412</t>
  </si>
  <si>
    <t xml:space="preserve">440735</t>
  </si>
  <si>
    <t xml:space="preserve">552-58-9</t>
  </si>
  <si>
    <t xml:space="preserve">C1(O)C=C2O[C@H](C3=CC=C(O)C(O)=C3)CC(=O)C2=C(O)C=1</t>
  </si>
  <si>
    <t xml:space="preserve">SBHXYTNGIZCORC-ZDUSSCGKSA-N</t>
  </si>
  <si>
    <t xml:space="preserve">Flavonoids</t>
  </si>
  <si>
    <t xml:space="preserve">Flavans</t>
  </si>
  <si>
    <t xml:space="preserve">323.18460</t>
  </si>
  <si>
    <t xml:space="preserve">C18H28O5</t>
  </si>
  <si>
    <t xml:space="preserve">Lactapiperanol D; Cibaric acid</t>
  </si>
  <si>
    <t xml:space="preserve">57843; 61949</t>
  </si>
  <si>
    <t xml:space="preserve">HMDB0033631; HMDB0038580</t>
  </si>
  <si>
    <t xml:space="preserve">; 93247</t>
  </si>
  <si>
    <t xml:space="preserve">; 138788</t>
  </si>
  <si>
    <t xml:space="preserve">85179199; 20839146</t>
  </si>
  <si>
    <t xml:space="preserve">243447-94-1; 130523-93-2</t>
  </si>
  <si>
    <t xml:space="preserve">COC1OCC2(O)C(OC(C)=O)C3CC(C)(C)CC3C3(C)CC123; OCC\C=C\C(\O)=C\C(=O)C\C=C\CCCCCCCC(O)=O</t>
  </si>
  <si>
    <t xml:space="preserve">VFJHHENNFQFTOV-UHFFFAOYSA-N; LFTUCYCUYUJMJB-HNBCEUTISA-N</t>
  </si>
  <si>
    <t xml:space="preserve">Prenol lipids; Fatty Acyls</t>
  </si>
  <si>
    <t xml:space="preserve">Diterpenoids; Lineolic acids and derivatives</t>
  </si>
  <si>
    <t xml:space="preserve">323.26436</t>
  </si>
  <si>
    <t xml:space="preserve">C20H36O3</t>
  </si>
  <si>
    <t xml:space="preserve">(Z)-15-Oxo-11-eicosenoic acid; (13R,14R)-8-Labdene-13,14,15-triol; (13R,14R)-7-Labdene-13,14,15-triol</t>
  </si>
  <si>
    <t xml:space="preserve">54687; 58883; 58884</t>
  </si>
  <si>
    <t xml:space="preserve">HMDB0029797; HMDB0034957; HMDB0034958</t>
  </si>
  <si>
    <t xml:space="preserve">86504; 90328; 90329</t>
  </si>
  <si>
    <t xml:space="preserve">124089052; 14543666; 340130</t>
  </si>
  <si>
    <t xml:space="preserve">182145-55-7; ; </t>
  </si>
  <si>
    <t xml:space="preserve">CCCCCC(=O)CC\C=C\CCCCCCCCCC(O)=O; CC1=C(CCC(C)(O)C(O)CO)C2(C)CCCC(C)(C)C2CC1; CC1=CCC2C(C)(C)CCCC2(C)C1CCC(C)(O)C(O)CO</t>
  </si>
  <si>
    <t xml:space="preserve">BMSUKKKAAVHUEW-PKNBQFBNSA-N; TWZQRBKMQYAKGQ-UHFFFAOYSA-N; WWUAKADIANYYEA-UHFFFAOYSA-N</t>
  </si>
  <si>
    <t xml:space="preserve">Fatty Acyls; Prenol lipids; Prenol lipids</t>
  </si>
  <si>
    <t xml:space="preserve">Fatty acids and conjugates; Diterpenoids; Diterpenoids</t>
  </si>
  <si>
    <t xml:space="preserve">324.03124</t>
  </si>
  <si>
    <t xml:space="preserve">C12H18Cl2NO3P</t>
  </si>
  <si>
    <t xml:space="preserve">Hexyl 2,5-dichlorophenylphosphoroamidate</t>
  </si>
  <si>
    <t xml:space="preserve">207542</t>
  </si>
  <si>
    <t xml:space="preserve">HMDB0253167</t>
  </si>
  <si>
    <t xml:space="preserve">131041</t>
  </si>
  <si>
    <t xml:space="preserve">CCCCCCOP(O)(=O)NC1=C(Cl)C=CC(Cl)=C1</t>
  </si>
  <si>
    <t xml:space="preserve">KFTDOKAFZCTUQM-UHFFFAOYSA-N</t>
  </si>
  <si>
    <t xml:space="preserve">325.03662</t>
  </si>
  <si>
    <t xml:space="preserve">C10H18N2O4S3</t>
  </si>
  <si>
    <t xml:space="preserve">Iberin-N-acetyl-cysteine</t>
  </si>
  <si>
    <t xml:space="preserve">197190</t>
  </si>
  <si>
    <t xml:space="preserve">HMDB0240535</t>
  </si>
  <si>
    <t xml:space="preserve">78068908</t>
  </si>
  <si>
    <t xml:space="preserve">CC(O)=NC(CSC(S)=NCCCS(C)=O)C(O)=O</t>
  </si>
  <si>
    <t xml:space="preserve">RBVJIAJZFANPKT-UHFFFAOYSA-N</t>
  </si>
  <si>
    <t xml:space="preserve">325.11964</t>
  </si>
  <si>
    <t xml:space="preserve">C18H20N2O5</t>
  </si>
  <si>
    <t xml:space="preserve">Tyrosyl-Tyrosine</t>
  </si>
  <si>
    <t xml:space="preserve">54128</t>
  </si>
  <si>
    <t xml:space="preserve">HMDB0029117</t>
  </si>
  <si>
    <t xml:space="preserve">60987</t>
  </si>
  <si>
    <t xml:space="preserve">NC(CC1=CC=C(O)C=C1)C(=O)NC(CC1=CC=C(O)C=C1)C(O)=O</t>
  </si>
  <si>
    <t xml:space="preserve">JAQGKXUEKGKTKX-UHFFFAOYSA-N</t>
  </si>
  <si>
    <t xml:space="preserve">325.27649</t>
  </si>
  <si>
    <t xml:space="preserve">C20H40O4</t>
  </si>
  <si>
    <t xml:space="preserve">10,20-Dihydroxyeicosanoic acid; MG(17:0)</t>
  </si>
  <si>
    <t xml:space="preserve">56386; 93680</t>
  </si>
  <si>
    <t xml:space="preserve">HMDB0031923; HMDB0072856</t>
  </si>
  <si>
    <t xml:space="preserve">88038; </t>
  </si>
  <si>
    <t xml:space="preserve">172568; </t>
  </si>
  <si>
    <t xml:space="preserve">14259007; 96367592</t>
  </si>
  <si>
    <t xml:space="preserve">120727-26-6; </t>
  </si>
  <si>
    <t xml:space="preserve">OCCCCCCCCCCC(O)CCCCCCCCC(O)=O; [H][C@@](O)(CO)COC(=O)CCCCCCCCCCCCCCCC</t>
  </si>
  <si>
    <t xml:space="preserve">RIIQXYZWFWMFSB-UHFFFAOYSA-N; SVUQHVRAGMNPLW-LJQANCHMSA-N</t>
  </si>
  <si>
    <t xml:space="preserve">Fatty Acyls; Glycerolipids</t>
  </si>
  <si>
    <t xml:space="preserve">Fatty acids and conjugates; Monoradylglycerols</t>
  </si>
  <si>
    <t xml:space="preserve">326.07522</t>
  </si>
  <si>
    <t xml:space="preserve">C10H17N3O7</t>
  </si>
  <si>
    <t xml:space="preserve">Glutamine-glutamate</t>
  </si>
  <si>
    <t xml:space="preserve">207245</t>
  </si>
  <si>
    <t xml:space="preserve">HMDB0252813</t>
  </si>
  <si>
    <t xml:space="preserve">NC(CCC(N)=O)C(=O)OOC(=O)C(N)CCC(O)=O</t>
  </si>
  <si>
    <t xml:space="preserve">ZGCDPPJRJQLAMD-UHFFFAOYSA-N</t>
  </si>
  <si>
    <t xml:space="preserve">326.11905</t>
  </si>
  <si>
    <t xml:space="preserve">C16H22ClN3</t>
  </si>
  <si>
    <t xml:space="preserve">Desethylchloroquine</t>
  </si>
  <si>
    <t xml:space="preserve">64899</t>
  </si>
  <si>
    <t xml:space="preserve">HMDB0041870</t>
  </si>
  <si>
    <t xml:space="preserve">1727</t>
  </si>
  <si>
    <t xml:space="preserve">95478</t>
  </si>
  <si>
    <t xml:space="preserve">1476-52-4</t>
  </si>
  <si>
    <t xml:space="preserve">CCNCCCC(C)NC1=C2C=CC(Cl)=CC2=NC=C1</t>
  </si>
  <si>
    <t xml:space="preserve">MCYUUUTUAAGOOT-UHFFFAOYSA-N</t>
  </si>
  <si>
    <t xml:space="preserve">Aminoquinolines and derivatives</t>
  </si>
  <si>
    <t xml:space="preserve">327.14525</t>
  </si>
  <si>
    <t xml:space="preserve">C16H24O7</t>
  </si>
  <si>
    <t xml:space="preserve">Perilloside B; Cymorcin monoglucoside; 3-Hydroxy-4-isopropylbenzyl alcohol 3-glucoside</t>
  </si>
  <si>
    <t xml:space="preserve">63629; 54668; 62662</t>
  </si>
  <si>
    <t xml:space="preserve">HMDB0040465; HMDB0029777; HMDB0039385</t>
  </si>
  <si>
    <t xml:space="preserve">94965; 86484; 93961</t>
  </si>
  <si>
    <t xml:space="preserve">168174; 169582; 175188</t>
  </si>
  <si>
    <t xml:space="preserve">73815069; 131750899; 85300726</t>
  </si>
  <si>
    <t xml:space="preserve">; 76859-62-6; 359875-75-5</t>
  </si>
  <si>
    <t xml:space="preserve">CC(=C)C1CCC(=CC1)C(=O)OC1OC(CO)C(O)C(O)C1O; CC(C)C1=CC(O)=C(C)C(OC2OC(CO)C(O)C(O)C2O)=C1; CC(C)C1=C(OC2OC(CO)C(O)C(O)C2O)C=C(CO)C=C1</t>
  </si>
  <si>
    <t xml:space="preserve">CDSQRAACZGXZNE-UHFFFAOYSA-N; KKDBPBRQLCHZDX-UHFFFAOYSA-N; IILRAPUPZQMHJL-UHFFFAOYSA-N</t>
  </si>
  <si>
    <t xml:space="preserve">Lipids and lipid-like molecules; Organic oxygen compounds; Lipids and lipid-like molecules</t>
  </si>
  <si>
    <t xml:space="preserve">Prenol lipids; Organooxygen compounds; Prenol lipids</t>
  </si>
  <si>
    <t xml:space="preserve">Terpene glycosides; Carbohydrates and carbohydrate conjugates; Terpene glycosides</t>
  </si>
  <si>
    <t xml:space="preserve">327.23533</t>
  </si>
  <si>
    <t xml:space="preserve">C22H34O3</t>
  </si>
  <si>
    <t xml:space="preserve">Siderol; Volemolide</t>
  </si>
  <si>
    <t xml:space="preserve">58872; 64114</t>
  </si>
  <si>
    <t xml:space="preserve">HMDB0034944; HMDB0041001</t>
  </si>
  <si>
    <t xml:space="preserve">12315547; 14584690</t>
  </si>
  <si>
    <t xml:space="preserve">19885-22-4; 125974-96-1</t>
  </si>
  <si>
    <t xml:space="preserve">CC(=O)OC1CC2C(C)(CO)CCCC2(C)C2CCC3CC12C=C3C; COC12CCC3(C)C(CCC3C1=CC(=O)O2)C(C)\C=C\C(C)C(C)C</t>
  </si>
  <si>
    <t xml:space="preserve">OFNWUWHDGCNABD-UHFFFAOYSA-N; FCFUSYHGZLEMJM-BQYQJAHWSA-N</t>
  </si>
  <si>
    <t xml:space="preserve">Prenol lipids; Prenol lipids</t>
  </si>
  <si>
    <t xml:space="preserve">Diterpenoids; Terpene lactones</t>
  </si>
  <si>
    <t xml:space="preserve">328.11595</t>
  </si>
  <si>
    <t xml:space="preserve">C12H23NO7</t>
  </si>
  <si>
    <t xml:space="preserve">N-(1-Deoxy-1-fructosyl)isoleucine; N-(1-Deoxy-1-fructosyl)leucine</t>
  </si>
  <si>
    <t xml:space="preserve">63032; 61325</t>
  </si>
  <si>
    <t xml:space="preserve">HMDB0039780; HMDB0037840</t>
  </si>
  <si>
    <t xml:space="preserve">173136; 136629</t>
  </si>
  <si>
    <t xml:space="preserve">131752725; 131752244</t>
  </si>
  <si>
    <t xml:space="preserve">87304-79-8; 34393-18-5</t>
  </si>
  <si>
    <t xml:space="preserve">CCC(C)[C@H](NCC1(O)O[C@H](CO)[C@@H](O)[C@@H]1O)C(O)=O; CC(C)C[C@H](NCC1(O)O[C@H](CO)[C@@H](O)[C@@H]1O)C(O)=O</t>
  </si>
  <si>
    <t xml:space="preserve">VYGRYVGDPYFVCA-MFPOTZKYSA-N; KGTRBDVOUPALMB-PPNLDZOPSA-N</t>
  </si>
  <si>
    <t xml:space="preserve">329.17217</t>
  </si>
  <si>
    <t xml:space="preserve">C14H24N2O4</t>
  </si>
  <si>
    <t xml:space="preserve">1-(1-(Tert-Butoxycarbonyl)piperidin-4-yl)azetidine-3-carboxylic acid</t>
  </si>
  <si>
    <t xml:space="preserve">202773</t>
  </si>
  <si>
    <t xml:space="preserve">HMDB0247560</t>
  </si>
  <si>
    <t xml:space="preserve">811391</t>
  </si>
  <si>
    <t xml:space="preserve">45072429</t>
  </si>
  <si>
    <t xml:space="preserve">CC(C)(C)OC(=O)N1CCC(CC1)N1CC(C1)C(O)=O</t>
  </si>
  <si>
    <t xml:space="preserve">PJUNYYOGPCHSBI-UHFFFAOYSA-N</t>
  </si>
  <si>
    <t xml:space="preserve">329.25447</t>
  </si>
  <si>
    <t xml:space="preserve">C21H34N2O</t>
  </si>
  <si>
    <t xml:space="preserve">Sameridine</t>
  </si>
  <si>
    <t xml:space="preserve">211150</t>
  </si>
  <si>
    <t xml:space="preserve">HMDB0257473</t>
  </si>
  <si>
    <t xml:space="preserve">427760</t>
  </si>
  <si>
    <t xml:space="preserve">65996</t>
  </si>
  <si>
    <t xml:space="preserve">CCCCCCN1CCC(CC1)(C(=O)N(C)CC)C1=CC=CC=C1</t>
  </si>
  <si>
    <t xml:space="preserve">TYWUGCGYWNSRPS-UHFFFAOYSA-N</t>
  </si>
  <si>
    <t xml:space="preserve">Phenylpiperidines</t>
  </si>
  <si>
    <t xml:space="preserve">330.05162</t>
  </si>
  <si>
    <t xml:space="preserve">C16H16NO6P</t>
  </si>
  <si>
    <t xml:space="preserve">3-Dibenzofuran-3-yl-2-(phosphonomethylamino)propanoic acid</t>
  </si>
  <si>
    <t xml:space="preserve">201111</t>
  </si>
  <si>
    <t xml:space="preserve">HMDB0245712</t>
  </si>
  <si>
    <t xml:space="preserve">24868306</t>
  </si>
  <si>
    <t xml:space="preserve">OC(=O)C(CC1=CC2=C(C=C1)C1=CC=CC=C1O2)NCP(O)(O)=O</t>
  </si>
  <si>
    <t xml:space="preserve">CRUVAUSVWLATAE-UHFFFAOYSA-N</t>
  </si>
  <si>
    <t xml:space="preserve">Benzofurans</t>
  </si>
  <si>
    <t xml:space="preserve">Dibenzofurans</t>
  </si>
  <si>
    <t xml:space="preserve">330.17934</t>
  </si>
  <si>
    <t xml:space="preserve">C18H27N3O4</t>
  </si>
  <si>
    <t xml:space="preserve">Coutaric acid</t>
  </si>
  <si>
    <t xml:space="preserve">54210</t>
  </si>
  <si>
    <t xml:space="preserve">HMDB0029225</t>
  </si>
  <si>
    <t xml:space="preserve">86104</t>
  </si>
  <si>
    <t xml:space="preserve">C01327</t>
  </si>
  <si>
    <t xml:space="preserve">449034</t>
  </si>
  <si>
    <t xml:space="preserve">CCC(CC)NC1=C(C=CC(=C1)C(O)=O)N1C(=O)CC[C@@]1(CN)CO</t>
  </si>
  <si>
    <t xml:space="preserve">ZEZFFRWWHKSMEB-GOSISDBHSA-N</t>
  </si>
  <si>
    <t xml:space="preserve">331.07622</t>
  </si>
  <si>
    <t xml:space="preserve">C16H16N2O4S</t>
  </si>
  <si>
    <t xml:space="preserve">Acedapsone</t>
  </si>
  <si>
    <t xml:space="preserve">203075</t>
  </si>
  <si>
    <t xml:space="preserve">HMDB0247894</t>
  </si>
  <si>
    <t xml:space="preserve">139474</t>
  </si>
  <si>
    <t xml:space="preserve">6477</t>
  </si>
  <si>
    <t xml:space="preserve">CC(=O)NC1=CC=C(C=C1)S(=O)(=O)C1=CC=C(NC(C)=O)C=C1</t>
  </si>
  <si>
    <t xml:space="preserve">AMTPYFGPPVFBBI-UHFFFAOYSA-N</t>
  </si>
  <si>
    <t xml:space="preserve">331.16636</t>
  </si>
  <si>
    <t xml:space="preserve">C17H22N2O2</t>
  </si>
  <si>
    <t xml:space="preserve">10-alpha-methoxy-9,10-dihydrolysergol</t>
  </si>
  <si>
    <t xml:space="preserve">82833</t>
  </si>
  <si>
    <t xml:space="preserve">HMDB0060995</t>
  </si>
  <si>
    <t xml:space="preserve">107927</t>
  </si>
  <si>
    <t xml:space="preserve">COC12C[C@@H](CO)CN(C)C1CC1=CNC3=CC=CC2=C13</t>
  </si>
  <si>
    <t xml:space="preserve">JGQZSBLQHCTAJF-NFXPUDJFSA-N</t>
  </si>
  <si>
    <t xml:space="preserve">Clavines and derivatives</t>
  </si>
  <si>
    <t xml:space="preserve">331.19255</t>
  </si>
  <si>
    <t xml:space="preserve">C19H26O2</t>
  </si>
  <si>
    <t xml:space="preserve">Androstenedione</t>
  </si>
  <si>
    <t xml:space="preserve">44895</t>
  </si>
  <si>
    <t xml:space="preserve">HMDB0000053</t>
  </si>
  <si>
    <t xml:space="preserve">2795</t>
  </si>
  <si>
    <t xml:space="preserve">LMST02020007</t>
  </si>
  <si>
    <t xml:space="preserve">C00280</t>
  </si>
  <si>
    <t xml:space="preserve">16422</t>
  </si>
  <si>
    <t xml:space="preserve">6128</t>
  </si>
  <si>
    <t xml:space="preserve">63-05-8</t>
  </si>
  <si>
    <t xml:space="preserve">C1[C@]2(C)[C@@]3([H])CC[C@]4(C)C(=O)CC[C@@]4([H])[C@]3([H])CCC2=CC(=O)C1</t>
  </si>
  <si>
    <t xml:space="preserve">AEMFNILZOJDQLW-QAGGRKNESA-N</t>
  </si>
  <si>
    <t xml:space="preserve">331.26575</t>
  </si>
  <si>
    <t xml:space="preserve">C21H34</t>
  </si>
  <si>
    <t xml:space="preserve">Pregnene</t>
  </si>
  <si>
    <t xml:space="preserve">210560</t>
  </si>
  <si>
    <t xml:space="preserve">HMDB0256758</t>
  </si>
  <si>
    <t xml:space="preserve">CC12CCC3C(CCC4CCCCC34C)C1CCC2C=C</t>
  </si>
  <si>
    <t xml:space="preserve">VZRAKVPDZIQRGT-UHFFFAOYSA-N</t>
  </si>
  <si>
    <t xml:space="preserve">Pregnane steroids</t>
  </si>
  <si>
    <t xml:space="preserve">333.09967</t>
  </si>
  <si>
    <t xml:space="preserve">C15H15FN4O4</t>
  </si>
  <si>
    <t xml:space="preserve">4-Oxo-enoxacin</t>
  </si>
  <si>
    <t xml:space="preserve">209897</t>
  </si>
  <si>
    <t xml:space="preserve">HMDB0255994</t>
  </si>
  <si>
    <t xml:space="preserve">CCN1C=C(C(O)=O)C(=O)C2=CC(F)=C(N=C12)N1CCNC(=O)C1</t>
  </si>
  <si>
    <t xml:space="preserve">MVOYSJSBHPWSMT-UHFFFAOYSA-N</t>
  </si>
  <si>
    <t xml:space="preserve">Naphthyridines</t>
  </si>
  <si>
    <t xml:space="preserve">333.17928</t>
  </si>
  <si>
    <t xml:space="preserve">C12H24N4O4</t>
  </si>
  <si>
    <t xml:space="preserve">Sakacin A</t>
  </si>
  <si>
    <t xml:space="preserve">58552</t>
  </si>
  <si>
    <t xml:space="preserve">HMDB0034554</t>
  </si>
  <si>
    <t xml:space="preserve">90019</t>
  </si>
  <si>
    <t xml:space="preserve">382302</t>
  </si>
  <si>
    <t xml:space="preserve">145266-47-3</t>
  </si>
  <si>
    <t xml:space="preserve">CC(NC(=O)C(N)CC(O)=O)NC(=O)N(C)C(C)(C)C</t>
  </si>
  <si>
    <t xml:space="preserve">ACQJWVPNGVNRCD-UHFFFAOYSA-N</t>
  </si>
  <si>
    <t xml:space="preserve">333.21153</t>
  </si>
  <si>
    <t xml:space="preserve">C16H32O2S</t>
  </si>
  <si>
    <t xml:space="preserve">16-Mercaptohexadecanoic acid; Tetradecylthioacetic acid</t>
  </si>
  <si>
    <t xml:space="preserve">200202; 212325</t>
  </si>
  <si>
    <t xml:space="preserve">HMDB0244725; HMDB0258889</t>
  </si>
  <si>
    <t xml:space="preserve">3522585; </t>
  </si>
  <si>
    <t xml:space="preserve">OC(=O)CCCCCCCCCCCCCCCS; CCCCCCCCCCCCCCSCC(O)=O</t>
  </si>
  <si>
    <t xml:space="preserve">INOAASCWQMFJQA-UHFFFAOYSA-N; IPBCWPPBAWQYOO-UHFFFAOYSA-N</t>
  </si>
  <si>
    <t xml:space="preserve">334.00411</t>
  </si>
  <si>
    <t xml:space="preserve">C16H13Cl2NO4</t>
  </si>
  <si>
    <t xml:space="preserve">Aceclofenac</t>
  </si>
  <si>
    <t xml:space="preserve">203074</t>
  </si>
  <si>
    <t xml:space="preserve">HMDB0247893</t>
  </si>
  <si>
    <t xml:space="preserve">31159</t>
  </si>
  <si>
    <t xml:space="preserve">71771</t>
  </si>
  <si>
    <t xml:space="preserve">OC(=O)COC(=O)CC1=CC=CC=C1NC1=C(Cl)C=CC=C1Cl</t>
  </si>
  <si>
    <t xml:space="preserve">MNIPYSSQXLZQLJ-UHFFFAOYSA-N</t>
  </si>
  <si>
    <t xml:space="preserve">334.06272</t>
  </si>
  <si>
    <t xml:space="preserve">C12H17N3O4S</t>
  </si>
  <si>
    <t xml:space="preserve">Imipenem</t>
  </si>
  <si>
    <t xml:space="preserve">53581</t>
  </si>
  <si>
    <t xml:space="preserve">HMDB0015536</t>
  </si>
  <si>
    <t xml:space="preserve">783</t>
  </si>
  <si>
    <t xml:space="preserve">C06665</t>
  </si>
  <si>
    <t xml:space="preserve">471744</t>
  </si>
  <si>
    <t xml:space="preserve">104838</t>
  </si>
  <si>
    <t xml:space="preserve">64221-86-9</t>
  </si>
  <si>
    <t xml:space="preserve">[H][C@]12CC(SCC\N=C\N)=C(N1C(=O)[C@]2([H])[C@@H](C)O)C(O)=O</t>
  </si>
  <si>
    <t xml:space="preserve">ZSKVGTPCRGIANV-ZXFLCMHBSA-N</t>
  </si>
  <si>
    <t xml:space="preserve">Lactams</t>
  </si>
  <si>
    <t xml:space="preserve">Beta lactams</t>
  </si>
  <si>
    <t xml:space="preserve">334.10342</t>
  </si>
  <si>
    <t xml:space="preserve">C13H16F3N3O4</t>
  </si>
  <si>
    <t xml:space="preserve">trifluralin</t>
  </si>
  <si>
    <t xml:space="preserve">212613</t>
  </si>
  <si>
    <t xml:space="preserve">HMDB0259211</t>
  </si>
  <si>
    <t xml:space="preserve">44590</t>
  </si>
  <si>
    <t xml:space="preserve">C14343</t>
  </si>
  <si>
    <t xml:space="preserve">35027</t>
  </si>
  <si>
    <t xml:space="preserve">5569</t>
  </si>
  <si>
    <t xml:space="preserve">1582-09-8</t>
  </si>
  <si>
    <t xml:space="preserve">CCCN(CCC)C1=C(C=C(C=C1[N+]([O-])=O)C(F)(F)F)[N+]([O-])=O</t>
  </si>
  <si>
    <t xml:space="preserve">ZSDSQXJSNMTJDA-UHFFFAOYSA-N</t>
  </si>
  <si>
    <t xml:space="preserve">Aniline and substituted anilines</t>
  </si>
  <si>
    <t xml:space="preserve">334.21827</t>
  </si>
  <si>
    <t xml:space="preserve">C20H31O4</t>
  </si>
  <si>
    <t xml:space="preserve">9-peroxy-5Z,7E,11Z,14Z-eicosatetraenoate; 11-peroxy-5Z,8Z,12E,14Z-eicosatetraenoate</t>
  </si>
  <si>
    <t xml:space="preserve">82092; 82093</t>
  </si>
  <si>
    <t xml:space="preserve">HMDB0060098; HMDB0060099</t>
  </si>
  <si>
    <t xml:space="preserve">131769820; 131769821</t>
  </si>
  <si>
    <t xml:space="preserve">CCCCC\C=C/C\C=C/CC(O[O])\C=C\C=C/CCCC(O)=O; CCCCC\C=C/C=C/C(C\C=C/C\C=C/CCCC(O)=O)O[O]</t>
  </si>
  <si>
    <t xml:space="preserve">LUNSZADIOHDKBX-OIZRIKEUSA-N; CUVDHYYMVDOGDE-RLZWZWKOSA-N</t>
  </si>
  <si>
    <t xml:space="preserve">335.05975</t>
  </si>
  <si>
    <t xml:space="preserve">C7H18N2O6S2</t>
  </si>
  <si>
    <t xml:space="preserve">Hepsulfam</t>
  </si>
  <si>
    <t xml:space="preserve">207476</t>
  </si>
  <si>
    <t xml:space="preserve">HMDB0253091</t>
  </si>
  <si>
    <t xml:space="preserve">100606</t>
  </si>
  <si>
    <t xml:space="preserve">NS(=O)(=O)OCCCCCCCOS(N)(=O)=O</t>
  </si>
  <si>
    <t xml:space="preserve">GOJJWDOZNKBUSR-UHFFFAOYSA-N</t>
  </si>
  <si>
    <t xml:space="preserve">335.10070</t>
  </si>
  <si>
    <t xml:space="preserve">C13H14N4O4</t>
  </si>
  <si>
    <t xml:space="preserve">Creatinine hippurate</t>
  </si>
  <si>
    <t xml:space="preserve">205293</t>
  </si>
  <si>
    <t xml:space="preserve">HMDB0250530</t>
  </si>
  <si>
    <t xml:space="preserve">129724450</t>
  </si>
  <si>
    <t xml:space="preserve">CN1C(OC(=O)CNC(=O)C2=CC=CC=C2)C(=O)N=C1N</t>
  </si>
  <si>
    <t xml:space="preserve">DLELJXITRVBTBR-UHFFFAOYSA-N</t>
  </si>
  <si>
    <t xml:space="preserve">335.18454</t>
  </si>
  <si>
    <t xml:space="preserve">C18H26O3</t>
  </si>
  <si>
    <t xml:space="preserve">(9Z,11E,13E,15Z)-4-Oxo-9,11,13,15-octadecatetraenoic acid</t>
  </si>
  <si>
    <t xml:space="preserve">55724</t>
  </si>
  <si>
    <t xml:space="preserve">HMDB0031098</t>
  </si>
  <si>
    <t xml:space="preserve">87406</t>
  </si>
  <si>
    <t xml:space="preserve">138781</t>
  </si>
  <si>
    <t xml:space="preserve">131751133</t>
  </si>
  <si>
    <t xml:space="preserve">17699-21-7</t>
  </si>
  <si>
    <t xml:space="preserve">CC\C=C/C=C/C=C\C=C\CCCCC(=O)CCC(O)=O</t>
  </si>
  <si>
    <t xml:space="preserve">ZYOSGENSARGRME-WYVWLRFESA-N</t>
  </si>
  <si>
    <t xml:space="preserve">335.22741</t>
  </si>
  <si>
    <t xml:space="preserve">C20H32O4</t>
  </si>
  <si>
    <t xml:space="preserve">Prostaglandin A1; 11H-14,15-EETA; 15H-11,12-EETA</t>
  </si>
  <si>
    <t xml:space="preserve">3637; 4109; 4108</t>
  </si>
  <si>
    <t xml:space="preserve">HMDB0002656; HMDB0004693; HMDB0005050</t>
  </si>
  <si>
    <t xml:space="preserve">407; 36367; </t>
  </si>
  <si>
    <t xml:space="preserve">LMFA03010005; LMFA03080008; LMFA03080007</t>
  </si>
  <si>
    <t xml:space="preserve">C04685; C14813; C14781</t>
  </si>
  <si>
    <t xml:space="preserve">15545; ; 34160</t>
  </si>
  <si>
    <t xml:space="preserve">5281912; 11954058; 11954042</t>
  </si>
  <si>
    <t xml:space="preserve">14152-28-4; 219535-29-2; 877878-78-9</t>
  </si>
  <si>
    <t xml:space="preserve">C1C(=O)[C@H](CCCCCCC(O)=O)[C@@H](/C=C/[C@@H](O)CCCCC)C=1; C(/C=C\C/C=C\CCCC(=O)O)C(O)/C=C/C1OC1CCCCC; C(/CC1OC1/C=C/[C@@H](O)CCCCC)=C/C/C=C\CCCC(=O)O</t>
  </si>
  <si>
    <t xml:space="preserve">BGKHCLZFGPIKKU-LDDQNKHRSA-N; WLMZMBKVRPUYIG-LTCHCNGXSA-N; GELFSVXLSDZDHE-YZSNCDGGSA-N</t>
  </si>
  <si>
    <t xml:space="preserve">Eicosanoids; Fatty acids and conjugates; Medium-chain hydroxy acids and derivatives</t>
  </si>
  <si>
    <t xml:space="preserve">336.10056</t>
  </si>
  <si>
    <t xml:space="preserve">C18H15N3O4</t>
  </si>
  <si>
    <t xml:space="preserve">4-Methylumbelliferylguanidinobenzoate</t>
  </si>
  <si>
    <t xml:space="preserve">201858</t>
  </si>
  <si>
    <t xml:space="preserve">HMDB0246524</t>
  </si>
  <si>
    <t xml:space="preserve">CC1=CC(=O)OC2=C1C=CC(OC(=O)C1=CC=C(C=C1)N=C(N)N)=C2</t>
  </si>
  <si>
    <t xml:space="preserve">AHAAYVQLZJYEOX-UHFFFAOYSA-N</t>
  </si>
  <si>
    <t xml:space="preserve">337.08568</t>
  </si>
  <si>
    <t xml:space="preserve">C17H18O5</t>
  </si>
  <si>
    <t xml:space="preserve">(R)-3',7-Dihydroxy-2',4'-dimethoxyisoflavan</t>
  </si>
  <si>
    <t xml:space="preserve">55470</t>
  </si>
  <si>
    <t xml:space="preserve">HMDB0030717</t>
  </si>
  <si>
    <t xml:space="preserve">605421</t>
  </si>
  <si>
    <t xml:space="preserve">4484949</t>
  </si>
  <si>
    <t xml:space="preserve">57128-11-7</t>
  </si>
  <si>
    <t xml:space="preserve">COC1=C(O)C(OC)=C(C=C1)C1COC2=CC(O)=CC=C2C1</t>
  </si>
  <si>
    <t xml:space="preserve">NUNFZNIXYWTZMW-UHFFFAOYSA-N</t>
  </si>
  <si>
    <t xml:space="preserve">O-methylated isoflavonoids</t>
  </si>
  <si>
    <t xml:space="preserve">337.19786</t>
  </si>
  <si>
    <t xml:space="preserve">C19H30O5</t>
  </si>
  <si>
    <t xml:space="preserve">[6]-Gingerdiol 3-acetate</t>
  </si>
  <si>
    <t xml:space="preserve">63715</t>
  </si>
  <si>
    <t xml:space="preserve">HMDB0040566</t>
  </si>
  <si>
    <t xml:space="preserve">95051</t>
  </si>
  <si>
    <t xml:space="preserve">175305</t>
  </si>
  <si>
    <t xml:space="preserve">131752857</t>
  </si>
  <si>
    <t xml:space="preserve">143519-17-9</t>
  </si>
  <si>
    <t xml:space="preserve">CCCCCC(O)CC(CCC1=CC(OC)=C(O)C=C1)OC(C)=O</t>
  </si>
  <si>
    <t xml:space="preserve">OEGIGAPIFHYJOL-UHFFFAOYSA-N</t>
  </si>
  <si>
    <t xml:space="preserve">338.24422</t>
  </si>
  <si>
    <t xml:space="preserve">C18H35N3O4</t>
  </si>
  <si>
    <t xml:space="preserve">Leu-Leu-Leu</t>
  </si>
  <si>
    <t xml:space="preserve">115426</t>
  </si>
  <si>
    <t xml:space="preserve">HMDB0094648</t>
  </si>
  <si>
    <t xml:space="preserve">23009</t>
  </si>
  <si>
    <t xml:space="preserve">259327</t>
  </si>
  <si>
    <t xml:space="preserve">CC(C)CC(N)C(O)=NC(CC(C)C)C(O)=NC(CC(C)C)C(O)=O</t>
  </si>
  <si>
    <t xml:space="preserve">DNDWZFHLZVYOGF-UHFFFAOYSA-N</t>
  </si>
  <si>
    <t xml:space="preserve">339.06192</t>
  </si>
  <si>
    <t xml:space="preserve">C17H14F2O3</t>
  </si>
  <si>
    <t xml:space="preserve">Flobufen</t>
  </si>
  <si>
    <t xml:space="preserve">206800</t>
  </si>
  <si>
    <t xml:space="preserve">HMDB0252307</t>
  </si>
  <si>
    <t xml:space="preserve">CC(CC(=O)C1=CC=C(C=C1)C1=C(F)C=C(F)C=C1)C(O)=O</t>
  </si>
  <si>
    <t xml:space="preserve">FIKVYIRIUOFLLR-UHFFFAOYSA-N</t>
  </si>
  <si>
    <t xml:space="preserve">339.19892</t>
  </si>
  <si>
    <t xml:space="preserve">C22H28O3</t>
  </si>
  <si>
    <t xml:space="preserve">Piperochromenoic acid; Canrenone</t>
  </si>
  <si>
    <t xml:space="preserve">63778; 48015</t>
  </si>
  <si>
    <t xml:space="preserve">HMDB0040635; HMDB0003033</t>
  </si>
  <si>
    <t xml:space="preserve">95113; 2486</t>
  </si>
  <si>
    <t xml:space="preserve">174592; 987229</t>
  </si>
  <si>
    <t xml:space="preserve">13845938; 13789</t>
  </si>
  <si>
    <t xml:space="preserve">110979-01-6; 976-71-6</t>
  </si>
  <si>
    <t xml:space="preserve">CC(C)=CCC\C(C)=C\CCC1(C)OC2=CC=C(C=C2C=C1)C(O)=O; [H][C@@]12CC[C@@]3(CCC(=O)O3)[C@@]1(C)CC[C@@]1([H])[C@@]2([H])C=CC2=CC(=O)CC[C@]12C</t>
  </si>
  <si>
    <t xml:space="preserve">MSDAWPKHHPLFBC-RQZCQDPDSA-N; UJVLDDZCTMKXJK-WNHSNXHDSA-N</t>
  </si>
  <si>
    <t xml:space="preserve">Prenol lipids; Steroids and steroid derivatives</t>
  </si>
  <si>
    <t xml:space="preserve">Monoterpenoids; Steroid lactones</t>
  </si>
  <si>
    <t xml:space="preserve">339.25976</t>
  </si>
  <si>
    <t xml:space="preserve">C20H38O5</t>
  </si>
  <si>
    <t xml:space="preserve">13,14-Dihydro PGF-1a</t>
  </si>
  <si>
    <t xml:space="preserve">48477</t>
  </si>
  <si>
    <t xml:space="preserve">HMDB0005076</t>
  </si>
  <si>
    <t xml:space="preserve">155467</t>
  </si>
  <si>
    <t xml:space="preserve">5311239</t>
  </si>
  <si>
    <t xml:space="preserve">CCCCC[C@H](O)CC[C@H]1[C@H](O)C[C@H](O)[C@@H]1CCCCCCC(O)=O</t>
  </si>
  <si>
    <t xml:space="preserve">WMHAOJIJVNDMKA-BRIYLRKRSA-N</t>
  </si>
  <si>
    <t xml:space="preserve">341.00442</t>
  </si>
  <si>
    <t xml:space="preserve">C14H10O8</t>
  </si>
  <si>
    <t xml:space="preserve">2-(3,4-Dihydroxybenzoyloxy)-4,6-dihydroxybenzoate</t>
  </si>
  <si>
    <t xml:space="preserve">81741</t>
  </si>
  <si>
    <t xml:space="preserve">HMDB0059651</t>
  </si>
  <si>
    <t xml:space="preserve">C04524</t>
  </si>
  <si>
    <t xml:space="preserve">16068</t>
  </si>
  <si>
    <t xml:space="preserve">440370</t>
  </si>
  <si>
    <t xml:space="preserve">OC(=O)C1=C(O)C=C(O)C=C1OC(=O)C1=CC(O)=C(O)C=C1</t>
  </si>
  <si>
    <t xml:space="preserve">GRXIELRCPYIEQI-UHFFFAOYSA-N</t>
  </si>
  <si>
    <t xml:space="preserve">Depsides and depsidones</t>
  </si>
  <si>
    <t xml:space="preserve">341.20825</t>
  </si>
  <si>
    <t xml:space="preserve">C17H30N2O5</t>
  </si>
  <si>
    <t xml:space="preserve">Aloxistatin</t>
  </si>
  <si>
    <t xml:space="preserve">203323</t>
  </si>
  <si>
    <t xml:space="preserve">HMDB0248182</t>
  </si>
  <si>
    <t xml:space="preserve">3189</t>
  </si>
  <si>
    <t xml:space="preserve">CCOC(=O)C1OC1C(=O)NC(CC(C)C)C(=O)NCCC(C)C</t>
  </si>
  <si>
    <t xml:space="preserve">SRVFFFJZQVENJC-UHFFFAOYSA-N</t>
  </si>
  <si>
    <t xml:space="preserve">342.21560</t>
  </si>
  <si>
    <t xml:space="preserve">C20H29N3O2</t>
  </si>
  <si>
    <t xml:space="preserve">Dibucaine</t>
  </si>
  <si>
    <t xml:space="preserve">52866</t>
  </si>
  <si>
    <t xml:space="preserve">HMDB0014668</t>
  </si>
  <si>
    <t xml:space="preserve">3979</t>
  </si>
  <si>
    <t xml:space="preserve">C07879</t>
  </si>
  <si>
    <t xml:space="preserve">247956</t>
  </si>
  <si>
    <t xml:space="preserve">3025</t>
  </si>
  <si>
    <t xml:space="preserve">85-79-0</t>
  </si>
  <si>
    <t xml:space="preserve">CCCCOC1=NC2=CC=CC=C2C(=C1)C(=O)NCCN(CC)CC</t>
  </si>
  <si>
    <t xml:space="preserve">PUFQVTATUTYEAL-UHFFFAOYSA-N</t>
  </si>
  <si>
    <t xml:space="preserve">Quinolones and derivatives</t>
  </si>
  <si>
    <t xml:space="preserve">343.23100</t>
  </si>
  <si>
    <t xml:space="preserve">C20H34O3</t>
  </si>
  <si>
    <t xml:space="preserve">15(S)-Hydroxyeicosatrienoic acid</t>
  </si>
  <si>
    <t xml:space="preserve">3939</t>
  </si>
  <si>
    <t xml:space="preserve">HMDB0005045</t>
  </si>
  <si>
    <t xml:space="preserve">36268</t>
  </si>
  <si>
    <t xml:space="preserve">LMFA03050007</t>
  </si>
  <si>
    <t xml:space="preserve">88348</t>
  </si>
  <si>
    <t xml:space="preserve">5283145</t>
  </si>
  <si>
    <t xml:space="preserve">13-16-1</t>
  </si>
  <si>
    <t xml:space="preserve">C(/C/C=C\C=C\[C@@H](O)CCCCC)=C/CCCCCCC(=O)O</t>
  </si>
  <si>
    <t xml:space="preserve">IUKXMNDGTWTNTP-OAHXIXLCSA-N</t>
  </si>
  <si>
    <t xml:space="preserve">344.14128</t>
  </si>
  <si>
    <t xml:space="preserve">C12H29NO6P2</t>
  </si>
  <si>
    <t xml:space="preserve">Tetraisopropylpyrophosphoric acid amide</t>
  </si>
  <si>
    <t xml:space="preserve">211574</t>
  </si>
  <si>
    <t xml:space="preserve">HMDB0257971</t>
  </si>
  <si>
    <t xml:space="preserve">53795199</t>
  </si>
  <si>
    <t xml:space="preserve">CC(C)OP(O)(=O)OP(=O)(OC(C)C)N(C(C)C)C(C)C</t>
  </si>
  <si>
    <t xml:space="preserve">FEOZJNALVSCKHP-UHFFFAOYSA-N</t>
  </si>
  <si>
    <t xml:space="preserve">344.91448</t>
  </si>
  <si>
    <t xml:space="preserve">C8H11Cl3O6</t>
  </si>
  <si>
    <t xml:space="preserve">Alphachloralose</t>
  </si>
  <si>
    <t xml:space="preserve">56205</t>
  </si>
  <si>
    <t xml:space="preserve">HMDB0031727</t>
  </si>
  <si>
    <t xml:space="preserve">85991</t>
  </si>
  <si>
    <t xml:space="preserve">15879-93-3</t>
  </si>
  <si>
    <t xml:space="preserve">OCC(O)C1OC2OC(OC2C1O)C(Cl)(Cl)Cl</t>
  </si>
  <si>
    <t xml:space="preserve">OJYGBLRPYBAHRT-UHFFFAOYSA-N</t>
  </si>
  <si>
    <t xml:space="preserve">345.15753</t>
  </si>
  <si>
    <t xml:space="preserve">C16H20N4O2</t>
  </si>
  <si>
    <t xml:space="preserve">Azapropazone</t>
  </si>
  <si>
    <t xml:space="preserve">203806</t>
  </si>
  <si>
    <t xml:space="preserve">HMDB0248765</t>
  </si>
  <si>
    <t xml:space="preserve">38010</t>
  </si>
  <si>
    <t xml:space="preserve">26098</t>
  </si>
  <si>
    <t xml:space="preserve">CCCC1C(=O)N2N(C1=O)C1=C(C=CC(C)=C1)N=C2N(C)C</t>
  </si>
  <si>
    <t xml:space="preserve">MPHPHYZQRGLTBO-UHFFFAOYSA-N</t>
  </si>
  <si>
    <t xml:space="preserve">346.05835</t>
  </si>
  <si>
    <t xml:space="preserve">C10H14N5O7P</t>
  </si>
  <si>
    <t xml:space="preserve">Adenosine monophosphate; 3'-AMP</t>
  </si>
  <si>
    <t xml:space="preserve">46841; 48128</t>
  </si>
  <si>
    <t xml:space="preserve">HMDB0000045; HMDB0003540</t>
  </si>
  <si>
    <t xml:space="preserve">34478; 63401</t>
  </si>
  <si>
    <t xml:space="preserve">C00020; C01367</t>
  </si>
  <si>
    <t xml:space="preserve">16027; 28931</t>
  </si>
  <si>
    <t xml:space="preserve">6083; 41211</t>
  </si>
  <si>
    <t xml:space="preserve">61-19-8; 84-21-9</t>
  </si>
  <si>
    <t xml:space="preserve">NC1=C2N=CN([C@@H]3O[C@H](COP(O)(O)=O)[C@@H](O)[C@H]3O)C2=NC=N1; NC1=C2N=CN([C@@H]3O[C@H](CO)[C@@H](OP(O)(O)=O)[C@H]3O)C2=NC=N1</t>
  </si>
  <si>
    <t xml:space="preserve">UDMBCSSLTHHNCD-KQYNXXCUSA-N; LNQVTSROQXJCDD-KQYNXXCUSA-N</t>
  </si>
  <si>
    <t xml:space="preserve">Purine nucleotides; Ribonucleoside 3'-phosphates</t>
  </si>
  <si>
    <t xml:space="preserve">Purine ribonucleotides; Unclassified</t>
  </si>
  <si>
    <t xml:space="preserve">346.13139</t>
  </si>
  <si>
    <t xml:space="preserve">C19H17N5O2</t>
  </si>
  <si>
    <t xml:space="preserve">Nafamostat</t>
  </si>
  <si>
    <t xml:space="preserve">209414</t>
  </si>
  <si>
    <t xml:space="preserve">HMDB0255419</t>
  </si>
  <si>
    <t xml:space="preserve">4413</t>
  </si>
  <si>
    <t xml:space="preserve">NC(=N)NC1=CC=C(C=C1)C(=O)OC1=CC=C2C=C(C=CC2=C1)C(N)=N</t>
  </si>
  <si>
    <t xml:space="preserve">MQQNFDZXWVTQEH-UHFFFAOYSA-N</t>
  </si>
  <si>
    <t xml:space="preserve">347.04421</t>
  </si>
  <si>
    <t xml:space="preserve">C12H14O7S</t>
  </si>
  <si>
    <t xml:space="preserve">5-(3',5'-Dihydroxyphenyl)-gamma-valerolactone-O-sulphate-O-methyl</t>
  </si>
  <si>
    <t xml:space="preserve">82045</t>
  </si>
  <si>
    <t xml:space="preserve">HMDB0060031</t>
  </si>
  <si>
    <t xml:space="preserve">89538</t>
  </si>
  <si>
    <t xml:space="preserve">124202097</t>
  </si>
  <si>
    <t xml:space="preserve">COS(=O)(=O)OC1=CC(O)=CC(CC2CCC(=O)O2)=C1</t>
  </si>
  <si>
    <t xml:space="preserve">FXGBBWWEXQWRKV-UHFFFAOYSA-N</t>
  </si>
  <si>
    <t xml:space="preserve">347.18968</t>
  </si>
  <si>
    <t xml:space="preserve">C21H24N4O</t>
  </si>
  <si>
    <t xml:space="preserve">Intoplicine; (R)-1-(5-Tert-Butyl-2,3-dihydro-1H-inden-1-yl)-3-(1H-indazol-4-yl)urea</t>
  </si>
  <si>
    <t xml:space="preserve">207831; 202951</t>
  </si>
  <si>
    <t xml:space="preserve">HMDB0253504; HMDB0247759</t>
  </si>
  <si>
    <t xml:space="preserve">414107; </t>
  </si>
  <si>
    <t xml:space="preserve">65954; 11244984</t>
  </si>
  <si>
    <t xml:space="preserve">CN(C)CCCNC1=NC=C(C)C2=C1C1=C(N2)C=CC2=CC(O)=CC=C12; CC(C)(C)C1=CC2=C(C=C1)C(CC2)NC(=O)NC1=CC=CC2=C1C=NN2</t>
  </si>
  <si>
    <t xml:space="preserve">QROONAIPJKQFMC-UHFFFAOYSA-N; TYOYXJNGINZFET-UHFFFAOYSA-N</t>
  </si>
  <si>
    <t xml:space="preserve">Indoles and derivatives; Benzopyrazoles</t>
  </si>
  <si>
    <t xml:space="preserve">Pyridoindoles; Indazoles</t>
  </si>
  <si>
    <t xml:space="preserve">347.22940</t>
  </si>
  <si>
    <t xml:space="preserve">C17H34O2S</t>
  </si>
  <si>
    <t xml:space="preserve">1-(Carboxyethylthio)tetradecane</t>
  </si>
  <si>
    <t xml:space="preserve">199341</t>
  </si>
  <si>
    <t xml:space="preserve">HMDB0243801</t>
  </si>
  <si>
    <t xml:space="preserve">429485</t>
  </si>
  <si>
    <t xml:space="preserve">150912</t>
  </si>
  <si>
    <t xml:space="preserve">CCCCCCCCCCCCCCSCCC(O)=O</t>
  </si>
  <si>
    <t xml:space="preserve">OWXXRDGGTZWLQY-UHFFFAOYSA-N</t>
  </si>
  <si>
    <t xml:space="preserve">347.26459</t>
  </si>
  <si>
    <t xml:space="preserve">C8H18N2O2</t>
  </si>
  <si>
    <t xml:space="preserve">Ne,Ne dimethyllysine</t>
  </si>
  <si>
    <t xml:space="preserve">52236</t>
  </si>
  <si>
    <t xml:space="preserve">HMDB0013287</t>
  </si>
  <si>
    <t xml:space="preserve">C05545</t>
  </si>
  <si>
    <t xml:space="preserve">172425</t>
  </si>
  <si>
    <t xml:space="preserve">4478779</t>
  </si>
  <si>
    <t xml:space="preserve">CN(C)CCCCC(N)C(O)=O</t>
  </si>
  <si>
    <t xml:space="preserve">XXEWFEBMSGLYBY-UHFFFAOYSA-N</t>
  </si>
  <si>
    <t xml:space="preserve">348.04820</t>
  </si>
  <si>
    <t xml:space="preserve">C13H15NO8</t>
  </si>
  <si>
    <t xml:space="preserve">Salicylamide glucuronide</t>
  </si>
  <si>
    <t xml:space="preserve">211138</t>
  </si>
  <si>
    <t xml:space="preserve">HMDB0257458</t>
  </si>
  <si>
    <t xml:space="preserve">NC(=O)C1=CC=CC=C1OC1OC(C(O)C(O)C1O)C(O)=O</t>
  </si>
  <si>
    <t xml:space="preserve">AEMUKQHDNNVAES-UHFFFAOYSA-N</t>
  </si>
  <si>
    <t xml:space="preserve">348.09312</t>
  </si>
  <si>
    <t xml:space="preserve">C19H20ClNO</t>
  </si>
  <si>
    <t xml:space="preserve">Ecopipam</t>
  </si>
  <si>
    <t xml:space="preserve">206290</t>
  </si>
  <si>
    <t xml:space="preserve">HMDB0251693</t>
  </si>
  <si>
    <t xml:space="preserve">9861622</t>
  </si>
  <si>
    <t xml:space="preserve">CN1CCC2=CC(Cl)=C(O)C=C2C2C1CCC1=CC=CC=C21</t>
  </si>
  <si>
    <t xml:space="preserve">DMJWENQHWZZWDF-UHFFFAOYSA-N</t>
  </si>
  <si>
    <t xml:space="preserve">348.15730</t>
  </si>
  <si>
    <t xml:space="preserve">C16H21N3O3</t>
  </si>
  <si>
    <t xml:space="preserve">Valyltryptophan; Tryptophyl-Valine</t>
  </si>
  <si>
    <t xml:space="preserve">54149; 54107</t>
  </si>
  <si>
    <t xml:space="preserve">HMDB0029138; HMDB0029096</t>
  </si>
  <si>
    <t xml:space="preserve">23665; </t>
  </si>
  <si>
    <t xml:space="preserve">168182; 19816756</t>
  </si>
  <si>
    <t xml:space="preserve">24587-37-9; </t>
  </si>
  <si>
    <t xml:space="preserve">CC(C)[C@H](N)C(=O)N[C@@H](CC1=CNC2=CC=CC=C12)C(O)=O; CC(C)C(NC(=O)C(N)CC1=CNC2=C1C=CC=C2)C(O)=O</t>
  </si>
  <si>
    <t xml:space="preserve">LZDNBBYBDGBADK-KBPBESRZSA-N; LWFWZRANSFAJDR-UHFFFAOYSA-N</t>
  </si>
  <si>
    <t xml:space="preserve">349.06316</t>
  </si>
  <si>
    <t xml:space="preserve">C13H18N2O5S</t>
  </si>
  <si>
    <t xml:space="preserve">N-(2-Cyclohexyloxy-4-nitrophenyl)methanesulfonamide; Butylcarbamoyl-(4-methylphenyl)sulfonylcarbamic acid</t>
  </si>
  <si>
    <t xml:space="preserve">209712; 211305</t>
  </si>
  <si>
    <t xml:space="preserve">HMDB0255773; HMDB0257650</t>
  </si>
  <si>
    <t xml:space="preserve">63036; </t>
  </si>
  <si>
    <t xml:space="preserve">73458; </t>
  </si>
  <si>
    <t xml:space="preserve">4553; 54572603</t>
  </si>
  <si>
    <t xml:space="preserve">123653-11-2; </t>
  </si>
  <si>
    <t xml:space="preserve">CS(=O)(=O)NC1=C(OC2CCCCC2)C=C(C=C1)N(=O)=O; CCCCNC(=O)N(C(O)=O)S(=O)(=O)C1=CC=C(C)C=C1</t>
  </si>
  <si>
    <t xml:space="preserve">KTDZCOWXCWUPEO-UHFFFAOYSA-N; ZYJJMXFWKVTRSJ-UHFFFAOYSA-N</t>
  </si>
  <si>
    <t xml:space="preserve">Nitrobenzenes; Benzenesulfonamides</t>
  </si>
  <si>
    <t xml:space="preserve">349.15669</t>
  </si>
  <si>
    <t xml:space="preserve">C21H22N2O3</t>
  </si>
  <si>
    <t xml:space="preserve">polyneuridine aldehyde; Strychnine N-oxide; Paquinimod</t>
  </si>
  <si>
    <t xml:space="preserve">257279; 207134; 210003</t>
  </si>
  <si>
    <t xml:space="preserve">HMDB0304467; HMDB0252685; HMDB0256119</t>
  </si>
  <si>
    <t xml:space="preserve">; ; 460066</t>
  </si>
  <si>
    <t xml:space="preserve">631650; 630532; 54684617</t>
  </si>
  <si>
    <t xml:space="preserve">COC(=O)C1(C=O)C2CC3=C(NC4=CC=CC=C34)C3CC1C(CN23)=CC; [O-][N+]12CCC34C1CC1C5C3N(C3=CC=CC=C43)C(=O)CC5OCC=C1C2; CCN(C(=O)C1=C(O)C2=C(CC)C=CC=C2N(C)C1=O)C1=CC=CC=C1</t>
  </si>
  <si>
    <t xml:space="preserve">BRJNQOSDCDNITN-UHFFFAOYSA-N; ADTDBAKUQAKBGZ-UHFFFAOYSA-N; DIKSYHCCYVYKRO-UHFFFAOYSA-N</t>
  </si>
  <si>
    <t xml:space="preserve">Alkaloids and derivatives; Alkaloids and derivatives; Benzenoids</t>
  </si>
  <si>
    <t xml:space="preserve">Macroline alkaloids; Strychnos alkaloids; Benzene and substituted derivatives</t>
  </si>
  <si>
    <t xml:space="preserve">Unclassified; Unclassified; Anilides</t>
  </si>
  <si>
    <t xml:space="preserve">349.24412</t>
  </si>
  <si>
    <t xml:space="preserve">C18H36N2O3</t>
  </si>
  <si>
    <t xml:space="preserve">N-Lauroyl Lysine</t>
  </si>
  <si>
    <t xml:space="preserve">198542</t>
  </si>
  <si>
    <t xml:space="preserve">HMDB0242036</t>
  </si>
  <si>
    <t xml:space="preserve">101041</t>
  </si>
  <si>
    <t xml:space="preserve">CCCCCCCCCCCC(=O)NC(CCCCN)C(O)=O</t>
  </si>
  <si>
    <t xml:space="preserve">PDQICKRFOKDJCH-UHFFFAOYSA-N</t>
  </si>
  <si>
    <t xml:space="preserve">349.98160</t>
  </si>
  <si>
    <t xml:space="preserve">C9H7ClF7NO2</t>
  </si>
  <si>
    <t xml:space="preserve">N-Heptafluorobutyrylproline</t>
  </si>
  <si>
    <t xml:space="preserve">209168</t>
  </si>
  <si>
    <t xml:space="preserve">HMDB0255148</t>
  </si>
  <si>
    <t xml:space="preserve">14275155</t>
  </si>
  <si>
    <t xml:space="preserve">FC(F)(F)C(F)(F)C(F)(F)C(=O)N1CCCC1C(Cl)=O</t>
  </si>
  <si>
    <t xml:space="preserve">VMVIOLQWKUPXMI-UHFFFAOYSA-N</t>
  </si>
  <si>
    <t xml:space="preserve">350.04307</t>
  </si>
  <si>
    <t xml:space="preserve">C10H14N5O5P</t>
  </si>
  <si>
    <t xml:space="preserve">Phosphonate analog</t>
  </si>
  <si>
    <t xml:space="preserve">210331</t>
  </si>
  <si>
    <t xml:space="preserve">HMDB0256484</t>
  </si>
  <si>
    <t xml:space="preserve">135409499</t>
  </si>
  <si>
    <t xml:space="preserve">NC1=NC2=C(N=CN2CC2CCC(O2)P(O)(O)=O)C(=O)N1</t>
  </si>
  <si>
    <t xml:space="preserve">WMVVWDCCZZNNEX-UHFFFAOYSA-N</t>
  </si>
  <si>
    <t xml:space="preserve">350.11034</t>
  </si>
  <si>
    <t xml:space="preserve">C13H21NO10</t>
  </si>
  <si>
    <t xml:space="preserve">N-Acetyl-7-O-acetylneuraminic acid; N-Acetyl-9-O-acetylneuraminic acid; N-Acetyl-4-O-acetylneuraminic acid</t>
  </si>
  <si>
    <t xml:space="preserve">47220; 47226; 47227</t>
  </si>
  <si>
    <t xml:space="preserve">HMDB0000785; HMDB0000794; HMDB0000796</t>
  </si>
  <si>
    <t xml:space="preserve">5751; 5759; 5761</t>
  </si>
  <si>
    <t xml:space="preserve">C04016; C04017; C04015</t>
  </si>
  <si>
    <t xml:space="preserve">; 21500; 32844</t>
  </si>
  <si>
    <t xml:space="preserve">12315523; 123962; 440197</t>
  </si>
  <si>
    <t xml:space="preserve">18529-63-0; 55717-54-9; 16655-75-7</t>
  </si>
  <si>
    <t xml:space="preserve">CC(=O)N[C@@H]1[C@@H](O)C[C@](O)(O[C@H]1[C@H](OC(C)=O)[C@H](O)CO)C(O)=O; CC(=O)N[C@@H]1[C@@H](O)C[C@](O)(O[C@H]1[C@H](O)[C@H](O)COC(C)=O)C(O)=O; CC(=O)N[C@@H]1[C@H](C[C@](O)(O[C@H]1C(O)C(O)CO)C(O)=O)OC(C)=O</t>
  </si>
  <si>
    <t xml:space="preserve">DUOKWMWKFGDUDQ-GRRZBWEESA-N; NYWZBRWKDRMPAS-GRRZBWEESA-N; LVBIMVQYUKOENY-FODKYPIKSA-N</t>
  </si>
  <si>
    <t xml:space="preserve">Organic oxygen compounds; Organic oxygen compounds; Organic oxygen compounds</t>
  </si>
  <si>
    <t xml:space="preserve">Organooxygen compounds; Organooxygen compounds; Organooxygen compounds</t>
  </si>
  <si>
    <t xml:space="preserve">Carbohydrates and carbohydrate conjugates; Carbohydrates and carbohydrate conjugates; Carbohydrates and carbohydrate conjugates</t>
  </si>
  <si>
    <t xml:space="preserve">350.21050</t>
  </si>
  <si>
    <t xml:space="preserve">C17H33NO4</t>
  </si>
  <si>
    <t xml:space="preserve">Decanoylcarnitine</t>
  </si>
  <si>
    <t xml:space="preserve">8288</t>
  </si>
  <si>
    <t xml:space="preserve">HMDB0000651</t>
  </si>
  <si>
    <t xml:space="preserve">962</t>
  </si>
  <si>
    <t xml:space="preserve">LMFA07070006</t>
  </si>
  <si>
    <t xml:space="preserve">C03299</t>
  </si>
  <si>
    <t xml:space="preserve">28717</t>
  </si>
  <si>
    <t xml:space="preserve">11953821</t>
  </si>
  <si>
    <t xml:space="preserve">1492-27-9</t>
  </si>
  <si>
    <t xml:space="preserve">O=C(O[C@](CC([O-])=O)(C[N+](C)(C)C)[H])CCCCCCCCC</t>
  </si>
  <si>
    <t xml:space="preserve">LZOSYCMHQXPBFU-OAHLLOKOSA-N</t>
  </si>
  <si>
    <t xml:space="preserve">351.06367</t>
  </si>
  <si>
    <t xml:space="preserve">C17H16O6</t>
  </si>
  <si>
    <t xml:space="preserve">Cajanol; Homoferreirin; Byakangelicol</t>
  </si>
  <si>
    <t xml:space="preserve">29637; 29640; 255480</t>
  </si>
  <si>
    <t xml:space="preserve">HMDB0033924; HMDB0030111; HMDB0302531</t>
  </si>
  <si>
    <t xml:space="preserve">48003; 48006; 71437</t>
  </si>
  <si>
    <t xml:space="preserve">LMPK12050499; LMPK12050502; </t>
  </si>
  <si>
    <t xml:space="preserve">C10204; C10457; C16925</t>
  </si>
  <si>
    <t xml:space="preserve">; 5754; </t>
  </si>
  <si>
    <t xml:space="preserve">442670; 442788; 3055167</t>
  </si>
  <si>
    <t xml:space="preserve">61020-70-0; 482-01-9; 26091-79-2</t>
  </si>
  <si>
    <t xml:space="preserve">C1(OC)=CC2OCC(C3=CC=C(O)C=C3OC)C(=O)C=2C(O)=C1; C1(O)=CC2OCC(C3=CC=C(OC)C=C3OC)C(=O)C=2C(O)=C1; COC1=C2C=COC2=C(OC[C@H]2OC2(C)C)C2=C1C=CC(=O)O2</t>
  </si>
  <si>
    <t xml:space="preserve">RYYWWFXWFMYKJM-UHFFFAOYSA-N; LMLDNMHDNFCNCW-UHFFFAOYSA-N; ORBITTMJKIGFNH-LLVKDONJSA-N</t>
  </si>
  <si>
    <t xml:space="preserve">Phenylpropanoids and polyketides; Phenylpropanoids and polyketides; Phenylpropanoids and polyketides</t>
  </si>
  <si>
    <t xml:space="preserve">Isoflavonoids; Isoflavonoids; Coumarins and derivatives</t>
  </si>
  <si>
    <t xml:space="preserve">O-methylated isoflavonoids; O-methylated isoflavonoids; Furanocoumarins</t>
  </si>
  <si>
    <t xml:space="preserve">351.11503</t>
  </si>
  <si>
    <t xml:space="preserve">C18H19F3N2S</t>
  </si>
  <si>
    <t xml:space="preserve">Triflupromazine</t>
  </si>
  <si>
    <t xml:space="preserve">52854</t>
  </si>
  <si>
    <t xml:space="preserve">HMDB0014650</t>
  </si>
  <si>
    <t xml:space="preserve">85391</t>
  </si>
  <si>
    <t xml:space="preserve">9711</t>
  </si>
  <si>
    <t xml:space="preserve">5568</t>
  </si>
  <si>
    <t xml:space="preserve">146-54-3</t>
  </si>
  <si>
    <t xml:space="preserve">CN(C)CCCN1C2=CC=CC=C2SC2=C1C=C(C=C2)C(F)(F)F</t>
  </si>
  <si>
    <t xml:space="preserve">XSCGXQMFQXDFCW-UHFFFAOYSA-N</t>
  </si>
  <si>
    <t xml:space="preserve">Benzothiazines</t>
  </si>
  <si>
    <t xml:space="preserve">Phenothiazines</t>
  </si>
  <si>
    <t xml:space="preserve">351.20951</t>
  </si>
  <si>
    <t xml:space="preserve">C22H28N2O2</t>
  </si>
  <si>
    <t xml:space="preserve">Tebufenozide; Encainide</t>
  </si>
  <si>
    <t xml:space="preserve">212219; 53437</t>
  </si>
  <si>
    <t xml:space="preserve">HMDB0258764; HMDB0015359</t>
  </si>
  <si>
    <t xml:space="preserve">72332; 66566</t>
  </si>
  <si>
    <t xml:space="preserve">C18526; C06978</t>
  </si>
  <si>
    <t xml:space="preserve">38452; 4788</t>
  </si>
  <si>
    <t xml:space="preserve">91773; 48041</t>
  </si>
  <si>
    <t xml:space="preserve">112410-23-8; 66778-36-7</t>
  </si>
  <si>
    <t xml:space="preserve">CCC1=CC=C(C=C1)C(=O)NN(C(=O)C1=CC(C)=CC(C)=C1)C(C)(C)C; COC1=CC=C(C=C1)C(=O)NC1=CC=CC=C1CCC1CCCCN1C</t>
  </si>
  <si>
    <t xml:space="preserve">QYPNKSZPJQQLRK-UHFFFAOYSA-N; PJWPNDMDCLXCOM-UHFFFAOYSA-N</t>
  </si>
  <si>
    <t xml:space="preserve">Benzoic acids and derivatives; Anilides</t>
  </si>
  <si>
    <t xml:space="preserve">352.21722</t>
  </si>
  <si>
    <t xml:space="preserve">C18H29NO3</t>
  </si>
  <si>
    <t xml:space="preserve">Dihydrocapsaicin</t>
  </si>
  <si>
    <t xml:space="preserve">8892</t>
  </si>
  <si>
    <t xml:space="preserve">HMDB0038457</t>
  </si>
  <si>
    <t xml:space="preserve">44747</t>
  </si>
  <si>
    <t xml:space="preserve">LMFA08020318</t>
  </si>
  <si>
    <t xml:space="preserve">C16952</t>
  </si>
  <si>
    <t xml:space="preserve">46932</t>
  </si>
  <si>
    <t xml:space="preserve">107982</t>
  </si>
  <si>
    <t xml:space="preserve">19408-84-5</t>
  </si>
  <si>
    <t xml:space="preserve">C1=CC(CNC(=O)CCCCCCC(C)C)=CC(OC)=C1O</t>
  </si>
  <si>
    <t xml:space="preserve">XJQPQKLURWNAAH-UHFFFAOYSA-N</t>
  </si>
  <si>
    <t xml:space="preserve">Methoxyphenols</t>
  </si>
  <si>
    <t xml:space="preserve">353.17007</t>
  </si>
  <si>
    <t xml:space="preserve">C16H24N2O4</t>
  </si>
  <si>
    <t xml:space="preserve">8-Hydroxycarteolol</t>
  </si>
  <si>
    <t xml:space="preserve">82828</t>
  </si>
  <si>
    <t xml:space="preserve">HMDB0060990</t>
  </si>
  <si>
    <t xml:space="preserve">1553</t>
  </si>
  <si>
    <t xml:space="preserve">124688</t>
  </si>
  <si>
    <t xml:space="preserve">59826-22-1</t>
  </si>
  <si>
    <t xml:space="preserve">CC(C)(C)NCC(O)COC1=C2CCC(O)=NC2=C(O)C=C1</t>
  </si>
  <si>
    <t xml:space="preserve">TVZJLAKRXHGVOK-UHFFFAOYSA-N</t>
  </si>
  <si>
    <t xml:space="preserve">354.07361</t>
  </si>
  <si>
    <t xml:space="preserve">C20H15NO4</t>
  </si>
  <si>
    <t xml:space="preserve">Norchelerythrine</t>
  </si>
  <si>
    <t xml:space="preserve">209670</t>
  </si>
  <si>
    <t xml:space="preserve">HMDB0255726</t>
  </si>
  <si>
    <t xml:space="preserve">69377</t>
  </si>
  <si>
    <t xml:space="preserve">C12226</t>
  </si>
  <si>
    <t xml:space="preserve">443719</t>
  </si>
  <si>
    <t xml:space="preserve">6900-99-8</t>
  </si>
  <si>
    <t xml:space="preserve">COC1=CC=C2C(C=NC3=C2C=CC2=CC4=C(OCO4)C=C32)=C1OC</t>
  </si>
  <si>
    <t xml:space="preserve">JGUNQXPMULKFNY-UHFFFAOYSA-N</t>
  </si>
  <si>
    <t xml:space="preserve">354.16326</t>
  </si>
  <si>
    <t xml:space="preserve">C19H20FN3</t>
  </si>
  <si>
    <t xml:space="preserve">Fluperlapine</t>
  </si>
  <si>
    <t xml:space="preserve">206889</t>
  </si>
  <si>
    <t xml:space="preserve">HMDB0252399</t>
  </si>
  <si>
    <t xml:space="preserve">68729</t>
  </si>
  <si>
    <t xml:space="preserve">C10967</t>
  </si>
  <si>
    <t xml:space="preserve">49381</t>
  </si>
  <si>
    <t xml:space="preserve">67121-76-0</t>
  </si>
  <si>
    <t xml:space="preserve">CN1CCN(CC1)C1=NC2=C(CC3=CC=CC=C13)C=CC(F)=C2</t>
  </si>
  <si>
    <t xml:space="preserve">OBWGMKKHCLHVIE-UHFFFAOYSA-N</t>
  </si>
  <si>
    <t xml:space="preserve">354.22146</t>
  </si>
  <si>
    <t xml:space="preserve">C20H33NO2</t>
  </si>
  <si>
    <t xml:space="preserve">Tetradecyl nicotinate</t>
  </si>
  <si>
    <t xml:space="preserve">212322</t>
  </si>
  <si>
    <t xml:space="preserve">HMDB0258886</t>
  </si>
  <si>
    <t xml:space="preserve">CCCCCCCCCCCCCCOC(=O)C1=CN=CC=C1</t>
  </si>
  <si>
    <t xml:space="preserve">TVGLGJWCZSCAEM-UHFFFAOYSA-N</t>
  </si>
  <si>
    <t xml:space="preserve">354.92963</t>
  </si>
  <si>
    <t xml:space="preserve">C12H14Cl3O3PS</t>
  </si>
  <si>
    <t xml:space="preserve">Axiom</t>
  </si>
  <si>
    <t xml:space="preserve">203793</t>
  </si>
  <si>
    <t xml:space="preserve">HMDB0248751</t>
  </si>
  <si>
    <t xml:space="preserve">15649</t>
  </si>
  <si>
    <t xml:space="preserve">CCOP(=S)(OCC)OC(=CCl)C1=C(Cl)C=CC(Cl)=C1</t>
  </si>
  <si>
    <t xml:space="preserve">QCKIOHMRUZJYQZ-UHFFFAOYSA-N</t>
  </si>
  <si>
    <t xml:space="preserve">355.03664</t>
  </si>
  <si>
    <t xml:space="preserve">C17H11F3O3</t>
  </si>
  <si>
    <t xml:space="preserve">7-(Benzyloxy)-4-(trifluoromethyl)-2H-chromen-2-one</t>
  </si>
  <si>
    <t xml:space="preserve">202494</t>
  </si>
  <si>
    <t xml:space="preserve">HMDB0247236</t>
  </si>
  <si>
    <t xml:space="preserve">410837</t>
  </si>
  <si>
    <t xml:space="preserve">848780</t>
  </si>
  <si>
    <t xml:space="preserve">FC(F)(F)C1=CC(=O)OC2=C1C=CC(OCC1=CC=CC=C1)=C2</t>
  </si>
  <si>
    <t xml:space="preserve">WVKLERKKJXUPIK-UHFFFAOYSA-N</t>
  </si>
  <si>
    <t xml:space="preserve">355.08719</t>
  </si>
  <si>
    <t xml:space="preserve">C12H20O12</t>
  </si>
  <si>
    <t xml:space="preserve">Acaciabiuronic acid</t>
  </si>
  <si>
    <t xml:space="preserve">54805</t>
  </si>
  <si>
    <t xml:space="preserve">HMDB0029938</t>
  </si>
  <si>
    <t xml:space="preserve">167945</t>
  </si>
  <si>
    <t xml:space="preserve">14160009</t>
  </si>
  <si>
    <t xml:space="preserve">7264-19-9</t>
  </si>
  <si>
    <t xml:space="preserve">OC1OC(COC2OC(C(O)C(O)C2O)C(O)=O)C(O)C(O)C1O</t>
  </si>
  <si>
    <t xml:space="preserve">YOOPHLDCWPOWDX-UHFFFAOYSA-N</t>
  </si>
  <si>
    <t xml:space="preserve">355.18844</t>
  </si>
  <si>
    <t xml:space="preserve">C20H32OS</t>
  </si>
  <si>
    <t xml:space="preserve">2,3-Thioepoxy Madol</t>
  </si>
  <si>
    <t xml:space="preserve">207462</t>
  </si>
  <si>
    <t xml:space="preserve">HMDB0253075</t>
  </si>
  <si>
    <t xml:space="preserve">75245245</t>
  </si>
  <si>
    <t xml:space="preserve">CC1(O)CCC2C3CCC4CC5SC5CC4(C)C3CCC12C</t>
  </si>
  <si>
    <t xml:space="preserve">UPLPHRJJTCUQAY-UHFFFAOYSA-N</t>
  </si>
  <si>
    <t xml:space="preserve">Estrane steroids</t>
  </si>
  <si>
    <t xml:space="preserve">355.26673</t>
  </si>
  <si>
    <t xml:space="preserve">C22H38O2</t>
  </si>
  <si>
    <t xml:space="preserve">FA(22:3)</t>
  </si>
  <si>
    <t xml:space="preserve">899</t>
  </si>
  <si>
    <t xml:space="preserve">HMDB0002823</t>
  </si>
  <si>
    <t xml:space="preserve">195</t>
  </si>
  <si>
    <t xml:space="preserve">LMFA01030408</t>
  </si>
  <si>
    <t xml:space="preserve">77807</t>
  </si>
  <si>
    <t xml:space="preserve">5312557</t>
  </si>
  <si>
    <t xml:space="preserve">28845-86-5</t>
  </si>
  <si>
    <t xml:space="preserve">C(CCCCCCCCCCC/C=C\C/C=C\C/C=C\CC)(=O)O</t>
  </si>
  <si>
    <t xml:space="preserve">WBBQTNCISCKUMU-PDBXOOCHSA-N</t>
  </si>
  <si>
    <t xml:space="preserve">356.11777</t>
  </si>
  <si>
    <t xml:space="preserve">C16H23NO6S</t>
  </si>
  <si>
    <t xml:space="preserve">Niazimicin</t>
  </si>
  <si>
    <t xml:space="preserve">56406</t>
  </si>
  <si>
    <t xml:space="preserve">HMDB0031944</t>
  </si>
  <si>
    <t xml:space="preserve">10247749</t>
  </si>
  <si>
    <t xml:space="preserve">147821-49-6</t>
  </si>
  <si>
    <t xml:space="preserve">CCOC(=S)NCC1=CC=C(O[C@@H]2O[C@@H](C)[C@H](O)[C@@H](O)[C@H]2O)C=C1</t>
  </si>
  <si>
    <t xml:space="preserve">JOSHUAQJVMGTGS-NBUQLFNLSA-N</t>
  </si>
  <si>
    <t xml:space="preserve">356.19355</t>
  </si>
  <si>
    <t xml:space="preserve">C15H27N5O5</t>
  </si>
  <si>
    <t xml:space="preserve">(2R,3R)-3-[[(2S)-1-[4-(Diaminomethylideneamino)butylamino]-4-methyl-1-oxopentan-2-yl]carbamoyl]oxirane-2-carboxylic acid</t>
  </si>
  <si>
    <t xml:space="preserve">206267</t>
  </si>
  <si>
    <t xml:space="preserve">HMDB0251665</t>
  </si>
  <si>
    <t xml:space="preserve">4641099</t>
  </si>
  <si>
    <t xml:space="preserve">CC(C)CC(NC(=O)C1OC1C(O)=O)C(=O)NCCCCN=C(N)N</t>
  </si>
  <si>
    <t xml:space="preserve">LTLYEAJONXGNFG-UHFFFAOYSA-N</t>
  </si>
  <si>
    <t xml:space="preserve">357.09568</t>
  </si>
  <si>
    <t xml:space="preserve">C14H26O4S2</t>
  </si>
  <si>
    <t xml:space="preserve">1,10-Bis(carboxymethylthio)decane</t>
  </si>
  <si>
    <t xml:space="preserve">199578</t>
  </si>
  <si>
    <t xml:space="preserve">HMDB0244052</t>
  </si>
  <si>
    <t xml:space="preserve">161757</t>
  </si>
  <si>
    <t xml:space="preserve">OC(=O)CSCCCCCCCCCCSCC(O)=O</t>
  </si>
  <si>
    <t xml:space="preserve">YGPHOWJPGUHNSY-UHFFFAOYSA-N</t>
  </si>
  <si>
    <t xml:space="preserve">357.18863</t>
  </si>
  <si>
    <t xml:space="preserve">C22H30O2S</t>
  </si>
  <si>
    <t xml:space="preserve">4,4'-Thiobis(6-tert-butyl-m-cresol); 2-(3,7,11-Trimethyldodeca-2,6,10-trienylsulfanyl)benzoic acid</t>
  </si>
  <si>
    <t xml:space="preserve">202886; 200378</t>
  </si>
  <si>
    <t xml:space="preserve">HMDB0247683; HMDB0244927</t>
  </si>
  <si>
    <t xml:space="preserve">7308; 389644</t>
  </si>
  <si>
    <t xml:space="preserve">CC1=CC(O)=C(C=C1SC1=CC(=C(O)C=C1C)C(C)(C)C)C(C)(C)C; CC(C)=CCCC(C)=CCCC(C)=CCSC1=CC=CC=C1C(O)=O</t>
  </si>
  <si>
    <t xml:space="preserve">HXIQYSLFEXIOAV-UHFFFAOYSA-N; WUILNKCFCLNXOK-UHFFFAOYSA-N</t>
  </si>
  <si>
    <t xml:space="preserve">Organosulfur compounds; Lipids and lipid-like molecules</t>
  </si>
  <si>
    <t xml:space="preserve">Thioethers; Prenol lipids</t>
  </si>
  <si>
    <t xml:space="preserve">Aryl thioethers; Sesquiterpenoids</t>
  </si>
  <si>
    <t xml:space="preserve">357.28414</t>
  </si>
  <si>
    <t xml:space="preserve">C24H38O2</t>
  </si>
  <si>
    <t xml:space="preserve">Tetracosapentaenoic acid (24:5n-3); Tetracosapentaenoic acid (24:5n-6)</t>
  </si>
  <si>
    <t xml:space="preserve">1232; 1231</t>
  </si>
  <si>
    <t xml:space="preserve">HMDB0006323; HMDB0006322</t>
  </si>
  <si>
    <t xml:space="preserve">74357; 74356</t>
  </si>
  <si>
    <t xml:space="preserve">LMFA01030821; LMFA01030820</t>
  </si>
  <si>
    <t xml:space="preserve">77360; 77527</t>
  </si>
  <si>
    <t xml:space="preserve">52921801; 14505435</t>
  </si>
  <si>
    <t xml:space="preserve">C(CCCCCCC/C=C\C/C=C\C/C=C\C/C=C\C/C=C\CC)(=O)O; C(CCCC/C=C\C/C=C\C/C=C\C/C=C\C/C=C\CCCCC)(=O)O</t>
  </si>
  <si>
    <t xml:space="preserve">NPTIBOCVSPURCS-JLNKQSITSA-N; VENRYLMOFDSSDJ-WMPRHZDHSA-N</t>
  </si>
  <si>
    <t xml:space="preserve">358.28444</t>
  </si>
  <si>
    <t xml:space="preserve">C21H41NO</t>
  </si>
  <si>
    <t xml:space="preserve">N-(14-Methylhexadecanoyl)pyrrolidine</t>
  </si>
  <si>
    <t xml:space="preserve">58411</t>
  </si>
  <si>
    <t xml:space="preserve">HMDB0034373</t>
  </si>
  <si>
    <t xml:space="preserve">89884</t>
  </si>
  <si>
    <t xml:space="preserve">6430518</t>
  </si>
  <si>
    <t xml:space="preserve">260058-83-1</t>
  </si>
  <si>
    <t xml:space="preserve">CCC(C)CCCCCCCCCCCCC(=O)N1CCCC1</t>
  </si>
  <si>
    <t xml:space="preserve">VRAFLAJRBDTYBS-UHFFFAOYSA-N</t>
  </si>
  <si>
    <t xml:space="preserve">Pyrrolidines</t>
  </si>
  <si>
    <t xml:space="preserve">N-acylpyrrolidines</t>
  </si>
  <si>
    <t xml:space="preserve">359.11698</t>
  </si>
  <si>
    <t xml:space="preserve">C19H20N2O3</t>
  </si>
  <si>
    <t xml:space="preserve">Dolasetron</t>
  </si>
  <si>
    <t xml:space="preserve">53047</t>
  </si>
  <si>
    <t xml:space="preserve">HMDB0014895</t>
  </si>
  <si>
    <t xml:space="preserve">C07866</t>
  </si>
  <si>
    <t xml:space="preserve">60654</t>
  </si>
  <si>
    <t xml:space="preserve">115956-12-2</t>
  </si>
  <si>
    <t xml:space="preserve">[H][C@]12CC(CC3CC(C1)C(=O)CN23)OC(=O)C1=CNC2=CC=CC=C12</t>
  </si>
  <si>
    <t xml:space="preserve">UKTAZPQNNNJVKR-DBBXXEFVSA-N</t>
  </si>
  <si>
    <t xml:space="preserve">359.29803</t>
  </si>
  <si>
    <t xml:space="preserve">C24H42O3</t>
  </si>
  <si>
    <t xml:space="preserve">3,4-Dimethyl-5-pentyl-2-furantridecanoic acid</t>
  </si>
  <si>
    <t xml:space="preserve">2628</t>
  </si>
  <si>
    <t xml:space="preserve">HMDB0061649</t>
  </si>
  <si>
    <t xml:space="preserve">978191</t>
  </si>
  <si>
    <t xml:space="preserve">LMFA01150015</t>
  </si>
  <si>
    <t xml:space="preserve">71443942</t>
  </si>
  <si>
    <t xml:space="preserve">57818-43-6</t>
  </si>
  <si>
    <t xml:space="preserve">C1(C)C(C)=C(CCCCCCCCCCCCC(=O)O)OC=1CCCCC</t>
  </si>
  <si>
    <t xml:space="preserve">RCISJPUCXSEESK-UHFFFAOYSA-N</t>
  </si>
  <si>
    <t xml:space="preserve">359.99955</t>
  </si>
  <si>
    <t xml:space="preserve">C11H11N5O3S2</t>
  </si>
  <si>
    <t xml:space="preserve">Urothion</t>
  </si>
  <si>
    <t xml:space="preserve">47927</t>
  </si>
  <si>
    <t xml:space="preserve">HMDB0002377</t>
  </si>
  <si>
    <t xml:space="preserve">6653</t>
  </si>
  <si>
    <t xml:space="preserve">176463</t>
  </si>
  <si>
    <t xml:space="preserve">86845</t>
  </si>
  <si>
    <t xml:space="preserve">19295-31-9</t>
  </si>
  <si>
    <t xml:space="preserve">CSC1=C(SC2=C1N=C1C(=O)N=C(N)NC1=N2)C(O)CO</t>
  </si>
  <si>
    <t xml:space="preserve">RPUOVNROVSNPBD-UHFFFAOYSA-N</t>
  </si>
  <si>
    <t xml:space="preserve">360.13188</t>
  </si>
  <si>
    <t xml:space="preserve">C15H17N5O3</t>
  </si>
  <si>
    <t xml:space="preserve">6-Amino-9-benzyl-2-(2-methoxyethoxy)-9H-purin-8-ol</t>
  </si>
  <si>
    <t xml:space="preserve">201046</t>
  </si>
  <si>
    <t xml:space="preserve">HMDB0245634</t>
  </si>
  <si>
    <t xml:space="preserve">10018576</t>
  </si>
  <si>
    <t xml:space="preserve">COCCOC1=NC2=C(NC(=O)N2CC2=CC=CC=C2)C(N)=N1</t>
  </si>
  <si>
    <t xml:space="preserve">YYCDGEZXHXHLGW-UHFFFAOYSA-N</t>
  </si>
  <si>
    <t xml:space="preserve">360.23212</t>
  </si>
  <si>
    <t xml:space="preserve">C19H35NO3</t>
  </si>
  <si>
    <t xml:space="preserve">N-Myristoyl Proline</t>
  </si>
  <si>
    <t xml:space="preserve">198564</t>
  </si>
  <si>
    <t xml:space="preserve">HMDB0242058</t>
  </si>
  <si>
    <t xml:space="preserve">10245787</t>
  </si>
  <si>
    <t xml:space="preserve">CCCCCCCCCCCCCC(=O)N1CCCC1C(O)=O</t>
  </si>
  <si>
    <t xml:space="preserve">OFWGTRJQCVYFBE-UHFFFAOYSA-N</t>
  </si>
  <si>
    <t xml:space="preserve">360.89333</t>
  </si>
  <si>
    <t xml:space="preserve">C10H7Cl3N2O3S</t>
  </si>
  <si>
    <t xml:space="preserve">2,4,5-Trichloro-N-(5-methyl-1,2-oxazol-3-yl)benzenesulfonamide</t>
  </si>
  <si>
    <t xml:space="preserve">200903</t>
  </si>
  <si>
    <t xml:space="preserve">HMDB0245474</t>
  </si>
  <si>
    <t xml:space="preserve">4596756</t>
  </si>
  <si>
    <t xml:space="preserve">CC1=CC(NS(=O)(=O)C2=C(Cl)C=C(Cl)C(Cl)=C2)=NO1</t>
  </si>
  <si>
    <t xml:space="preserve">HFFXLYHRNRKAPM-UHFFFAOYSA-N</t>
  </si>
  <si>
    <t xml:space="preserve">360.99218</t>
  </si>
  <si>
    <t xml:space="preserve">C10H16N2O6S2</t>
  </si>
  <si>
    <t xml:space="preserve">2-Amino-3-[[(2R)-2-carboxy-2-(diacetylamino)ethyl]disulfanyl]propanoic acid; (2R)-2-Acetamido-3-[[(2R)-2-acetamido-2-carboxyethyl]disulfanyl]propanoic acid</t>
  </si>
  <si>
    <t xml:space="preserve">211243; 198964</t>
  </si>
  <si>
    <t xml:space="preserve">HMDB0257578; HMDB0242531</t>
  </si>
  <si>
    <t xml:space="preserve">19364518; 306129</t>
  </si>
  <si>
    <t xml:space="preserve">CC(=O)N(C(CSSCC(N)C(O)=O)C(O)=O)C(C)=O; CC(=O)NC(CSSCC(NC(C)=O)C(O)=O)C(O)=O</t>
  </si>
  <si>
    <t xml:space="preserve">IUBBHHOZWDBCIV-UHFFFAOYSA-N; YTPQSLLEROSACP-UHFFFAOYSA-N</t>
  </si>
  <si>
    <t xml:space="preserve">361.18574</t>
  </si>
  <si>
    <t xml:space="preserve">C22H23FN4</t>
  </si>
  <si>
    <t xml:space="preserve">N-(4-Fluorophenyl)-4,5-dimethyl-6-[(1S)-1-methyl-3,4-dihydro-1H-isoquinolin-2-YL]pyrimidin-2-amine</t>
  </si>
  <si>
    <t xml:space="preserve">200311</t>
  </si>
  <si>
    <t xml:space="preserve">HMDB0244857</t>
  </si>
  <si>
    <t xml:space="preserve">204104</t>
  </si>
  <si>
    <t xml:space="preserve">CC1N(CCC2=CC=CC=C12)C1=NC(NC2=CC=C(F)C=C2)=NC(C)=C1C</t>
  </si>
  <si>
    <t xml:space="preserve">LECZXZOBEZITCL-UHFFFAOYSA-N</t>
  </si>
  <si>
    <t xml:space="preserve">Tetrahydroisoquinolines</t>
  </si>
  <si>
    <t xml:space="preserve">361.24541</t>
  </si>
  <si>
    <t xml:space="preserve">C22H34O4</t>
  </si>
  <si>
    <t xml:space="preserve">19,20-DiHDPA; Annosquamosin A; Lycopersiconolide</t>
  </si>
  <si>
    <t xml:space="preserve">4858; 55751; 57883</t>
  </si>
  <si>
    <t xml:space="preserve">HMDB0010214; HMDB0031137; HMDB0033677</t>
  </si>
  <si>
    <t xml:space="preserve">61549; 87436; 89469</t>
  </si>
  <si>
    <t xml:space="preserve">LMFA04000043; ; </t>
  </si>
  <si>
    <t xml:space="preserve">72657; ; </t>
  </si>
  <si>
    <t xml:space="preserve">16061148; 469215; 14186883</t>
  </si>
  <si>
    <t xml:space="preserve">; 192584-48-8; 110612-29-8</t>
  </si>
  <si>
    <t xml:space="preserve">C(CC/C=C\C/C=C\C/C=C\C/C=C\C/C=C\CC(O)C(O)CC)(=O)O; CC(=O)OC[C@]1(O)CC23C[C@@H]1CCC2[C@]1(C)CCC[C@@](C)(C=O)C1CC3; CC1(O)C2C(CC3C4CCC5CC(O)CCC5(C)C4CCC23C)OC1=O</t>
  </si>
  <si>
    <t xml:space="preserve">FFXKPSNQCPNORO-MBYQGORISA-N; FCHGRGOUMXZTFS-QZRFJHGNSA-N; OCPGSVYCKLXPSO-UHFFFAOYSA-N</t>
  </si>
  <si>
    <t xml:space="preserve">Fatty Acyls; Prenol lipids; Steroids and steroid derivatives</t>
  </si>
  <si>
    <t xml:space="preserve">Fatty acids and conjugates; Diterpenoids; Steroid lactones</t>
  </si>
  <si>
    <t xml:space="preserve">361.99215</t>
  </si>
  <si>
    <t xml:space="preserve">C11H12NO4PS2</t>
  </si>
  <si>
    <t xml:space="preserve">Phosmet</t>
  </si>
  <si>
    <t xml:space="preserve">210315</t>
  </si>
  <si>
    <t xml:space="preserve">HMDB0256463</t>
  </si>
  <si>
    <t xml:space="preserve">72529</t>
  </si>
  <si>
    <t xml:space="preserve">C18756</t>
  </si>
  <si>
    <t xml:space="preserve">38786</t>
  </si>
  <si>
    <t xml:space="preserve">12901</t>
  </si>
  <si>
    <t xml:space="preserve">732-11-6</t>
  </si>
  <si>
    <t xml:space="preserve">COP(=S)(OC)SCN1C(=O)C2=CC=CC=C2C1=O</t>
  </si>
  <si>
    <t xml:space="preserve">LMNZTLDVJIUSHT-UHFFFAOYSA-N</t>
  </si>
  <si>
    <t xml:space="preserve">Isoindoles and derivatives</t>
  </si>
  <si>
    <t xml:space="preserve">Isoindolines</t>
  </si>
  <si>
    <t xml:space="preserve">362.05713</t>
  </si>
  <si>
    <t xml:space="preserve">C16H13F4NO2</t>
  </si>
  <si>
    <t xml:space="preserve">Robenacoxib</t>
  </si>
  <si>
    <t xml:space="preserve">211004</t>
  </si>
  <si>
    <t xml:space="preserve">HMDB0257284</t>
  </si>
  <si>
    <t xml:space="preserve">454551</t>
  </si>
  <si>
    <t xml:space="preserve">76269</t>
  </si>
  <si>
    <t xml:space="preserve">6433107</t>
  </si>
  <si>
    <t xml:space="preserve">CCC1=CC(CC(O)=O)=C(NC2=C(F)C(F)=CC(F)=C2F)C=C1</t>
  </si>
  <si>
    <t xml:space="preserve">ZEXGDYFACFXQPF-UHFFFAOYSA-N</t>
  </si>
  <si>
    <t xml:space="preserve">362.24006</t>
  </si>
  <si>
    <t xml:space="preserve">C18H37NO4S</t>
  </si>
  <si>
    <t xml:space="preserve">N-Palmitoyltaurine</t>
  </si>
  <si>
    <t xml:space="preserve">8657</t>
  </si>
  <si>
    <t xml:space="preserve">HMDB0240594</t>
  </si>
  <si>
    <t xml:space="preserve">44910</t>
  </si>
  <si>
    <t xml:space="preserve">LMFA08020080</t>
  </si>
  <si>
    <t xml:space="preserve">132477</t>
  </si>
  <si>
    <t xml:space="preserve">14504290</t>
  </si>
  <si>
    <t xml:space="preserve">83982-06-3</t>
  </si>
  <si>
    <t xml:space="preserve">C(CNC(CCCCCCCCCCCCCCC)=O)S(O)(=O)=O</t>
  </si>
  <si>
    <t xml:space="preserve">LPDJCYFKKSLKRO-UHFFFAOYSA-N</t>
  </si>
  <si>
    <t xml:space="preserve">363.06209</t>
  </si>
  <si>
    <t xml:space="preserve">C18H10N2O4</t>
  </si>
  <si>
    <t xml:space="preserve">Melanin</t>
  </si>
  <si>
    <t xml:space="preserve">48220</t>
  </si>
  <si>
    <t xml:space="preserve">HMDB0004068</t>
  </si>
  <si>
    <t xml:space="preserve">7011</t>
  </si>
  <si>
    <t xml:space="preserve">C05606</t>
  </si>
  <si>
    <t xml:space="preserve">89634</t>
  </si>
  <si>
    <t xml:space="preserve">6325610</t>
  </si>
  <si>
    <t xml:space="preserve">8049-97-6</t>
  </si>
  <si>
    <t xml:space="preserve">CC1=C2NC=C3C2=C(C2=CNC4=C(C)C(=O)C(=O)C3=C24)C(=O)C1=O</t>
  </si>
  <si>
    <t xml:space="preserve">XUMBMVFBXHLACL-UHFFFAOYSA-N</t>
  </si>
  <si>
    <t xml:space="preserve">Anthracenes</t>
  </si>
  <si>
    <t xml:space="preserve">363.20019</t>
  </si>
  <si>
    <t xml:space="preserve">C21H34O4S</t>
  </si>
  <si>
    <t xml:space="preserve">serofendic acid</t>
  </si>
  <si>
    <t xml:space="preserve">211813</t>
  </si>
  <si>
    <t xml:space="preserve">HMDB0258253</t>
  </si>
  <si>
    <t xml:space="preserve">58859406</t>
  </si>
  <si>
    <t xml:space="preserve">CS(=O)CC1C2CCC3(CCC4C(C)(CCCC4(C)C(O)=O)C3C2)C1O</t>
  </si>
  <si>
    <t xml:space="preserve">RSTMEZAVUUMLEO-UHFFFAOYSA-N</t>
  </si>
  <si>
    <t xml:space="preserve">363.25667</t>
  </si>
  <si>
    <t xml:space="preserve">C23H32N4</t>
  </si>
  <si>
    <t xml:space="preserve">Butyl-(2,5-dimethyl-7-(2,4,6-trimethylphenyl)-7H-pyrrolo(2,3-d)pyrimidin-4-yl)ethylamine</t>
  </si>
  <si>
    <t xml:space="preserve">205277</t>
  </si>
  <si>
    <t xml:space="preserve">HMDB0250510</t>
  </si>
  <si>
    <t xml:space="preserve">5311055</t>
  </si>
  <si>
    <t xml:space="preserve">CCCCN(CC)C1=NC(C)=NC2=C1C(C)=CN2C1=C(C)C=C(C)C=C1C</t>
  </si>
  <si>
    <t xml:space="preserve">FHQYJZCJRZHINA-UHFFFAOYSA-N</t>
  </si>
  <si>
    <t xml:space="preserve">Substituted pyrroles</t>
  </si>
  <si>
    <t xml:space="preserve">364.07173</t>
  </si>
  <si>
    <t xml:space="preserve">C19H14F3NO</t>
  </si>
  <si>
    <t xml:space="preserve">Fluridone</t>
  </si>
  <si>
    <t xml:space="preserve">206898</t>
  </si>
  <si>
    <t xml:space="preserve">HMDB0252408</t>
  </si>
  <si>
    <t xml:space="preserve">72619</t>
  </si>
  <si>
    <t xml:space="preserve">C18857</t>
  </si>
  <si>
    <t xml:space="preserve">43079</t>
  </si>
  <si>
    <t xml:space="preserve">59756-60-4</t>
  </si>
  <si>
    <t xml:space="preserve">CN1C=C(C(=O)C(=C1)C1=CC(=CC=C1)C(F)(F)F)C1=CC=CC=C1</t>
  </si>
  <si>
    <t xml:space="preserve">YWBVHLJPRPCRSD-UHFFFAOYSA-N</t>
  </si>
  <si>
    <t xml:space="preserve">364.10861</t>
  </si>
  <si>
    <t xml:space="preserve">C17H19N3O4</t>
  </si>
  <si>
    <t xml:space="preserve">Anthramycin methyl ether; L-Prolinamide, glycyl-N-(4-methyl-2-oxo-2H-1-benzopyran-7-yl)-</t>
  </si>
  <si>
    <t xml:space="preserve">203552; 207264</t>
  </si>
  <si>
    <t xml:space="preserve">HMDB0248465; HMDB0252834</t>
  </si>
  <si>
    <t xml:space="preserve">3080642; 3999440</t>
  </si>
  <si>
    <t xml:space="preserve">COC1NC2=C(C=CC(C)=C2O)C(=O)N2C=C(CC12)C=CC(N)=O; CC1=CC(=O)OC2=C1C=CC(NC(=O)C1CCCN1C(=O)CN)=C2</t>
  </si>
  <si>
    <t xml:space="preserve">YRMCBQLZVBXOSJ-UHFFFAOYSA-N; UTDVHCQTKWTQEA-UHFFFAOYSA-N</t>
  </si>
  <si>
    <t xml:space="preserve">Benzodiazepines; Carboxylic acids and derivatives</t>
  </si>
  <si>
    <t xml:space="preserve">1,4-benzodiazepines; Amino acids, peptides, and analogues</t>
  </si>
  <si>
    <t xml:space="preserve">364.25878</t>
  </si>
  <si>
    <t xml:space="preserve">C20H37N3O4</t>
  </si>
  <si>
    <t xml:space="preserve">N-Acetyl-leucyl-leucyl-norleucinal; (2S)-N-[(2S)-1-[Acetyl-[(2S)-1-oxohexan-2-yl]amino]-4-methyl-1-oxopentan-2-yl]-2-amino-4-methylpentanamide</t>
  </si>
  <si>
    <t xml:space="preserve">203300; 211351</t>
  </si>
  <si>
    <t xml:space="preserve">HMDB0248156; HMDB0257703</t>
  </si>
  <si>
    <t xml:space="preserve">4332; </t>
  </si>
  <si>
    <t xml:space="preserve">CCCCC(NC(=O)C(CC(C)C)NC(=O)C(CC(C)C)NC(C)=O)C=O; CCCCC(C=O)N(C(C)=O)C(=O)C(CC(C)C)NC(=O)C(N)CC(C)C</t>
  </si>
  <si>
    <t xml:space="preserve">FMYKJLXRRQTBOR-UHFFFAOYSA-N; GOVKMYNMVXJDQS-UHFFFAOYSA-N</t>
  </si>
  <si>
    <t xml:space="preserve">365.05778</t>
  </si>
  <si>
    <t xml:space="preserve">C16H15ClN4O2</t>
  </si>
  <si>
    <t xml:space="preserve">1,3,7-Trimethyl-8-(3-chlorostyryl)xanthine; 8-(3-Chlorostyryl)caffeine</t>
  </si>
  <si>
    <t xml:space="preserve">199716; 202645</t>
  </si>
  <si>
    <t xml:space="preserve">HMDB0244192; HMDB0247411</t>
  </si>
  <si>
    <t xml:space="preserve">44134628; 1902</t>
  </si>
  <si>
    <t xml:space="preserve">CN1C(C=CC2=CC(Cl)=CC=C2)=NC2=C1N(C)C(=O)N(C)C2=O; CN1C(C=CC2=CC(Cl)=CC=C2)=NC2=C1C(=O)N(C)C(=O)N2C</t>
  </si>
  <si>
    <t xml:space="preserve">MHYRUZOJQQLLQS-UHFFFAOYSA-N; WBWFIUAVMCNYPG-UHFFFAOYSA-N</t>
  </si>
  <si>
    <t xml:space="preserve">Imidazopyrimidines; Imidazopyrimidines</t>
  </si>
  <si>
    <t xml:space="preserve">Purines and purine derivatives; Purines and purine derivatives</t>
  </si>
  <si>
    <t xml:space="preserve">365.21128</t>
  </si>
  <si>
    <t xml:space="preserve">C18H34O5</t>
  </si>
  <si>
    <t xml:space="preserve">9,12,13-TriHOME</t>
  </si>
  <si>
    <t xml:space="preserve">2974</t>
  </si>
  <si>
    <t xml:space="preserve">HMDB0004708</t>
  </si>
  <si>
    <t xml:space="preserve">36021</t>
  </si>
  <si>
    <t xml:space="preserve">LMFA02000014</t>
  </si>
  <si>
    <t xml:space="preserve">C14833</t>
  </si>
  <si>
    <t xml:space="preserve">34506</t>
  </si>
  <si>
    <t xml:space="preserve">9858729</t>
  </si>
  <si>
    <t xml:space="preserve">C(CCCCCCC[C@H](O)/C=C/[C@H](O)[C@@H](O)CCCCC)(=O)O</t>
  </si>
  <si>
    <t xml:space="preserve">MDIUMSLCYIJBQC-MVFSOIOZSA-N</t>
  </si>
  <si>
    <t xml:space="preserve">366.11247</t>
  </si>
  <si>
    <t xml:space="preserve">C18H21NO5</t>
  </si>
  <si>
    <t xml:space="preserve">Pretazettine</t>
  </si>
  <si>
    <t xml:space="preserve">255647</t>
  </si>
  <si>
    <t xml:space="preserve">HMDB0302721</t>
  </si>
  <si>
    <t xml:space="preserve">67052</t>
  </si>
  <si>
    <t xml:space="preserve">C08536</t>
  </si>
  <si>
    <t xml:space="preserve">73360</t>
  </si>
  <si>
    <t xml:space="preserve">17322-84-8</t>
  </si>
  <si>
    <t xml:space="preserve">CO[C@H]1C[C@@H]2N(C)C[C@@H]3O[C@@H](O)C4=CC5=C(OCO5)C=C4[C@@]23C=C1</t>
  </si>
  <si>
    <t xml:space="preserve">KLJOYDMUWKSYBP-YNBLHMCPSA-N</t>
  </si>
  <si>
    <t xml:space="preserve">Amaryllidaceae alkaloids</t>
  </si>
  <si>
    <t xml:space="preserve">Tazettine-type amaryllidaceae alkaloids</t>
  </si>
  <si>
    <t xml:space="preserve">366.21107</t>
  </si>
  <si>
    <t xml:space="preserve">C23H29NO3</t>
  </si>
  <si>
    <t xml:space="preserve">Piperundecalidine</t>
  </si>
  <si>
    <t xml:space="preserve">55064</t>
  </si>
  <si>
    <t xml:space="preserve">HMDB0030240</t>
  </si>
  <si>
    <t xml:space="preserve">86826</t>
  </si>
  <si>
    <t xml:space="preserve">534775</t>
  </si>
  <si>
    <t xml:space="preserve">44453654</t>
  </si>
  <si>
    <t xml:space="preserve">88660-11-1</t>
  </si>
  <si>
    <t xml:space="preserve">O=C(\C=C\C=C\CCCC\C=C\C1=CC2=C(OCO2)C=C1)N1CCCCC1</t>
  </si>
  <si>
    <t xml:space="preserve">BADLEYLQAILHPV-AZMZBSBOSA-N</t>
  </si>
  <si>
    <t xml:space="preserve">Benzodioxoles</t>
  </si>
  <si>
    <t xml:space="preserve">367.02604</t>
  </si>
  <si>
    <t xml:space="preserve">C17H11ClF4N2O2</t>
  </si>
  <si>
    <t xml:space="preserve">7-Chloro-1-(2,2,2-trifluoroethyl)-3-hydroxy-5-(2-fluorophenyl)-1,3-dihydro-2H-1,4-benzodiazepine-2-one</t>
  </si>
  <si>
    <t xml:space="preserve">202497</t>
  </si>
  <si>
    <t xml:space="preserve">HMDB0247239</t>
  </si>
  <si>
    <t xml:space="preserve">135860</t>
  </si>
  <si>
    <t xml:space="preserve">OC1N=C(C2=CC=CC=C2F)C2=C(C=CC(Cl)=C2)N(CC(F)(F)F)C1=O</t>
  </si>
  <si>
    <t xml:space="preserve">UUODKRKSEPDUBO-UHFFFAOYSA-N</t>
  </si>
  <si>
    <t xml:space="preserve">367.11078</t>
  </si>
  <si>
    <t xml:space="preserve">C20H22N2O4S</t>
  </si>
  <si>
    <t xml:space="preserve">Methyl 6-methyl-3-(2-methylpropyl)-4-(3-nitrophenyl)-4,7-dihydrothieno[2,3-b]pyridine-5-carboxylate</t>
  </si>
  <si>
    <t xml:space="preserve">199959</t>
  </si>
  <si>
    <t xml:space="preserve">HMDB0244458</t>
  </si>
  <si>
    <t xml:space="preserve">129003</t>
  </si>
  <si>
    <t xml:space="preserve">COC(=O)C1=C(C)NC2=C(C1C1=CC(=CC=C1)[N+]([O-])=O)C(CC(C)C)=CS2</t>
  </si>
  <si>
    <t xml:space="preserve">UTLPUICHKZBRCI-UHFFFAOYSA-N</t>
  </si>
  <si>
    <t xml:space="preserve">Thienopyridines</t>
  </si>
  <si>
    <t xml:space="preserve">367.24711</t>
  </si>
  <si>
    <t xml:space="preserve">C21H36O5</t>
  </si>
  <si>
    <t xml:space="preserve">beta-Cortol; Cortol</t>
  </si>
  <si>
    <t xml:space="preserve">45095; 45094</t>
  </si>
  <si>
    <t xml:space="preserve">HMDB0005821; HMDB0003180</t>
  </si>
  <si>
    <t xml:space="preserve">58325; 3174</t>
  </si>
  <si>
    <t xml:space="preserve">LMST02030229; LMST02030228</t>
  </si>
  <si>
    <t xml:space="preserve">C01235; C05482</t>
  </si>
  <si>
    <t xml:space="preserve">17505; 3898</t>
  </si>
  <si>
    <t xml:space="preserve">246164; 246873</t>
  </si>
  <si>
    <t xml:space="preserve">667-65-2; 516-38-1</t>
  </si>
  <si>
    <t xml:space="preserve">C[C@@]12C[C@@H](O)[C@@H]3[C@H](CC[C@H]4C[C@@H](O)CC[C@]43C)[C@H]1CC[C@@]2(O)[C@@H](O)CO; C[C@@]12C[C@@H](O)[C@@H]3[C@H](CC[C@H]4C[C@@H](O)CC[C@]43C)[C@H]1CC[C@@]2(O)[C@H](O)CO</t>
  </si>
  <si>
    <t xml:space="preserve">FFPUNPBUZDTHJI-ZFOKFBPFSA-N; FFPUNPBUZDTHJI-XPOJVAQCSA-N</t>
  </si>
  <si>
    <t xml:space="preserve">Steroids and steroid derivatives; Steroids and steroid derivatives</t>
  </si>
  <si>
    <t xml:space="preserve">Hydroxysteroids; Hydroxysteroids</t>
  </si>
  <si>
    <t xml:space="preserve">367.36479</t>
  </si>
  <si>
    <t xml:space="preserve">C24H48O2</t>
  </si>
  <si>
    <t xml:space="preserve">FA(24:0)</t>
  </si>
  <si>
    <t xml:space="preserve">70</t>
  </si>
  <si>
    <t xml:space="preserve">HMDB0002003</t>
  </si>
  <si>
    <t xml:space="preserve">420</t>
  </si>
  <si>
    <t xml:space="preserve">LMFA01010024</t>
  </si>
  <si>
    <t xml:space="preserve">C08320</t>
  </si>
  <si>
    <t xml:space="preserve">28866</t>
  </si>
  <si>
    <t xml:space="preserve">11197</t>
  </si>
  <si>
    <t xml:space="preserve">557-59-5</t>
  </si>
  <si>
    <t xml:space="preserve">C(CCCCCCCCCCCCC(=O)O)CCCCCCCCCC</t>
  </si>
  <si>
    <t xml:space="preserve">QZZGJDVWLFXDLK-UHFFFAOYSA-N</t>
  </si>
  <si>
    <t xml:space="preserve">368.22659</t>
  </si>
  <si>
    <t xml:space="preserve">C23H31NO3</t>
  </si>
  <si>
    <t xml:space="preserve">Norgestimate</t>
  </si>
  <si>
    <t xml:space="preserve">53211</t>
  </si>
  <si>
    <t xml:space="preserve">HMDB0015092</t>
  </si>
  <si>
    <t xml:space="preserve">50815</t>
  </si>
  <si>
    <t xml:space="preserve">6540478</t>
  </si>
  <si>
    <t xml:space="preserve">35189-28-7</t>
  </si>
  <si>
    <t xml:space="preserve">[H][C@@]12CC[C@@](OC(C)=O)(C#C)[C@@]1(CC)CC[C@]1([H])[C@@]3([H])CC\C(C=C3CC[C@@]21[H])=N/O</t>
  </si>
  <si>
    <t xml:space="preserve">KIQQMECNKUGGKA-NMYWJIRASA-N</t>
  </si>
  <si>
    <t xml:space="preserve">Steroid esters</t>
  </si>
  <si>
    <t xml:space="preserve">368.25398</t>
  </si>
  <si>
    <t xml:space="preserve">C22H37NO2</t>
  </si>
  <si>
    <t xml:space="preserve">Anandamide</t>
  </si>
  <si>
    <t xml:space="preserve">9013</t>
  </si>
  <si>
    <t xml:space="preserve">HMDB0004080</t>
  </si>
  <si>
    <t xml:space="preserve">3721</t>
  </si>
  <si>
    <t xml:space="preserve">LMFA08040001</t>
  </si>
  <si>
    <t xml:space="preserve">C11695</t>
  </si>
  <si>
    <t xml:space="preserve">2700</t>
  </si>
  <si>
    <t xml:space="preserve">5281969</t>
  </si>
  <si>
    <t xml:space="preserve">94421-68-8</t>
  </si>
  <si>
    <t xml:space="preserve">C(NCCO)(=O)CCC/C=C\C/C=C\C/C=C\C/C=C\CCCCC</t>
  </si>
  <si>
    <t xml:space="preserve">LGEQQWMQCRIYKG-DOFZRALJSA-N</t>
  </si>
  <si>
    <t xml:space="preserve">369.02746</t>
  </si>
  <si>
    <t xml:space="preserve">C15H14ClF3O3</t>
  </si>
  <si>
    <t xml:space="preserve">(2s)-7-Tert-Butyl-6-Chloro-2-(Trifluoromethyl)-2h-Chromene-3-Carboxylic Acid</t>
  </si>
  <si>
    <t xml:space="preserve">213306</t>
  </si>
  <si>
    <t xml:space="preserve">HMDB0260149</t>
  </si>
  <si>
    <t xml:space="preserve">9905741</t>
  </si>
  <si>
    <t xml:space="preserve">CC(C)(C)C1=C(Cl)C=C2C=C(C(OC2=C1)C(F)(F)F)C(O)=O</t>
  </si>
  <si>
    <t xml:space="preserve">QGCKNIAMHUUUDI-UHFFFAOYSA-N</t>
  </si>
  <si>
    <t xml:space="preserve">Benzopyrans</t>
  </si>
  <si>
    <t xml:space="preserve">1-benzopyrans</t>
  </si>
  <si>
    <t xml:space="preserve">369.17296</t>
  </si>
  <si>
    <t xml:space="preserve">C20H23FN4O2</t>
  </si>
  <si>
    <t xml:space="preserve">N-Desethyl Sunitinib</t>
  </si>
  <si>
    <t xml:space="preserve">209135</t>
  </si>
  <si>
    <t xml:space="preserve">HMDB0255114</t>
  </si>
  <si>
    <t xml:space="preserve">67984615</t>
  </si>
  <si>
    <t xml:space="preserve">CCNCCN=C(O)C1=C(C)NC(C=C2C(O)=NC3=C2C=C(F)C=C3)=C1C</t>
  </si>
  <si>
    <t xml:space="preserve">LIZNIAKSBJKPQC-UHFFFAOYSA-N</t>
  </si>
  <si>
    <t xml:space="preserve">369.22685</t>
  </si>
  <si>
    <t xml:space="preserve">C20H34O6</t>
  </si>
  <si>
    <t xml:space="preserve">Thromboxane B2; 6-Keto-prostaglandin F1a</t>
  </si>
  <si>
    <t xml:space="preserve">3910; 3633</t>
  </si>
  <si>
    <t xml:space="preserve">HMDB0003252; HMDB0002886</t>
  </si>
  <si>
    <t xml:space="preserve">422; 6782</t>
  </si>
  <si>
    <t xml:space="preserve">LMFA03030002; LMFA03010001</t>
  </si>
  <si>
    <t xml:space="preserve">C05963; C05961</t>
  </si>
  <si>
    <t xml:space="preserve">28728; 28158</t>
  </si>
  <si>
    <t xml:space="preserve">5283137; 5280888</t>
  </si>
  <si>
    <t xml:space="preserve">54397-85-2; 58962-34-8</t>
  </si>
  <si>
    <t xml:space="preserve">C(O)(=O)CCC/C=C\C[C@H]1[C@@H](O)CC(O)O[C@@H]1/C=C/[C@@H](O)CCCCC; [C@H]1(/C=C/[C@@H](O)CCCCC)[C@H](O)C[C@H](O)[C@@H]1CC(=O)CCCCC(=O)O</t>
  </si>
  <si>
    <t xml:space="preserve">XNRNNGPBEPRNAR-JQBLCGNGSA-N; KFGOFTHODYBSGM-ZUNNJUQCSA-N</t>
  </si>
  <si>
    <t xml:space="preserve">Eicosanoids; Eicosanoids</t>
  </si>
  <si>
    <t xml:space="preserve">371.18034</t>
  </si>
  <si>
    <t xml:space="preserve">C20H29FO3</t>
  </si>
  <si>
    <t xml:space="preserve">Fluoxymesterone</t>
  </si>
  <si>
    <t xml:space="preserve">44905</t>
  </si>
  <si>
    <t xml:space="preserve">HMDB0015316</t>
  </si>
  <si>
    <t xml:space="preserve">4047</t>
  </si>
  <si>
    <t xml:space="preserve">LMST02020025</t>
  </si>
  <si>
    <t xml:space="preserve">5120</t>
  </si>
  <si>
    <t xml:space="preserve">6446</t>
  </si>
  <si>
    <t xml:space="preserve">76-43-7</t>
  </si>
  <si>
    <t xml:space="preserve">C1[C@]2(C)[C@@]3(F)[C@@H](O)C[C@]4(C)[C@@](C)(O)CC[C@@]4([H])[C@]3([H])CCC2=CC(=O)C1</t>
  </si>
  <si>
    <t xml:space="preserve">YLRFCQOZQXIBAB-RBZZARIASA-N</t>
  </si>
  <si>
    <t xml:space="preserve">372.95314</t>
  </si>
  <si>
    <t xml:space="preserve">C6F14</t>
  </si>
  <si>
    <t xml:space="preserve">Perflexane</t>
  </si>
  <si>
    <t xml:space="preserve">210189</t>
  </si>
  <si>
    <t xml:space="preserve">HMDB0256323</t>
  </si>
  <si>
    <t xml:space="preserve">315350</t>
  </si>
  <si>
    <t xml:space="preserve">39427</t>
  </si>
  <si>
    <t xml:space="preserve">9639</t>
  </si>
  <si>
    <t xml:space="preserve">FC(F)(F)C(F)(F)C(F)(F)C(F)(F)C(F)(F)C(F)(F)F</t>
  </si>
  <si>
    <t xml:space="preserve">ZJIJAJXFLBMLCK-UHFFFAOYSA-N</t>
  </si>
  <si>
    <t xml:space="preserve">373.19308</t>
  </si>
  <si>
    <t xml:space="preserve">C24H28N2O3</t>
  </si>
  <si>
    <t xml:space="preserve">Indacaterol; Ivacaftor</t>
  </si>
  <si>
    <t xml:space="preserve">53644; 53720</t>
  </si>
  <si>
    <t xml:space="preserve">HMDB0015608; HMDB0015705</t>
  </si>
  <si>
    <t xml:space="preserve">85549; 85596</t>
  </si>
  <si>
    <t xml:space="preserve">68575; 66901</t>
  </si>
  <si>
    <t xml:space="preserve">6918554; 16220172</t>
  </si>
  <si>
    <t xml:space="preserve">312753-06-3; 873054-44-5</t>
  </si>
  <si>
    <t xml:space="preserve">CCC1=C(CC)C=C2CC(CC2=C1)NC[C@H](O)C1=C2C=CC(=O)NC2=C(O)C=C1; CC(C)(C)C1=CC(=C(O)C=C1NC(=O)C1=CNC2=CC=CC=C2C1=O)C(C)(C)C</t>
  </si>
  <si>
    <t xml:space="preserve">QZZUEBNBZAPZLX-QFIPXVFZSA-N; PURKAOJPTOLRMP-UHFFFAOYSA-N</t>
  </si>
  <si>
    <t xml:space="preserve">Quinolines and derivatives; Benzene and substituted derivatives</t>
  </si>
  <si>
    <t xml:space="preserve">Quinolones and derivatives; Anilides</t>
  </si>
  <si>
    <t xml:space="preserve">374.93171</t>
  </si>
  <si>
    <t xml:space="preserve">C13H7F2IO3</t>
  </si>
  <si>
    <t xml:space="preserve">IODODIFLUNISAL</t>
  </si>
  <si>
    <t xml:space="preserve">207850</t>
  </si>
  <si>
    <t xml:space="preserve">HMDB0253524</t>
  </si>
  <si>
    <t xml:space="preserve">4369563</t>
  </si>
  <si>
    <t xml:space="preserve">OC(=O)C1=C(O)C(I)=CC(=C1)C1=C(F)C=C(F)C=C1</t>
  </si>
  <si>
    <t xml:space="preserve">SSYOLLIRAAWGDJ-UHFFFAOYSA-N</t>
  </si>
  <si>
    <t xml:space="preserve">Biphenyls and derivatives</t>
  </si>
  <si>
    <t xml:space="preserve">375.02950</t>
  </si>
  <si>
    <t xml:space="preserve">C11H20N2O4S3</t>
  </si>
  <si>
    <t xml:space="preserve">Sulforaphane-N-acetylcysteine; Sulforaphane-N-acetyl-cysteine; Thujan-3-ol</t>
  </si>
  <si>
    <t xml:space="preserve">82936; 197211; 257506</t>
  </si>
  <si>
    <t xml:space="preserve">HMDB0061113; HMDB0240561; HMDB0304742</t>
  </si>
  <si>
    <t xml:space="preserve">983863; ; </t>
  </si>
  <si>
    <t xml:space="preserve">45040443; 71772353; 29987154</t>
  </si>
  <si>
    <t xml:space="preserve">CC(=O)NC(CSC(=S)NCCCCS(C)=O)C(O)=O; [H][C@@](CSC(S)=NCCCCS(C)=O)(N=C(C)O)C(O)=O; CC(O)=N[C@H](CSC(S)=NCCCC[S@](C)=O)C(O)=O</t>
  </si>
  <si>
    <t xml:space="preserve">IIHBKTCHILXGOT-UHFFFAOYSA-N; IIHBKTCHILXGOT-KMYGYIBBSA-N; IIHBKTCHILXGOT-YBYGRFCBSA-N</t>
  </si>
  <si>
    <t xml:space="preserve">375.15770</t>
  </si>
  <si>
    <t xml:space="preserve">C19H18N6</t>
  </si>
  <si>
    <t xml:space="preserve">4-({4-[(2,4,6-Trimethylphenyl)amino]-1,3,5-triazin-2-yl}amino)benzonitrile</t>
  </si>
  <si>
    <t xml:space="preserve">201627</t>
  </si>
  <si>
    <t xml:space="preserve">HMDB0246280</t>
  </si>
  <si>
    <t xml:space="preserve">486449</t>
  </si>
  <si>
    <t xml:space="preserve">CC1=CC(C)=C(NC2=NC=NC(NC3=CC=C(C=C3)C#N)=N2)C(C)=C1</t>
  </si>
  <si>
    <t xml:space="preserve">SOPKWXMQSHLEKD-UHFFFAOYSA-N</t>
  </si>
  <si>
    <t xml:space="preserve">375.22561</t>
  </si>
  <si>
    <t xml:space="preserve">C8H16N2O3</t>
  </si>
  <si>
    <t xml:space="preserve">Glycylleucine</t>
  </si>
  <si>
    <t xml:space="preserve">47205</t>
  </si>
  <si>
    <t xml:space="preserve">HMDB0000759</t>
  </si>
  <si>
    <t xml:space="preserve">5727</t>
  </si>
  <si>
    <t xml:space="preserve">C02155</t>
  </si>
  <si>
    <t xml:space="preserve">73514</t>
  </si>
  <si>
    <t xml:space="preserve">92843</t>
  </si>
  <si>
    <t xml:space="preserve">869-19-2</t>
  </si>
  <si>
    <t xml:space="preserve">CC(C)C[C@H](NC(=O)CN)C(O)=O</t>
  </si>
  <si>
    <t xml:space="preserve">DKEXFJVMVGETOO-LURJTMIESA-N</t>
  </si>
  <si>
    <t xml:space="preserve">376.10807</t>
  </si>
  <si>
    <t xml:space="preserve">C18H19N3O4</t>
  </si>
  <si>
    <t xml:space="preserve">Nitroxazepine; ethyl 15-methoxy-12-oxo-2,4,11-triazatetracyclo[11.4.0.0^{2,6}.0^{7,11}]heptadeca-1(13),3,5,14,16-pentaene-5-carboxylate; N-[[(5S)-3-(4,6-Dihydropyrrolo[1,2-a][4,1]benzoxazepin-8-yl)-2-oxo-1,3-oxazolidin-5-yl]methyl]acetamide</t>
  </si>
  <si>
    <t xml:space="preserve">209624; 206553; 213457</t>
  </si>
  <si>
    <t xml:space="preserve">HMDB0255668; HMDB0252024; HMDB0260332</t>
  </si>
  <si>
    <t xml:space="preserve">; 91920; </t>
  </si>
  <si>
    <t xml:space="preserve">27857; 4203080; </t>
  </si>
  <si>
    <t xml:space="preserve">CN(C)CCCN1C2=CC=CC=C2OC2=C(C=C(C=C2)[N+]([O-])=O)C1=O; CCOC(=O)C1=C2C3CCCN3C(=O)C3=C(C=CC(OC)=C3)N2C=N1; CC(=O)NCC1CN(C(=O)O1)C1=CC2=C(C=C1)N1C=CC=C1COC2</t>
  </si>
  <si>
    <t xml:space="preserve">CGYWLLGTCBIGSR-UHFFFAOYSA-N; YKYOQIXTECBVBB-UHFFFAOYSA-N; QXXKVYNZPDIMSW-UHFFFAOYSA-N</t>
  </si>
  <si>
    <t xml:space="preserve">Organic oxygen compounds; Organoheterocyclic compounds; Organoheterocyclic compounds</t>
  </si>
  <si>
    <t xml:space="preserve">Organooxygen compounds; Benzodiazepines; Azolidines</t>
  </si>
  <si>
    <t xml:space="preserve">Ethers; 1,4-benzodiazepines; Oxazolidines</t>
  </si>
  <si>
    <t xml:space="preserve">376.22254</t>
  </si>
  <si>
    <t xml:space="preserve">C19H35NO4</t>
  </si>
  <si>
    <t xml:space="preserve">trans-2-Dodecenoylcarnitine</t>
  </si>
  <si>
    <t xml:space="preserve">52250</t>
  </si>
  <si>
    <t xml:space="preserve">HMDB0013326</t>
  </si>
  <si>
    <t xml:space="preserve">89717</t>
  </si>
  <si>
    <t xml:space="preserve">53481671</t>
  </si>
  <si>
    <t xml:space="preserve">CCCCCCCCC\C=C\C(=O)O[C@@H](CCC([O-])=O)[N+](C)(C)C</t>
  </si>
  <si>
    <t xml:space="preserve">JEOZLTJHDSKQIT-CLVCIHKQSA-N</t>
  </si>
  <si>
    <t xml:space="preserve">377.02824</t>
  </si>
  <si>
    <t xml:space="preserve">C15H16O9</t>
  </si>
  <si>
    <t xml:space="preserve">6-[3-(2-carboxyeth-1-en-1-yl)phenoxy]-3,4,5-trihydroxyoxane-2-carboxylic acid</t>
  </si>
  <si>
    <t xml:space="preserve">144404</t>
  </si>
  <si>
    <t xml:space="preserve">HMDB0127983</t>
  </si>
  <si>
    <t xml:space="preserve">OC1C(OC2=CC=CC(C=CC(O)=O)=C2)OC(C(O)C1O)C(O)=O</t>
  </si>
  <si>
    <t xml:space="preserve">XPCHMFOWDFTFNV-UHFFFAOYSA-N</t>
  </si>
  <si>
    <t xml:space="preserve">377.09185</t>
  </si>
  <si>
    <t xml:space="preserve">C18H18N2O5</t>
  </si>
  <si>
    <t xml:space="preserve">Dictyoquinazol C</t>
  </si>
  <si>
    <t xml:space="preserve">63609</t>
  </si>
  <si>
    <t xml:space="preserve">HMDB0040442</t>
  </si>
  <si>
    <t xml:space="preserve">94945</t>
  </si>
  <si>
    <t xml:space="preserve">166519</t>
  </si>
  <si>
    <t xml:space="preserve">11099949</t>
  </si>
  <si>
    <t xml:space="preserve">COC1=CC2=C(C=C1)N(CN(C2=O)C1=CC=C(OC)C=C1CO)C=O</t>
  </si>
  <si>
    <t xml:space="preserve">RFAIUXGESYTSKG-UHFFFAOYSA-N</t>
  </si>
  <si>
    <t xml:space="preserve">377.16793</t>
  </si>
  <si>
    <t xml:space="preserve">C21H28N2OS</t>
  </si>
  <si>
    <t xml:space="preserve">3-Methylthiofentanyl; (+)-2-(Benzothiophen-4-yl)-N-methyl-N-((1R,2R)-2-pyrrolidin-1-ylcyclohexyl)acetamide</t>
  </si>
  <si>
    <t xml:space="preserve">83289; 198718</t>
  </si>
  <si>
    <t xml:space="preserve">HMDB0061718; HMDB0242240</t>
  </si>
  <si>
    <t xml:space="preserve">53763; </t>
  </si>
  <si>
    <t xml:space="preserve">62296; 10316246</t>
  </si>
  <si>
    <t xml:space="preserve">CCC(=O)N(C1CCN(CCC2=CC=CS2)CC1C)C1=CC=CC=C1; CN(C1CCCCC1N1CCCC1)C(=O)CC1=C2C=CSC2=CC=C1</t>
  </si>
  <si>
    <t xml:space="preserve">SRARDYUHGVMEQI-UHFFFAOYSA-N; SYHJZCCNQDFHJQ-UHFFFAOYSA-N</t>
  </si>
  <si>
    <t xml:space="preserve">Benzene and substituted derivatives; Benzothiophenes</t>
  </si>
  <si>
    <t xml:space="preserve">Anilides; 1-benzothiophenes</t>
  </si>
  <si>
    <t xml:space="preserve">377.22660</t>
  </si>
  <si>
    <t xml:space="preserve">C23H34O2</t>
  </si>
  <si>
    <t xml:space="preserve">4-(10,13-Dimethyl-2,3,4,5,6,7,8,9,11,12,14,17-dodecahydro-1H-cyclopenta[a]phenanthren-17-yl)oxolan-2-one; Retinyl propionate; Cardenolide</t>
  </si>
  <si>
    <t xml:space="preserve">211539; 210916; 204578</t>
  </si>
  <si>
    <t xml:space="preserve">HMDB0257932; HMDB0257180; HMDB0249669</t>
  </si>
  <si>
    <t xml:space="preserve">56977489; 94336; 22340795</t>
  </si>
  <si>
    <t xml:space="preserve">CC12CCC3C(CCC4CCCCC34C)C1C=CC2C1COC(=O)C1; CCC(=O)OCC=C(C)C=CC=C(C)C=CC1=C(C)CCCC1(C)C; CC12CCC3C(CCC4CCCCC34C)C1CCC2C1=CC(=O)OC1</t>
  </si>
  <si>
    <t xml:space="preserve">PHLRMGUUVNOKNG-UHFFFAOYSA-N; SFRPDSKECHTFQA-UHFFFAOYSA-N; JIUWTCXNUNHEGP-UHFFFAOYSA-N</t>
  </si>
  <si>
    <t xml:space="preserve">Steroids and steroid derivatives; Prenol lipids; Steroids and steroid derivatives</t>
  </si>
  <si>
    <t xml:space="preserve">Steroid lactones; Retinoids; Steroid lactones</t>
  </si>
  <si>
    <t xml:space="preserve">379.08625</t>
  </si>
  <si>
    <t xml:space="preserve">C18H22O8S</t>
  </si>
  <si>
    <t xml:space="preserve">Zearalenone 4-sulfate</t>
  </si>
  <si>
    <t xml:space="preserve">57835</t>
  </si>
  <si>
    <t xml:space="preserve">HMDB0033623</t>
  </si>
  <si>
    <t xml:space="preserve">89423</t>
  </si>
  <si>
    <t xml:space="preserve">45359500</t>
  </si>
  <si>
    <t xml:space="preserve">132505-04-5</t>
  </si>
  <si>
    <t xml:space="preserve">CC1CCCC(=O)CCC\C=C\C2=CC(OS(O)(=O)=O)=CC(O)=C2C(=O)O1</t>
  </si>
  <si>
    <t xml:space="preserve">GQAJNGUAQKYPCH-XVNBXDOJSA-N</t>
  </si>
  <si>
    <t xml:space="preserve">Macrolides and analogues</t>
  </si>
  <si>
    <t xml:space="preserve">Zearalenones</t>
  </si>
  <si>
    <t xml:space="preserve">379.17189</t>
  </si>
  <si>
    <t xml:space="preserve">C16H24N6O5</t>
  </si>
  <si>
    <t xml:space="preserve">[(2S,3S,5R)-3-Azido-5-(5-methyl-2,4-dioxopyrimidin-1-yl)oxolan-2-yl]methyl (2S,3S)-2-amino-3-methylpentanoate</t>
  </si>
  <si>
    <t xml:space="preserve">207674</t>
  </si>
  <si>
    <t xml:space="preserve">HMDB0253320</t>
  </si>
  <si>
    <t xml:space="preserve">44284846</t>
  </si>
  <si>
    <t xml:space="preserve">CCC(C)C(N)C(=O)OCC1OC(CC1N=[N+]=[N-])N1C=C(C)C(=O)NC1=O</t>
  </si>
  <si>
    <t xml:space="preserve">QUANSGVUESEHKX-UHFFFAOYSA-N</t>
  </si>
  <si>
    <t xml:space="preserve">379.25272</t>
  </si>
  <si>
    <t xml:space="preserve">C22H36O5</t>
  </si>
  <si>
    <t xml:space="preserve">Bisnorcholic acid</t>
  </si>
  <si>
    <t xml:space="preserve">46564</t>
  </si>
  <si>
    <t xml:space="preserve">HMDB0002082</t>
  </si>
  <si>
    <t xml:space="preserve">43151</t>
  </si>
  <si>
    <t xml:space="preserve">LMST04050005</t>
  </si>
  <si>
    <t xml:space="preserve">145219</t>
  </si>
  <si>
    <t xml:space="preserve">9547705</t>
  </si>
  <si>
    <t xml:space="preserve">C1[C@]2(C)[C@@]3([H])C[C@H](O)[C@]4(C)[C@@]([H])([C@]([H])(C)C(=O)O)CC[C@@]4([H])[C@]3([H])[C@H](O)C[C@]2([H])C[C@H](O)C1</t>
  </si>
  <si>
    <t xml:space="preserve">BBSJMECOWBMUCF-XPCRKILGSA-N</t>
  </si>
  <si>
    <t xml:space="preserve">Bile acids, alcohols and derivatives</t>
  </si>
  <si>
    <t xml:space="preserve">380.06097</t>
  </si>
  <si>
    <t xml:space="preserve">C9H14N5O7P</t>
  </si>
  <si>
    <t xml:space="preserve">Dihydroneopterin phosphate</t>
  </si>
  <si>
    <t xml:space="preserve">48895</t>
  </si>
  <si>
    <t xml:space="preserve">HMDB0006824</t>
  </si>
  <si>
    <t xml:space="preserve">3468</t>
  </si>
  <si>
    <t xml:space="preserve">C05925</t>
  </si>
  <si>
    <t xml:space="preserve">48954</t>
  </si>
  <si>
    <t xml:space="preserve">24771767</t>
  </si>
  <si>
    <t xml:space="preserve">19622-42-5</t>
  </si>
  <si>
    <t xml:space="preserve">NC1=NC(=O)C2=C(NCC(=N2)[C@H](O)[C@H](O)COP(O)(O)=O)N1</t>
  </si>
  <si>
    <t xml:space="preserve">PLSQMGZYOGSOCE-XINAWCOVSA-N</t>
  </si>
  <si>
    <t xml:space="preserve">381.10900</t>
  </si>
  <si>
    <t xml:space="preserve">C18H23O7P</t>
  </si>
  <si>
    <t xml:space="preserve">Amppd</t>
  </si>
  <si>
    <t xml:space="preserve">203471</t>
  </si>
  <si>
    <t xml:space="preserve">HMDB0248363</t>
  </si>
  <si>
    <t xml:space="preserve">COC1(OOC11C2CC3CC(C2)CC1C3)C1=CC(OP(O)(O)=O)=CC=C1</t>
  </si>
  <si>
    <t xml:space="preserve">XYIPYISRNJUPBA-UHFFFAOYSA-N</t>
  </si>
  <si>
    <t xml:space="preserve">381.19180</t>
  </si>
  <si>
    <t xml:space="preserve">C20H30O7</t>
  </si>
  <si>
    <t xml:space="preserve">Cinncassiol A</t>
  </si>
  <si>
    <t xml:space="preserve">59060</t>
  </si>
  <si>
    <t xml:space="preserve">HMDB0035164</t>
  </si>
  <si>
    <t xml:space="preserve">71840</t>
  </si>
  <si>
    <t xml:space="preserve">C17645</t>
  </si>
  <si>
    <t xml:space="preserve">12880072</t>
  </si>
  <si>
    <t xml:space="preserve">73599-11-8</t>
  </si>
  <si>
    <t xml:space="preserve">CC(CO)C1=C(C)C2(O)C(O)(C1)C1(C)CC(=O)OC22C(O)C(C)CCC12O</t>
  </si>
  <si>
    <t xml:space="preserve">WIFHAKQJYHVTQK-UHFFFAOYSA-N</t>
  </si>
  <si>
    <t xml:space="preserve">381.24562</t>
  </si>
  <si>
    <t xml:space="preserve">C25H34O3</t>
  </si>
  <si>
    <t xml:space="preserve">Apo-12'-violaxanthal</t>
  </si>
  <si>
    <t xml:space="preserve">58879</t>
  </si>
  <si>
    <t xml:space="preserve">HMDB0034953</t>
  </si>
  <si>
    <t xml:space="preserve">90326</t>
  </si>
  <si>
    <t xml:space="preserve">171885</t>
  </si>
  <si>
    <t xml:space="preserve">131751642</t>
  </si>
  <si>
    <t xml:space="preserve">C\C(C=O)=C\C=C\C=C(/C)\C=C\C=C(\C)/C=C/C12OC1(C)CC(O)CC2(C)C</t>
  </si>
  <si>
    <t xml:space="preserve">CAXVJDRXJFKYQP-RXCALXPUSA-N</t>
  </si>
  <si>
    <t xml:space="preserve">381.98863</t>
  </si>
  <si>
    <t xml:space="preserve">C14H9ClF3NO4</t>
  </si>
  <si>
    <t xml:space="preserve">8,14-Dihydroxyefavirenz</t>
  </si>
  <si>
    <t xml:space="preserve">202693</t>
  </si>
  <si>
    <t xml:space="preserve">HMDB0247467</t>
  </si>
  <si>
    <t xml:space="preserve">824692</t>
  </si>
  <si>
    <t xml:space="preserve">46781323</t>
  </si>
  <si>
    <t xml:space="preserve">OC1=NC2=C(C=C(Cl)C=C2O)C(O1)(C#CC1(O)CC1)C(F)(F)F</t>
  </si>
  <si>
    <t xml:space="preserve">WILFXLMJFSKQRP-UHFFFAOYSA-N</t>
  </si>
  <si>
    <t xml:space="preserve">382.10190</t>
  </si>
  <si>
    <t xml:space="preserve">C14H17N5O8</t>
  </si>
  <si>
    <t xml:space="preserve">Succinyladenosine</t>
  </si>
  <si>
    <t xml:space="preserve">47295</t>
  </si>
  <si>
    <t xml:space="preserve">HMDB0000912</t>
  </si>
  <si>
    <t xml:space="preserve">5867</t>
  </si>
  <si>
    <t xml:space="preserve">71169</t>
  </si>
  <si>
    <t xml:space="preserve">20849086</t>
  </si>
  <si>
    <t xml:space="preserve">4542-23-8</t>
  </si>
  <si>
    <t xml:space="preserve">OC[C@H]1O[C@H]([C@H](O)[C@@H]1O)N1C=NC2=C(N[C@@H](CC(O)=O)C(O)=O)N=CN=C12</t>
  </si>
  <si>
    <t xml:space="preserve">VKGZCEJTCKHMRL-VWJPMABRSA-N</t>
  </si>
  <si>
    <t xml:space="preserve">Purine nucleosides</t>
  </si>
  <si>
    <t xml:space="preserve">382.24432</t>
  </si>
  <si>
    <t xml:space="preserve">C20H35NOS</t>
  </si>
  <si>
    <t xml:space="preserve">suloctidil</t>
  </si>
  <si>
    <t xml:space="preserve">199000</t>
  </si>
  <si>
    <t xml:space="preserve">HMDB0242578</t>
  </si>
  <si>
    <t xml:space="preserve">43484</t>
  </si>
  <si>
    <t xml:space="preserve">5354</t>
  </si>
  <si>
    <t xml:space="preserve">54063-56-8</t>
  </si>
  <si>
    <t xml:space="preserve">CCCCCCCCNC(C)C(O)C1=CC=C(SC(C)C)C=C1</t>
  </si>
  <si>
    <t xml:space="preserve">BFCDFTHTSVTWOG-UHFFFAOYSA-N</t>
  </si>
  <si>
    <t xml:space="preserve">382.98508</t>
  </si>
  <si>
    <t xml:space="preserve">C20H12Cl2O5</t>
  </si>
  <si>
    <t xml:space="preserve">2,7-Dichlorofluorescin; dichlorodihydrofluorescein; Dichlorofluorescin</t>
  </si>
  <si>
    <t xml:space="preserve">205582; 205840; 205844</t>
  </si>
  <si>
    <t xml:space="preserve">HMDB0250892; HMDB0251190; HMDB0251194</t>
  </si>
  <si>
    <t xml:space="preserve">; 129650981; 129630296</t>
  </si>
  <si>
    <t xml:space="preserve">OC(=O)C1=CC=CC=C1C1C2=CC(Cl)=C(O)C=C2OC2=CC(O)=C(Cl)C=C12; OC1=CC2=C(C=C1)C1(OC(=O)C3=CC=CC=C13)C1=C(O2)C=C(O)C(Cl)C1Cl; OC(=O)C1=CC=CC=C1C1C2=C(OC3=CC(O)=C(Cl)C(Cl)=C13)C=C(O)C=C2</t>
  </si>
  <si>
    <t xml:space="preserve">XDFNWJDGWJVGGN-UHFFFAOYSA-N; YAYLCTBKTQQVRP-UHFFFAOYSA-N; SWWKTFQCNFDMIM-UHFFFAOYSA-N</t>
  </si>
  <si>
    <t xml:space="preserve">Benzopyrans; Benzopyrans; Benzopyrans</t>
  </si>
  <si>
    <t xml:space="preserve">1-benzopyrans; 1-benzopyrans; 1-benzopyrans</t>
  </si>
  <si>
    <t xml:space="preserve">383.05906</t>
  </si>
  <si>
    <t xml:space="preserve">C9H15N4O8P</t>
  </si>
  <si>
    <t xml:space="preserve">AICAR</t>
  </si>
  <si>
    <t xml:space="preserve">47627</t>
  </si>
  <si>
    <t xml:space="preserve">HMDB0001517</t>
  </si>
  <si>
    <t xml:space="preserve">6294</t>
  </si>
  <si>
    <t xml:space="preserve">C04677</t>
  </si>
  <si>
    <t xml:space="preserve">18406</t>
  </si>
  <si>
    <t xml:space="preserve">65110</t>
  </si>
  <si>
    <t xml:space="preserve">3031-94-5</t>
  </si>
  <si>
    <t xml:space="preserve">NC(=O)C1=C(N)N(C=N1)[C@@H]1O[C@H](COP(O)(O)=O)[C@@H](O)[C@H]1O</t>
  </si>
  <si>
    <t xml:space="preserve">NOTGFIUVDGNKRI-UUOKFMHZSA-N</t>
  </si>
  <si>
    <t xml:space="preserve">383.11578</t>
  </si>
  <si>
    <t xml:space="preserve">C21H23ClN2O4</t>
  </si>
  <si>
    <t xml:space="preserve">Rafabegron</t>
  </si>
  <si>
    <t xml:space="preserve">210848</t>
  </si>
  <si>
    <t xml:space="preserve">HMDB0257097</t>
  </si>
  <si>
    <t xml:space="preserve">9844080</t>
  </si>
  <si>
    <t xml:space="preserve">CC(CC1=CNC2=C1C=CC=C2OCC(O)=O)NCC(O)C1=CC(Cl)=CC=C1</t>
  </si>
  <si>
    <t xml:space="preserve">FHEYFIGWYQJVDR-UHFFFAOYSA-N</t>
  </si>
  <si>
    <t xml:space="preserve">Phenoxyacetic acid derivatives</t>
  </si>
  <si>
    <t xml:space="preserve">384.02497</t>
  </si>
  <si>
    <t xml:space="preserve">C12H11N7O4S</t>
  </si>
  <si>
    <t xml:space="preserve">Hydroxytriamterene sulfate</t>
  </si>
  <si>
    <t xml:space="preserve">207655</t>
  </si>
  <si>
    <t xml:space="preserve">HMDB0253297</t>
  </si>
  <si>
    <t xml:space="preserve">162951</t>
  </si>
  <si>
    <t xml:space="preserve">1476-48-8</t>
  </si>
  <si>
    <t xml:space="preserve">NC1=NC(N)=C2N=C(C(N)=NC2=N1)C1=CC=C(OS(O)(=O)=O)C=C1</t>
  </si>
  <si>
    <t xml:space="preserve">UGLZTFAGJYBEIZ-UHFFFAOYSA-N</t>
  </si>
  <si>
    <t xml:space="preserve">384.22113</t>
  </si>
  <si>
    <t xml:space="preserve">C23H31NO4</t>
  </si>
  <si>
    <t xml:space="preserve">Stachyflin</t>
  </si>
  <si>
    <t xml:space="preserve">211984</t>
  </si>
  <si>
    <t xml:space="preserve">HMDB0258481</t>
  </si>
  <si>
    <t xml:space="preserve">78193654</t>
  </si>
  <si>
    <t xml:space="preserve">CC1CCC2C(C)(C)C(O)CCC22OC3=C(CC12C)C(O)=CC1=C3CNC1=O</t>
  </si>
  <si>
    <t xml:space="preserve">KUWCILGWLAWLGB-UHFFFAOYSA-N</t>
  </si>
  <si>
    <t xml:space="preserve">384.99492</t>
  </si>
  <si>
    <t xml:space="preserve">C6H14O12P2</t>
  </si>
  <si>
    <t xml:space="preserve">Fructose-1,6-diphosphate</t>
  </si>
  <si>
    <t xml:space="preserve">199761</t>
  </si>
  <si>
    <t xml:space="preserve">HMDB0244240</t>
  </si>
  <si>
    <t xml:space="preserve">OC1C(O)C(O)(COP(O)(O)=O)OC1COP(O)(O)=O</t>
  </si>
  <si>
    <t xml:space="preserve">RNBGYGVWRKECFJ-UHFFFAOYSA-N</t>
  </si>
  <si>
    <t xml:space="preserve">385.17436</t>
  </si>
  <si>
    <t xml:space="preserve">C21H26N2O5</t>
  </si>
  <si>
    <t xml:space="preserve">Olodaterol</t>
  </si>
  <si>
    <t xml:space="preserve">209861</t>
  </si>
  <si>
    <t xml:space="preserve">HMDB0255957</t>
  </si>
  <si>
    <t xml:space="preserve">9800339</t>
  </si>
  <si>
    <t xml:space="preserve">COC1=CC=C(CC(C)(C)NCC(O)C2=CC(O)=CC3=C2OCC(=O)N3)C=C1</t>
  </si>
  <si>
    <t xml:space="preserve">COUYJEVMBVSIHV-UHFFFAOYSA-N</t>
  </si>
  <si>
    <t xml:space="preserve">Benzoxazinones</t>
  </si>
  <si>
    <t xml:space="preserve">385.23213</t>
  </si>
  <si>
    <t xml:space="preserve">C21H36FO3P</t>
  </si>
  <si>
    <t xml:space="preserve">1-[Fluoro(methoxy)phosphoryl]oxyicosa-5,8,11,14-tetraene</t>
  </si>
  <si>
    <t xml:space="preserve">213383</t>
  </si>
  <si>
    <t xml:space="preserve">HMDB0260245</t>
  </si>
  <si>
    <t xml:space="preserve">53442591</t>
  </si>
  <si>
    <t xml:space="preserve">CCCCCC=CCC=CCC=CCC=CCCCCOP(F)(=O)OC</t>
  </si>
  <si>
    <t xml:space="preserve">HNVKMEOEBANRAT-UHFFFAOYSA-N</t>
  </si>
  <si>
    <t xml:space="preserve">385.26395</t>
  </si>
  <si>
    <t xml:space="preserve">C25H40O2S</t>
  </si>
  <si>
    <t xml:space="preserve">mepitiostane</t>
  </si>
  <si>
    <t xml:space="preserve">208571</t>
  </si>
  <si>
    <t xml:space="preserve">HMDB0254455</t>
  </si>
  <si>
    <t xml:space="preserve">4061</t>
  </si>
  <si>
    <t xml:space="preserve">COC1(CCCC1)OC1CCC2C3CCC4CC5SC5CC4(C)C3CCC12C</t>
  </si>
  <si>
    <t xml:space="preserve">IVDYZAAPOLNZKG-UHFFFAOYSA-N</t>
  </si>
  <si>
    <t xml:space="preserve">386.02100</t>
  </si>
  <si>
    <t xml:space="preserve">C17H18ClNOS2</t>
  </si>
  <si>
    <t xml:space="preserve">N-[4-Chloro-3-(3-methylbut-2-enoxy)phenyl]-2-methylthiophene-3-carbothioamide</t>
  </si>
  <si>
    <t xml:space="preserve">212749</t>
  </si>
  <si>
    <t xml:space="preserve">HMDB0259382</t>
  </si>
  <si>
    <t xml:space="preserve">3000927</t>
  </si>
  <si>
    <t xml:space="preserve">CC(C)=CCOC1=C(Cl)C=CC(NC(=S)C2=C(C)SC=C2)=C1</t>
  </si>
  <si>
    <t xml:space="preserve">ORTIQSICVORWBJ-UHFFFAOYSA-N</t>
  </si>
  <si>
    <t xml:space="preserve">386.24176</t>
  </si>
  <si>
    <t xml:space="preserve">C17H35N5O6</t>
  </si>
  <si>
    <t xml:space="preserve">Astromicin</t>
  </si>
  <si>
    <t xml:space="preserve">203727</t>
  </si>
  <si>
    <t xml:space="preserve">HMDB0248678</t>
  </si>
  <si>
    <t xml:space="preserve">2248</t>
  </si>
  <si>
    <t xml:space="preserve">COC1C(O)C(N)C(OC2OC(CCC2N)C(C)N)C(O)C1N(C)C(=O)CN</t>
  </si>
  <si>
    <t xml:space="preserve">BIDUPMYXGFNAEJ-UHFFFAOYSA-N</t>
  </si>
  <si>
    <t xml:space="preserve">387.01830</t>
  </si>
  <si>
    <t xml:space="preserve">C12H14O13</t>
  </si>
  <si>
    <t xml:space="preserve">Fructose citrate; Glucose citrate; 2-(3,4-Dicarboxy-3-hydroxybutanoyl)oxypropane-1,2,3-tricarboxylic acid</t>
  </si>
  <si>
    <t xml:space="preserve">206971; 207212; 211424</t>
  </si>
  <si>
    <t xml:space="preserve">HMDB0252489; HMDB0252775; HMDB0257792</t>
  </si>
  <si>
    <t xml:space="preserve">; ; 17938267</t>
  </si>
  <si>
    <t xml:space="preserve">OCC1(O)OC23OC(=O)CC(O)(CC(=O)OC2(O)C(O)C1O)C(=O)O3; OCC1OC2(O)OC(=O)CC3(O)CC(=O)OC(O)(C1O)C2(O)OC3=O; OC(=O)CC(O)(CC(=O)OC(CC(O)=O)(CC(O)=O)C(O)=O)C(O)=O</t>
  </si>
  <si>
    <t xml:space="preserve">UNRCWDYUIXYGGB-UHFFFAOYSA-N; DDUFRMAOKQZJSP-UHFFFAOYSA-N; XETDEOPIDAAQST-UHFFFAOYSA-N</t>
  </si>
  <si>
    <t xml:space="preserve">Tricarboxylic acids and derivatives; Tricarboxylic acids and derivatives; Hexacarboxylic acids and derivatives</t>
  </si>
  <si>
    <t xml:space="preserve">387.15433</t>
  </si>
  <si>
    <t xml:space="preserve">C16H20N8O4</t>
  </si>
  <si>
    <t xml:space="preserve">1,3,7-Trimethyl-8-(1,3,7-trimethyl-2,6-dioxo-8H-purin-9-yl)purine-2,6-dione</t>
  </si>
  <si>
    <t xml:space="preserve">211622</t>
  </si>
  <si>
    <t xml:space="preserve">HMDB0258028</t>
  </si>
  <si>
    <t xml:space="preserve">56984580</t>
  </si>
  <si>
    <t xml:space="preserve">CN1CN(C2=NC3=C(N2C)C(=O)N(C)C(=O)N3C)C2=C1C(=O)N(C)C(=O)N2C</t>
  </si>
  <si>
    <t xml:space="preserve">GRDCWACKXCOSTG-UHFFFAOYSA-N</t>
  </si>
  <si>
    <t xml:space="preserve">387.19799</t>
  </si>
  <si>
    <t xml:space="preserve">C23H32O3S</t>
  </si>
  <si>
    <t xml:space="preserve">7alpha-Thiomethylspironolactone</t>
  </si>
  <si>
    <t xml:space="preserve">201590</t>
  </si>
  <si>
    <t xml:space="preserve">HMDB0246238</t>
  </si>
  <si>
    <t xml:space="preserve">143452</t>
  </si>
  <si>
    <t xml:space="preserve">14078922</t>
  </si>
  <si>
    <t xml:space="preserve">CSC1CC2=CC(=O)CCC2(C)C2CCC3(C)C(CCC33CCC(=O)O3)C12</t>
  </si>
  <si>
    <t xml:space="preserve">FWRDLPQBEOKIRE-UHFFFAOYSA-N</t>
  </si>
  <si>
    <t xml:space="preserve">Steroid lactones</t>
  </si>
  <si>
    <t xml:space="preserve">387.23940</t>
  </si>
  <si>
    <t xml:space="preserve">C20H36O7</t>
  </si>
  <si>
    <t xml:space="preserve">5,6-Dihydroxyprostaglandin F1a</t>
  </si>
  <si>
    <t xml:space="preserve">51835</t>
  </si>
  <si>
    <t xml:space="preserve">HMDB0012109</t>
  </si>
  <si>
    <t xml:space="preserve">C06475</t>
  </si>
  <si>
    <t xml:space="preserve">139312</t>
  </si>
  <si>
    <t xml:space="preserve">6439819</t>
  </si>
  <si>
    <t xml:space="preserve">11000-26-3</t>
  </si>
  <si>
    <t xml:space="preserve">CCCCC[C@H](O)\C=C\[C@H]1[C@H](O)C[C@H](O)[C@@H]1CC(O)C(O)CCCC(O)=O</t>
  </si>
  <si>
    <t xml:space="preserve">SAAOVBGAFHJPIF-NYNACFBQSA-N</t>
  </si>
  <si>
    <t xml:space="preserve">387.28203</t>
  </si>
  <si>
    <t xml:space="preserve">C20H38O4</t>
  </si>
  <si>
    <t xml:space="preserve">Medica 16; Eicosanedioic acid; 1,2-Ethanediol monoricinoleate</t>
  </si>
  <si>
    <t xml:space="preserve">208525; 2849; 206597</t>
  </si>
  <si>
    <t xml:space="preserve">HMDB0254402; HMDB0242141; HMDB0252073</t>
  </si>
  <si>
    <t xml:space="preserve">62960; 35987; </t>
  </si>
  <si>
    <t xml:space="preserve">; LMFA01170035; </t>
  </si>
  <si>
    <t xml:space="preserve">149582; 73728; </t>
  </si>
  <si>
    <t xml:space="preserve">121871; 75502; 3084042</t>
  </si>
  <si>
    <t xml:space="preserve">87272-20-6; ; </t>
  </si>
  <si>
    <t xml:space="preserve">CC(C)(CCCCCCCCCCC(C)(C)CC(O)=O)CC(O)=O; C(CCCCCCCCCCCCCCCCCCC(=O)O)(=O)O; CCCCCCC(O)CC=CCCCCCCCC(=O)OCCO</t>
  </si>
  <si>
    <t xml:space="preserve">HYSMCRNFENOHJH-UHFFFAOYSA-N; JJOJFIHJIRWASH-UHFFFAOYSA-N; XLMXUUQMSMKFMH-UHFFFAOYSA-N</t>
  </si>
  <si>
    <t xml:space="preserve">Fatty acids and conjugates; Fatty acids and conjugates; Fatty alcohols</t>
  </si>
  <si>
    <t xml:space="preserve">388.92422</t>
  </si>
  <si>
    <t xml:space="preserve">C10H16Br2N2O2</t>
  </si>
  <si>
    <t xml:space="preserve">Pipobroman</t>
  </si>
  <si>
    <t xml:space="preserve">52634</t>
  </si>
  <si>
    <t xml:space="preserve">HMDB0014381</t>
  </si>
  <si>
    <t xml:space="preserve">44132</t>
  </si>
  <si>
    <t xml:space="preserve">C07362</t>
  </si>
  <si>
    <t xml:space="preserve">8242</t>
  </si>
  <si>
    <t xml:space="preserve">4842</t>
  </si>
  <si>
    <t xml:space="preserve">54-91-1</t>
  </si>
  <si>
    <t xml:space="preserve">BrCCC(=O)N1CCN(CC1)C(=O)CCBr</t>
  </si>
  <si>
    <t xml:space="preserve">NJBFOOCLYDNZJN-UHFFFAOYSA-N</t>
  </si>
  <si>
    <t xml:space="preserve">389.02715</t>
  </si>
  <si>
    <t xml:space="preserve">C15H14O10</t>
  </si>
  <si>
    <t xml:space="preserve">2-O-p-Coumaroylhydroxycitric acid</t>
  </si>
  <si>
    <t xml:space="preserve">63719</t>
  </si>
  <si>
    <t xml:space="preserve">HMDB0040570</t>
  </si>
  <si>
    <t xml:space="preserve">95055</t>
  </si>
  <si>
    <t xml:space="preserve">175529</t>
  </si>
  <si>
    <t xml:space="preserve">131752858</t>
  </si>
  <si>
    <t xml:space="preserve">62345-85-1</t>
  </si>
  <si>
    <t xml:space="preserve">OC(=O)CC(O)(C(OC(=O)\C=C\C1=CC=C(O)C=C1)C(O)=O)C(O)=O</t>
  </si>
  <si>
    <t xml:space="preserve">ZHUVVSHTKJAVQB-ZZXKWVIFSA-N</t>
  </si>
  <si>
    <t xml:space="preserve">Cinnamic acids and derivatives</t>
  </si>
  <si>
    <t xml:space="preserve">Hydroxycinnamic acids and derivatives</t>
  </si>
  <si>
    <t xml:space="preserve">389.13911</t>
  </si>
  <si>
    <t xml:space="preserve">C19H22N4O3</t>
  </si>
  <si>
    <t xml:space="preserve">3-(4-(2-Dimethylamino-1-methylethoxy)phenyl)-1H-pyrazolo(3,4-b)pyridine-1-acetic acid; Iclaprim</t>
  </si>
  <si>
    <t xml:space="preserve">200123; 207707</t>
  </si>
  <si>
    <t xml:space="preserve">HMDB0244637; HMDB0253366</t>
  </si>
  <si>
    <t xml:space="preserve">; 131751</t>
  </si>
  <si>
    <t xml:space="preserve">126855; </t>
  </si>
  <si>
    <t xml:space="preserve">CC(CN(C)C)OC1=CC=C(C=C1)C1=NN(CC(O)=O)C2=C1C=CC=N2; COC1=C(OC)C2=C(C=CC(O2)C2CC2)C(CC2=CN=C(N)N=C2N)=C1</t>
  </si>
  <si>
    <t xml:space="preserve">DYLPVOLNSXUKPG-UHFFFAOYSA-N; HWJPWWYTGBZDEG-UHFFFAOYSA-N</t>
  </si>
  <si>
    <t xml:space="preserve">Azoles; Benzopyrans</t>
  </si>
  <si>
    <t xml:space="preserve">Pyrazoles; 1-benzopyrans</t>
  </si>
  <si>
    <t xml:space="preserve">389.25091</t>
  </si>
  <si>
    <t xml:space="preserve">C27H34O2</t>
  </si>
  <si>
    <t xml:space="preserve">1-(4-Hydroxyphenyl)-4,8-dimethyl-10-(2,6,6-trimethylcyclohexen-1-yl)deca-3,5,7,9-tetraen-2-one</t>
  </si>
  <si>
    <t xml:space="preserve">211338</t>
  </si>
  <si>
    <t xml:space="preserve">HMDB0257688</t>
  </si>
  <si>
    <t xml:space="preserve">54436344</t>
  </si>
  <si>
    <t xml:space="preserve">CC(C=CC1=C(C)CCCC1(C)C)=CC=CC(C)=CC(=O)CC1=CC=C(O)C=C1</t>
  </si>
  <si>
    <t xml:space="preserve">WKZPWMRGEOWZTC-UHFFFAOYSA-N</t>
  </si>
  <si>
    <t xml:space="preserve">390.91768</t>
  </si>
  <si>
    <t xml:space="preserve">C6H12O13P2</t>
  </si>
  <si>
    <t xml:space="preserve">(2S,4R,5S)-4,5,6-Trihydroxy-2-[hydroxy(phosphonooxy)phosphoryl]oxy-3-oxohexanoic acid; Diphosphoglucuronic acid</t>
  </si>
  <si>
    <t xml:space="preserve">213294; 206084</t>
  </si>
  <si>
    <t xml:space="preserve">HMDB0260134; HMDB0251462</t>
  </si>
  <si>
    <t xml:space="preserve">OCC(O)C(O)C(=O)C(OP(O)(=O)OP(O)(O)=O)C(O)=O; OC(C(O)C(OP(O)(=O)OP(O)(O)=O)C=O)C(O)C(O)=O</t>
  </si>
  <si>
    <t xml:space="preserve">MWKCAAZRJZZSMC-UHFFFAOYSA-N; CHFARGCSMZFGRG-UHFFFAOYSA-N</t>
  </si>
  <si>
    <t xml:space="preserve">Organic oxoanionic compounds; Organooxygen compounds</t>
  </si>
  <si>
    <t xml:space="preserve">Organic pyrophosphates; Carbohydrates and carbohydrate conjugates</t>
  </si>
  <si>
    <t xml:space="preserve">391.16668</t>
  </si>
  <si>
    <t xml:space="preserve">C23H26N2O5</t>
  </si>
  <si>
    <t xml:space="preserve">Quinaprilat</t>
  </si>
  <si>
    <t xml:space="preserve">64992</t>
  </si>
  <si>
    <t xml:space="preserve">HMDB0042005</t>
  </si>
  <si>
    <t xml:space="preserve">2217</t>
  </si>
  <si>
    <t xml:space="preserve">140296</t>
  </si>
  <si>
    <t xml:space="preserve">107994</t>
  </si>
  <si>
    <t xml:space="preserve">82768-85-2</t>
  </si>
  <si>
    <t xml:space="preserve">[H][C@@](C)(N[C@@]([H])(CCC1=CC=CC=C1)C(O)=O)C(=O)N1CC2=CC=CC=C2C[C@@]1([H])C(O)=O</t>
  </si>
  <si>
    <t xml:space="preserve">FLSLEGPOVLMJMN-YSSFQJQWSA-N</t>
  </si>
  <si>
    <t xml:space="preserve">391.25725</t>
  </si>
  <si>
    <t xml:space="preserve">C9H16N4O</t>
  </si>
  <si>
    <t xml:space="preserve">[3-[(2R,6S)-2,6-Dimethylpiperidin-1-yl]-4H-oxadiazol-3-ium-5-ylidene]azanide</t>
  </si>
  <si>
    <t xml:space="preserve">204595</t>
  </si>
  <si>
    <t xml:space="preserve">HMDB0249694</t>
  </si>
  <si>
    <t xml:space="preserve">20083384</t>
  </si>
  <si>
    <t xml:space="preserve">CC1CCCC(C)N1[N+]1=NOC(=[N-])C1</t>
  </si>
  <si>
    <t xml:space="preserve">MLFRXXQBXBQMKQ-UHFFFAOYSA-N</t>
  </si>
  <si>
    <t xml:space="preserve">393.26732</t>
  </si>
  <si>
    <t xml:space="preserve">C23H38O5</t>
  </si>
  <si>
    <t xml:space="preserve">2-(14,15-Epoxyeicosatrienoyl) Glycerol; 11-Hydroxyeicosatetraenoate glyceryl ester</t>
  </si>
  <si>
    <t xml:space="preserve">52416; 52038</t>
  </si>
  <si>
    <t xml:space="preserve">HMDB0013651; HMDB0012530</t>
  </si>
  <si>
    <t xml:space="preserve">44863; 85230</t>
  </si>
  <si>
    <t xml:space="preserve">132121; 171687</t>
  </si>
  <si>
    <t xml:space="preserve">53481916; 53481455</t>
  </si>
  <si>
    <t xml:space="preserve">848667-56-1; </t>
  </si>
  <si>
    <t xml:space="preserve">CCCCCC1OC1C\C=C/C\C=C/C\C=C/CCCC(=O)OC(CO)CO; CCCCC\C=C/C=C/[C@@H](O)C\C=C/C\C=C/CCCC(=O)OC(CO)CO</t>
  </si>
  <si>
    <t xml:space="preserve">LPMVKZXODWQHGJ-ILYOTBPNSA-N; SSHLWLAPLZCWOT-XYOZOUKRSA-N</t>
  </si>
  <si>
    <t xml:space="preserve">Glycerolipids; Endocannabinoids</t>
  </si>
  <si>
    <t xml:space="preserve">Monoradylglycerols; Unclassified</t>
  </si>
  <si>
    <t xml:space="preserve">395.09829</t>
  </si>
  <si>
    <t xml:space="preserve">C18H22O11</t>
  </si>
  <si>
    <t xml:space="preserve">5-(3',4',5'-trihydroxyphenyl)-gamma-valerolactone-O-methyl-5'-O-glucuronide; 5-(3',4',5'-trihydroxyphenyl)-gamma-valerolactone-O-methyl-4'-O-glucuronide</t>
  </si>
  <si>
    <t xml:space="preserve">82042; 82041</t>
  </si>
  <si>
    <t xml:space="preserve">HMDB0060028; HMDB0060027</t>
  </si>
  <si>
    <t xml:space="preserve">89550; 89549</t>
  </si>
  <si>
    <t xml:space="preserve">124202099; 124202098</t>
  </si>
  <si>
    <t xml:space="preserve">COC1=C(O)C(O[C@H]2O[C@H]([C@H](O)[C@@H](O)[C@@H]2O)C(O)=O)=CC(CC2CCC(=O)O2)=C1; COC1=C(O[C@H]2O[C@H]([C@H](O)[C@@H](O)[C@@H]2O)C(O)=O)C(O)=CC(CC2CCC(=O)O2)=C1</t>
  </si>
  <si>
    <t xml:space="preserve">KPVLDYMZFUPBJG-VHXBZSDJSA-N; OQZAGOJJVQJMIE-ZTPQVCSDSA-N</t>
  </si>
  <si>
    <t xml:space="preserve">Carbohydrates and carbohydrate conjugates; Carbohydrates and carbohydrate conjugates</t>
  </si>
  <si>
    <t xml:space="preserve">395.23402</t>
  </si>
  <si>
    <t xml:space="preserve">C23H30N2O</t>
  </si>
  <si>
    <t xml:space="preserve">(+)-cis-3-Methylfentanyl; Butanamide, N-phenyl-N-[1-(2-phenylethyl)-4-piperidinyl]-; N-[(S)-[1-(Dimethylamino)cyclopentyl](phenyl)methyl]-2,6-dimethylbenzamide</t>
  </si>
  <si>
    <t xml:space="preserve">199166; 199924; 207368</t>
  </si>
  <si>
    <t xml:space="preserve">HMDB0243534; HMDB0244419; HMDB0252959</t>
  </si>
  <si>
    <t xml:space="preserve">61092; ; </t>
  </si>
  <si>
    <t xml:space="preserve">61996; 621174; 11624468</t>
  </si>
  <si>
    <t xml:space="preserve">CCC(=O)N(C1CCN(CCC2=CC=CC=C2)CC1C)C1=CC=CC=C1; CCCC(=O)N(C1CCN(CCC2=CC=CC=C2)CC1)C1=CC=CC=C1; CN(C)C1(CCCC1)C(NC(=O)C1=C(C)C=CC=C1C)C1=CC=CC=C1</t>
  </si>
  <si>
    <t xml:space="preserve">MLQRZXNZHAOCHQ-UHFFFAOYSA-N; QQOMYEQLWQJRKK-UHFFFAOYSA-N; BMXRRRIDMAIEKX-UHFFFAOYSA-N</t>
  </si>
  <si>
    <t xml:space="preserve">Organoheterocyclic compounds; Organoheterocyclic compounds; Benzenoids</t>
  </si>
  <si>
    <t xml:space="preserve">Piperidines; Piperidines; Benzene and substituted derivatives</t>
  </si>
  <si>
    <t xml:space="preserve">Fentanyls; Fentanyls; Benzoic acids and derivatives</t>
  </si>
  <si>
    <t xml:space="preserve">395.28004</t>
  </si>
  <si>
    <t xml:space="preserve">C22H38O3</t>
  </si>
  <si>
    <t xml:space="preserve">3,4-Dimethyl-5-pentyl-2-furanundecanoic acid; 3,4-Dimethyl-5-propyl-2-furantridecanoic acid</t>
  </si>
  <si>
    <t xml:space="preserve">2619; 2632</t>
  </si>
  <si>
    <t xml:space="preserve">HMDB0031126; HMDB0112078</t>
  </si>
  <si>
    <t xml:space="preserve">45904; 922615</t>
  </si>
  <si>
    <t xml:space="preserve">LMFA01150002; LMFA01150019</t>
  </si>
  <si>
    <t xml:space="preserve">13963867; 71374382</t>
  </si>
  <si>
    <t xml:space="preserve">57818-36-7; 116627-43-1</t>
  </si>
  <si>
    <t xml:space="preserve">C(O)(=O)CCCCCCCCCCC1OC(CCCCC)=C(C)C=1C; CCCC1=C(C)C(C)=C(CCCCCCCCCCCCC(=O)O)O1</t>
  </si>
  <si>
    <t xml:space="preserve">MCTXSZNBSIMKTO-UHFFFAOYSA-N; IGZNOKSSNQTWMY-UHFFFAOYSA-N</t>
  </si>
  <si>
    <t xml:space="preserve">396.99733</t>
  </si>
  <si>
    <t xml:space="preserve">C9H15O13P</t>
  </si>
  <si>
    <t xml:space="preserve">fructose-6-phosphate lactate</t>
  </si>
  <si>
    <t xml:space="preserve">206974</t>
  </si>
  <si>
    <t xml:space="preserve">HMDB0252492</t>
  </si>
  <si>
    <t xml:space="preserve">CC(O)C(=O)OOP1(=O)OC2(O1)OC(O)(CO)C(O)C(O)C2O</t>
  </si>
  <si>
    <t xml:space="preserve">CYIQBIVJURIZDH-UHFFFAOYSA-N</t>
  </si>
  <si>
    <t xml:space="preserve">397.10519</t>
  </si>
  <si>
    <t xml:space="preserve">C19H22O7</t>
  </si>
  <si>
    <t xml:space="preserve">Gibberellin A93; Gibberellin A21; Diosbulbin C</t>
  </si>
  <si>
    <t xml:space="preserve">55940; 58969; 60453</t>
  </si>
  <si>
    <t xml:space="preserve">HMDB0031366; HMDB0035050; HMDB0036778</t>
  </si>
  <si>
    <t xml:space="preserve">; 90405; 91798</t>
  </si>
  <si>
    <t xml:space="preserve">; 101603106; 15559045</t>
  </si>
  <si>
    <t xml:space="preserve">188895-39-8; 18450-93-6; 20086-07-1</t>
  </si>
  <si>
    <t xml:space="preserve">[H][C@@]12CC[C@]3(O)C[C@]1(CC3=C)[C@@H](C(O)=O)[C@]1([H])[C@@]3(C)[C@H]4O[C@H]4[C@@H](O)[C@@]21OC3=O; [H][C@@]12CC[C@]3(O)C[C@]1(CC3=C)[C@@H](C(O)=O)[C@@]1([H])[C@@]22CCC[C@@]1(C(O)=O)C(=O)O2; CC12CC(OC11CC(OC1=O)C1C(CC(O)CC21)C(O)=O)C1=COC=C1</t>
  </si>
  <si>
    <t xml:space="preserve">GHWOQFZWXKNOMS-NRZJQWMRSA-N; HILUWRPVFKJTAD-ZGHMGGRHSA-N; UYALWPKCIMKALF-UHFFFAOYSA-N</t>
  </si>
  <si>
    <t xml:space="preserve">Lipids and lipid-like molecules; Lipids and lipid-like molecules; Organoheterocyclic compounds</t>
  </si>
  <si>
    <t xml:space="preserve">Prenol lipids; Prenol lipids; Naphthofurans</t>
  </si>
  <si>
    <t xml:space="preserve">Diterpenoids; Diterpenoids; Unclassified</t>
  </si>
  <si>
    <t xml:space="preserve">397.18041</t>
  </si>
  <si>
    <t xml:space="preserve">C19H30N2O5S</t>
  </si>
  <si>
    <t xml:space="preserve">Moveltipril</t>
  </si>
  <si>
    <t xml:space="preserve">208962</t>
  </si>
  <si>
    <t xml:space="preserve">HMDB0254905</t>
  </si>
  <si>
    <t xml:space="preserve">9962607</t>
  </si>
  <si>
    <t xml:space="preserve">CC(CSC(=O)C(C)NC(=O)C1CCCCC1)C(=O)N1CCCC1C(O)=O</t>
  </si>
  <si>
    <t xml:space="preserve">QIJLJZOGPPQCOG-UHFFFAOYSA-N</t>
  </si>
  <si>
    <t xml:space="preserve">399.19367</t>
  </si>
  <si>
    <t xml:space="preserve">C21H32O5</t>
  </si>
  <si>
    <t xml:space="preserve">Dihydrocortisol; 11b,17a,21-Trihydroxypreg-nenolone; 3a,11b,21-Trihydroxy-20-oxo-5b-pregnan-18-al</t>
  </si>
  <si>
    <t xml:space="preserve">45071; 48865; 48862</t>
  </si>
  <si>
    <t xml:space="preserve">HMDB0003259; HMDB0006760; HMDB0006753</t>
  </si>
  <si>
    <t xml:space="preserve">3173; ; </t>
  </si>
  <si>
    <t xml:space="preserve">LMST02030204; ; </t>
  </si>
  <si>
    <t xml:space="preserve">C05471; C05489; C05474</t>
  </si>
  <si>
    <t xml:space="preserve">732; ; </t>
  </si>
  <si>
    <t xml:space="preserve">164838; 440708; 440695</t>
  </si>
  <si>
    <t xml:space="preserve">1482-50-4; ; </t>
  </si>
  <si>
    <t xml:space="preserve">[C@@]12([H])CC[C@]3([H])CC(=O)CC[C@]3(C)[C@@]1([H])[C@@H](O)C[C@]1(C)[C@@](O)(C(CO)=O)CC[C@@]21[H]; CC12CC(O)C3C(CC=C4CC(O)CCC34C)C1CC[C@]2(O)C(=O)CO; CC12CC[C@@H](O)CC1CCC1C3CCC(C(=O)CO)C3(CC(O)C21)C=O</t>
  </si>
  <si>
    <t xml:space="preserve">ACSFOIGNUQUIGE-AIPUTVCKSA-N; HAFVWTUQBYRPOB-QGGNSXJXSA-N; YWTDWORQGPLRLL-NDCWLUSSSA-N</t>
  </si>
  <si>
    <t xml:space="preserve">Steroids and steroid derivatives; Steroids and steroid derivatives; Steroids and steroid derivatives</t>
  </si>
  <si>
    <t xml:space="preserve">Hydroxysteroids; Hydroxysteroids; Hydroxysteroids</t>
  </si>
  <si>
    <t xml:space="preserve">399.26599</t>
  </si>
  <si>
    <t xml:space="preserve">C24H38N2O4</t>
  </si>
  <si>
    <t xml:space="preserve">Valbenazine</t>
  </si>
  <si>
    <t xml:space="preserve">212991</t>
  </si>
  <si>
    <t xml:space="preserve">HMDB0259744</t>
  </si>
  <si>
    <t xml:space="preserve">24984318</t>
  </si>
  <si>
    <t xml:space="preserve">COC1=C(OC)C=C2C3CC(OC(=O)C(N)C(C)C)C(CC(C)C)CN3CCC2=C1</t>
  </si>
  <si>
    <t xml:space="preserve">GEJDGVNQKABXKG-UHFFFAOYSA-N</t>
  </si>
  <si>
    <t xml:space="preserve">400.00639</t>
  </si>
  <si>
    <t xml:space="preserve">C14H14INO2</t>
  </si>
  <si>
    <t xml:space="preserve">3-Iodothyronamine</t>
  </si>
  <si>
    <t xml:space="preserve">82415</t>
  </si>
  <si>
    <t xml:space="preserve">HMDB0060524</t>
  </si>
  <si>
    <t xml:space="preserve">9950514</t>
  </si>
  <si>
    <t xml:space="preserve">NCCC1=CC(I)=C(OC2=CC=C(O)C=C2)C=C1</t>
  </si>
  <si>
    <t xml:space="preserve">XIINYOJWNGOUPF-UHFFFAOYSA-N</t>
  </si>
  <si>
    <t xml:space="preserve">Diphenylethers</t>
  </si>
  <si>
    <t xml:space="preserve">400.95777</t>
  </si>
  <si>
    <t xml:space="preserve">C7H4ClNO4</t>
  </si>
  <si>
    <t xml:space="preserve">4-Nitrophenyl chloroformate</t>
  </si>
  <si>
    <t xml:space="preserve">201874</t>
  </si>
  <si>
    <t xml:space="preserve">HMDB0246540</t>
  </si>
  <si>
    <t xml:space="preserve">354564</t>
  </si>
  <si>
    <t xml:space="preserve">82129</t>
  </si>
  <si>
    <t xml:space="preserve">[O-][N+](=O)C1=CC=C(OC(Cl)=O)C=C1</t>
  </si>
  <si>
    <t xml:space="preserve">NXLNNXIXOYSCMB-UHFFFAOYSA-N</t>
  </si>
  <si>
    <t xml:space="preserve">401.15875</t>
  </si>
  <si>
    <t xml:space="preserve">C16H30O9</t>
  </si>
  <si>
    <t xml:space="preserve">(1S,2S,4R,8S)-p-Menthane-1,2,8,9-tetrol 2-glucoside; (1R*,2R*,4R*,8S*)-p-Menthane-1,2,8,9-tetrol 9-glucoside; (2R,6x)-7-Methyl-3-methylene-1,2,6,7-octanetetrol 2-glucoside</t>
  </si>
  <si>
    <t xml:space="preserve">63208; 63209; 57468</t>
  </si>
  <si>
    <t xml:space="preserve">HMDB0039975; HMDB0039976; HMDB0033216</t>
  </si>
  <si>
    <t xml:space="preserve">94516; 94517; 89083</t>
  </si>
  <si>
    <t xml:space="preserve">168093; 168373; 169257</t>
  </si>
  <si>
    <t xml:space="preserve">85309705; 85402711; 85242164</t>
  </si>
  <si>
    <t xml:space="preserve">402593-52-6; 402593-84-4; 219814-32-1</t>
  </si>
  <si>
    <t xml:space="preserve">CC(O)(CO)C1CCC(C)(O)C(C1)OC1OC(CO)C(O)C(O)C1O; CC(O)(COC1OC(CO)C(O)C(O)C1O)C1CCC(C)(O)C(O)C1; CC(C)(O)C(O)CCC(=C)C(CO)OC1OC(CO)C(O)C(O)C1O</t>
  </si>
  <si>
    <t xml:space="preserve">HKSOQIVAOUMKMF-UHFFFAOYSA-N; OUUOFMUQJUUKQQ-UHFFFAOYSA-N; YTJFEBUQZTULAC-UHFFFAOYSA-N</t>
  </si>
  <si>
    <t xml:space="preserve">Prenol lipids; Prenol lipids; Fatty Acyls</t>
  </si>
  <si>
    <t xml:space="preserve">Terpene glycosides; Terpene glycosides; Fatty acyl glycosides</t>
  </si>
  <si>
    <t xml:space="preserve">401.20991</t>
  </si>
  <si>
    <t xml:space="preserve">C22H30N2O5</t>
  </si>
  <si>
    <t xml:space="preserve">1-(2-((1-Carboxy-3-phenylpropyl)amino)-1-oxopropyl)octahydro-1H-indole-2-carboxylic acid; Trandolaprilat</t>
  </si>
  <si>
    <t xml:space="preserve">202727; 82466</t>
  </si>
  <si>
    <t xml:space="preserve">HMDB0247506; HMDB0060583</t>
  </si>
  <si>
    <t xml:space="preserve">; 2888</t>
  </si>
  <si>
    <t xml:space="preserve">128549; 5464097</t>
  </si>
  <si>
    <t xml:space="preserve">; 87679-71-8</t>
  </si>
  <si>
    <t xml:space="preserve">CC(NC(CCC1=CC=CC=C1)C(O)=O)C(=O)N1C2CCCCC2CC1C(O)=O; C[C@H](N[C@@H](CCC1=CC=CC=C1)C(O)=O)C(=O)N1[C@H]2CCCC[C@@H]2C[C@H]1C(O)=O</t>
  </si>
  <si>
    <t xml:space="preserve">AHYHTSYNOHNUSH-UHFFFAOYSA-N; AHYHTSYNOHNUSH-HXFGRODQSA-N</t>
  </si>
  <si>
    <t xml:space="preserve">401.25893</t>
  </si>
  <si>
    <t xml:space="preserve">C27H36N2O2</t>
  </si>
  <si>
    <t xml:space="preserve">2,4-Decadienamide,5-(4-methoxyphenyl)-N-[(1R)-1-methyl-4-(3-pyridinyl)butyl]-, (2E,4E)-</t>
  </si>
  <si>
    <t xml:space="preserve">199962</t>
  </si>
  <si>
    <t xml:space="preserve">HMDB0244461</t>
  </si>
  <si>
    <t xml:space="preserve">53882981</t>
  </si>
  <si>
    <t xml:space="preserve">CCCCCC(=CC=CC(=O)NC(C)CCCC1=CN=CC=C1)C1=CC=C(OC)C=C1</t>
  </si>
  <si>
    <t xml:space="preserve">HLCHRSFXEXAMLU-UHFFFAOYSA-N</t>
  </si>
  <si>
    <t xml:space="preserve">401.29450</t>
  </si>
  <si>
    <t xml:space="preserve">C22H42O6</t>
  </si>
  <si>
    <t xml:space="preserve">Sorbitan palmitate</t>
  </si>
  <si>
    <t xml:space="preserve">HMDB0029887</t>
  </si>
  <si>
    <t xml:space="preserve">86566</t>
  </si>
  <si>
    <t xml:space="preserve">LMFA07011019</t>
  </si>
  <si>
    <t xml:space="preserve">4122814</t>
  </si>
  <si>
    <t xml:space="preserve">26266-57-9</t>
  </si>
  <si>
    <t xml:space="preserve">O(C(CCCCCCCCCCCCCCC)=O)CC(C1OCC(O)C1O)O</t>
  </si>
  <si>
    <t xml:space="preserve">IYFATESGLOUGBX-UHFFFAOYSA-N</t>
  </si>
  <si>
    <t xml:space="preserve">401.99712</t>
  </si>
  <si>
    <t xml:space="preserve">C14H13N3O5S2</t>
  </si>
  <si>
    <t xml:space="preserve">5'-Hydroxymethyl meloxicam</t>
  </si>
  <si>
    <t xml:space="preserve">82642</t>
  </si>
  <si>
    <t xml:space="preserve">HMDB0060780</t>
  </si>
  <si>
    <t xml:space="preserve">416773</t>
  </si>
  <si>
    <t xml:space="preserve">131769948</t>
  </si>
  <si>
    <t xml:space="preserve">130262-92-9</t>
  </si>
  <si>
    <t xml:space="preserve">CN1C(C(O)=NC2=NC=C(CO)S2)=C(O)C2=CC=CC=C2S1(=O)=O</t>
  </si>
  <si>
    <t xml:space="preserve">LOOSAJMIEADILV-UHFFFAOYSA-N</t>
  </si>
  <si>
    <t xml:space="preserve">403.00789</t>
  </si>
  <si>
    <t xml:space="preserve">C7H13Cl3</t>
  </si>
  <si>
    <t xml:space="preserve">1,1,1-Trichloroheptane</t>
  </si>
  <si>
    <t xml:space="preserve">199558</t>
  </si>
  <si>
    <t xml:space="preserve">HMDB0244031</t>
  </si>
  <si>
    <t xml:space="preserve">10352851</t>
  </si>
  <si>
    <t xml:space="preserve">CCCCCCC(Cl)(Cl)Cl</t>
  </si>
  <si>
    <t xml:space="preserve">XQFUVDNFWZHPEJ-UHFFFAOYSA-N</t>
  </si>
  <si>
    <t xml:space="preserve">403.17632</t>
  </si>
  <si>
    <t xml:space="preserve">C21H26O5</t>
  </si>
  <si>
    <t xml:space="preserve">Normammein; Monascoflavin</t>
  </si>
  <si>
    <t xml:space="preserve">55525; 55532</t>
  </si>
  <si>
    <t xml:space="preserve">HMDB0030784; HMDB0030792</t>
  </si>
  <si>
    <t xml:space="preserve">87194; </t>
  </si>
  <si>
    <t xml:space="preserve">174797; </t>
  </si>
  <si>
    <t xml:space="preserve">71438014; 131751082</t>
  </si>
  <si>
    <t xml:space="preserve">5085-54-1; 21516-68-7</t>
  </si>
  <si>
    <t xml:space="preserve">CCCC(=O)C1=C(O)C(CC=C(C)C)=C(O)C2=C1OC(=O)C=C2CCC; CCCCCC(=O)C1C2CC3=C(COC(\C=C/C)=C3)C(=O)C2(C)OC1=O</t>
  </si>
  <si>
    <t xml:space="preserve">KXLBWJRELYDBOS-UHFFFAOYSA-N; XXKNHBAFFJINCK-YVMONPNESA-N</t>
  </si>
  <si>
    <t xml:space="preserve">Phenylpropanoids and polyketides; Organic oxygen compounds</t>
  </si>
  <si>
    <t xml:space="preserve">Coumarins and derivatives; Organooxygen compounds</t>
  </si>
  <si>
    <t xml:space="preserve">Hydroxycoumarins; Carbonyl compounds</t>
  </si>
  <si>
    <t xml:space="preserve">403.23092</t>
  </si>
  <si>
    <t xml:space="preserve">C15H30N6O4</t>
  </si>
  <si>
    <t xml:space="preserve">Kinetensin 1-3</t>
  </si>
  <si>
    <t xml:space="preserve">52122</t>
  </si>
  <si>
    <t xml:space="preserve">HMDB0012983</t>
  </si>
  <si>
    <t xml:space="preserve">20333</t>
  </si>
  <si>
    <t xml:space="preserve">158128</t>
  </si>
  <si>
    <t xml:space="preserve">134159843</t>
  </si>
  <si>
    <t xml:space="preserve">138482-55-0</t>
  </si>
  <si>
    <t xml:space="preserve">CC[C@H](C)[C@H](N)C(=O)N[C@@H](C)C(=O)N[C@@H](CCCNC(N)=N)C(O)=O</t>
  </si>
  <si>
    <t xml:space="preserve">JXUGDUWBMKIJDC-NAKRPEOUSA-N</t>
  </si>
  <si>
    <t xml:space="preserve">404.00007</t>
  </si>
  <si>
    <t xml:space="preserve">C16H13F2NO3S2</t>
  </si>
  <si>
    <t xml:space="preserve">Thioflosulide</t>
  </si>
  <si>
    <t xml:space="preserve">212436</t>
  </si>
  <si>
    <t xml:space="preserve">HMDB0259011</t>
  </si>
  <si>
    <t xml:space="preserve">CS(=O)(=O)NC1=C(SC2=C(F)C=C(F)C=C2)C=C2C(=O)CCC2=C1</t>
  </si>
  <si>
    <t xml:space="preserve">HDUWKQUHMUSICC-UHFFFAOYSA-N</t>
  </si>
  <si>
    <t xml:space="preserve">405.19580</t>
  </si>
  <si>
    <t xml:space="preserve">C23H26N4O3</t>
  </si>
  <si>
    <t xml:space="preserve">Argentine</t>
  </si>
  <si>
    <t xml:space="preserve">203649</t>
  </si>
  <si>
    <t xml:space="preserve">HMDB0248580</t>
  </si>
  <si>
    <t xml:space="preserve">O=C(N1CC2CC(C1)C1=CC=CC(=O)N1C2)N1CC2CC(C1)C1=CC=CC(=O)N1C2</t>
  </si>
  <si>
    <t xml:space="preserve">AILDTIZEPVHXBF-UHFFFAOYSA-N</t>
  </si>
  <si>
    <t xml:space="preserve">Lupin alkaloids</t>
  </si>
  <si>
    <t xml:space="preserve">Cytisine and derivatives</t>
  </si>
  <si>
    <t xml:space="preserve">405.24699</t>
  </si>
  <si>
    <t xml:space="preserve">C25H33FN4O</t>
  </si>
  <si>
    <t xml:space="preserve">Camicinal</t>
  </si>
  <si>
    <t xml:space="preserve">204497</t>
  </si>
  <si>
    <t xml:space="preserve">HMDB0249573</t>
  </si>
  <si>
    <t xml:space="preserve">53356543</t>
  </si>
  <si>
    <t xml:space="preserve">CC1CN(CC2=CC=C(CC(=O)N3CCC(CC3)NC3=CC(F)=CC=C3)C=C2)CCN1</t>
  </si>
  <si>
    <t xml:space="preserve">RZKDEGZIFSJVNA-UHFFFAOYSA-N</t>
  </si>
  <si>
    <t xml:space="preserve">Phenylacetamides</t>
  </si>
  <si>
    <t xml:space="preserve">406.01383</t>
  </si>
  <si>
    <t xml:space="preserve">C6H12N2O4Pt</t>
  </si>
  <si>
    <t xml:space="preserve">Carboplatin</t>
  </si>
  <si>
    <t xml:space="preserve">53212</t>
  </si>
  <si>
    <t xml:space="preserve">HMDB0015093</t>
  </si>
  <si>
    <t xml:space="preserve">31355</t>
  </si>
  <si>
    <t xml:space="preserve">10339178</t>
  </si>
  <si>
    <t xml:space="preserve">41575-94-4</t>
  </si>
  <si>
    <t xml:space="preserve">[H][N]([H])([H])[Pt]1(OC(=O)C2(CCC2)C(=O)O1)[N]([H])([H])[H]</t>
  </si>
  <si>
    <t xml:space="preserve">OLESAACUTLOWQZ-UHFFFAOYSA-L</t>
  </si>
  <si>
    <t xml:space="preserve">406.24548</t>
  </si>
  <si>
    <t xml:space="preserve">C23H37NO3S</t>
  </si>
  <si>
    <t xml:space="preserve">Geranylgeranylcysteine</t>
  </si>
  <si>
    <t xml:space="preserve">51461</t>
  </si>
  <si>
    <t xml:space="preserve">HMDB0011678</t>
  </si>
  <si>
    <t xml:space="preserve">53481025</t>
  </si>
  <si>
    <t xml:space="preserve">169523-06-2</t>
  </si>
  <si>
    <t xml:space="preserve">SC[C@H](NC(=O)\C=C(/C)CC\C=C(/C)CC\C=C(/C)CCC=C(C)C)C(O)=O</t>
  </si>
  <si>
    <t xml:space="preserve">UBCKUGRWFMEXIF-WONWMLGISA-N</t>
  </si>
  <si>
    <t xml:space="preserve">407.21511</t>
  </si>
  <si>
    <t xml:space="preserve">C8H16N2O4</t>
  </si>
  <si>
    <t xml:space="preserve">Serylvaline</t>
  </si>
  <si>
    <t xml:space="preserve">54063</t>
  </si>
  <si>
    <t xml:space="preserve">HMDB0029052</t>
  </si>
  <si>
    <t xml:space="preserve">23827</t>
  </si>
  <si>
    <t xml:space="preserve">74823</t>
  </si>
  <si>
    <t xml:space="preserve">7020158</t>
  </si>
  <si>
    <t xml:space="preserve">51782-06-0</t>
  </si>
  <si>
    <t xml:space="preserve">CC(C)[C@H](NC(=O)[C@@H](N)CO)C(O)=O</t>
  </si>
  <si>
    <t xml:space="preserve">ILVGMCVCQBJPSH-WDSKDSINSA-N</t>
  </si>
  <si>
    <t xml:space="preserve">407.25830</t>
  </si>
  <si>
    <t xml:space="preserve">C27H36O3</t>
  </si>
  <si>
    <t xml:space="preserve">Apo-10'-violaxanthal; QUINGESTANOL ACETATE</t>
  </si>
  <si>
    <t xml:space="preserve">62330; 210810</t>
  </si>
  <si>
    <t xml:space="preserve">HMDB0039018; HMDB0257040</t>
  </si>
  <si>
    <t xml:space="preserve">93624; </t>
  </si>
  <si>
    <t xml:space="preserve">131752515; 22246747</t>
  </si>
  <si>
    <t xml:space="preserve">17237-68-2; </t>
  </si>
  <si>
    <t xml:space="preserve">C\C(\C=C/C=O)=C\C=C\C=C(/C)\C=C\C=C(\C)/C=C/C12OC1(C)CC(O)CC2(C)C; CC(=O)OC1(CCC2C3CC=C4C=C(CCC4C3CCC12C)OC1CCCC1)C#C</t>
  </si>
  <si>
    <t xml:space="preserve">QZOYIQGWDBXSHB-AFMCRXATSA-N; FLGJKPPXEKYCBY-UHFFFAOYSA-N</t>
  </si>
  <si>
    <t xml:space="preserve">Sesterterpenoids; Steroid esters</t>
  </si>
  <si>
    <t xml:space="preserve">408.22321</t>
  </si>
  <si>
    <t xml:space="preserve">C25H31N3</t>
  </si>
  <si>
    <t xml:space="preserve">Leucocrystal Violet</t>
  </si>
  <si>
    <t xml:space="preserve">208249</t>
  </si>
  <si>
    <t xml:space="preserve">HMDB0254031</t>
  </si>
  <si>
    <t xml:space="preserve">339173</t>
  </si>
  <si>
    <t xml:space="preserve">69048</t>
  </si>
  <si>
    <t xml:space="preserve">CN(C)C1=CC=C(C=C1)C(C1=CC=C(C=C1)N(C)C)C1=CC=C(C=C1)N(C)C</t>
  </si>
  <si>
    <t xml:space="preserve">OAZWDJGLIYNYMU-UHFFFAOYSA-N</t>
  </si>
  <si>
    <t xml:space="preserve">Triphenyl compounds</t>
  </si>
  <si>
    <t xml:space="preserve">409.24029</t>
  </si>
  <si>
    <t xml:space="preserve">C25H32O2</t>
  </si>
  <si>
    <t xml:space="preserve">Quinestrol</t>
  </si>
  <si>
    <t xml:space="preserve">44872</t>
  </si>
  <si>
    <t xml:space="preserve">HMDB0015579</t>
  </si>
  <si>
    <t xml:space="preserve">41830</t>
  </si>
  <si>
    <t xml:space="preserve">LMST02010037</t>
  </si>
  <si>
    <t xml:space="preserve">C07619</t>
  </si>
  <si>
    <t xml:space="preserve">8716</t>
  </si>
  <si>
    <t xml:space="preserve">9046</t>
  </si>
  <si>
    <t xml:space="preserve">152-43-2</t>
  </si>
  <si>
    <t xml:space="preserve">[C@@]12([H])CC[C@@](O)(C#C)[C@@]1(C)CC[C@]1([H])C3C=CC(OC4CCCC4)=CC=3CC[C@@]21[H]</t>
  </si>
  <si>
    <t xml:space="preserve">PWZUUYSISTUNDW-VAFBSOEGSA-N</t>
  </si>
  <si>
    <t xml:space="preserve">411.24127</t>
  </si>
  <si>
    <t xml:space="preserve">C22H36O7</t>
  </si>
  <si>
    <t xml:space="preserve">Asebotoxin</t>
  </si>
  <si>
    <t xml:space="preserve">203710</t>
  </si>
  <si>
    <t xml:space="preserve">HMDB0248654</t>
  </si>
  <si>
    <t xml:space="preserve">231125</t>
  </si>
  <si>
    <t xml:space="preserve">CC(=O)OC1C2CCC3C1(CC2(C)O)CC(O)C1(O)C(CC(O)C1(C)C)C3(C)O</t>
  </si>
  <si>
    <t xml:space="preserve">NXCYBYJXCJWMRY-UHFFFAOYSA-N</t>
  </si>
  <si>
    <t xml:space="preserve">412.97040</t>
  </si>
  <si>
    <t xml:space="preserve">C15H9Cl2F3N2O3</t>
  </si>
  <si>
    <t xml:space="preserve">N-(2,4-Dichlorobenzyl)-2,2,2-trifluoro-N-(3-nitrophenyl)acetamide</t>
  </si>
  <si>
    <t xml:space="preserve">209036</t>
  </si>
  <si>
    <t xml:space="preserve">HMDB0254996</t>
  </si>
  <si>
    <t xml:space="preserve">3925420</t>
  </si>
  <si>
    <t xml:space="preserve">[O-][N+](=O)C1=CC=CC(=C1)N(CC1=C(Cl)C=C(Cl)C=C1)C(=O)C(F)(F)F</t>
  </si>
  <si>
    <t xml:space="preserve">JCGABIZQANDYFT-UHFFFAOYSA-N</t>
  </si>
  <si>
    <t xml:space="preserve">413.24300</t>
  </si>
  <si>
    <t xml:space="preserve">C18H38N2O6</t>
  </si>
  <si>
    <t xml:space="preserve">Diethylaminoethyl-Sephacel</t>
  </si>
  <si>
    <t xml:space="preserve">205886</t>
  </si>
  <si>
    <t xml:space="preserve">HMDB0251243</t>
  </si>
  <si>
    <t xml:space="preserve">CCN(CC)CCOCC1OC(O)C(OCCN(CC)CC)C(O)C1O</t>
  </si>
  <si>
    <t xml:space="preserve">QLAJPGCDKRPRKU-UHFFFAOYSA-N</t>
  </si>
  <si>
    <t xml:space="preserve">414.24207</t>
  </si>
  <si>
    <t xml:space="preserve">C22H37NO4</t>
  </si>
  <si>
    <t xml:space="preserve">Leukotriene B4 ethanolamide</t>
  </si>
  <si>
    <t xml:space="preserve">3849</t>
  </si>
  <si>
    <t xml:space="preserve">HMDB0002304</t>
  </si>
  <si>
    <t xml:space="preserve">36243</t>
  </si>
  <si>
    <t xml:space="preserve">LMFA03020012</t>
  </si>
  <si>
    <t xml:space="preserve">5283127</t>
  </si>
  <si>
    <t xml:space="preserve">877459-63-7</t>
  </si>
  <si>
    <t xml:space="preserve">C([C@@H](O)/C=C/C=C/C=C\[C@@H](O)CCCC(NCCO)=O)/C=C\CCCCC</t>
  </si>
  <si>
    <t xml:space="preserve">DQLVVNIINUTUIU-XLFGVTECSA-N</t>
  </si>
  <si>
    <t xml:space="preserve">415.16502</t>
  </si>
  <si>
    <t xml:space="preserve">C17H33O7P</t>
  </si>
  <si>
    <t xml:space="preserve">1-(9Z-tetradecenoyl)-glycero-3-phosphate</t>
  </si>
  <si>
    <t xml:space="preserve">26102</t>
  </si>
  <si>
    <t xml:space="preserve">HMDB0062311</t>
  </si>
  <si>
    <t xml:space="preserve">82357</t>
  </si>
  <si>
    <t xml:space="preserve">LMGP10050038</t>
  </si>
  <si>
    <t xml:space="preserve">52929768</t>
  </si>
  <si>
    <t xml:space="preserve">[C@](COP(=O)(O)O)([H])(O)COC(CCCCCCC/C=C\CCCC)=O</t>
  </si>
  <si>
    <t xml:space="preserve">IQSHJASKBUVXAG-OGZRUICASA-N</t>
  </si>
  <si>
    <t xml:space="preserve">Glycerophospholipids</t>
  </si>
  <si>
    <t xml:space="preserve">Glycerophosphates</t>
  </si>
  <si>
    <t xml:space="preserve">415.24590</t>
  </si>
  <si>
    <t xml:space="preserve">C21H32N6O3</t>
  </si>
  <si>
    <t xml:space="preserve">Alfentanil</t>
  </si>
  <si>
    <t xml:space="preserve">53085</t>
  </si>
  <si>
    <t xml:space="preserve">HMDB0014940</t>
  </si>
  <si>
    <t xml:space="preserve">844</t>
  </si>
  <si>
    <t xml:space="preserve">C08005</t>
  </si>
  <si>
    <t xml:space="preserve">2569</t>
  </si>
  <si>
    <t xml:space="preserve">51263</t>
  </si>
  <si>
    <t xml:space="preserve">71195-58-9</t>
  </si>
  <si>
    <t xml:space="preserve">CCN1N=NN(CCN2CCC(COC)(CC2)N(C(=O)CC)C2=CC=CC=C2)C1=O</t>
  </si>
  <si>
    <t xml:space="preserve">IDBPHNDTYPBSNI-UHFFFAOYSA-N</t>
  </si>
  <si>
    <t xml:space="preserve">417.18307</t>
  </si>
  <si>
    <t xml:space="preserve">C24H31ClO4</t>
  </si>
  <si>
    <t xml:space="preserve">4-O-Methylascochlorin</t>
  </si>
  <si>
    <t xml:space="preserve">201889</t>
  </si>
  <si>
    <t xml:space="preserve">HMDB0246555</t>
  </si>
  <si>
    <t xml:space="preserve">78410163</t>
  </si>
  <si>
    <t xml:space="preserve">COC1=C(Cl)C(C)=C(C=O)C(O)=C1CC=C(C)C=CC1(C)C(C)CCC(=O)C1C</t>
  </si>
  <si>
    <t xml:space="preserve">XUAAAHFMBMDZCQ-UHFFFAOYSA-N</t>
  </si>
  <si>
    <t xml:space="preserve">417.26639</t>
  </si>
  <si>
    <t xml:space="preserve">C25H40O6</t>
  </si>
  <si>
    <t xml:space="preserve">simvastatin hydroxy acid</t>
  </si>
  <si>
    <t xml:space="preserve">82882</t>
  </si>
  <si>
    <t xml:space="preserve">HMDB0061047</t>
  </si>
  <si>
    <t xml:space="preserve">2447</t>
  </si>
  <si>
    <t xml:space="preserve">64718</t>
  </si>
  <si>
    <t xml:space="preserve">121009-77-6</t>
  </si>
  <si>
    <t xml:space="preserve">CCC(C)(C)C(=O)O[C@H]1C[C@@H](C)C=C2C=C[C@H](C)[C@H](CC[C@@H](O)C[C@@H](O)CC(O)=O)[C@@H]12</t>
  </si>
  <si>
    <t xml:space="preserve">XWLXKKNPFMNSFA-HGQWONQESA-N</t>
  </si>
  <si>
    <t xml:space="preserve">419.20288</t>
  </si>
  <si>
    <t xml:space="preserve">C17H30N2O7</t>
  </si>
  <si>
    <t xml:space="preserve">Trospectomycin</t>
  </si>
  <si>
    <t xml:space="preserve">212697</t>
  </si>
  <si>
    <t xml:space="preserve">HMDB0259301</t>
  </si>
  <si>
    <t xml:space="preserve">13580504</t>
  </si>
  <si>
    <t xml:space="preserve">CCCCC1CC(=O)C2(O)OC3C(NC)C(O)C(NC)C(O)C3OC2O1</t>
  </si>
  <si>
    <t xml:space="preserve">KHAUBYTYGDOYRU-UHFFFAOYSA-N</t>
  </si>
  <si>
    <t xml:space="preserve">Dioxanes</t>
  </si>
  <si>
    <t xml:space="preserve">1,4-dioxanes</t>
  </si>
  <si>
    <t xml:space="preserve">419.97410</t>
  </si>
  <si>
    <t xml:space="preserve">C15H14INO4</t>
  </si>
  <si>
    <t xml:space="preserve">Monoiodothyronine</t>
  </si>
  <si>
    <t xml:space="preserve">47225</t>
  </si>
  <si>
    <t xml:space="preserve">HMDB0000793</t>
  </si>
  <si>
    <t xml:space="preserve">5758</t>
  </si>
  <si>
    <t xml:space="preserve">53477717</t>
  </si>
  <si>
    <t xml:space="preserve">29354-16-3</t>
  </si>
  <si>
    <t xml:space="preserve">N[C@H](CC1=CC(I)=C(OC2=CC=C(O)C=C2)C=C1)C(O)=O</t>
  </si>
  <si>
    <t xml:space="preserve">SXQVOFSDWXYIRP-CYBMUJFWSA-N</t>
  </si>
  <si>
    <t xml:space="preserve">421.23898</t>
  </si>
  <si>
    <t xml:space="preserve">C26H32O2</t>
  </si>
  <si>
    <t xml:space="preserve">Ethyl-p-((E)-2-(5,6,7,8-tetrahydro-5,5,8,8-tetramethyl-2-naphthyl)-1-propenyl)benzoate</t>
  </si>
  <si>
    <t xml:space="preserve">203676</t>
  </si>
  <si>
    <t xml:space="preserve">HMDB0248612</t>
  </si>
  <si>
    <t xml:space="preserve">104969</t>
  </si>
  <si>
    <t xml:space="preserve">CCOC(=O)C1=CC=C(C=C(C)C2=CC3=C(C=C2)C(C)(C)CCC3(C)C)C=C1</t>
  </si>
  <si>
    <t xml:space="preserve">NULUAKSYPPSJCO-UHFFFAOYSA-N</t>
  </si>
  <si>
    <t xml:space="preserve">422.23555</t>
  </si>
  <si>
    <t xml:space="preserve">C25H31NO2</t>
  </si>
  <si>
    <t xml:space="preserve">(5alpha,17beta)-17-Benzoyl-4-azaandrost-1-en-3-one</t>
  </si>
  <si>
    <t xml:space="preserve">208029</t>
  </si>
  <si>
    <t xml:space="preserve">HMDB0253725</t>
  </si>
  <si>
    <t xml:space="preserve">18795642</t>
  </si>
  <si>
    <t xml:space="preserve">CC12CCC3C(CCC4NC(=O)C=CC34C)C1CCC2C(=O)C1=CC=CC=C1</t>
  </si>
  <si>
    <t xml:space="preserve">ZYTQEOWFSVTRLX-UHFFFAOYSA-N</t>
  </si>
  <si>
    <t xml:space="preserve">423.19941</t>
  </si>
  <si>
    <t xml:space="preserve">C26H34O4S</t>
  </si>
  <si>
    <t xml:space="preserve">Benzenepropanoic acid, beta-((2-carboxyethyl)thio)-2-(8-phenyloctyl)-, (betaS)-; 3-(2-Carboxyethylthio)-3-(2-(8-phenyloctyl)phenyl)propanoic acid</t>
  </si>
  <si>
    <t xml:space="preserve">212893; 211869</t>
  </si>
  <si>
    <t xml:space="preserve">HMDB0259585; HMDB0258325</t>
  </si>
  <si>
    <t xml:space="preserve">9803418; </t>
  </si>
  <si>
    <t xml:space="preserve">OC(=O)CCSC(CC(O)=O)C1=CC=CC=C1CCCCCCCCC1=CC=CC=C1; OC(=O)CCSC(CC(O)=O)C1=CC=CC(CCCCCCCCC2=CC=CC=C2)=C1</t>
  </si>
  <si>
    <t xml:space="preserve">QTZPRMCKSZATQD-UHFFFAOYSA-N; IEOUXQMKLRALNJ-UHFFFAOYSA-N</t>
  </si>
  <si>
    <t xml:space="preserve">Phenylpropanoids and polyketides; Phenylpropanoids and polyketides</t>
  </si>
  <si>
    <t xml:space="preserve">Phenylpropanoic acids; Phenylpropanoic acids</t>
  </si>
  <si>
    <t xml:space="preserve">423.24845</t>
  </si>
  <si>
    <t xml:space="preserve">C18H32N8O4</t>
  </si>
  <si>
    <t xml:space="preserve">L-Prolinamide, glycyl-L-prolyl-L-arginyl-</t>
  </si>
  <si>
    <t xml:space="preserve">208157</t>
  </si>
  <si>
    <t xml:space="preserve">HMDB0253912</t>
  </si>
  <si>
    <t xml:space="preserve">3884696</t>
  </si>
  <si>
    <t xml:space="preserve">NCC(=O)N1CCCC1C(=O)NC(CCCN=C(N)N)C(=O)N1CCCC1C(N)=O</t>
  </si>
  <si>
    <t xml:space="preserve">SCCTZYGEMPQRCV-UHFFFAOYSA-N</t>
  </si>
  <si>
    <t xml:space="preserve">424.26140</t>
  </si>
  <si>
    <t xml:space="preserve">C24H39NO3</t>
  </si>
  <si>
    <t xml:space="preserve">N-Arachidonoyl GABA</t>
  </si>
  <si>
    <t xml:space="preserve">83529</t>
  </si>
  <si>
    <t xml:space="preserve">HMDB0062330</t>
  </si>
  <si>
    <t xml:space="preserve">[H]\C(CCCCC)=C(/[H])C\C([H])=C(\[H])C\C([H])=C(\[H])CC([H])=C([H])CCCC(O)=NCCCC(O)=O</t>
  </si>
  <si>
    <t xml:space="preserve">JKUDIEXTAYKJNX-CDIMZWLNSA-N</t>
  </si>
  <si>
    <t xml:space="preserve">425.26412</t>
  </si>
  <si>
    <t xml:space="preserve">C11H19NO3</t>
  </si>
  <si>
    <t xml:space="preserve">2-nonenoylglycine; 5-nonenoylglycine; 6-nonenoylglycine</t>
  </si>
  <si>
    <t xml:space="preserve">115555; 115558; 115559</t>
  </si>
  <si>
    <t xml:space="preserve">HMDB0094807; HMDB0094810; HMDB0094811</t>
  </si>
  <si>
    <t xml:space="preserve">CCCCCCC=CC(=O)C(N)C(O)=O; CCCC=CCCCC(O)=NCC(O)=O; CCC=CCCCCC(O)=NCC(O)=O</t>
  </si>
  <si>
    <t xml:space="preserve">HQZQOJTXTXQLPE-UHFFFAOYSA-N; VMRXSTXSNQJSGP-UHFFFAOYSA-N; ZZHNFZRGSKLGFH-UHFFFAOYSA-N</t>
  </si>
  <si>
    <t xml:space="preserve">426.03131</t>
  </si>
  <si>
    <t xml:space="preserve">C16H13ClFN3O3S</t>
  </si>
  <si>
    <t xml:space="preserve">Cimicoxib</t>
  </si>
  <si>
    <t xml:space="preserve">205069</t>
  </si>
  <si>
    <t xml:space="preserve">HMDB0250253</t>
  </si>
  <si>
    <t xml:space="preserve">76127</t>
  </si>
  <si>
    <t xml:space="preserve">COC1=C(F)C=C(C=C1)C1=C(Cl)N=CN1C1=CC=C(C=C1)S(N)(=O)=O</t>
  </si>
  <si>
    <t xml:space="preserve">KYXDNECMRLFQMZ-UHFFFAOYSA-N</t>
  </si>
  <si>
    <t xml:space="preserve">426.28722</t>
  </si>
  <si>
    <t xml:space="preserve">C22H39NO4</t>
  </si>
  <si>
    <t xml:space="preserve">(5Z,8Z)-Pentadeca-5,8-dienoylcarnitine; Pentadeca-5,12-dienoylcarnitine; (10Z,12E)-Pentadeca-10,12-dienoylcarnitine</t>
  </si>
  <si>
    <t xml:space="preserve">197986; 197987; 197988</t>
  </si>
  <si>
    <t xml:space="preserve">HMDB0241442; HMDB0241443; HMDB0241444</t>
  </si>
  <si>
    <t xml:space="preserve">CCCCCCC=CCC=CCCCC(=O)OC(CC([O-])=O)C[N+](C)(C)C; CCC=CCCCCCC=CCCCC(=O)OC(CC([O-])=O)C[N+](C)(C)C; CCC=CC=CCCCCCCCCC(=O)OC(CC([O-])=O)C[N+](C)(C)C</t>
  </si>
  <si>
    <t xml:space="preserve">RQDDHWXIBJUFNE-UHFFFAOYSA-N; AUVOHJRGGUIKCH-UHFFFAOYSA-N; JNHUHASFPRVXRU-UHFFFAOYSA-N</t>
  </si>
  <si>
    <t xml:space="preserve">427.02872</t>
  </si>
  <si>
    <t xml:space="preserve">C15H18O12</t>
  </si>
  <si>
    <t xml:space="preserve">Dimethyl 2-galloylgalactarate</t>
  </si>
  <si>
    <t xml:space="preserve">60592</t>
  </si>
  <si>
    <t xml:space="preserve">HMDB0036935</t>
  </si>
  <si>
    <t xml:space="preserve">91924</t>
  </si>
  <si>
    <t xml:space="preserve">85208222</t>
  </si>
  <si>
    <t xml:space="preserve">COC(=O)C(O)C(O)C(O)C(OC(=O)C1=CC(O)=C(O)C(O)=C1)C(=O)OC</t>
  </si>
  <si>
    <t xml:space="preserve">FUZPULBJXZQHRK-UHFFFAOYSA-N</t>
  </si>
  <si>
    <t xml:space="preserve">427.23371</t>
  </si>
  <si>
    <t xml:space="preserve">C23H32N4O4</t>
  </si>
  <si>
    <t xml:space="preserve">Lotrafiban</t>
  </si>
  <si>
    <t xml:space="preserve">208355</t>
  </si>
  <si>
    <t xml:space="preserve">HMDB0254173</t>
  </si>
  <si>
    <t xml:space="preserve">9823909</t>
  </si>
  <si>
    <t xml:space="preserve">CN1CC2=C(NC(CC(O)=O)C1=O)C=CC(=C2)C(=O)N1CCC(CC1)C1CCNCC1</t>
  </si>
  <si>
    <t xml:space="preserve">PYZOVVQJTLOHDG-UHFFFAOYSA-N</t>
  </si>
  <si>
    <t xml:space="preserve">N-acylpiperidines</t>
  </si>
  <si>
    <t xml:space="preserve">427.29445</t>
  </si>
  <si>
    <t xml:space="preserve">C25H44O3</t>
  </si>
  <si>
    <t xml:space="preserve">3-Methyl-5-pentyl-2-furanpentadecanoic acid</t>
  </si>
  <si>
    <t xml:space="preserve">2643</t>
  </si>
  <si>
    <t xml:space="preserve">HMDB0112082</t>
  </si>
  <si>
    <t xml:space="preserve">LMFA01150030</t>
  </si>
  <si>
    <t xml:space="preserve">131819623</t>
  </si>
  <si>
    <t xml:space="preserve">116627-44-2</t>
  </si>
  <si>
    <t xml:space="preserve">C(CC)CCC1=CC(C)=C(CCCCCCCCCCCCCCC(=O)O)O1</t>
  </si>
  <si>
    <t xml:space="preserve">ZXUFZNDRPGKIFV-UHFFFAOYSA-N</t>
  </si>
  <si>
    <t xml:space="preserve">428.04773</t>
  </si>
  <si>
    <t xml:space="preserve">C11H17N3O8S2</t>
  </si>
  <si>
    <t xml:space="preserve">Cystine-glutamate</t>
  </si>
  <si>
    <t xml:space="preserve">205456</t>
  </si>
  <si>
    <t xml:space="preserve">HMDB0250714</t>
  </si>
  <si>
    <t xml:space="preserve">NC1CCC(=O)OOC(=O)C(N)CSSCC(N)C(=O)OOC1=O</t>
  </si>
  <si>
    <t xml:space="preserve">ZFBIIHDSTYBVID-UHFFFAOYSA-N</t>
  </si>
  <si>
    <t xml:space="preserve">Tetracarboxylic acids and derivatives</t>
  </si>
  <si>
    <t xml:space="preserve">428.29373</t>
  </si>
  <si>
    <t xml:space="preserve">C24H43NO3</t>
  </si>
  <si>
    <t xml:space="preserve">N-Linoleoyl Leucine</t>
  </si>
  <si>
    <t xml:space="preserve">198485</t>
  </si>
  <si>
    <t xml:space="preserve">HMDB0241979</t>
  </si>
  <si>
    <t xml:space="preserve">72996889</t>
  </si>
  <si>
    <t xml:space="preserve">CCCCCC=CCC=CCCCCCCCC(=O)NC(CC(C)C)C(O)=O</t>
  </si>
  <si>
    <t xml:space="preserve">CICRQSYFFGMUEH-UHFFFAOYSA-N</t>
  </si>
  <si>
    <t xml:space="preserve">429.19940</t>
  </si>
  <si>
    <t xml:space="preserve">C23H30N2O6</t>
  </si>
  <si>
    <t xml:space="preserve">Dibudipine</t>
  </si>
  <si>
    <t xml:space="preserve">205822</t>
  </si>
  <si>
    <t xml:space="preserve">HMDB0251171</t>
  </si>
  <si>
    <t xml:space="preserve">10252115</t>
  </si>
  <si>
    <t xml:space="preserve">CC1=C(C(C2=CC(=CC=C2)[N+]([O-])=O)C(C(=O)OC(C)(C)C)=C(C)N1)C(=O)OC(C)(C)C</t>
  </si>
  <si>
    <t xml:space="preserve">WLWXEUYUQXEKTI-UHFFFAOYSA-N</t>
  </si>
  <si>
    <t xml:space="preserve">Hydropyridines</t>
  </si>
  <si>
    <t xml:space="preserve">429.24939</t>
  </si>
  <si>
    <t xml:space="preserve">C22H32N4O2</t>
  </si>
  <si>
    <t xml:space="preserve">4,4'-Bis(2-hydroxyethylethylamino)-2,2'-dimethylazobenzene</t>
  </si>
  <si>
    <t xml:space="preserve">203850</t>
  </si>
  <si>
    <t xml:space="preserve">HMDB0248812</t>
  </si>
  <si>
    <t xml:space="preserve">91719492</t>
  </si>
  <si>
    <t xml:space="preserve">CCN(CCO)C1=CC(C)=C(C=C1)N=NC1=C(C)C=C(C=C1)N(CC)CCO</t>
  </si>
  <si>
    <t xml:space="preserve">UQACKAULSXYLJH-UHFFFAOYSA-N</t>
  </si>
  <si>
    <t xml:space="preserve">Azobenzenes</t>
  </si>
  <si>
    <t xml:space="preserve">431.09540</t>
  </si>
  <si>
    <t xml:space="preserve">C21H22O11</t>
  </si>
  <si>
    <t xml:space="preserve">Phloretin 2'-O-glucuronide</t>
  </si>
  <si>
    <t xml:space="preserve">64824</t>
  </si>
  <si>
    <t xml:space="preserve">HMDB0041768</t>
  </si>
  <si>
    <t xml:space="preserve">96122</t>
  </si>
  <si>
    <t xml:space="preserve">9889961</t>
  </si>
  <si>
    <t xml:space="preserve">O[C@@H]1[C@@H](O)[C@H](OC2=CC(O)=CC(O)=C2C(=O)CCC2=CC=C(O)C=C2)O[C@@H]([C@H]1O)C(O)=O</t>
  </si>
  <si>
    <t xml:space="preserve">YFJJAJIWPWXWJJ-ZFORQUDYSA-N</t>
  </si>
  <si>
    <t xml:space="preserve">Flavonoid glycosides</t>
  </si>
  <si>
    <t xml:space="preserve">431.14599</t>
  </si>
  <si>
    <t xml:space="preserve">C22H20N6O4</t>
  </si>
  <si>
    <t xml:space="preserve">N,N-Dimethyl-5-({2-Methyl-6-[(5-Methylpyrazin-2-Yl)carbamoyl]-1-Benzofuran-4-Yl}oxy)pyrimidine-2-Carboxamide</t>
  </si>
  <si>
    <t xml:space="preserve">212836</t>
  </si>
  <si>
    <t xml:space="preserve">HMDB0259505</t>
  </si>
  <si>
    <t xml:space="preserve">CN(C)C(=O)C1=NC=C(OC2=CC(=CC3=C2C=C(C)O3)C(O)=NC2=NC=C(C)N=C2)C=N1</t>
  </si>
  <si>
    <t xml:space="preserve">MASKQITXHVYVFL-UHFFFAOYSA-N</t>
  </si>
  <si>
    <t xml:space="preserve">431.23646</t>
  </si>
  <si>
    <t xml:space="preserve">C26H36O3</t>
  </si>
  <si>
    <t xml:space="preserve">(2E,4E,6E,8E)-3,7-Dimethyl-9-(2-nonoxyphenyl)nona-2,4,6,8-tetraenoic acid; [(8R,9S,13S,14S,17S)-17-Hydroxy-13-methyl-6,7,8,9,11,12,14,15,16,17-decahydrocyclopenta[a]phenanthren-3-yl] 3-cyclopentylpropanoate; estradiol cypionate</t>
  </si>
  <si>
    <t xml:space="preserve">199045; 211568; 206498</t>
  </si>
  <si>
    <t xml:space="preserve">HMDB0242652; HMDB0257965; HMDB0251962</t>
  </si>
  <si>
    <t xml:space="preserve">128186; 520519; 3263</t>
  </si>
  <si>
    <t xml:space="preserve">CCCCCCCCCOC1=CC=CC=C1C=CC(C)=CC=CC(C)=CC(O)=O; CC12CCC3C(CCC4=C3C=CC(OC(=O)CCC3CCCC3)=C4)C1CCC2O; CC12CCC3C(CCC4=CC(O)=CC=C34)C1CCC2OC(=O)CCC1CCCC1</t>
  </si>
  <si>
    <t xml:space="preserve">YICSHLQWGQTKJL-UHFFFAOYSA-N; FKRVEVDSHLGWGC-UHFFFAOYSA-N; UOACKFBJUYNSLK-UHFFFAOYSA-N</t>
  </si>
  <si>
    <t xml:space="preserve">Prenol lipids; Steroids and steroid derivatives; Steroids and steroid derivatives</t>
  </si>
  <si>
    <t xml:space="preserve">Monoterpenoids; Steroid esters; Steroid esters</t>
  </si>
  <si>
    <t xml:space="preserve">433.28228</t>
  </si>
  <si>
    <t xml:space="preserve">C22H42O8</t>
  </si>
  <si>
    <t xml:space="preserve">Polysorbate 60</t>
  </si>
  <si>
    <t xml:space="preserve">60815</t>
  </si>
  <si>
    <t xml:space="preserve">HMDB0037183</t>
  </si>
  <si>
    <t xml:space="preserve">92151</t>
  </si>
  <si>
    <t xml:space="preserve">53425</t>
  </si>
  <si>
    <t xml:space="preserve">22833389</t>
  </si>
  <si>
    <t xml:space="preserve">9005-67-8</t>
  </si>
  <si>
    <t xml:space="preserve">CCCCCCCCCCCC(=O)OC[C@@H](O)[C@H]1OC[C@H](OCCO)[C@H]1OCCO</t>
  </si>
  <si>
    <t xml:space="preserve">CRBBOOXGHMTWOC-NPDDRXJXSA-N</t>
  </si>
  <si>
    <t xml:space="preserve">434.94933</t>
  </si>
  <si>
    <t xml:space="preserve">C6H3FN2O4S</t>
  </si>
  <si>
    <t xml:space="preserve">2,1,3-Benzoxadiazole-4-sulfonic acid, 7-fluoro-</t>
  </si>
  <si>
    <t xml:space="preserve">200759</t>
  </si>
  <si>
    <t xml:space="preserve">HMDB0245326</t>
  </si>
  <si>
    <t xml:space="preserve">OS(=O)(=O)C1=CC=C(F)C2=NON=C12</t>
  </si>
  <si>
    <t xml:space="preserve">BXHVBQRYTWNRSK-UHFFFAOYSA-N</t>
  </si>
  <si>
    <t xml:space="preserve">Benzoxadiazoles</t>
  </si>
  <si>
    <t xml:space="preserve">435.22548</t>
  </si>
  <si>
    <t xml:space="preserve">C19H34O8</t>
  </si>
  <si>
    <t xml:space="preserve">7,8-Dihydro-3b,6a-dihydroxy-alpha-ionol 9-glucoside; (3S,5R,6S,7E,9x)-7-Megastigmene-3,6,9-triol 9-glucoside</t>
  </si>
  <si>
    <t xml:space="preserve">64657; 10230</t>
  </si>
  <si>
    <t xml:space="preserve">HMDB0041578; HMDB0041176</t>
  </si>
  <si>
    <t xml:space="preserve">95958; 95598</t>
  </si>
  <si>
    <t xml:space="preserve">; LMFA13010057</t>
  </si>
  <si>
    <t xml:space="preserve">175123; </t>
  </si>
  <si>
    <t xml:space="preserve">85161713; 16745401</t>
  </si>
  <si>
    <t xml:space="preserve">177261-75-5; </t>
  </si>
  <si>
    <t xml:space="preserve">CC(CCC1(O)C(C)=CC(O)CC1(C)C)OC1OC(CO)C(O)C(O)C1O; C1C(C(O)(/C=C/C(OC2OC(C(C(O)C2O)O)CO)C)C(C)CC1O)(C)C</t>
  </si>
  <si>
    <t xml:space="preserve">PKDTXFWHZWYNAH-UHFFFAOYSA-N; MRPDHXXPDCVBPQ-AATRIKPKSA-N</t>
  </si>
  <si>
    <t xml:space="preserve">Fatty acyl glycosides; Fatty acyl glycosides</t>
  </si>
  <si>
    <t xml:space="preserve">435.30090</t>
  </si>
  <si>
    <t xml:space="preserve">C27H44O2</t>
  </si>
  <si>
    <t xml:space="preserve">7a-Hydroxy-cholestene-3-one</t>
  </si>
  <si>
    <t xml:space="preserve">46436</t>
  </si>
  <si>
    <t xml:space="preserve">HMDB0001993</t>
  </si>
  <si>
    <t xml:space="preserve">6419</t>
  </si>
  <si>
    <t xml:space="preserve">LMST04030123</t>
  </si>
  <si>
    <t xml:space="preserve">C05455</t>
  </si>
  <si>
    <t xml:space="preserve">17899</t>
  </si>
  <si>
    <t xml:space="preserve">123743</t>
  </si>
  <si>
    <t xml:space="preserve">3862-25-7</t>
  </si>
  <si>
    <t xml:space="preserve">C1[C@]2(C)[C@@]3([H])CC[C@]4(C)[C@@]([H])([C@]([H])(C)CCCC(C)C)CC[C@@]4([H])[C@]3([H])[C@H](O)CC2=CC(=O)C1</t>
  </si>
  <si>
    <t xml:space="preserve">IOIZWEJGGCZDOL-RQDYSCIWSA-N</t>
  </si>
  <si>
    <t xml:space="preserve">Cholestane steroids</t>
  </si>
  <si>
    <t xml:space="preserve">436.29651</t>
  </si>
  <si>
    <t xml:space="preserve">C27H45NO</t>
  </si>
  <si>
    <t xml:space="preserve">3-Epidemissidine</t>
  </si>
  <si>
    <t xml:space="preserve">56481</t>
  </si>
  <si>
    <t xml:space="preserve">HMDB0032023</t>
  </si>
  <si>
    <t xml:space="preserve">88125</t>
  </si>
  <si>
    <t xml:space="preserve">349393</t>
  </si>
  <si>
    <t xml:space="preserve">78513-80-1</t>
  </si>
  <si>
    <t xml:space="preserve">CC1C2CCC(C)CN2C2CC3C4CCC5CC(O)CCC5(C)C4CCC3(C)C12</t>
  </si>
  <si>
    <t xml:space="preserve">JALVTHFTYRPDMB-UHFFFAOYSA-N</t>
  </si>
  <si>
    <t xml:space="preserve">Steroidal alkaloids</t>
  </si>
  <si>
    <t xml:space="preserve">437.24879</t>
  </si>
  <si>
    <t xml:space="preserve">C26H34N2O4</t>
  </si>
  <si>
    <t xml:space="preserve">1,4-Bis((p-propylphenoxy)acetyl)piperazine</t>
  </si>
  <si>
    <t xml:space="preserve">203580</t>
  </si>
  <si>
    <t xml:space="preserve">HMDB0248499</t>
  </si>
  <si>
    <t xml:space="preserve">3030080</t>
  </si>
  <si>
    <t xml:space="preserve">CCCC1=CC=C(OCC(=O)N2CCN(CC2)C(=O)COC2=CC=C(CCC)C=C2)C=C1</t>
  </si>
  <si>
    <t xml:space="preserve">KEVBVAUPLFXJSV-UHFFFAOYSA-N</t>
  </si>
  <si>
    <t xml:space="preserve">437.30500</t>
  </si>
  <si>
    <t xml:space="preserve">C24H50S2</t>
  </si>
  <si>
    <t xml:space="preserve">Bis(2-methylundecan-2-yl) Disulfide</t>
  </si>
  <si>
    <t xml:space="preserve">83721</t>
  </si>
  <si>
    <t xml:space="preserve">HMDB0062674</t>
  </si>
  <si>
    <t xml:space="preserve">84283</t>
  </si>
  <si>
    <t xml:space="preserve">117981</t>
  </si>
  <si>
    <t xml:space="preserve">CCCCCCCCCC(C)(C)SSC(C)(C)CCCCCCCCC</t>
  </si>
  <si>
    <t xml:space="preserve">LEDIWWJKWAMGLD-UHFFFAOYSA-N</t>
  </si>
  <si>
    <t xml:space="preserve">Dialkyldisulfides</t>
  </si>
  <si>
    <t xml:space="preserve">438.25015</t>
  </si>
  <si>
    <t xml:space="preserve">C21H39NO7</t>
  </si>
  <si>
    <t xml:space="preserve">4-Hydroxytetradecanedioylcarnitine; 6-Hydroxytetradecanedioylcarnitine; 7-Hydroxytetradecanedioylcarnitine</t>
  </si>
  <si>
    <t xml:space="preserve">197969; 197970; 197971</t>
  </si>
  <si>
    <t xml:space="preserve">HMDB0241424; HMDB0241425; HMDB0241426</t>
  </si>
  <si>
    <t xml:space="preserve">C[N+](C)(C)CC(CC([O-])=O)OC(=O)CCC(O)CCCCCCCCCC(O)=O; C[N+](C)(C)CC(CC([O-])=O)OC(=O)CCCCC(O)CCCCCCCC(O)=O; C[N+](C)(C)CC(CC([O-])=O)OC(=O)CCCCCC(O)CCCCCCC(O)=O</t>
  </si>
  <si>
    <t xml:space="preserve">XKLKXCFRSRWAGG-UHFFFAOYSA-N; GAAAISBRTWYTJR-UHFFFAOYSA-N; UHMSNJXWQDGBSZ-UHFFFAOYSA-N</t>
  </si>
  <si>
    <t xml:space="preserve">439.09023</t>
  </si>
  <si>
    <t xml:space="preserve">C19H20O12</t>
  </si>
  <si>
    <t xml:space="preserve">3,5-Dihydroxyphenyl 1-O-(6-O-galloyl-beta-D-glucopyranoside)</t>
  </si>
  <si>
    <t xml:space="preserve">62592</t>
  </si>
  <si>
    <t xml:space="preserve">HMDB0039307</t>
  </si>
  <si>
    <t xml:space="preserve">93891</t>
  </si>
  <si>
    <t xml:space="preserve">169424</t>
  </si>
  <si>
    <t xml:space="preserve">131752603</t>
  </si>
  <si>
    <t xml:space="preserve">94356-21-5</t>
  </si>
  <si>
    <t xml:space="preserve">OC1C(O)C(COC(=O)C2=CC(O)=C(O)C(O)=C2)OC(OC2=CC(O)=CC(O)=C2)C1O</t>
  </si>
  <si>
    <t xml:space="preserve">WVHDGXKUZIDTIN-UHFFFAOYSA-N</t>
  </si>
  <si>
    <t xml:space="preserve">439.16373</t>
  </si>
  <si>
    <t xml:space="preserve">C18H23FN4O5</t>
  </si>
  <si>
    <t xml:space="preserve">Eperezolid</t>
  </si>
  <si>
    <t xml:space="preserve">206406</t>
  </si>
  <si>
    <t xml:space="preserve">HMDB0251836</t>
  </si>
  <si>
    <t xml:space="preserve">23278464</t>
  </si>
  <si>
    <t xml:space="preserve">CC(=O)NCC1CN(C(=O)O1)C1=CC(F)=C(C=C1)N1CCN(CC1)C(=O)CO</t>
  </si>
  <si>
    <t xml:space="preserve">SIMWTRCFFSTNMG-UHFFFAOYSA-N</t>
  </si>
  <si>
    <t xml:space="preserve">439.25232</t>
  </si>
  <si>
    <t xml:space="preserve">C28H34N4O2</t>
  </si>
  <si>
    <t xml:space="preserve">Motolimod</t>
  </si>
  <si>
    <t xml:space="preserve">208961</t>
  </si>
  <si>
    <t xml:space="preserve">HMDB0254904</t>
  </si>
  <si>
    <t xml:space="preserve">16049404</t>
  </si>
  <si>
    <t xml:space="preserve">CCCN(CCC)C(=O)C1=CC2=CC=C(C=C2N=C(N)C1)C1=CC=C(C=C1)C(=O)N1CCCC1</t>
  </si>
  <si>
    <t xml:space="preserve">QSPOQCXMGPDIHI-UHFFFAOYSA-N</t>
  </si>
  <si>
    <t xml:space="preserve">440.08219</t>
  </si>
  <si>
    <t xml:space="preserve">C19H17F2N3O5</t>
  </si>
  <si>
    <t xml:space="preserve">Cabotegravir</t>
  </si>
  <si>
    <t xml:space="preserve">204458</t>
  </si>
  <si>
    <t xml:space="preserve">HMDB0249523</t>
  </si>
  <si>
    <t xml:space="preserve">66799609</t>
  </si>
  <si>
    <t xml:space="preserve">CC1COC2CN3C=C(C(=O)NCC4=C(F)C=C(F)C=C4)C(=O)C(O)=C3C(=O)N12</t>
  </si>
  <si>
    <t xml:space="preserve">WCWSTNLSLKSJPK-UHFFFAOYSA-N</t>
  </si>
  <si>
    <t xml:space="preserve">440.25292</t>
  </si>
  <si>
    <t xml:space="preserve">C25H35N3O4</t>
  </si>
  <si>
    <t xml:space="preserve">Pentanoic acid, 5-(dipentylamino)-5-oxo-4-((3-quinolinylcarbonyl)amino)-, (R)-</t>
  </si>
  <si>
    <t xml:space="preserve">202915</t>
  </si>
  <si>
    <t xml:space="preserve">HMDB0247713</t>
  </si>
  <si>
    <t xml:space="preserve">9980754</t>
  </si>
  <si>
    <t xml:space="preserve">CCCCCN(CCCCC)C(=O)C(CCC(O)=O)NC(=O)C1=CC2=CC=CC=C2N=C1</t>
  </si>
  <si>
    <t xml:space="preserve">LVIZXRRZYVZZEN-UHFFFAOYSA-N</t>
  </si>
  <si>
    <t xml:space="preserve">441.26616</t>
  </si>
  <si>
    <t xml:space="preserve">C27H38O5</t>
  </si>
  <si>
    <t xml:space="preserve">Muzanzagenin; 2,9-Bis(3-methyl-2E-pentenoyl)-2b,9a-dihydroxy-4Z,10(14)-oplopadien-3-one</t>
  </si>
  <si>
    <t xml:space="preserve">56891; 58171</t>
  </si>
  <si>
    <t xml:space="preserve">HMDB0032601; HMDB0034065</t>
  </si>
  <si>
    <t xml:space="preserve">; 89691</t>
  </si>
  <si>
    <t xml:space="preserve">; 175563</t>
  </si>
  <si>
    <t xml:space="preserve">85284301; 131751520</t>
  </si>
  <si>
    <t xml:space="preserve">197080-19-6; 237407-03-3</t>
  </si>
  <si>
    <t xml:space="preserve">CC1C2C(CC3C4=CCC5=CC(=O)C(O)CC5(C)C4CC(O)C23C)OC11CCC(C)CO1; CC\C(C)=C/C(=O)OC1C2C(C(CC(OC(=O)\C=C(/C)CC)C2=C)C(C)C)\C(=C\C)C1=O</t>
  </si>
  <si>
    <t xml:space="preserve">QRAOBCVRMVGMTN-UHFFFAOYSA-N; JIHQHYGTRUPAHN-PISIAACCSA-N</t>
  </si>
  <si>
    <t xml:space="preserve">Steroids and steroid derivatives; Prenol lipids</t>
  </si>
  <si>
    <t xml:space="preserve">Oxosteroids; Sesquiterpenoids</t>
  </si>
  <si>
    <t xml:space="preserve">442.01068</t>
  </si>
  <si>
    <t xml:space="preserve">C11H21NO9S3</t>
  </si>
  <si>
    <t xml:space="preserve">4-Mercaptobutyl glucosinolate; Glucoibervirin</t>
  </si>
  <si>
    <t xml:space="preserve">63131; 256522</t>
  </si>
  <si>
    <t xml:space="preserve">HMDB0039895; HMDB0303666</t>
  </si>
  <si>
    <t xml:space="preserve">94439; </t>
  </si>
  <si>
    <t xml:space="preserve">131752747; 15560240</t>
  </si>
  <si>
    <t xml:space="preserve">OCC1OC(S\C(CCCCS)=N\OS(O)(=O)=O)C(O)C(O)C1O; CSCCC\C(SC1OC(CO)C(O)C(O)C1O)=N/OS(O)(=O)=O</t>
  </si>
  <si>
    <t xml:space="preserve">KQCBSBJKABPMAT-KPKJPENVSA-N; ZCZCVJVUJGULMO-KPKJPENVSA-N</t>
  </si>
  <si>
    <t xml:space="preserve">442.18881</t>
  </si>
  <si>
    <t xml:space="preserve">C20H31N5O3S</t>
  </si>
  <si>
    <t xml:space="preserve">Sufotidine</t>
  </si>
  <si>
    <t xml:space="preserve">212051</t>
  </si>
  <si>
    <t xml:space="preserve">HMDB0258563</t>
  </si>
  <si>
    <t xml:space="preserve">CN1N=C(CS(C)(=O)=O)N=C1NCCCOC1=CC=CC(CN2CCCCC2)=C1</t>
  </si>
  <si>
    <t xml:space="preserve">JEYKZWRXDALMNG-UHFFFAOYSA-N</t>
  </si>
  <si>
    <t xml:space="preserve">Benzylpiperidines</t>
  </si>
  <si>
    <t xml:space="preserve">442.26572</t>
  </si>
  <si>
    <t xml:space="preserve">C20H39N5O7</t>
  </si>
  <si>
    <t xml:space="preserve">Verdamicin</t>
  </si>
  <si>
    <t xml:space="preserve">213032</t>
  </si>
  <si>
    <t xml:space="preserve">HMDB0259789</t>
  </si>
  <si>
    <t xml:space="preserve">170820</t>
  </si>
  <si>
    <t xml:space="preserve">CNC1C(O)C(OC2C(N)CC(N)C(OC3OC(=CCC3N)C(C)N)C2O)OCC1(C)O</t>
  </si>
  <si>
    <t xml:space="preserve">XUSXOPRDIDWMFO-UHFFFAOYSA-N</t>
  </si>
  <si>
    <t xml:space="preserve">443.01767</t>
  </si>
  <si>
    <t xml:space="preserve">C17H17Cl2FN4O4S</t>
  </si>
  <si>
    <t xml:space="preserve">Elubrixin</t>
  </si>
  <si>
    <t xml:space="preserve">206350</t>
  </si>
  <si>
    <t xml:space="preserve">HMDB0251759</t>
  </si>
  <si>
    <t xml:space="preserve">10479502</t>
  </si>
  <si>
    <t xml:space="preserve">OC1=C(C(Cl)=CC=C1NC(=O)NC1=C(Cl)C(F)=CC=C1)S(=O)(=O)N1CCNCC1</t>
  </si>
  <si>
    <t xml:space="preserve">YQYFEGTYCUQBEI-UHFFFAOYSA-N</t>
  </si>
  <si>
    <t xml:space="preserve">443.28909</t>
  </si>
  <si>
    <t xml:space="preserve">C10H22O5</t>
  </si>
  <si>
    <t xml:space="preserve">Tetraglyme</t>
  </si>
  <si>
    <t xml:space="preserve">212330</t>
  </si>
  <si>
    <t xml:space="preserve">HMDB0258894</t>
  </si>
  <si>
    <t xml:space="preserve">46785</t>
  </si>
  <si>
    <t xml:space="preserve">COCCOCCOCCOCCOC</t>
  </si>
  <si>
    <t xml:space="preserve">ZUHZGEOKBKGPSW-UHFFFAOYSA-N</t>
  </si>
  <si>
    <t xml:space="preserve">445.05846</t>
  </si>
  <si>
    <t xml:space="preserve">C16H18N4O7S</t>
  </si>
  <si>
    <t xml:space="preserve">BENSULFURON-METHYL</t>
  </si>
  <si>
    <t xml:space="preserve">203989</t>
  </si>
  <si>
    <t xml:space="preserve">HMDB0248961</t>
  </si>
  <si>
    <t xml:space="preserve">68703</t>
  </si>
  <si>
    <t xml:space="preserve">C10937</t>
  </si>
  <si>
    <t xml:space="preserve">3017</t>
  </si>
  <si>
    <t xml:space="preserve">54960</t>
  </si>
  <si>
    <t xml:space="preserve">83055-99-6</t>
  </si>
  <si>
    <t xml:space="preserve">COC(=O)C1=CC=CC=C1CS(=O)(=O)NC(=O)NC1=NC(OC)=CC(OC)=N1</t>
  </si>
  <si>
    <t xml:space="preserve">XMQFTWRPUQYINF-UHFFFAOYSA-N</t>
  </si>
  <si>
    <t xml:space="preserve">445.18911</t>
  </si>
  <si>
    <t xml:space="preserve">C25H26N4O4</t>
  </si>
  <si>
    <t xml:space="preserve">Methyl (2R,3R)-2-[(3-carbamimidoylphenyl)methyl]-3-[[4-(1-oxidopyridin-1-ium-4-yl)benzoyl]amino]butanoate</t>
  </si>
  <si>
    <t xml:space="preserve">203043</t>
  </si>
  <si>
    <t xml:space="preserve">HMDB0247861</t>
  </si>
  <si>
    <t xml:space="preserve">4631610</t>
  </si>
  <si>
    <t xml:space="preserve">COC(=O)C(CC1=CC=CC(=C1)C(N)=N)C(C)NC(=O)C1=CC=C(C=C1)C1=CC=[N+]([O-])C=C1</t>
  </si>
  <si>
    <t xml:space="preserve">PFGVNLZDWRZPJW-UHFFFAOYSA-N</t>
  </si>
  <si>
    <t xml:space="preserve">445.24452</t>
  </si>
  <si>
    <t xml:space="preserve">C23H34N4O5</t>
  </si>
  <si>
    <t xml:space="preserve">Tert-butyl (2-{7-[(2S)-3-(4-cyanophenoxy)-2-hydroxypropyl]-9-oxa-3,7-diazabicyclo[3.3.1]non-3-yl}ethyl)carbamate</t>
  </si>
  <si>
    <t xml:space="preserve">203812</t>
  </si>
  <si>
    <t xml:space="preserve">HMDB0248771</t>
  </si>
  <si>
    <t xml:space="preserve">9846414</t>
  </si>
  <si>
    <t xml:space="preserve">CC(C)(C)OC(=O)NCCN1CC2CN(CC(O)COC3=CC=C(C=C3)C#N)CC(C1)O2</t>
  </si>
  <si>
    <t xml:space="preserve">JRHUUZPSMQIWBQ-UHFFFAOYSA-N</t>
  </si>
  <si>
    <t xml:space="preserve">447.19805</t>
  </si>
  <si>
    <t xml:space="preserve">C25H32F2O6</t>
  </si>
  <si>
    <t xml:space="preserve">6alpha,9alpha-Difluoroprednisolone-17-butyrate</t>
  </si>
  <si>
    <t xml:space="preserve">82657</t>
  </si>
  <si>
    <t xml:space="preserve">HMDB0060797</t>
  </si>
  <si>
    <t xml:space="preserve">457737</t>
  </si>
  <si>
    <t xml:space="preserve">12986413</t>
  </si>
  <si>
    <t xml:space="preserve">CCCC(=O)O[C@@]1(CC[C@H]2[C@@H]3C[C@H](F)C4=CC(=O)C=C[C@]4(C)[C@@]3(F)[C@@H](O)C[C@]12C)C(=O)CO</t>
  </si>
  <si>
    <t xml:space="preserve">BQEJAAIPKDQEPV-MXHGPKCJSA-N</t>
  </si>
  <si>
    <t xml:space="preserve">Hydroxysteroids</t>
  </si>
  <si>
    <t xml:space="preserve">447.23944</t>
  </si>
  <si>
    <t xml:space="preserve">C24H34O5</t>
  </si>
  <si>
    <t xml:space="preserve">Lucidone A</t>
  </si>
  <si>
    <t xml:space="preserve">59673</t>
  </si>
  <si>
    <t xml:space="preserve">HMDB0035844</t>
  </si>
  <si>
    <t xml:space="preserve">78173439</t>
  </si>
  <si>
    <t xml:space="preserve">97653-92-4</t>
  </si>
  <si>
    <t xml:space="preserve">CC(=O)C1CC(=O)C2(C)C3=C(C(=O)CC12C)C1(C)CCC(O)C(C)(C)C1CC3O</t>
  </si>
  <si>
    <t xml:space="preserve">NKQOQQOOZLPVEV-UHFFFAOYSA-N</t>
  </si>
  <si>
    <t xml:space="preserve">Oxosteroids</t>
  </si>
  <si>
    <t xml:space="preserve">448.01008</t>
  </si>
  <si>
    <t xml:space="preserve">C17H14ClF2N3O3S</t>
  </si>
  <si>
    <t xml:space="preserve">N-(3-(5-Chloro-1H-pyrrolo[2,3-b]pyridine-3-carbonyl)-2,4-difluorophenyl)propane-1-sulfonamide</t>
  </si>
  <si>
    <t xml:space="preserve">210472</t>
  </si>
  <si>
    <t xml:space="preserve">HMDB0256648</t>
  </si>
  <si>
    <t xml:space="preserve">90295</t>
  </si>
  <si>
    <t xml:space="preserve">CCCS(=O)(=O)NC1=C(F)C(C(=O)C2=CNC3=NC=C(Cl)C=C23)=C(F)C=C1</t>
  </si>
  <si>
    <t xml:space="preserve">YZDJQTHVDDOVHR-UHFFFAOYSA-N</t>
  </si>
  <si>
    <t xml:space="preserve">449.03437</t>
  </si>
  <si>
    <t xml:space="preserve">C14H16N2O8S2</t>
  </si>
  <si>
    <t xml:space="preserve">Disuccinimido dithiobispropionate; Dithio bis(succinimidyl propionate)</t>
  </si>
  <si>
    <t xml:space="preserve">202272; 211584</t>
  </si>
  <si>
    <t xml:space="preserve">HMDB0246983; HMDB0257986</t>
  </si>
  <si>
    <t xml:space="preserve">93313; 87682079</t>
  </si>
  <si>
    <t xml:space="preserve">O=C(CCSSCCC(=O)ON1C(=O)CCC1=O)ON1C(=O)CCC1=O; CC(N1C(=O)CCC1=O)C(=O)OSSOC(=O)C(C)N1C(=O)CCC1=O</t>
  </si>
  <si>
    <t xml:space="preserve">FXYPGCIGRDZWNR-UHFFFAOYSA-N; LACAPSIKXZYTNR-UHFFFAOYSA-N</t>
  </si>
  <si>
    <t xml:space="preserve">Dicarboxylic acids and derivatives; Amino acids, peptides, and analogues</t>
  </si>
  <si>
    <t xml:space="preserve">449.28228</t>
  </si>
  <si>
    <t xml:space="preserve">C28H44O2</t>
  </si>
  <si>
    <t xml:space="preserve">4a-Formyl-5a-cholesta-8,24-dien-3b-ol; 25-Hydroxyvitamin D2; 4α-formyl-5α-cholesta-8,24-dien-3β-ol</t>
  </si>
  <si>
    <t xml:space="preserve">47452; 47587; 43558</t>
  </si>
  <si>
    <t xml:space="preserve">HMDB0001203; HMDB0001438; HMDB0062389</t>
  </si>
  <si>
    <t xml:space="preserve">57665; ; </t>
  </si>
  <si>
    <t xml:space="preserve">; ; LMST01010226</t>
  </si>
  <si>
    <t xml:space="preserve">656456; 22833566; 22298941</t>
  </si>
  <si>
    <t xml:space="preserve">; 21343-40-8; </t>
  </si>
  <si>
    <t xml:space="preserve">CC(CCC=C(C)C)C1CCC2C3=C(CCC12C)C1(C)CCC(O)C(C=O)C1CC3; C[C@H](\C=C\[C@H](C)C(O)(C)C)C1CC[C@@]2([H])\C(CCC[C@]12C)=C\C=C1\C[C@@H](O)CCC1=C; C12CC[C@@]3([H])[C@H](C=O)[C@@H](O)CC[C@]3(C)C=1CC[C@]1(C)[C@@]([H])([C@@](C)([H])CC/C=C(\C)/C)CC[C@@]21[H]</t>
  </si>
  <si>
    <t xml:space="preserve">ZLQSSFNCEUGGJF-UHFFFAOYSA-N; KJKIIUAXZGLUND-BJWBXCNSSA-N; ZLQSSFNCEUGGJF-NUESBDPTSA-N</t>
  </si>
  <si>
    <t xml:space="preserve">Cholestane steroids; Vitamin D and derivatives; Cholestane steroids</t>
  </si>
  <si>
    <t xml:space="preserve">450.92824</t>
  </si>
  <si>
    <t xml:space="preserve">C16H10Cl4N4O2</t>
  </si>
  <si>
    <t xml:space="preserve">Iodo-gen</t>
  </si>
  <si>
    <t xml:space="preserve">202202</t>
  </si>
  <si>
    <t xml:space="preserve">HMDB0246899</t>
  </si>
  <si>
    <t xml:space="preserve">ClN1C(=O)N(Cl)C2(N(Cl)C(=O)N(Cl)C12C1=CC=CC=C1)C1=CC=CC=C1</t>
  </si>
  <si>
    <t xml:space="preserve">FJQZXCPWAGYPSD-UHFFFAOYSA-N</t>
  </si>
  <si>
    <t xml:space="preserve">452.29078</t>
  </si>
  <si>
    <t xml:space="preserve">C27H45NO2</t>
  </si>
  <si>
    <t xml:space="preserve">Tomatidine</t>
  </si>
  <si>
    <t xml:space="preserve">58715</t>
  </si>
  <si>
    <t xml:space="preserve">HMDB0034731</t>
  </si>
  <si>
    <t xml:space="preserve">C10826</t>
  </si>
  <si>
    <t xml:space="preserve">9629</t>
  </si>
  <si>
    <t xml:space="preserve">312827</t>
  </si>
  <si>
    <t xml:space="preserve">77-59-8</t>
  </si>
  <si>
    <t xml:space="preserve">CC1C2C(CC3C4CCC5CC(O)CCC5(C)C4CCC23C)OC11CCC(C)CN1</t>
  </si>
  <si>
    <t xml:space="preserve">XYNPYHXGMWJBLV-UHFFFAOYSA-N</t>
  </si>
  <si>
    <t xml:space="preserve">453.02927</t>
  </si>
  <si>
    <t xml:space="preserve">C7H5N3O6</t>
  </si>
  <si>
    <t xml:space="preserve">2,4,6-Trinitrotoluene</t>
  </si>
  <si>
    <t xml:space="preserve">200912</t>
  </si>
  <si>
    <t xml:space="preserve">HMDB0245483</t>
  </si>
  <si>
    <t xml:space="preserve">71179</t>
  </si>
  <si>
    <t xml:space="preserve">C16391</t>
  </si>
  <si>
    <t xml:space="preserve">46053</t>
  </si>
  <si>
    <t xml:space="preserve">8376</t>
  </si>
  <si>
    <t xml:space="preserve">118-96-7</t>
  </si>
  <si>
    <t xml:space="preserve">CC1=C(C=C(C=C1[N+]([O-])=O)[N+]([O-])=O)[N+]([O-])=O</t>
  </si>
  <si>
    <t xml:space="preserve">SPSSULHKWOKEEL-UHFFFAOYSA-N</t>
  </si>
  <si>
    <t xml:space="preserve">453.08018</t>
  </si>
  <si>
    <t xml:space="preserve">C18H21ClN4O9</t>
  </si>
  <si>
    <t xml:space="preserve">Bofumustine</t>
  </si>
  <si>
    <t xml:space="preserve">204303</t>
  </si>
  <si>
    <t xml:space="preserve">HMDB0249337</t>
  </si>
  <si>
    <t xml:space="preserve">430596</t>
  </si>
  <si>
    <t xml:space="preserve">CC1(C)OC2C(COC(=O)C3=CC=C(C=C3)[N+]([O-])=O)OC(NC(=O)N(CCCl)N=O)C2O1</t>
  </si>
  <si>
    <t xml:space="preserve">YASNUXZKZNVXIS-UHFFFAOYSA-N</t>
  </si>
  <si>
    <t xml:space="preserve">453.23981</t>
  </si>
  <si>
    <t xml:space="preserve">C25H32N2O3</t>
  </si>
  <si>
    <t xml:space="preserve">Lofentanilum</t>
  </si>
  <si>
    <t xml:space="preserve">208336</t>
  </si>
  <si>
    <t xml:space="preserve">HMDB0254148</t>
  </si>
  <si>
    <t xml:space="preserve">61095</t>
  </si>
  <si>
    <t xml:space="preserve">123642</t>
  </si>
  <si>
    <t xml:space="preserve">CCC(=O)N(C1=CC=CC=C1)C1(CCN(CCC2=CC=CC=C2)CC1C)C(=O)OC</t>
  </si>
  <si>
    <t xml:space="preserve">IMYHGORQCPYVBZ-UHFFFAOYSA-N</t>
  </si>
  <si>
    <t xml:space="preserve">Fentanyls</t>
  </si>
  <si>
    <t xml:space="preserve">454.31266</t>
  </si>
  <si>
    <t xml:space="preserve">C25H47NO7</t>
  </si>
  <si>
    <t xml:space="preserve">(9S,10E,12S,13S)-9,12,13-Trihydroxyoctadec-10-enoylcarnitine; (9S,10R,11E,13S)-9,10,13-Trihydroxyoctadec-11-enoylcarnitine</t>
  </si>
  <si>
    <t xml:space="preserve">198073; 198074</t>
  </si>
  <si>
    <t xml:space="preserve">HMDB0241532; HMDB0241533</t>
  </si>
  <si>
    <t xml:space="preserve">CCCCCC(O)C(O)C=CC(O)CCCCCCCC(=O)OC(CC([O-])=O)C[N+](C)(C)C; CCCCCC(O)C=CC(O)C(O)CCCCCCCC(=O)OC(CC([O-])=O)C[N+](C)(C)C</t>
  </si>
  <si>
    <t xml:space="preserve">JDXAKTPKOTZICL-UHFFFAOYSA-N; XLFQVLLFGOATCW-UHFFFAOYSA-N</t>
  </si>
  <si>
    <t xml:space="preserve">455.24166</t>
  </si>
  <si>
    <t xml:space="preserve">C27H36O6</t>
  </si>
  <si>
    <t xml:space="preserve">Lucidenolactone</t>
  </si>
  <si>
    <t xml:space="preserve">55616</t>
  </si>
  <si>
    <t xml:space="preserve">HMDB0030897</t>
  </si>
  <si>
    <t xml:space="preserve">87265</t>
  </si>
  <si>
    <t xml:space="preserve">78384956</t>
  </si>
  <si>
    <t xml:space="preserve">CC1(CCC(=O)O1)C1CC(=O)C2(C)C3=C(C(=O)CC12C)C1(C)CCC(=O)C(C)(C)C1CC3O</t>
  </si>
  <si>
    <t xml:space="preserve">NEYFZTSOEPMHGQ-UHFFFAOYSA-N</t>
  </si>
  <si>
    <t xml:space="preserve">Triterpenoids</t>
  </si>
  <si>
    <t xml:space="preserve">455.32357</t>
  </si>
  <si>
    <t xml:space="preserve">C28H46N2O4</t>
  </si>
  <si>
    <t xml:space="preserve">Dehydrocarpaine II</t>
  </si>
  <si>
    <t xml:space="preserve">55096</t>
  </si>
  <si>
    <t xml:space="preserve">HMDB0030273</t>
  </si>
  <si>
    <t xml:space="preserve">86851</t>
  </si>
  <si>
    <t xml:space="preserve">5318023</t>
  </si>
  <si>
    <t xml:space="preserve">72362-03-9</t>
  </si>
  <si>
    <t xml:space="preserve">CC1=NC2CCC1OC(=O)CCCCCCCC1CCC(OC(=O)CCCCCCC2)C(C)=N1</t>
  </si>
  <si>
    <t xml:space="preserve">OEDAQCLCHGASNH-UHFFFAOYSA-N</t>
  </si>
  <si>
    <t xml:space="preserve">456.03776</t>
  </si>
  <si>
    <t xml:space="preserve">C17H17N5O6S</t>
  </si>
  <si>
    <t xml:space="preserve">4-Nitrobenzylthioinosine; 9-[(2R,3R,4S,5S)-3,4-Dihydroxy-5-[(4-nitrophenyl)methylsulfanylmethyl]oxolan-2-yl]-1H-purin-6-one; Nitrobenzyl-6-thioinosine</t>
  </si>
  <si>
    <t xml:space="preserve">209471; 211546; 209599</t>
  </si>
  <si>
    <t xml:space="preserve">HMDB0255484; HMDB0257940; HMDB0255642</t>
  </si>
  <si>
    <t xml:space="preserve">5129; 135829329; </t>
  </si>
  <si>
    <t xml:space="preserve">OCC1OC(C(O)C1O)N1C=NC2=C1N=CN=C2SCC1=CC=C(C=C1)[N+]([O-])=O; OC1C(CSCC2=CC=C(C=C2)[N+]([O-])=O)OC(C1O)N1C=NC2=C1N=CNC2=O; OCC1OC(CC2=CC=CC=C2)(N2C=NC3=C2NC=NC3=S)C(O)(C1O)[N+]([O-])=O</t>
  </si>
  <si>
    <t xml:space="preserve">DYCJFJRCWPVDHY-UHFFFAOYSA-N; SUFGOXZGWHBELN-UHFFFAOYSA-N; YRDGIFPBFBQFND-UHFFFAOYSA-N</t>
  </si>
  <si>
    <t xml:space="preserve">Nucleosides, nucleotides, and analogues; Nucleosides, nucleotides, and analogues; Nucleosides, nucleotides, and analogues</t>
  </si>
  <si>
    <t xml:space="preserve">Purine nucleosides; 5'-deoxyribonucleosides; Purine nucleosides</t>
  </si>
  <si>
    <t xml:space="preserve">Unclassified; 5'-deoxy-5'-thionucleosides; Unclassified</t>
  </si>
  <si>
    <t xml:space="preserve">457.23035</t>
  </si>
  <si>
    <t xml:space="preserve">C23H38O7S</t>
  </si>
  <si>
    <t xml:space="preserve">3-Sulfodeoxycholic acid</t>
  </si>
  <si>
    <t xml:space="preserve">47955</t>
  </si>
  <si>
    <t xml:space="preserve">HMDB0002504</t>
  </si>
  <si>
    <t xml:space="preserve">67045</t>
  </si>
  <si>
    <t xml:space="preserve">10255824</t>
  </si>
  <si>
    <t xml:space="preserve">67030-48-2</t>
  </si>
  <si>
    <t xml:space="preserve">[H][C@@]12CC[C@H]([C@H](C)CCC(O)=O)C1[C@@H](O)C[C@@]1([H])[C@@]2([H])CC[C@]2([H])C[C@@H](CC[C@]12C)OS(O)(=O)=O</t>
  </si>
  <si>
    <t xml:space="preserve">WSBVSABEAXNERB-JNLBVXOESA-N</t>
  </si>
  <si>
    <t xml:space="preserve">Sulfated steroids</t>
  </si>
  <si>
    <t xml:space="preserve">457.28673</t>
  </si>
  <si>
    <t xml:space="preserve">C15H19NO</t>
  </si>
  <si>
    <t xml:space="preserve">2,4-Undecadiene-8,10-diynoic acid isobutylamide; Neopellitorine A</t>
  </si>
  <si>
    <t xml:space="preserve">8740; 8768</t>
  </si>
  <si>
    <t xml:space="preserve">HMDB0039106; HMDB0037770</t>
  </si>
  <si>
    <t xml:space="preserve">93707; 92585</t>
  </si>
  <si>
    <t xml:space="preserve">LMFA08020164; LMFA08020192</t>
  </si>
  <si>
    <t xml:space="preserve">15609884; 636555</t>
  </si>
  <si>
    <t xml:space="preserve">13891-74-2; </t>
  </si>
  <si>
    <t xml:space="preserve">C(/C=C/C=C\CCC#CC#C)(=O)NCC(C)C; CC#CC#CC/C=C/C=C/C(NCC(C)C)=O</t>
  </si>
  <si>
    <t xml:space="preserve">PSAKYIJFKFCZFO-XAZJVICWSA-N; LFYBJVLJNNOYNG-HULFFUFUSA-N</t>
  </si>
  <si>
    <t xml:space="preserve">Fatty amides; Fatty amides</t>
  </si>
  <si>
    <t xml:space="preserve">457.33495</t>
  </si>
  <si>
    <t xml:space="preserve">C29H46O4</t>
  </si>
  <si>
    <t xml:space="preserve">(3beta,5alpha,9alpha,22E,24R)-3,5,9-Trihydroxy-23-methylergosta-7,22-dien-6-one; 2-(Methoxycarbonyl)-5-methyl-2,4-bis(3-methyl-2-butenyl)-6-(2-methyl-1-oxopropyl)-5-(4-methyl-3-pentenyl)cyclohexanone; (3beta,17alpha,23S)-17,23-Epoxy-3,29-dihydroxy-27-norlanost-8-en-24-one</t>
  </si>
  <si>
    <t xml:space="preserve">56952; 59803; 59044</t>
  </si>
  <si>
    <t xml:space="preserve">HMDB0032669; HMDB0035995; HMDB0035142</t>
  </si>
  <si>
    <t xml:space="preserve">88610; 91178; 90478</t>
  </si>
  <si>
    <t xml:space="preserve">; 175646; </t>
  </si>
  <si>
    <t xml:space="preserve">131751277; 73106016; 73816064</t>
  </si>
  <si>
    <t xml:space="preserve">211486-12-3; ; </t>
  </si>
  <si>
    <t xml:space="preserve">CC(C)C(C)C(\C)=C\C(C)C1CCC2C3=CC(=O)C4(O)CC(O)CCC4(C)C3(O)CCC12C; COC(=O)C1(CC=C(C)C)CC(CC=C(C)C)C(C)(CCC=C(C)C)C(C(=O)C(C)C)C1=O; CCC(=O)C1CC(C)C2(CCC3(C)C4=C(CCC23C)C2(C)CCC(O)C(C)(CO)C2CC4)O1</t>
  </si>
  <si>
    <t xml:space="preserve">MRERMGPPCLQIPD-NBVRZTHBSA-N; QVUJYADKXQKJHK-UHFFFAOYSA-N; WKRCCXBCFBIWPN-UHFFFAOYSA-N</t>
  </si>
  <si>
    <t xml:space="preserve">Steroids and steroid derivatives; Prenol lipids; Prenol lipids</t>
  </si>
  <si>
    <t xml:space="preserve">Ergostane steroids; Monoterpenoids; Triterpenoids</t>
  </si>
  <si>
    <t xml:space="preserve">458.28743</t>
  </si>
  <si>
    <t xml:space="preserve">C27H41NO5</t>
  </si>
  <si>
    <t xml:space="preserve">(5Z)-7-[(1S,5E)-5-[(2E)-Oct-2-en-1-ylidene]-4-oxocyclopent-2-en-1-yl]hept-5-enoylcarnitine</t>
  </si>
  <si>
    <t xml:space="preserve">198407</t>
  </si>
  <si>
    <t xml:space="preserve">HMDB0241886</t>
  </si>
  <si>
    <t xml:space="preserve">CCCCCC=CC=C1C(CC=CCCCC(=O)OC(CC([O-])=O)C[N+](C)(C)C)C=CC1=O</t>
  </si>
  <si>
    <t xml:space="preserve">YJNDLUQGHWGUSL-UHFFFAOYSA-N</t>
  </si>
  <si>
    <t xml:space="preserve">459.15528</t>
  </si>
  <si>
    <t xml:space="preserve">C25H28O6</t>
  </si>
  <si>
    <t xml:space="preserve">Kuwanon E; Dulxanthone C; (±)-2',4',5,7-Tetrahydroxy-3',8-diprenylisoflavanone</t>
  </si>
  <si>
    <t xml:space="preserve">34635; 56381; 29628</t>
  </si>
  <si>
    <t xml:space="preserve">HMDB0030862; HMDB0031917; HMDB0031743</t>
  </si>
  <si>
    <t xml:space="preserve">; 88033; 47994</t>
  </si>
  <si>
    <t xml:space="preserve">LMPK12140462; ; LMPK12050490</t>
  </si>
  <si>
    <t xml:space="preserve">; 175405; </t>
  </si>
  <si>
    <t xml:space="preserve">10342292; 10670015; 480785</t>
  </si>
  <si>
    <t xml:space="preserve">68401-05-8; 4178-45-4; </t>
  </si>
  <si>
    <t xml:space="preserve">C1(O)=CC2OC(C3C(O)=CC(O)=C(C/C=C(\C)/CC/C=C(\C)/C)C=3)CC(=O)C=2C(O)=C1; COC1=C(O)C2=C(C(CC=C(C)C)=C1)C(=O)C1=C(O2)C(CC=C(C)C)=C(OC)C=C1O; C1(O)C=C(O)C2C(=O)C(C3=C(O)C(C/C=C(/C)\C)=C(O)C=C3)COC=2C=1C/C=C(/C)\C</t>
  </si>
  <si>
    <t xml:space="preserve">GJFHZVPRFLHEBR-VIZOYTHASA-N; ZAAAUPCCIDWPPI-UHFFFAOYSA-N; FSHPJPOJLGCQOJ-UHFFFAOYSA-N</t>
  </si>
  <si>
    <t xml:space="preserve">Phenylpropanoids and polyketides; Organoheterocyclic compounds; Phenylpropanoids and polyketides</t>
  </si>
  <si>
    <t xml:space="preserve">Flavonoids; Benzopyrans; Isoflavonoids</t>
  </si>
  <si>
    <t xml:space="preserve">Flavans; 1-benzopyrans; Isoflavans</t>
  </si>
  <si>
    <t xml:space="preserve">459.30005</t>
  </si>
  <si>
    <t xml:space="preserve">C27H44NO6</t>
  </si>
  <si>
    <t xml:space="preserve">(20‐{[1‐Carboxylato‐3‐(trimethylammonio)propan‐2‐ yl]oxy}‐20‐oxoicosa‐6,8,12,15‐tetraen‐10‐yl)peroxy; (1‐{[1‐carboxylato‐3‐(trimethylammonio)propan‐2‐ yl]oxy}‐1‐oxoicosa‐5,7,11,14‐tetraen‐9‐yl)peroxy</t>
  </si>
  <si>
    <t xml:space="preserve">198321; 198320</t>
  </si>
  <si>
    <t xml:space="preserve">HMDB0241799; HMDB0241798</t>
  </si>
  <si>
    <t xml:space="preserve">CCCCCC=CC=CC(CC=CCC=CCCCC(=O)OC(CC([O-])=O)C[N+](C)(C)C)O[O]; CCCCCC=CCC=CCC(O[O])C=CC=CCCCC(=O)OC(CC([O-])=O)C[N+](C)(C)C</t>
  </si>
  <si>
    <t xml:space="preserve">CDZOZCSKYWZOQW-UHFFFAOYSA-N; NFTCUVFQCWRBLU-UHFFFAOYSA-N</t>
  </si>
  <si>
    <t xml:space="preserve">460.29913</t>
  </si>
  <si>
    <t xml:space="preserve">C24H45N3O3</t>
  </si>
  <si>
    <t xml:space="preserve">Gallamonum</t>
  </si>
  <si>
    <t xml:space="preserve">207055</t>
  </si>
  <si>
    <t xml:space="preserve">HMDB0252596</t>
  </si>
  <si>
    <t xml:space="preserve">44835</t>
  </si>
  <si>
    <t xml:space="preserve">503442</t>
  </si>
  <si>
    <t xml:space="preserve">67425</t>
  </si>
  <si>
    <t xml:space="preserve">65-29-2</t>
  </si>
  <si>
    <t xml:space="preserve">CCN(CC)CCOC1=CC=CC(OCCN(CC)CC)=C1OCCN(CC)CC</t>
  </si>
  <si>
    <t xml:space="preserve">ICLWTJIMXVISSR-UHFFFAOYSA-N</t>
  </si>
  <si>
    <t xml:space="preserve">461.24762</t>
  </si>
  <si>
    <t xml:space="preserve">C28H34N2O4</t>
  </si>
  <si>
    <t xml:space="preserve">Diazepinomicin</t>
  </si>
  <si>
    <t xml:space="preserve">205800</t>
  </si>
  <si>
    <t xml:space="preserve">HMDB0251149</t>
  </si>
  <si>
    <t xml:space="preserve">66933925</t>
  </si>
  <si>
    <t xml:space="preserve">CC(C)=CCCC(C)=CCCC(C)=CCN1C2=CC(O)=CC(O)=C2NC2=C(O)C=CC=C2C1=O</t>
  </si>
  <si>
    <t xml:space="preserve">SALVHVNECODMJP-UHFFFAOYSA-N</t>
  </si>
  <si>
    <t xml:space="preserve">Dibenzodiazepines</t>
  </si>
  <si>
    <t xml:space="preserve">461.31843</t>
  </si>
  <si>
    <t xml:space="preserve">C29H46O2</t>
  </si>
  <si>
    <t xml:space="preserve">4alpha-Formyl-4beta-methyl-5alpha-cholesta-8,24-dien-3beta-ol; 7-Oxostigmasterol; 4α-formyl-4β-methyl-5α-cholesta-8,24-dien-3β-ol</t>
  </si>
  <si>
    <t xml:space="preserve">51880; 54873; 43561</t>
  </si>
  <si>
    <t xml:space="preserve">HMDB0012167; HMDB0030015; HMDB0062387</t>
  </si>
  <si>
    <t xml:space="preserve">; ; LMST01010229</t>
  </si>
  <si>
    <t xml:space="preserve">; ; 87287</t>
  </si>
  <si>
    <t xml:space="preserve">25200700; 131750943; 22298937</t>
  </si>
  <si>
    <t xml:space="preserve">; 36449-99-7; </t>
  </si>
  <si>
    <t xml:space="preserve">CC(CCC=C(C)C)C1CCC2C3=C(CC[C@]12C)[C@@]1(C)CC[C@H](O)[C@@](C)(C=O)C1CC3; CCC(\C=C/C(C)C1CCC2C3C(CCC12C)C1(C)CCC(O)CC1=CC3=O)C(C)C; C12CC[C@@]3([H])[C@](C)(C=O)[C@@H](O)CC[C@]3(C)C=1CC[C@]1(C)[C@@]([H])([C@@](C)([H])CC/C=C(\C)/C)CC[C@@]21[H]</t>
  </si>
  <si>
    <t xml:space="preserve">GFGANDKVOKQAGH-AEWFMJFUSA-N; UKMCCFHULJHJNS-HJWRWDBZSA-N; GFGANDKVOKQAGH-WKYRUEGDSA-N</t>
  </si>
  <si>
    <t xml:space="preserve">Prenol lipids; Steroids and steroid derivatives; Prenol lipids</t>
  </si>
  <si>
    <t xml:space="preserve">Triterpenoids; Stigmastanes and derivatives; Triterpenoids</t>
  </si>
  <si>
    <t xml:space="preserve">463.18136</t>
  </si>
  <si>
    <t xml:space="preserve">C27H28N2O3</t>
  </si>
  <si>
    <t xml:space="preserve">AdipoRon</t>
  </si>
  <si>
    <t xml:space="preserve">203179</t>
  </si>
  <si>
    <t xml:space="preserve">HMDB0248016</t>
  </si>
  <si>
    <t xml:space="preserve">16307093</t>
  </si>
  <si>
    <t xml:space="preserve">O=C(COC1=CC=C(C=C1)C(=O)C1=CC=CC=C1)NC1CCN(CC2=CC=CC=C2)CC1</t>
  </si>
  <si>
    <t xml:space="preserve">SHHUPGSHGSNPDB-UHFFFAOYSA-N</t>
  </si>
  <si>
    <t xml:space="preserve">463.32930</t>
  </si>
  <si>
    <t xml:space="preserve">C23H49N2O5P</t>
  </si>
  <si>
    <t xml:space="preserve">sphingosylphosphorylcholine</t>
  </si>
  <si>
    <t xml:space="preserve">211940</t>
  </si>
  <si>
    <t xml:space="preserve">HMDB0258420</t>
  </si>
  <si>
    <t xml:space="preserve">CCCCCCCCCCCCCC=CC(O)C(N)COP([O-])(=O)OCC[N+](C)(C)C</t>
  </si>
  <si>
    <t xml:space="preserve">JLVSPVFPBBFMBE-UHFFFAOYSA-N</t>
  </si>
  <si>
    <t xml:space="preserve">Sphingolipids</t>
  </si>
  <si>
    <t xml:space="preserve">Phosphosphingolipids</t>
  </si>
  <si>
    <t xml:space="preserve">463.99499</t>
  </si>
  <si>
    <t xml:space="preserve">C10H15N5O11P2</t>
  </si>
  <si>
    <t xml:space="preserve">Guanosine diphosphate</t>
  </si>
  <si>
    <t xml:space="preserve">47450</t>
  </si>
  <si>
    <t xml:space="preserve">HMDB0001201</t>
  </si>
  <si>
    <t xml:space="preserve">429403</t>
  </si>
  <si>
    <t xml:space="preserve">C00035</t>
  </si>
  <si>
    <t xml:space="preserve">17552</t>
  </si>
  <si>
    <t xml:space="preserve">8977</t>
  </si>
  <si>
    <t xml:space="preserve">146-91-8</t>
  </si>
  <si>
    <t xml:space="preserve">NC1=NC2=C(N=CN2[C@@H]2O[C@H](COP(O)(=O)OP(O)(O)=O)[C@@H](O)[C@H]2O)C(=O)N1</t>
  </si>
  <si>
    <t xml:space="preserve">QGWNDRXFNXRZMB-UUOKFMHZSA-N</t>
  </si>
  <si>
    <t xml:space="preserve">Purine nucleotides</t>
  </si>
  <si>
    <t xml:space="preserve">Purine ribonucleotides</t>
  </si>
  <si>
    <t xml:space="preserve">464.31045</t>
  </si>
  <si>
    <t xml:space="preserve">C24H41N3O3</t>
  </si>
  <si>
    <t xml:space="preserve">N-Oleoyl Histidine</t>
  </si>
  <si>
    <t xml:space="preserve">198478</t>
  </si>
  <si>
    <t xml:space="preserve">HMDB0241960</t>
  </si>
  <si>
    <t xml:space="preserve">67643592</t>
  </si>
  <si>
    <t xml:space="preserve">CCCCCCCCC=CCCCCCCCC(=O)NC(CC1=CN=CN1)C(O)=O</t>
  </si>
  <si>
    <t xml:space="preserve">QJFAABXOMYWNGP-UHFFFAOYSA-N</t>
  </si>
  <si>
    <t xml:space="preserve">465.30280</t>
  </si>
  <si>
    <t xml:space="preserve">C30H44O5</t>
  </si>
  <si>
    <t xml:space="preserve">Liquoric acid; 24-Hydroxyglabrolide; Ganolucidic acid E</t>
  </si>
  <si>
    <t xml:space="preserve">58512; 59140; 61139</t>
  </si>
  <si>
    <t xml:space="preserve">HMDB0034512; HMDB0035256; HMDB0037607</t>
  </si>
  <si>
    <t xml:space="preserve">89984; 90564; </t>
  </si>
  <si>
    <t xml:space="preserve">131751571; 131751691; 131752214</t>
  </si>
  <si>
    <t xml:space="preserve">; 98063-18-4; 114567-50-9</t>
  </si>
  <si>
    <t xml:space="preserve">[H][C@@]12C[C@](C)([C@H]3C[C@]1(C)[C@@H](C[C@]1(C)C2=CC(=O)C2[C@@]4(C)CC[C@H](O)C(C)(C)C4CC[C@@]12C)O3)C(O)=O; CC12CC(OC1=O)C1(C)CCC3(C)C(=CC(=O)C4C5(C)CCC(O)C(C)(CO)C5CCC34C)C1C2; CC(CC\C=C(\C)C(O)=O)C1CC(O)C2(C)C3=C(C(=O)CC12C)C1(C)CCC(=O)C(C)(C)C1CC3</t>
  </si>
  <si>
    <t xml:space="preserve">NGWKGSCSHDHHAJ-YPFQVHCOSA-N; NZAZEJAWWUVNNZ-UHFFFAOYSA-N; XRBLVCACUHPHDE-ZDLGFXPLSA-N</t>
  </si>
  <si>
    <t xml:space="preserve">Triterpenoids; Triterpenoids; Triterpenoids</t>
  </si>
  <si>
    <t xml:space="preserve">466.00132</t>
  </si>
  <si>
    <t xml:space="preserve">C17H21NO4S4</t>
  </si>
  <si>
    <t xml:space="preserve">Bensultap</t>
  </si>
  <si>
    <t xml:space="preserve">203991</t>
  </si>
  <si>
    <t xml:space="preserve">HMDB0248963</t>
  </si>
  <si>
    <t xml:space="preserve">72368</t>
  </si>
  <si>
    <t xml:space="preserve">C18563</t>
  </si>
  <si>
    <t xml:space="preserve">39188</t>
  </si>
  <si>
    <t xml:space="preserve">87176</t>
  </si>
  <si>
    <t xml:space="preserve">17606-31-4</t>
  </si>
  <si>
    <t xml:space="preserve">CN(C)C(CSS(=O)(=O)C1=CC=CC=C1)CSS(=O)(=O)C1=CC=CC=C1</t>
  </si>
  <si>
    <t xml:space="preserve">YFXPPSKYMBTNAV-UHFFFAOYSA-N</t>
  </si>
  <si>
    <t xml:space="preserve">Benzenesulfonyl compounds</t>
  </si>
  <si>
    <t xml:space="preserve">466.12725</t>
  </si>
  <si>
    <t xml:space="preserve">C22H25NO8</t>
  </si>
  <si>
    <t xml:space="preserve">Oxynarcotine</t>
  </si>
  <si>
    <t xml:space="preserve">55071</t>
  </si>
  <si>
    <t xml:space="preserve">HMDB0030247</t>
  </si>
  <si>
    <t xml:space="preserve">86831</t>
  </si>
  <si>
    <t xml:space="preserve">5320347</t>
  </si>
  <si>
    <t xml:space="preserve">483-89-6</t>
  </si>
  <si>
    <t xml:space="preserve">CNCCC1=CC2=C(OCO2)C(OC)=C1CC(=O)C1=C(C(O)=O)C(OC)=C(OC)C=C1</t>
  </si>
  <si>
    <t xml:space="preserve">GLKPKUBRBLNOSC-UHFFFAOYSA-N</t>
  </si>
  <si>
    <t xml:space="preserve">467.30131</t>
  </si>
  <si>
    <t xml:space="preserve">C25H42O5</t>
  </si>
  <si>
    <t xml:space="preserve">Homocholic acid; 7-Methyl-cholic acid</t>
  </si>
  <si>
    <t xml:space="preserve">207574; 199815</t>
  </si>
  <si>
    <t xml:space="preserve">HMDB0253203; HMDB0244296</t>
  </si>
  <si>
    <t xml:space="preserve">13990077; 13799243</t>
  </si>
  <si>
    <t xml:space="preserve">CC(CCCC(O)=O)C1CCC2C3C(O)CC4CC(O)CCC4(C)C3CC(O)C12C; CC(CCC(O)=O)C1CCC2C3C(CC(O)C12C)C1(C)CCC(O)CC1CC3(C)O</t>
  </si>
  <si>
    <t xml:space="preserve">XOUBHVKCXRSUEN-UHFFFAOYSA-N; YSLVYCWXAPPBIQ-UHFFFAOYSA-N</t>
  </si>
  <si>
    <t xml:space="preserve">Hydroxysteroids; Bile acids, alcohols and derivatives</t>
  </si>
  <si>
    <t xml:space="preserve">468.13408</t>
  </si>
  <si>
    <t xml:space="preserve">C24H23N3O5</t>
  </si>
  <si>
    <t xml:space="preserve">4-Nitrophenyl 4-(3-phenoxybenzyl)piperazine-1-carboxylate</t>
  </si>
  <si>
    <t xml:space="preserve">208050</t>
  </si>
  <si>
    <t xml:space="preserve">HMDB0253750</t>
  </si>
  <si>
    <t xml:space="preserve">45586</t>
  </si>
  <si>
    <t xml:space="preserve">46232606</t>
  </si>
  <si>
    <t xml:space="preserve">[O-][N+](=O)C1=CC=C(OC(=O)N2CCN(CC3=CC(OC4=CC=CC=C4)=CC=C3)CC2)C=C1</t>
  </si>
  <si>
    <t xml:space="preserve">QNYRAEKLMNDRFY-UHFFFAOYSA-N</t>
  </si>
  <si>
    <t xml:space="preserve">469.05293</t>
  </si>
  <si>
    <t xml:space="preserve">C20H18O11</t>
  </si>
  <si>
    <t xml:space="preserve">Fukinolic acid; Avicularin; Quercetin 3-arabinoside</t>
  </si>
  <si>
    <t xml:space="preserve">54447; 55585; 57973</t>
  </si>
  <si>
    <t xml:space="preserve">HMDB0029499; HMDB0030860; HMDB0033795</t>
  </si>
  <si>
    <t xml:space="preserve">; ; 89537</t>
  </si>
  <si>
    <t xml:space="preserve">; ; 167916</t>
  </si>
  <si>
    <t xml:space="preserve">22482507; 12308704; 10252339</t>
  </si>
  <si>
    <t xml:space="preserve">50982-40-6; 572-30-5; 22255-13-6</t>
  </si>
  <si>
    <t xml:space="preserve">OC(=O)C(OC(=O)\C=C\C1=CC(O)=C(O)C=C1)C(O)(CC1=CC(O)=C(O)C=C1)C(O)=O; OCC1OC(OC2=C(OC3=CC(O)=CC(O)=C3C2=O)C2=CC(O)=C(O)C=C2)C(O)C1O; OC[C@@H]1O[C@H](OC2=C(OC3=C(C(O)=CC(O)=C3)C2=O)C2=CC=C(O)C(O)=C2)[C@H](O)[C@H]1O</t>
  </si>
  <si>
    <t xml:space="preserve">ACYXDIZTQDLTCB-ZZXKWVIFSA-N; BDCDNTVZSILEOY-UHFFFAOYSA-N; BDCDNTVZSILEOY-BQCJVYABSA-N</t>
  </si>
  <si>
    <t xml:space="preserve">Cinnamic acids and derivatives; Flavonoids; Flavonoids</t>
  </si>
  <si>
    <t xml:space="preserve">Hydroxycinnamic acids and derivatives; Flavonoid glycosides; Flavonoid glycosides</t>
  </si>
  <si>
    <t xml:space="preserve">469.13786</t>
  </si>
  <si>
    <t xml:space="preserve">C21H26O12</t>
  </si>
  <si>
    <t xml:space="preserve">Plumieride</t>
  </si>
  <si>
    <t xml:space="preserve">210471</t>
  </si>
  <si>
    <t xml:space="preserve">HMDB0256647</t>
  </si>
  <si>
    <t xml:space="preserve">3453259</t>
  </si>
  <si>
    <t xml:space="preserve">COC(=O)C1=COC(OC2OC(CO)C(O)C(O)C2O)C2C1C=CC21OC(=O)C(=C1)C(C)O</t>
  </si>
  <si>
    <t xml:space="preserve">AOPMSFXOYJXDNJ-UHFFFAOYSA-N</t>
  </si>
  <si>
    <t xml:space="preserve">Terpene glycosides</t>
  </si>
  <si>
    <t xml:space="preserve">469.23863</t>
  </si>
  <si>
    <t xml:space="preserve">C24H42N2OS3</t>
  </si>
  <si>
    <t xml:space="preserve">(2S)-2-Hexylsulfanyl-N-[6-methyl-2,4-bis(methylsulfanyl)pyridin-3-yl]decanamide</t>
  </si>
  <si>
    <t xml:space="preserve">204813</t>
  </si>
  <si>
    <t xml:space="preserve">HMDB0249954</t>
  </si>
  <si>
    <t xml:space="preserve">21989745</t>
  </si>
  <si>
    <t xml:space="preserve">CCCCCCCCC(SCCCCCC)C(=O)NC1=C(SC)N=C(C)C=C1SC</t>
  </si>
  <si>
    <t xml:space="preserve">XAMYAYIMCKELIP-UHFFFAOYSA-N</t>
  </si>
  <si>
    <t xml:space="preserve">N-arylamides</t>
  </si>
  <si>
    <t xml:space="preserve">469.30565</t>
  </si>
  <si>
    <t xml:space="preserve">C27H46O4</t>
  </si>
  <si>
    <t xml:space="preserve">3a,7a,12a-Trihydroxy-5b-cholestan-26-al</t>
  </si>
  <si>
    <t xml:space="preserve">46470</t>
  </si>
  <si>
    <t xml:space="preserve">HMDB0003533</t>
  </si>
  <si>
    <t xml:space="preserve">57926</t>
  </si>
  <si>
    <t xml:space="preserve">LMST04030164</t>
  </si>
  <si>
    <t xml:space="preserve">C01301</t>
  </si>
  <si>
    <t xml:space="preserve">16466</t>
  </si>
  <si>
    <t xml:space="preserve">439479</t>
  </si>
  <si>
    <t xml:space="preserve">3836-01-9</t>
  </si>
  <si>
    <t xml:space="preserve">C1[C@H](O)CC[C@]2(C)[C@]3(C[C@H](O)[C@@]4([C@](CC[C@@]4([H])[C@]3([H])[C@H](O)C[C@]12[H])([C@H](C)CCCC(C)C=O)[H])C)[H]</t>
  </si>
  <si>
    <t xml:space="preserve">USFJGINJGUIFSY-XZULNKEGSA-N</t>
  </si>
  <si>
    <t xml:space="preserve">471.23987</t>
  </si>
  <si>
    <t xml:space="preserve">C27H36O7</t>
  </si>
  <si>
    <t xml:space="preserve">Lucidenic acid K</t>
  </si>
  <si>
    <t xml:space="preserve">59711</t>
  </si>
  <si>
    <t xml:space="preserve">HMDB0035890</t>
  </si>
  <si>
    <t xml:space="preserve">91094</t>
  </si>
  <si>
    <t xml:space="preserve">131751879</t>
  </si>
  <si>
    <t xml:space="preserve">CC(CCC(O)=O)C1CC(=O)C2(C)C3=C(C(=O)C(O)C12C)C1(C)CCC(=O)C(C)(C)C1CC3=O</t>
  </si>
  <si>
    <t xml:space="preserve">NCGJGPSWDDQPKM-UHFFFAOYSA-N</t>
  </si>
  <si>
    <t xml:space="preserve">472.91008</t>
  </si>
  <si>
    <t xml:space="preserve">C12H4Cl2F6N4O2S</t>
  </si>
  <si>
    <t xml:space="preserve">Fipronil sulfone</t>
  </si>
  <si>
    <t xml:space="preserve">206769</t>
  </si>
  <si>
    <t xml:space="preserve">HMDB0252267</t>
  </si>
  <si>
    <t xml:space="preserve">83487</t>
  </si>
  <si>
    <t xml:space="preserve">3078139</t>
  </si>
  <si>
    <t xml:space="preserve">NC1=C(C(=NN1C1=C(Cl)C=C(C=C1Cl)C(F)(F)F)C#N)S(=O)(=O)C(F)(F)F</t>
  </si>
  <si>
    <t xml:space="preserve">LGHZJDKSVUTELU-UHFFFAOYSA-N</t>
  </si>
  <si>
    <t xml:space="preserve">473.26329</t>
  </si>
  <si>
    <t xml:space="preserve">C21H38N4O8</t>
  </si>
  <si>
    <t xml:space="preserve">Amastatin</t>
  </si>
  <si>
    <t xml:space="preserve">203388</t>
  </si>
  <si>
    <t xml:space="preserve">HMDB0248277</t>
  </si>
  <si>
    <t xml:space="preserve">3237</t>
  </si>
  <si>
    <t xml:space="preserve">CC(C)CC(N)C(O)C(=O)NC(C(C)C)C(=O)NC(C(C)C)C(=O)NC(CC(O)=O)C(O)=O</t>
  </si>
  <si>
    <t xml:space="preserve">QFAADIRHLBXJJS-UHFFFAOYSA-N</t>
  </si>
  <si>
    <t xml:space="preserve">Peptidomimetics</t>
  </si>
  <si>
    <t xml:space="preserve">Hybrid peptides</t>
  </si>
  <si>
    <t xml:space="preserve">475.05326</t>
  </si>
  <si>
    <t xml:space="preserve">C21H18O14</t>
  </si>
  <si>
    <t xml:space="preserve">Hibifolin</t>
  </si>
  <si>
    <t xml:space="preserve">207545</t>
  </si>
  <si>
    <t xml:space="preserve">HMDB0253170</t>
  </si>
  <si>
    <t xml:space="preserve">15926905</t>
  </si>
  <si>
    <t xml:space="preserve">OC1C(O)C(OC2=C(O)C=C(O)C3=C2OC(=C(O)C3=O)C2=CC(O)=C(O)C=C2)OC(C1O)C(O)=O</t>
  </si>
  <si>
    <t xml:space="preserve">KHVMAMXQPVHXTJ-UHFFFAOYSA-N</t>
  </si>
  <si>
    <t xml:space="preserve">475.29056</t>
  </si>
  <si>
    <t xml:space="preserve">C23H42N4O5</t>
  </si>
  <si>
    <t xml:space="preserve">Ile-Ile-Ile-Pro</t>
  </si>
  <si>
    <t xml:space="preserve">257551</t>
  </si>
  <si>
    <t xml:space="preserve">HMDB0304800</t>
  </si>
  <si>
    <t xml:space="preserve">162431</t>
  </si>
  <si>
    <t xml:space="preserve">18295197</t>
  </si>
  <si>
    <t xml:space="preserve">CCC(C)C(N)C(O)=NC(C(C)CC)C(O)=NC(C(C)CC)C(=O)N1CCCC1C(O)=O</t>
  </si>
  <si>
    <t xml:space="preserve">OCEZPDBEDULORM-UHFFFAOYSA-N</t>
  </si>
  <si>
    <t xml:space="preserve">476.28757</t>
  </si>
  <si>
    <t xml:space="preserve">C27H45NO5S</t>
  </si>
  <si>
    <t xml:space="preserve">Chenodeoxycholylcysteine</t>
  </si>
  <si>
    <t xml:space="preserve">198846</t>
  </si>
  <si>
    <t xml:space="preserve">HMDB0242393</t>
  </si>
  <si>
    <t xml:space="preserve">CC(CCC(=O)NC(CS)C(O)=O)C1CCC2C3C(O)CC4CC(O)CCC4(C)C3CCC12C</t>
  </si>
  <si>
    <t xml:space="preserve">RIGHMQLKMHLMQD-UHFFFAOYSA-N</t>
  </si>
  <si>
    <t xml:space="preserve">477.05020</t>
  </si>
  <si>
    <t xml:space="preserve">C15H18F2N6O7S2</t>
  </si>
  <si>
    <t xml:space="preserve">Flomoxef</t>
  </si>
  <si>
    <t xml:space="preserve">206804</t>
  </si>
  <si>
    <t xml:space="preserve">HMDB0252311</t>
  </si>
  <si>
    <t xml:space="preserve">4252</t>
  </si>
  <si>
    <t xml:space="preserve">COC1(NC(=O)CSC(F)F)C2OCC(CSC3=NN=NN3CCO)=C(N2C1=O)C(O)=O</t>
  </si>
  <si>
    <t xml:space="preserve">UHRBTBZOWWGKMK-UHFFFAOYSA-N</t>
  </si>
  <si>
    <t xml:space="preserve">477.23827</t>
  </si>
  <si>
    <t xml:space="preserve">C29H32F2N2O2</t>
  </si>
  <si>
    <t xml:space="preserve">N-(3-{1-[4-(3,4-Difluorophenoxy)benzyl]-4-piperidinyl}-4-methylphenyl)-2-methylpropanamide</t>
  </si>
  <si>
    <t xml:space="preserve">211890</t>
  </si>
  <si>
    <t xml:space="preserve">HMDB0258351</t>
  </si>
  <si>
    <t xml:space="preserve">CC(C)C(=O)NC1=CC(C2CCN(CC3=CC=C(OC4=CC(F)=C(F)C=C4)C=C3)CC2)=C(C)C=C1</t>
  </si>
  <si>
    <t xml:space="preserve">VMLZFUVIKCGATC-UHFFFAOYSA-N</t>
  </si>
  <si>
    <t xml:space="preserve">477.31081</t>
  </si>
  <si>
    <t xml:space="preserve">C29H46O3</t>
  </si>
  <si>
    <t xml:space="preserve">4a-Carboxy-4b-methyl-5a-cholesta-8,24-dien-3b-ol; 4a-Methylzymosterol-4-carboxylic acid</t>
  </si>
  <si>
    <t xml:space="preserve">47436; 48933</t>
  </si>
  <si>
    <t xml:space="preserve">HMDB0001181; HMDB0006927</t>
  </si>
  <si>
    <t xml:space="preserve">6062; </t>
  </si>
  <si>
    <t xml:space="preserve">C15808; C06050</t>
  </si>
  <si>
    <t xml:space="preserve">; 28038</t>
  </si>
  <si>
    <t xml:space="preserve">23724596; 440898</t>
  </si>
  <si>
    <t xml:space="preserve">C[C@H](CCC=C(C)C)C1CCC2C3=C(CC[C@]12C)[C@@]1(C)CC[C@H](O)[C@](C)([C@@H]1CC3)C(O)=O; C[C@@H](CCC=C(C)C)C1CCC2C3=C(CC[C@]12C)[C@@]1(C)CC[C@H](O)[C@](C)(C1CC3)C(O)=O</t>
  </si>
  <si>
    <t xml:space="preserve">MYWAIWDQTCHPTH-YCIQJMEESA-N; MYWAIWDQTCHPTH-IUGQOUSLSA-N</t>
  </si>
  <si>
    <t xml:space="preserve">Triterpenoids; Triterpenoids</t>
  </si>
  <si>
    <t xml:space="preserve">479.08812</t>
  </si>
  <si>
    <t xml:space="preserve">C16H26N4O10S2</t>
  </si>
  <si>
    <t xml:space="preserve">N,N'-Bis(gamma-glutamyl)cystine</t>
  </si>
  <si>
    <t xml:space="preserve">61842</t>
  </si>
  <si>
    <t xml:space="preserve">HMDB0038458</t>
  </si>
  <si>
    <t xml:space="preserve">93146</t>
  </si>
  <si>
    <t xml:space="preserve">17257</t>
  </si>
  <si>
    <t xml:space="preserve">440072</t>
  </si>
  <si>
    <t xml:space="preserve">23052-19-9</t>
  </si>
  <si>
    <t xml:space="preserve">NC(CCC(=O)NC(CSSCC(NC(=O)CCC(N)C(O)=O)C(O)=O)C(O)=O)C(O)=O</t>
  </si>
  <si>
    <t xml:space="preserve">GOZJYXJJQVGDOJ-UHFFFAOYSA-N</t>
  </si>
  <si>
    <t xml:space="preserve">479.31806</t>
  </si>
  <si>
    <t xml:space="preserve">C27H43FO3</t>
  </si>
  <si>
    <t xml:space="preserve">24-Fluorocalcitriol</t>
  </si>
  <si>
    <t xml:space="preserve">201066</t>
  </si>
  <si>
    <t xml:space="preserve">HMDB0245656</t>
  </si>
  <si>
    <t xml:space="preserve">73236055</t>
  </si>
  <si>
    <t xml:space="preserve">CC(CCC(F)C(C)(C)O)C1CCC2C(CCCC12C)=CC=C1CC(O)CC(O)C1=C</t>
  </si>
  <si>
    <t xml:space="preserve">IKIJCYTYFSKDCO-UHFFFAOYSA-N</t>
  </si>
  <si>
    <t xml:space="preserve">Vitamin D and derivatives</t>
  </si>
  <si>
    <t xml:space="preserve">480.30899</t>
  </si>
  <si>
    <t xml:space="preserve">C30H45NO5</t>
  </si>
  <si>
    <t xml:space="preserve">(4Z,7Z,10E,12E,16Z)-18-(3-Ethylcycloprop-1-en-1-yl)-14-hydroxyoctadeca-4,7,10,12,16-pentaenoylcarnitine</t>
  </si>
  <si>
    <t xml:space="preserve">198431</t>
  </si>
  <si>
    <t xml:space="preserve">HMDB0241913</t>
  </si>
  <si>
    <t xml:space="preserve">CCC1C=C1CC=CCC(O)C=CC=CCC=CCC=CCCC(=O)OC(CC([O-])=O)C[N+](C)(C)C</t>
  </si>
  <si>
    <t xml:space="preserve">ISIFQNUTSDXCIK-UHFFFAOYSA-N</t>
  </si>
  <si>
    <t xml:space="preserve">481.29290</t>
  </si>
  <si>
    <t xml:space="preserve">C30H44O6</t>
  </si>
  <si>
    <t xml:space="preserve">Ganoderic acid beta; Physalolactone B; Ganolucidic acid D</t>
  </si>
  <si>
    <t xml:space="preserve">57485; 58272; 59182</t>
  </si>
  <si>
    <t xml:space="preserve">HMDB0033234; HMDB0034200; HMDB0035299</t>
  </si>
  <si>
    <t xml:space="preserve">; 89772; </t>
  </si>
  <si>
    <t xml:space="preserve">; ; 975367</t>
  </si>
  <si>
    <t xml:space="preserve">131751396; 53462649; 3589471</t>
  </si>
  <si>
    <t xml:space="preserve">217476-76-1; 78916-78-6; 102607-22-7</t>
  </si>
  <si>
    <t xml:space="preserve">CC(CC\C=C(/C)C(O)=O)C1CC(=O)C2(C)C3=C(C(=O)CC12C)C1(C)CCC(O)C(C)(C)C1CC3O; CC(=O)OC1CC(O)CC2=CCC3C4CCC(C(C)(O)C5CC(C)=C(C)C(=O)O5)C4(C)CCC3C12C; CC(CC(O)\C=C(/C)C(O)=O)C1CC(O)C2(C)C3=C(C(=O)CC12C)C1(C)CCC(=O)C(C)(C)C1CC3</t>
  </si>
  <si>
    <t xml:space="preserve">NJZMSAAKSXZIEC-LICLKQGHSA-N; ANGCIHCSPJLGME-UHFFFAOYSA-N; AUAXRALNWSHMRJ-GHRIWEEISA-N</t>
  </si>
  <si>
    <t xml:space="preserve">Triterpenoids; Steroid lactones; Triterpenoids</t>
  </si>
  <si>
    <t xml:space="preserve">481.97728</t>
  </si>
  <si>
    <t xml:space="preserve">C9H16N3O14P3</t>
  </si>
  <si>
    <t xml:space="preserve">Cytidine triphosphate</t>
  </si>
  <si>
    <t xml:space="preserve">46861</t>
  </si>
  <si>
    <t xml:space="preserve">HMDB0000082</t>
  </si>
  <si>
    <t xml:space="preserve">5136</t>
  </si>
  <si>
    <t xml:space="preserve">C00063</t>
  </si>
  <si>
    <t xml:space="preserve">17677</t>
  </si>
  <si>
    <t xml:space="preserve">6176</t>
  </si>
  <si>
    <t xml:space="preserve">65-47-4</t>
  </si>
  <si>
    <t xml:space="preserve">NC1=NC(=O)N(C=C1)[C@@H]1O[C@H](COP(O)(=O)OP(O)(=O)OP(O)(O)=O)[C@@H](O)[C@H]1O</t>
  </si>
  <si>
    <t xml:space="preserve">PCDQPRRSZKQHHS-XVFCMESISA-N</t>
  </si>
  <si>
    <t xml:space="preserve">482.28603</t>
  </si>
  <si>
    <t xml:space="preserve">C21H44NO6P</t>
  </si>
  <si>
    <t xml:space="preserve">LPE(16:1)</t>
  </si>
  <si>
    <t xml:space="preserve">21270</t>
  </si>
  <si>
    <t xml:space="preserve">HMDB0011152</t>
  </si>
  <si>
    <t xml:space="preserve">46719</t>
  </si>
  <si>
    <t xml:space="preserve">LMGP02070001</t>
  </si>
  <si>
    <t xml:space="preserve">42607469</t>
  </si>
  <si>
    <t xml:space="preserve">174062-72-7</t>
  </si>
  <si>
    <t xml:space="preserve">[C@](COP(=O)(O)OCCN)([H])(O)CO/C=C\CCCCCCCCCCCCCC</t>
  </si>
  <si>
    <t xml:space="preserve">QYTPGOPLNFESQC-NUTQULCTSA-N</t>
  </si>
  <si>
    <t xml:space="preserve">Glycerophosphoethanolamines</t>
  </si>
  <si>
    <t xml:space="preserve">483.29960</t>
  </si>
  <si>
    <t xml:space="preserve">C27H40N4O4</t>
  </si>
  <si>
    <t xml:space="preserve">Ceanothine D</t>
  </si>
  <si>
    <t xml:space="preserve">54310</t>
  </si>
  <si>
    <t xml:space="preserve">HMDB0029341</t>
  </si>
  <si>
    <t xml:space="preserve">86202</t>
  </si>
  <si>
    <t xml:space="preserve">175769</t>
  </si>
  <si>
    <t xml:space="preserve">131750854</t>
  </si>
  <si>
    <t xml:space="preserve">23926-97-8</t>
  </si>
  <si>
    <t xml:space="preserve">CCC(C)C1OC2=CC=C(C=C2)\C=C/NC(=O)C(CC(C)C)NC(=O)C1NC(=O)C1CCCN1C</t>
  </si>
  <si>
    <t xml:space="preserve">HURFCPCPTXOVJN-YPKPFQOOSA-N</t>
  </si>
  <si>
    <t xml:space="preserve">485.23267</t>
  </si>
  <si>
    <t xml:space="preserve">C22H36N2O5S</t>
  </si>
  <si>
    <t xml:space="preserve">Tirofiban</t>
  </si>
  <si>
    <t xml:space="preserve">53062</t>
  </si>
  <si>
    <t xml:space="preserve">HMDB0014913</t>
  </si>
  <si>
    <t xml:space="preserve">66774</t>
  </si>
  <si>
    <t xml:space="preserve">C07965</t>
  </si>
  <si>
    <t xml:space="preserve">9605</t>
  </si>
  <si>
    <t xml:space="preserve">60947</t>
  </si>
  <si>
    <t xml:space="preserve">144494-65-5</t>
  </si>
  <si>
    <t xml:space="preserve">CCCCS(=O)(=O)N[C@@H](CC1=CC=C(OCCCCC2CCNCC2)C=C1)C(O)=O</t>
  </si>
  <si>
    <t xml:space="preserve">COKMIXFXJJXBQG-NRFANRHFSA-N</t>
  </si>
  <si>
    <t xml:space="preserve">487.18398</t>
  </si>
  <si>
    <t xml:space="preserve">C22H26N4O6</t>
  </si>
  <si>
    <t xml:space="preserve">Tyrosyl-glycyl-glycyl-phenylalanyl</t>
  </si>
  <si>
    <t xml:space="preserve">202395</t>
  </si>
  <si>
    <t xml:space="preserve">HMDB0247121</t>
  </si>
  <si>
    <t xml:space="preserve">14367417</t>
  </si>
  <si>
    <t xml:space="preserve">NC(CC1=CC=C(O)C=C1)C(=O)NCC(=O)NCC(=O)NC(CC1=CC=CC=C1)C(O)=O</t>
  </si>
  <si>
    <t xml:space="preserve">GYNQVPIDAQTZOY-UHFFFAOYSA-N</t>
  </si>
  <si>
    <t xml:space="preserve">487.32091</t>
  </si>
  <si>
    <t xml:space="preserve">C27H48O5</t>
  </si>
  <si>
    <t xml:space="preserve">5b-Cholestane-3a,7a,12a,25,26-pentol; 5beta-cholestane-3alpha,7alpha,12alpha,23,25-pentol; 5b-Cholestane-3a,7a,12a,23S,25-pentol</t>
  </si>
  <si>
    <t xml:space="preserve">46340; 46362; 47055</t>
  </si>
  <si>
    <t xml:space="preserve">HMDB0002180; HMDB0062421; HMDB0000483</t>
  </si>
  <si>
    <t xml:space="preserve">84764; 84784; 5470</t>
  </si>
  <si>
    <t xml:space="preserve">LMST04030016; LMST04030038; </t>
  </si>
  <si>
    <t xml:space="preserve">5284194; 5284212; 53477695</t>
  </si>
  <si>
    <t xml:space="preserve">6127-75-9; ; 59906-15-9</t>
  </si>
  <si>
    <t xml:space="preserve">C1[C@]2(C)[C@@]3([H])C[C@H](O)[C@]4(C)[C@@]([H])([C@]([H])(C)CCCC(O)(C)CO)CC[C@@]4([H])[C@]3([H])[C@H](O)C[C@]2([H])C[C@H](O)C1; C1[C@]2(C)[C@@]3([H])C[C@H](O)[C@]4(C)[C@@]([H])([C@]([H])(C)CC(O)CC(O)(C)C)CC[C@@]4([H])[C@]3([H])[C@H](O)C[C@]2([H])C[C@H](O)C1; [H]C1CC([C@@H](C)C[C@H](O)CC(C)(C)O)[C@]2(C)C1[C@]1([H])[C@H](O)C[C@]3([H])C[C@H](O)CC[C@]3(C)[C@@]1([H])C[C@@H]2O</t>
  </si>
  <si>
    <t xml:space="preserve">XZDHXPDYLPEFQI-FIMPYCPFSA-N; OXSBBBPDYVCAKC-JZXYSUIZSA-N; OXSBBBPDYVCAKC-CTSLUMRNSA-N</t>
  </si>
  <si>
    <t xml:space="preserve">Bile acids, alcohols and derivatives; Bile acids, alcohols and derivatives; Bile acids, alcohols and derivatives</t>
  </si>
  <si>
    <t xml:space="preserve">488.17311</t>
  </si>
  <si>
    <t xml:space="preserve">C23H27N5O5</t>
  </si>
  <si>
    <t xml:space="preserve">2-(3-(2-Aminoethyl)-1h-indol-5-yloxy)acetyl-l-tyrosyl-glycinamide</t>
  </si>
  <si>
    <t xml:space="preserve">200044</t>
  </si>
  <si>
    <t xml:space="preserve">HMDB0244551</t>
  </si>
  <si>
    <t xml:space="preserve">17930350</t>
  </si>
  <si>
    <t xml:space="preserve">NCCC1=CNC2=C1C=C(OCC(=O)NC(CC1=CC=C(O)C=C1)C(=O)NCC(N)=O)C=C2</t>
  </si>
  <si>
    <t xml:space="preserve">PBRWGFLPYQYNGI-UHFFFAOYSA-N</t>
  </si>
  <si>
    <t xml:space="preserve">489.34794</t>
  </si>
  <si>
    <t xml:space="preserve">C31H50O2</t>
  </si>
  <si>
    <t xml:space="preserve">(25S)-26-Hydroxy-24-methylenecycloartan-3-one</t>
  </si>
  <si>
    <t xml:space="preserve">58553</t>
  </si>
  <si>
    <t xml:space="preserve">HMDB0034555</t>
  </si>
  <si>
    <t xml:space="preserve">90020</t>
  </si>
  <si>
    <t xml:space="preserve">78385389</t>
  </si>
  <si>
    <t xml:space="preserve">232266-06-7</t>
  </si>
  <si>
    <t xml:space="preserve">CC(CCC(=C)C(C)CO)C1CCC2(C)C3CCC4C5(CC35CCC12C)CCC(=O)C4(C)C</t>
  </si>
  <si>
    <t xml:space="preserve">OKILVWSNJYSCMZ-UHFFFAOYSA-N</t>
  </si>
  <si>
    <t xml:space="preserve">Cycloartanols and derivatives</t>
  </si>
  <si>
    <t xml:space="preserve">490.11396</t>
  </si>
  <si>
    <t xml:space="preserve">C21H27NO10</t>
  </si>
  <si>
    <t xml:space="preserve">O-Methyl-4-[(2',3',4'-tri-O-acetyl-alpha-L-rhamnosyloxy)benzyl]carbamate</t>
  </si>
  <si>
    <t xml:space="preserve">56410</t>
  </si>
  <si>
    <t xml:space="preserve">HMDB0031948</t>
  </si>
  <si>
    <t xml:space="preserve">101919834</t>
  </si>
  <si>
    <t xml:space="preserve">163812-18-8</t>
  </si>
  <si>
    <t xml:space="preserve">COC(=O)NCC1=CC=C(O[C@@H]2O[C@@H](C)[C@H](OC(C)=O)[C@@H](OC(C)=O)[C@H]2OC(C)=O)C=C1</t>
  </si>
  <si>
    <t xml:space="preserve">LCQPFOZNYVLABG-FXCHBBSNSA-N</t>
  </si>
  <si>
    <t xml:space="preserve">491.03417</t>
  </si>
  <si>
    <t xml:space="preserve">C18H19IN6O4</t>
  </si>
  <si>
    <t xml:space="preserve">IB-Meca</t>
  </si>
  <si>
    <t xml:space="preserve">207675</t>
  </si>
  <si>
    <t xml:space="preserve">HMDB0253321</t>
  </si>
  <si>
    <t xml:space="preserve">91576</t>
  </si>
  <si>
    <t xml:space="preserve">3668</t>
  </si>
  <si>
    <t xml:space="preserve">CNC(=O)C1OC(C(O)C1O)N1C=NC2=C1N=CN=C2NCC1=CC(I)=CC=C1</t>
  </si>
  <si>
    <t xml:space="preserve">HUJXGQILHAUCCV-UHFFFAOYSA-N</t>
  </si>
  <si>
    <t xml:space="preserve">491.29265</t>
  </si>
  <si>
    <t xml:space="preserve">C30H46O3</t>
  </si>
  <si>
    <t xml:space="preserve">beta-Elemonic acid; Ganoderiol F</t>
  </si>
  <si>
    <t xml:space="preserve">58889; 62070</t>
  </si>
  <si>
    <t xml:space="preserve">HMDB0034963; HMDB0038707</t>
  </si>
  <si>
    <t xml:space="preserve">90334; </t>
  </si>
  <si>
    <t xml:space="preserve">C16927; C09840</t>
  </si>
  <si>
    <t xml:space="preserve">; 3440</t>
  </si>
  <si>
    <t xml:space="preserve">3083613; 10364</t>
  </si>
  <si>
    <t xml:space="preserve">28282-25-9; 114567-47-4</t>
  </si>
  <si>
    <t xml:space="preserve">CC(C)=CCCC(C1CCC2(C)C3=C(CCC12C)C1(C)CCC(=O)C(C)(C)C1CC3)C(O)=O; CC(CCC=C(CO)CO)C1CCC2(C)C3=CCC4C(C)(C)C(=O)CCC4(C)C3=CCC12C</t>
  </si>
  <si>
    <t xml:space="preserve">XLPAINGDLCDYQV-UHFFFAOYSA-N; JVGJXXNUVVQEIG-UHFFFAOYSA-N</t>
  </si>
  <si>
    <t xml:space="preserve">492.29703</t>
  </si>
  <si>
    <t xml:space="preserve">C27H43NO7</t>
  </si>
  <si>
    <t xml:space="preserve">(5Z)-7-[(1R,2R,5S)-5-Hydroxy-2-[(1E,3S,5Z)-3-hydroxyocta-1,5-dien-1-yl]-3-oxocyclopentyl]hept-5-enoylcarnitine</t>
  </si>
  <si>
    <t xml:space="preserve">198397</t>
  </si>
  <si>
    <t xml:space="preserve">HMDB0241876</t>
  </si>
  <si>
    <t xml:space="preserve">CCC=CCC(O)C=CC1C(CC=CCCCC(=O)OC(CC([O-])=O)C[N+](C)(C)C)C(O)CC1=O</t>
  </si>
  <si>
    <t xml:space="preserve">ARBYNSMIZVCGEC-UHFFFAOYSA-N</t>
  </si>
  <si>
    <t xml:space="preserve">493.02888</t>
  </si>
  <si>
    <t xml:space="preserve">C19H17IN2O3</t>
  </si>
  <si>
    <t xml:space="preserve">6-Benzyl-1-(benzyloxymethyl)-5-iodouracil</t>
  </si>
  <si>
    <t xml:space="preserve">204793</t>
  </si>
  <si>
    <t xml:space="preserve">HMDB0249929</t>
  </si>
  <si>
    <t xml:space="preserve">70688235</t>
  </si>
  <si>
    <t xml:space="preserve">IC1=C(CC2=CC=CC=C2)N(COCC2=CC=CC=C2)C(=O)NC1=O</t>
  </si>
  <si>
    <t xml:space="preserve">DZMYZUPNSMGTEY-UHFFFAOYSA-N</t>
  </si>
  <si>
    <t xml:space="preserve">493.30892</t>
  </si>
  <si>
    <t xml:space="preserve">C30H48O3</t>
  </si>
  <si>
    <t xml:space="preserve">Betulinic acid; Oleanolic acid; Ursolic acid</t>
  </si>
  <si>
    <t xml:space="preserve">36269; 36280; 36344</t>
  </si>
  <si>
    <t xml:space="preserve">HMDB0030094; HMDB0002364; HMDB0002395</t>
  </si>
  <si>
    <t xml:space="preserve">44088; 43767; 53789</t>
  </si>
  <si>
    <t xml:space="preserve">LMPR0106140004; LMPR0106150004; LMPR0106180007</t>
  </si>
  <si>
    <t xml:space="preserve">C08619; C17148; C08988</t>
  </si>
  <si>
    <t xml:space="preserve">3087; 37659; 9908</t>
  </si>
  <si>
    <t xml:space="preserve">64971; 10494; 64945</t>
  </si>
  <si>
    <t xml:space="preserve">472-15-1; 508-02-1; 77-52-1</t>
  </si>
  <si>
    <t xml:space="preserve">C1[C@@]2(C)[C@@]([H])(CC[C@]3(C)[C@]2([H])CC[C@@]2([C@@]4([C@](CC[C@@]32C)(C(O)=O)CC[C@H]4C(C)=C)[H])[H])C(C)(C)[C@@H](O)C1; [C@@]12([C@]3(C)CC[C@]4(C(=O)O)[C@@]([H])(CC(C)(C)CC4)C3=CC[C@]1([H])[C@]1(C)[C@]([H])(C(C)(C)[C@@H](O)CC1)CC2)C; C1[C@@]2(C)[C@@]([H])(CC[C@]3(C)[C@]2([H])CC=C2[C@@]3(C)CC[C@]3(C(=O)O)[C@@]2([H])[C@@H](C)[C@H](C)CC3)C(C)(C)[C@@H](O)C1</t>
  </si>
  <si>
    <t xml:space="preserve">QGJZLNKBHJESQX-FZFNOLFKSA-N; MIJYXULNPSFWEK-GTOFXWBISA-N; WCGUUGGRBIKTOS-GPOJBZKASA-N</t>
  </si>
  <si>
    <t xml:space="preserve">495.05319</t>
  </si>
  <si>
    <t xml:space="preserve">C19H18N2O7S2</t>
  </si>
  <si>
    <t xml:space="preserve">C.I. Food Red 6</t>
  </si>
  <si>
    <t xml:space="preserve">57010</t>
  </si>
  <si>
    <t xml:space="preserve">HMDB0032738</t>
  </si>
  <si>
    <t xml:space="preserve">25738-43-6</t>
  </si>
  <si>
    <t xml:space="preserve">CC1=CC(C)=C(C=C1C)\N=N\C1=C(O)C(=CC2=CC(=CC=C12)S(O)(=O)=O)S(O)(=O)=O</t>
  </si>
  <si>
    <t xml:space="preserve">OQQYJPVCDFFEIV-QZQOTICOSA-N</t>
  </si>
  <si>
    <t xml:space="preserve">495.31284</t>
  </si>
  <si>
    <t xml:space="preserve">C25H48O7</t>
  </si>
  <si>
    <t xml:space="preserve">Succistearin</t>
  </si>
  <si>
    <t xml:space="preserve">256186</t>
  </si>
  <si>
    <t xml:space="preserve">HMDB0303309</t>
  </si>
  <si>
    <t xml:space="preserve">57357863</t>
  </si>
  <si>
    <t xml:space="preserve">OC(=O)CCC(O)=O.CCCCCCCCCCCCCCCCCC(=O)C(O)C(C)O</t>
  </si>
  <si>
    <t xml:space="preserve">SECPBURWFOCMIZ-UHFFFAOYSA-N</t>
  </si>
  <si>
    <t xml:space="preserve">496.27332</t>
  </si>
  <si>
    <t xml:space="preserve">C26H45NO7S</t>
  </si>
  <si>
    <t xml:space="preserve">Taurocholic acid</t>
  </si>
  <si>
    <t xml:space="preserve">46743</t>
  </si>
  <si>
    <t xml:space="preserve">HMDB0000036</t>
  </si>
  <si>
    <t xml:space="preserve">34542</t>
  </si>
  <si>
    <t xml:space="preserve">LMST05040001</t>
  </si>
  <si>
    <t xml:space="preserve">C05122</t>
  </si>
  <si>
    <t xml:space="preserve">28865</t>
  </si>
  <si>
    <t xml:space="preserve">6675</t>
  </si>
  <si>
    <t xml:space="preserve">81-24-3</t>
  </si>
  <si>
    <t xml:space="preserve">[C@]12([C@H](O)C[C@]3([H])C[C@H](O)CC[C@]3(C)[C@@]1([H])C[C@H](O)[C@]1(C)[C@@]([H])([C@@](C)([H])CCC(NCCS(O)(=O)=O)=O)CC[C@@]21[H])[H]</t>
  </si>
  <si>
    <t xml:space="preserve">WBWWGRHZICKQGZ-HZAMXZRMSA-N</t>
  </si>
  <si>
    <t xml:space="preserve">497.17494</t>
  </si>
  <si>
    <t xml:space="preserve">C28H30O6</t>
  </si>
  <si>
    <t xml:space="preserve">Mangostenone B</t>
  </si>
  <si>
    <t xml:space="preserve">63139</t>
  </si>
  <si>
    <t xml:space="preserve">HMDB0039903</t>
  </si>
  <si>
    <t xml:space="preserve">94446</t>
  </si>
  <si>
    <t xml:space="preserve">21672078</t>
  </si>
  <si>
    <t xml:space="preserve">CC(C)=CCC1=C2OC3=C(C(O)=C4C=CC(C)(C)OC4=C3)C(=O)C2=C2CCC(C)(C)OC2=C1O</t>
  </si>
  <si>
    <t xml:space="preserve">CTTYZRNOKDZJRY-UHFFFAOYSA-N</t>
  </si>
  <si>
    <t xml:space="preserve">497.26970</t>
  </si>
  <si>
    <t xml:space="preserve">C22H38N6O7</t>
  </si>
  <si>
    <t xml:space="preserve">Val-Gly-Val-Ala-Pro-Gly</t>
  </si>
  <si>
    <t xml:space="preserve">207427</t>
  </si>
  <si>
    <t xml:space="preserve">HMDB0253033</t>
  </si>
  <si>
    <t xml:space="preserve">5008460</t>
  </si>
  <si>
    <t xml:space="preserve">CC(C)C(N)C(=O)NCC(=O)NC(C(C)C)C(=O)NC(C)C(=O)N1CCCC1C(=O)NCC(O)=O</t>
  </si>
  <si>
    <t xml:space="preserve">RLCSROTYKMPBDL-UHFFFAOYSA-N</t>
  </si>
  <si>
    <t xml:space="preserve">498.05432</t>
  </si>
  <si>
    <t xml:space="preserve">C21H20FN3O6S</t>
  </si>
  <si>
    <t xml:space="preserve">Prulifloxacin</t>
  </si>
  <si>
    <t xml:space="preserve">210671</t>
  </si>
  <si>
    <t xml:space="preserve">HMDB0256881</t>
  </si>
  <si>
    <t xml:space="preserve">315138</t>
  </si>
  <si>
    <t xml:space="preserve">65947</t>
  </si>
  <si>
    <t xml:space="preserve">CC1SC2=C(C(O)=O)C(=O)C3=CC(F)=C(C=C3N12)N1CCN(CC2=C(C)OC(=O)O2)CC1</t>
  </si>
  <si>
    <t xml:space="preserve">PWNMXPDKBYZCOO-UHFFFAOYSA-N</t>
  </si>
  <si>
    <t xml:space="preserve">498.29123</t>
  </si>
  <si>
    <t xml:space="preserve">C21H43N5O7</t>
  </si>
  <si>
    <t xml:space="preserve">Gentamicin</t>
  </si>
  <si>
    <t xml:space="preserve">53081</t>
  </si>
  <si>
    <t xml:space="preserve">HMDB0014936</t>
  </si>
  <si>
    <t xml:space="preserve">3041</t>
  </si>
  <si>
    <t xml:space="preserve">C00505</t>
  </si>
  <si>
    <t xml:space="preserve">3467</t>
  </si>
  <si>
    <t xml:space="preserve">1403-66-3</t>
  </si>
  <si>
    <t xml:space="preserve">CNC(C)C1CCC(N)C(OC2C(N)CC(N)C(OC3OCC(C)(O)C(NC)C3O)C2O)O1</t>
  </si>
  <si>
    <t xml:space="preserve">CEAZRRDELHUEMR-UHFFFAOYSA-N</t>
  </si>
  <si>
    <t xml:space="preserve">499.29929</t>
  </si>
  <si>
    <t xml:space="preserve">C21H40N8O6</t>
  </si>
  <si>
    <t xml:space="preserve">Kentsin; Tuftsin</t>
  </si>
  <si>
    <t xml:space="preserve">48608; 48602</t>
  </si>
  <si>
    <t xml:space="preserve">HMDB0005776; HMDB0005770</t>
  </si>
  <si>
    <t xml:space="preserve">58311; </t>
  </si>
  <si>
    <t xml:space="preserve">; 88947</t>
  </si>
  <si>
    <t xml:space="preserve">171541; 53477795</t>
  </si>
  <si>
    <t xml:space="preserve">56767-30-7; 112592-90-2</t>
  </si>
  <si>
    <t xml:space="preserve">C[C@@H](O)[C@H](N)C(=O)N1CCC[C@H]1C(=O)N[C@@H](CCCNC(N)=N)C(=O)N[C@@H](CCCCN)C(O)=O; C[C@@H](O)[C@H](N)C(=O)NC(CCCCN)C(=O)N1CCC[C@H]1C(=O)N[C@@H](CCCNC(N)=N)C(O)=O</t>
  </si>
  <si>
    <t xml:space="preserve">OTAMFXXAGYBAQL-YXMSTPNBSA-N; IESDGNYHXIOKRW-NNFXCFJSSA-N</t>
  </si>
  <si>
    <t xml:space="preserve">500.28519</t>
  </si>
  <si>
    <t xml:space="preserve">C29H43NO4S</t>
  </si>
  <si>
    <t xml:space="preserve">Avasimibe</t>
  </si>
  <si>
    <t xml:space="preserve">203780</t>
  </si>
  <si>
    <t xml:space="preserve">HMDB0248736</t>
  </si>
  <si>
    <t xml:space="preserve">438408</t>
  </si>
  <si>
    <t xml:space="preserve">166558</t>
  </si>
  <si>
    <t xml:space="preserve">CC(C)C1=CC(C(C)C)=C(CC(=O)NS(=O)(=O)OC2=C(C=CC=C2C(C)C)C(C)C)C(=C1)C(C)C</t>
  </si>
  <si>
    <t xml:space="preserve">PTQXTEKSNBVPQJ-UHFFFAOYSA-N</t>
  </si>
  <si>
    <t xml:space="preserve">501.29451</t>
  </si>
  <si>
    <t xml:space="preserve">C27H40N2O4</t>
  </si>
  <si>
    <t xml:space="preserve">N-Docosahexaenoyl Glutamine</t>
  </si>
  <si>
    <t xml:space="preserve">198518</t>
  </si>
  <si>
    <t xml:space="preserve">HMDB0242012</t>
  </si>
  <si>
    <t xml:space="preserve">CCC=CCC=CCC=CCC=CCC=CCC=CCCC(=O)NC(CCC(N)=O)C(O)=O</t>
  </si>
  <si>
    <t xml:space="preserve">WBPJNGNLQDHVDT-UHFFFAOYSA-N</t>
  </si>
  <si>
    <t xml:space="preserve">502.22727</t>
  </si>
  <si>
    <t xml:space="preserve">C18H37N5O9</t>
  </si>
  <si>
    <t xml:space="preserve">Tobramycin</t>
  </si>
  <si>
    <t xml:space="preserve">52990</t>
  </si>
  <si>
    <t xml:space="preserve">HMDB0014822</t>
  </si>
  <si>
    <t xml:space="preserve">2863</t>
  </si>
  <si>
    <t xml:space="preserve">C00397</t>
  </si>
  <si>
    <t xml:space="preserve">28864</t>
  </si>
  <si>
    <t xml:space="preserve">36294</t>
  </si>
  <si>
    <t xml:space="preserve">32986-56-4</t>
  </si>
  <si>
    <t xml:space="preserve">NC[C@H]1O[C@H](O[C@@H]2[C@@H](N)C[C@@H](N)[C@H](O[C@H]3O[C@H](CO)[C@@H](O)[C@H](N)[C@H]3O)[C@H]2O)[C@H](N)C[C@@H]1O</t>
  </si>
  <si>
    <t xml:space="preserve">NLVFBUXFDBBNBW-PBSUHMDJSA-N</t>
  </si>
  <si>
    <t xml:space="preserve">503.24128</t>
  </si>
  <si>
    <t xml:space="preserve">C25H40O8</t>
  </si>
  <si>
    <t xml:space="preserve">3-alpha-Androstanediol glucuronide; 17-Hydroxyandrostane-3-glucuronide; 3,17-Androstanediol glucuronide</t>
  </si>
  <si>
    <t xml:space="preserve">50905; 50919; 50889</t>
  </si>
  <si>
    <t xml:space="preserve">HMDB0010339; HMDB0010359; HMDB0010321</t>
  </si>
  <si>
    <t xml:space="preserve">; ; 57955</t>
  </si>
  <si>
    <t xml:space="preserve">32645; 88730; </t>
  </si>
  <si>
    <t xml:space="preserve">24883428; 53480454; 131281</t>
  </si>
  <si>
    <t xml:space="preserve">; 65535-18-4; </t>
  </si>
  <si>
    <t xml:space="preserve">[H][C@@]12CC[C@H](O)[C@@]1(C)CC[C@@]1([H])[C@@]2([H])CC[C@@]2([H])C[C@@H](CC[C@]12C)O[C@H]1OC([C@@H](O)C(O)[C@H]1O)C(O)=O; [H][C@@]12CC[C@H](O)[C@@]1(C)CC[C@@]1([H])[C@@]2([H])CC[C@@]2([H])C[C@@H](CC[C@]12C)O[C@@H]1O[C@H]([C@@H](O)[C@@H](O)[C@H]1O)C(O)=O; [H][C@@]12CC[C@H](O)[C@@]1(C)CC[C@@]1([H])[C@@]2([H])CC[C@@]2([H])C[C@@H](CC[C@]12C)OC(=O)[C@H]1O[C@@H](O)[C@H](O)[C@@H](O)[C@@H]1O</t>
  </si>
  <si>
    <t xml:space="preserve">GYNWSIBKBBWJJW-YMRFBRODSA-N; GYNWSIBKBBWJJW-JRTXBCKMSA-N; TWDCYBTXSUNASK-WGGIPMEBSA-N</t>
  </si>
  <si>
    <t xml:space="preserve">Steroidal glycosides; Steroidal glycosides; Steroid esters</t>
  </si>
  <si>
    <t xml:space="preserve">504.17593</t>
  </si>
  <si>
    <t xml:space="preserve">C27H27N5O3</t>
  </si>
  <si>
    <t xml:space="preserve">2-Methoxy-N-[3-[4-[3-methyl-4-[(6-methyl-3-pyridinyl)oxy]anilino]-6-quinazolinyl]prop-2-enyl]acetamide</t>
  </si>
  <si>
    <t xml:space="preserve">204798</t>
  </si>
  <si>
    <t xml:space="preserve">HMDB0249936</t>
  </si>
  <si>
    <t xml:space="preserve">91331</t>
  </si>
  <si>
    <t xml:space="preserve">53401057</t>
  </si>
  <si>
    <t xml:space="preserve">COCC(=O)NCC=CC1=CC2=C(C=C1)N=CN=C2NC1=CC(C)=C(OC2=CN=C(C)C=C2)C=C1</t>
  </si>
  <si>
    <t xml:space="preserve">LLVZBTWPGQVVLW-UHFFFAOYSA-N</t>
  </si>
  <si>
    <t xml:space="preserve">504.32039</t>
  </si>
  <si>
    <t xml:space="preserve">C31H49NO2</t>
  </si>
  <si>
    <t xml:space="preserve">FA 15 (antioxidant)</t>
  </si>
  <si>
    <t xml:space="preserve">206670</t>
  </si>
  <si>
    <t xml:space="preserve">HMDB0252155</t>
  </si>
  <si>
    <t xml:space="preserve">199782</t>
  </si>
  <si>
    <t xml:space="preserve">CN(CC1=CC(=C(O)C(=C1)C(C)(C)C)C(C)(C)C)CC1=CC(=C(O)C(=C1)C(C)(C)C)C(C)(C)C</t>
  </si>
  <si>
    <t xml:space="preserve">UCQIYQJHXVLJTD-UHFFFAOYSA-N</t>
  </si>
  <si>
    <t xml:space="preserve">507.29948</t>
  </si>
  <si>
    <t xml:space="preserve">C29H46N2O3</t>
  </si>
  <si>
    <t xml:space="preserve">N-Stearoyl Tryptophan</t>
  </si>
  <si>
    <t xml:space="preserve">198469</t>
  </si>
  <si>
    <t xml:space="preserve">HMDB0241951</t>
  </si>
  <si>
    <t xml:space="preserve">3120427</t>
  </si>
  <si>
    <t xml:space="preserve">CCCCCCCCCCCCCCCCCC(=O)NC(CC1=CNC2=C1C=CC=C2)C(O)=O</t>
  </si>
  <si>
    <t xml:space="preserve">QZMGCBALCCFOPR-UHFFFAOYSA-N</t>
  </si>
  <si>
    <t xml:space="preserve">509.31570</t>
  </si>
  <si>
    <t xml:space="preserve">C27H44O6</t>
  </si>
  <si>
    <t xml:space="preserve">Ponasterone A; Ecdysone</t>
  </si>
  <si>
    <t xml:space="preserve">210512; 206282</t>
  </si>
  <si>
    <t xml:space="preserve">HMDB0256697; HMDB0251684</t>
  </si>
  <si>
    <t xml:space="preserve">4482619; 4233007</t>
  </si>
  <si>
    <t xml:space="preserve">CC(C)CCC(O)C(C)(O)C1CCC2(O)C3=CC(=O)C4CC(O)C(O)CC4(C)C3CCC12C; CC(C(O)CCC(C)(C)O)C1CCC2(O)C3=CC(=O)C4CC(O)C(O)CC4(C)C3CCC12C</t>
  </si>
  <si>
    <t xml:space="preserve">PJYYBCXMCWDUAZ-UHFFFAOYSA-N; UPEZCKBFRMILAV-UHFFFAOYSA-N</t>
  </si>
  <si>
    <t xml:space="preserve">Bile acids, alcohols and derivatives; Bile acids, alcohols and derivatives</t>
  </si>
  <si>
    <t xml:space="preserve">510.25561</t>
  </si>
  <si>
    <t xml:space="preserve">C31H41ClFNO3</t>
  </si>
  <si>
    <t xml:space="preserve">Haloperidol decanoate</t>
  </si>
  <si>
    <t xml:space="preserve">207435</t>
  </si>
  <si>
    <t xml:space="preserve">HMDB0253043</t>
  </si>
  <si>
    <t xml:space="preserve">52919</t>
  </si>
  <si>
    <t xml:space="preserve">CCCCCCCCCC(=O)OC1(CCN(CCCC(=O)C2=CC=C(F)C=C2)CC1)C1=CC=C(Cl)C=C1</t>
  </si>
  <si>
    <t xml:space="preserve">GUTXTARXLVFHDK-UHFFFAOYSA-N</t>
  </si>
  <si>
    <t xml:space="preserve">510.32083</t>
  </si>
  <si>
    <t xml:space="preserve">C23H48NO6P</t>
  </si>
  <si>
    <t xml:space="preserve">GPE(18:1)</t>
  </si>
  <si>
    <t xml:space="preserve">21271</t>
  </si>
  <si>
    <t xml:space="preserve">HMDB0240598</t>
  </si>
  <si>
    <t xml:space="preserve">46720</t>
  </si>
  <si>
    <t xml:space="preserve">LMGP02070002</t>
  </si>
  <si>
    <t xml:space="preserve">87823</t>
  </si>
  <si>
    <t xml:space="preserve">42607470</t>
  </si>
  <si>
    <t xml:space="preserve">174062-73-8</t>
  </si>
  <si>
    <t xml:space="preserve">[C@](COP(=O)(O)OCCN)([H])(O)CO/C=C\CCCCCCCCCCCCCCCC</t>
  </si>
  <si>
    <t xml:space="preserve">KACDZDULGKPXHT-HIVNOOBXSA-N</t>
  </si>
  <si>
    <t xml:space="preserve">512.08850</t>
  </si>
  <si>
    <t xml:space="preserve">C18H21N5O6S2</t>
  </si>
  <si>
    <t xml:space="preserve">(2S)-2-[[5-[2-[(6S)-2-Amino-4-oxo-1,6,7,8-tetrahydropyrimido[5,4-b][1,4]thiazin-6-yl]ethyl]thiophene-2-carbonyl]amino]pentanedioic acid</t>
  </si>
  <si>
    <t xml:space="preserve">203211</t>
  </si>
  <si>
    <t xml:space="preserve">HMDB0248055</t>
  </si>
  <si>
    <t xml:space="preserve">10389853</t>
  </si>
  <si>
    <t xml:space="preserve">NC1=NC2=C(SC(CCC3=CC=C(S3)C(=O)NC(CCC(O)=O)C(O)=O)CN2)C(=O)N1</t>
  </si>
  <si>
    <t xml:space="preserve">HHKAOUMVRGSKLS-UHFFFAOYSA-N</t>
  </si>
  <si>
    <t xml:space="preserve">512.27541</t>
  </si>
  <si>
    <t xml:space="preserve">C31H41NO4</t>
  </si>
  <si>
    <t xml:space="preserve">Bardoxolone</t>
  </si>
  <si>
    <t xml:space="preserve">203903</t>
  </si>
  <si>
    <t xml:space="preserve">HMDB0248871</t>
  </si>
  <si>
    <t xml:space="preserve">22267137</t>
  </si>
  <si>
    <t xml:space="preserve">CC1(C)CCC2(CCC3(C)C(C2C1)C(=O)C=C1C2(C)C=C(C#N)C(=O)C(C)(C)C2CCC31C)C(O)=O</t>
  </si>
  <si>
    <t xml:space="preserve">TXGZJQLMVSIZEI-UHFFFAOYSA-N</t>
  </si>
  <si>
    <t xml:space="preserve">512.33923</t>
  </si>
  <si>
    <t xml:space="preserve">C29H49NO5</t>
  </si>
  <si>
    <t xml:space="preserve">(7E,10E,13E,16E)-3-Hydroxydocosa-7,10,13,16-tetraenoylcarnitine; (10E)-11-(3,4-Dimethyl-5-pentylfuran-2-yl)undec-10-enoylcarnitine; 11-{3,4-Dimethyl-5-[(1E)-pent-1-en-1-yl]furan-2-yl}undecanoylcarnitine</t>
  </si>
  <si>
    <t xml:space="preserve">198144; 198351; 198355</t>
  </si>
  <si>
    <t xml:space="preserve">HMDB0241607; HMDB0241829; HMDB0241833</t>
  </si>
  <si>
    <t xml:space="preserve">CCCCCC=CCC=CCC=CCC=CCCCC(O)CC(=O)OC(CC([O-])=O)C[N+](C)(C)C; CCCCCC1=C(C)C(C)=C(O1)C=CCCCCCCCCC(=O)OC(CC([O-])=O)C[N+](C)(C)C; CCCC=CC1=C(C)C(C)=C(CCCCCCCCCCC(=O)OC(CC([O-])=O)C[N+](C)(C)C)O1</t>
  </si>
  <si>
    <t xml:space="preserve">VNDDHCLZKGIEPZ-UHFFFAOYSA-N; SOOWSWAUNDRVKV-UHFFFAOYSA-N; ZOKGJZKYKVENGW-UHFFFAOYSA-N</t>
  </si>
  <si>
    <t xml:space="preserve">513.34075</t>
  </si>
  <si>
    <t xml:space="preserve">C12H23N3O3</t>
  </si>
  <si>
    <t xml:space="preserve">(2S)-2-Amino-6-[(3-formylpiperidin-1-yl)amino]hexanoic acid</t>
  </si>
  <si>
    <t xml:space="preserve">209326</t>
  </si>
  <si>
    <t xml:space="preserve">HMDB0255325</t>
  </si>
  <si>
    <t xml:space="preserve">NC(CCCCNN1CCCC(C1)C=O)C(O)=O</t>
  </si>
  <si>
    <t xml:space="preserve">KVXSPXCUAWCXEI-UHFFFAOYSA-N</t>
  </si>
  <si>
    <t xml:space="preserve">514.28949</t>
  </si>
  <si>
    <t xml:space="preserve">C27H45NO6</t>
  </si>
  <si>
    <t xml:space="preserve">(5Z,8Z,10E,12S,14Z)-12-Hydroperoxyicosa-5,8,10,14-tetraenoylcarnitine; (5Z)-7-[(1R,2E)-2-[(3S)-3-hydroxyoctylidene]-3-oxocyclopentyl]hept-5-enoylcarnitine; 7-[(1R)-2-[(1E,3S)-3-Hydroxyoct-1-en-1-yl]-5-oxocyclopent-2-en-1-yl]heptanoylcarnitine</t>
  </si>
  <si>
    <t xml:space="preserve">198126; 198322; 198323</t>
  </si>
  <si>
    <t xml:space="preserve">HMDB0241589; HMDB0241800; HMDB0241801</t>
  </si>
  <si>
    <t xml:space="preserve">CCCCCC=CCC(OO)C=CC=CCC=CCCCC(=O)OC(CC([O-])=O)C[N+](C)(C)C; CCCCCC(O)CC=C1C(CC=CCCCC(=O)OC(CC([O-])=O)C[N+](C)(C)C)CCC1=O; CCCCCC(O)C=CC1=CCC(=O)C1CCCCCCC(=O)OC(CC([O-])=O)C[N+](C)(C)C</t>
  </si>
  <si>
    <t xml:space="preserve">DECGZETWJDCGMI-UHFFFAOYSA-N; XPMPGBFECDYGKF-UHFFFAOYSA-N; MJRXFXIIAMDZPZ-UHFFFAOYSA-N</t>
  </si>
  <si>
    <t xml:space="preserve">Fatty acid esters; Eicosanoids; Eicosanoids</t>
  </si>
  <si>
    <t xml:space="preserve">517.31668</t>
  </si>
  <si>
    <t xml:space="preserve">C30H46O7</t>
  </si>
  <si>
    <t xml:space="preserve">Perulactone; Ganoderic acid C2; Corosin</t>
  </si>
  <si>
    <t xml:space="preserve">58428; 59187; 59552</t>
  </si>
  <si>
    <t xml:space="preserve">HMDB0034392; HMDB0035304; HMDB0035699</t>
  </si>
  <si>
    <t xml:space="preserve">89899; ; 90959</t>
  </si>
  <si>
    <t xml:space="preserve">433638; 131752094; 286498</t>
  </si>
  <si>
    <t xml:space="preserve">76994-38-2; 98296-48-1; 53527-49-4</t>
  </si>
  <si>
    <t xml:space="preserve">CC1C(CC(O)C(C)(O)C2CCC3C4CC=C5CC(O)CC(OC(C)=O)C5(C)C4CCC23C)COC1=O; CC(CC(=O)CC(C)C(O)=O)C1CC(O)C2(C)C3=C(C(=O)CC12C)C1(C)CCC(O)C(C)(C)C1CC3O; CC1CCC2(CCC3(C)C(=CCC4C5(C)CC(O)C(O)C(C)(C5CCC34C)C(O)=O)C2C1(C)O)C(O)=O</t>
  </si>
  <si>
    <t xml:space="preserve">ODRFODNLKCBNIK-UHFFFAOYSA-N; RERVSJVGWKIGTJ-UHFFFAOYSA-N; FYGSMJAMPMZYFS-UHFFFAOYSA-N</t>
  </si>
  <si>
    <t xml:space="preserve">Bile acids, alcohols and derivatives; Triterpenoids; Triterpenoids</t>
  </si>
  <si>
    <t xml:space="preserve">523.30152</t>
  </si>
  <si>
    <t xml:space="preserve">C23H40N8O6</t>
  </si>
  <si>
    <t xml:space="preserve">VPGPR Enterostatin</t>
  </si>
  <si>
    <t xml:space="preserve">48137</t>
  </si>
  <si>
    <t xml:space="preserve">HMDB0003577</t>
  </si>
  <si>
    <t xml:space="preserve">58161</t>
  </si>
  <si>
    <t xml:space="preserve">9914775</t>
  </si>
  <si>
    <t xml:space="preserve">144964-56-7</t>
  </si>
  <si>
    <t xml:space="preserve">CC(C)[C@H](N)C(=O)N1CCC[C@H]1C(=O)NCC(=O)N1CCC[C@H]1C(=O)N[C@@H](CCCN=C(N)N)C(O)=O</t>
  </si>
  <si>
    <t xml:space="preserve">QVZKZDOWTVQTPL-OVWQWFNUSA-N</t>
  </si>
  <si>
    <t xml:space="preserve">524.28495</t>
  </si>
  <si>
    <t xml:space="preserve">C22H43N5O7</t>
  </si>
  <si>
    <t xml:space="preserve">Vertilmicin</t>
  </si>
  <si>
    <t xml:space="preserve">199116</t>
  </si>
  <si>
    <t xml:space="preserve">HMDB0242753</t>
  </si>
  <si>
    <t xml:space="preserve">72822913</t>
  </si>
  <si>
    <t xml:space="preserve">CCNC1CC(N)C(OC2OC(=CCC2N)C(C)N)C(O)C1OC1OCC(C)(O)C(NC)C1O</t>
  </si>
  <si>
    <t xml:space="preserve">QVRLHIRFLRXFIW-UHFFFAOYSA-N</t>
  </si>
  <si>
    <t xml:space="preserve">524.96404</t>
  </si>
  <si>
    <t xml:space="preserve">C17H16Cl3F3N2O3S</t>
  </si>
  <si>
    <t xml:space="preserve">2,6-Dichloro-N-[4-chloro-3-(2-dimethylaminoethoxy)phenyl]-4-(trifluoromethyl)benzenesulfonamide</t>
  </si>
  <si>
    <t xml:space="preserve">201544</t>
  </si>
  <si>
    <t xml:space="preserve">HMDB0246182</t>
  </si>
  <si>
    <t xml:space="preserve">10278166</t>
  </si>
  <si>
    <t xml:space="preserve">CN(C)CCOC1=C(Cl)C=CC(NS(=O)(=O)C2=C(Cl)C=C(C=C2Cl)C(F)(F)F)=C1</t>
  </si>
  <si>
    <t xml:space="preserve">UIZHOFJFIOCYLH-UHFFFAOYSA-N</t>
  </si>
  <si>
    <t xml:space="preserve">Sulfanilides</t>
  </si>
  <si>
    <t xml:space="preserve">525.30691</t>
  </si>
  <si>
    <t xml:space="preserve">C24H48N4O6</t>
  </si>
  <si>
    <t xml:space="preserve">4,10,16,22,27,32-Hexaoxa-1,7,13,19-tetraazatricyclo(11.11.5.57,19)tetratriacontane</t>
  </si>
  <si>
    <t xml:space="preserve">211204</t>
  </si>
  <si>
    <t xml:space="preserve">HMDB0257531</t>
  </si>
  <si>
    <t xml:space="preserve">C1CN2CCOCCN3CCOCCN(CCO1)CCOCCN(CCOCC2)CCOCC3</t>
  </si>
  <si>
    <t xml:space="preserve">WMCYOTXPFPIAEG-UHFFFAOYSA-N</t>
  </si>
  <si>
    <t xml:space="preserve">526.29944</t>
  </si>
  <si>
    <t xml:space="preserve">C25H47NO9</t>
  </si>
  <si>
    <t xml:space="preserve">Galactocerebroside</t>
  </si>
  <si>
    <t xml:space="preserve">204774</t>
  </si>
  <si>
    <t xml:space="preserve">HMDB0249909</t>
  </si>
  <si>
    <t xml:space="preserve">CCCCCCCCCCCCCC=CC(O)C(CO)NC(=O)OC1OC(CO)C(O)C(O)C1O</t>
  </si>
  <si>
    <t xml:space="preserve">LEBBDRXHHNYZIA-UHFFFAOYSA-N</t>
  </si>
  <si>
    <t xml:space="preserve">Fatty acyl glycosides</t>
  </si>
  <si>
    <t xml:space="preserve">528.28041</t>
  </si>
  <si>
    <t xml:space="preserve">C28H45NO5S</t>
  </si>
  <si>
    <t xml:space="preserve">Lefamulin</t>
  </si>
  <si>
    <t xml:space="preserve">208223</t>
  </si>
  <si>
    <t xml:space="preserve">HMDB0254002</t>
  </si>
  <si>
    <t xml:space="preserve">74368213</t>
  </si>
  <si>
    <t xml:space="preserve">CC1CCC23CCC(=O)C2C1(C)C(CC(C)(C=C)C(O)C3C)OC(=O)CSC1CCC(N)CC1O</t>
  </si>
  <si>
    <t xml:space="preserve">KPVIXBKIJXZQJX-UHFFFAOYSA-N</t>
  </si>
  <si>
    <t xml:space="preserve">529.30722</t>
  </si>
  <si>
    <t xml:space="preserve">C28H42N4O6</t>
  </si>
  <si>
    <t xml:space="preserve">Kukoamine A; Kukoamine B; Kukoamine C</t>
  </si>
  <si>
    <t xml:space="preserve">55208; 82416; 82417</t>
  </si>
  <si>
    <t xml:space="preserve">HMDB0030392; HMDB0060525; HMDB0060526</t>
  </si>
  <si>
    <t xml:space="preserve">71818; 71819; 71820</t>
  </si>
  <si>
    <t xml:space="preserve">C17615; C17616; C17617</t>
  </si>
  <si>
    <t xml:space="preserve">227037; 81221; 81222</t>
  </si>
  <si>
    <t xml:space="preserve">5318865; 10346914; 10052730</t>
  </si>
  <si>
    <t xml:space="preserve">75288-96-9; ; </t>
  </si>
  <si>
    <t xml:space="preserve">O\C(CCC1=CC(O)=C(O)C=C1)=N/CCCNCCCCNCCC\N=C(/O)CCC1=CC(O)=C(O)C=C1; NCCCN(CCCCNCCCNC(=O)CCC1=CC=C(O)C(O)=C1)C(=O)CCC1=CC(O)=C(O)C=C1; NCCCN(CCCCN(CCCN)C(=O)CCC1=CC(O)=C(O)C=C1)C(=O)CCC1=CC(O)=C(O)C=C1</t>
  </si>
  <si>
    <t xml:space="preserve">IOLDDENZPBFBHV-UHFFFAOYSA-N; IWRAOCFRRTWUDF-UHFFFAOYSA-N; MRBLTJLKQIHRTP-UHFFFAOYSA-N</t>
  </si>
  <si>
    <t xml:space="preserve">Phenols; Phenols; Phenols</t>
  </si>
  <si>
    <t xml:space="preserve">Benzenediols; Benzenediols; Benzenediols</t>
  </si>
  <si>
    <t xml:space="preserve">530.30263</t>
  </si>
  <si>
    <t xml:space="preserve">C24H50NO7P</t>
  </si>
  <si>
    <t xml:space="preserve">GPC(16:0)</t>
  </si>
  <si>
    <t xml:space="preserve">19830</t>
  </si>
  <si>
    <t xml:space="preserve">HMDB0010382</t>
  </si>
  <si>
    <t xml:space="preserve">40284</t>
  </si>
  <si>
    <t xml:space="preserve">LMGP01050018</t>
  </si>
  <si>
    <t xml:space="preserve">C04230</t>
  </si>
  <si>
    <t xml:space="preserve">72998</t>
  </si>
  <si>
    <t xml:space="preserve">460602</t>
  </si>
  <si>
    <t xml:space="preserve">17364-16-8</t>
  </si>
  <si>
    <t xml:space="preserve">[C@](COP(=O)([O-])OCC[N+](C)(C)C)([H])(O)COC(CCCCCCCCCCCCCCC)=O</t>
  </si>
  <si>
    <t xml:space="preserve">ASWBNKHCZGQVJV-HSZRJFAPSA-N</t>
  </si>
  <si>
    <t xml:space="preserve">Glycerophosphocholines</t>
  </si>
  <si>
    <t xml:space="preserve">531.29626</t>
  </si>
  <si>
    <t xml:space="preserve">C15H22O4</t>
  </si>
  <si>
    <t xml:space="preserve">Deoxyartemsinin</t>
  </si>
  <si>
    <t xml:space="preserve">82454</t>
  </si>
  <si>
    <t xml:space="preserve">HMDB0060569</t>
  </si>
  <si>
    <t xml:space="preserve">156094</t>
  </si>
  <si>
    <t xml:space="preserve">C[C@@H]1C=C[C@@H]2[C@@H](C)C(=O)O[C@H]3O[C@](C)(O)CC[C@@H]1C23</t>
  </si>
  <si>
    <t xml:space="preserve">ZHHCFKHSMKRNCX-CRBWWJEESA-N</t>
  </si>
  <si>
    <t xml:space="preserve">Oxepanes</t>
  </si>
  <si>
    <t xml:space="preserve">537.49234</t>
  </si>
  <si>
    <t xml:space="preserve">C34H66O4</t>
  </si>
  <si>
    <t xml:space="preserve">FAHFA(16:0/5-O-18:0); FAHFA(16:0/7-O-18:0); FAHFA(16:0/8-O-18:0)</t>
  </si>
  <si>
    <t xml:space="preserve">8397; 8398; 8399</t>
  </si>
  <si>
    <t xml:space="preserve">HMDB0112107; HMDB0112116; HMDB0112118</t>
  </si>
  <si>
    <t xml:space="preserve">LMFA07090001; LMFA07090002; LMFA07090003</t>
  </si>
  <si>
    <t xml:space="preserve">84457; 84479; 84486</t>
  </si>
  <si>
    <t xml:space="preserve">72190300; 86290207; 86290209</t>
  </si>
  <si>
    <t xml:space="preserve">1481636-41-2; 2005487-39-6; 2095569-12-1</t>
  </si>
  <si>
    <t xml:space="preserve">C(CCC(=O)O)C(OC(CCCCCCCCCCCCCCC)=O)CCCCCCCCCCCCC; C(CCCCC(=O)O)C(OC(CCCCCCCCCCCCCCC)=O)CCCCCCCCCCC; C(CCCCCC(=O)O)C(OC(CCCCCCCCCCCCCCC)=O)CCCCCCCCCC</t>
  </si>
  <si>
    <t xml:space="preserve">QBGKCWKQYJQHJX-UHFFFAOYSA-N; USNXMSKYBRAGPQ-UHFFFAOYSA-N; PXZVHHRFDCMNSG-UHFFFAOYSA-N</t>
  </si>
  <si>
    <t xml:space="preserve">537.93286</t>
  </si>
  <si>
    <t xml:space="preserve">C23H15Cl2NO2S3</t>
  </si>
  <si>
    <t xml:space="preserve">S-Diclofenac</t>
  </si>
  <si>
    <t xml:space="preserve">203146</t>
  </si>
  <si>
    <t xml:space="preserve">HMDB0247974</t>
  </si>
  <si>
    <t xml:space="preserve">64752</t>
  </si>
  <si>
    <t xml:space="preserve">11948307</t>
  </si>
  <si>
    <t xml:space="preserve">912758-00-0</t>
  </si>
  <si>
    <t xml:space="preserve">ClC1=CC=CC(Cl)=C1NC1=CC=CC=C1CC(=O)OC1=CC=C(C=C1)C1=CC(=S)SS1</t>
  </si>
  <si>
    <t xml:space="preserve">BRDUXOHVEZVAHI-UHFFFAOYSA-N</t>
  </si>
  <si>
    <t xml:space="preserve">Phenol esters</t>
  </si>
  <si>
    <t xml:space="preserve">539.14372</t>
  </si>
  <si>
    <t xml:space="preserve">C28H28N2O5S</t>
  </si>
  <si>
    <t xml:space="preserve">4-Cyano-N-(3-(cyclopropyl(5,6,7,8,9,10-hexahydro-4-hydroxy-2-oxo-2H-cycloocta(b)pyran-3-yl)methyl)phenyl)benzenesulfonamide</t>
  </si>
  <si>
    <t xml:space="preserve">210481</t>
  </si>
  <si>
    <t xml:space="preserve">HMDB0256657</t>
  </si>
  <si>
    <t xml:space="preserve">OC1=C(C(C2CC2)C2=CC(NS(=O)(=O)C3=CC=C(C=C3)C#N)=CC=C2)C(=O)OC2=C1CCCCCC2</t>
  </si>
  <si>
    <t xml:space="preserve">VCYQENLVFRTJIC-UHFFFAOYSA-N</t>
  </si>
  <si>
    <t xml:space="preserve">539.92014</t>
  </si>
  <si>
    <t xml:space="preserve">C9H14F2N3O13P3</t>
  </si>
  <si>
    <t xml:space="preserve">Gemcitabine triphosphate; Difluorodeoxycytidine triphosphate</t>
  </si>
  <si>
    <t xml:space="preserve">82515; 205910</t>
  </si>
  <si>
    <t xml:space="preserve">HMDB0060638; HMDB0251267</t>
  </si>
  <si>
    <t xml:space="preserve">130659; </t>
  </si>
  <si>
    <t xml:space="preserve">NC1=NC(=O)N(C=C1)[C@@H]1O[C@H](COP(O)(=O)OP(O)(=O)OP(O)(O)=O)[C@@H](O)C1(F)F; NC1=NC(=O)N(C2CC(O)C(COP(O)(=O)OP(O)(=O)OP(O)(O)=O)O2)C(F)=C1F</t>
  </si>
  <si>
    <t xml:space="preserve">YMOXEIOKAJSRQX-QPPQHZFASA-N; UWXMJKZOZZKFCT-UHFFFAOYSA-N</t>
  </si>
  <si>
    <t xml:space="preserve">Organoheterocyclic compounds; Nucleosides, nucleotides, and analogues</t>
  </si>
  <si>
    <t xml:space="preserve">Diazines; Pyrimidine nucleotides</t>
  </si>
  <si>
    <t xml:space="preserve">Pyrimidines and pyrimidine derivatives; Pyrimidine deoxyribonucleotides</t>
  </si>
  <si>
    <t xml:space="preserve">540.05928</t>
  </si>
  <si>
    <t xml:space="preserve">C22H18F3N5O2S2</t>
  </si>
  <si>
    <t xml:space="preserve">Desmethyl dabrafenib</t>
  </si>
  <si>
    <t xml:space="preserve">205718</t>
  </si>
  <si>
    <t xml:space="preserve">HMDB0251052</t>
  </si>
  <si>
    <t xml:space="preserve">58345847</t>
  </si>
  <si>
    <t xml:space="preserve">CC(C)C1=NC(=C(S1)C1=NC(N)=NC=C1)C1=C(F)C(NS(=O)(=O)C2=C(F)C=CC=C2F)=CC=C1</t>
  </si>
  <si>
    <t xml:space="preserve">MQEHPCURISZMGR-UHFFFAOYSA-N</t>
  </si>
  <si>
    <t xml:space="preserve">540.32488</t>
  </si>
  <si>
    <t xml:space="preserve">C34H43N3O3</t>
  </si>
  <si>
    <t xml:space="preserve">CDDO-Im</t>
  </si>
  <si>
    <t xml:space="preserve">204632</t>
  </si>
  <si>
    <t xml:space="preserve">HMDB0249740</t>
  </si>
  <si>
    <t xml:space="preserve">22267135</t>
  </si>
  <si>
    <t xml:space="preserve">CC1(C)CCC2(CCC3(C)C(C2C1)C(=O)C=C1C2(C)C=C(C#N)C(=O)C(C)(C)C2CCC31C)C(=O)N1C=CN=C1</t>
  </si>
  <si>
    <t xml:space="preserve">ITFBYYCNYVFPKD-UHFFFAOYSA-N</t>
  </si>
  <si>
    <t xml:space="preserve">Naphthalenecarboxylic acids and derivatives</t>
  </si>
  <si>
    <t xml:space="preserve">541.05855</t>
  </si>
  <si>
    <t xml:space="preserve">C23H20Cl2F2N2O2S</t>
  </si>
  <si>
    <t xml:space="preserve">Drinabant</t>
  </si>
  <si>
    <t xml:space="preserve">206225</t>
  </si>
  <si>
    <t xml:space="preserve">HMDB0251620</t>
  </si>
  <si>
    <t xml:space="preserve">45158</t>
  </si>
  <si>
    <t xml:space="preserve">10278470</t>
  </si>
  <si>
    <t xml:space="preserve">358970-97-5</t>
  </si>
  <si>
    <t xml:space="preserve">CS(=O)(=O)N(C1CN(C1)C(C1=CC=C(Cl)C=C1)C1=CC=C(Cl)C=C1)C1=CC(F)=CC(F)=C1</t>
  </si>
  <si>
    <t xml:space="preserve">IQQBRKLVEALROM-UHFFFAOYSA-N</t>
  </si>
  <si>
    <t xml:space="preserve">Diphenylmethanes</t>
  </si>
  <si>
    <t xml:space="preserve">541.32532</t>
  </si>
  <si>
    <t xml:space="preserve">C29H48N2O6</t>
  </si>
  <si>
    <t xml:space="preserve">Chenodeoxycholylglutamine</t>
  </si>
  <si>
    <t xml:space="preserve">198861</t>
  </si>
  <si>
    <t xml:space="preserve">HMDB0242408</t>
  </si>
  <si>
    <t xml:space="preserve">CC(CCC(=O)NC(CCC(N)=O)C(O)=O)C1CCC2C3C(O)CC4CC(O)CCC4(C)C3CCC12C</t>
  </si>
  <si>
    <t xml:space="preserve">WKNSSWRPDRZCAQ-UHFFFAOYSA-N</t>
  </si>
  <si>
    <t xml:space="preserve">542.33036</t>
  </si>
  <si>
    <t xml:space="preserve">C29H49NO6</t>
  </si>
  <si>
    <t xml:space="preserve">Cholylvaline</t>
  </si>
  <si>
    <t xml:space="preserve">198833</t>
  </si>
  <si>
    <t xml:space="preserve">HMDB0242380</t>
  </si>
  <si>
    <t xml:space="preserve">85527347</t>
  </si>
  <si>
    <t xml:space="preserve">CC(C)C(NC(=O)CCC(C)C1CCC2C3C(O)CC4CC(O)CCC4(C)C3CC(O)C12C)C(O)=O</t>
  </si>
  <si>
    <t xml:space="preserve">WVFDPCYTNIXGHI-UHFFFAOYSA-N</t>
  </si>
  <si>
    <t xml:space="preserve">543.33641</t>
  </si>
  <si>
    <t xml:space="preserve">C37H48O</t>
  </si>
  <si>
    <t xml:space="preserve">2'-Apo-beta-carotenal</t>
  </si>
  <si>
    <t xml:space="preserve">59052</t>
  </si>
  <si>
    <t xml:space="preserve">HMDB0035150</t>
  </si>
  <si>
    <t xml:space="preserve">90486</t>
  </si>
  <si>
    <t xml:space="preserve">131751675</t>
  </si>
  <si>
    <t xml:space="preserve">5525-46-2</t>
  </si>
  <si>
    <t xml:space="preserve">C\C(\C=C\C=C(/C)\C=C/C=C(/C)\C=C/C=O)=C/C=C\C=C(/C)\C=C\C=C(\C)/C=C/C1=C(C)CCCC1(C)C</t>
  </si>
  <si>
    <t xml:space="preserve">BHSZYKGHISLXHM-GOALLJMFSA-N</t>
  </si>
  <si>
    <t xml:space="preserve">Sesquaterpenoids</t>
  </si>
  <si>
    <t xml:space="preserve">544.27174</t>
  </si>
  <si>
    <t xml:space="preserve">C33H39N3O2</t>
  </si>
  <si>
    <t xml:space="preserve">2-[4,6-Bis(2,4-dimethylphenyl)-1,3,5-triazin-2-yl]-5-(octyloxy)phenol</t>
  </si>
  <si>
    <t xml:space="preserve">61295</t>
  </si>
  <si>
    <t xml:space="preserve">HMDB0037802</t>
  </si>
  <si>
    <t xml:space="preserve">92615</t>
  </si>
  <si>
    <t xml:space="preserve">135414248</t>
  </si>
  <si>
    <t xml:space="preserve">2725-22-6</t>
  </si>
  <si>
    <t xml:space="preserve">CCCCCCCCOC1=CC(O)=C(C=C1)C1=NC(=NC(=N1)C1=CC=C(C)C=C1C)C1=CC=C(C)C=C1C</t>
  </si>
  <si>
    <t xml:space="preserve">ZSSVCEUEVMALRD-UHFFFAOYSA-N</t>
  </si>
  <si>
    <t xml:space="preserve">546.33971</t>
  </si>
  <si>
    <t xml:space="preserve">C26H56NO5PS</t>
  </si>
  <si>
    <t xml:space="preserve">Ilmofosine</t>
  </si>
  <si>
    <t xml:space="preserve">207738</t>
  </si>
  <si>
    <t xml:space="preserve">HMDB0253400</t>
  </si>
  <si>
    <t xml:space="preserve">322965</t>
  </si>
  <si>
    <t xml:space="preserve">55008</t>
  </si>
  <si>
    <t xml:space="preserve">CCCCCCCCCCCCCCCCSCC(COC)COP([O-])(=O)OCC[N+](C)(C)C</t>
  </si>
  <si>
    <t xml:space="preserve">ODEDPKNSRBCSDO-UHFFFAOYSA-N</t>
  </si>
  <si>
    <t xml:space="preserve">Quaternary ammonium salts</t>
  </si>
  <si>
    <t xml:space="preserve">547.31584</t>
  </si>
  <si>
    <t xml:space="preserve">C32H48O5</t>
  </si>
  <si>
    <t xml:space="preserve">11a,12a-Epoxy-3b-hydroxy-28,13-oleananolide 3-acetate; 3beta-Acetoxy-12-oxo-28,13beta-oleananolide; Ganoderic acid S</t>
  </si>
  <si>
    <t xml:space="preserve">56344; 58640; 59195</t>
  </si>
  <si>
    <t xml:space="preserve">HMDB0031879; HMDB0034646; HMDB0035313</t>
  </si>
  <si>
    <t xml:space="preserve">87996; 90108; </t>
  </si>
  <si>
    <t xml:space="preserve">13818991; 76033272; 131751702</t>
  </si>
  <si>
    <t xml:space="preserve">35738-25-1; 35959-11-6; </t>
  </si>
  <si>
    <t xml:space="preserve">CC(=O)OC1CCC2(C)C(CCC3(C)C2C2OC2C24OC(=O)C5(CCC(C)(C)CC25)CCC34C)C1(C)C; CC(=O)OC1CCC2(C)C(CCC3(C)C2CC(=O)C24OC(=O)C5(CCC(C)(C)CC25)CCC34C)C1(C)C; CC(C(C\C=C(/C)C(O)=O)OC(C)=O)C1CCC2(C)C3=CCC4C(C)(C)C(O)CCC4(C)C3=CCC12C</t>
  </si>
  <si>
    <t xml:space="preserve">RJEUVXAJCYTMIC-UHFFFAOYSA-N; CWTOUABHZIFLIH-UHFFFAOYSA-N; FRRMMEJOPQSLSE-DJKKODMXSA-N</t>
  </si>
  <si>
    <t xml:space="preserve">548.32242</t>
  </si>
  <si>
    <t xml:space="preserve">C29H45NO6</t>
  </si>
  <si>
    <t xml:space="preserve">(5Z,7S,8E,10Z,13Z,15E,17S,19Z)-7,17-Dihydroxydocosa-5,8,10,13,15,19-hexaenoylcarnitine</t>
  </si>
  <si>
    <t xml:space="preserve">198149</t>
  </si>
  <si>
    <t xml:space="preserve">HMDB0241613</t>
  </si>
  <si>
    <t xml:space="preserve">CCC=CCC(O)C=CC=CCC=CC=CC(O)C=CCCCC(=O)OC(CC([O-])=O)C[N+](C)(C)C</t>
  </si>
  <si>
    <t xml:space="preserve">BZVKAIXCLPFURE-UHFFFAOYSA-N</t>
  </si>
  <si>
    <t xml:space="preserve">549.17449</t>
  </si>
  <si>
    <t xml:space="preserve">C13H13N3O4</t>
  </si>
  <si>
    <t xml:space="preserve">Metronidazole benzoate</t>
  </si>
  <si>
    <t xml:space="preserve">208772</t>
  </si>
  <si>
    <t xml:space="preserve">HMDB0254688</t>
  </si>
  <si>
    <t xml:space="preserve">418225</t>
  </si>
  <si>
    <t xml:space="preserve">50688</t>
  </si>
  <si>
    <t xml:space="preserve">83213</t>
  </si>
  <si>
    <t xml:space="preserve">CC1=NC=C(N1CCOC(=O)C1=CC=CC=C1)[N+]([O-])=O</t>
  </si>
  <si>
    <t xml:space="preserve">CUUCCLJJOWSASK-UHFFFAOYSA-N</t>
  </si>
  <si>
    <t xml:space="preserve">549.33717</t>
  </si>
  <si>
    <t xml:space="preserve">C33H52O4</t>
  </si>
  <si>
    <t xml:space="preserve">Methyl 3b-hydroxy-13(18)-oleanen-28-oate</t>
  </si>
  <si>
    <t xml:space="preserve">59151</t>
  </si>
  <si>
    <t xml:space="preserve">HMDB0035267</t>
  </si>
  <si>
    <t xml:space="preserve">90575</t>
  </si>
  <si>
    <t xml:space="preserve">172725</t>
  </si>
  <si>
    <t xml:space="preserve">131751694</t>
  </si>
  <si>
    <t xml:space="preserve">COC(=O)C12CCC(C)(C)CC1=C1CCC3C4(C)CCC(OC(C)=O)C(C)(C)C4CCC3(C)C1(C)CC2</t>
  </si>
  <si>
    <t xml:space="preserve">VNBZCSKDIGCTNO-UHFFFAOYSA-N</t>
  </si>
  <si>
    <t xml:space="preserve">557.46220</t>
  </si>
  <si>
    <t xml:space="preserve">C35H60O2</t>
  </si>
  <si>
    <t xml:space="preserve">Chatenaytrienin 2; Chatenaytrienin 1; Cholesteryl caprylate</t>
  </si>
  <si>
    <t xml:space="preserve">56931; 56374; 205006</t>
  </si>
  <si>
    <t xml:space="preserve">HMDB0032647; HMDB0031910; HMDB0250183</t>
  </si>
  <si>
    <t xml:space="preserve">131751272; 131751212; 3647021</t>
  </si>
  <si>
    <t xml:space="preserve">206131-74-0; 206131-73-9; </t>
  </si>
  <si>
    <t xml:space="preserve">CCCCCCCCCCCC\C=C/CC\C=C/CC\C=C/CCCCCCCCC1=CC(C)OC1=O; CCCCCCCCCC\C=C\CC\C=C\CC\C=C/CCCCCCCCCCC1=CC(C)OC1=O; CCCCCCCC(=O)OC1CCC2(C)C3CCC4(C)C(CCC4C3CC=C2C1)C(C)CCCC(C)C</t>
  </si>
  <si>
    <t xml:space="preserve">GTXRLWWQVRDMLK-VCHJKVOASA-N; BALJQQWVUSFUJC-JPPMZZIVSA-N; SKLBBRQPVZDTNM-UHFFFAOYSA-N</t>
  </si>
  <si>
    <t xml:space="preserve">Fatty Acyls; Fatty Acyls; Steroids and steroid derivatives</t>
  </si>
  <si>
    <t xml:space="preserve">Fatty alcohols; Fatty alcohols; Steroid esters</t>
  </si>
  <si>
    <t xml:space="preserve">558.06411</t>
  </si>
  <si>
    <t xml:space="preserve">C15H25N5O15P2</t>
  </si>
  <si>
    <t xml:space="preserve">Phosphoribosylformimino-AICAR-P; Phosphoribulosylformimino-AICAR-P</t>
  </si>
  <si>
    <t xml:space="preserve">51963; 51964</t>
  </si>
  <si>
    <t xml:space="preserve">HMDB0012277; HMDB0012278</t>
  </si>
  <si>
    <t xml:space="preserve">C04896; C04916</t>
  </si>
  <si>
    <t xml:space="preserve">18302; 27735</t>
  </si>
  <si>
    <t xml:space="preserve">440534; 193735</t>
  </si>
  <si>
    <t xml:space="preserve">36244-83-4; 36244-86-7</t>
  </si>
  <si>
    <t xml:space="preserve">NC(=O)C1=C(\N=C\N[C@@H]2O[C@H](COP(O)(O)=O)[C@@H](O)[C@H]2O)N(C=N1)[C@@H]1O[C@H](COP(O)(O)=O)[C@@H](O)[C@H]1O; NC(=O)C1=C(\N=C\NCC(=O)[C@H](O)[C@H](O)COP(O)(O)=O)N(C=N1)[C@@H]1O[C@H](COP(O)(O)=O)[C@@H](O)[C@H]1O</t>
  </si>
  <si>
    <t xml:space="preserve">QOUSHGMTBIIAHR-KEOHHSTQSA-N; BLKFNHOCHNCLII-GHVQHMAVSA-N</t>
  </si>
  <si>
    <t xml:space="preserve">Imidazole ribonucleosides and ribonucleotides; Imidazole ribonucleosides and ribonucleotides</t>
  </si>
  <si>
    <t xml:space="preserve">1-ribosyl-imidazolecarboxamides; 1-ribosyl-imidazolecarboxamides</t>
  </si>
  <si>
    <t xml:space="preserve">559.10076</t>
  </si>
  <si>
    <t xml:space="preserve">C31H22O9</t>
  </si>
  <si>
    <t xml:space="preserve">Rheidin C</t>
  </si>
  <si>
    <t xml:space="preserve">61885</t>
  </si>
  <si>
    <t xml:space="preserve">HMDB0038508</t>
  </si>
  <si>
    <t xml:space="preserve">93186</t>
  </si>
  <si>
    <t xml:space="preserve">169792</t>
  </si>
  <si>
    <t xml:space="preserve">5320959</t>
  </si>
  <si>
    <t xml:space="preserve">COC1=CC2=C(C(O)=C1)C(=O)C1=C(C=C(C)C=C1O)C2C1C2=C(C(O)=CC=C2)C(=O)C2=C1C=C(C=C2O)C(O)=O</t>
  </si>
  <si>
    <t xml:space="preserve">NJQDJYRXLQEGRB-UHFFFAOYSA-N</t>
  </si>
  <si>
    <t xml:space="preserve">Anthracenecarboxylic acids and derivatives</t>
  </si>
  <si>
    <t xml:space="preserve">561.97735</t>
  </si>
  <si>
    <t xml:space="preserve">C10H18N5O15P3</t>
  </si>
  <si>
    <t xml:space="preserve">Formamidopyrimidine nucleoside triphosphate</t>
  </si>
  <si>
    <t xml:space="preserve">48893</t>
  </si>
  <si>
    <t xml:space="preserve">HMDB0006822</t>
  </si>
  <si>
    <t xml:space="preserve">63909</t>
  </si>
  <si>
    <t xml:space="preserve">C05922</t>
  </si>
  <si>
    <t xml:space="preserve">58104</t>
  </si>
  <si>
    <t xml:space="preserve">440840</t>
  </si>
  <si>
    <t xml:space="preserve">NC1=NC(N[C@@H]2O[C@H](COP(O)(=O)OP(O)(=O)OP(O)(O)=O)[C@@H](O)[C@H]2O)=C(NC=O)C(=O)N1</t>
  </si>
  <si>
    <t xml:space="preserve">NDXMRXXKCCKQQV-UUOKFMHZSA-N</t>
  </si>
  <si>
    <t xml:space="preserve">565.05211</t>
  </si>
  <si>
    <t xml:space="preserve">C20H17ClF4N4O4S</t>
  </si>
  <si>
    <t xml:space="preserve">Avagacestat</t>
  </si>
  <si>
    <t xml:space="preserve">203778</t>
  </si>
  <si>
    <t xml:space="preserve">HMDB0248734</t>
  </si>
  <si>
    <t xml:space="preserve">50941212</t>
  </si>
  <si>
    <t xml:space="preserve">NC(=O)C(CCC(F)(F)F)N(CC1=C(F)C=C(C=C1)C1=NOC=N1)S(=O)(=O)C1=CC=C(Cl)C=C1</t>
  </si>
  <si>
    <t xml:space="preserve">XEAOPVUAMONVLA-UHFFFAOYSA-N</t>
  </si>
  <si>
    <t xml:space="preserve">Oxadiazoles</t>
  </si>
  <si>
    <t xml:space="preserve">568.98818</t>
  </si>
  <si>
    <t xml:space="preserve">C12H9Cl2NO3</t>
  </si>
  <si>
    <t xml:space="preserve">VINCLOZOLIN</t>
  </si>
  <si>
    <t xml:space="preserve">213048</t>
  </si>
  <si>
    <t xml:space="preserve">HMDB0259811</t>
  </si>
  <si>
    <t xml:space="preserve">68743</t>
  </si>
  <si>
    <t xml:space="preserve">C10981</t>
  </si>
  <si>
    <t xml:space="preserve">83732</t>
  </si>
  <si>
    <t xml:space="preserve">39676</t>
  </si>
  <si>
    <t xml:space="preserve">50471-44-8</t>
  </si>
  <si>
    <t xml:space="preserve">CC1(OC(=O)N(C1=O)C1=CC(Cl)=CC(Cl)=C1)C=C</t>
  </si>
  <si>
    <t xml:space="preserve">FSCWZHGZWWDELK-UHFFFAOYSA-N</t>
  </si>
  <si>
    <t xml:space="preserve">569.36000</t>
  </si>
  <si>
    <t xml:space="preserve">C17H23N3O</t>
  </si>
  <si>
    <t xml:space="preserve">Mepyramine</t>
  </si>
  <si>
    <t xml:space="preserve">53667</t>
  </si>
  <si>
    <t xml:space="preserve">HMDB0015639</t>
  </si>
  <si>
    <t xml:space="preserve">43320</t>
  </si>
  <si>
    <t xml:space="preserve">C11798</t>
  </si>
  <si>
    <t xml:space="preserve">6762</t>
  </si>
  <si>
    <t xml:space="preserve">4992</t>
  </si>
  <si>
    <t xml:space="preserve">91-84-9</t>
  </si>
  <si>
    <t xml:space="preserve">COC1=CC=C(CN(CCN(C)C)C2=NC=CC=C2)C=C1</t>
  </si>
  <si>
    <t xml:space="preserve">YECBIJXISLIIDS-UHFFFAOYSA-N</t>
  </si>
  <si>
    <t xml:space="preserve">Benzylamines</t>
  </si>
  <si>
    <t xml:space="preserve">571.30453</t>
  </si>
  <si>
    <t xml:space="preserve">C27H40N8O6</t>
  </si>
  <si>
    <t xml:space="preserve">Bioadykinin Fragment 1-5</t>
  </si>
  <si>
    <t xml:space="preserve">201058</t>
  </si>
  <si>
    <t xml:space="preserve">HMDB0245648</t>
  </si>
  <si>
    <t xml:space="preserve">4278577</t>
  </si>
  <si>
    <t xml:space="preserve">NC(CCCN=C(N)N)C(=O)N1CCCC1C(=O)N1CCCC1C(=O)NCC(=O)NC(CC1=CC=CC=C1)C(O)=O</t>
  </si>
  <si>
    <t xml:space="preserve">USSUMSBPLJWFSZ-UHFFFAOYSA-N</t>
  </si>
  <si>
    <t xml:space="preserve">572.48232</t>
  </si>
  <si>
    <t xml:space="preserve">C34H67NO3</t>
  </si>
  <si>
    <t xml:space="preserve">Cer(d34:1)</t>
  </si>
  <si>
    <t xml:space="preserve">39028</t>
  </si>
  <si>
    <t xml:space="preserve">HMDB0004949</t>
  </si>
  <si>
    <t xml:space="preserve">5756</t>
  </si>
  <si>
    <t xml:space="preserve">LMSP02010004</t>
  </si>
  <si>
    <t xml:space="preserve">C00195</t>
  </si>
  <si>
    <t xml:space="preserve">72959</t>
  </si>
  <si>
    <t xml:space="preserve">5283564</t>
  </si>
  <si>
    <t xml:space="preserve">24696-26-2</t>
  </si>
  <si>
    <t xml:space="preserve">[C@](CO)([H])(NC(CCCCCCCCCCCCCCC)=O)[C@]([H])(O)/C=C/CCCCCCCCCCCCC</t>
  </si>
  <si>
    <t xml:space="preserve">YDNKGFDKKRUKPY-TURZORIXSA-N</t>
  </si>
  <si>
    <t xml:space="preserve">Ceramides</t>
  </si>
  <si>
    <t xml:space="preserve">573.31536</t>
  </si>
  <si>
    <t xml:space="preserve">C28H53N2O7PS</t>
  </si>
  <si>
    <t xml:space="preserve">3-(N-n-Octadecylcarbamoyloxy)-2-methoxypropyl-2-thiazolinium ethyl phosphate</t>
  </si>
  <si>
    <t xml:space="preserve">205349</t>
  </si>
  <si>
    <t xml:space="preserve">HMDB0250598</t>
  </si>
  <si>
    <t xml:space="preserve">107681</t>
  </si>
  <si>
    <t xml:space="preserve">CCCCCCCCCCCCCCCCCCNC(=O)OCC(COP([O-])(=O)OCC[N+]1=CSC=C1)OC</t>
  </si>
  <si>
    <t xml:space="preserve">NMHKTASGTFXJPL-UHFFFAOYSA-N</t>
  </si>
  <si>
    <t xml:space="preserve">573.49007</t>
  </si>
  <si>
    <t xml:space="preserve">C37H66O4</t>
  </si>
  <si>
    <t xml:space="preserve">Montecristin</t>
  </si>
  <si>
    <t xml:space="preserve">54686</t>
  </si>
  <si>
    <t xml:space="preserve">HMDB0029795</t>
  </si>
  <si>
    <t xml:space="preserve">131750907</t>
  </si>
  <si>
    <t xml:space="preserve">185336-15-6</t>
  </si>
  <si>
    <t xml:space="preserve">CCCCCCCCCCCC\C=C/CC\C=C/CCC(O)C(O)CCCCCCCCCCC1=CC(C)OC1=O</t>
  </si>
  <si>
    <t xml:space="preserve">ULFROYYCMRNCTL-ACNZRUBCSA-N</t>
  </si>
  <si>
    <t xml:space="preserve">578.30928</t>
  </si>
  <si>
    <t xml:space="preserve">C35H43N5O4</t>
  </si>
  <si>
    <t xml:space="preserve">Revefenacin</t>
  </si>
  <si>
    <t xml:space="preserve">257638</t>
  </si>
  <si>
    <t xml:space="preserve">HMDB0304897</t>
  </si>
  <si>
    <t xml:space="preserve">11753673</t>
  </si>
  <si>
    <t xml:space="preserve">CN(CCN1CCC(CC1)OC(=O)NC1=CC=CC=C1C1=CC=CC=C1)C(=O)C1=CC=C(CN2CCC(CC2)C(N)=O)C=C1</t>
  </si>
  <si>
    <t xml:space="preserve">FYDWDCIFZSGNBU-UHFFFAOYSA-N</t>
  </si>
  <si>
    <t xml:space="preserve">580.30525</t>
  </si>
  <si>
    <t xml:space="preserve">C37H45NO6</t>
  </si>
  <si>
    <t xml:space="preserve">Penitrem E</t>
  </si>
  <si>
    <t xml:space="preserve">210115</t>
  </si>
  <si>
    <t xml:space="preserve">HMDB0256241</t>
  </si>
  <si>
    <t xml:space="preserve">CC(=C)C1OC2CCC3(C)C4(C)C(CCC3(O)C22OC2C1O)C1OC(C)(C)C2CC3C(=C)CC5=CC=C6NC4=C1C6=C5C23O</t>
  </si>
  <si>
    <t xml:space="preserve">LTCFBVUSILPMGG-UHFFFAOYSA-N</t>
  </si>
  <si>
    <t xml:space="preserve">Naphthopyrans</t>
  </si>
  <si>
    <t xml:space="preserve">581.47009</t>
  </si>
  <si>
    <t xml:space="preserve">C40H64O</t>
  </si>
  <si>
    <t xml:space="preserve">1,2-Epoxy-1,2,7,7',8,8',11',12'-octahydro-psi,psi-carotene; Phytoene 1,2-epoxide</t>
  </si>
  <si>
    <t xml:space="preserve">54737; 60544</t>
  </si>
  <si>
    <t xml:space="preserve">HMDB0029854; HMDB0036875</t>
  </si>
  <si>
    <t xml:space="preserve">86548; 91875</t>
  </si>
  <si>
    <t xml:space="preserve">131750918; 131752073</t>
  </si>
  <si>
    <t xml:space="preserve">51599-11-2; 26107-96-0</t>
  </si>
  <si>
    <t xml:space="preserve">CC(C)CCC\C(C)=C\CC\C(C)=C\C=C/C(/C)=C\C=C\C=C(\C)CC\C=C(/C)CC\C=C(/C)CCC1OC1(C)C; CC(C)=CCC\C(C)=C/CC\C(C)=C/CC\C(C)=C\C=C\C=C(/C)CC\C=C(/C)CC\C=C(\C)CCC1OC1(C)C</t>
  </si>
  <si>
    <t xml:space="preserve">DAYCXLCMSBTHAA-RVWKVOMOSA-N; BCPVRLMAESAYCE-AFWJVYGRSA-N</t>
  </si>
  <si>
    <t xml:space="preserve">Sesquaterpenoids; Sesquaterpenoids</t>
  </si>
  <si>
    <t xml:space="preserve">583.48622</t>
  </si>
  <si>
    <t xml:space="preserve">C36H62N2O</t>
  </si>
  <si>
    <t xml:space="preserve">Nb-Hexacosanoyltryptamine</t>
  </si>
  <si>
    <t xml:space="preserve">63950</t>
  </si>
  <si>
    <t xml:space="preserve">HMDB0040821</t>
  </si>
  <si>
    <t xml:space="preserve">95283</t>
  </si>
  <si>
    <t xml:space="preserve">166546</t>
  </si>
  <si>
    <t xml:space="preserve">10530465</t>
  </si>
  <si>
    <t xml:space="preserve">152766-96-6</t>
  </si>
  <si>
    <t xml:space="preserve">CCCCCCCCCCCCCCCCCCCCCCCCCC(=O)NCCC1=CNC2=C1C=CC=C2</t>
  </si>
  <si>
    <t xml:space="preserve">RBGZJJPNEDSXQH-UHFFFAOYSA-N</t>
  </si>
  <si>
    <t xml:space="preserve">589.32937</t>
  </si>
  <si>
    <t xml:space="preserve">C18H21N3O</t>
  </si>
  <si>
    <t xml:space="preserve">Dibenzepin</t>
  </si>
  <si>
    <t xml:space="preserve">205812</t>
  </si>
  <si>
    <t xml:space="preserve">HMDB0251161</t>
  </si>
  <si>
    <t xml:space="preserve">9419</t>
  </si>
  <si>
    <t xml:space="preserve">CN(C)CCN1C2=CC=CC=C2N(C)C2=CC=CC=C2C1=O</t>
  </si>
  <si>
    <t xml:space="preserve">QPGGEKPRGVJKQB-UHFFFAOYSA-N</t>
  </si>
  <si>
    <t xml:space="preserve">590.23502</t>
  </si>
  <si>
    <t xml:space="preserve">C22H35N5O11</t>
  </si>
  <si>
    <t xml:space="preserve">Dihydrozeatin-9-N-glucoside-O-glucoside</t>
  </si>
  <si>
    <t xml:space="preserve">51910</t>
  </si>
  <si>
    <t xml:space="preserve">HMDB0012212</t>
  </si>
  <si>
    <t xml:space="preserve">619326-04-4</t>
  </si>
  <si>
    <t xml:space="preserve">C[C@@H](CCNC1=NC=NC2=C1N=CN2[C@@H]1O[C@H](CO)[C@@H](O)[C@H](O)[C@H]1O)CO[C@@H]1O[C@H](CO)[C@@H](O)[C@H](O)[C@H]1O</t>
  </si>
  <si>
    <t xml:space="preserve">KDIRTCPHKDPWMQ-ADPNGTSNSA-N</t>
  </si>
  <si>
    <t xml:space="preserve">592.31436</t>
  </si>
  <si>
    <t xml:space="preserve">C22H43N11O6</t>
  </si>
  <si>
    <t xml:space="preserve">Leu-Arg-Asn-Arg</t>
  </si>
  <si>
    <t xml:space="preserve">257553</t>
  </si>
  <si>
    <t xml:space="preserve">HMDB0304803</t>
  </si>
  <si>
    <t xml:space="preserve">181313</t>
  </si>
  <si>
    <t xml:space="preserve">22702886</t>
  </si>
  <si>
    <t xml:space="preserve">CC(C)CC(N)C(O)=NC(CCCNC(N)=N)C(O)=NC(CC(O)=N)C(O)=NC(CCCNC(N)=N)C(O)=O</t>
  </si>
  <si>
    <t xml:space="preserve">PFUDAVBUJIYNMF-UHFFFAOYSA-N</t>
  </si>
  <si>
    <t xml:space="preserve">592.86823</t>
  </si>
  <si>
    <t xml:space="preserve">C7H9BrNO5P</t>
  </si>
  <si>
    <t xml:space="preserve">Rubber, natural-smoked sheet and latex solids (hevea brasiliensis)</t>
  </si>
  <si>
    <t xml:space="preserve">256163</t>
  </si>
  <si>
    <t xml:space="preserve">HMDB0303286</t>
  </si>
  <si>
    <t xml:space="preserve">NOCC1=CC(OP(O)(O)=O)=C(Br)C=C1</t>
  </si>
  <si>
    <t xml:space="preserve">WXTCJRIXRVJTPP-UHFFFAOYSA-N</t>
  </si>
  <si>
    <t xml:space="preserve">595.22594</t>
  </si>
  <si>
    <t xml:space="preserve">C27H38N6O7</t>
  </si>
  <si>
    <t xml:space="preserve">Annomuricatin A</t>
  </si>
  <si>
    <t xml:space="preserve">256061</t>
  </si>
  <si>
    <t xml:space="preserve">HMDB0303181</t>
  </si>
  <si>
    <t xml:space="preserve">72981537</t>
  </si>
  <si>
    <t xml:space="preserve">CC(C)C1NC(=O)C(CC2=CC=CC=C2)NC(=O)CNC(=O)C2CCCN2C(=O)C(C)NC(=O)C(CO)NC1=O</t>
  </si>
  <si>
    <t xml:space="preserve">NTRKFALVAIXZGY-UHFFFAOYSA-N</t>
  </si>
  <si>
    <t xml:space="preserve">599.32883</t>
  </si>
  <si>
    <t xml:space="preserve">C40H44N2O3</t>
  </si>
  <si>
    <t xml:space="preserve">4-[3-[3-[Bis[4-(2-methylpropyl)phenyl]methylamino]benzoyl]indol-1-yl]butanoic acid</t>
  </si>
  <si>
    <t xml:space="preserve">206775</t>
  </si>
  <si>
    <t xml:space="preserve">HMDB0252276</t>
  </si>
  <si>
    <t xml:space="preserve">437294</t>
  </si>
  <si>
    <t xml:space="preserve">178077</t>
  </si>
  <si>
    <t xml:space="preserve">CC(C)CC1=CC=C(C=C1)C(NC1=CC=CC(=C1)C(=O)C1=CN(CCCC(O)=O)C2=CC=CC=C12)C1=CC=C(CC(C)C)C=C1</t>
  </si>
  <si>
    <t xml:space="preserve">LACIBZRFAYFTOV-UHFFFAOYSA-N</t>
  </si>
  <si>
    <t xml:space="preserve">Benzoylindoles</t>
  </si>
  <si>
    <t xml:space="preserve">599.45379</t>
  </si>
  <si>
    <t xml:space="preserve">C33H62O6</t>
  </si>
  <si>
    <t xml:space="preserve">TG(30:0)</t>
  </si>
  <si>
    <t xml:space="preserve">13725</t>
  </si>
  <si>
    <t xml:space="preserve">HMDB0000548</t>
  </si>
  <si>
    <t xml:space="preserve">5532</t>
  </si>
  <si>
    <t xml:space="preserve">LMGL03012617</t>
  </si>
  <si>
    <t xml:space="preserve">77388</t>
  </si>
  <si>
    <t xml:space="preserve">69310</t>
  </si>
  <si>
    <t xml:space="preserve">621-71-6</t>
  </si>
  <si>
    <t xml:space="preserve">C(OC(=O)CCCCCCCCC)[C@]([H])(OC(CCCCCCCCC)=O)COC(CCCCCCCCC)=O</t>
  </si>
  <si>
    <t xml:space="preserve">LADGBHLMCUINGV-UHFFFAOYSA-N</t>
  </si>
  <si>
    <t xml:space="preserve">Triradylcglycerols</t>
  </si>
  <si>
    <t xml:space="preserve">599.92317</t>
  </si>
  <si>
    <t xml:space="preserve">C10H15N5O13P2Se</t>
  </si>
  <si>
    <t xml:space="preserve">3-Phosphoadenylylselenate</t>
  </si>
  <si>
    <t xml:space="preserve">51148</t>
  </si>
  <si>
    <t xml:space="preserve">HMDB0011104</t>
  </si>
  <si>
    <t xml:space="preserve">61972</t>
  </si>
  <si>
    <t xml:space="preserve">C05696</t>
  </si>
  <si>
    <t xml:space="preserve">28450</t>
  </si>
  <si>
    <t xml:space="preserve">24892762</t>
  </si>
  <si>
    <t xml:space="preserve">NC1=C2N=CN([C@@H]3O[C@H](COP(O)(=O)O[Se](O)(=O)=O)[C@@H](OP(O)(O)=O)[C@H]3O)C2=NC=N1</t>
  </si>
  <si>
    <t xml:space="preserve">AZRLZPIFEZUZLW-KQYNXXCUSA-N</t>
  </si>
  <si>
    <t xml:space="preserve">601.14408</t>
  </si>
  <si>
    <t xml:space="preserve">C26H32N2O12</t>
  </si>
  <si>
    <t xml:space="preserve">SA-beta-Gal</t>
  </si>
  <si>
    <t xml:space="preserve">211118</t>
  </si>
  <si>
    <t xml:space="preserve">HMDB0257432</t>
  </si>
  <si>
    <t xml:space="preserve">OCC1OC(OC2=CC=CC=C2C=NN=CC2=CC=CC=C2OC2OC(CO)C(O)C(O)C2O)C(O)C(O)C1O</t>
  </si>
  <si>
    <t xml:space="preserve">ZGTFPSNGHZSMHL-UHFFFAOYSA-N</t>
  </si>
  <si>
    <t xml:space="preserve">602.14338</t>
  </si>
  <si>
    <t xml:space="preserve">C28H30ClN5O4S</t>
  </si>
  <si>
    <t xml:space="preserve">Met Kinase Inhibitor</t>
  </si>
  <si>
    <t xml:space="preserve">202442</t>
  </si>
  <si>
    <t xml:space="preserve">HMDB0247175</t>
  </si>
  <si>
    <t xml:space="preserve">91390</t>
  </si>
  <si>
    <t xml:space="preserve">53396327</t>
  </si>
  <si>
    <t xml:space="preserve">CN(C1=CC(Cl)=CC=C1)S(=O)(=O)C1=CC2=C(NC(=O)C2=CC2=C(C)C(C(=O)N3CCN(C)CC3)=C(C)N2)C=C1</t>
  </si>
  <si>
    <t xml:space="preserve">FPYJSJDOHRDAMT-UHFFFAOYSA-N</t>
  </si>
  <si>
    <t xml:space="preserve">602.32754</t>
  </si>
  <si>
    <t xml:space="preserve">C27H54NO9P</t>
  </si>
  <si>
    <t xml:space="preserve">1-Heneicosanoyl-glycero-3-phosphoserine</t>
  </si>
  <si>
    <t xml:space="preserve">199420</t>
  </si>
  <si>
    <t xml:space="preserve">HMDB0243883</t>
  </si>
  <si>
    <t xml:space="preserve">75959202</t>
  </si>
  <si>
    <t xml:space="preserve">CCCCCCCCCCCCCCCCCCCCC(=O)OCC(O)COP(O)(=O)OCC(N)C(O)=O</t>
  </si>
  <si>
    <t xml:space="preserve">IFZCAKDVWKLKEK-UHFFFAOYSA-N</t>
  </si>
  <si>
    <t xml:space="preserve">Glycerophosphoserines</t>
  </si>
  <si>
    <t xml:space="preserve">605.46719</t>
  </si>
  <si>
    <t xml:space="preserve">C39H68O2</t>
  </si>
  <si>
    <t xml:space="preserve">CE(12:0)</t>
  </si>
  <si>
    <t xml:space="preserve">43814</t>
  </si>
  <si>
    <t xml:space="preserve">HMDB0002262</t>
  </si>
  <si>
    <t xml:space="preserve">41698</t>
  </si>
  <si>
    <t xml:space="preserve">LMST01020001</t>
  </si>
  <si>
    <t xml:space="preserve">C02530</t>
  </si>
  <si>
    <t xml:space="preserve">102182</t>
  </si>
  <si>
    <t xml:space="preserve">1908-11-8</t>
  </si>
  <si>
    <t xml:space="preserve">C1[C@H](OC(=O)CCCCCCCCCCC)CC2=CC[C@@]3([H])[C@]4([H])CC[C@]([H])([C@]([H])(C)CCCC(C)C)[C@@]4(C)CC[C@]3([H])[C@@]2(C)C1</t>
  </si>
  <si>
    <t xml:space="preserve">RMLFYKFCGMSLTB-ZBDFTZOCSA-N</t>
  </si>
  <si>
    <t xml:space="preserve">607.07739</t>
  </si>
  <si>
    <t xml:space="preserve">C15H12O5S</t>
  </si>
  <si>
    <t xml:space="preserve">9-(Formyloxymethyl)-9H-fluorene-2-sulfonic acid</t>
  </si>
  <si>
    <t xml:space="preserve">211630</t>
  </si>
  <si>
    <t xml:space="preserve">HMDB0258038</t>
  </si>
  <si>
    <t xml:space="preserve">18680044</t>
  </si>
  <si>
    <t xml:space="preserve">OS(=O)(=O)C1=CC2=C(C=C1)C1=CC=CC=C1C2COC=O</t>
  </si>
  <si>
    <t xml:space="preserve">WYHROOLVNNSPHH-UHFFFAOYSA-N</t>
  </si>
  <si>
    <t xml:space="preserve">609.51452</t>
  </si>
  <si>
    <t xml:space="preserve">C37H70O6</t>
  </si>
  <si>
    <t xml:space="preserve">Glycerol 1,3-didodecanoate 2-decanoate; Glycerol 1-dodecanoate 2-tetradecanoate 3-octanoate</t>
  </si>
  <si>
    <t xml:space="preserve">57943; 61516</t>
  </si>
  <si>
    <t xml:space="preserve">HMDB0033753; HMDB0038058</t>
  </si>
  <si>
    <t xml:space="preserve">89512; 92829</t>
  </si>
  <si>
    <t xml:space="preserve">75306806; 102149216</t>
  </si>
  <si>
    <t xml:space="preserve">60138-22-9; </t>
  </si>
  <si>
    <t xml:space="preserve">CCCCCCCCCCCC(=O)OCC(COC(=O)CCCCCCCCCCC)OC(=O)CCCCCCCCC; CCCCCCCCCCCCCC(=O)OC(COC(=O)CCCCCCC)COC(=O)CCCCCCCCCCC</t>
  </si>
  <si>
    <t xml:space="preserve">NTSSIIDXDVUTDN-UHFFFAOYSA-N; XJEQUBKBCWQXOB-UHFFFAOYSA-N</t>
  </si>
  <si>
    <t xml:space="preserve">Glycerolipids; Glycerolipids</t>
  </si>
  <si>
    <t xml:space="preserve">Triradylcglycerols; Triradylcglycerols</t>
  </si>
  <si>
    <t xml:space="preserve">611.52904</t>
  </si>
  <si>
    <t xml:space="preserve">C36H70O4</t>
  </si>
  <si>
    <t xml:space="preserve">FAHFA(18:0/5-O-18:0); FAHFA(18:0/7-O-18:0); FAHFA(18:0/8-O-18:0)</t>
  </si>
  <si>
    <t xml:space="preserve">8405; 8406; 8407</t>
  </si>
  <si>
    <t xml:space="preserve">HMDB0112128; HMDB0112129; HMDB0112130</t>
  </si>
  <si>
    <t xml:space="preserve">LMFA07090009; LMFA07090010; LMFA07090011</t>
  </si>
  <si>
    <t xml:space="preserve">101527487; 101527489; 101527490</t>
  </si>
  <si>
    <t xml:space="preserve">C(CCC(=O)O)C(OC(CCCCCCCCCCCCCCCCC)=O)CCCCCCCCCCCCC; C(CCCCC(=O)O)C(OC(CCCCCCCCCCCCCCCCC)=O)CCCCCCCCCCC; C(CCCCCC(=O)O)C(OC(CCCCCCCCCCCCCCCCC)=O)CCCCCCCCCC</t>
  </si>
  <si>
    <t xml:space="preserve">BSOQNRNPFJEDMC-UHFFFAOYSA-N; QUZMPBWTOKQCEK-UHFFFAOYSA-N; MFSOFHGBSOJSCQ-UHFFFAOYSA-N</t>
  </si>
  <si>
    <t xml:space="preserve">612.23029</t>
  </si>
  <si>
    <t xml:space="preserve">C27H37N5O10</t>
  </si>
  <si>
    <t xml:space="preserve">Mycobactins</t>
  </si>
  <si>
    <t xml:space="preserve">209016</t>
  </si>
  <si>
    <t xml:space="preserve">HMDB0254968</t>
  </si>
  <si>
    <t xml:space="preserve">3083702</t>
  </si>
  <si>
    <t xml:space="preserve">ON(CCCCCC(NC(=O)C1COC(=N1)C1=CC=CC=C1O)C(=O)OCCC(=O)NC1CCCCN(O)C1=O)C=O</t>
  </si>
  <si>
    <t xml:space="preserve">HQYXQBFMMYIDEA-UHFFFAOYSA-N</t>
  </si>
  <si>
    <t xml:space="preserve">Depsipeptides</t>
  </si>
  <si>
    <t xml:space="preserve">613.08241</t>
  </si>
  <si>
    <t xml:space="preserve">C28H24O17</t>
  </si>
  <si>
    <t xml:space="preserve">8-C-Ascorbylepigallocatechin 3-gallate; Myricetin 7-(6''-galloylglucoside)</t>
  </si>
  <si>
    <t xml:space="preserve">62505; 59332</t>
  </si>
  <si>
    <t xml:space="preserve">HMDB0039208; HMDB0035463</t>
  </si>
  <si>
    <t xml:space="preserve">93800; </t>
  </si>
  <si>
    <t xml:space="preserve">11425230; 74978315</t>
  </si>
  <si>
    <t xml:space="preserve">126715-87-5; </t>
  </si>
  <si>
    <t xml:space="preserve">OCC(O)C1OC(=O)C2(O)C3=C(OC12O)C=C(O)C1=C3OC(C(C1)OC(=O)C1=CC(O)=C(O)C(O)=C1)C1=CC(O)=C(O)C(O)=C1; OC1C(O)C(COC(=O)C2=CC(O)=C(O)C(O)=C2)OC(OC2=CC(O)=C3C(OC(=C(O)C3=O)C3=CC(O)=C(O)C(O)=C3)=C2)C1O</t>
  </si>
  <si>
    <t xml:space="preserve">DKFWYWRZDCPNOB-UHFFFAOYSA-N; MZDFJFBTVPXCAQ-UHFFFAOYSA-N</t>
  </si>
  <si>
    <t xml:space="preserve">Flavonoids; Flavonoids</t>
  </si>
  <si>
    <t xml:space="preserve">Flavans; Flavonoid glycosides</t>
  </si>
  <si>
    <t xml:space="preserve">615.22613</t>
  </si>
  <si>
    <t xml:space="preserve">C35H30N4O4</t>
  </si>
  <si>
    <t xml:space="preserve">Benzoylstaurosporine</t>
  </si>
  <si>
    <t xml:space="preserve">204083</t>
  </si>
  <si>
    <t xml:space="preserve">HMDB0249058</t>
  </si>
  <si>
    <t xml:space="preserve">91464</t>
  </si>
  <si>
    <t xml:space="preserve">16760627</t>
  </si>
  <si>
    <t xml:space="preserve">COC1C(CC2OC1(C)N1C3=CC=CC=C3C3=C4CNC(=O)C4=C4C5=CC=CC=C5N2C4=C13)N(C)C(=O)C1=CC=CC=C1</t>
  </si>
  <si>
    <t xml:space="preserve">BMGQWWVMWDBQGC-UHFFFAOYSA-N</t>
  </si>
  <si>
    <t xml:space="preserve">619.29701</t>
  </si>
  <si>
    <t xml:space="preserve">C34H46N4O6S</t>
  </si>
  <si>
    <t xml:space="preserve">N,N-Bis(allyl)-tyr-gly-gly-psi-methylthio-phe-leu</t>
  </si>
  <si>
    <t xml:space="preserve">207696</t>
  </si>
  <si>
    <t xml:space="preserve">HMDB0253349</t>
  </si>
  <si>
    <t xml:space="preserve">11764709</t>
  </si>
  <si>
    <t xml:space="preserve">CC(C)CC(NC(=O)C(CC1=CC=CC=C1)SCCNC(=O)CNC(=O)C(CC1=CC=C(O)C=C1)N(CC=C)CC=C)C(O)=O</t>
  </si>
  <si>
    <t xml:space="preserve">CZRZYRKTYLLLRL-UHFFFAOYSA-N</t>
  </si>
  <si>
    <t xml:space="preserve">621.33088</t>
  </si>
  <si>
    <t xml:space="preserve">C32H48O9</t>
  </si>
  <si>
    <t xml:space="preserve">Foliandrin</t>
  </si>
  <si>
    <t xml:space="preserve">206914</t>
  </si>
  <si>
    <t xml:space="preserve">HMDB0252427</t>
  </si>
  <si>
    <t xml:space="preserve">200145</t>
  </si>
  <si>
    <t xml:space="preserve">COC1CC(OC2CCC3(C)C(CCC4C3CCC3(C)C(C(CC43O)OC(C)=O)C3=CC(=O)OC3)C2)OC(C)C1O</t>
  </si>
  <si>
    <t xml:space="preserve">JLPDBLFIVFSOCC-UHFFFAOYSA-N</t>
  </si>
  <si>
    <t xml:space="preserve">622.35960</t>
  </si>
  <si>
    <t xml:space="preserve">C34H51N5O7</t>
  </si>
  <si>
    <t xml:space="preserve">(2R)-2-[[(2R)-2-amino-3-(1-methoxycarbonylindol-3-yl)propanoyl]-[(2S)-2-[[(2R,6S)-2,6-dimethylpiperidine-1-carbonyl]amino]-4,4-dimethylpentanoyl]amino]hexanoic acid</t>
  </si>
  <si>
    <t xml:space="preserve">213257</t>
  </si>
  <si>
    <t xml:space="preserve">HMDB0260055</t>
  </si>
  <si>
    <t xml:space="preserve">44208877</t>
  </si>
  <si>
    <t xml:space="preserve">CCCCC(N(C(=O)C(N)CC1=CN(C(=O)OC)C2=CC=CC=C12)C(=O)C(CC(C)(C)C)NC(=O)N1C(C)CCCC1C)C(O)=O</t>
  </si>
  <si>
    <t xml:space="preserve">LNGMSNLRAISCCZ-UHFFFAOYSA-N</t>
  </si>
  <si>
    <t xml:space="preserve">623.37170</t>
  </si>
  <si>
    <t xml:space="preserve">C35H50N2O5</t>
  </si>
  <si>
    <t xml:space="preserve">Chenodeoxycholyltryptophan</t>
  </si>
  <si>
    <t xml:space="preserve">198848</t>
  </si>
  <si>
    <t xml:space="preserve">HMDB0242395</t>
  </si>
  <si>
    <t xml:space="preserve">139291815</t>
  </si>
  <si>
    <t xml:space="preserve">CC(CCC(=O)NC(CC1=CNC2=C1C=CC=C2)C(O)=O)C1CCC2C3C(O)CC4CC(O)CCC4(C)C3CCC12C</t>
  </si>
  <si>
    <t xml:space="preserve">CYHFCBVFHBCQHF-UHFFFAOYSA-N</t>
  </si>
  <si>
    <t xml:space="preserve">623.46795</t>
  </si>
  <si>
    <t xml:space="preserve">C38H66O5</t>
  </si>
  <si>
    <t xml:space="preserve">DG(35:4)</t>
  </si>
  <si>
    <t xml:space="preserve">10953</t>
  </si>
  <si>
    <t xml:space="preserve">HMDB0007083</t>
  </si>
  <si>
    <t xml:space="preserve">58718</t>
  </si>
  <si>
    <t xml:space="preserve">LMGL02010440</t>
  </si>
  <si>
    <t xml:space="preserve">53478012</t>
  </si>
  <si>
    <t xml:space="preserve">OC[C@]([H])(OC(CCC/C=C\C/C=C\C/C=C\C/C=C\CCCCC)=O)COC(CCCCCCCCCCCCCC)=O</t>
  </si>
  <si>
    <t xml:space="preserve">ATYAOFUCOSYTLI-QKTVEPRCSA-N</t>
  </si>
  <si>
    <t xml:space="preserve">Diradylglycerols</t>
  </si>
  <si>
    <t xml:space="preserve">625.51639</t>
  </si>
  <si>
    <t xml:space="preserve">C18H35NO3</t>
  </si>
  <si>
    <t xml:space="preserve">Palmitoylglycine</t>
  </si>
  <si>
    <t xml:space="preserve">8656</t>
  </si>
  <si>
    <t xml:space="preserve">HMDB0013034</t>
  </si>
  <si>
    <t xml:space="preserve">45157</t>
  </si>
  <si>
    <t xml:space="preserve">LMFA08020079</t>
  </si>
  <si>
    <t xml:space="preserve">39540</t>
  </si>
  <si>
    <t xml:space="preserve">151008</t>
  </si>
  <si>
    <t xml:space="preserve">158305-64-7</t>
  </si>
  <si>
    <t xml:space="preserve">C(CNC(CCCCCCCCCCCCCCC)=O)(=O)O</t>
  </si>
  <si>
    <t xml:space="preserve">KVTFEOAKFFQCCX-UHFFFAOYSA-N</t>
  </si>
  <si>
    <t xml:space="preserve">626.53658</t>
  </si>
  <si>
    <t xml:space="preserve">C36H71NO4</t>
  </si>
  <si>
    <t xml:space="preserve">Nonacosanoylcarnitine</t>
  </si>
  <si>
    <t xml:space="preserve">198179</t>
  </si>
  <si>
    <t xml:space="preserve">HMDB0241645</t>
  </si>
  <si>
    <t xml:space="preserve">CCCCCCCCCCCCCCCCCCCCCCCCCCCCC(=O)OC(CC([O-])=O)C[N+](C)(C)C</t>
  </si>
  <si>
    <t xml:space="preserve">CVQVFKAWXPEJCD-UHFFFAOYSA-N</t>
  </si>
  <si>
    <t xml:space="preserve">627.48248</t>
  </si>
  <si>
    <t xml:space="preserve">C35H71N2O6P</t>
  </si>
  <si>
    <t xml:space="preserve">SM(d30:1)</t>
  </si>
  <si>
    <t xml:space="preserve">39592</t>
  </si>
  <si>
    <t xml:space="preserve">HMDB0012096</t>
  </si>
  <si>
    <t xml:space="preserve">41585</t>
  </si>
  <si>
    <t xml:space="preserve">LMSP03010002</t>
  </si>
  <si>
    <t xml:space="preserve">C00550</t>
  </si>
  <si>
    <t xml:space="preserve">17636</t>
  </si>
  <si>
    <t xml:space="preserve">44260123</t>
  </si>
  <si>
    <t xml:space="preserve">O(P(=O)(OC[C@]([H])(NC(=O)CCCCCCCCCCC)[C@]([H])(O)/C=C/CCCCCCCCCCCCC)[O-])CC[N+](C)(C)C</t>
  </si>
  <si>
    <t xml:space="preserve">HZCLJRFPXMKWHR-FEBLJDHQSA-N</t>
  </si>
  <si>
    <t xml:space="preserve">628.20172</t>
  </si>
  <si>
    <t xml:space="preserve">C32H33N5O10</t>
  </si>
  <si>
    <t xml:space="preserve">N-(4-{[(6s)-2-(Hydroxymethyl)-4-Oxo-4,6,7,8-Tetrahydro-1h-Cyclopenta[g]quinazolin-6-Yl](Prop-2-Yn-1-Yl)amino}benzoyl)-L-gamma-Glutamyl-D-Glutamic Acid</t>
  </si>
  <si>
    <t xml:space="preserve">213551</t>
  </si>
  <si>
    <t xml:space="preserve">HMDB0260437</t>
  </si>
  <si>
    <t xml:space="preserve">137081453</t>
  </si>
  <si>
    <t xml:space="preserve">OCC1=NC2=CC3=C(C=C2C(=O)N1)C(CC3)N(CC#C)C1=CC=C(C=C1)C(=O)NC(CCC(=O)NC(CCC(O)=O)C(O)=O)C(O)=O</t>
  </si>
  <si>
    <t xml:space="preserve">NVHRBQOZEMFKLD-UHFFFAOYSA-N</t>
  </si>
  <si>
    <t xml:space="preserve">629.20320</t>
  </si>
  <si>
    <t xml:space="preserve">C16H17N3O2S</t>
  </si>
  <si>
    <t xml:space="preserve">(1R*,3R*,3'S*)-1,2,3,4-Tetrahydro-1-(2-thio-3-pyrrolidinyl)-beta-carboline-3-carboxylic acid</t>
  </si>
  <si>
    <t xml:space="preserve">58741</t>
  </si>
  <si>
    <t xml:space="preserve">HMDB0034767</t>
  </si>
  <si>
    <t xml:space="preserve">90191</t>
  </si>
  <si>
    <t xml:space="preserve">3004297</t>
  </si>
  <si>
    <t xml:space="preserve">OC(=O)C1CC2=C(NC3=C2C=CC=C3)C(N1)C1CCNC1=S</t>
  </si>
  <si>
    <t xml:space="preserve">YHAYSIGUKKXZJH-UHFFFAOYSA-N</t>
  </si>
  <si>
    <t xml:space="preserve">629.48699</t>
  </si>
  <si>
    <t xml:space="preserve">C37H70O5</t>
  </si>
  <si>
    <t xml:space="preserve">DG(34:1); Diacylglycerol</t>
  </si>
  <si>
    <t xml:space="preserve">10902; 198667</t>
  </si>
  <si>
    <t xml:space="preserve">HMDB0007021; HMDB0242173</t>
  </si>
  <si>
    <t xml:space="preserve">58656; </t>
  </si>
  <si>
    <t xml:space="preserve">LMGL02010389; </t>
  </si>
  <si>
    <t xml:space="preserve">53477956; 6026790</t>
  </si>
  <si>
    <t xml:space="preserve">OC[C@]([H])(OC(CCCCCCCCC/C=C\CCCCCCCC)=O)COC(CCCCCCCCCCCCC)=O; CCCCCCCCCCCCCCCC(=O)OCC(CO)OC(=O)CCCCCCC\C=C\CCCCCCCC</t>
  </si>
  <si>
    <t xml:space="preserve">VQOIASKPUKUIDV-CEJFXXFTSA-N; YEJYLHKQOBOSCP-ISLYRVAYSA-N</t>
  </si>
  <si>
    <t xml:space="preserve">Diradylglycerols; Diradylglycerols</t>
  </si>
  <si>
    <t xml:space="preserve">630.48819</t>
  </si>
  <si>
    <t xml:space="preserve">C37H71NO4</t>
  </si>
  <si>
    <t xml:space="preserve">Lactariamide B</t>
  </si>
  <si>
    <t xml:space="preserve">62389</t>
  </si>
  <si>
    <t xml:space="preserve">HMDB0039077</t>
  </si>
  <si>
    <t xml:space="preserve">93683</t>
  </si>
  <si>
    <t xml:space="preserve">10995547</t>
  </si>
  <si>
    <t xml:space="preserve">CCCCCCCCCCCCCCCCC(O)C(=O)NC(CO)C(O)\C=C\CC\C=C(/C)CCCCCCCCC</t>
  </si>
  <si>
    <t xml:space="preserve">SFUUTBQJLKKRBN-AQENTWCGSA-N</t>
  </si>
  <si>
    <t xml:space="preserve">631.19851</t>
  </si>
  <si>
    <t xml:space="preserve">C32H31ClN4O5</t>
  </si>
  <si>
    <t xml:space="preserve">Meclinertant</t>
  </si>
  <si>
    <t xml:space="preserve">208518</t>
  </si>
  <si>
    <t xml:space="preserve">HMDB0254394</t>
  </si>
  <si>
    <t xml:space="preserve">429596</t>
  </si>
  <si>
    <t xml:space="preserve">119192</t>
  </si>
  <si>
    <t xml:space="preserve">COC1=CC=CC(OC)=C1C1=CC(=NN1C1=C2C=CC(Cl)=CC2=NC=C1)C(=O)NC1(C2CC3CC(C2)CC1C3)C(O)=O</t>
  </si>
  <si>
    <t xml:space="preserve">DYLJVOXRWLXDIG-UHFFFAOYSA-N</t>
  </si>
  <si>
    <t xml:space="preserve">632.19592</t>
  </si>
  <si>
    <t xml:space="preserve">C26H45NO10S2</t>
  </si>
  <si>
    <t xml:space="preserve">Taurocholic acid 3-sulfate</t>
  </si>
  <si>
    <t xml:space="preserve">47964</t>
  </si>
  <si>
    <t xml:space="preserve">HMDB0002581</t>
  </si>
  <si>
    <t xml:space="preserve">6714</t>
  </si>
  <si>
    <t xml:space="preserve">21252309</t>
  </si>
  <si>
    <t xml:space="preserve">67030-62-0</t>
  </si>
  <si>
    <t xml:space="preserve">[H][C@]12C[C@@H](O)C3C4CCC([C@H](C)CCC(=O)NCCS(O)(=O)=O)[C@@]4(C)[C@@H](O)CC3[C@@]1(C)CC[C@H](C2)OS(O)(=O)=O</t>
  </si>
  <si>
    <t xml:space="preserve">LKTXOQJJFLAZRW-XVBIMYNNSA-N</t>
  </si>
  <si>
    <t xml:space="preserve">633.13028</t>
  </si>
  <si>
    <t xml:space="preserve">C19H25N8O12P</t>
  </si>
  <si>
    <t xml:space="preserve">[(2R,5R)-5-(2-Amino-6-oxo-1H-purin-9-yl)-3,4-dihydroxyoxolan-2-yl]methyl [(2R,5R)-5-(4-amino-2-oxopyrimidin-1-yl)-3,4-dihydroxyoxolan-2-yl]methyl hydrogen phosphate; Cytidylyl-(3',5')-guanosine</t>
  </si>
  <si>
    <t xml:space="preserve">213364; 201059</t>
  </si>
  <si>
    <t xml:space="preserve">HMDB0260224; HMDB0245649</t>
  </si>
  <si>
    <t xml:space="preserve">; 135545086</t>
  </si>
  <si>
    <t xml:space="preserve">NC1=NC2=C(N=CN2C2OC(COP(O)(=O)OCC3OC(C(O)C3O)N3C=CC(N)=NC3=O)C(O)C2O)C(=O)N1; NC1=NC2=C(N=CN2C2OC(COP(O)(=O)OC3C(CO)OC(C3O)N3C=CC(N)=NC3=O)C(O)C2O)C(=O)N1</t>
  </si>
  <si>
    <t xml:space="preserve">OEZOLYYGFFTXNK-UHFFFAOYSA-N; CTMZLDSMFCVUNX-UHFFFAOYSA-N</t>
  </si>
  <si>
    <t xml:space="preserve">(5'-&gt;5')-dinucleotides; (3'-&gt;5')-dinucleotides and analogues</t>
  </si>
  <si>
    <t xml:space="preserve">Unclassified; (3'-&gt;5')-dinucleotides</t>
  </si>
  <si>
    <t xml:space="preserve">633.38091</t>
  </si>
  <si>
    <t xml:space="preserve">C39H54O7</t>
  </si>
  <si>
    <t xml:space="preserve">2alpha-Hydroxypyracrenic acid</t>
  </si>
  <si>
    <t xml:space="preserve">54671</t>
  </si>
  <si>
    <t xml:space="preserve">HMDB0029780</t>
  </si>
  <si>
    <t xml:space="preserve">86487</t>
  </si>
  <si>
    <t xml:space="preserve">131750901</t>
  </si>
  <si>
    <t xml:space="preserve">182682-96-8</t>
  </si>
  <si>
    <t xml:space="preserve">CC(=C)C1CCC2(CCC3(C)C(CCC4C5(C)CC(O)C(OC(=O)\C=C\C6=CC(O)=C(O)C=C6)C(C)(C)C5CCC34C)C12)C(O)=O</t>
  </si>
  <si>
    <t xml:space="preserve">AWDJEUILTFQWKH-UKTHLTGXSA-N</t>
  </si>
  <si>
    <t xml:space="preserve">633.51323</t>
  </si>
  <si>
    <t xml:space="preserve">C39H70O6</t>
  </si>
  <si>
    <t xml:space="preserve">1-Palmitoyl-2-linoleoyl-3-acetyl-rac-glycerol</t>
  </si>
  <si>
    <t xml:space="preserve">206277</t>
  </si>
  <si>
    <t xml:space="preserve">HMDB0251679</t>
  </si>
  <si>
    <t xml:space="preserve">53827958</t>
  </si>
  <si>
    <t xml:space="preserve">CCCCCCCCCCCCCCCC(=O)OCC(COC(C)=O)OC(=O)CCCCCCCC=CCC=CCCCCC</t>
  </si>
  <si>
    <t xml:space="preserve">GAKUNXBDVGLOFS-UHFFFAOYSA-N</t>
  </si>
  <si>
    <t xml:space="preserve">635.37672</t>
  </si>
  <si>
    <t xml:space="preserve">C35H58O11</t>
  </si>
  <si>
    <t xml:space="preserve">(17E,19E,21E,23E,25E)-4,6,8,10,12,14,16,27-Octahydroxy-3-(1-hydroxyhexyl)-17,28-dimethyl-1-oxacyclooctacosa-17,19,21,23,25-pentaen-2-one</t>
  </si>
  <si>
    <t xml:space="preserve">198762</t>
  </si>
  <si>
    <t xml:space="preserve">HMDB0242297</t>
  </si>
  <si>
    <t xml:space="preserve">25439</t>
  </si>
  <si>
    <t xml:space="preserve">CCCCCC(O)C1C(O)CC(O)CC(O)CC(O)CC(O)CC(O)CC(O)C(C)=CC=CC=CC=CC=CC(O)C(C)OC1=O</t>
  </si>
  <si>
    <t xml:space="preserve">IMQSIXYSKPIGPD-UHFFFAOYSA-N</t>
  </si>
  <si>
    <t xml:space="preserve">635.53039</t>
  </si>
  <si>
    <t xml:space="preserve">C38H70O4</t>
  </si>
  <si>
    <t xml:space="preserve">Polyoxyethylene dioleate</t>
  </si>
  <si>
    <t xml:space="preserve">56807</t>
  </si>
  <si>
    <t xml:space="preserve">HMDB0032475</t>
  </si>
  <si>
    <t xml:space="preserve">88486</t>
  </si>
  <si>
    <t xml:space="preserve">53424</t>
  </si>
  <si>
    <t xml:space="preserve">5378708</t>
  </si>
  <si>
    <t xml:space="preserve">9005-07-6</t>
  </si>
  <si>
    <t xml:space="preserve">CCCCCCCC\C=C/CCCCCCCC(=O)OCCOC(=O)CCCCCCC\C=C/CCCCCCCC</t>
  </si>
  <si>
    <t xml:space="preserve">NKSOSPOXQKNIKJ-CLFAGFIQSA-N</t>
  </si>
  <si>
    <t xml:space="preserve">636.53303</t>
  </si>
  <si>
    <t xml:space="preserve">C12H4Br6O</t>
  </si>
  <si>
    <t xml:space="preserve">2,2',4,4',5,5'-Hexabromodiphenyl ether; 2,2',4,4',5,6'-Hexabromodiphenyl ether</t>
  </si>
  <si>
    <t xml:space="preserve">61065; 61066</t>
  </si>
  <si>
    <t xml:space="preserve">HMDB0037525; HMDB0037526</t>
  </si>
  <si>
    <t xml:space="preserve">72055; 72056</t>
  </si>
  <si>
    <t xml:space="preserve">C18137; C18138</t>
  </si>
  <si>
    <t xml:space="preserve">155166; 15509898</t>
  </si>
  <si>
    <t xml:space="preserve">68631-49-2; 207122-15-4</t>
  </si>
  <si>
    <t xml:space="preserve">BrC1=CC(Br)=C(Br)C=C1OC1=CC(Br)=C(Br)C=C1Br; BrC1=CC(Br)=C(OC2=CC(Br)=C(Br)C=C2Br)C(Br)=C1</t>
  </si>
  <si>
    <t xml:space="preserve">RZXIRSKYBISPGF-UHFFFAOYSA-N; VHNPZYZQKWIWOD-UHFFFAOYSA-N</t>
  </si>
  <si>
    <t xml:space="preserve">Diphenylethers; Diphenylethers</t>
  </si>
  <si>
    <t xml:space="preserve">637.54256</t>
  </si>
  <si>
    <t xml:space="preserve">C39H74O6</t>
  </si>
  <si>
    <t xml:space="preserve">TG(36:0)</t>
  </si>
  <si>
    <t xml:space="preserve">13726</t>
  </si>
  <si>
    <t xml:space="preserve">HMDB0011188</t>
  </si>
  <si>
    <t xml:space="preserve">62030</t>
  </si>
  <si>
    <t xml:space="preserve">LMGL03012618</t>
  </si>
  <si>
    <t xml:space="preserve">C00422</t>
  </si>
  <si>
    <t xml:space="preserve">77389</t>
  </si>
  <si>
    <t xml:space="preserve">10851</t>
  </si>
  <si>
    <t xml:space="preserve">C(OC(=O)CCCCCCCCCCC)[C@]([H])(OC(CCCCCCCCCCC)=O)COC(CCCCCCCCCCC)=O</t>
  </si>
  <si>
    <t xml:space="preserve">VMPHSYLJUKZBJJ-UHFFFAOYSA-N</t>
  </si>
  <si>
    <t xml:space="preserve">639.55838</t>
  </si>
  <si>
    <t xml:space="preserve">C38H74O4</t>
  </si>
  <si>
    <t xml:space="preserve">Ethylene glycol distearate</t>
  </si>
  <si>
    <t xml:space="preserve">56664</t>
  </si>
  <si>
    <t xml:space="preserve">HMDB0032260</t>
  </si>
  <si>
    <t xml:space="preserve">88308</t>
  </si>
  <si>
    <t xml:space="preserve">61174</t>
  </si>
  <si>
    <t xml:space="preserve">627-83-8</t>
  </si>
  <si>
    <t xml:space="preserve">CCCCCCCCCCCCCCCCCC(=O)OCCOC(=O)CCCCCCCCCCCCCCCCC</t>
  </si>
  <si>
    <t xml:space="preserve">FPVVYTCTZKCSOJ-UHFFFAOYSA-N</t>
  </si>
  <si>
    <t xml:space="preserve">640.31075</t>
  </si>
  <si>
    <t xml:space="preserve">C30H53NO11</t>
  </si>
  <si>
    <t xml:space="preserve">Fumonisin AK1</t>
  </si>
  <si>
    <t xml:space="preserve">57634</t>
  </si>
  <si>
    <t xml:space="preserve">HMDB0033397</t>
  </si>
  <si>
    <t xml:space="preserve">101683947</t>
  </si>
  <si>
    <t xml:space="preserve">170591-49-8</t>
  </si>
  <si>
    <t xml:space="preserve">CCCCC(C)C(=O)C(CC(C)CC(O)CCCCC(O)CC(O)C(C)NC(C)=O)OC(=O)CC(CC(O)=O)C(O)=O</t>
  </si>
  <si>
    <t xml:space="preserve">QROJNSDGLZKJGS-UHFFFAOYSA-N</t>
  </si>
  <si>
    <t xml:space="preserve">641.09783</t>
  </si>
  <si>
    <t xml:space="preserve">C38H22O8</t>
  </si>
  <si>
    <t xml:space="preserve">4',4''-Dihydroxyanigorootin</t>
  </si>
  <si>
    <t xml:space="preserve">63206</t>
  </si>
  <si>
    <t xml:space="preserve">HMDB0039973</t>
  </si>
  <si>
    <t xml:space="preserve">94514</t>
  </si>
  <si>
    <t xml:space="preserve">22297174</t>
  </si>
  <si>
    <t xml:space="preserve">OC1=CC=C(C=C1)C1=C2C(=O)C3(O)OC4=C5C6C3C3=C2C(C=C1)=CC=C3OC6(O)C(=O)C1=C(C=CC(C=C4)=C51)C1=CC=C(O)C=C1</t>
  </si>
  <si>
    <t xml:space="preserve">MQHLUOTXEDJGPU-UHFFFAOYSA-N</t>
  </si>
  <si>
    <t xml:space="preserve">Isoflavans</t>
  </si>
  <si>
    <t xml:space="preserve">641.49380</t>
  </si>
  <si>
    <t xml:space="preserve">C42H68O3</t>
  </si>
  <si>
    <t xml:space="preserve">CE(7M3); CE(5M5)</t>
  </si>
  <si>
    <t xml:space="preserve">132641; 132633</t>
  </si>
  <si>
    <t xml:space="preserve">HMDB0112223; HMDB0112215</t>
  </si>
  <si>
    <t xml:space="preserve">131819666; 131819658</t>
  </si>
  <si>
    <t xml:space="preserve">CCCC1=CC(C)=C(CCCCCCC(=O)OC2CCC3(C)C4CCC5(C)C(CCC5C4CC=C3C2)C(C)CCCC(C)C)O1; CCCCCC1=CC(C)=C(CCCCC(=O)OC2CCC3(C)C4CCC5(C)C(CCC5C4CC=C3C2)C(C)CCCC(C)C)O1</t>
  </si>
  <si>
    <t xml:space="preserve">HQKOLYJPZAGLPC-UHFFFAOYSA-N; YMBDHKJHGXXQDY-UHFFFAOYSA-N</t>
  </si>
  <si>
    <t xml:space="preserve">Steroid esters; Steroid esters</t>
  </si>
  <si>
    <t xml:space="preserve">643.47932</t>
  </si>
  <si>
    <t xml:space="preserve">C22H30N2</t>
  </si>
  <si>
    <t xml:space="preserve">Aprindine</t>
  </si>
  <si>
    <t xml:space="preserve">53553</t>
  </si>
  <si>
    <t xml:space="preserve">HMDB0015498</t>
  </si>
  <si>
    <t xml:space="preserve">85517</t>
  </si>
  <si>
    <t xml:space="preserve">784872</t>
  </si>
  <si>
    <t xml:space="preserve">2218</t>
  </si>
  <si>
    <t xml:space="preserve">37640-71-4</t>
  </si>
  <si>
    <t xml:space="preserve">CCN(CC)CCCN(C1CC2=CC=CC=C2C1)C1=CC=CC=C1</t>
  </si>
  <si>
    <t xml:space="preserve">NZLBHDRPUJLHCE-UHFFFAOYSA-N</t>
  </si>
  <si>
    <t xml:space="preserve">645.49404</t>
  </si>
  <si>
    <t xml:space="preserve">C43H68O5</t>
  </si>
  <si>
    <t xml:space="preserve">DG(40:8)</t>
  </si>
  <si>
    <t xml:space="preserve">10747</t>
  </si>
  <si>
    <t xml:space="preserve">HMDB0007266</t>
  </si>
  <si>
    <t xml:space="preserve">4578</t>
  </si>
  <si>
    <t xml:space="preserve">LMGL02010234</t>
  </si>
  <si>
    <t xml:space="preserve">9543899</t>
  </si>
  <si>
    <t xml:space="preserve">OC[C@]([H])(OC(CC/C=C\C/C=C\C/C=C\C/C=C\C/C=C\C/C=C\CC)=O)COC(CCCCCCC/C=C\C/C=C\CCCCC)=O</t>
  </si>
  <si>
    <t xml:space="preserve">GPMAAGRGFWBOSO-ULIJUFBVSA-N</t>
  </si>
  <si>
    <t xml:space="preserve">648.38048</t>
  </si>
  <si>
    <t xml:space="preserve">C29H57N5O12</t>
  </si>
  <si>
    <t xml:space="preserve">Gluten exorphin C</t>
  </si>
  <si>
    <t xml:space="preserve">81836</t>
  </si>
  <si>
    <t xml:space="preserve">HMDB0059796</t>
  </si>
  <si>
    <t xml:space="preserve">131769784</t>
  </si>
  <si>
    <t xml:space="preserve">[H][C@](C)(CC)[C@]([H])(NOC([H])(O)C1([H])CCCN1OC([H])(O)C([H])(N)CC1([H])CCC([H])(O)CC1)C(=O)ON[C@@]([H])(CO)C(=O)ONC([H])(CC(C)C)C(O)O</t>
  </si>
  <si>
    <t xml:space="preserve">NTRLIGNZTBVESB-YWOONSNISA-N</t>
  </si>
  <si>
    <t xml:space="preserve">649.10982</t>
  </si>
  <si>
    <t xml:space="preserve">C28H26O18</t>
  </si>
  <si>
    <t xml:space="preserve">Methyl 2,3,6-tri-O-galloyl-beta-D-glucopyranoside; Methyl 3,4,6-tri-O-galloyl-beta-D-glucopyranoside</t>
  </si>
  <si>
    <t xml:space="preserve">62483; 62482</t>
  </si>
  <si>
    <t xml:space="preserve">HMDB0039184; HMDB0039183</t>
  </si>
  <si>
    <t xml:space="preserve">93777; 93776</t>
  </si>
  <si>
    <t xml:space="preserve">78407221; 13270027</t>
  </si>
  <si>
    <t xml:space="preserve">; 89927-26-4</t>
  </si>
  <si>
    <t xml:space="preserve">COC1OC(COC(=O)C2=CC(O)=C(O)C(O)=C2)C(O)C(OC(=O)C2=CC(O)=C(O)C(O)=C2)C1OC(=O)C1=CC(O)=C(O)C(O)=C1; COC1OC(COC(=O)C2=CC(O)=C(O)C(O)=C2)C(OC(=O)C2=CC(O)=C(O)C(O)=C2)C(OC(=O)C2=CC(O)=C(O)C(O)=C2)C1O</t>
  </si>
  <si>
    <t xml:space="preserve">ITRFLIAWJCCQTF-UHFFFAOYSA-N; DXMITXYQZDSXOV-UHFFFAOYSA-N</t>
  </si>
  <si>
    <t xml:space="preserve">Benzenoids; Phenylpropanoids and polyketides</t>
  </si>
  <si>
    <t xml:space="preserve">Benzene and substituted derivatives; Tannins</t>
  </si>
  <si>
    <t xml:space="preserve">651.12186</t>
  </si>
  <si>
    <t xml:space="preserve">C14H14O9</t>
  </si>
  <si>
    <t xml:space="preserve">Fertaric acid</t>
  </si>
  <si>
    <t xml:space="preserve">54189</t>
  </si>
  <si>
    <t xml:space="preserve">HMDB0029199</t>
  </si>
  <si>
    <t xml:space="preserve">86082</t>
  </si>
  <si>
    <t xml:space="preserve">22298372</t>
  </si>
  <si>
    <t xml:space="preserve">COC1=CC(\C=C\C(=O)OC(C(O)C(O)=O)C(O)=O)=CC=C1O</t>
  </si>
  <si>
    <t xml:space="preserve">XIWXUSFCUBAMFH-HWKANZROSA-N</t>
  </si>
  <si>
    <t xml:space="preserve">651.49041</t>
  </si>
  <si>
    <t xml:space="preserve">C37H66O6</t>
  </si>
  <si>
    <t xml:space="preserve">Asiminenin A; Squamocin L; Rollidecin D</t>
  </si>
  <si>
    <t xml:space="preserve">54823; 55651; 56351</t>
  </si>
  <si>
    <t xml:space="preserve">HMDB0029959; HMDB0030940; HMDB0031886</t>
  </si>
  <si>
    <t xml:space="preserve">; 87303; </t>
  </si>
  <si>
    <t xml:space="preserve">; 176212; </t>
  </si>
  <si>
    <t xml:space="preserve">131750930; 461667; 85105044</t>
  </si>
  <si>
    <t xml:space="preserve">168075-11-4; 98767-45-4; 200703-17-9</t>
  </si>
  <si>
    <t xml:space="preserve">CCCCCCCCCC\C=C/CCC(O)C1CCC(O1)C(O)CCCCCCCCCCC(O)CC1=CC(C)OC1=O; CCCCCCCCCCC(O)C1CCC(O1)C1CCC(O1)C(O)CCCCCCCCCCCCC1=CC(C)OC1=O; CCCCCCCCCCCCC(O)C1CCC(O1)C1CCC(CCCCCCCCCC(O)CC2=CC(C)OC2=O)O1</t>
  </si>
  <si>
    <t xml:space="preserve">OZWNHDYKRQUFSF-SDXDJHTJSA-N; URLVCROWVOSNPT-UHFFFAOYSA-N; KEMYLKFITCBCHA-UHFFFAOYSA-N</t>
  </si>
  <si>
    <t xml:space="preserve">Fatty alcohols; Fatty alcohols; Fatty alcohols</t>
  </si>
  <si>
    <t xml:space="preserve">652.24612</t>
  </si>
  <si>
    <t xml:space="preserve">C28H39N7O9</t>
  </si>
  <si>
    <t xml:space="preserve">Rotigaptide</t>
  </si>
  <si>
    <t xml:space="preserve">211028</t>
  </si>
  <si>
    <t xml:space="preserve">HMDB0257314</t>
  </si>
  <si>
    <t xml:space="preserve">85052343</t>
  </si>
  <si>
    <t xml:space="preserve">CC(NC(=O)CNC(=O)C1CC(O)CN1C(=O)C1CCCN1C(=O)C(CC1=CC=C(O)C=C1)NC(C)=O)C(=O)NCC(N)=O</t>
  </si>
  <si>
    <t xml:space="preserve">GFJRASPBQLDRRY-UHFFFAOYSA-N</t>
  </si>
  <si>
    <t xml:space="preserve">653.24858</t>
  </si>
  <si>
    <t xml:space="preserve">C36H36N2O7</t>
  </si>
  <si>
    <t xml:space="preserve">Somniferine</t>
  </si>
  <si>
    <t xml:space="preserve">61954</t>
  </si>
  <si>
    <t xml:space="preserve">HMDB0038585</t>
  </si>
  <si>
    <t xml:space="preserve">93252</t>
  </si>
  <si>
    <t xml:space="preserve">14106343</t>
  </si>
  <si>
    <t xml:space="preserve">117611-63-9</t>
  </si>
  <si>
    <t xml:space="preserve">[H][C@]1(C[C@@]23[C@H]4OC5=C2C(C[C@@H](N1C)C3=CC=C4OC)=CC=C5OC)C1=C[C@@]2(O)[C@H]3CC4=CC=C(O)C5=C4[C@@]2(CCN3C)[C@@H](O5)C1=O</t>
  </si>
  <si>
    <t xml:space="preserve">JQGBUIZIHWUPHT-CSVNJIPGSA-N</t>
  </si>
  <si>
    <t xml:space="preserve">Morphinans</t>
  </si>
  <si>
    <t xml:space="preserve">653.49351</t>
  </si>
  <si>
    <t xml:space="preserve">C37H68O6</t>
  </si>
  <si>
    <t xml:space="preserve">Muricatenol</t>
  </si>
  <si>
    <t xml:space="preserve">59720</t>
  </si>
  <si>
    <t xml:space="preserve">HMDB0035900</t>
  </si>
  <si>
    <t xml:space="preserve">91103</t>
  </si>
  <si>
    <t xml:space="preserve">176227</t>
  </si>
  <si>
    <t xml:space="preserve">131751882</t>
  </si>
  <si>
    <t xml:space="preserve">CCCCCCCCCCCCCCCC(O)C(O)CC\C=C/CCCC(O)CCCCCC(O)CC1=CC(C)OC1=O</t>
  </si>
  <si>
    <t xml:space="preserve">KQTROLJZWNACJT-VKAVYKQESA-N</t>
  </si>
  <si>
    <t xml:space="preserve">654.25875</t>
  </si>
  <si>
    <t xml:space="preserve">C37H44ClNO6</t>
  </si>
  <si>
    <t xml:space="preserve">penitrem A</t>
  </si>
  <si>
    <t xml:space="preserve">199105</t>
  </si>
  <si>
    <t xml:space="preserve">HMDB0242736</t>
  </si>
  <si>
    <t xml:space="preserve">4732</t>
  </si>
  <si>
    <t xml:space="preserve">CC(=C)C1OC2CCC3(C)C4(C)C(CCC3(O)C22OC2C1O)C1OC(C)(C)C2CC3C(=C)CC5=C(Cl)C=C6NC4=C1C6=C5C23O</t>
  </si>
  <si>
    <t xml:space="preserve">JDUWHZOLEDOQSR-UHFFFAOYSA-N</t>
  </si>
  <si>
    <t xml:space="preserve">655.21643</t>
  </si>
  <si>
    <t xml:space="preserve">C33H38N4O8</t>
  </si>
  <si>
    <t xml:space="preserve">APC</t>
  </si>
  <si>
    <t xml:space="preserve">82536</t>
  </si>
  <si>
    <t xml:space="preserve">HMDB0060661</t>
  </si>
  <si>
    <t xml:space="preserve">71230</t>
  </si>
  <si>
    <t xml:space="preserve">C00546</t>
  </si>
  <si>
    <t xml:space="preserve">17158</t>
  </si>
  <si>
    <t xml:space="preserve">880</t>
  </si>
  <si>
    <t xml:space="preserve">181467-56-1</t>
  </si>
  <si>
    <t xml:space="preserve">CCC1=C2CN3C(=CC4=C(COC(=O)[C@]4(O)CC)C3=O)C2=NC2=CC=C(OC(=O)N3CCC(CC3)NCCCCC(O)=O)C=C12</t>
  </si>
  <si>
    <t xml:space="preserve">BSVVZICJFYZDJJ-XIFFEERXSA-N</t>
  </si>
  <si>
    <t xml:space="preserve">Camptothecins</t>
  </si>
  <si>
    <t xml:space="preserve">655.50290</t>
  </si>
  <si>
    <t xml:space="preserve">C39H72O5</t>
  </si>
  <si>
    <t xml:space="preserve">DG(36:2); 9-Octadecenoic acid (9Z)-, diester with 1,2,3-propanetriol; 1,2-Dioleoyl-rac-glycerol</t>
  </si>
  <si>
    <t xml:space="preserve">10910; 207281; 199613</t>
  </si>
  <si>
    <t xml:space="preserve">HMDB0007030; HMDB0252852; HMDB0244087</t>
  </si>
  <si>
    <t xml:space="preserve">58665; ; </t>
  </si>
  <si>
    <t xml:space="preserve">LMGL02010397; ; </t>
  </si>
  <si>
    <t xml:space="preserve">88788; ; </t>
  </si>
  <si>
    <t xml:space="preserve">53477965; 33120; 1324</t>
  </si>
  <si>
    <t xml:space="preserve">OC[C@]([H])(OC(CCCCCCCCCCC/C=C\C/C=C\CCCCC)=O)COC(CCCCCCCCCCCCC)=O; CCCCCCCCC=CCCCCCCCC(=O)OCC(O)COC(=O)CCCCCCCC=CCCCCCCCC; CCCCCCCCC=CCCCCCCCC(=O)OCC(CO)OC(=O)CCCCCCCC=CCCCCCCCC</t>
  </si>
  <si>
    <t xml:space="preserve">IOYSFCVWNHOMJU-KAOSVWFWSA-N; DRAWQKGUORNASA-UHFFFAOYSA-N; AFSHUZFNMVJNKX-UHFFFAOYSA-N</t>
  </si>
  <si>
    <t xml:space="preserve">Glycerolipids; Glycerolipids; Glycerolipids</t>
  </si>
  <si>
    <t xml:space="preserve">Diradylglycerols; Diradylglycerols; Diradylglycerols</t>
  </si>
  <si>
    <t xml:space="preserve">656.58043</t>
  </si>
  <si>
    <t xml:space="preserve">C40H79NO3</t>
  </si>
  <si>
    <t xml:space="preserve">Cer(d40:1)</t>
  </si>
  <si>
    <t xml:space="preserve">39031</t>
  </si>
  <si>
    <t xml:space="preserve">HMDB0004952</t>
  </si>
  <si>
    <t xml:space="preserve">7205</t>
  </si>
  <si>
    <t xml:space="preserve">LMSP02010008</t>
  </si>
  <si>
    <t xml:space="preserve">72966</t>
  </si>
  <si>
    <t xml:space="preserve">5283567</t>
  </si>
  <si>
    <t xml:space="preserve">27888-44-4</t>
  </si>
  <si>
    <t xml:space="preserve">[C@](CO)([H])(NC(CCCCCCCCCCCCCCCCCCCCC)=O)[C@]([H])(O)/C=C/CCCCCCCCCCCCC</t>
  </si>
  <si>
    <t xml:space="preserve">KEPQASGDXIEOIL-GLQCRSEXSA-N</t>
  </si>
  <si>
    <t xml:space="preserve">661.53163</t>
  </si>
  <si>
    <t xml:space="preserve">C48H72O2</t>
  </si>
  <si>
    <t xml:space="preserve">Plastoquinone 8</t>
  </si>
  <si>
    <t xml:space="preserve">54961</t>
  </si>
  <si>
    <t xml:space="preserve">HMDB0030129</t>
  </si>
  <si>
    <t xml:space="preserve">86741</t>
  </si>
  <si>
    <t xml:space="preserve">C02061</t>
  </si>
  <si>
    <t xml:space="preserve">176288</t>
  </si>
  <si>
    <t xml:space="preserve">131750962</t>
  </si>
  <si>
    <t xml:space="preserve">28974-95-0</t>
  </si>
  <si>
    <t xml:space="preserve">CC(C)=CCC\C(C)=C\CC\C(C)=C/CC\C(C)=C\CC\C(C)=C\CC\C(C)=C\CC\C(C)=C\CC\C(C)=C\CC1=CC(=O)C(C)=C(C)C1=O</t>
  </si>
  <si>
    <t xml:space="preserve">XNCZYLCBNZVJPV-HADDTEFYSA-N</t>
  </si>
  <si>
    <t xml:space="preserve">Quinone and hydroquinone lipids</t>
  </si>
  <si>
    <t xml:space="preserve">662.11596</t>
  </si>
  <si>
    <t xml:space="preserve">C23H27N3O15S</t>
  </si>
  <si>
    <t xml:space="preserve">2-S-Glutathionyl caftaric acid</t>
  </si>
  <si>
    <t xml:space="preserve">254797</t>
  </si>
  <si>
    <t xml:space="preserve">HMDB0301713</t>
  </si>
  <si>
    <t xml:space="preserve">117842555</t>
  </si>
  <si>
    <t xml:space="preserve">NC(CCC(=O)NC(CSC1=C(\C=C\C(=O)OC(C(O)C(O)=O)C(O)=O)C=CC(O)=C1O)C(=O)NCC(O)=O)C(O)=O</t>
  </si>
  <si>
    <t xml:space="preserve">FRUUTAANUZUTPG-QHHAFSJGSA-N</t>
  </si>
  <si>
    <t xml:space="preserve">663.11358</t>
  </si>
  <si>
    <t xml:space="preserve">C49H22O</t>
  </si>
  <si>
    <t xml:space="preserve">Bicoronal</t>
  </si>
  <si>
    <t xml:space="preserve">204170</t>
  </si>
  <si>
    <t xml:space="preserve">HMDB0249185</t>
  </si>
  <si>
    <t xml:space="preserve">129627877</t>
  </si>
  <si>
    <t xml:space="preserve">O=CC1=C(C2=C3C4=C(C=CC5=C4C4=C(C=C5)C=CC5=C4C3=C1C=C5)C=C2)C1=C2C=CC3=C4C5=C(C=CC6=C5C5=C(C=CC(=C1)C5=C24)C=C6)C=C3</t>
  </si>
  <si>
    <t xml:space="preserve">ZNASJZFQMPRYNN-UHFFFAOYSA-N</t>
  </si>
  <si>
    <t xml:space="preserve">Pyrenes</t>
  </si>
  <si>
    <t xml:space="preserve">Benzopyrenes</t>
  </si>
  <si>
    <t xml:space="preserve">663.52654</t>
  </si>
  <si>
    <t xml:space="preserve">C39H70O5</t>
  </si>
  <si>
    <t xml:space="preserve">DG(36:3)</t>
  </si>
  <si>
    <t xml:space="preserve">10934</t>
  </si>
  <si>
    <t xml:space="preserve">HMDB0007059</t>
  </si>
  <si>
    <t xml:space="preserve">58694</t>
  </si>
  <si>
    <t xml:space="preserve">LMGL02010421</t>
  </si>
  <si>
    <t xml:space="preserve">88718</t>
  </si>
  <si>
    <t xml:space="preserve">53477994</t>
  </si>
  <si>
    <t xml:space="preserve">OC[C@]([H])(OC(CCCCCCCCCCC/C=C\C/C=C\CCCCC)=O)COC(CCCCCCC/C=C\CCCC)=O</t>
  </si>
  <si>
    <t xml:space="preserve">ZUPOJSDRXROXHE-VXBBTDFSSA-N</t>
  </si>
  <si>
    <t xml:space="preserve">665.23110</t>
  </si>
  <si>
    <t xml:space="preserve">C33H41ClN2O9</t>
  </si>
  <si>
    <t xml:space="preserve">Lapaquistat acetate</t>
  </si>
  <si>
    <t xml:space="preserve">208201</t>
  </si>
  <si>
    <t xml:space="preserve">HMDB0253979</t>
  </si>
  <si>
    <t xml:space="preserve">22175537</t>
  </si>
  <si>
    <t xml:space="preserve">COC1=CC=CC(C2OC(CC(=O)N3CCC(CC(O)=O)CC3)C(=O)N(CC(C)(C)COC(C)=O)C3=C2C=C(Cl)C=C3)=C1OC</t>
  </si>
  <si>
    <t xml:space="preserve">CMLUGNQVANVZHY-UHFFFAOYSA-N</t>
  </si>
  <si>
    <t xml:space="preserve">Benzoxazepines</t>
  </si>
  <si>
    <t xml:space="preserve">665.50997</t>
  </si>
  <si>
    <t xml:space="preserve">C40H66N6</t>
  </si>
  <si>
    <t xml:space="preserve">Panamine, 21-ormosanin-20-yl-</t>
  </si>
  <si>
    <t xml:space="preserve">212947</t>
  </si>
  <si>
    <t xml:space="preserve">HMDB0259679</t>
  </si>
  <si>
    <t xml:space="preserve">C1CCN2CC3(CC(CC4CCCNC34)C2C1)C1CCCC(N1)C1CCC2NC1N1CCCC3CC4CC2(CN2CCCCC42)C13</t>
  </si>
  <si>
    <t xml:space="preserve">AALLVKSRUNOPFP-UHFFFAOYSA-N</t>
  </si>
  <si>
    <t xml:space="preserve">Aloperine and related alkaloids</t>
  </si>
  <si>
    <t xml:space="preserve">666.16163</t>
  </si>
  <si>
    <t xml:space="preserve">C21H36NO18P</t>
  </si>
  <si>
    <t xml:space="preserve">6-(N-Acetyl-alpha-D-glucosaminyl)-1-phosphatidyl-1D-myo-inositol</t>
  </si>
  <si>
    <t xml:space="preserve">51453</t>
  </si>
  <si>
    <t xml:space="preserve">HMDB0011669</t>
  </si>
  <si>
    <t xml:space="preserve">62409</t>
  </si>
  <si>
    <t xml:space="preserve">C01288</t>
  </si>
  <si>
    <t xml:space="preserve">12194</t>
  </si>
  <si>
    <t xml:space="preserve">53481019</t>
  </si>
  <si>
    <t xml:space="preserve">CC(=O)N[C@@H]1[C@@H](O)[C@H](O)[C@@H](CO)O[C@@H]1O[C@@H]1[C@@H](O)[C@H](O)[C@@H](O)[C@@H](O)[C@H]1OP(O)(=O)OCC(COC(C)=O)OC(C)=O</t>
  </si>
  <si>
    <t xml:space="preserve">PURMXIZHPMUYNW-DDSODLQFSA-N</t>
  </si>
  <si>
    <t xml:space="preserve">Glycerophosphoinositols</t>
  </si>
  <si>
    <t xml:space="preserve">667.16320</t>
  </si>
  <si>
    <t xml:space="preserve">C33H32O15</t>
  </si>
  <si>
    <t xml:space="preserve">Acetylpuerarin</t>
  </si>
  <si>
    <t xml:space="preserve">203114</t>
  </si>
  <si>
    <t xml:space="preserve">HMDB0247935</t>
  </si>
  <si>
    <t xml:space="preserve">CC(=O)OCC1OC(C(OC(C)=O)C(OC(C)=O)C1OC(C)=O)C1=C(OC(C)=O)C=CC2=C1OC=C(C2=O)C1=CC=C(OC(C)=O)C=C1</t>
  </si>
  <si>
    <t xml:space="preserve">LZYLMUTZAJLXLT-UHFFFAOYSA-N</t>
  </si>
  <si>
    <t xml:space="preserve">Isoflavonoid C-glycosides</t>
  </si>
  <si>
    <t xml:space="preserve">668.15894</t>
  </si>
  <si>
    <t xml:space="preserve">C30H32FNO13</t>
  </si>
  <si>
    <t xml:space="preserve">Galarubicin</t>
  </si>
  <si>
    <t xml:space="preserve">207052</t>
  </si>
  <si>
    <t xml:space="preserve">HMDB0252592</t>
  </si>
  <si>
    <t xml:space="preserve">73091880</t>
  </si>
  <si>
    <t xml:space="preserve">COC1=CC=CC2=C1C(=O)C1=C(C(O)=C3CC(O)(CC(OC4OC(C)C(O)C(O)C4F)C3=C1O)C(=O)COC(=O)CCN)C2=O</t>
  </si>
  <si>
    <t xml:space="preserve">CKXIPXAIFMTQCS-UHFFFAOYSA-N</t>
  </si>
  <si>
    <t xml:space="preserve">Anthracyclines</t>
  </si>
  <si>
    <t xml:space="preserve">669.50211</t>
  </si>
  <si>
    <t xml:space="preserve">C43H70O3</t>
  </si>
  <si>
    <t xml:space="preserve">CE(5D5); CE(6F6); CE(7D3)</t>
  </si>
  <si>
    <t xml:space="preserve">132632; 132635; 132636</t>
  </si>
  <si>
    <t xml:space="preserve">HMDB0112214; HMDB0112217; HMDB0112218</t>
  </si>
  <si>
    <t xml:space="preserve">131819657; 131819660; 131819661</t>
  </si>
  <si>
    <t xml:space="preserve">CCCCCC1=C(C)C(C)=C(CCCCC(=O)OC2CCC3(C)C4CCC5(C)C(CCC5C4CC=C3C2)C(C)CCCC(C)C)O1; CCCCCCC1=CC=C(CCCCCC(=O)OC2CCC3(C)C4CCC5(C)C(CCC5C4CC=C3C2)C(C)CCCC(C)C)O1; CCCC1=C(C)C(C)=C(CCCCCCC(=O)OC2CCC3(C)C4CCC5(C)C(CCC5C4CC=C3C2)C(C)CCCC(C)C)O1</t>
  </si>
  <si>
    <t xml:space="preserve">YCJJGFRFRQSJCX-UHFFFAOYSA-N; DVCZIGGEBQPRCU-UHFFFAOYSA-N; TWGJAWLEECMYLP-UHFFFAOYSA-N</t>
  </si>
  <si>
    <t xml:space="preserve">Steroid esters; Steroid esters; Steroid esters</t>
  </si>
  <si>
    <t xml:space="preserve">670.17634</t>
  </si>
  <si>
    <t xml:space="preserve">C28H35N5O12</t>
  </si>
  <si>
    <t xml:space="preserve">Devd-amc</t>
  </si>
  <si>
    <t xml:space="preserve">205739</t>
  </si>
  <si>
    <t xml:space="preserve">HMDB0251075</t>
  </si>
  <si>
    <t xml:space="preserve">CC(C)C(NC(=O)C(CCC(O)=O)NC(=O)C(N)CC(O)=O)C(=O)NC(CC(O)=O)C(=O)NC1=CC2=C(C=C1)C(C)=CC(=O)O2</t>
  </si>
  <si>
    <t xml:space="preserve">QBRZOFRRJLWXGM-UHFFFAOYSA-N</t>
  </si>
  <si>
    <t xml:space="preserve">670.48485</t>
  </si>
  <si>
    <t xml:space="preserve">C37H70NO7P</t>
  </si>
  <si>
    <t xml:space="preserve">PE(14:2)</t>
  </si>
  <si>
    <t xml:space="preserve">49949</t>
  </si>
  <si>
    <t xml:space="preserve">HMDB0008885</t>
  </si>
  <si>
    <t xml:space="preserve">60329</t>
  </si>
  <si>
    <t xml:space="preserve">C00350</t>
  </si>
  <si>
    <t xml:space="preserve">53479573</t>
  </si>
  <si>
    <t xml:space="preserve">[H][C@@](COC(=O)CCCCCCC\C=C/CCCC)(COP(O)(=O)OCCN)O\C=C/CCCCCCCC\C=C/CCCCCC</t>
  </si>
  <si>
    <t xml:space="preserve">XAXUTKKCQMYMCO-WTTKYJQQSA-N</t>
  </si>
  <si>
    <t xml:space="preserve">670.59474</t>
  </si>
  <si>
    <t xml:space="preserve">C41H81NO3</t>
  </si>
  <si>
    <t xml:space="preserve">Cer(d41:1)</t>
  </si>
  <si>
    <t xml:space="preserve">39042</t>
  </si>
  <si>
    <t xml:space="preserve">HMDB0000950</t>
  </si>
  <si>
    <t xml:space="preserve">83720</t>
  </si>
  <si>
    <t xml:space="preserve">LMSP02010021</t>
  </si>
  <si>
    <t xml:space="preserve">84372</t>
  </si>
  <si>
    <t xml:space="preserve">52931115</t>
  </si>
  <si>
    <t xml:space="preserve">67605-84-9</t>
  </si>
  <si>
    <t xml:space="preserve">[C@](CO)([H])(NC(CCCCCCCCCCCCCCCCCCCCCC)=O)[C@]([H])(O)/C=C/CCCCCCCCCCCCC</t>
  </si>
  <si>
    <t xml:space="preserve">NAJHAHQNQCNWOP-PUYNVXOJSA-N</t>
  </si>
  <si>
    <t xml:space="preserve">671.07798</t>
  </si>
  <si>
    <t xml:space="preserve">C19H26N8O13P2</t>
  </si>
  <si>
    <t xml:space="preserve">CpG dinucleotides</t>
  </si>
  <si>
    <t xml:space="preserve">205282</t>
  </si>
  <si>
    <t xml:space="preserve">HMDB0250518</t>
  </si>
  <si>
    <t xml:space="preserve">482125</t>
  </si>
  <si>
    <t xml:space="preserve">NC1=NC2=C(N=CN2C2CC(O)C(COP(O)(=O)OC3CC(OC3COP(O)(O)=O)N3C=CC(N)=NC3=O)O2)C(=O)N1</t>
  </si>
  <si>
    <t xml:space="preserve">WEIKWRHPSBSLNX-UHFFFAOYSA-N</t>
  </si>
  <si>
    <t xml:space="preserve">(3'-&gt;5')-dinucleotides and analogues</t>
  </si>
  <si>
    <t xml:space="preserve">(3'-&gt;5')-dinucleotides</t>
  </si>
  <si>
    <t xml:space="preserve">671.48662</t>
  </si>
  <si>
    <t xml:space="preserve">C41H68O7</t>
  </si>
  <si>
    <t xml:space="preserve">DG(MonoMe/MonoMe)</t>
  </si>
  <si>
    <t xml:space="preserve">136066</t>
  </si>
  <si>
    <t xml:space="preserve">HMDB0116389</t>
  </si>
  <si>
    <t xml:space="preserve">[H][C@](CO)(COC(=O)CCCCCCCCCCC1=C(C)C=C(CCC)O1)OC(=O)CCCCCCCCCCC1=C(C)C=C(CCC)O1</t>
  </si>
  <si>
    <t xml:space="preserve">LNNGXOUFQYCYDI-QNGWXLTQSA-N</t>
  </si>
  <si>
    <t xml:space="preserve">672.49974</t>
  </si>
  <si>
    <t xml:space="preserve">C37H72NO7P</t>
  </si>
  <si>
    <t xml:space="preserve">PE(14:1)</t>
  </si>
  <si>
    <t xml:space="preserve">HMDB0008852</t>
  </si>
  <si>
    <t xml:space="preserve">60296</t>
  </si>
  <si>
    <t xml:space="preserve">53479561</t>
  </si>
  <si>
    <t xml:space="preserve">[H][C@@](COC(=O)CCCCCCCCCCCCC)(COP(O)(=O)OCCN)O\C=C/CCCCCCCC\C=C/CCCCCC</t>
  </si>
  <si>
    <t xml:space="preserve">RQUHIRHPYPYBFX-AOXBWRSQSA-N</t>
  </si>
  <si>
    <t xml:space="preserve">673.09667</t>
  </si>
  <si>
    <t xml:space="preserve">C16H13ClFNO4</t>
  </si>
  <si>
    <t xml:space="preserve">5-Carboxy-lumiracoxib</t>
  </si>
  <si>
    <t xml:space="preserve">82637</t>
  </si>
  <si>
    <t xml:space="preserve">HMDB0060775</t>
  </si>
  <si>
    <t xml:space="preserve">131769946</t>
  </si>
  <si>
    <t xml:space="preserve">CC1=CC(CC(O)=O)=C(NC2=C(Cl)C=CC(C(O)=O)=C2F)C=C1</t>
  </si>
  <si>
    <t xml:space="preserve">DAMRUBXLPVLGQF-UHFFFAOYSA-N</t>
  </si>
  <si>
    <t xml:space="preserve">673.48451</t>
  </si>
  <si>
    <t xml:space="preserve">C37H71O8P</t>
  </si>
  <si>
    <t xml:space="preserve">PA(34:1)</t>
  </si>
  <si>
    <t xml:space="preserve">24919</t>
  </si>
  <si>
    <t xml:space="preserve">HMDB0007858</t>
  </si>
  <si>
    <t xml:space="preserve">40905</t>
  </si>
  <si>
    <t xml:space="preserve">LMGP10010007</t>
  </si>
  <si>
    <t xml:space="preserve">C00416</t>
  </si>
  <si>
    <t xml:space="preserve">89530</t>
  </si>
  <si>
    <t xml:space="preserve">9547158</t>
  </si>
  <si>
    <t xml:space="preserve">[C@](COP(=O)(O)O)([H])(OC(CCCCCCCCC/C=C\CCCCCC)=O)COC(CCCCCCCCCCCCCCC)=O</t>
  </si>
  <si>
    <t xml:space="preserve">YDFKTEAAIYLUQP-JUOLSMOWSA-N</t>
  </si>
  <si>
    <t xml:space="preserve">674.40205</t>
  </si>
  <si>
    <t xml:space="preserve">C34H62NO10P</t>
  </si>
  <si>
    <t xml:space="preserve">PS(28:2)</t>
  </si>
  <si>
    <t xml:space="preserve">22180</t>
  </si>
  <si>
    <t xml:space="preserve">HMDB0012342</t>
  </si>
  <si>
    <t xml:space="preserve">78583</t>
  </si>
  <si>
    <t xml:space="preserve">LMGP03010919</t>
  </si>
  <si>
    <t xml:space="preserve">52926026</t>
  </si>
  <si>
    <t xml:space="preserve">C(O)(=O)[C@@]([H])(N)COP(OC[C@]([H])(OC(CCCCCCC/C=C\CCCC)=O)COC(CCCCCCC/C=C\CCCC)=O)(=O)O</t>
  </si>
  <si>
    <t xml:space="preserve">BPFJDFFAZFFCBH-QPBIGPORSA-N</t>
  </si>
  <si>
    <t xml:space="preserve">675.15014</t>
  </si>
  <si>
    <t xml:space="preserve">C32H32O14</t>
  </si>
  <si>
    <t xml:space="preserve">Chartreusin</t>
  </si>
  <si>
    <t xml:space="preserve">204757</t>
  </si>
  <si>
    <t xml:space="preserve">HMDB0249884</t>
  </si>
  <si>
    <t xml:space="preserve">5351130</t>
  </si>
  <si>
    <t xml:space="preserve">COC1C(O)C(C)OC(OC2C(O)C(O)C(C)OC2OC2=CC=CC3=C2C2=C4C(C(=O)OC5=C4C(=C(C)C=C5)C(=O)O2)=C3O)C1O</t>
  </si>
  <si>
    <t xml:space="preserve">PONPPNYZKHNPKZ-UHFFFAOYSA-N</t>
  </si>
  <si>
    <t xml:space="preserve">Naphthopyranones</t>
  </si>
  <si>
    <t xml:space="preserve">675.22844</t>
  </si>
  <si>
    <t xml:space="preserve">C31H36F6N6O2</t>
  </si>
  <si>
    <t xml:space="preserve">Evacetrapib</t>
  </si>
  <si>
    <t xml:space="preserve">206649</t>
  </si>
  <si>
    <t xml:space="preserve">HMDB0252132</t>
  </si>
  <si>
    <t xml:space="preserve">75299874</t>
  </si>
  <si>
    <t xml:space="preserve">CN1N=NC(=N1)N(CC1=CC(=CC(=C1)C(F)(F)F)C(F)(F)F)C1CCCN(CC2CCC(CC2)C(O)=O)C2=C(C)C=C(C)C=C12</t>
  </si>
  <si>
    <t xml:space="preserve">IHIUGIVXARLYHP-UHFFFAOYSA-N</t>
  </si>
  <si>
    <t xml:space="preserve">678.51471</t>
  </si>
  <si>
    <t xml:space="preserve">C43H71NO6</t>
  </si>
  <si>
    <t xml:space="preserve">1,2-Dilinolenoyl-3-(4-aminobutyryl)propane-1,2,3-triol</t>
  </si>
  <si>
    <t xml:space="preserve">199605</t>
  </si>
  <si>
    <t xml:space="preserve">HMDB0244079</t>
  </si>
  <si>
    <t xml:space="preserve">125046</t>
  </si>
  <si>
    <t xml:space="preserve">CCC=CCC=CCC=CCCCCCCCC(=O)OCC(COC(=O)CCCN)OC(=O)CCCCCCCC=CCC=CCC=CCC</t>
  </si>
  <si>
    <t xml:space="preserve">GEVNNPDGYIOEJR-UHFFFAOYSA-N</t>
  </si>
  <si>
    <t xml:space="preserve">679.28496</t>
  </si>
  <si>
    <t xml:space="preserve">C35H42N2O9</t>
  </si>
  <si>
    <t xml:space="preserve">Rescinnamine</t>
  </si>
  <si>
    <t xml:space="preserve">53396</t>
  </si>
  <si>
    <t xml:space="preserve">HMDB0015311</t>
  </si>
  <si>
    <t xml:space="preserve">C06540</t>
  </si>
  <si>
    <t xml:space="preserve">28572</t>
  </si>
  <si>
    <t xml:space="preserve">5280954</t>
  </si>
  <si>
    <t xml:space="preserve">24815-24-5</t>
  </si>
  <si>
    <t xml:space="preserve">[H][C@]12C[C@@H](OC(=O)C=CC3=CC(OC)=C(OC)C(OC)=C3)[C@H](OC)[C@@H](C(=O)OC)[C@@]1([H])C[C@@]1([H])N(CCC3=C1NC1=C3C=CC(OC)=C1)C2</t>
  </si>
  <si>
    <t xml:space="preserve">SZLZWPPUNLXJEA-LAFLMMDJSA-N</t>
  </si>
  <si>
    <t xml:space="preserve">Yohimbine alkaloids</t>
  </si>
  <si>
    <t xml:space="preserve">680.50607</t>
  </si>
  <si>
    <t xml:space="preserve">C39H73NO9</t>
  </si>
  <si>
    <t xml:space="preserve">AS 1-2; Lucyobroside</t>
  </si>
  <si>
    <t xml:space="preserve">57066; 56443</t>
  </si>
  <si>
    <t xml:space="preserve">HMDB0032795; HMDB0031983</t>
  </si>
  <si>
    <t xml:space="preserve">88718; 88094</t>
  </si>
  <si>
    <t xml:space="preserve">; 169916</t>
  </si>
  <si>
    <t xml:space="preserve">131751311; 131751236</t>
  </si>
  <si>
    <t xml:space="preserve">; 189272-90-0</t>
  </si>
  <si>
    <t xml:space="preserve">CCCCCCCCCCCCCC(O)C(=O)NC(COC1OC(CO)C(O)C(O)C1O)C(O)\C=C/CC\C=C/CCCCCCCCC; CCCCCCCCCCCCC(O)C(\O)=N\C(COC1OC(CO)C(O)C(O)C1O)C(O)\C=C\CC\C=C\CCCCCCCCCC</t>
  </si>
  <si>
    <t xml:space="preserve">NHVGKAGJOWJYCD-VFRXEOFNSA-N; ILIBLZKROFPFRG-OQHYMBEVSA-N</t>
  </si>
  <si>
    <t xml:space="preserve">Sphingolipids; Sphingolipids</t>
  </si>
  <si>
    <t xml:space="preserve">Glycosphingolipids; Glycosphingolipids</t>
  </si>
  <si>
    <t xml:space="preserve">680.58049</t>
  </si>
  <si>
    <t xml:space="preserve">C42H79NO3</t>
  </si>
  <si>
    <t xml:space="preserve">Cer(d18:1/24:2(5Z,9Z))</t>
  </si>
  <si>
    <t xml:space="preserve">197288</t>
  </si>
  <si>
    <t xml:space="preserve">HMDB0240679</t>
  </si>
  <si>
    <t xml:space="preserve">[H][C@@](CO)(NC(=O)CCC\C=C/CC\C=C/CCCCCCCCCCCCCC)[C@H](O)\C=C\CCCCCCCCCCCCC</t>
  </si>
  <si>
    <t xml:space="preserve">QMVWGDBKESWTON-XYOXGLGDSA-N</t>
  </si>
  <si>
    <t xml:space="preserve">681.28212</t>
  </si>
  <si>
    <t xml:space="preserve">C33H46O15</t>
  </si>
  <si>
    <t xml:space="preserve">Ethanol, magnesium salt (2:1); Myricanol 5-beta-sophoroside</t>
  </si>
  <si>
    <t xml:space="preserve">60246; 60247</t>
  </si>
  <si>
    <t xml:space="preserve">HMDB0036528; HMDB0036529</t>
  </si>
  <si>
    <t xml:space="preserve">91623; 91624</t>
  </si>
  <si>
    <t xml:space="preserve">131752898; 14059611</t>
  </si>
  <si>
    <t xml:space="preserve">137578-55-3; 116107-17-6</t>
  </si>
  <si>
    <t xml:space="preserve">COC1=C(OC2OC(CO)C(O)C(OC3OC(CO)C(O)C(O)C3O)C2O)C2=CC(=C1OC)C1=C(O)C=CC(CCC(O)CCCC2)=C1; COC1=C(OC2OC(COC3OC(CO)C(O)C(O)C3O)C(O)C(O)C2O)C2=CC(=C1OC)C1=C(O)C=CC(CCC(O)CCCC2)=C1</t>
  </si>
  <si>
    <t xml:space="preserve">XMKXFSLOVIEGBT-UHFFFAOYSA-N; MWHPGFTUVBRCFT-UHFFFAOYSA-N</t>
  </si>
  <si>
    <t xml:space="preserve">Diarylheptanoids; Diarylheptanoids</t>
  </si>
  <si>
    <t xml:space="preserve">Cyclic diarylheptanoids; Cyclic diarylheptanoids</t>
  </si>
  <si>
    <t xml:space="preserve">681.51658</t>
  </si>
  <si>
    <t xml:space="preserve">C41H74O5</t>
  </si>
  <si>
    <t xml:space="preserve">DG(38:3)</t>
  </si>
  <si>
    <t xml:space="preserve">10650</t>
  </si>
  <si>
    <t xml:space="preserve">HMDB0007146</t>
  </si>
  <si>
    <t xml:space="preserve">4446</t>
  </si>
  <si>
    <t xml:space="preserve">LMGL02010137</t>
  </si>
  <si>
    <t xml:space="preserve">88482</t>
  </si>
  <si>
    <t xml:space="preserve">9543802</t>
  </si>
  <si>
    <t xml:space="preserve">OC[C@]([H])(OC(CCCCCCCCCCC/C=C\C/C=C\CCCCC)=O)COC(CCCCCCC/C=C\CCCCCC)=O</t>
  </si>
  <si>
    <t xml:space="preserve">GPTNTTOKYPVRNK-VWMWQVQRSA-N</t>
  </si>
  <si>
    <t xml:space="preserve">682.26106</t>
  </si>
  <si>
    <t xml:space="preserve">C34H47NO11</t>
  </si>
  <si>
    <t xml:space="preserve">Aconitinum</t>
  </si>
  <si>
    <t xml:space="preserve">203136</t>
  </si>
  <si>
    <t xml:space="preserve">HMDB0247962</t>
  </si>
  <si>
    <t xml:space="preserve">2012</t>
  </si>
  <si>
    <t xml:space="preserve">CCN1CC2(COC)C3C(OC)C4C1C3(C1CC3(O)C(OC(=O)C5=CC=CC=C5)C1C4(OC(C)=O)C(O)C3OC)C(CC2O)OC</t>
  </si>
  <si>
    <t xml:space="preserve">XFSBVAOIAHNAPC-UHFFFAOYSA-N</t>
  </si>
  <si>
    <t xml:space="preserve">682.59684</t>
  </si>
  <si>
    <t xml:space="preserve">C42H81NO3</t>
  </si>
  <si>
    <t xml:space="preserve">Cer(d42:2)</t>
  </si>
  <si>
    <t xml:space="preserve">39032</t>
  </si>
  <si>
    <t xml:space="preserve">HMDB0004953</t>
  </si>
  <si>
    <t xml:space="preserve">7206</t>
  </si>
  <si>
    <t xml:space="preserve">LMSP02010009</t>
  </si>
  <si>
    <t xml:space="preserve">74450</t>
  </si>
  <si>
    <t xml:space="preserve">5283568</t>
  </si>
  <si>
    <t xml:space="preserve">[C@](CO)([H])(NC(CCCCCCCCCCCCC/C=C\CCCCCCCC)=O)[C@]([H])(O)/C=C/CCCCCCCCCCCCC</t>
  </si>
  <si>
    <t xml:space="preserve">VJSBNBBOSZJDKB-KPEYJIHVSA-N</t>
  </si>
  <si>
    <t xml:space="preserve">683.26949</t>
  </si>
  <si>
    <t xml:space="preserve">C29H46N6O12S</t>
  </si>
  <si>
    <t xml:space="preserve">Hexapeptide analogue</t>
  </si>
  <si>
    <t xml:space="preserve">204807</t>
  </si>
  <si>
    <t xml:space="preserve">HMDB0249946</t>
  </si>
  <si>
    <t xml:space="preserve">21158317</t>
  </si>
  <si>
    <t xml:space="preserve">CCC(C)C(NC(=O)C(CC(O)=O)NC(=O)C(CC(O)=O)NC(C)=O)C(=O)NC(C(C)C)C(=O)N1CCCC1C(=O)NC(CS)C(O)=O</t>
  </si>
  <si>
    <t xml:space="preserve">JXDNUMOTWHZSCB-UHFFFAOYSA-N</t>
  </si>
  <si>
    <t xml:space="preserve">684.53944</t>
  </si>
  <si>
    <t xml:space="preserve">C39H78NO7P</t>
  </si>
  <si>
    <t xml:space="preserve">PE(18:0)</t>
  </si>
  <si>
    <t xml:space="preserve">49992</t>
  </si>
  <si>
    <t xml:space="preserve">HMDB0009015</t>
  </si>
  <si>
    <t xml:space="preserve">60433</t>
  </si>
  <si>
    <t xml:space="preserve">53479614</t>
  </si>
  <si>
    <t xml:space="preserve">[H][C@@](COC(=O)CCCCCCCCCCCCCCCCC)(COP(O)(=O)OCCN)O\C=C/CCCCCCCCCCCCCC</t>
  </si>
  <si>
    <t xml:space="preserve">YUQKKCLQLSQTEV-WBXWDXDJSA-N</t>
  </si>
  <si>
    <t xml:space="preserve">684.60960</t>
  </si>
  <si>
    <t xml:space="preserve">C42H83NO3</t>
  </si>
  <si>
    <t xml:space="preserve">Cer(d42:1)</t>
  </si>
  <si>
    <t xml:space="preserve">39035</t>
  </si>
  <si>
    <t xml:space="preserve">HMDB0004956</t>
  </si>
  <si>
    <t xml:space="preserve">7209</t>
  </si>
  <si>
    <t xml:space="preserve">LMSP02010012</t>
  </si>
  <si>
    <t xml:space="preserve">72965</t>
  </si>
  <si>
    <t xml:space="preserve">5283571</t>
  </si>
  <si>
    <t xml:space="preserve">34435-05-7</t>
  </si>
  <si>
    <t xml:space="preserve">[C@](CO)([H])(NC(CCCCCCCCCCCCCCCCCCCCCCC)=O)[C@]([H])(O)/C=C/CCCCCCCCCCCCC</t>
  </si>
  <si>
    <t xml:space="preserve">ZJVVOYPTFQEGPH-AUTSUKAISA-N</t>
  </si>
  <si>
    <t xml:space="preserve">685.54943</t>
  </si>
  <si>
    <t xml:space="preserve">C41H78O5</t>
  </si>
  <si>
    <t xml:space="preserve">DG(38:1)</t>
  </si>
  <si>
    <t xml:space="preserve">48990</t>
  </si>
  <si>
    <t xml:space="preserve">HMDB0007036</t>
  </si>
  <si>
    <t xml:space="preserve">58671</t>
  </si>
  <si>
    <t xml:space="preserve">53477971</t>
  </si>
  <si>
    <t xml:space="preserve">[H][C@](CO)(COC(=O)CCCCCCCCCCCCC)OC(=O)CCCCCCCCCCCCC\C=C/CCCCCCCC</t>
  </si>
  <si>
    <t xml:space="preserve">SUVBZYVWQQCWAS-DKEJYNJJSA-N</t>
  </si>
  <si>
    <t xml:space="preserve">686.14727</t>
  </si>
  <si>
    <t xml:space="preserve">C29H27N3O14</t>
  </si>
  <si>
    <t xml:space="preserve">Fura-2</t>
  </si>
  <si>
    <t xml:space="preserve">207003</t>
  </si>
  <si>
    <t xml:space="preserve">HMDB0252525</t>
  </si>
  <si>
    <t xml:space="preserve">CC1=CC(OCCOC2=C(C=C3OC(=CC3=C2)C2=NC=C(O2)C(O)=O)N(CC(O)=O)CC(O)=O)=C(C=C1)N(CC(O)=O)CC(O)=O</t>
  </si>
  <si>
    <t xml:space="preserve">YFHXZQPUBCBNIP-UHFFFAOYSA-N</t>
  </si>
  <si>
    <t xml:space="preserve">Pentacarboxylic acids and derivatives</t>
  </si>
  <si>
    <t xml:space="preserve">687.06704</t>
  </si>
  <si>
    <t xml:space="preserve">C27H24O19</t>
  </si>
  <si>
    <t xml:space="preserve">Amlaic acid</t>
  </si>
  <si>
    <t xml:space="preserve">60110</t>
  </si>
  <si>
    <t xml:space="preserve">HMDB0036349</t>
  </si>
  <si>
    <t xml:space="preserve">91493</t>
  </si>
  <si>
    <t xml:space="preserve">525329</t>
  </si>
  <si>
    <t xml:space="preserve">17278-02-3</t>
  </si>
  <si>
    <t xml:space="preserve">OCC1OC(OC(=O)C2=CC(O)=C(O)C(O)=C2)C2OC(=O)C3=C(C4C(CC(=O)OC4C(=O)OC1C2O)C(O)=O)C(O)=C(O)C(O)=C3</t>
  </si>
  <si>
    <t xml:space="preserve">KFDXRACNJCIDON-UHFFFAOYSA-N</t>
  </si>
  <si>
    <t xml:space="preserve">Tannins</t>
  </si>
  <si>
    <t xml:space="preserve">687.16280</t>
  </si>
  <si>
    <t xml:space="preserve">C17H16N2O4S</t>
  </si>
  <si>
    <t xml:space="preserve">1-Benzenesulfonyl-5-ethyl-5-phenylhydantoin</t>
  </si>
  <si>
    <t xml:space="preserve">201029</t>
  </si>
  <si>
    <t xml:space="preserve">HMDB0245613</t>
  </si>
  <si>
    <t xml:space="preserve">89498</t>
  </si>
  <si>
    <t xml:space="preserve">CCC1(N(C(=O)NC1=O)S(=O)(=O)C1=CC=CC=C1)C1=CC=CC=C1</t>
  </si>
  <si>
    <t xml:space="preserve">HWWVPVUGOLNSEB-UHFFFAOYSA-N</t>
  </si>
  <si>
    <t xml:space="preserve">688.41153</t>
  </si>
  <si>
    <t xml:space="preserve">C36H61N5O7S</t>
  </si>
  <si>
    <t xml:space="preserve">Narlaprevir</t>
  </si>
  <si>
    <t xml:space="preserve">209452</t>
  </si>
  <si>
    <t xml:space="preserve">HMDB0255462</t>
  </si>
  <si>
    <t xml:space="preserve">73128680</t>
  </si>
  <si>
    <t xml:space="preserve">CCCCC(NC(=O)C1C2C(CN1C(=O)C(NC(=O)NC1(CS(=O)(=O)C(C)(C)C)CCCCC1)C(C)(C)C)C2(C)C)C(=O)C(=O)NC1CC1</t>
  </si>
  <si>
    <t xml:space="preserve">RICZEKWVNZFTNZ-UHFFFAOYSA-N</t>
  </si>
  <si>
    <t xml:space="preserve">689.06627</t>
  </si>
  <si>
    <t xml:space="preserve">C12H16N3O3PS2</t>
  </si>
  <si>
    <t xml:space="preserve">Azinphos-ethyl</t>
  </si>
  <si>
    <t xml:space="preserve">203844</t>
  </si>
  <si>
    <t xml:space="preserve">HMDB0248806</t>
  </si>
  <si>
    <t xml:space="preserve">72432</t>
  </si>
  <si>
    <t xml:space="preserve">C18644</t>
  </si>
  <si>
    <t xml:space="preserve">38587</t>
  </si>
  <si>
    <t xml:space="preserve">17531</t>
  </si>
  <si>
    <t xml:space="preserve">2642-71-9</t>
  </si>
  <si>
    <t xml:space="preserve">CCOP(=S)(OCC)SCN1N=NC2=CC=CC=C2C1=O</t>
  </si>
  <si>
    <t xml:space="preserve">RQVGAIADHNPSME-UHFFFAOYSA-N</t>
  </si>
  <si>
    <t xml:space="preserve">Benzo-1,2,3-triazines</t>
  </si>
  <si>
    <t xml:space="preserve">Benzotriazine organothiophosphates</t>
  </si>
  <si>
    <t xml:space="preserve">689.42555</t>
  </si>
  <si>
    <t xml:space="preserve">C38H63N2O7P</t>
  </si>
  <si>
    <t xml:space="preserve">[(2R,5S)-2,5-Dimethyl-5-(octadecylcarbamoyloxymethyl)oxolan-2-yl]methyl 2-quinolin-1-ium-1-ylethyl phosphate</t>
  </si>
  <si>
    <t xml:space="preserve">211975</t>
  </si>
  <si>
    <t xml:space="preserve">HMDB0258466</t>
  </si>
  <si>
    <t xml:space="preserve">CCCCCCCCCCCCCCCCCCNC(=O)OCC1(C)CCC(C)(COP([O-])(=O)OCC[N+]2=CC=CC3=CC=CC=C23)O1</t>
  </si>
  <si>
    <t xml:space="preserve">JANHWNKOVXOFLY-UHFFFAOYSA-N</t>
  </si>
  <si>
    <t xml:space="preserve">689.51325</t>
  </si>
  <si>
    <t xml:space="preserve">C46H70O2</t>
  </si>
  <si>
    <t xml:space="preserve">3-(all-trans-octaprenyl)benzene-1,2-diol</t>
  </si>
  <si>
    <t xml:space="preserve">256938</t>
  </si>
  <si>
    <t xml:space="preserve">HMDB0304113</t>
  </si>
  <si>
    <t xml:space="preserve">63988</t>
  </si>
  <si>
    <t xml:space="preserve">C05811</t>
  </si>
  <si>
    <t xml:space="preserve">1233</t>
  </si>
  <si>
    <t xml:space="preserve">5280833</t>
  </si>
  <si>
    <t xml:space="preserve">[H]\C(CC\C(C)=C(/[H])CC\C(C)=C(/[H])CC\C(C)=C(/[H])CC\C(C)=C(/[H])CC\C(C)=C(/[H])CC\C(C)=C(/[H])CC1=C(O)C(O)=CC=C1)=C(\C)CCC=C(C)C</t>
  </si>
  <si>
    <t xml:space="preserve">YNPGYMZVNLIZLD-BQFKTQOQSA-N</t>
  </si>
  <si>
    <t xml:space="preserve">Polyprenylphenols</t>
  </si>
  <si>
    <t xml:space="preserve">691.20790</t>
  </si>
  <si>
    <t xml:space="preserve">C40H34N2O8</t>
  </si>
  <si>
    <t xml:space="preserve">Fagopyrine</t>
  </si>
  <si>
    <t xml:space="preserve">55021</t>
  </si>
  <si>
    <t xml:space="preserve">HMDB0030196</t>
  </si>
  <si>
    <t xml:space="preserve">86788</t>
  </si>
  <si>
    <t xml:space="preserve">5488537</t>
  </si>
  <si>
    <t xml:space="preserve">72393-03-4</t>
  </si>
  <si>
    <t xml:space="preserve">CC1=CC(O)=C2C(=O)C3=C(O)C(C4CCCCN4)=C(O)C4=C3C3=C2C1=C1C(C)=CC(O)=C2C(=O)C5=C(O)C(C6CCCCN6)=C(O)C4=C5C3=C12</t>
  </si>
  <si>
    <t xml:space="preserve">ROFJUMITFMRBRF-UHFFFAOYSA-N</t>
  </si>
  <si>
    <t xml:space="preserve">691.47620</t>
  </si>
  <si>
    <t xml:space="preserve">C40H71O8P</t>
  </si>
  <si>
    <t xml:space="preserve">Phosphatidate(37:4)</t>
  </si>
  <si>
    <t xml:space="preserve">25056</t>
  </si>
  <si>
    <t xml:space="preserve">HMDB0114827</t>
  </si>
  <si>
    <t xml:space="preserve">81323</t>
  </si>
  <si>
    <t xml:space="preserve">LMGP10010157</t>
  </si>
  <si>
    <t xml:space="preserve">52928750</t>
  </si>
  <si>
    <t xml:space="preserve">[C@](COP(=O)(O)O)([H])(OC(CCCCC/C=C\C/C=C\C/C=C\C/C=C\CCCCC)=O)COC(CCCCCCCCCCCCCC)=O</t>
  </si>
  <si>
    <t xml:space="preserve">MGXAUARYKQYBLX-UXNHJCPVSA-N</t>
  </si>
  <si>
    <t xml:space="preserve">691.52367</t>
  </si>
  <si>
    <t xml:space="preserve">C43H74O5</t>
  </si>
  <si>
    <t xml:space="preserve">DG(40:5)</t>
  </si>
  <si>
    <t xml:space="preserve">49044</t>
  </si>
  <si>
    <t xml:space="preserve">HMDB0007177</t>
  </si>
  <si>
    <t xml:space="preserve">58761</t>
  </si>
  <si>
    <t xml:space="preserve">53478054</t>
  </si>
  <si>
    <t xml:space="preserve">[H][C@](CO)(COC(=O)CCCCCCCCCCCCCCCCC)OC(=O)CC\C=C/C\C=C/C\C=C/C\C=C/C\C=C/CCCCC</t>
  </si>
  <si>
    <t xml:space="preserve">LTTZSZYLXABAOL-PYZFZJQXSA-N</t>
  </si>
  <si>
    <t xml:space="preserve">692.20923</t>
  </si>
  <si>
    <t xml:space="preserve">C39H37NO12</t>
  </si>
  <si>
    <t xml:space="preserve">6-Methoxy-2-naphthylacetic acid</t>
  </si>
  <si>
    <t xml:space="preserve">82649</t>
  </si>
  <si>
    <t xml:space="preserve">HMDB0060787</t>
  </si>
  <si>
    <t xml:space="preserve">24195890</t>
  </si>
  <si>
    <t xml:space="preserve">COC1=CC=CC2=C1C(=O)C1=C(C(O)=C3C[C@](O)(C[C@H](OC4CC(N)C(O)C(C)O4)C3=C1O)C(=O)COC(=O)CC1=CC=CC3=CC=CC=C13)C2=O</t>
  </si>
  <si>
    <t xml:space="preserve">GYCQOHQXGJAWAC-XFZKEZEPSA-N</t>
  </si>
  <si>
    <t xml:space="preserve">693.46557</t>
  </si>
  <si>
    <t xml:space="preserve">C44H66O4</t>
  </si>
  <si>
    <t xml:space="preserve">2-(3,7,11,15,19,23,27-Heptamethyloctacosa-2,6,10,14,18,22,26-heptaenyl)-5,6-dimethoxy-3-methylcyclohexa-2,5-diene-1,4-dione</t>
  </si>
  <si>
    <t xml:space="preserve">202983</t>
  </si>
  <si>
    <t xml:space="preserve">HMDB0247795</t>
  </si>
  <si>
    <t xml:space="preserve">9347</t>
  </si>
  <si>
    <t xml:space="preserve">COC1=C(OC)C(=O)C(CC=C(C)CCC=C(C)CCC=C(C)CCC=C(C)CCC=C(C)CCC=C(C)CCC=C(C)C)=C(C)C1=O</t>
  </si>
  <si>
    <t xml:space="preserve">DBESHHFMIFSNRV-UHFFFAOYSA-N</t>
  </si>
  <si>
    <t xml:space="preserve">695.48115</t>
  </si>
  <si>
    <t xml:space="preserve">C44H68O4</t>
  </si>
  <si>
    <t xml:space="preserve">ubiquinol-7</t>
  </si>
  <si>
    <t xml:space="preserve">212747</t>
  </si>
  <si>
    <t xml:space="preserve">HMDB0259380</t>
  </si>
  <si>
    <t xml:space="preserve">COC1=C(O)C(C)=C(CC=C(C)CCC=C(C)CCC=C(C)CCC=C(C)CCC=C(C)CCC=C(C)CCC=C(C)C)C(O)=C1OC</t>
  </si>
  <si>
    <t xml:space="preserve">PFIUSPPKANBDHQ-UHFFFAOYSA-N</t>
  </si>
  <si>
    <t xml:space="preserve">697.49358</t>
  </si>
  <si>
    <t xml:space="preserve">C37H75O7P</t>
  </si>
  <si>
    <t xml:space="preserve">PA(O-34:0)</t>
  </si>
  <si>
    <t xml:space="preserve">25963</t>
  </si>
  <si>
    <t xml:space="preserve">HMDB0011145</t>
  </si>
  <si>
    <t xml:space="preserve">82228</t>
  </si>
  <si>
    <t xml:space="preserve">LMGP10020082</t>
  </si>
  <si>
    <t xml:space="preserve">52929644</t>
  </si>
  <si>
    <t xml:space="preserve">[C@](COP(=O)(O)O)([H])(OC(CCCCCCCCCCCCCCCCC)=O)COCCCCCCCCCCCCCCCC</t>
  </si>
  <si>
    <t xml:space="preserve">BIMPCBJDAYKNLD-PSXMRANNSA-N</t>
  </si>
  <si>
    <t xml:space="preserve">699.48108</t>
  </si>
  <si>
    <t xml:space="preserve">C21H34O4</t>
  </si>
  <si>
    <t xml:space="preserve">Tetrahydrodeoxycortisol; Pregnanetriolone; Tetrahydrocorticosterone</t>
  </si>
  <si>
    <t xml:space="preserve">46737; 64985; 44992</t>
  </si>
  <si>
    <t xml:space="preserve">HMDB0005972; HMDB0041997; HMDB0000268</t>
  </si>
  <si>
    <t xml:space="preserve">57990; 70840; 5267</t>
  </si>
  <si>
    <t xml:space="preserve">LMST05030014; ; LMST02030100</t>
  </si>
  <si>
    <t xml:space="preserve">C14594; C15368; C05476</t>
  </si>
  <si>
    <t xml:space="preserve">34352; 79870; </t>
  </si>
  <si>
    <t xml:space="preserve">65555; 150786; 65553</t>
  </si>
  <si>
    <t xml:space="preserve">68-60-0; 603-99-6; 68-42-8</t>
  </si>
  <si>
    <t xml:space="preserve">[C@@]12([H])CC[C@]3([H])C[C@H](O)CC[C@]3(C)[C@@]1([H])CC[C@]1(C)[C@@](O)(C(=O)CO)CC[C@@]21[H]; [H][C@@](C)(O)[C@@]1(O)CC[C@@]2([H])[C@]3([H])CC[C@]4([H])C[C@]([H])(O)CC[C@]4(C)[C@@]3([H])C(=O)C[C@]12C; [C@]12([H])[C@@H](O)C[C@]3(C)[C@H](CC[C@@]3([H])[C@]1([H])CC[C@]1([H])C[C@@H](CC[C@]21C)O)C(=O)CO</t>
  </si>
  <si>
    <t xml:space="preserve">UPTAPIKFKZGAGM-FAIYVORSSA-N; WKFXHNDWEHDGQD-ZQRGSSBZSA-N; RHQQHZQUAMFINJ-DTDWNVJFSA-N</t>
  </si>
  <si>
    <t xml:space="preserve">Hydroxysteroids; Pregnane steroids; Hydroxysteroids</t>
  </si>
  <si>
    <t xml:space="preserve">700.50013</t>
  </si>
  <si>
    <t xml:space="preserve">C39H67N5O6</t>
  </si>
  <si>
    <t xml:space="preserve">Soblidotin</t>
  </si>
  <si>
    <t xml:space="preserve">211894</t>
  </si>
  <si>
    <t xml:space="preserve">HMDB0258356</t>
  </si>
  <si>
    <t xml:space="preserve">22237918</t>
  </si>
  <si>
    <t xml:space="preserve">CCC(C)C(C(CC(=O)N1CCCC1C(OC)C(C)C(=O)NCCC1=CC=CC=C1)OC)N(C)C(=O)C(NC(=O)C(C(C)C)N(C)C)C(C)C</t>
  </si>
  <si>
    <t xml:space="preserve">DZMVCVHATYROOS-UHFFFAOYSA-N</t>
  </si>
  <si>
    <t xml:space="preserve">701.20007</t>
  </si>
  <si>
    <t xml:space="preserve">C16H19Cl2N5</t>
  </si>
  <si>
    <t xml:space="preserve">6-(4-Azanyl-4-Methyl-Piperidin-1-Yl)-3-[2,3-Bis(Chloranyl)phenyl]pyrazin-2-Amine</t>
  </si>
  <si>
    <t xml:space="preserve">211828</t>
  </si>
  <si>
    <t xml:space="preserve">HMDB0258274</t>
  </si>
  <si>
    <t xml:space="preserve">CC1(N)CCN(CC1)C1=CN=C(C(N)=N1)C1=C(Cl)C(Cl)=CC=C1</t>
  </si>
  <si>
    <t xml:space="preserve">YGUFCDOEKKVKJK-UHFFFAOYSA-N</t>
  </si>
  <si>
    <t xml:space="preserve">701.26650</t>
  </si>
  <si>
    <t xml:space="preserve">C30H48O17</t>
  </si>
  <si>
    <t xml:space="preserve">Vomifoliol 9-[glucosyl-(1-&gt;4)-xylosyl-(1-&gt;6)-glucoside]</t>
  </si>
  <si>
    <t xml:space="preserve">61836</t>
  </si>
  <si>
    <t xml:space="preserve">HMDB0038449</t>
  </si>
  <si>
    <t xml:space="preserve">93140</t>
  </si>
  <si>
    <t xml:space="preserve">172797</t>
  </si>
  <si>
    <t xml:space="preserve">131752374</t>
  </si>
  <si>
    <t xml:space="preserve">141947-49-1</t>
  </si>
  <si>
    <t xml:space="preserve">CC(OC1OC(COC2OCC(OC3OC(CO)C(O)C(O)C3O)C(O)C2O)C(O)C(O)C1O)\C=C\C1(O)C(C)=CC(=O)CC1(C)C</t>
  </si>
  <si>
    <t xml:space="preserve">UGIAZMRSYPJDAZ-AATRIKPKSA-N</t>
  </si>
  <si>
    <t xml:space="preserve">702.27078</t>
  </si>
  <si>
    <t xml:space="preserve">C27H47N9O10S2</t>
  </si>
  <si>
    <t xml:space="preserve">Trypanothione disulfide</t>
  </si>
  <si>
    <t xml:space="preserve">82413</t>
  </si>
  <si>
    <t xml:space="preserve">HMDB0060521</t>
  </si>
  <si>
    <t xml:space="preserve">63641</t>
  </si>
  <si>
    <t xml:space="preserve">C03170</t>
  </si>
  <si>
    <t xml:space="preserve">35490</t>
  </si>
  <si>
    <t xml:space="preserve">115098</t>
  </si>
  <si>
    <t xml:space="preserve">96304-42-6</t>
  </si>
  <si>
    <t xml:space="preserve">[H][C@](N)(CCC(O)=N[C@@]1([H])CSSC[C@]([H])(N=C(O)CC[C@]([H])(N)C(O)=O)C(O)=NCC(O)=NCCCNCCCCN=C(O)CN=C1O)C(O)=O</t>
  </si>
  <si>
    <t xml:space="preserve">LZMSXDHGHZKXJD-VJANTYMQSA-N</t>
  </si>
  <si>
    <t xml:space="preserve">702.50530</t>
  </si>
  <si>
    <t xml:space="preserve">C38H74NO8P</t>
  </si>
  <si>
    <t xml:space="preserve">PC(30:1)</t>
  </si>
  <si>
    <t xml:space="preserve">18207</t>
  </si>
  <si>
    <t xml:space="preserve">HMDB0007870</t>
  </si>
  <si>
    <t xml:space="preserve">59320</t>
  </si>
  <si>
    <t xml:space="preserve">LMGP01010485</t>
  </si>
  <si>
    <t xml:space="preserve">C00157</t>
  </si>
  <si>
    <t xml:space="preserve">84578</t>
  </si>
  <si>
    <t xml:space="preserve">24778615</t>
  </si>
  <si>
    <t xml:space="preserve">[C@](COP(=O)([O-])OCC[N+](C)(C)C)([H])(OC(CCCCCCC/C=C\CCCCCC)=O)COC(CCCCCCCCCCCCC)=O</t>
  </si>
  <si>
    <t xml:space="preserve">XGGMHQYOVYWRLV-IZNHTBNISA-N</t>
  </si>
  <si>
    <t xml:space="preserve">703.50439</t>
  </si>
  <si>
    <t xml:space="preserve">C43H72O5</t>
  </si>
  <si>
    <t xml:space="preserve">DG(40:6)</t>
  </si>
  <si>
    <t xml:space="preserve">10729</t>
  </si>
  <si>
    <t xml:space="preserve">HMDB0007179</t>
  </si>
  <si>
    <t xml:space="preserve">4560</t>
  </si>
  <si>
    <t xml:space="preserve">LMGL02010216</t>
  </si>
  <si>
    <t xml:space="preserve">77129</t>
  </si>
  <si>
    <t xml:space="preserve">9543881</t>
  </si>
  <si>
    <t xml:space="preserve">OC[C@]([H])(OC(CC/C=C\C/C=C\C/C=C\C/C=C\C/C=C\C/C=C\CC)=O)COC(CCCCCCCCCCCCCCCCC)=O</t>
  </si>
  <si>
    <t xml:space="preserve">LBDXVTOFXXDOGH-KXYFHQNYSA-N</t>
  </si>
  <si>
    <t xml:space="preserve">705.50931</t>
  </si>
  <si>
    <t xml:space="preserve">C38H72N2O8</t>
  </si>
  <si>
    <t xml:space="preserve">Calcium ionophore</t>
  </si>
  <si>
    <t xml:space="preserve">206523</t>
  </si>
  <si>
    <t xml:space="preserve">HMDB0251994</t>
  </si>
  <si>
    <t xml:space="preserve">2511</t>
  </si>
  <si>
    <t xml:space="preserve">CCOC(=O)CCCCCCCCCCCN(C)C(=O)COC(C)C(C)OCC(=O)N(C)CCCCCCCCCCCC(=O)OCC</t>
  </si>
  <si>
    <t xml:space="preserve">CJAONIOAQZUHPN-UHFFFAOYSA-N</t>
  </si>
  <si>
    <t xml:space="preserve">707.53461</t>
  </si>
  <si>
    <t xml:space="preserve">C38H76O11</t>
  </si>
  <si>
    <t xml:space="preserve">2-[2-[2-[2-[2-[2-[(Z)-2-[2-[2-(2-Octadecoxyethoxy)ethoxy]ethoxy]ethenoxy]ethoxy]ethoxy]ethoxy]ethoxy]ethoxy]ethanol</t>
  </si>
  <si>
    <t xml:space="preserve">204338</t>
  </si>
  <si>
    <t xml:space="preserve">HMDB0249383</t>
  </si>
  <si>
    <t xml:space="preserve">CCCCCCCCCCCCCCCCCCOCCOCCOCCOC=COCCOCCOCCOCCOCCOCCO</t>
  </si>
  <si>
    <t xml:space="preserve">CCFFBDKBLBDIII-UHFFFAOYSA-N</t>
  </si>
  <si>
    <t xml:space="preserve">708.14881</t>
  </si>
  <si>
    <t xml:space="preserve">C25H29N9O9S2</t>
  </si>
  <si>
    <t xml:space="preserve">Cefoperazone A</t>
  </si>
  <si>
    <t xml:space="preserve">204659</t>
  </si>
  <si>
    <t xml:space="preserve">HMDB0249768</t>
  </si>
  <si>
    <t xml:space="preserve">3085940</t>
  </si>
  <si>
    <t xml:space="preserve">CCN(CCNC(=O)NC(C(=O)NC1C2SCC(CSC3=NN=NN3C)=C(N2C1=O)C(O)=O)C1=CC=C(O)C=C1)C(=O)C(O)=O</t>
  </si>
  <si>
    <t xml:space="preserve">INTHBPQCBGDFRH-UHFFFAOYSA-N</t>
  </si>
  <si>
    <t xml:space="preserve">709.54177</t>
  </si>
  <si>
    <t xml:space="preserve">C20H37NO4</t>
  </si>
  <si>
    <t xml:space="preserve">Tridec-3-enoylcarnitine; Tridec-5-enoylcarnitine; Tridec-8-enoylcarnitine</t>
  </si>
  <si>
    <t xml:space="preserve">197854; 197855; 197856</t>
  </si>
  <si>
    <t xml:space="preserve">HMDB0241309; HMDB0241310; HMDB0241311</t>
  </si>
  <si>
    <t xml:space="preserve">CCCCCCCCCC=CCC(=O)OC(CC([O-])=O)C[N+](C)(C)C; CCCCCCCC=CCCCC(=O)OC(CC([O-])=O)C[N+](C)(C)C; CCCCC=CCCCCCCC(=O)OC(CC([O-])=O)C[N+](C)(C)C</t>
  </si>
  <si>
    <t xml:space="preserve">ZMBYKPOUOMBPIF-UHFFFAOYSA-N; BJGDRSVPYBPUHM-UHFFFAOYSA-N; UAPXOSVJNDUCJO-UHFFFAOYSA-N</t>
  </si>
  <si>
    <t xml:space="preserve">711.48359</t>
  </si>
  <si>
    <t xml:space="preserve">C37H75N2O6P</t>
  </si>
  <si>
    <t xml:space="preserve">SM(32:1)</t>
  </si>
  <si>
    <t xml:space="preserve">39609</t>
  </si>
  <si>
    <t xml:space="preserve">HMDB0012097</t>
  </si>
  <si>
    <t xml:space="preserve">53976</t>
  </si>
  <si>
    <t xml:space="preserve">LMSP03010028</t>
  </si>
  <si>
    <t xml:space="preserve">64486</t>
  </si>
  <si>
    <t xml:space="preserve">11433862</t>
  </si>
  <si>
    <t xml:space="preserve">121999-55-1</t>
  </si>
  <si>
    <t xml:space="preserve">[C@](COP(=O)([O-])OCC[N+](C)(C)C)([H])(NC(CCCCCCCCCCCCC)=O)[C@]([H])(O)/C=C/CCCCCCCCCCCCC</t>
  </si>
  <si>
    <t xml:space="preserve">KYICBZWZQPCUMO-PSALXKTOSA-N</t>
  </si>
  <si>
    <t xml:space="preserve">713.17939</t>
  </si>
  <si>
    <t xml:space="preserve">C40H36O10</t>
  </si>
  <si>
    <t xml:space="preserve">Artonin D</t>
  </si>
  <si>
    <t xml:space="preserve">59772</t>
  </si>
  <si>
    <t xml:space="preserve">HMDB0035961</t>
  </si>
  <si>
    <t xml:space="preserve">91147</t>
  </si>
  <si>
    <t xml:space="preserve">176286</t>
  </si>
  <si>
    <t xml:space="preserve">14681573</t>
  </si>
  <si>
    <t xml:space="preserve">128532-95-6</t>
  </si>
  <si>
    <t xml:space="preserve">CC1=CC(C(C(C1)C1=C(O)C=C(O)C=C1)C(=O)C1=C(O)C2=C(OC(C)(C)C=C2)C=C1)C1=C(O)C=CC(C(=O)\C=C\C2=C(O)C=C(O)C=C2)=C1O</t>
  </si>
  <si>
    <t xml:space="preserve">JIQSDJNLGMFGDV-VZUCSPMQSA-N</t>
  </si>
  <si>
    <t xml:space="preserve">Linear 1,3-diarylpropanoids</t>
  </si>
  <si>
    <t xml:space="preserve">Chalcones and dihydrochalcones</t>
  </si>
  <si>
    <t xml:space="preserve">713.51549</t>
  </si>
  <si>
    <t xml:space="preserve">C39H72O8</t>
  </si>
  <si>
    <t xml:space="preserve">4-{[1,3-Bis(hexadecanoyloxy)propan-2-yl]oxy}-4-oxobutanoic acid; 1,2-Dipalmitoyl-3-succinylglycerol</t>
  </si>
  <si>
    <t xml:space="preserve">202726; 199617</t>
  </si>
  <si>
    <t xml:space="preserve">HMDB0247505; HMDB0244091</t>
  </si>
  <si>
    <t xml:space="preserve">134301; 10211876</t>
  </si>
  <si>
    <t xml:space="preserve">CCCCCCCCCCCCCCCC(=O)OCC(COC(=O)CCCCCCCCCCCCCCC)OC(=O)CCC(O)=O; CCCCCCCCCCCCCCCC(=O)OCC(COC(=O)CCC(O)=O)OC(=O)CCCCCCCCCCCCCCC</t>
  </si>
  <si>
    <t xml:space="preserve">XIIQDZOQBSLDBF-UHFFFAOYSA-N; GNENAKXIVCYCIZ-UHFFFAOYSA-N</t>
  </si>
  <si>
    <t xml:space="preserve">714.51493</t>
  </si>
  <si>
    <t xml:space="preserve">C39H74NO8P</t>
  </si>
  <si>
    <t xml:space="preserve">PE(34:2)</t>
  </si>
  <si>
    <t xml:space="preserve">20105</t>
  </si>
  <si>
    <t xml:space="preserve">HMDB0008835</t>
  </si>
  <si>
    <t xml:space="preserve">60279</t>
  </si>
  <si>
    <t xml:space="preserve">LMGP02010416</t>
  </si>
  <si>
    <t xml:space="preserve">52924121</t>
  </si>
  <si>
    <t xml:space="preserve">[C@](COP(=O)(O)OCCN)([H])(OC(CCCCCCCCC/C=C\C/C=C\CCCCC)=O)COC(CCCCCCCCCCCCC)=O</t>
  </si>
  <si>
    <t xml:space="preserve">RXKSKZZAOIRFLK-UQYDIMRYSA-N</t>
  </si>
  <si>
    <t xml:space="preserve">716.52642</t>
  </si>
  <si>
    <t xml:space="preserve">C39H76NO8P</t>
  </si>
  <si>
    <t xml:space="preserve">PE(34:1)</t>
  </si>
  <si>
    <t xml:space="preserve">20104</t>
  </si>
  <si>
    <t xml:space="preserve">HMDB0008834</t>
  </si>
  <si>
    <t xml:space="preserve">60278</t>
  </si>
  <si>
    <t xml:space="preserve">LMGP02010415</t>
  </si>
  <si>
    <t xml:space="preserve">52924120</t>
  </si>
  <si>
    <t xml:space="preserve">[C@](COP(=O)(O)OCCN)([H])(OC(CCCCCCCCC/C=C\CCCCCCCC)=O)COC(CCCCCCCCCCCCC)=O</t>
  </si>
  <si>
    <t xml:space="preserve">BPFXNETZQIVTNB-OBYUZFALSA-N</t>
  </si>
  <si>
    <t xml:space="preserve">717.24050</t>
  </si>
  <si>
    <t xml:space="preserve">C36H38N4O12</t>
  </si>
  <si>
    <t xml:space="preserve">Diisodityrosine</t>
  </si>
  <si>
    <t xml:space="preserve">54688</t>
  </si>
  <si>
    <t xml:space="preserve">HMDB0029798</t>
  </si>
  <si>
    <t xml:space="preserve">86505</t>
  </si>
  <si>
    <t xml:space="preserve">172807</t>
  </si>
  <si>
    <t xml:space="preserve">131750908</t>
  </si>
  <si>
    <t xml:space="preserve">175889-19-7</t>
  </si>
  <si>
    <t xml:space="preserve">NC(CC1=CC=C(OC2=CC(CC(N)C(O)=O)=CC(=C2O)C2=C(O)C(OC3=CC=C(CC(N)C(O)=O)C=C3)=CC(CC(N)C(O)=O)=C2)C=C1)C(O)=O</t>
  </si>
  <si>
    <t xml:space="preserve">AEABCQUPKOOFQW-UHFFFAOYSA-N</t>
  </si>
  <si>
    <t xml:space="preserve">717.47152</t>
  </si>
  <si>
    <t xml:space="preserve">C38H71O10P</t>
  </si>
  <si>
    <t xml:space="preserve">PG(32:2)</t>
  </si>
  <si>
    <t xml:space="preserve">23445</t>
  </si>
  <si>
    <t xml:space="preserve">HMDB0010586</t>
  </si>
  <si>
    <t xml:space="preserve">61861</t>
  </si>
  <si>
    <t xml:space="preserve">LMGP04010967</t>
  </si>
  <si>
    <t xml:space="preserve">52927230</t>
  </si>
  <si>
    <t xml:space="preserve">[H][C@](O)(CO)COP(OC[C@]([H])(OC(CCCCCCC/C=C\CCCCCC)=O)COC(CCCCCCC/C=C\CCCCCC)=O)(=O)O</t>
  </si>
  <si>
    <t xml:space="preserve">GHQNERCMPIDAAU-NWHZUZAFSA-N</t>
  </si>
  <si>
    <t xml:space="preserve">Glycerophosphoglycerols</t>
  </si>
  <si>
    <t xml:space="preserve">718.24478</t>
  </si>
  <si>
    <t xml:space="preserve">C40H43NO9</t>
  </si>
  <si>
    <t xml:space="preserve">Neoacrimarine A</t>
  </si>
  <si>
    <t xml:space="preserve">63561</t>
  </si>
  <si>
    <t xml:space="preserve">HMDB0040384</t>
  </si>
  <si>
    <t xml:space="preserve">94896</t>
  </si>
  <si>
    <t xml:space="preserve">131752804</t>
  </si>
  <si>
    <t xml:space="preserve">149301-45-1</t>
  </si>
  <si>
    <t xml:space="preserve">COC1=C(OC)C2=C(C=C1)C(=O)C1=C(N2)C(C2CC(C)(C)OC3=C2C(O)=C2C=C(C(=O)OC2=C3C(C)(C)C=C)C(C)(C)C=C)=C(OC)C=C1O</t>
  </si>
  <si>
    <t xml:space="preserve">MHPPNTXKFWUDIA-UHFFFAOYSA-N</t>
  </si>
  <si>
    <t xml:space="preserve">718.47400</t>
  </si>
  <si>
    <t xml:space="preserve">C41H72NO8P</t>
  </si>
  <si>
    <t xml:space="preserve">PE(36:5)</t>
  </si>
  <si>
    <t xml:space="preserve">49931</t>
  </si>
  <si>
    <t xml:space="preserve">HMDB0008845</t>
  </si>
  <si>
    <t xml:space="preserve">60289</t>
  </si>
  <si>
    <t xml:space="preserve">53479555</t>
  </si>
  <si>
    <t xml:space="preserve">[H][C@@](COC(=O)CCCCCCCCCCCCC)(COP(O)(=O)OCCN)OC(=O)CC\C=C/C\C=C/C\C=C/C\C=C/C\C=C/CCCCC</t>
  </si>
  <si>
    <t xml:space="preserve">WPOPBYPPPATGDY-UQGWHFHQSA-N</t>
  </si>
  <si>
    <t xml:space="preserve">719.24053</t>
  </si>
  <si>
    <t xml:space="preserve">C25H42N2O19</t>
  </si>
  <si>
    <t xml:space="preserve">(N-acetylneuraminosyl(a2-6)lactosamine)</t>
  </si>
  <si>
    <t xml:space="preserve">47384</t>
  </si>
  <si>
    <t xml:space="preserve">HMDB0001081</t>
  </si>
  <si>
    <t xml:space="preserve">5990</t>
  </si>
  <si>
    <t xml:space="preserve">C04886</t>
  </si>
  <si>
    <t xml:space="preserve">17725</t>
  </si>
  <si>
    <t xml:space="preserve">125128</t>
  </si>
  <si>
    <t xml:space="preserve">64364-50-7</t>
  </si>
  <si>
    <t xml:space="preserve">[H][C@]1(O[C@@](C[C@H](O)[C@H]1NC(C)=O)(OC[C@H]1O[C@@H](O[C@H]2[C@H](O)[C@@H](NC(C)=O)[C@H](O)O[C@@H]2CO)[C@H](O)[C@@H](O)[C@H]1O)C(O)=O)[C@H](O)[C@H](O)CO</t>
  </si>
  <si>
    <t xml:space="preserve">RPSBVJXBTXEJJG-LURNZOHQSA-N</t>
  </si>
  <si>
    <t xml:space="preserve">719.48235</t>
  </si>
  <si>
    <t xml:space="preserve">C38H73O10P</t>
  </si>
  <si>
    <t xml:space="preserve">PG(32:1)</t>
  </si>
  <si>
    <t xml:space="preserve">23388</t>
  </si>
  <si>
    <t xml:space="preserve">HMDB0010571</t>
  </si>
  <si>
    <t xml:space="preserve">61848</t>
  </si>
  <si>
    <t xml:space="preserve">LMGP04010910</t>
  </si>
  <si>
    <t xml:space="preserve">52927174</t>
  </si>
  <si>
    <t xml:space="preserve">[H][C@](O)(CO)COP(OC[C@]([H])(OC(CCCCCCC/C=C\CCCCCC)=O)COC(CCCCCCCCCCCCCCC)=O)(=O)O</t>
  </si>
  <si>
    <t xml:space="preserve">NOFOTAHTYLXZNV-DCQLZOMZSA-N</t>
  </si>
  <si>
    <t xml:space="preserve">723.31450</t>
  </si>
  <si>
    <t xml:space="preserve">C22H22N2O3</t>
  </si>
  <si>
    <t xml:space="preserve">(2S)-2-(4,6-Dimethylpyrimidin-2-yl)oxy-3,3-diphenylbutanoic acid</t>
  </si>
  <si>
    <t xml:space="preserve">208368</t>
  </si>
  <si>
    <t xml:space="preserve">HMDB0254190</t>
  </si>
  <si>
    <t xml:space="preserve">9928928</t>
  </si>
  <si>
    <t xml:space="preserve">CC1=CC(C)=NC(OC(C(O)=O)C(C)(C2=CC=CC=C2)C2=CC=CC=C2)=N1</t>
  </si>
  <si>
    <t xml:space="preserve">IUOKTIGWXRJRIQ-UHFFFAOYSA-N</t>
  </si>
  <si>
    <t xml:space="preserve">723.98869</t>
  </si>
  <si>
    <t xml:space="preserve">C17H27N3O20P2S</t>
  </si>
  <si>
    <t xml:space="preserve">Uridine diphosphate acetylgalactosamine 4-sulfate</t>
  </si>
  <si>
    <t xml:space="preserve">47306</t>
  </si>
  <si>
    <t xml:space="preserve">HMDB0000934</t>
  </si>
  <si>
    <t xml:space="preserve">5883</t>
  </si>
  <si>
    <t xml:space="preserve">C04426</t>
  </si>
  <si>
    <t xml:space="preserve">22833553</t>
  </si>
  <si>
    <t xml:space="preserve">3863-56-7</t>
  </si>
  <si>
    <t xml:space="preserve">CC(=O)C(=O)[C@H](N)[C@@H](O)[C@@H](OS(=O)(=O)O[C@@H]1[C@@H](COP(O)(=O)OP(O)(O)=O)O[C@H]([C@@H]1O)N1C=CC(=O)NC1=O)[C@H](O)CO</t>
  </si>
  <si>
    <t xml:space="preserve">MVHRGUAARHOHCJ-JANKDUHBSA-N</t>
  </si>
  <si>
    <t xml:space="preserve">Pyrimidine nucleotides</t>
  </si>
  <si>
    <t xml:space="preserve">Pyrimidine ribonucleotides</t>
  </si>
  <si>
    <t xml:space="preserve">724.10067</t>
  </si>
  <si>
    <t xml:space="preserve">C20H31N3O19P2</t>
  </si>
  <si>
    <t xml:space="preserve">UDP-N-acetylmuraminate</t>
  </si>
  <si>
    <t xml:space="preserve">51493</t>
  </si>
  <si>
    <t xml:space="preserve">HMDB0011720</t>
  </si>
  <si>
    <t xml:space="preserve">62452</t>
  </si>
  <si>
    <t xml:space="preserve">C01050</t>
  </si>
  <si>
    <t xml:space="preserve">88385</t>
  </si>
  <si>
    <t xml:space="preserve">1169</t>
  </si>
  <si>
    <t xml:space="preserve">CC(OC1C(O)C(CO)OC(OP(O)(=O)OP(O)(=O)OCC2OC(C(O)C2O)N2C=CC(=O)NC2=O)C1NC(C)=O)C(O)=O</t>
  </si>
  <si>
    <t xml:space="preserve">NQBRVZNDBBMBLJ-UHFFFAOYSA-N</t>
  </si>
  <si>
    <t xml:space="preserve">Pyrimidine nucleotide sugars</t>
  </si>
  <si>
    <t xml:space="preserve">724.49645</t>
  </si>
  <si>
    <t xml:space="preserve">C40H72NO8P</t>
  </si>
  <si>
    <t xml:space="preserve">PC(32:4); PE(35:4)</t>
  </si>
  <si>
    <t xml:space="preserve">18214; 20156</t>
  </si>
  <si>
    <t xml:space="preserve">HMDB0007877; HMDB0008904</t>
  </si>
  <si>
    <t xml:space="preserve">59327; 60347</t>
  </si>
  <si>
    <t xml:space="preserve">LMGP01010499; LMGP02010467</t>
  </si>
  <si>
    <t xml:space="preserve">C00157; C00350</t>
  </si>
  <si>
    <t xml:space="preserve">24778627; 52924170</t>
  </si>
  <si>
    <t xml:space="preserve">[C@](COP(=O)([O-])OCC[N+](C)(C)C)([H])(OC(CCCC/C=C\C/C=C\C/C=C\C/C=C\CC)=O)COC(CCCCCCCCCCCCC)=O; [C@](COP(=O)(O)OCCN)([H])(OC(CCC/C=C\C/C=C\C/C=C\C/C=C\CCCCC)=O)COC(CCCCCCCCCCCCCC)=O</t>
  </si>
  <si>
    <t xml:space="preserve">SZQBOFQJPDNGHN-HTICVQCJSA-N; MQYXRLOJMZSONC-RUFREIRGSA-N</t>
  </si>
  <si>
    <t xml:space="preserve">Glycerophospholipids; Glycerophospholipids</t>
  </si>
  <si>
    <t xml:space="preserve">Glycerophosphocholines; Glycerophosphoethanolamines</t>
  </si>
  <si>
    <t xml:space="preserve">725.49361</t>
  </si>
  <si>
    <t xml:space="preserve">C45H70O5</t>
  </si>
  <si>
    <t xml:space="preserve">DG(42:9)</t>
  </si>
  <si>
    <t xml:space="preserve">49221</t>
  </si>
  <si>
    <t xml:space="preserve">HMDB0007469</t>
  </si>
  <si>
    <t xml:space="preserve">53478264</t>
  </si>
  <si>
    <t xml:space="preserve">[H]C(CC)=C([H])CC([H])=C([H])CC([H])=C([H])C\C([H])=C(\[H])CC([H])=C([H])C\C([H])=C(\[H])CCC(=O)O[C@@]([H])(CO)COC(=O)CCCC([H])=C([H])CC([H])=C([H])C\C([H])=C(\[H])CCCCCCCC</t>
  </si>
  <si>
    <t xml:space="preserve">KXRHRVVSQZLFHG-GRTSFORCSA-N</t>
  </si>
  <si>
    <t xml:space="preserve">726.28489</t>
  </si>
  <si>
    <t xml:space="preserve">C39H47NO11</t>
  </si>
  <si>
    <t xml:space="preserve">(3-{(1r)-3-(3,4-Dimethoxyphenyl)-1-[({(2s)-1-[(2s)-2-(3,4,5-Trimethoxyphenyl)pent-4-Enoyl]piperidin-2-Yl}carbonyl)oxy]propyl}phenoxy)acetic Acid</t>
  </si>
  <si>
    <t xml:space="preserve">207724</t>
  </si>
  <si>
    <t xml:space="preserve">HMDB0253386</t>
  </si>
  <si>
    <t xml:space="preserve">COC1=CC(=CC(OC)=C1OC)C(CC=C)C(=O)N1CCCCC1C(=O)OC(CCC1=CC(OC)=C(OC)C=C1)C1=CC(OCC(O)=O)=CC=C1</t>
  </si>
  <si>
    <t xml:space="preserve">GTVAUHXUMYENSK-UHFFFAOYSA-N</t>
  </si>
  <si>
    <t xml:space="preserve">727.02298</t>
  </si>
  <si>
    <t xml:space="preserve">C8H5F13O</t>
  </si>
  <si>
    <t xml:space="preserve">3,3,4,4,5,5,6,6,7,7,8,8,8-Tridecafluorooctan-1-ol</t>
  </si>
  <si>
    <t xml:space="preserve">213396</t>
  </si>
  <si>
    <t xml:space="preserve">HMDB0260260</t>
  </si>
  <si>
    <t xml:space="preserve">OCCC(F)(F)C(F)(F)C(F)(F)C(F)(F)C(F)(F)C(F)(F)F</t>
  </si>
  <si>
    <t xml:space="preserve">GRJRKPMIRMSBNK-UHFFFAOYSA-N</t>
  </si>
  <si>
    <t xml:space="preserve">Alkyl fluorides</t>
  </si>
  <si>
    <t xml:space="preserve">727.51047</t>
  </si>
  <si>
    <t xml:space="preserve">C39H74N2O11</t>
  </si>
  <si>
    <t xml:space="preserve">Azitromycin</t>
  </si>
  <si>
    <t xml:space="preserve">204537</t>
  </si>
  <si>
    <t xml:space="preserve">HMDB0249627</t>
  </si>
  <si>
    <t xml:space="preserve">18714863</t>
  </si>
  <si>
    <t xml:space="preserve">CCC1CC(=O)C(C)C(OC2CC(C)(OC)C(O)C(C)O2)C(C)C(OC2OC(C)CC(C2O)N(C)C)C(C)(O)CC(C)CN(C)C(C)C(O)C1(C)O</t>
  </si>
  <si>
    <t xml:space="preserve">MXEACJLTBFYQAU-UHFFFAOYSA-N</t>
  </si>
  <si>
    <t xml:space="preserve">728.45742</t>
  </si>
  <si>
    <t xml:space="preserve">C38H69NO13</t>
  </si>
  <si>
    <t xml:space="preserve">Clarithromycin</t>
  </si>
  <si>
    <t xml:space="preserve">28247</t>
  </si>
  <si>
    <t xml:space="preserve">HMDB0015342</t>
  </si>
  <si>
    <t xml:space="preserve">1786</t>
  </si>
  <si>
    <t xml:space="preserve">LMPK04000014</t>
  </si>
  <si>
    <t xml:space="preserve">C06912</t>
  </si>
  <si>
    <t xml:space="preserve">3732</t>
  </si>
  <si>
    <t xml:space="preserve">84029</t>
  </si>
  <si>
    <t xml:space="preserve">81103-11-9</t>
  </si>
  <si>
    <t xml:space="preserve">[C@@H]1(O[C@@H]2O[C@@H](C[C@H](N(C)C)[C@H]2O)C)[C@@H](C)[C@@H]([C@@H](C)C(=O)O[C@@H]([C@](O)(C)[C@H](O)[C@@H](C)C(=O)[C@H](C)C[C@@]1(C)OC)CC)O[C@@H]1O[C@H]([C@H](O)[C@](C)(OC)C1)C</t>
  </si>
  <si>
    <t xml:space="preserve">AGOYDEPGAOXOCK-KCBOHYOISA-N</t>
  </si>
  <si>
    <t xml:space="preserve">729.17032</t>
  </si>
  <si>
    <t xml:space="preserve">C12H19N3O8S</t>
  </si>
  <si>
    <t xml:space="preserve">2-S-glutathionyl acetate</t>
  </si>
  <si>
    <t xml:space="preserve">83462</t>
  </si>
  <si>
    <t xml:space="preserve">HMDB0062198</t>
  </si>
  <si>
    <t xml:space="preserve">70367</t>
  </si>
  <si>
    <t xml:space="preserve">C14862</t>
  </si>
  <si>
    <t xml:space="preserve">34302</t>
  </si>
  <si>
    <t xml:space="preserve">11954071</t>
  </si>
  <si>
    <t xml:space="preserve">10463-61-3</t>
  </si>
  <si>
    <t xml:space="preserve">[H][C@](N)(CCC(O)=N[C@@]([H])(CSCC(O)=O)C(O)=NCC(O)=O)C(O)=O</t>
  </si>
  <si>
    <t xml:space="preserve">WBINJBFJLWYSJZ-BQBZGAKWSA-N</t>
  </si>
  <si>
    <t xml:space="preserve">729.28037</t>
  </si>
  <si>
    <t xml:space="preserve">C17H23N3O4S</t>
  </si>
  <si>
    <t xml:space="preserve">Ampicilloyl</t>
  </si>
  <si>
    <t xml:space="preserve">203468</t>
  </si>
  <si>
    <t xml:space="preserve">HMDB0248360</t>
  </si>
  <si>
    <t xml:space="preserve">CC(=O)C(NC(=O)C(N)C1=CC=CC=C1)C1NC(C(O)=O)C(C)(C)S1</t>
  </si>
  <si>
    <t xml:space="preserve">LHQGUVYDQAGQQB-UHFFFAOYSA-N</t>
  </si>
  <si>
    <t xml:space="preserve">730.15754</t>
  </si>
  <si>
    <t xml:space="preserve">C35H35NO14</t>
  </si>
  <si>
    <t xml:space="preserve">Licorice glycoside E</t>
  </si>
  <si>
    <t xml:space="preserve">56456</t>
  </si>
  <si>
    <t xml:space="preserve">HMDB0031996</t>
  </si>
  <si>
    <t xml:space="preserve">74819338</t>
  </si>
  <si>
    <t xml:space="preserve">OCC1OC(OC2=CC=C(C=C2)C2CC(=O)C3=C(O2)C=C(O)C=C3)C(OC2OCC(O)(COC(=O)C3=CNC4=CC=CC=C34)C2O)C(O)C1O</t>
  </si>
  <si>
    <t xml:space="preserve">GNJDLKNJCWOSBO-UHFFFAOYSA-N</t>
  </si>
  <si>
    <t xml:space="preserve">730.29718</t>
  </si>
  <si>
    <t xml:space="preserve">C35H46FN5O9S</t>
  </si>
  <si>
    <t xml:space="preserve">Danoprevir</t>
  </si>
  <si>
    <t xml:space="preserve">205540</t>
  </si>
  <si>
    <t xml:space="preserve">HMDB0250844</t>
  </si>
  <si>
    <t xml:space="preserve">67036325</t>
  </si>
  <si>
    <t xml:space="preserve">CC(C)(C)OC(=O)NC1CCCCCC=CC2CC2(NC(=O)C2CC(CN2C1=O)OC(=O)N1CC2=C(C1)C(F)=CC=C2)C(=O)NS(=O)(=O)C1CC1</t>
  </si>
  <si>
    <t xml:space="preserve">ZVTDLPBHTSMEJZ-UHFFFAOYSA-N</t>
  </si>
  <si>
    <t xml:space="preserve">730.51815</t>
  </si>
  <si>
    <t xml:space="preserve">C43H76NO7P</t>
  </si>
  <si>
    <t xml:space="preserve">PE(20:5)</t>
  </si>
  <si>
    <t xml:space="preserve">50175</t>
  </si>
  <si>
    <t xml:space="preserve">HMDB0009413</t>
  </si>
  <si>
    <t xml:space="preserve">60809</t>
  </si>
  <si>
    <t xml:space="preserve">53479797</t>
  </si>
  <si>
    <t xml:space="preserve">[H][C@@](COC(=O)CCC\C=C/C\C=C/C\C=C/C\C=C/CCCCC)(COP(O)(=O)OCCN)O\C=C/CCCCCCCC\C=C/CCCCCC</t>
  </si>
  <si>
    <t xml:space="preserve">VWNWYWMBTKYEEL-SXDACRMGSA-N</t>
  </si>
  <si>
    <t xml:space="preserve">731.53502</t>
  </si>
  <si>
    <t xml:space="preserve">C45H76O5</t>
  </si>
  <si>
    <t xml:space="preserve">DG(42:6)</t>
  </si>
  <si>
    <t xml:space="preserve">10770</t>
  </si>
  <si>
    <t xml:space="preserve">HMDB0007382</t>
  </si>
  <si>
    <t xml:space="preserve">4600</t>
  </si>
  <si>
    <t xml:space="preserve">LMGL02010257</t>
  </si>
  <si>
    <t xml:space="preserve">9543922</t>
  </si>
  <si>
    <t xml:space="preserve">OC[C@]([H])(OC(CC/C=C\C/C=C\C/C=C\C/C=C\C/C=C\C/C=C\CC)=O)COC(CCCCCCCCCCCCCCCCCCC)=O</t>
  </si>
  <si>
    <t xml:space="preserve">WKXRCUYDMVQYFL-PZJJUGDGSA-N</t>
  </si>
  <si>
    <t xml:space="preserve">733.47411</t>
  </si>
  <si>
    <t xml:space="preserve">C23H30FN3</t>
  </si>
  <si>
    <t xml:space="preserve">Blonanserin</t>
  </si>
  <si>
    <t xml:space="preserve">204265</t>
  </si>
  <si>
    <t xml:space="preserve">HMDB0249290</t>
  </si>
  <si>
    <t xml:space="preserve">322178</t>
  </si>
  <si>
    <t xml:space="preserve">125564</t>
  </si>
  <si>
    <t xml:space="preserve">CCN1CCN(CC1)C1=NC2=C(CCCCCC2)C(=C1)C1=CC=C(F)C=C1</t>
  </si>
  <si>
    <t xml:space="preserve">XVGOZDAJGBALKS-UHFFFAOYSA-N</t>
  </si>
  <si>
    <t xml:space="preserve">733.55315</t>
  </si>
  <si>
    <t xml:space="preserve">C45H78O5</t>
  </si>
  <si>
    <t xml:space="preserve">DG(42:5)</t>
  </si>
  <si>
    <t xml:space="preserve">49141</t>
  </si>
  <si>
    <t xml:space="preserve">HMDB0007355</t>
  </si>
  <si>
    <t xml:space="preserve">58894</t>
  </si>
  <si>
    <t xml:space="preserve">53478184</t>
  </si>
  <si>
    <t xml:space="preserve">[H][C@](CO)(COC(=O)CCCC\C=C/C\C=C/C\C=C/C\C=C/CC)OC(=O)CCCCCCCCCCCCC\C=C/CCCCCCCC</t>
  </si>
  <si>
    <t xml:space="preserve">YLNSLYJMWYKQLW-CSXQVZEJSA-N</t>
  </si>
  <si>
    <t xml:space="preserve">737.33839</t>
  </si>
  <si>
    <t xml:space="preserve">C17H27N3O4S</t>
  </si>
  <si>
    <t xml:space="preserve">Amisulpride</t>
  </si>
  <si>
    <t xml:space="preserve">53663</t>
  </si>
  <si>
    <t xml:space="preserve">HMDB0015633</t>
  </si>
  <si>
    <t xml:space="preserve">64045</t>
  </si>
  <si>
    <t xml:space="preserve">2159</t>
  </si>
  <si>
    <t xml:space="preserve">53583-79-2</t>
  </si>
  <si>
    <t xml:space="preserve">CCN1CCCC1CNC(=O)C1=CC(=C(N)C=C1OC)S(=O)(=O)CC</t>
  </si>
  <si>
    <t xml:space="preserve">NTJOBXMMWNYJFB-UHFFFAOYSA-N</t>
  </si>
  <si>
    <t xml:space="preserve">738.51239</t>
  </si>
  <si>
    <t xml:space="preserve">C41H74NO8P</t>
  </si>
  <si>
    <t xml:space="preserve">PC(33:4); PE(36:4)</t>
  </si>
  <si>
    <t xml:space="preserve">18677; 20110</t>
  </si>
  <si>
    <t xml:space="preserve">HMDB0007943; HMDB0008844</t>
  </si>
  <si>
    <t xml:space="preserve">59393; 60288</t>
  </si>
  <si>
    <t xml:space="preserve">LMGP01011418; LMGP02010421</t>
  </si>
  <si>
    <t xml:space="preserve">52922318; 52924126</t>
  </si>
  <si>
    <t xml:space="preserve">[C@](COP(=O)([O-])OCC[N+](C)(C)C)([H])(OC(CCCC/C=C\C/C=C\C/C=C\C/C=C\CC)=O)COC(CCCCCCCCCCCCCC)=O; [C@](COP(=O)(O)OCCN)([H])(OC(CCCCC/C=C\C/C=C\C/C=C\C/C=C\CCCCC)=O)COC(CCCCCCCCCCCCC)=O</t>
  </si>
  <si>
    <t xml:space="preserve">DPPYJZPUMHOJFQ-IASQADCASA-N; KUPNWZACJRZMJD-SIOSMUJOSA-N</t>
  </si>
  <si>
    <t xml:space="preserve">738.66713</t>
  </si>
  <si>
    <t xml:space="preserve">C14H9I3O7S</t>
  </si>
  <si>
    <t xml:space="preserve">3,3',5-Triiodothyroacetic acid sulfate</t>
  </si>
  <si>
    <t xml:space="preserve">201386</t>
  </si>
  <si>
    <t xml:space="preserve">HMDB0246013</t>
  </si>
  <si>
    <t xml:space="preserve">125851</t>
  </si>
  <si>
    <t xml:space="preserve">OC(=O)CC1=CC(I)=C(OC2=CC(I)=C(OS(O)(=O)=O)C=C2)C(I)=C1</t>
  </si>
  <si>
    <t xml:space="preserve">RQFIRFIYGYWVRP-UHFFFAOYSA-N</t>
  </si>
  <si>
    <t xml:space="preserve">739.29325</t>
  </si>
  <si>
    <t xml:space="preserve">C16H26N4O2S2</t>
  </si>
  <si>
    <t xml:space="preserve">1-[4-(Cyclooctylamino)pyridin-3-yl]sulfonyl-3-ethylthiourea</t>
  </si>
  <si>
    <t xml:space="preserve">204270</t>
  </si>
  <si>
    <t xml:space="preserve">HMDB0249298</t>
  </si>
  <si>
    <t xml:space="preserve">423871</t>
  </si>
  <si>
    <t xml:space="preserve">3025730</t>
  </si>
  <si>
    <t xml:space="preserve">CCNC(=S)NS(=O)(=O)C1=C(NC2CCCCCCC2)C=CN=C1</t>
  </si>
  <si>
    <t xml:space="preserve">HACAXCYSHKSNPR-UHFFFAOYSA-N</t>
  </si>
  <si>
    <t xml:space="preserve">Pyridinesulfonamides</t>
  </si>
  <si>
    <t xml:space="preserve">740.21859</t>
  </si>
  <si>
    <t xml:space="preserve">C40H37N3O10</t>
  </si>
  <si>
    <t xml:space="preserve">3-({5-[(N-Acetyl-3-{4-[(carboxycarbonyl)(2-carboxyphenyl)amino]-1-naphthyl}-L-alanyl)amino]pentyl}oxy)-2-naphthoic acid</t>
  </si>
  <si>
    <t xml:space="preserve">205201</t>
  </si>
  <si>
    <t xml:space="preserve">HMDB0250417</t>
  </si>
  <si>
    <t xml:space="preserve">4469997</t>
  </si>
  <si>
    <t xml:space="preserve">CC(=O)NC(CC1=CC=C(N(C(=O)C(O)=O)C2=CC=CC=C2C(O)=O)C2=CC=CC=C12)C(=O)NCCCCCOC1=CC2=CC=CC=C2C=C1C(O)=O</t>
  </si>
  <si>
    <t xml:space="preserve">URRKGBLRIVECAH-UHFFFAOYSA-N</t>
  </si>
  <si>
    <t xml:space="preserve">740.52184</t>
  </si>
  <si>
    <t xml:space="preserve">C41H76NO8P</t>
  </si>
  <si>
    <t xml:space="preserve">PC(33:3)</t>
  </si>
  <si>
    <t xml:space="preserve">18675</t>
  </si>
  <si>
    <t xml:space="preserve">HMDB0007941</t>
  </si>
  <si>
    <t xml:space="preserve">59391</t>
  </si>
  <si>
    <t xml:space="preserve">LMGP01011416</t>
  </si>
  <si>
    <t xml:space="preserve">52922314</t>
  </si>
  <si>
    <t xml:space="preserve">[C@](COP(=O)([O-])OCC[N+](C)(C)C)([H])(OC(CCCC/C=C\C/C=C\C/C=C\CCCCC)=O)COC(CCCCCCCCCCCCCC)=O</t>
  </si>
  <si>
    <t xml:space="preserve">VZPPRGZNTVUBLP-UKNPSHDRSA-N</t>
  </si>
  <si>
    <t xml:space="preserve">742.53727</t>
  </si>
  <si>
    <t xml:space="preserve">C41H78NO8P</t>
  </si>
  <si>
    <t xml:space="preserve">PC(33:2)</t>
  </si>
  <si>
    <t xml:space="preserve">18234</t>
  </si>
  <si>
    <t xml:space="preserve">HMDB0007940</t>
  </si>
  <si>
    <t xml:space="preserve">59390</t>
  </si>
  <si>
    <t xml:space="preserve">LMGP01010543</t>
  </si>
  <si>
    <t xml:space="preserve">133617</t>
  </si>
  <si>
    <t xml:space="preserve">24778664</t>
  </si>
  <si>
    <t xml:space="preserve">[C@](COP(=O)([O-])OCC[N+](C)(C)C)([H])(OC(CCCCCCC/C=C\C/C=C\CCCCC)=O)COC(CCCCCCCCCCCCCC)=O</t>
  </si>
  <si>
    <t xml:space="preserve">DGBYUHHIADYUMU-UESLNCBNSA-N</t>
  </si>
  <si>
    <t xml:space="preserve">743.54642</t>
  </si>
  <si>
    <t xml:space="preserve">C23H36N2O2</t>
  </si>
  <si>
    <t xml:space="preserve">Finasteride</t>
  </si>
  <si>
    <t xml:space="preserve">47753</t>
  </si>
  <si>
    <t xml:space="preserve">HMDB0001984</t>
  </si>
  <si>
    <t xml:space="preserve">2698</t>
  </si>
  <si>
    <t xml:space="preserve">5062</t>
  </si>
  <si>
    <t xml:space="preserve">57363</t>
  </si>
  <si>
    <t xml:space="preserve">98319-26-7</t>
  </si>
  <si>
    <t xml:space="preserve">[H][C@@]12CC[C@H](C(=O)NC(C)(C)C)[C@@]1(C)CC[C@@]1([H])[C@@]2([H])CC[C@@]2([H])NC(=O)C=C[C@]12C</t>
  </si>
  <si>
    <t xml:space="preserve">DBEPLOCGEIEOCV-WSBQPABSSA-N</t>
  </si>
  <si>
    <t xml:space="preserve">745.50641</t>
  </si>
  <si>
    <t xml:space="preserve">C34H72N2O12</t>
  </si>
  <si>
    <t xml:space="preserve">1,2-Ethanediamine propylene oxide ethylene oxide polymer</t>
  </si>
  <si>
    <t xml:space="preserve">212799</t>
  </si>
  <si>
    <t xml:space="preserve">HMDB0259449</t>
  </si>
  <si>
    <t xml:space="preserve">86278173</t>
  </si>
  <si>
    <t xml:space="preserve">CC(COC(C)CN(CCN(CC(C)OCC(C)OCCO)CC(C)OCC(C)OCCO)CC(C)OCC(C)OCCO)OCCO</t>
  </si>
  <si>
    <t xml:space="preserve">BFKFABWTAFNFID-UHFFFAOYSA-N</t>
  </si>
  <si>
    <t xml:space="preserve">747.52206</t>
  </si>
  <si>
    <t xml:space="preserve">C39H75O8P</t>
  </si>
  <si>
    <t xml:space="preserve">PA(36:1)</t>
  </si>
  <si>
    <t xml:space="preserve">134883</t>
  </si>
  <si>
    <t xml:space="preserve">HMDB0114789</t>
  </si>
  <si>
    <t xml:space="preserve">131821866</t>
  </si>
  <si>
    <t xml:space="preserve">[H][C@@](COC(=O)CCCCCCCCCCCCC)(COP(O)(O)=O)OC(=O)CCCCCCCCCCC\C=C/CCCCCCCC</t>
  </si>
  <si>
    <t xml:space="preserve">DOBRDHCUZCHHJN-OBYUZFALSA-N</t>
  </si>
  <si>
    <t xml:space="preserve">748.16288</t>
  </si>
  <si>
    <t xml:space="preserve">C25H34N7O13PS</t>
  </si>
  <si>
    <t xml:space="preserve">Inarigivir soproxil</t>
  </si>
  <si>
    <t xml:space="preserve">207779</t>
  </si>
  <si>
    <t xml:space="preserve">HMDB0253441</t>
  </si>
  <si>
    <t xml:space="preserve">123297327</t>
  </si>
  <si>
    <t xml:space="preserve">COC1C(OP(=O)(OCC2OC(CC2O)N2C=NC3=C2N=CN=C3N)SCOC(=O)OC(C)C)C(CO)OC1N1C=CC(=O)NC1=O</t>
  </si>
  <si>
    <t xml:space="preserve">CJCYTUJOSMYXLE-UHFFFAOYSA-N</t>
  </si>
  <si>
    <t xml:space="preserve">748.25621</t>
  </si>
  <si>
    <t xml:space="preserve">C29H37N9O12</t>
  </si>
  <si>
    <t xml:space="preserve">Tetrahydropteroyltri-L-glutamic acid; Tetrahydrofolyl-[Glu](n)</t>
  </si>
  <si>
    <t xml:space="preserve">51972; 48897</t>
  </si>
  <si>
    <t xml:space="preserve">HMDB0012290; HMDB0006826</t>
  </si>
  <si>
    <t xml:space="preserve">C04144; C03541</t>
  </si>
  <si>
    <t xml:space="preserve">17420; 27650</t>
  </si>
  <si>
    <t xml:space="preserve">16722112; 45479706</t>
  </si>
  <si>
    <t xml:space="preserve">88903-89-3; </t>
  </si>
  <si>
    <t xml:space="preserve">NC1=NC(=O)C2=C(NC[C@H](CNC3=CC=C(C=C3)C(=O)N[C@@H](CCC(=O)N[C@@H](CCC(=O)N[C@@H](CCC(O)=O)C(O)=O)C(O)=O)C(O)=O)N2)N1; NC1=NC(=O)C2=C(NCC(CNC3=CC=C(C=C3)C(=O)NC(CCC(=O)NC(CCC(=O)NC(CCC(O)=O)C(O)=O)C(O)=O)C(O)=O)N2)N1</t>
  </si>
  <si>
    <t xml:space="preserve">RXWVHRYZTWZATH-XSLAGTTESA-N; RXWVHRYZTWZATH-UHFFFAOYSA-N</t>
  </si>
  <si>
    <t xml:space="preserve">Pteridines and derivatives; Pteridines and derivatives</t>
  </si>
  <si>
    <t xml:space="preserve">Pterins and derivatives; Pterins and derivatives</t>
  </si>
  <si>
    <t xml:space="preserve">749.52052</t>
  </si>
  <si>
    <t xml:space="preserve">C19H37NO6</t>
  </si>
  <si>
    <t xml:space="preserve">3,5-Dihydroxydodecanoylcarnitine; 3,10-Dihydroxydodecanoylcarnitine; 3,9-Dihydroxydodecanoylcarnitine</t>
  </si>
  <si>
    <t xml:space="preserve">197837; 197838; 197839</t>
  </si>
  <si>
    <t xml:space="preserve">HMDB0241291; HMDB0241292; HMDB0241293</t>
  </si>
  <si>
    <t xml:space="preserve">CCCCCCCC(O)CC(O)CC(=O)OC(CC([O-])=O)C[N+](C)(C)C; CCC(O)CCCCCCC(O)CC(=O)OC(CC([O-])=O)C[N+](C)(C)C; CCCC(O)CCCCCC(O)CC(=O)OC(CC([O-])=O)C[N+](C)(C)C</t>
  </si>
  <si>
    <t xml:space="preserve">UGBKRPVCAOZLLU-UHFFFAOYSA-N; ZFHWIWMRDNBQLH-UHFFFAOYSA-N; JPGLPKYXCOMGSZ-UHFFFAOYSA-N</t>
  </si>
  <si>
    <t xml:space="preserve">750.53849</t>
  </si>
  <si>
    <t xml:space="preserve">C43H78NO7P</t>
  </si>
  <si>
    <t xml:space="preserve">PE(38:5)</t>
  </si>
  <si>
    <t xml:space="preserve">21063</t>
  </si>
  <si>
    <t xml:space="preserve">HMDB0005779</t>
  </si>
  <si>
    <t xml:space="preserve">77583</t>
  </si>
  <si>
    <t xml:space="preserve">LMGP02030003</t>
  </si>
  <si>
    <t xml:space="preserve">78342</t>
  </si>
  <si>
    <t xml:space="preserve">9547058</t>
  </si>
  <si>
    <t xml:space="preserve">144371-69-7</t>
  </si>
  <si>
    <t xml:space="preserve">[C@](COP(=O)(O)OCCN)([H])(OC(CCC/C=C\C/C=C\C/C=C\C/C=C\CCCCC)=O)CO/C=C\CCCCCCCCCCCCCCCC</t>
  </si>
  <si>
    <t xml:space="preserve">URPXXNCTXCOATD-FXMFQVEGSA-N</t>
  </si>
  <si>
    <t xml:space="preserve">751.55860</t>
  </si>
  <si>
    <t xml:space="preserve">C49H78O4</t>
  </si>
  <si>
    <t xml:space="preserve">ubiquinol-8</t>
  </si>
  <si>
    <t xml:space="preserve">257333</t>
  </si>
  <si>
    <t xml:space="preserve">HMDB0304523</t>
  </si>
  <si>
    <t xml:space="preserve">5974</t>
  </si>
  <si>
    <t xml:space="preserve">22833558</t>
  </si>
  <si>
    <t xml:space="preserve">56275-39-9</t>
  </si>
  <si>
    <t xml:space="preserve">[H]\C(CC\C(C)=C(/[H])CC\C(C)=C(/[H])CC\C(C)=C(/[H])CC\C(C)=C(/[H])CC\C(C)=C(/[H])CC\C(C)=C(/[H])CC1=C(C)C(O)C(OC)=C(OC)C1O)=C(\C)CCC=C(C)C</t>
  </si>
  <si>
    <t xml:space="preserve">FLVUMORHBJZINO-SGHXUWJISA-N</t>
  </si>
  <si>
    <t xml:space="preserve">Polyterpenoids</t>
  </si>
  <si>
    <t xml:space="preserve">752.52937</t>
  </si>
  <si>
    <t xml:space="preserve">C42H76NO8P</t>
  </si>
  <si>
    <t xml:space="preserve">PC(34:4)</t>
  </si>
  <si>
    <t xml:space="preserve">18218</t>
  </si>
  <si>
    <t xml:space="preserve">HMDB0007883</t>
  </si>
  <si>
    <t xml:space="preserve">59333</t>
  </si>
  <si>
    <t xml:space="preserve">LMGP01010506</t>
  </si>
  <si>
    <t xml:space="preserve">86102</t>
  </si>
  <si>
    <t xml:space="preserve">24778634</t>
  </si>
  <si>
    <t xml:space="preserve">[C@](COP(=O)([O-])OCC[N+](C)(C)C)([H])(OC(CCC/C=C\C/C=C\C/C=C\C/C=C\CCCCC)=O)COC(CCCCCCCCCCCCC)=O</t>
  </si>
  <si>
    <t xml:space="preserve">SRQSAJRUMDQMMS-NLDJLLEISA-N</t>
  </si>
  <si>
    <t xml:space="preserve">753.53070</t>
  </si>
  <si>
    <t xml:space="preserve">C40H81N2O6P</t>
  </si>
  <si>
    <t xml:space="preserve">SM(d35:1); SM(d17:1/18:0)</t>
  </si>
  <si>
    <t xml:space="preserve">39623; 197248</t>
  </si>
  <si>
    <t xml:space="preserve">HMDB0240609; HMDB0240620</t>
  </si>
  <si>
    <t xml:space="preserve">825906; </t>
  </si>
  <si>
    <t xml:space="preserve">LMSP03010044; </t>
  </si>
  <si>
    <t xml:space="preserve">84488; </t>
  </si>
  <si>
    <t xml:space="preserve">46891763; 134727533</t>
  </si>
  <si>
    <t xml:space="preserve">121999-64-2; 122022-13-3</t>
  </si>
  <si>
    <t xml:space="preserve">[C@](COP(=O)([O-])OCC[N+](C)(C)C)([H])(NC(CCCCCCCCCCCCCCCC)=O)[C@]([H])(O)/C=C/CCCCCCCCCCCCC; [H][C@@](COP([O-])(=O)OCC[N+](C)(C)C)(NC(=O)CCCCCCCCCCCCCCCCC)[C@H](O)\C=C\CCCCCCCCCCCC</t>
  </si>
  <si>
    <t xml:space="preserve">YMQZQHIESOAPQH-JXGHDCMNSA-N; DPLGGWKMPLPJQQ-JXGHDCMNSA-N</t>
  </si>
  <si>
    <t xml:space="preserve">Lipids and lipid-like molecules; Organic nitrogen compounds</t>
  </si>
  <si>
    <t xml:space="preserve">Sphingolipids; Organonitrogen compounds</t>
  </si>
  <si>
    <t xml:space="preserve">Phosphosphingolipids; Quaternary ammonium salts</t>
  </si>
  <si>
    <t xml:space="preserve">755.52728</t>
  </si>
  <si>
    <t xml:space="preserve">C43H76O8</t>
  </si>
  <si>
    <t xml:space="preserve">4-[2-[(E)-Octadec-9-enoyl]oxy-3-[(Z)-octadec-9-enoyl]oxypropoxy]-4-oxobutanoic acid</t>
  </si>
  <si>
    <t xml:space="preserve">199622</t>
  </si>
  <si>
    <t xml:space="preserve">HMDB0244097</t>
  </si>
  <si>
    <t xml:space="preserve">3036017</t>
  </si>
  <si>
    <t xml:space="preserve">CCCCCCCCC=CCCCCCCCC(=O)OCC(COC(=O)CCC(O)=O)OC(=O)CCCCCCCC=CCCCCCCCC</t>
  </si>
  <si>
    <t xml:space="preserve">VZGIZLLBNVAMQT-UHFFFAOYSA-N</t>
  </si>
  <si>
    <t xml:space="preserve">760.49874</t>
  </si>
  <si>
    <t xml:space="preserve">C41H76NO7P</t>
  </si>
  <si>
    <t xml:space="preserve">PE(18:3)</t>
  </si>
  <si>
    <t xml:space="preserve">50049</t>
  </si>
  <si>
    <t xml:space="preserve">HMDB0009116</t>
  </si>
  <si>
    <t xml:space="preserve">60523</t>
  </si>
  <si>
    <t xml:space="preserve">137306</t>
  </si>
  <si>
    <t xml:space="preserve">53479671</t>
  </si>
  <si>
    <t xml:space="preserve">[H][C@@](COC(=O)CCCCCCC\C=C/C\C=C/CCCCC)(COP(O)(=O)OCCN)O\C=C/CCCCCCCC\C=C/CCCCCC</t>
  </si>
  <si>
    <t xml:space="preserve">BEMSJAOWFQJOQA-LIWWULAASA-N</t>
  </si>
  <si>
    <t xml:space="preserve">761.50432</t>
  </si>
  <si>
    <t xml:space="preserve">C41H74O10</t>
  </si>
  <si>
    <t xml:space="preserve">1-O-beta-D-Glucopyranosyl-2,3-di-O-(8-hexadecenoyl)glycerol</t>
  </si>
  <si>
    <t xml:space="preserve">55747</t>
  </si>
  <si>
    <t xml:space="preserve">HMDB0031133</t>
  </si>
  <si>
    <t xml:space="preserve">87432</t>
  </si>
  <si>
    <t xml:space="preserve">131751139</t>
  </si>
  <si>
    <t xml:space="preserve">CCCCCCC\C=C\CCCCCCC(=O)OCC(COC1OC(CO)C(O)C(O)C1O)OC(=O)CCCCCC\C=C\CCCCCCC</t>
  </si>
  <si>
    <t xml:space="preserve">LJGDLFGTFICYEJ-YTEMWHBBSA-N</t>
  </si>
  <si>
    <t xml:space="preserve">Glycosylglycerols</t>
  </si>
  <si>
    <t xml:space="preserve">762.51405</t>
  </si>
  <si>
    <t xml:space="preserve">C41H78NO7P</t>
  </si>
  <si>
    <t xml:space="preserve">PE(18:2)</t>
  </si>
  <si>
    <t xml:space="preserve">50026</t>
  </si>
  <si>
    <t xml:space="preserve">HMDB0009050</t>
  </si>
  <si>
    <t xml:space="preserve">60467</t>
  </si>
  <si>
    <t xml:space="preserve">137118</t>
  </si>
  <si>
    <t xml:space="preserve">53479648</t>
  </si>
  <si>
    <t xml:space="preserve">[H][C@@](COC(=O)CCCCCCCCC\C=C/CCCCCC)(COP(O)(=O)OCCN)O\C=C/CCCCCCCC\C=C/CCCCCC</t>
  </si>
  <si>
    <t xml:space="preserve">BIYXBOGKCFGRKR-NZWMGPRYSA-N</t>
  </si>
  <si>
    <t xml:space="preserve">763.21143</t>
  </si>
  <si>
    <t xml:space="preserve">C19H18N4O3S</t>
  </si>
  <si>
    <t xml:space="preserve">Ilaprazole sulfone</t>
  </si>
  <si>
    <t xml:space="preserve">207733</t>
  </si>
  <si>
    <t xml:space="preserve">HMDB0253395</t>
  </si>
  <si>
    <t xml:space="preserve">101543865</t>
  </si>
  <si>
    <t xml:space="preserve">COC1=C(C)C(CS(=O)(=O)C2=NC3=C(N2)C=C(C=C3)N2C=CC=C2)=NC=C1</t>
  </si>
  <si>
    <t xml:space="preserve">VKIMQHKFWOTNOJ-UHFFFAOYSA-N</t>
  </si>
  <si>
    <t xml:space="preserve">Sulfinylbenzimidazoles</t>
  </si>
  <si>
    <t xml:space="preserve">764.37337</t>
  </si>
  <si>
    <t xml:space="preserve">C40H59NO11</t>
  </si>
  <si>
    <t xml:space="preserve">Eribulin</t>
  </si>
  <si>
    <t xml:space="preserve">206473</t>
  </si>
  <si>
    <t xml:space="preserve">HMDB0251920</t>
  </si>
  <si>
    <t xml:space="preserve">6331630</t>
  </si>
  <si>
    <t xml:space="preserve">COC1C(CC(O)CN)OC2CC3OC(CC(C)C3=C)CCC3OC(CC3=C)CCC34CC5OC6C(OC7CCC(CC(=O)CC12)OC7C6O3)C5O4</t>
  </si>
  <si>
    <t xml:space="preserve">UFNVPOGXISZXJD-UHFFFAOYSA-N</t>
  </si>
  <si>
    <t xml:space="preserve">Furopyrans</t>
  </si>
  <si>
    <t xml:space="preserve">764.52578</t>
  </si>
  <si>
    <t xml:space="preserve">C43H76NO8P</t>
  </si>
  <si>
    <t xml:space="preserve">PC(35:5)</t>
  </si>
  <si>
    <t xml:space="preserve">18684</t>
  </si>
  <si>
    <t xml:space="preserve">HMDB0007951</t>
  </si>
  <si>
    <t xml:space="preserve">59401</t>
  </si>
  <si>
    <t xml:space="preserve">LMGP01011425</t>
  </si>
  <si>
    <t xml:space="preserve">52922332</t>
  </si>
  <si>
    <t xml:space="preserve">[C@](COP(=O)([O-])OCC[N+](C)(C)C)([H])(OC(CCC/C=C\C/C=C\C/C=C\C/C=C\C/C=C\CC)=O)COC(CCCCCCCCCCCCCC)=O</t>
  </si>
  <si>
    <t xml:space="preserve">UJMUDAMKHIWLCZ-OTHSKKDYSA-N</t>
  </si>
  <si>
    <t xml:space="preserve">765.13053</t>
  </si>
  <si>
    <t xml:space="preserve">C18H19Cl2NO4</t>
  </si>
  <si>
    <t xml:space="preserve">Felodipine</t>
  </si>
  <si>
    <t xml:space="preserve">53264</t>
  </si>
  <si>
    <t xml:space="preserve">HMDB0015158</t>
  </si>
  <si>
    <t xml:space="preserve">2659</t>
  </si>
  <si>
    <t xml:space="preserve">C06995</t>
  </si>
  <si>
    <t xml:space="preserve">585948</t>
  </si>
  <si>
    <t xml:space="preserve">3333</t>
  </si>
  <si>
    <t xml:space="preserve">72509-76-3</t>
  </si>
  <si>
    <t xml:space="preserve">CCOC(=O)C1=C(C)NC(C)=C(C1C1=C(Cl)C(Cl)=CC=C1)C(=O)OC</t>
  </si>
  <si>
    <t xml:space="preserve">RZTAMFZIAATZDJ-UHFFFAOYSA-N</t>
  </si>
  <si>
    <t xml:space="preserve">765.37779</t>
  </si>
  <si>
    <t xml:space="preserve">C39H54N6O10</t>
  </si>
  <si>
    <t xml:space="preserve">Rubiscolin-6</t>
  </si>
  <si>
    <t xml:space="preserve">211059</t>
  </si>
  <si>
    <t xml:space="preserve">HMDB0257355</t>
  </si>
  <si>
    <t xml:space="preserve">CC(C)CC(NC(=O)C(CC(O)=O)NC(=O)C(CC(C)C)NC(=O)C1CCCN1C(=O)C(N)CC1=CC=C(O)C=C1)C(=O)NC(CC1=CC=CC=C1)C(O)=O</t>
  </si>
  <si>
    <t xml:space="preserve">WNALJHAPDVEDJB-UHFFFAOYSA-N</t>
  </si>
  <si>
    <t xml:space="preserve">766.54384</t>
  </si>
  <si>
    <t xml:space="preserve">C43H78NO8P</t>
  </si>
  <si>
    <t xml:space="preserve">PC(35:4)</t>
  </si>
  <si>
    <t xml:space="preserve">18683</t>
  </si>
  <si>
    <t xml:space="preserve">HMDB0007949</t>
  </si>
  <si>
    <t xml:space="preserve">59399</t>
  </si>
  <si>
    <t xml:space="preserve">LMGP01011424</t>
  </si>
  <si>
    <t xml:space="preserve">86344</t>
  </si>
  <si>
    <t xml:space="preserve">52922330</t>
  </si>
  <si>
    <t xml:space="preserve">[C@](COP(=O)([O-])OCC[N+](C)(C)C)([H])(OC(CCC/C=C\C/C=C\C/C=C\C/C=C\CCCCC)=O)COC(CCCCCCCCCCCCCC)=O</t>
  </si>
  <si>
    <t xml:space="preserve">ZSWHHKKYMMYPPD-MSZSINMWSA-N</t>
  </si>
  <si>
    <t xml:space="preserve">767.54382</t>
  </si>
  <si>
    <t xml:space="preserve">C41H83N2O6P</t>
  </si>
  <si>
    <t xml:space="preserve">SM(d36:1)</t>
  </si>
  <si>
    <t xml:space="preserve">39591</t>
  </si>
  <si>
    <t xml:space="preserve">HMDB0001348</t>
  </si>
  <si>
    <t xml:space="preserve">438</t>
  </si>
  <si>
    <t xml:space="preserve">LMSP03010001</t>
  </si>
  <si>
    <t xml:space="preserve">83358</t>
  </si>
  <si>
    <t xml:space="preserve">6453725</t>
  </si>
  <si>
    <t xml:space="preserve">58909-84-5</t>
  </si>
  <si>
    <t xml:space="preserve">O(P(=O)(OC[C@]([H])(NC(=O)CCCCCCCCCCCCCCCCC)[C@]([H])(O)/C=C/CCCCCCCCCCCCC)[O-])CC[N+](C)(C)C</t>
  </si>
  <si>
    <t xml:space="preserve">LKQLRGMMMAHREN-YJFXYUILSA-N</t>
  </si>
  <si>
    <t xml:space="preserve">769.32196</t>
  </si>
  <si>
    <t xml:space="preserve">C44H52O13</t>
  </si>
  <si>
    <t xml:space="preserve">Anthroylouabain</t>
  </si>
  <si>
    <t xml:space="preserve">203556</t>
  </si>
  <si>
    <t xml:space="preserve">HMDB0248471</t>
  </si>
  <si>
    <t xml:space="preserve">17896869</t>
  </si>
  <si>
    <t xml:space="preserve">CC1OC(OC2CC(O)C3(CO)C4C(O)CC5(C)C(CCC5(O)C4CCC3(O)C2)C2=CC(=O)OC2)C(O)C(OC(=O)C2=C3C=CC=CC3=CC3=CC=CC=C23)C1O</t>
  </si>
  <si>
    <t xml:space="preserve">CSNRMZGUGASWCS-UHFFFAOYSA-N</t>
  </si>
  <si>
    <t xml:space="preserve">769.56295</t>
  </si>
  <si>
    <t xml:space="preserve">C41H85N2O6P</t>
  </si>
  <si>
    <t xml:space="preserve">SM(d36:0)</t>
  </si>
  <si>
    <t xml:space="preserve">39601</t>
  </si>
  <si>
    <t xml:space="preserve">HMDB0012087</t>
  </si>
  <si>
    <t xml:space="preserve">41594</t>
  </si>
  <si>
    <t xml:space="preserve">LMSP03010020</t>
  </si>
  <si>
    <t xml:space="preserve">89483</t>
  </si>
  <si>
    <t xml:space="preserve">44260130</t>
  </si>
  <si>
    <t xml:space="preserve">[C@](COP(=O)([O-])OCC[N+](C)(C)C)([H])(NC(CCCCCCCCCCCCCCCCC)=O)[C@]([H])(O)CCCCCCCCCCCCCCC</t>
  </si>
  <si>
    <t xml:space="preserve">JCELSEVNSMXGKA-IOLBBIBUSA-N</t>
  </si>
  <si>
    <t xml:space="preserve">775.53683</t>
  </si>
  <si>
    <t xml:space="preserve">C40H76N2O12</t>
  </si>
  <si>
    <t xml:space="preserve">Gamithromycin</t>
  </si>
  <si>
    <t xml:space="preserve">207065</t>
  </si>
  <si>
    <t xml:space="preserve">HMDB0252606</t>
  </si>
  <si>
    <t xml:space="preserve">74044983</t>
  </si>
  <si>
    <t xml:space="preserve">CCCN1CC(C)C(O)C(C)(O)C(CC)OC(=O)C(C)C(OC2CC(C)(OC)C(O)C(C)O2)C(C)C(OC2OC(C)CC(C2O)N(C)C)C(C)(O)CC1C</t>
  </si>
  <si>
    <t xml:space="preserve">VWAMTBXLZPEDQO-UHFFFAOYSA-N</t>
  </si>
  <si>
    <t xml:space="preserve">776.54624</t>
  </si>
  <si>
    <t xml:space="preserve">C40H78NO8P</t>
  </si>
  <si>
    <t xml:space="preserve">PC(32:1); PE(35:1)</t>
  </si>
  <si>
    <t xml:space="preserve">18209; 20153</t>
  </si>
  <si>
    <t xml:space="preserve">HMDB0007872; HMDB0008900</t>
  </si>
  <si>
    <t xml:space="preserve">59322; 60343</t>
  </si>
  <si>
    <t xml:space="preserve">LMGP01010490; LMGP02010464</t>
  </si>
  <si>
    <t xml:space="preserve">73793; </t>
  </si>
  <si>
    <t xml:space="preserve">24778618; 52924167</t>
  </si>
  <si>
    <t xml:space="preserve">[C@](COP(=O)([O-])OCC[N+](C)(C)C)([H])(OC(CCCCCCCCC/C=C\CCCCCC)=O)COC(CCCCCCCCCCCCC)=O; [C@](COP(=O)(O)OCCN)([H])(OC(CCCCCCCCC/C=C\CCCCCCCC)=O)COC(CCCCCCCCCCCCCC)=O</t>
  </si>
  <si>
    <t xml:space="preserve">GMJKBBMXRYZKEP-WYRBGLKBSA-N; DAZYZDVAACSMFA-DYFSFZQGSA-N</t>
  </si>
  <si>
    <t xml:space="preserve">779.54476</t>
  </si>
  <si>
    <t xml:space="preserve">C24H38O4</t>
  </si>
  <si>
    <t xml:space="preserve">Bis(2-ethylhexyl) phthalate</t>
  </si>
  <si>
    <t xml:space="preserve">204222</t>
  </si>
  <si>
    <t xml:space="preserve">HMDB0249243</t>
  </si>
  <si>
    <t xml:space="preserve">44750</t>
  </si>
  <si>
    <t xml:space="preserve">C03690</t>
  </si>
  <si>
    <t xml:space="preserve">17747</t>
  </si>
  <si>
    <t xml:space="preserve">8343</t>
  </si>
  <si>
    <t xml:space="preserve">117-81-7</t>
  </si>
  <si>
    <t xml:space="preserve">CCCCC(CC)COC(=O)C1=CC=CC=C1C(=O)OCC(CC)CCCC</t>
  </si>
  <si>
    <t xml:space="preserve">BJQHLKABXJIVAM-UHFFFAOYSA-N</t>
  </si>
  <si>
    <t xml:space="preserve">782.51608</t>
  </si>
  <si>
    <t xml:space="preserve">C41H80NO8P</t>
  </si>
  <si>
    <t xml:space="preserve">PC(33:1)</t>
  </si>
  <si>
    <t xml:space="preserve">18233</t>
  </si>
  <si>
    <t xml:space="preserve">HMDB0007938</t>
  </si>
  <si>
    <t xml:space="preserve">59388</t>
  </si>
  <si>
    <t xml:space="preserve">LMGP01010541</t>
  </si>
  <si>
    <t xml:space="preserve">24778662</t>
  </si>
  <si>
    <t xml:space="preserve">[C@](COP(=O)([O-])OCC[N+](C)(C)C)([H])(OC(CCCCCCCCC/C=C\CCCCCC)=O)COC(CCCCCCCCCCCCCC)=O</t>
  </si>
  <si>
    <t xml:space="preserve">GXTATYLPYLLNLV-MGIDVFSBSA-N</t>
  </si>
  <si>
    <t xml:space="preserve">790.54346</t>
  </si>
  <si>
    <t xml:space="preserve">C45H78NO8P</t>
  </si>
  <si>
    <t xml:space="preserve">PC(37:6)</t>
  </si>
  <si>
    <t xml:space="preserve">18689</t>
  </si>
  <si>
    <t xml:space="preserve">HMDB0007958</t>
  </si>
  <si>
    <t xml:space="preserve">59408</t>
  </si>
  <si>
    <t xml:space="preserve">LMGP01011430</t>
  </si>
  <si>
    <t xml:space="preserve">52922342</t>
  </si>
  <si>
    <t xml:space="preserve">253127-60-5</t>
  </si>
  <si>
    <t xml:space="preserve">[C@](COP(=O)([O-])OCC[N+](C)(C)C)([H])(OC(CC/C=C\C/C=C\C/C=C\C/C=C\C/C=C\C/C=C\CC)=O)COC(CCCCCCCCCCCCCC)=O</t>
  </si>
  <si>
    <t xml:space="preserve">GEINPYKZLFHHIL-HEXXMCQTSA-N</t>
  </si>
  <si>
    <t xml:space="preserve">791.17308</t>
  </si>
  <si>
    <t xml:space="preserve">C42H30N6O12</t>
  </si>
  <si>
    <t xml:space="preserve">Inositol nicotinate</t>
  </si>
  <si>
    <t xml:space="preserve">207826</t>
  </si>
  <si>
    <t xml:space="preserve">HMDB0253495</t>
  </si>
  <si>
    <t xml:space="preserve">33064</t>
  </si>
  <si>
    <t xml:space="preserve">3720</t>
  </si>
  <si>
    <t xml:space="preserve">O=C(OC1C(OC(=O)C2=CN=CC=C2)C(OC(=O)C2=CN=CC=C2)C(OC(=O)C2=CN=CC=C2)C(OC(=O)C2=CN=CC=C2)C1OC(=O)C1=CN=CC=C1)C1=CN=CC=C1</t>
  </si>
  <si>
    <t xml:space="preserve">MFZCIDXOLLEMOO-UHFFFAOYSA-N</t>
  </si>
  <si>
    <t xml:space="preserve">Hexacarboxylic acids and derivatives</t>
  </si>
  <si>
    <t xml:space="preserve">792.54305</t>
  </si>
  <si>
    <t xml:space="preserve">C40H78NO9P</t>
  </si>
  <si>
    <t xml:space="preserve">PS(O-34:1)</t>
  </si>
  <si>
    <t xml:space="preserve">210677</t>
  </si>
  <si>
    <t xml:space="preserve">HMDB0256889</t>
  </si>
  <si>
    <t xml:space="preserve">CCCCCCCCCCCCCCCCCCCCOCC(COP(O)(=O)OCC(N)C(O)=O)OC(=O)CCCCCCCC=CCCCC</t>
  </si>
  <si>
    <t xml:space="preserve">MZYKHQWERRQINC-UHFFFAOYSA-N</t>
  </si>
  <si>
    <t xml:space="preserve">794.54400</t>
  </si>
  <si>
    <t xml:space="preserve">C43H84NO7P</t>
  </si>
  <si>
    <t xml:space="preserve">PE(20:1)</t>
  </si>
  <si>
    <t xml:space="preserve">50094</t>
  </si>
  <si>
    <t xml:space="preserve">HMDB0009248</t>
  </si>
  <si>
    <t xml:space="preserve">60644</t>
  </si>
  <si>
    <t xml:space="preserve">53479716</t>
  </si>
  <si>
    <t xml:space="preserve">[H][C@@](COC(=O)CCCCCCCCCCCCCCCCCCC)(COP(O)(=O)OCCN)O\C=C/CCCCCCCC\C=C/CCCCCC</t>
  </si>
  <si>
    <t xml:space="preserve">UAPYZCDNFGJZSC-QSKLCZHJSA-N</t>
  </si>
  <si>
    <t xml:space="preserve">796.53231</t>
  </si>
  <si>
    <t xml:space="preserve">C47H78NO8P</t>
  </si>
  <si>
    <t xml:space="preserve">PE(42:8)</t>
  </si>
  <si>
    <t xml:space="preserve">20590</t>
  </si>
  <si>
    <t xml:space="preserve">HMDB0009309</t>
  </si>
  <si>
    <t xml:space="preserve">60705</t>
  </si>
  <si>
    <t xml:space="preserve">LMGP02010901</t>
  </si>
  <si>
    <t xml:space="preserve">52924602</t>
  </si>
  <si>
    <t xml:space="preserve">[C@](COP(=O)(O)OCCN)([H])(OC(CC/C=C\C/C=C\C/C=C\C/C=C\C/C=C\C/C=C\CC)=O)COC(CCCCCCCCC/C=C\C/C=C\CCCCC)=O</t>
  </si>
  <si>
    <t xml:space="preserve">SGQIECCWAOPTNL-LEFPGAKQSA-N</t>
  </si>
  <si>
    <t xml:space="preserve">797.54582</t>
  </si>
  <si>
    <t xml:space="preserve">C43H76N4O8</t>
  </si>
  <si>
    <t xml:space="preserve">Tecoflex</t>
  </si>
  <si>
    <t xml:space="preserve">212224</t>
  </si>
  <si>
    <t xml:space="preserve">HMDB0258770</t>
  </si>
  <si>
    <t xml:space="preserve">CCCCCOC(=O)NC1CCC(CC2CCC(CC2)NC(=O)OCCCCOC(=O)NC2CCC(CC3CCC(CC3)NC(=O)OCCCC)CC2)CC1</t>
  </si>
  <si>
    <t xml:space="preserve">DSUFPYCILZXJFF-UHFFFAOYSA-N</t>
  </si>
  <si>
    <t xml:space="preserve">798.54245</t>
  </si>
  <si>
    <t xml:space="preserve">C47H80NO8P</t>
  </si>
  <si>
    <t xml:space="preserve">PE(42:7)</t>
  </si>
  <si>
    <t xml:space="preserve">20559</t>
  </si>
  <si>
    <t xml:space="preserve">HMDB0009276</t>
  </si>
  <si>
    <t xml:space="preserve">60672</t>
  </si>
  <si>
    <t xml:space="preserve">LMGP02010870</t>
  </si>
  <si>
    <t xml:space="preserve">52924571</t>
  </si>
  <si>
    <t xml:space="preserve">[C@](COP(=O)(O)OCCN)([H])(OC(CC/C=C\C/C=C\C/C=C\C/C=C\C/C=C\C/C=C\CC)=O)COC(CCCCCCCCC/C=C\CCCCCCCC)=O</t>
  </si>
  <si>
    <t xml:space="preserve">XRZUHOFZIRSWMJ-HYRAUDIFSA-N</t>
  </si>
  <si>
    <t xml:space="preserve">799.22997</t>
  </si>
  <si>
    <t xml:space="preserve">C22H16N4O4</t>
  </si>
  <si>
    <t xml:space="preserve">1H-Pyrrole-2,5-dione, 3-(1-methyl-1h-indol-3-yl)-4-(1-methyl-6-nitro-1h-indol-3-yl)-</t>
  </si>
  <si>
    <t xml:space="preserve">208866</t>
  </si>
  <si>
    <t xml:space="preserve">HMDB0254796</t>
  </si>
  <si>
    <t xml:space="preserve">413590</t>
  </si>
  <si>
    <t xml:space="preserve">5327686</t>
  </si>
  <si>
    <t xml:space="preserve">CN1C=C(C2=CC=CC=C12)C1=C(C(=O)NC1=O)C1=CN(C)C2=CC(=CC=C12)[N+]([O-])=O</t>
  </si>
  <si>
    <t xml:space="preserve">OVSKGTONMLKNPZ-UHFFFAOYSA-N</t>
  </si>
  <si>
    <t xml:space="preserve">799.54221</t>
  </si>
  <si>
    <t xml:space="preserve">C44H81O10P</t>
  </si>
  <si>
    <t xml:space="preserve">PG(38:3)</t>
  </si>
  <si>
    <t xml:space="preserve">51095</t>
  </si>
  <si>
    <t xml:space="preserve">HMDB0010608</t>
  </si>
  <si>
    <t xml:space="preserve">61881</t>
  </si>
  <si>
    <t xml:space="preserve">53480611</t>
  </si>
  <si>
    <t xml:space="preserve">[H][C@](O)(CO)COP(O)(=O)OC[C@@]([H])(COC(=O)CCCCCCCCCCCCCCCCC)OC(=O)CCC\C=C/C\C=C/C\C=C/CCCCCCCC</t>
  </si>
  <si>
    <t xml:space="preserve">HYLAOFWJHGFMIV-JKLLYNSPSA-N</t>
  </si>
  <si>
    <t xml:space="preserve">802.54829</t>
  </si>
  <si>
    <t xml:space="preserve">C44H82NO7P</t>
  </si>
  <si>
    <t xml:space="preserve">PC(18:3)</t>
  </si>
  <si>
    <t xml:space="preserve">49623</t>
  </si>
  <si>
    <t xml:space="preserve">HMDB0008161</t>
  </si>
  <si>
    <t xml:space="preserve">59607</t>
  </si>
  <si>
    <t xml:space="preserve">89542</t>
  </si>
  <si>
    <t xml:space="preserve">53478803</t>
  </si>
  <si>
    <t xml:space="preserve">CCCCCC\C=C/CCCCCCCC\C=C/OC(COC(=O)CCCCCCC\C=C/C\C=C/CCCCC)COP([O-])(=O)OCC[N+](C)(C)C</t>
  </si>
  <si>
    <t xml:space="preserve">ZBSQZEUBNKZCLS-JWWHMUFISA-N</t>
  </si>
  <si>
    <t xml:space="preserve">803.54906</t>
  </si>
  <si>
    <t xml:space="preserve">C25H38O4</t>
  </si>
  <si>
    <t xml:space="preserve">MG(22:6); 7b-Hydroxy-3-oxo-5b-cholanoic acid</t>
  </si>
  <si>
    <t xml:space="preserve">10444; 47081</t>
  </si>
  <si>
    <t xml:space="preserve">HMDB0011557; HMDB0000541</t>
  </si>
  <si>
    <t xml:space="preserve">62340; 5526</t>
  </si>
  <si>
    <t xml:space="preserve">LMGL01010027; </t>
  </si>
  <si>
    <t xml:space="preserve">; 172644</t>
  </si>
  <si>
    <t xml:space="preserve">46896303; 22833531</t>
  </si>
  <si>
    <t xml:space="preserve">; 77060-26-5</t>
  </si>
  <si>
    <t xml:space="preserve">OC[C@]([H])(OC(CC/C=C\C/C=C\C/C=C\C/C=C\C/C=C\C/C=C\CC)=O)CO; [H][C@@]12CC[C@H]([C@H](C)CCC(=O)OC)[C@@]1(C)CC[C@@]1([H])[C@@]2([H])C(=O)CC2CC(=O)CC[C@]12C</t>
  </si>
  <si>
    <t xml:space="preserve">NHNGEAQTTQPSCX-KUBAVDMBSA-N; UZRRNRRCPZZPNY-ZECRIGHZSA-N</t>
  </si>
  <si>
    <t xml:space="preserve">Glycerolipids; Steroids and steroid derivatives</t>
  </si>
  <si>
    <t xml:space="preserve">Monoradylglycerols; Bile acids, alcohols and derivatives</t>
  </si>
  <si>
    <t xml:space="preserve">804.53665</t>
  </si>
  <si>
    <t xml:space="preserve">C43H80NO8P</t>
  </si>
  <si>
    <t xml:space="preserve">PC(35:3)</t>
  </si>
  <si>
    <t xml:space="preserve">49578</t>
  </si>
  <si>
    <t xml:space="preserve">HMDB0007947</t>
  </si>
  <si>
    <t xml:space="preserve">59397</t>
  </si>
  <si>
    <t xml:space="preserve">137279</t>
  </si>
  <si>
    <t xml:space="preserve">53478647</t>
  </si>
  <si>
    <t xml:space="preserve">CCCCCCCCCCCCCCC(=O)OC[C@]([H])(COP([O-])(=O)OCC[N+](C)(C)C)OC(=O)CCC\C=C/C\C=C/C\C=C/CCCCCCCC</t>
  </si>
  <si>
    <t xml:space="preserve">HPSXRQYORYXLNT-WPCOGVEASA-N</t>
  </si>
  <si>
    <t xml:space="preserve">805.58260</t>
  </si>
  <si>
    <t xml:space="preserve">C21H41NO6</t>
  </si>
  <si>
    <t xml:space="preserve">3,11-Dihydroxytetradecanoylcarnitine; 3,7-Dihydroxytetradecanoylcarnitine; 3,13-Dihydroxytetradecanoylcarnitine</t>
  </si>
  <si>
    <t xml:space="preserve">197894; 197895; 197896</t>
  </si>
  <si>
    <t xml:space="preserve">HMDB0241349; HMDB0241350; HMDB0241351</t>
  </si>
  <si>
    <t xml:space="preserve">CCCC(O)CCCCCCCC(O)CC(=O)OC(CC([O-])=O)C[N+](C)(C)C; CCCCCCCC(O)CCCC(O)CC(=O)OC(CC([O-])=O)C[N+](C)(C)C; CC(O)CCCCCCCCCC(O)CC(=O)OC(CC([O-])=O)C[N+](C)(C)C</t>
  </si>
  <si>
    <t xml:space="preserve">GYIBWBWGKKFXLF-UHFFFAOYSA-N; VDPJGPYZMBBKAF-UHFFFAOYSA-N; VMIXBRYHABTJPS-UHFFFAOYSA-N</t>
  </si>
  <si>
    <t xml:space="preserve">806.52693</t>
  </si>
  <si>
    <t xml:space="preserve">C45H78NO9P</t>
  </si>
  <si>
    <t xml:space="preserve">PE(40:6(4Z,7Z,10Z,12E,16Z,19Z)-OH)</t>
  </si>
  <si>
    <t xml:space="preserve">27877</t>
  </si>
  <si>
    <t xml:space="preserve">HMDB0261170</t>
  </si>
  <si>
    <t xml:space="preserve">82385</t>
  </si>
  <si>
    <t xml:space="preserve">LMGP20020004</t>
  </si>
  <si>
    <t xml:space="preserve">52929786</t>
  </si>
  <si>
    <t xml:space="preserve">[C@](COP(=O)(O)OCCN)([H])(OC(CC/C=C\C/C=C\C/C=C\C=C\C(O)C/C=C\C/C=C\CC)=O)COC(CCCCCCCCCCCCCCCCC)=O</t>
  </si>
  <si>
    <t xml:space="preserve">WTJFOADFPCHAKT-BDGBNODMSA-N</t>
  </si>
  <si>
    <t xml:space="preserve">807.27908</t>
  </si>
  <si>
    <t xml:space="preserve">C20H24N2O5S</t>
  </si>
  <si>
    <t xml:space="preserve">N-((1,2,3,5,6,7-Hexahydro-s-indacen-4-yl)carbamoyl)-4-(2-hydroxypropan-2-yl)furan-2-sulfonamide</t>
  </si>
  <si>
    <t xml:space="preserve">208493</t>
  </si>
  <si>
    <t xml:space="preserve">HMDB0254364</t>
  </si>
  <si>
    <t xml:space="preserve">317692</t>
  </si>
  <si>
    <t xml:space="preserve">9910393</t>
  </si>
  <si>
    <t xml:space="preserve">CC(C)(O)C1=COC(=C1)S(=O)(=O)NC(O)=NC1=C2CCCC2=CC2=C1CCC2</t>
  </si>
  <si>
    <t xml:space="preserve">HUUSXLKCTQDPGL-UHFFFAOYSA-N</t>
  </si>
  <si>
    <t xml:space="preserve">807.51206</t>
  </si>
  <si>
    <t xml:space="preserve">C24H36O5</t>
  </si>
  <si>
    <t xml:space="preserve">7a,12a-Dihydroxy-3-oxo-4-cholenoic acid</t>
  </si>
  <si>
    <t xml:space="preserve">46101</t>
  </si>
  <si>
    <t xml:space="preserve">HMDB0000447</t>
  </si>
  <si>
    <t xml:space="preserve">5436</t>
  </si>
  <si>
    <t xml:space="preserve">LMST04010241</t>
  </si>
  <si>
    <t xml:space="preserve">C15568</t>
  </si>
  <si>
    <t xml:space="preserve">49269</t>
  </si>
  <si>
    <t xml:space="preserve">5283996</t>
  </si>
  <si>
    <t xml:space="preserve">13587-11-6</t>
  </si>
  <si>
    <t xml:space="preserve">C1[C@]2(C)[C@@]3([H])C[C@H](O)[C@]4(C)[C@@]([H])([C@]([H])(C)CCC(O)=O)CC[C@@]4([H])[C@]3([H])[C@H](O)CC2=CC(=O)C1</t>
  </si>
  <si>
    <t xml:space="preserve">ZZUMXQCSMJCDDC-DFQOQHGMSA-N</t>
  </si>
  <si>
    <t xml:space="preserve">808.52691</t>
  </si>
  <si>
    <t xml:space="preserve">C42H80NO9P</t>
  </si>
  <si>
    <t xml:space="preserve">PC(34:1-O)</t>
  </si>
  <si>
    <t xml:space="preserve">239054</t>
  </si>
  <si>
    <t xml:space="preserve">HMDB0285953</t>
  </si>
  <si>
    <t xml:space="preserve">90659302</t>
  </si>
  <si>
    <t xml:space="preserve">[H][C@@](COC(=O)CCCCCCCCCCCCCCC)(COP([O-])(=O)OCC[N+](C)(C)C)OC(=O)CCCCCCC\C=C/CC1OC1CCCCC</t>
  </si>
  <si>
    <t xml:space="preserve">HZKBHRZARZUXPO-JLBYXMBLSA-N</t>
  </si>
  <si>
    <t xml:space="preserve">809.52380</t>
  </si>
  <si>
    <t xml:space="preserve">C41H79O13P</t>
  </si>
  <si>
    <t xml:space="preserve">PI(32:0)</t>
  </si>
  <si>
    <t xml:space="preserve">50428</t>
  </si>
  <si>
    <t xml:space="preserve">HMDB0009778</t>
  </si>
  <si>
    <t xml:space="preserve">[H][C@@](COC(=O)CCCCCCCCCCCCCCC)(COP(O)(=O)O[C@H]1C(O)C(O)C(O)[C@@H](O)C1O)OC(=O)CCCCCCCCCCCCCCC</t>
  </si>
  <si>
    <t xml:space="preserve">IBUKXRINTKQBRQ-NBURIUCMSA-N</t>
  </si>
  <si>
    <t xml:space="preserve">811.37495</t>
  </si>
  <si>
    <t xml:space="preserve">C25H22N6</t>
  </si>
  <si>
    <t xml:space="preserve">4-(6-(4-(Piperazin-1-yl)phenyl)pyrazolo[1,5-a]pyrimidin-3-yl)quinoline</t>
  </si>
  <si>
    <t xml:space="preserve">199839</t>
  </si>
  <si>
    <t xml:space="preserve">HMDB0244322</t>
  </si>
  <si>
    <t xml:space="preserve">25195294</t>
  </si>
  <si>
    <t xml:space="preserve">C1CN(CCN1)C1=CC=C(C=C1)C1=CN2N=CC(=C2N=C1)C1=CC=NC2=CC=CC=C12</t>
  </si>
  <si>
    <t xml:space="preserve">CDOVNWNANFFLFJ-UHFFFAOYSA-N</t>
  </si>
  <si>
    <t xml:space="preserve">813.51669</t>
  </si>
  <si>
    <t xml:space="preserve">C45H79O8P</t>
  </si>
  <si>
    <t xml:space="preserve">PA(42:5)</t>
  </si>
  <si>
    <t xml:space="preserve">25514</t>
  </si>
  <si>
    <t xml:space="preserve">HMDB0115580</t>
  </si>
  <si>
    <t xml:space="preserve">81781</t>
  </si>
  <si>
    <t xml:space="preserve">LMGP10010615</t>
  </si>
  <si>
    <t xml:space="preserve">52929208</t>
  </si>
  <si>
    <t xml:space="preserve">[C@](COP(=O)(O)O)([H])(OC(CCCCCCCCCCC/C=C\C/C=C\CCCCC)=O)COC(CCCCCC/C=C\C/C=C\C/C=C\CCCCC)=O</t>
  </si>
  <si>
    <t xml:space="preserve">CYFSENQYUULRPM-QUPMYNEGSA-N</t>
  </si>
  <si>
    <t xml:space="preserve">814.51712</t>
  </si>
  <si>
    <t xml:space="preserve">C45H80NO7P</t>
  </si>
  <si>
    <t xml:space="preserve">PE(22:5)</t>
  </si>
  <si>
    <t xml:space="preserve">50285</t>
  </si>
  <si>
    <t xml:space="preserve">HMDB0009611</t>
  </si>
  <si>
    <t xml:space="preserve">61000</t>
  </si>
  <si>
    <t xml:space="preserve">53479907</t>
  </si>
  <si>
    <t xml:space="preserve">[H][C@@](COC(=O)CCCCC\C=C/C\C=C/C\C=C/C\C=C/CCCCC)(COP(O)(=O)OCCN)O\C=C/CCCCCCCC\C=C/CCCCCC</t>
  </si>
  <si>
    <t xml:space="preserve">FISVEBQJGBZOPW-USOCFQKQSA-N</t>
  </si>
  <si>
    <t xml:space="preserve">815.21881</t>
  </si>
  <si>
    <t xml:space="preserve">C28H50N2O19P2</t>
  </si>
  <si>
    <t xml:space="preserve">N,N'-Diacetylchitobiosyldiphosphodolichol</t>
  </si>
  <si>
    <t xml:space="preserve">47446</t>
  </si>
  <si>
    <t xml:space="preserve">HMDB0001196</t>
  </si>
  <si>
    <t xml:space="preserve">C04537</t>
  </si>
  <si>
    <t xml:space="preserve">22833564</t>
  </si>
  <si>
    <t xml:space="preserve">OC[C@H]1O[C@@H](O[C@H]2[C@H](O)[C@@H](NC(O)=O)[C@@H](O[C@@H]2CO)OP(=O)(O)OP(O)(=O)OCCC(C)CC\C=C(/C)CC=C(C)C)[C@H](NC(O)=O)[C@@H](O)[C@@H]1O</t>
  </si>
  <si>
    <t xml:space="preserve">YBYNXPYEWMVKMB-HNLAPQKRSA-N</t>
  </si>
  <si>
    <t xml:space="preserve">819.54236</t>
  </si>
  <si>
    <t xml:space="preserve">C42H79O10P</t>
  </si>
  <si>
    <t xml:space="preserve">PG(36:2); 1,2-Dioleoyl-sn-glycero-3-phosphoglycerol</t>
  </si>
  <si>
    <t xml:space="preserve">23460; 199615</t>
  </si>
  <si>
    <t xml:space="preserve">HMDB0010605; HMDB0244089</t>
  </si>
  <si>
    <t xml:space="preserve">61878; </t>
  </si>
  <si>
    <t xml:space="preserve">LMGP04010982; </t>
  </si>
  <si>
    <t xml:space="preserve">89266; </t>
  </si>
  <si>
    <t xml:space="preserve">52927245; 119120</t>
  </si>
  <si>
    <t xml:space="preserve">[H][C@](O)(CO)COP(OC[C@]([H])(OC(CCCCCCC/C=C\C/C=C\CCCCC)=O)COC(CCCCCCCCCCCCCCCCC)=O)(=O)O; CCCCCCCCC=CCCCCCCCC(=O)OCC(COP(O)(=O)OCC(O)CO)OC(=O)CCCCCCCC=CCCCCCCCC</t>
  </si>
  <si>
    <t xml:space="preserve">JPRWHUSRRGNLOV-KKUBIFFLSA-N; DSNRWDQKZIEDDB-UHFFFAOYSA-N</t>
  </si>
  <si>
    <t xml:space="preserve">Glycerophosphoglycerols; Glycerophosphoglycerols</t>
  </si>
  <si>
    <t xml:space="preserve">821.56261</t>
  </si>
  <si>
    <t xml:space="preserve">C56H80O2</t>
  </si>
  <si>
    <t xml:space="preserve">Menaquinone-9</t>
  </si>
  <si>
    <t xml:space="preserve">208557</t>
  </si>
  <si>
    <t xml:space="preserve">HMDB0254437</t>
  </si>
  <si>
    <t xml:space="preserve">160508</t>
  </si>
  <si>
    <t xml:space="preserve">CC(C)=CCCC(C)=CCCC(C)=CCCC(C)=CCCC(C)=CCCC(C)=CCCC(C)=CCCC(C)=CCCC(C)=CCC1=C(C)C(=O)C2=CC=CC=C2C1=O</t>
  </si>
  <si>
    <t xml:space="preserve">WCRXHNIUHQUASO-UHFFFAOYSA-N</t>
  </si>
  <si>
    <t xml:space="preserve">822.56590</t>
  </si>
  <si>
    <t xml:space="preserve">C46H84NO10P</t>
  </si>
  <si>
    <t xml:space="preserve">PS(40:3)</t>
  </si>
  <si>
    <t xml:space="preserve">132737</t>
  </si>
  <si>
    <t xml:space="preserve">HMDB0112402</t>
  </si>
  <si>
    <t xml:space="preserve">131819757</t>
  </si>
  <si>
    <t xml:space="preserve">[H][C@](N)(COP(O)(=O)OC[C@@]([H])(COC(=O)CCCCCCCCC\C=C/CCCCCC)OC(=O)CCCCCCCCCCC\C=C/C\C=C/CCCCC)C(O)=O</t>
  </si>
  <si>
    <t xml:space="preserve">BFVOVYKGSFMXSS-XDXYFEMISA-N</t>
  </si>
  <si>
    <t xml:space="preserve">823.56414</t>
  </si>
  <si>
    <t xml:space="preserve">C45H87O8P</t>
  </si>
  <si>
    <t xml:space="preserve">PA(42:1)</t>
  </si>
  <si>
    <t xml:space="preserve">134920</t>
  </si>
  <si>
    <t xml:space="preserve">HMDB0114895</t>
  </si>
  <si>
    <t xml:space="preserve">131821903</t>
  </si>
  <si>
    <t xml:space="preserve">[H][C@@](COC(=O)CCCCCCCCCCCCCCCCC)(COP(O)(O)=O)OC(=O)CCCCCCCCCCCCC\C=C/CCCCCCCC</t>
  </si>
  <si>
    <t xml:space="preserve">GGODKGRZSCTSIF-RPBJOJELSA-N</t>
  </si>
  <si>
    <t xml:space="preserve">826.56930</t>
  </si>
  <si>
    <t xml:space="preserve">C44H88NO8P</t>
  </si>
  <si>
    <t xml:space="preserve">PE(39:0); PC(36:0)</t>
  </si>
  <si>
    <t xml:space="preserve">49957; 18220</t>
  </si>
  <si>
    <t xml:space="preserve">HMDB0008914; HMDB0007886</t>
  </si>
  <si>
    <t xml:space="preserve">60357; 59336</t>
  </si>
  <si>
    <t xml:space="preserve">; LMGP01010511</t>
  </si>
  <si>
    <t xml:space="preserve">C00350; C00157</t>
  </si>
  <si>
    <t xml:space="preserve">; 86107</t>
  </si>
  <si>
    <t xml:space="preserve">53479581; 24778638</t>
  </si>
  <si>
    <t xml:space="preserve">[H][C@@](COC(=O)CCCCCCCCCCCCCC)(COP(O)(=O)OCCN)OC(=O)CCCCCCCCCCCCCCCCCCCCCCC; [C@](COP(=O)([O-])OCC[N+](C)(C)C)([H])(OC(CCCCCCCCCCCCCCCCCCCCC)=O)COC(CCCCCCCCCCCCC)=O</t>
  </si>
  <si>
    <t xml:space="preserve">VYBCJTRCGBXKFD-HUESYALOSA-N; KNQNJCODLDRFSM-HUESYALOSA-N</t>
  </si>
  <si>
    <t xml:space="preserve">Glycerophosphoethanolamines; Glycerophosphocholines</t>
  </si>
  <si>
    <t xml:space="preserve">827.13855</t>
  </si>
  <si>
    <t xml:space="preserve">C16H18N2O9S</t>
  </si>
  <si>
    <t xml:space="preserve">(7R)-7-(5-Carboxy-5-oxopentanoyl)aminocephalosporinate</t>
  </si>
  <si>
    <t xml:space="preserve">82230</t>
  </si>
  <si>
    <t xml:space="preserve">HMDB0060316</t>
  </si>
  <si>
    <t xml:space="preserve">64540</t>
  </si>
  <si>
    <t xml:space="preserve">C04712</t>
  </si>
  <si>
    <t xml:space="preserve">15838</t>
  </si>
  <si>
    <t xml:space="preserve">440452</t>
  </si>
  <si>
    <t xml:space="preserve">CC(=O)OCC1=C(N2[C@H](SC1)[C@H](N=C(O)CCCC(=O)C(O)=O)C2=O)C(O)=O</t>
  </si>
  <si>
    <t xml:space="preserve">UKRMDFPJXIVYCZ-BXUZGUMPSA-N</t>
  </si>
  <si>
    <t xml:space="preserve">827.54217</t>
  </si>
  <si>
    <t xml:space="preserve">C26H38O4</t>
  </si>
  <si>
    <t xml:space="preserve">Lupulone</t>
  </si>
  <si>
    <t xml:space="preserve">54894</t>
  </si>
  <si>
    <t xml:space="preserve">HMDB0030041</t>
  </si>
  <si>
    <t xml:space="preserve">C10706</t>
  </si>
  <si>
    <t xml:space="preserve">51397980</t>
  </si>
  <si>
    <t xml:space="preserve">468-28-0</t>
  </si>
  <si>
    <t xml:space="preserve">CC(C)CC(=O)C1=C(O)C(CC=C(C)C)(CC=C(C)C)C(=O)C(CC=C(C)C)C1=O</t>
  </si>
  <si>
    <t xml:space="preserve">WYJNATSMJAUNMZ-UHFFFAOYSA-N</t>
  </si>
  <si>
    <t xml:space="preserve">828.57382</t>
  </si>
  <si>
    <t xml:space="preserve">C46H84NO7P</t>
  </si>
  <si>
    <t xml:space="preserve">PC(20:4); PC(22:4)</t>
  </si>
  <si>
    <t xml:space="preserve">49692; 49798</t>
  </si>
  <si>
    <t xml:space="preserve">HMDB0008392; HMDB0008652</t>
  </si>
  <si>
    <t xml:space="preserve">59838; 60098</t>
  </si>
  <si>
    <t xml:space="preserve">C00157; C00157</t>
  </si>
  <si>
    <t xml:space="preserve">89181; 88846</t>
  </si>
  <si>
    <t xml:space="preserve">53479005; 53479267</t>
  </si>
  <si>
    <t xml:space="preserve">CCCCCCCC\C=C/C\C=C/C\C=C/CCCC(=O)OCC(COP([O-])(=O)OCC[N+](C)(C)C)O\C=C/CCCCCCCC\C=C/CCCCCC; CCCCCCCCCCCCCC\C=C/OC(COC(=O)CCCCC\C=C/C\C=C/C\C=C/C\C=C/CCCCC)COP([O-])(=O)OCC[N+](C)(C)C</t>
  </si>
  <si>
    <t xml:space="preserve">LRXLTVLBEDXONI-DSLLYOFSSA-N; QSCPZZNEQRYGTB-PZVMGWTJSA-N</t>
  </si>
  <si>
    <t xml:space="preserve">Glycerophosphocholines; Glycerophosphocholines</t>
  </si>
  <si>
    <t xml:space="preserve">829.58228</t>
  </si>
  <si>
    <t xml:space="preserve">C49H83O8P</t>
  </si>
  <si>
    <t xml:space="preserve">Phosphatidate(46:7)</t>
  </si>
  <si>
    <t xml:space="preserve">135184</t>
  </si>
  <si>
    <t xml:space="preserve">HMDB0115427</t>
  </si>
  <si>
    <t xml:space="preserve">131822165</t>
  </si>
  <si>
    <t xml:space="preserve">[H][C@@](COC(=O)CC\C=C/C\C=C/C\C=C/C\C=C/C\C=C/C\C=C/CC)(COP(O)(O)=O)OC(=O)CCCCCCCCCCCCC\C=C/CCCCCCCC</t>
  </si>
  <si>
    <t xml:space="preserve">VFKAFHGEGPCVLJ-MFAMLEMHSA-N</t>
  </si>
  <si>
    <t xml:space="preserve">830.51679</t>
  </si>
  <si>
    <t xml:space="preserve">C45H80NO8P</t>
  </si>
  <si>
    <t xml:space="preserve">PE(40:5)</t>
  </si>
  <si>
    <t xml:space="preserve">49989</t>
  </si>
  <si>
    <t xml:space="preserve">HMDB0009010</t>
  </si>
  <si>
    <t xml:space="preserve">60430</t>
  </si>
  <si>
    <t xml:space="preserve">131665</t>
  </si>
  <si>
    <t xml:space="preserve">53479611</t>
  </si>
  <si>
    <t xml:space="preserve">[H][C@@](COC(=O)CCCCCCCCCCCCCCCCC)(COP(O)(=O)OCCN)OC(=O)CC\C=C/C\C=C/C\C=C/C\C=C/C\C=C/CCCCC</t>
  </si>
  <si>
    <t xml:space="preserve">DPRXQVIZBLENFV-NPQRSGSQSA-N</t>
  </si>
  <si>
    <t xml:space="preserve">830.59880</t>
  </si>
  <si>
    <t xml:space="preserve">C45H86NO10P</t>
  </si>
  <si>
    <t xml:space="preserve">PS(39:1)</t>
  </si>
  <si>
    <t xml:space="preserve">132702</t>
  </si>
  <si>
    <t xml:space="preserve">HMDB0112341</t>
  </si>
  <si>
    <t xml:space="preserve">131819722</t>
  </si>
  <si>
    <t xml:space="preserve">[H][C@](N)(COP(O)(=O)OC[C@@]([H])(COC(=O)CCCCCCCCCCCCCC)OC(=O)CCCCCCCCCCCCC\C=C/CCCCCCCC)C(O)=O</t>
  </si>
  <si>
    <t xml:space="preserve">SVBJOAJMJMPNJC-HFBPHNSTSA-N</t>
  </si>
  <si>
    <t xml:space="preserve">833.51672</t>
  </si>
  <si>
    <t xml:space="preserve">C43H79O13P</t>
  </si>
  <si>
    <t xml:space="preserve">PI(34:2)</t>
  </si>
  <si>
    <t xml:space="preserve">24674</t>
  </si>
  <si>
    <t xml:space="preserve">HMDB0009784</t>
  </si>
  <si>
    <t xml:space="preserve">LMGP06010959</t>
  </si>
  <si>
    <t xml:space="preserve">73212</t>
  </si>
  <si>
    <t xml:space="preserve">46891796</t>
  </si>
  <si>
    <t xml:space="preserve">219584-66-4</t>
  </si>
  <si>
    <t xml:space="preserve">[C@]([H])(OC(CCCCCCC/C=C\C/C=C\CCCCC)=O)(COP(=O)(O)O[C@H]1[C@H](O)[C@@H](O)[C@H](O)[C@@H](O)[C@H]1O)COC(CCCCCCCCCCCCCCC)=O</t>
  </si>
  <si>
    <t xml:space="preserve">BSNJSZUDOMPYIR-CUKLWHKZSA-N</t>
  </si>
  <si>
    <t xml:space="preserve">834.53263</t>
  </si>
  <si>
    <t xml:space="preserve">C45H76NO8P</t>
  </si>
  <si>
    <t xml:space="preserve">PE(40:7)</t>
  </si>
  <si>
    <t xml:space="preserve">50021</t>
  </si>
  <si>
    <t xml:space="preserve">HMDB0009045</t>
  </si>
  <si>
    <t xml:space="preserve">60462</t>
  </si>
  <si>
    <t xml:space="preserve">53479643</t>
  </si>
  <si>
    <t xml:space="preserve">[H][C@@](COC(=O)CCCCCCCCC\C=C/CCCCCC)(COP(O)(=O)OCCN)OC(=O)CC\C=C/C\C=C/C\C=C/C\C=C/C\C=C/C\C=C/CC</t>
  </si>
  <si>
    <t xml:space="preserve">MIEYBHWKRILIAE-JUUZHAOZSA-N</t>
  </si>
  <si>
    <t xml:space="preserve">836.45609</t>
  </si>
  <si>
    <t xml:space="preserve">C46H74NO8P</t>
  </si>
  <si>
    <t xml:space="preserve">PC(38:9)</t>
  </si>
  <si>
    <t xml:space="preserve">18983</t>
  </si>
  <si>
    <t xml:space="preserve">HMDB0008248</t>
  </si>
  <si>
    <t xml:space="preserve">59694</t>
  </si>
  <si>
    <t xml:space="preserve">LMGP01011724</t>
  </si>
  <si>
    <t xml:space="preserve">52922927</t>
  </si>
  <si>
    <t xml:space="preserve">[C@](COP(=O)([O-])OCC[N+](C)(C)C)([H])(OC(CCC/C=C\C/C=C\C/C=C\C/C=C\C/C=C\CC)=O)COC(CCCC/C=C\C/C=C\C/C=C\C/C=C\CC)=O</t>
  </si>
  <si>
    <t xml:space="preserve">JKQQGFLBFJQGQB-GPAMVBDASA-N</t>
  </si>
  <si>
    <t xml:space="preserve">837.20979</t>
  </si>
  <si>
    <t xml:space="preserve">C40H40N4O14</t>
  </si>
  <si>
    <t xml:space="preserve">Heptacarboxylporphyrin III</t>
  </si>
  <si>
    <t xml:space="preserve">47736</t>
  </si>
  <si>
    <t xml:space="preserve">HMDB0001956</t>
  </si>
  <si>
    <t xml:space="preserve">6400</t>
  </si>
  <si>
    <t xml:space="preserve">CC1=C2NC(\C=C3/N=C(/C=C4\N\C(=C/C5=N/C(=C\2)/C(CCC(O)=O)=C5CCC(O)=O)C(CCC(O)=O)=C4CC(O)=O)C(CCC(O)=O)=C3CC(O)=O)=C1CCC(O)=O</t>
  </si>
  <si>
    <t xml:space="preserve">UXXBQPAQUFNNGY-FLBNTIIFSA-N</t>
  </si>
  <si>
    <t xml:space="preserve">Tetrapyrroles and derivatives</t>
  </si>
  <si>
    <t xml:space="preserve">Porphyrins</t>
  </si>
  <si>
    <t xml:space="preserve">839.52911</t>
  </si>
  <si>
    <t xml:space="preserve">C28H36O3</t>
  </si>
  <si>
    <t xml:space="preserve">Testosterone phenylpropionate</t>
  </si>
  <si>
    <t xml:space="preserve">212301</t>
  </si>
  <si>
    <t xml:space="preserve">HMDB0258861</t>
  </si>
  <si>
    <t xml:space="preserve">562114</t>
  </si>
  <si>
    <t xml:space="preserve">CC12CCC3C(CCC4=CC(=O)CCC34C)C1CCC2OC(=O)CCC1=CC=CC=C1</t>
  </si>
  <si>
    <t xml:space="preserve">HHSXYDOROIURIP-UHFFFAOYSA-N</t>
  </si>
  <si>
    <t xml:space="preserve">843.53677</t>
  </si>
  <si>
    <t xml:space="preserve">C44H79O10P</t>
  </si>
  <si>
    <t xml:space="preserve">PG(38:4)</t>
  </si>
  <si>
    <t xml:space="preserve">23446</t>
  </si>
  <si>
    <t xml:space="preserve">HMDB0010581</t>
  </si>
  <si>
    <t xml:space="preserve">61856</t>
  </si>
  <si>
    <t xml:space="preserve">LMGP04010968</t>
  </si>
  <si>
    <t xml:space="preserve">89091</t>
  </si>
  <si>
    <t xml:space="preserve">52927231</t>
  </si>
  <si>
    <t xml:space="preserve">[H][C@](O)(CO)COP(OC[C@]([H])(OC(CCCCC/C=C\C/C=C\C/C=C\C/C=C\CCCCC)=O)COC(CCCCCCCCCCCCCCC)=O)(=O)O</t>
  </si>
  <si>
    <t xml:space="preserve">OJGRJXYPAAIUAW-YGUNRICGSA-N</t>
  </si>
  <si>
    <t xml:space="preserve">846.56509</t>
  </si>
  <si>
    <t xml:space="preserve">C48H82NO9P</t>
  </si>
  <si>
    <t xml:space="preserve">PS(P-42:6)</t>
  </si>
  <si>
    <t xml:space="preserve">210678</t>
  </si>
  <si>
    <t xml:space="preserve">HMDB0256890</t>
  </si>
  <si>
    <t xml:space="preserve">CCCCCCCCCCCCCCCCCCC=COCC(COP(O)(=O)OCC(N)C(O)=O)OC(=O)CCC=CCC=CCC=CCC=CCC=CCC=CCC</t>
  </si>
  <si>
    <t xml:space="preserve">VVZRUZNDHOKQSD-UHFFFAOYSA-N</t>
  </si>
  <si>
    <t xml:space="preserve">847.55953</t>
  </si>
  <si>
    <t xml:space="preserve">C24H40O6</t>
  </si>
  <si>
    <t xml:space="preserve">3a,6b,7a,12a-Tetrahydroxy-5b-cholanoic acid</t>
  </si>
  <si>
    <t xml:space="preserve">45982</t>
  </si>
  <si>
    <t xml:space="preserve">HMDB0000399</t>
  </si>
  <si>
    <t xml:space="preserve">5388</t>
  </si>
  <si>
    <t xml:space="preserve">LMST04010120</t>
  </si>
  <si>
    <t xml:space="preserve">C01094</t>
  </si>
  <si>
    <t xml:space="preserve">139419</t>
  </si>
  <si>
    <t xml:space="preserve">5283899</t>
  </si>
  <si>
    <t xml:space="preserve">80875-93-0</t>
  </si>
  <si>
    <t xml:space="preserve">C1[C@]2(C)[C@@]3([H])C[C@H](O)[C@]4(C)[C@@]([H])([C@]([H])(C)CCC(O)=O)CC[C@@]4([H])[C@]3([H])[C@H](O)[C@@H](O)[C@]2([H])C[C@H](O)C1</t>
  </si>
  <si>
    <t xml:space="preserve">COCMFMBNEAMQMA-VGKGADPCSA-N</t>
  </si>
  <si>
    <t xml:space="preserve">848.49220</t>
  </si>
  <si>
    <t xml:space="preserve">C44H78NO10P</t>
  </si>
  <si>
    <t xml:space="preserve">PS(38:4)</t>
  </si>
  <si>
    <t xml:space="preserve">50800</t>
  </si>
  <si>
    <t xml:space="preserve">HMDB0010165</t>
  </si>
  <si>
    <t xml:space="preserve">61542</t>
  </si>
  <si>
    <t xml:space="preserve">C02737</t>
  </si>
  <si>
    <t xml:space="preserve">90041</t>
  </si>
  <si>
    <t xml:space="preserve">53480354</t>
  </si>
  <si>
    <t xml:space="preserve">[H][C@](N)(COP(O)(=O)OC[C@@]([H])(COC(=O)CCCCCCCCCCCCCCCCC)OC(=O)CCCCCC\C=C/C\C=C/C\C=C/C\C=C/CC)C(O)=O</t>
  </si>
  <si>
    <t xml:space="preserve">IULWELDCBXQXED-DWOSIAKHSA-N</t>
  </si>
  <si>
    <t xml:space="preserve">849.49233</t>
  </si>
  <si>
    <t xml:space="preserve">C46H74O14</t>
  </si>
  <si>
    <t xml:space="preserve">Hebevinoside XI; Hebevinoside V</t>
  </si>
  <si>
    <t xml:space="preserve">58596; 59790</t>
  </si>
  <si>
    <t xml:space="preserve">HMDB0034601; HMDB0035981</t>
  </si>
  <si>
    <t xml:space="preserve">73818333; 73818216</t>
  </si>
  <si>
    <t xml:space="preserve">101365-13-3; 101365-07-5</t>
  </si>
  <si>
    <t xml:space="preserve">COC1C=C2C(CCC(OC3OCC(O)C(O)C3O)C2(C)C)C2(C)CCC3(C)C(C(C)CCC=C(C)C)C(CC3(C)C12)OC1OC(COC(C)=O)C(OC(C)=O)C(O)C1O; COC1C=C2C(CCC(OC3OCC(OC(C)=O)C(O)C3O)C2(C)C)C2(C)CCC3(C)C(C(C)CCC=C(C)C)C(CC3(C)C12)OC1OC(COC(C)=O)C(O)C(O)C1O</t>
  </si>
  <si>
    <t xml:space="preserve">BDIZCZITXGMZCF-UHFFFAOYSA-N; AMBFYXVSRGPNHQ-UHFFFAOYSA-N</t>
  </si>
  <si>
    <t xml:space="preserve">Steroidal glycosides; Steroidal glycosides</t>
  </si>
  <si>
    <t xml:space="preserve">852.55975</t>
  </si>
  <si>
    <t xml:space="preserve">C50H80NO8P</t>
  </si>
  <si>
    <t xml:space="preserve">PC(42:10)</t>
  </si>
  <si>
    <t xml:space="preserve">19184</t>
  </si>
  <si>
    <t xml:space="preserve">HMDB0008452</t>
  </si>
  <si>
    <t xml:space="preserve">59898</t>
  </si>
  <si>
    <t xml:space="preserve">LMGP01011925</t>
  </si>
  <si>
    <t xml:space="preserve">52923327</t>
  </si>
  <si>
    <t xml:space="preserve">[C@](COP(=O)([O-])OCC[N+](C)(C)C)([H])(OC(CC/C=C\C/C=C\C/C=C\C/C=C\C/C=C\C/C=C\CC)=O)COC(CCC/C=C\C/C=C\C/C=C\C/C=C\CCCCC)=O</t>
  </si>
  <si>
    <t xml:space="preserve">APEHGLQXFOZAEF-MHNOHXJZSA-N</t>
  </si>
  <si>
    <t xml:space="preserve">853.58378</t>
  </si>
  <si>
    <t xml:space="preserve">C53H84O6</t>
  </si>
  <si>
    <t xml:space="preserve">TG(50:9)</t>
  </si>
  <si>
    <t xml:space="preserve">71007</t>
  </si>
  <si>
    <t xml:space="preserve">HMDB0048293</t>
  </si>
  <si>
    <t xml:space="preserve">131759134</t>
  </si>
  <si>
    <t xml:space="preserve">[H][C@](COC(=O)CCCCCCC\C=C/CCCC)(COC(=O)CCCC\C=C/C\C=C/C\C=C/C\C=C/CC)OC(=O)CCCC\C=C/C\C=C/C\C=C/C\C=C/CC</t>
  </si>
  <si>
    <t xml:space="preserve">VKEXFXOXJWPVPT-PDPQJBMOSA-N</t>
  </si>
  <si>
    <t xml:space="preserve">854.60637</t>
  </si>
  <si>
    <t xml:space="preserve">C46H92NO8P</t>
  </si>
  <si>
    <t xml:space="preserve">PC(38:0)</t>
  </si>
  <si>
    <t xml:space="preserve">18222</t>
  </si>
  <si>
    <t xml:space="preserve">HMDB0007893</t>
  </si>
  <si>
    <t xml:space="preserve">59343</t>
  </si>
  <si>
    <t xml:space="preserve">LMGP01010515</t>
  </si>
  <si>
    <t xml:space="preserve">86169</t>
  </si>
  <si>
    <t xml:space="preserve">24778642</t>
  </si>
  <si>
    <t xml:space="preserve">[C@](COP(=O)([O-])OCC[N+](C)(C)C)([H])(OC(CCCCCCCCCCCCCCCCCCCCCCC)=O)COC(CCCCCCCCCCCCC)=O</t>
  </si>
  <si>
    <t xml:space="preserve">HZKNKWPYIHKKKL-USYZEHPZSA-N</t>
  </si>
  <si>
    <t xml:space="preserve">855.60261</t>
  </si>
  <si>
    <t xml:space="preserve">C57H86O3</t>
  </si>
  <si>
    <t xml:space="preserve">3-Decaprenyl-4-hydroxybenzoic acid; 2-Decaprenyl-6-methoxy-1,4-benzoquinone</t>
  </si>
  <si>
    <t xml:space="preserve">48689; 37431</t>
  </si>
  <si>
    <t xml:space="preserve">HMDB0006251; HMDB0060248</t>
  </si>
  <si>
    <t xml:space="preserve">58377; 53835</t>
  </si>
  <si>
    <t xml:space="preserve">; LMPR02010033</t>
  </si>
  <si>
    <t xml:space="preserve">64136; 50773</t>
  </si>
  <si>
    <t xml:space="preserve">6454686; 25010761</t>
  </si>
  <si>
    <t xml:space="preserve">636-57-7; </t>
  </si>
  <si>
    <t xml:space="preserve">CC(C)=CCC\C(C)=C\CC\C(C)=C\CC\C(C)=C\CC\C(C)=C\CC\C(C)=C\CC\C(C)=C\CC\C(C)=C\CC\C(C)=C\CC\C(C)=C\CC1=C(O)C=CC(=C1)C(O)=O; C1(=O)C(OC)=CC(=O)C=C1C/C=C(/CC/C=C(/CC/C=C(/CC/C=C(/CC/C=C(/CC/C=C(/CC/C=C(/CC/C=C(/CC/C=C(/CC/C=C(/C)\C)\C)\C)\C)\C)\C)\C)\C)\C)\C</t>
  </si>
  <si>
    <t xml:space="preserve">CMPNJZREBHCPHN-LTNIBBDRSA-N; POYJNCVGTDCCPK-RDSVHMIISA-N</t>
  </si>
  <si>
    <t xml:space="preserve">Polyprenylphenols; Quinone and hydroquinone lipids</t>
  </si>
  <si>
    <t xml:space="preserve">856.55620</t>
  </si>
  <si>
    <t xml:space="preserve">C47H84NO8P</t>
  </si>
  <si>
    <t xml:space="preserve">PE(42:5)</t>
  </si>
  <si>
    <t xml:space="preserve">50082</t>
  </si>
  <si>
    <t xml:space="preserve">HMDB0009212</t>
  </si>
  <si>
    <t xml:space="preserve">60618</t>
  </si>
  <si>
    <t xml:space="preserve">74490</t>
  </si>
  <si>
    <t xml:space="preserve">53479704</t>
  </si>
  <si>
    <t xml:space="preserve">[H][C@@](COC(=O)CCCC\C=C/C\C=C/C\C=C/C\C=C/CC)(COP(O)(=O)OCCN)OC(=O)CCCCCCCCCCCCC\C=C/CCCCCCCC</t>
  </si>
  <si>
    <t xml:space="preserve">ZNNFJVNPRVPYIW-RBEXFCIKSA-N</t>
  </si>
  <si>
    <t xml:space="preserve">857.52563</t>
  </si>
  <si>
    <t xml:space="preserve">C42H84O13P2</t>
  </si>
  <si>
    <t xml:space="preserve">PGP(36:0)</t>
  </si>
  <si>
    <t xml:space="preserve">52316</t>
  </si>
  <si>
    <t xml:space="preserve">HMDB0013504</t>
  </si>
  <si>
    <t xml:space="preserve">49859651</t>
  </si>
  <si>
    <t xml:space="preserve">[H][C@](O)(COP(O)(O)=O)COP(O)(=O)OC[C@@]([H])(COC(=O)CCCCCCCCCCCCCCCCC)OC(=O)CCCCCCCCCCCCCCCCC</t>
  </si>
  <si>
    <t xml:space="preserve">UZNYMWWMHBZMLI-IOLBBIBUSA-N</t>
  </si>
  <si>
    <t xml:space="preserve">Glycerophosphoglycerophosphates</t>
  </si>
  <si>
    <t xml:space="preserve">859.52898</t>
  </si>
  <si>
    <t xml:space="preserve">C43H83O13P</t>
  </si>
  <si>
    <t xml:space="preserve">PI(34:0)</t>
  </si>
  <si>
    <t xml:space="preserve">24593</t>
  </si>
  <si>
    <t xml:space="preserve">HMDB0009781</t>
  </si>
  <si>
    <t xml:space="preserve">LMGP06010878</t>
  </si>
  <si>
    <t xml:space="preserve">73223</t>
  </si>
  <si>
    <t xml:space="preserve">52928331</t>
  </si>
  <si>
    <t xml:space="preserve">182509-29-1</t>
  </si>
  <si>
    <t xml:space="preserve">[C@]([H])(OC(CCCCCCCCCCCCCCCCC)=O)(COP(=O)(O)O[C@H]1[C@H](O)[C@@H](O)[C@H](O)[C@@H](O)[C@H]1O)COC(CCCCCCCCCCCCCCC)=O</t>
  </si>
  <si>
    <t xml:space="preserve">NEXFZIYXCPIHEF-BHIZUYRXSA-N</t>
  </si>
  <si>
    <t xml:space="preserve">860.55901</t>
  </si>
  <si>
    <t xml:space="preserve">C46H84NO9P</t>
  </si>
  <si>
    <t xml:space="preserve">PC(18:0/20:4(5Z,8Z,10E,14Z)-OH(12S))</t>
  </si>
  <si>
    <t xml:space="preserve">27821</t>
  </si>
  <si>
    <t xml:space="preserve">HMDB0286225</t>
  </si>
  <si>
    <t xml:space="preserve">82374</t>
  </si>
  <si>
    <t xml:space="preserve">LMGP20010001</t>
  </si>
  <si>
    <t xml:space="preserve">52929775</t>
  </si>
  <si>
    <t xml:space="preserve">[C@](COP(=O)([O-])OCC[N+](C)(C)C)([H])(OC(CCC/C=C\C/C=C\C=C\[C@@H](O)C/C=C\CCCCC)=O)COC(CCCCCCCCCCCCCCCCC)=O</t>
  </si>
  <si>
    <t xml:space="preserve">YETXCLLSHIMTGE-KDCNQZJWSA-N</t>
  </si>
  <si>
    <t xml:space="preserve">861.35608</t>
  </si>
  <si>
    <t xml:space="preserve">C46H56N4O10</t>
  </si>
  <si>
    <t xml:space="preserve">Vincristine</t>
  </si>
  <si>
    <t xml:space="preserve">52877</t>
  </si>
  <si>
    <t xml:space="preserve">HMDB0014681</t>
  </si>
  <si>
    <t xml:space="preserve">602</t>
  </si>
  <si>
    <t xml:space="preserve">C07204</t>
  </si>
  <si>
    <t xml:space="preserve">28445</t>
  </si>
  <si>
    <t xml:space="preserve">5978</t>
  </si>
  <si>
    <t xml:space="preserve">57-22-7</t>
  </si>
  <si>
    <t xml:space="preserve">[H][C@@]12N3CC[C@@]11C4=CC(=C(OC)C=C4N(C=O)[C@@]1([H])[C@](O)([C@H](OC(C)=O)[C@]2(CC)C=CC3)C(=O)OC)[C@]1(C[C@]2([H])CN(C[C@](O)(CC)C2)CCC2=C1NC1=CC=CC=C21)C(=O)OC</t>
  </si>
  <si>
    <t xml:space="preserve">OGWKCGZFUXNPDA-XQKSVPLYSA-N</t>
  </si>
  <si>
    <t xml:space="preserve">Vinca alkaloids</t>
  </si>
  <si>
    <t xml:space="preserve">861.54006</t>
  </si>
  <si>
    <t xml:space="preserve">C46H83O10P</t>
  </si>
  <si>
    <t xml:space="preserve">PG(40:4)</t>
  </si>
  <si>
    <t xml:space="preserve">23361</t>
  </si>
  <si>
    <t xml:space="preserve">HMDB0010611</t>
  </si>
  <si>
    <t xml:space="preserve">61883</t>
  </si>
  <si>
    <t xml:space="preserve">LMGP04010883</t>
  </si>
  <si>
    <t xml:space="preserve">89278</t>
  </si>
  <si>
    <t xml:space="preserve">52927148</t>
  </si>
  <si>
    <t xml:space="preserve">[H][C@](O)(CO)COP(OC[C@]([H])(OC(CCCCC/C=C\C/C=C\C/C=C\C/C=C\CCCCC)=O)COC(CCCCCCCCCCCCCCCCC)=O)(=O)O</t>
  </si>
  <si>
    <t xml:space="preserve">DDDVOYJWOXYXHJ-RKHXCIBKSA-N</t>
  </si>
  <si>
    <t xml:space="preserve">862.35809</t>
  </si>
  <si>
    <t xml:space="preserve">C36H65N3O15P2</t>
  </si>
  <si>
    <t xml:space="preserve">CDDG(P-24:0)</t>
  </si>
  <si>
    <t xml:space="preserve">135834</t>
  </si>
  <si>
    <t xml:space="preserve">HMDB0116157</t>
  </si>
  <si>
    <t xml:space="preserve">131822813</t>
  </si>
  <si>
    <t xml:space="preserve">[H][C@@](COC(=O)CCCCCCCCC(C)C)(COP(O)(=O)OP(O)(=O)OC[C@H]1O[C@H](C(O)[C@H]1O)N1C=CC(N)=NC1=O)OC(=O)CCCCCCCCC(C)C</t>
  </si>
  <si>
    <t xml:space="preserve">DOQQEGQFSBFVGD-MYNNLVAUSA-N</t>
  </si>
  <si>
    <t xml:space="preserve">CDP-glycerols</t>
  </si>
  <si>
    <t xml:space="preserve">863.53334</t>
  </si>
  <si>
    <t xml:space="preserve">C45H79N4O11P</t>
  </si>
  <si>
    <t xml:space="preserve">[(2R)-3-[[(2R,3S,4S,5R)-5-(4-Amino-2-oxopyrimidin-1-yl)-4-cyano-3-hydroxyoxolan-2-yl]methoxy-hydroxyphosphoryl]oxy-2-hexadecanoyloxypropyl] hexadecanoate</t>
  </si>
  <si>
    <t xml:space="preserve">206217</t>
  </si>
  <si>
    <t xml:space="preserve">HMDB0251611</t>
  </si>
  <si>
    <t xml:space="preserve">44264669</t>
  </si>
  <si>
    <t xml:space="preserve">CCCCCCCCCCCCCCCC(=O)OCC(COP(O)(=O)OCC1OC(C(C#N)C1O)N1C=CC(N)=NC1=O)OC(=O)CCCCCCCCCCCCCCC</t>
  </si>
  <si>
    <t xml:space="preserve">KSAUEGZXFGTPEO-UHFFFAOYSA-N</t>
  </si>
  <si>
    <t xml:space="preserve">Pyrimidine deoxyribonucleotides</t>
  </si>
  <si>
    <t xml:space="preserve">865.51216</t>
  </si>
  <si>
    <t xml:space="preserve">C28H35NO3</t>
  </si>
  <si>
    <t xml:space="preserve">Ulipristal</t>
  </si>
  <si>
    <t xml:space="preserve">212763</t>
  </si>
  <si>
    <t xml:space="preserve">HMDB0259398</t>
  </si>
  <si>
    <t xml:space="preserve">13559279</t>
  </si>
  <si>
    <t xml:space="preserve">CN(C)C1=CC=C(C=C1)C1CC2(C)C(CCC2(O)C(C)=O)C2CCC3=CC(=O)CCC3=C12</t>
  </si>
  <si>
    <t xml:space="preserve">HKDLNTKNLJPAIY-UHFFFAOYSA-N</t>
  </si>
  <si>
    <t xml:space="preserve">866.51847</t>
  </si>
  <si>
    <t xml:space="preserve">C46H78NO12P</t>
  </si>
  <si>
    <t xml:space="preserve">PS(DiMe(11,3)/DiMe(11,3)); PS(DiMe(11,3)/DiMe(9,5)); PS(DiMe(11,5)/DiMe(9,3))</t>
  </si>
  <si>
    <t xml:space="preserve">83162; 83166; 83174</t>
  </si>
  <si>
    <t xml:space="preserve">HMDB0061552; HMDB0061556; HMDB0061564</t>
  </si>
  <si>
    <t xml:space="preserve">CCCC1=C(C)C(C)=C(CCCCCCCCCCC(=O)OCC(COP(O)(=O)OCC(N)C(O)=O)OC(=O)CCCCCCCCCCC2=C(C)C(C)=C(CCC)O2)O1; CCCCCC1=C(C)C(C)=C(CCCCCCCCC(=O)OC(COC(=O)CCCCCCCCCCC2=C(C)C(C)=C(CCC)O2)COP(O)(=O)OCC(N)C(O)=O)O1; CCCCCC1=C(C)C(C)=C(CCCCCCCCCCC(=O)OCC(COP(O)(=O)OCC(N)C(O)=O)OC(=O)CCCCCCCCC2=C(C)C(C)=C(CCC)O2)O1</t>
  </si>
  <si>
    <t xml:space="preserve">GEBZEXLPFXOQHT-UHFFFAOYSA-N; HTULEYJTTROFSX-UHFFFAOYSA-N; NERABSYISRGKSI-UHFFFAOYSA-N</t>
  </si>
  <si>
    <t xml:space="preserve">Glycerophospholipids; Glycerophospholipids; Glycerophospholipids</t>
  </si>
  <si>
    <t xml:space="preserve">Glycerophosphoserines; Glycerophosphoserines; Glycerophosphoserines</t>
  </si>
  <si>
    <t xml:space="preserve">867.52505</t>
  </si>
  <si>
    <t xml:space="preserve">C50H77O10P</t>
  </si>
  <si>
    <t xml:space="preserve">PG(44:11)</t>
  </si>
  <si>
    <t xml:space="preserve">136279</t>
  </si>
  <si>
    <t xml:space="preserve">HMDB0116620</t>
  </si>
  <si>
    <t xml:space="preserve">131823257</t>
  </si>
  <si>
    <t xml:space="preserve">[H][C@](O)(CO)COP(O)(=O)OC[C@@]([H])(COC(=O)CC\C=C/C\C=C/C\C=C/C\C=C/C\C=C/CCCCC)OC(=O)CC\C=C/C\C=C/C\C=C/C\C=C/C\C=C/C\C=C/CC</t>
  </si>
  <si>
    <t xml:space="preserve">MWWCHBNKQONBGX-PALVNQMRSA-N</t>
  </si>
  <si>
    <t xml:space="preserve">871.57649</t>
  </si>
  <si>
    <t xml:space="preserve">C28H37FN2O</t>
  </si>
  <si>
    <t xml:space="preserve">N,N-Dihexyl-2-(4-fluorophenyl)indole-3-acetamide</t>
  </si>
  <si>
    <t xml:space="preserve">206752</t>
  </si>
  <si>
    <t xml:space="preserve">HMDB0252246</t>
  </si>
  <si>
    <t xml:space="preserve">427334</t>
  </si>
  <si>
    <t xml:space="preserve">132496</t>
  </si>
  <si>
    <t xml:space="preserve">CCCCCCN(CCCCCC)C(=O)CC1=C(NC2=CC=CC=C12)C1=CC=C(F)C=C1</t>
  </si>
  <si>
    <t xml:space="preserve">VUWXAQFLTSBUDB-UHFFFAOYSA-N</t>
  </si>
  <si>
    <t xml:space="preserve">872.57816</t>
  </si>
  <si>
    <t xml:space="preserve">C50H86NO10P</t>
  </si>
  <si>
    <t xml:space="preserve">PS(44:6)</t>
  </si>
  <si>
    <t xml:space="preserve">132877</t>
  </si>
  <si>
    <t xml:space="preserve">HMDB0112706</t>
  </si>
  <si>
    <t xml:space="preserve">131819897</t>
  </si>
  <si>
    <t xml:space="preserve">[H][C@](N)(COP(O)(=O)OC[C@@]([H])(COC(=O)CCC\C=C/C\C=C/C\C=C/C\C=C/C\C=C/CC)OC(=O)CCCCCCCCCCCCC\C=C/CCCCCCCC)C(O)=O</t>
  </si>
  <si>
    <t xml:space="preserve">FOTMSGBMIAOTKX-HZUUBYNUSA-N</t>
  </si>
  <si>
    <t xml:space="preserve">874.49085</t>
  </si>
  <si>
    <t xml:space="preserve">C46H72NO10P</t>
  </si>
  <si>
    <t xml:space="preserve">PS(40:9)</t>
  </si>
  <si>
    <t xml:space="preserve">21685</t>
  </si>
  <si>
    <t xml:space="preserve">HMDB0012417</t>
  </si>
  <si>
    <t xml:space="preserve">78088</t>
  </si>
  <si>
    <t xml:space="preserve">LMGP03010424</t>
  </si>
  <si>
    <t xml:space="preserve">52925534</t>
  </si>
  <si>
    <t xml:space="preserve">C(O)(=O)[C@@]([H])(N)COP(OC[C@]([H])(OC(CC/C=C\C/C=C\C/C=C\C/C=C\C/C=C\C/C=C\CC)=O)COC(CCCCCCC/C=C\C/C=C\C/C=C\CC)=O)(=O)O</t>
  </si>
  <si>
    <t xml:space="preserve">YMQXVTUOIKUZOT-VANZJBBMSA-N</t>
  </si>
  <si>
    <t xml:space="preserve">874.61037</t>
  </si>
  <si>
    <t xml:space="preserve">C48H90NO8P</t>
  </si>
  <si>
    <t xml:space="preserve">PC(40:3)</t>
  </si>
  <si>
    <t xml:space="preserve">19417</t>
  </si>
  <si>
    <t xml:space="preserve">HMDB0008086</t>
  </si>
  <si>
    <t xml:space="preserve">59533</t>
  </si>
  <si>
    <t xml:space="preserve">LMGP01012159</t>
  </si>
  <si>
    <t xml:space="preserve">89699</t>
  </si>
  <si>
    <t xml:space="preserve">53478747</t>
  </si>
  <si>
    <t xml:space="preserve">[C@](COP(=O)([O-])OCC[N+](C)(C)C)([H])(OC(CCCCCCCCCCC/C=C\C/C=C\CCCCC)=O)COC(CCCCCCCCC/C=C\CCCCCC)=O</t>
  </si>
  <si>
    <t xml:space="preserve">XNHCNUBXMMIUNS-IMLSBYECSA-N</t>
  </si>
  <si>
    <t xml:space="preserve">878.55311</t>
  </si>
  <si>
    <t xml:space="preserve">C49H82NO8P</t>
  </si>
  <si>
    <t xml:space="preserve">PE(44:8)</t>
  </si>
  <si>
    <t xml:space="preserve">20790</t>
  </si>
  <si>
    <t xml:space="preserve">HMDB0009573</t>
  </si>
  <si>
    <t xml:space="preserve">60962</t>
  </si>
  <si>
    <t xml:space="preserve">LMGP02011101</t>
  </si>
  <si>
    <t xml:space="preserve">52924802</t>
  </si>
  <si>
    <t xml:space="preserve">[C@](COP(=O)(O)OCCN)([H])(OC(CC/C=C\C/C=C\C/C=C\C/C=C\C/C=C\C/C=C\CC)=O)COC(CCCCCCCCCCC/C=C\C/C=C\CCCCC)=O</t>
  </si>
  <si>
    <t xml:space="preserve">PZOFJKJVUSUYLU-FQZMMQODSA-N</t>
  </si>
  <si>
    <t xml:space="preserve">879.53641</t>
  </si>
  <si>
    <t xml:space="preserve">C27H32N6</t>
  </si>
  <si>
    <t xml:space="preserve">(R)-6-(4-((4-Ethylpiperazin-1-yl)methyl)phenyl)-N-(1-phenylethyl)-7H-pyrrolo[2,3-d]pyrimidin-4-amine</t>
  </si>
  <si>
    <t xml:space="preserve">202026</t>
  </si>
  <si>
    <t xml:space="preserve">HMDB0246698</t>
  </si>
  <si>
    <t xml:space="preserve">170005</t>
  </si>
  <si>
    <t xml:space="preserve">11578515</t>
  </si>
  <si>
    <t xml:space="preserve">CCN1CCN(CC2=CC=C(C=C2)C2=CC3=C(N2)N=CN=C3NC(C)C2=CC=CC=C2)CC1</t>
  </si>
  <si>
    <t xml:space="preserve">OONFNUWBHFSNBT-UHFFFAOYSA-N</t>
  </si>
  <si>
    <t xml:space="preserve">880.56876</t>
  </si>
  <si>
    <t xml:space="preserve">C49H84NO8P</t>
  </si>
  <si>
    <t xml:space="preserve">PE(44:7)</t>
  </si>
  <si>
    <t xml:space="preserve">50256</t>
  </si>
  <si>
    <t xml:space="preserve">HMDB0009540</t>
  </si>
  <si>
    <t xml:space="preserve">60929</t>
  </si>
  <si>
    <t xml:space="preserve">53479878</t>
  </si>
  <si>
    <t xml:space="preserve">[H][C@@](COC(=O)CCCCCCCCCCC\C=C/CCCCCCCC)(COP(O)(=O)OCCN)OC(=O)CC\C=C/C\C=C/C\C=C/C\C=C/C\C=C/C\C=C/CC</t>
  </si>
  <si>
    <t xml:space="preserve">NBLIHSDNMICNGL-QMUNVXQVSA-N</t>
  </si>
  <si>
    <t xml:space="preserve">881.54779</t>
  </si>
  <si>
    <t xml:space="preserve">C43H81O13P</t>
  </si>
  <si>
    <t xml:space="preserve">PI(34:1)</t>
  </si>
  <si>
    <t xml:space="preserve">50431</t>
  </si>
  <si>
    <t xml:space="preserve">HMDB0009782</t>
  </si>
  <si>
    <t xml:space="preserve">88392</t>
  </si>
  <si>
    <t xml:space="preserve">[H][C@@](COC(=O)CCCCCCCCCCCCCCC)(COP(O)(=O)O[C@H]1C(O)C(O)C(O)[C@@H](O)C1O)OC(=O)CCCCCCCCC\C=C/CCCCCC</t>
  </si>
  <si>
    <t xml:space="preserve">YVNORLDGMYIHEG-YXPBIPRFSA-N</t>
  </si>
  <si>
    <t xml:space="preserve">883.33671</t>
  </si>
  <si>
    <t xml:space="preserve">C39H54N10O13S</t>
  </si>
  <si>
    <t xml:space="preserve">gamma-Amanitin</t>
  </si>
  <si>
    <t xml:space="preserve">207067</t>
  </si>
  <si>
    <t xml:space="preserve">HMDB0252608</t>
  </si>
  <si>
    <t xml:space="preserve">107839</t>
  </si>
  <si>
    <t xml:space="preserve">CCC(C)C1NC(=O)CNC(=O)C2CC3=C(NC4=CC(O)=CC=C34)S(=O)CC(NC(=O)CNC1=O)C(=O)NC(CC(N)=O)C(=O)N1CC(O)CC1C(=O)NC(C(C)C(C)O)C(=O)N2</t>
  </si>
  <si>
    <t xml:space="preserve">WVHGJJRMKGDTEC-UHFFFAOYSA-N</t>
  </si>
  <si>
    <t xml:space="preserve">884.55033</t>
  </si>
  <si>
    <t xml:space="preserve">C50H80NO10P</t>
  </si>
  <si>
    <t xml:space="preserve">PS(44:9)</t>
  </si>
  <si>
    <t xml:space="preserve">132923</t>
  </si>
  <si>
    <t xml:space="preserve">HMDB0112811</t>
  </si>
  <si>
    <t xml:space="preserve">131819942</t>
  </si>
  <si>
    <t xml:space="preserve">[H][C@](N)(COP(O)(=O)OC[C@@]([H])(COC(=O)CCCCC\C=C/C\C=C/C\C=C/C\C=C/CCCCC)OC(=O)CC\C=C/C\C=C/C\C=C/C\C=C/C\C=C/CCCCC)C(O)=O</t>
  </si>
  <si>
    <t xml:space="preserve">UXQDVPHZMHCKEB-KLYWOWRNSA-N</t>
  </si>
  <si>
    <t xml:space="preserve">885.55754</t>
  </si>
  <si>
    <t xml:space="preserve">C43H78N6O13</t>
  </si>
  <si>
    <t xml:space="preserve">Muroctasin</t>
  </si>
  <si>
    <t xml:space="preserve">209002</t>
  </si>
  <si>
    <t xml:space="preserve">HMDB0254954</t>
  </si>
  <si>
    <t xml:space="preserve">5093</t>
  </si>
  <si>
    <t xml:space="preserve">CCCCCCCCCCCCCCCCCC(=O)NCCCCC(NC(=O)CCC(NC(=O)C(C)NC(=O)C(C)OC1C(O)C(CO)OC(O)C1NC(C)=O)C(N)=O)C(O)=O</t>
  </si>
  <si>
    <t xml:space="preserve">FKHUGQZRBPETJR-UHFFFAOYSA-N</t>
  </si>
  <si>
    <t xml:space="preserve">886.55797</t>
  </si>
  <si>
    <t xml:space="preserve">C49H80NO8P</t>
  </si>
  <si>
    <t xml:space="preserve">PE(44:9)</t>
  </si>
  <si>
    <t xml:space="preserve">50279</t>
  </si>
  <si>
    <t xml:space="preserve">HMDB0009603</t>
  </si>
  <si>
    <t xml:space="preserve">60992</t>
  </si>
  <si>
    <t xml:space="preserve">53479901</t>
  </si>
  <si>
    <t xml:space="preserve">[H][C@@](COC(=O)CCCCC\C=C/C\C=C/C\C=C/C\C=C/CCCCC)(COP(O)(=O)OCCN)OC(=O)CC\C=C/C\C=C/C\C=C/C\C=C/C\C=C/CCCCC</t>
  </si>
  <si>
    <t xml:space="preserve">HFJDOZKEVDKDAO-NJJQQFSTSA-N</t>
  </si>
  <si>
    <t xml:space="preserve">890.54481</t>
  </si>
  <si>
    <t xml:space="preserve">C50H82NO8P</t>
  </si>
  <si>
    <t xml:space="preserve">PC(42:9)</t>
  </si>
  <si>
    <t xml:space="preserve">49687</t>
  </si>
  <si>
    <t xml:space="preserve">HMDB0008387</t>
  </si>
  <si>
    <t xml:space="preserve">59833</t>
  </si>
  <si>
    <t xml:space="preserve">137121</t>
  </si>
  <si>
    <t xml:space="preserve">53478995</t>
  </si>
  <si>
    <t xml:space="preserve">[H][C@@](COC(=O)CCC\C=C/C\C=C/C\C=C/CCCCCCCC)(COP([O-])(=O)OCC[N+](C)(C)C)OC(=O)CC\C=C/C\C=C/C\C=C/C\C=C/C\C=C/C\C=C/CC</t>
  </si>
  <si>
    <t xml:space="preserve">NBMCSOJQWVAWGA-TWAKRUQDSA-N</t>
  </si>
  <si>
    <t xml:space="preserve">892.47366</t>
  </si>
  <si>
    <t xml:space="preserve">C42H65N13O10</t>
  </si>
  <si>
    <t xml:space="preserve">Sar-Arg-Val-Tyr-Val-His-Pro-Ala</t>
  </si>
  <si>
    <t xml:space="preserve">211164</t>
  </si>
  <si>
    <t xml:space="preserve">HMDB0257488</t>
  </si>
  <si>
    <t xml:space="preserve">CNCC(=O)NC(CCCN=C(N)N)C(=O)NC(C(C)C)C(=O)NC(CC1=CC=C(O)C=C1)C(=O)NC(C(C)C)C(=O)NC(CC1=CN=CN1)C(=O)N1CCCC1C(=O)NC(C)C(O)=O</t>
  </si>
  <si>
    <t xml:space="preserve">PFGWGEPQIUAZME-UHFFFAOYSA-N</t>
  </si>
  <si>
    <t xml:space="preserve">892.58199</t>
  </si>
  <si>
    <t xml:space="preserve">C48H84N3O10P</t>
  </si>
  <si>
    <t xml:space="preserve">Dioleoylphosphatidyl-ddc</t>
  </si>
  <si>
    <t xml:space="preserve">206051</t>
  </si>
  <si>
    <t xml:space="preserve">HMDB0251429</t>
  </si>
  <si>
    <t xml:space="preserve">73092715</t>
  </si>
  <si>
    <t xml:space="preserve">CCCCCCCCC=CCCCCCCCC(=O)OCC(COP(O)(=O)OCC1CCC(O1)N1C=CC(N)=NC1=O)OC(=O)CCCCCCCC=CCCCCCCCC</t>
  </si>
  <si>
    <t xml:space="preserve">FYWMPROSVIHQFQ-UHFFFAOYSA-N</t>
  </si>
  <si>
    <t xml:space="preserve">894.58657</t>
  </si>
  <si>
    <t xml:space="preserve">C50H86NO8P</t>
  </si>
  <si>
    <t xml:space="preserve">PC(42:7)</t>
  </si>
  <si>
    <t xml:space="preserve">19093</t>
  </si>
  <si>
    <t xml:space="preserve">HMDB0008321</t>
  </si>
  <si>
    <t xml:space="preserve">59767</t>
  </si>
  <si>
    <t xml:space="preserve">LMGP01011834</t>
  </si>
  <si>
    <t xml:space="preserve">52923147</t>
  </si>
  <si>
    <t xml:space="preserve">[C@](COP(=O)([O-])OCC[N+](C)(C)C)([H])(OC(CC/C=C\C/C=C\C/C=C\C/C=C\C/C=C\C/C=C\CC)=O)COC(CCCCCCCCC/C=C\CCCCCCCC)=O</t>
  </si>
  <si>
    <t xml:space="preserve">FYVDGOCCFDKYOR-OEQCKVCZSA-N</t>
  </si>
  <si>
    <t xml:space="preserve">895.59559</t>
  </si>
  <si>
    <t xml:space="preserve">C30H40O3</t>
  </si>
  <si>
    <t xml:space="preserve">5,8-Epoxy-5,8-dihydro-3-hydroxy-8'-apo-b,y-carotenal; beta-Citraurin epoxide</t>
  </si>
  <si>
    <t xml:space="preserve">62336; 62390</t>
  </si>
  <si>
    <t xml:space="preserve">HMDB0039024; HMDB0039079</t>
  </si>
  <si>
    <t xml:space="preserve">93630; </t>
  </si>
  <si>
    <t xml:space="preserve">169828; </t>
  </si>
  <si>
    <t xml:space="preserve">131752520; 131752538</t>
  </si>
  <si>
    <t xml:space="preserve">54899-35-3; 71869-83-5</t>
  </si>
  <si>
    <t xml:space="preserve">C\C(C=O)=C\C=C\C(\C)=C\C=C\C=C(/C)\C=C\C=C(\C)C1OC2(C)CC(O)CC(C)(C)C2=C1; C\C(C=O)=C/C=C/C(/C)=C/C=C/C=C(\C)/C=C/C=C(/C)\C=C\C12OC1(C)CC(O)CC2(C)C</t>
  </si>
  <si>
    <t xml:space="preserve">DFTUPAXJLNIGJB-UUVOACAKSA-N; TUSQPOXZYYVVMH-STNACPSUSA-N</t>
  </si>
  <si>
    <t xml:space="preserve">895.74899</t>
  </si>
  <si>
    <t xml:space="preserve">C55H104O6</t>
  </si>
  <si>
    <t xml:space="preserve">TG(52:1)</t>
  </si>
  <si>
    <t xml:space="preserve">48488</t>
  </si>
  <si>
    <t xml:space="preserve">HMDB0005361</t>
  </si>
  <si>
    <t xml:space="preserve">4795</t>
  </si>
  <si>
    <t xml:space="preserve">9544062</t>
  </si>
  <si>
    <t xml:space="preserve">[H][C@](COC(=O)CCCCCCCCCCCCCCC)(COC(=O)CCCCCCCCC\C=C/CCCCCCCC)OC(=O)CCCCCCCCCCCCCCC</t>
  </si>
  <si>
    <t xml:space="preserve">XRTUKMLVVRMOLM-LSPMGEJTSA-N</t>
  </si>
  <si>
    <t xml:space="preserve">896.38695</t>
  </si>
  <si>
    <t xml:space="preserve">C41H55N9O14</t>
  </si>
  <si>
    <t xml:space="preserve">Citrusin IV</t>
  </si>
  <si>
    <t xml:space="preserve">256539</t>
  </si>
  <si>
    <t xml:space="preserve">HMDB0303683</t>
  </si>
  <si>
    <t xml:space="preserve">CC(C)C1NC(=O)C(CCC(O)=O)NC(=O)CNC(=O)C(CC2=CNC3=CC=CC=C23)NC(=O)C(CCC(O)=O)NC(=O)C(C)NC(=O)C(CCC(O)=O)NC(=O)C2CCCN2C1=O</t>
  </si>
  <si>
    <t xml:space="preserve">BZZYMYLXSCBOFH-UHFFFAOYSA-N</t>
  </si>
  <si>
    <t xml:space="preserve">897.61952</t>
  </si>
  <si>
    <t xml:space="preserve">C26H43NO5</t>
  </si>
  <si>
    <t xml:space="preserve">Chenodeoxyglycocholic acid; Deoxycholic acid glycine conjugate; Chenodeoxycholic acid glycine conjugate</t>
  </si>
  <si>
    <t xml:space="preserve">48925; 47131; 46732</t>
  </si>
  <si>
    <t xml:space="preserve">HMDB0006898; HMDB0000631; HMDB0000637</t>
  </si>
  <si>
    <t xml:space="preserve">; 5604; 43193</t>
  </si>
  <si>
    <t xml:space="preserve">; ; LMST05030008</t>
  </si>
  <si>
    <t xml:space="preserve">C05462; C05464; C05466</t>
  </si>
  <si>
    <t xml:space="preserve">; 27471; 36274</t>
  </si>
  <si>
    <t xml:space="preserve">53477907; 22833539; 12544</t>
  </si>
  <si>
    <t xml:space="preserve">; 360-65-6; 640-79-9</t>
  </si>
  <si>
    <t xml:space="preserve">CC(CCC(=O)NCC(O)=O)C1CCC2C3[C@H](O)CC4C[C@H](O)CC[C@]4(C)C3CC[C@]12C; [H][C@]12CCC3C4CC[C@H]([C@H](C)CCC(=O)NCC(O)=O)[C@@]4(C)[C@@H](O)CC3[C@@]1(C)CC[C@@H](O)C2; [C@]12([C@H](O)C[C@]3([H])C[C@H](O)CC[C@]3(C)[C@@]1([H])CC[C@]1(C)[C@@]([H])([C@@](C)([H])CCC(=O)NCC(=O)O)CC[C@@]21[H])[H]</t>
  </si>
  <si>
    <t xml:space="preserve">GHCZAUBVMUEKKP-AFQLCFGXSA-N; WVULKSPCQVQLCU-ZMBDPXIHSA-N; GHCZAUBVMUEKKP-GYPHWSFCSA-N</t>
  </si>
  <si>
    <t xml:space="preserve">897.76881</t>
  </si>
  <si>
    <t xml:space="preserve">C55H106O6</t>
  </si>
  <si>
    <t xml:space="preserve">TG(52:0)</t>
  </si>
  <si>
    <t xml:space="preserve">48485</t>
  </si>
  <si>
    <t xml:space="preserve">HMDB0005358</t>
  </si>
  <si>
    <t xml:space="preserve">131750335</t>
  </si>
  <si>
    <t xml:space="preserve">[H][C@](COC(=O)CCCCCCCCCCCCCCC)(COC(=O)CCCCCCCCCCCCCCCCCCC)OC(=O)CCCCCCCCCCCCCCC</t>
  </si>
  <si>
    <t xml:space="preserve">YDZWEVBRICYXOV-MPLRIKRWSA-N</t>
  </si>
  <si>
    <t xml:space="preserve">899.31531</t>
  </si>
  <si>
    <t xml:space="preserve">C23H23ClN6O2</t>
  </si>
  <si>
    <t xml:space="preserve">Suvorexant</t>
  </si>
  <si>
    <t xml:space="preserve">212120</t>
  </si>
  <si>
    <t xml:space="preserve">HMDB0258640</t>
  </si>
  <si>
    <t xml:space="preserve">57505028</t>
  </si>
  <si>
    <t xml:space="preserve">CC1CCN(CCN1C(=O)C1=C(C=CC(C)=C1)N1N=CC=N1)C1=NC2=C(O1)C=CC(Cl)=C2</t>
  </si>
  <si>
    <t xml:space="preserve">JYTNQNCOQXFQPK-UHFFFAOYSA-N</t>
  </si>
  <si>
    <t xml:space="preserve">900.32036</t>
  </si>
  <si>
    <t xml:space="preserve">C39H53N9O15S</t>
  </si>
  <si>
    <t xml:space="preserve">BETA-AMANITIN</t>
  </si>
  <si>
    <t xml:space="preserve">204110</t>
  </si>
  <si>
    <t xml:space="preserve">HMDB0249096</t>
  </si>
  <si>
    <t xml:space="preserve">2276</t>
  </si>
  <si>
    <t xml:space="preserve">CCC(C)C1NC(=O)CNC(=O)C2CC3=C(NC4=CC(O)=CC=C34)S(=O)CC(NC(=O)CNC1=O)C(=O)NC(CC(O)=O)C(=O)N1CC(O)CC1C(=O)NC(C(C)C(O)CO)C(=O)N2</t>
  </si>
  <si>
    <t xml:space="preserve">IEQCUEXVAPAFMQ-UHFFFAOYSA-N</t>
  </si>
  <si>
    <t xml:space="preserve">900.52398</t>
  </si>
  <si>
    <t xml:space="preserve">C43H81N3O14</t>
  </si>
  <si>
    <t xml:space="preserve">11-((2-Dimethylaminoethyl)oxymethyl)erythromycin A 9-methoxime</t>
  </si>
  <si>
    <t xml:space="preserve">206456</t>
  </si>
  <si>
    <t xml:space="preserve">HMDB0251898</t>
  </si>
  <si>
    <t xml:space="preserve">84017</t>
  </si>
  <si>
    <t xml:space="preserve">CCC1OC(=O)C(C)C(OC2CC(C)(OC)C(O)C(C)O2)C(C)C(OC2OC(C)CC(C2O)N(C)C)C(C)(O)CC(C)C(=NOC)C(C)C(OCOCCN(C)C)C1(C)O</t>
  </si>
  <si>
    <t xml:space="preserve">OYWJWZVRBXELPW-UHFFFAOYSA-N</t>
  </si>
  <si>
    <t xml:space="preserve">901.32998</t>
  </si>
  <si>
    <t xml:space="preserve">C22H27ClFN3O4</t>
  </si>
  <si>
    <t xml:space="preserve">4-Amino-5-chloro-N-[(3S,4R)-1-[3-(4-fluorophenoxy)propyl]-3-methoxypiperidin-4-yl]-2-hydroxybenzamide</t>
  </si>
  <si>
    <t xml:space="preserve">200712</t>
  </si>
  <si>
    <t xml:space="preserve">HMDB0245274</t>
  </si>
  <si>
    <t xml:space="preserve">14372590</t>
  </si>
  <si>
    <t xml:space="preserve">COC1CN(CCCOC2=CC=C(F)C=C2)CCC1NC(=O)C1=CC(Cl)=C(N)C=C1O</t>
  </si>
  <si>
    <t xml:space="preserve">WUYNAGSDZADZCE-UHFFFAOYSA-N</t>
  </si>
  <si>
    <t xml:space="preserve">901.56228</t>
  </si>
  <si>
    <t xml:space="preserve">C45H87O13P</t>
  </si>
  <si>
    <t xml:space="preserve">PI(36:0); Phosphatidylinositols,soya</t>
  </si>
  <si>
    <t xml:space="preserve">50433; 202891</t>
  </si>
  <si>
    <t xml:space="preserve">HMDB0009785; HMDB0247688</t>
  </si>
  <si>
    <t xml:space="preserve">88388; </t>
  </si>
  <si>
    <t xml:space="preserve">; 44134894</t>
  </si>
  <si>
    <t xml:space="preserve">[H][C@@](COC(=O)CCCCCCCCCCCCCCC)(COP(O)(=O)O[C@H]1C(O)C(O)C(O)[C@@H](O)C1O)OC(=O)CCCCCCCCCCCCCCCCCCC; CCCCCCCCCCCCCCCCCC(=O)OCC(COP(O)(=O)OC1C(O)C(O)C(O)C(O)C1O)OC(=O)CCCCCCCCCCCCCCCCC</t>
  </si>
  <si>
    <t xml:space="preserve">RWZGSUKHWVGIAM-SNXKPFKBSA-N; FQZQXPXKJFOAGE-UHFFFAOYSA-N</t>
  </si>
  <si>
    <t xml:space="preserve">Glycerophosphoinositols; Glycerophosphoinositols</t>
  </si>
  <si>
    <t xml:space="preserve">902.53074</t>
  </si>
  <si>
    <t xml:space="preserve">C48H84NO10P</t>
  </si>
  <si>
    <t xml:space="preserve">PE(DiMe(11,3)/MonoMe(13,5)); PE(DiMe(11,5)/MonoMe(11,5)); PE(DiMe(13,5)/MonoMe(11,3))</t>
  </si>
  <si>
    <t xml:space="preserve">83088; 83096; 83104</t>
  </si>
  <si>
    <t xml:space="preserve">HMDB0061478; HMDB0061486; HMDB0061494</t>
  </si>
  <si>
    <t xml:space="preserve">[H]C1=C(CCCCC)OC(CCCCCCCCCCCCC(=O)O[C@H](COC(=O)CCCCCCCCCCC2=C(C)C(C)=C(CCC)O2)COP(O)(=O)OCCN)=C1C; [H]C1=C(CCCCC)OC(CCCCCCCCCCC(=O)O[C@H](COC(=O)CCCCCCCCCCC2=C(C)C(C)=C(CCCCC)O2)COP(O)(=O)OCCN)=C1C; [H]C1=C(CCC)OC(CCCCCCCCCCC(=O)O[C@H](COC(=O)CCCCCCCCCCCCC2=C(C)C(C)=C(CCCCC)O2)COP(O)(=O)OCCN)=C1C</t>
  </si>
  <si>
    <t xml:space="preserve">UAMPKQWQTADZOO-VZUYHUTRSA-N; PYFCFCHMLIUMLO-VZUYHUTRSA-N; JDJZKGQIIUFPHQ-VZUYHUTRSA-N</t>
  </si>
  <si>
    <t xml:space="preserve">Glycerophosphoethanolamines; Glycerophosphoethanolamines; Glycerophosphoethanolamines</t>
  </si>
  <si>
    <t xml:space="preserve">904.54694</t>
  </si>
  <si>
    <t xml:space="preserve">C48H86NO10P</t>
  </si>
  <si>
    <t xml:space="preserve">PS(42:4)</t>
  </si>
  <si>
    <t xml:space="preserve">132764</t>
  </si>
  <si>
    <t xml:space="preserve">HMDB0112467</t>
  </si>
  <si>
    <t xml:space="preserve">131819784</t>
  </si>
  <si>
    <t xml:space="preserve">[H][C@](N)(COP(O)(=O)OC[C@@]([H])(COC(=O)CCCC\C=C/C\C=C/C\C=C/CCCCC)OC(=O)CCCCCCCCCCCCC\C=C/CCCCCCCC)C(O)=O</t>
  </si>
  <si>
    <t xml:space="preserve">RWNSMALZDPHCRU-ZXJXEZBQSA-N</t>
  </si>
  <si>
    <t xml:space="preserve">906.57368</t>
  </si>
  <si>
    <t xml:space="preserve">C51H86NO8P</t>
  </si>
  <si>
    <t xml:space="preserve">DMPE(44:8)</t>
  </si>
  <si>
    <t xml:space="preserve">134595</t>
  </si>
  <si>
    <t xml:space="preserve">HMDB0114492</t>
  </si>
  <si>
    <t xml:space="preserve">131821599</t>
  </si>
  <si>
    <t xml:space="preserve">[H]C(COC(=O)CCCCCCCCCCC\C=C/C\C=C/CCCCC)(COP(O)(=O)OCCN(C)C)OC(=O)CC\C=C/C\C=C/C\C=C/C\C=C/C\C=C/C\C=C/CC</t>
  </si>
  <si>
    <t xml:space="preserve">YFWVHSRDQQCICM-MZEONCIYSA-N</t>
  </si>
  <si>
    <t xml:space="preserve">907.56862</t>
  </si>
  <si>
    <t xml:space="preserve">C15H10I5NO3</t>
  </si>
  <si>
    <t xml:space="preserve">thyroxine iodide</t>
  </si>
  <si>
    <t xml:space="preserve">212484</t>
  </si>
  <si>
    <t xml:space="preserve">HMDB0259063</t>
  </si>
  <si>
    <t xml:space="preserve">NC(CC1=CC(I)=C(OC2=CC(I)=C(O)C(I)=C2)C(I)=C1)C(I)=O</t>
  </si>
  <si>
    <t xml:space="preserve">QPEUGGRCQCJCHH-UHFFFAOYSA-N</t>
  </si>
  <si>
    <t xml:space="preserve">908.58397</t>
  </si>
  <si>
    <t xml:space="preserve">C48H90NO10P</t>
  </si>
  <si>
    <t xml:space="preserve">PS(42:2)</t>
  </si>
  <si>
    <t xml:space="preserve">132743</t>
  </si>
  <si>
    <t xml:space="preserve">HMDB0112408</t>
  </si>
  <si>
    <t xml:space="preserve">131819763</t>
  </si>
  <si>
    <t xml:space="preserve">[H][C@](N)(COP(O)(=O)OC[C@@]([H])(COC(=O)CCCCCCCCC\C=C/CCCCCC)OC(=O)CCCCCCCCCCCCC\C=C/CCCCCCCC)C(O)=O</t>
  </si>
  <si>
    <t xml:space="preserve">YVFFROKWBKKDIN-CTMSDWBOSA-N</t>
  </si>
  <si>
    <t xml:space="preserve">909.56312</t>
  </si>
  <si>
    <t xml:space="preserve">C45H85O13P</t>
  </si>
  <si>
    <t xml:space="preserve">PI(36:1)</t>
  </si>
  <si>
    <t xml:space="preserve">24672</t>
  </si>
  <si>
    <t xml:space="preserve">HMDB0240667</t>
  </si>
  <si>
    <t xml:space="preserve">LMGP06010957</t>
  </si>
  <si>
    <t xml:space="preserve">77346</t>
  </si>
  <si>
    <t xml:space="preserve">52928410</t>
  </si>
  <si>
    <t xml:space="preserve">58116-17-9</t>
  </si>
  <si>
    <t xml:space="preserve">[C@]([H])(OC(CCCCCCC/C=C\CCCCCCCC)=O)(COP(=O)(O)O[C@H]1[C@H](O)[C@@H](O)[C@H](O)[C@@H](O)[C@H]1O)COC(CCCCCCCCCCCCCCCCC)=O</t>
  </si>
  <si>
    <t xml:space="preserve">YOBFISPJJWPPTK-BAAZTTAESA-N</t>
  </si>
  <si>
    <t xml:space="preserve">910.55344</t>
  </si>
  <si>
    <t xml:space="preserve">C50H75N9O8</t>
  </si>
  <si>
    <t xml:space="preserve">Ditekiren</t>
  </si>
  <si>
    <t xml:space="preserve">206110</t>
  </si>
  <si>
    <t xml:space="preserve">HMDB0251488</t>
  </si>
  <si>
    <t xml:space="preserve">10011063</t>
  </si>
  <si>
    <t xml:space="preserve">CCC(C)C(NC(=O)C(CC(O)C(CC(C)C)NC(=O)C(CC1=CN=CN1)N(C)C(=O)C(CC1=CC=CC=C1)NC(=O)C1CCCN1C(=O)OC(C)(C)C)C(C)C)C(=O)NCC1=CC=CC=N1</t>
  </si>
  <si>
    <t xml:space="preserve">SASWSEQJAITMKS-UHFFFAOYSA-N</t>
  </si>
  <si>
    <t xml:space="preserve">911.56848</t>
  </si>
  <si>
    <t xml:space="preserve">C49H85O13P</t>
  </si>
  <si>
    <t xml:space="preserve">PI(40:5)</t>
  </si>
  <si>
    <t xml:space="preserve">50465</t>
  </si>
  <si>
    <t xml:space="preserve">HMDB0009819</t>
  </si>
  <si>
    <t xml:space="preserve">88575</t>
  </si>
  <si>
    <t xml:space="preserve">[H][C@@](COC(=O)CCCCCCCCCCCCCCCCC)(COP(O)(=O)O[C@H]1C(O)C(O)C(O)[C@@H](O)C1O)OC(=O)CC\C=C/C\C=C/C\C=C/C\C=C/C\C=C/CCCCC</t>
  </si>
  <si>
    <t xml:space="preserve">MQRZIONTIPBTLX-WYVFJCPGSA-N</t>
  </si>
  <si>
    <t xml:space="preserve">912.57728</t>
  </si>
  <si>
    <t xml:space="preserve">C51H82NO8P</t>
  </si>
  <si>
    <t xml:space="preserve">DMPE(44:10)</t>
  </si>
  <si>
    <t xml:space="preserve">134647</t>
  </si>
  <si>
    <t xml:space="preserve">HMDB0114544</t>
  </si>
  <si>
    <t xml:space="preserve">131821651</t>
  </si>
  <si>
    <t xml:space="preserve">[H]C(COC(=O)CC\C=C/C\C=C/C\C=C/C\C=C/C\C=C/CCCCC)(COP(O)(=O)OCCN(C)C)OC(=O)CC\C=C/C\C=C/C\C=C/C\C=C/C\C=C/CCCCC</t>
  </si>
  <si>
    <t xml:space="preserve">LPXQVHGQAMJBHF-RTMIHEHISA-N</t>
  </si>
  <si>
    <t xml:space="preserve">913.58458</t>
  </si>
  <si>
    <t xml:space="preserve">C49H87O13P</t>
  </si>
  <si>
    <t xml:space="preserve">PI(40:4)</t>
  </si>
  <si>
    <t xml:space="preserve">50463</t>
  </si>
  <si>
    <t xml:space="preserve">HMDB0009817</t>
  </si>
  <si>
    <t xml:space="preserve">88573</t>
  </si>
  <si>
    <t xml:space="preserve">[H][C@@](COC(=O)CCCCCCCCCCCCCCCCC)(COP(O)(=O)O[C@H]1C(O)C(O)C(O)[C@@H](O)C1O)OC(=O)CCCCCCCC\C=C/C\C=C/C\C=C/C\C=C/CC</t>
  </si>
  <si>
    <t xml:space="preserve">VTYLJIRGLIZEIC-AFBXMZPGSA-N</t>
  </si>
  <si>
    <t xml:space="preserve">914.56951</t>
  </si>
  <si>
    <t xml:space="preserve">C49H86NO10P</t>
  </si>
  <si>
    <t xml:space="preserve">PE(DiMe(11,3)/DiMe(13,5)); PE(DiMe(11,5)/DiMe(11,5)); PE(DiMe(13,5)/DiMe(11,3))</t>
  </si>
  <si>
    <t xml:space="preserve">83083; 83091; 83099</t>
  </si>
  <si>
    <t xml:space="preserve">HMDB0061473; HMDB0061481; HMDB0061489</t>
  </si>
  <si>
    <t xml:space="preserve">CCCCCC1=C(C)C(C)=C(CCCCCCCCCCCCC(=O)O[C@H](COC(=O)CCCCCCCCCCC2=C(C)C(C)=C(CCC)O2)COP(O)(=O)OCCN)O1; CCCCCC1=C(C)C(C)=C(CCCCCCCCCCC(=O)OC[C@H](COP(O)(=O)OCCN)OC(=O)CCCCCCCCCCC2=C(C)C(C)=C(CCCCC)O2)O1; CCCCCC1=C(C)C(C)=C(CCCCCCCCCCCCC(=O)OC[C@H](COP(O)(=O)OCCN)OC(=O)CCCCCCCCCCC2=C(C)C(C)=C(CCC)O2)O1</t>
  </si>
  <si>
    <t xml:space="preserve">CDNPWVGGWXNTBR-VZUYHUTRSA-N; IBAYQVACCJSDJX-VZUYHUTRSA-N; NKKQINAZXXBALB-VZUYHUTRSA-N</t>
  </si>
  <si>
    <t xml:space="preserve">917.53257</t>
  </si>
  <si>
    <t xml:space="preserve">C25H37N3O5</t>
  </si>
  <si>
    <t xml:space="preserve">3-Benzyl-5-(6-carboxyhexyl)-1-(2-cyclohexyl-2-hydroxyethylamino)hydantoin</t>
  </si>
  <si>
    <t xml:space="preserve">204431</t>
  </si>
  <si>
    <t xml:space="preserve">HMDB0249489</t>
  </si>
  <si>
    <t xml:space="preserve">45418</t>
  </si>
  <si>
    <t xml:space="preserve">122021</t>
  </si>
  <si>
    <t xml:space="preserve">118675-50-6</t>
  </si>
  <si>
    <t xml:space="preserve">OC(CNN1C(CCCCCCC(O)=O)C(=O)N(CC2=CC=CC=C2)C1=O)C1CCCCC1</t>
  </si>
  <si>
    <t xml:space="preserve">YZJVWSKJHGEIBL-UHFFFAOYSA-N</t>
  </si>
  <si>
    <t xml:space="preserve">919.58212</t>
  </si>
  <si>
    <t xml:space="preserve">C31H40O3</t>
  </si>
  <si>
    <t xml:space="preserve">Menatetrenone Epoxide</t>
  </si>
  <si>
    <t xml:space="preserve">208558</t>
  </si>
  <si>
    <t xml:space="preserve">HMDB0254438</t>
  </si>
  <si>
    <t xml:space="preserve">85141871</t>
  </si>
  <si>
    <t xml:space="preserve">CC(C)=CCCC(C)=CCCC(C)=CCCC(C)=CCC12OC1(C)C(=O)C1=CC=CC=C1C2=O</t>
  </si>
  <si>
    <t xml:space="preserve">TUZHANAISKEZFG-UHFFFAOYSA-N</t>
  </si>
  <si>
    <t xml:space="preserve">919.74551</t>
  </si>
  <si>
    <t xml:space="preserve">C57H104O6</t>
  </si>
  <si>
    <t xml:space="preserve">TG(54:3)</t>
  </si>
  <si>
    <t xml:space="preserve">48515</t>
  </si>
  <si>
    <t xml:space="preserve">HMDB0005389</t>
  </si>
  <si>
    <t xml:space="preserve">9544231</t>
  </si>
  <si>
    <t xml:space="preserve">[H][C@](COC(=O)CCCCCCCCCCCCCCC)(COC(=O)CCCCCCCCC\C=C/CCCCCCCC)OC(=O)CCCCCCC\C=C/C\C=C/CCCCC</t>
  </si>
  <si>
    <t xml:space="preserve">YZEDZPDPXZLZNB-ZWFWDJCYSA-N</t>
  </si>
  <si>
    <t xml:space="preserve">920.60102</t>
  </si>
  <si>
    <t xml:space="preserve">C52H88NO8P</t>
  </si>
  <si>
    <t xml:space="preserve">PC(44:8)</t>
  </si>
  <si>
    <t xml:space="preserve">19324</t>
  </si>
  <si>
    <t xml:space="preserve">HMDB0008616</t>
  </si>
  <si>
    <t xml:space="preserve">60062</t>
  </si>
  <si>
    <t xml:space="preserve">LMGP01012065</t>
  </si>
  <si>
    <t xml:space="preserve">52923607</t>
  </si>
  <si>
    <t xml:space="preserve">[C@](COP(=O)([O-])OCC[N+](C)(C)C)([H])(OC(CC/C=C\C/C=C\C/C=C\C/C=C\C/C=C\C/C=C\CC)=O)COC(CCCCCCCCCCC/C=C\C/C=C\CCCCC)=O</t>
  </si>
  <si>
    <t xml:space="preserve">DGMIFZYXZKMMFC-QNRZDJQYSA-N</t>
  </si>
  <si>
    <t xml:space="preserve">921.76659</t>
  </si>
  <si>
    <t xml:space="preserve">C57H106O6</t>
  </si>
  <si>
    <t xml:space="preserve">TG(54:2)</t>
  </si>
  <si>
    <t xml:space="preserve">48509</t>
  </si>
  <si>
    <t xml:space="preserve">HMDB0005383</t>
  </si>
  <si>
    <t xml:space="preserve">9544199</t>
  </si>
  <si>
    <t xml:space="preserve">[H][C@](COC(=O)CCCCCCCCCCCCCCC)(COC(=O)CCCCCCCCC\C=C/CCCCCCCC)OC(=O)CCCCCCC\C=C/CCCCCCCC</t>
  </si>
  <si>
    <t xml:space="preserve">FPUBLSPUCGHELU-VMQTVZDXSA-N</t>
  </si>
  <si>
    <t xml:space="preserve">922.60916</t>
  </si>
  <si>
    <t xml:space="preserve">C52H90NO8P</t>
  </si>
  <si>
    <t xml:space="preserve">PC(44:7)</t>
  </si>
  <si>
    <t xml:space="preserve">49773</t>
  </si>
  <si>
    <t xml:space="preserve">HMDB0008583</t>
  </si>
  <si>
    <t xml:space="preserve">60029</t>
  </si>
  <si>
    <t xml:space="preserve">53479213</t>
  </si>
  <si>
    <t xml:space="preserve">CCCCCCCC\C=C/CCCCCCCCCCCC(=O)OC[C@]([H])(COP([O-])(=O)OCC[N+](C)(C)C)OC(=O)CC\C=C/C\C=C/C\C=C/C\C=C/C\C=C/C\C=C/CC</t>
  </si>
  <si>
    <t xml:space="preserve">BMQZUVJDTYLGMN-FENGWBDOSA-N</t>
  </si>
  <si>
    <t xml:space="preserve">923.62474</t>
  </si>
  <si>
    <t xml:space="preserve">C31H42O3</t>
  </si>
  <si>
    <t xml:space="preserve">Hydroxysintaxanthin 5,6-epoxide</t>
  </si>
  <si>
    <t xml:space="preserve">62397</t>
  </si>
  <si>
    <t xml:space="preserve">HMDB0039086</t>
  </si>
  <si>
    <t xml:space="preserve">93691</t>
  </si>
  <si>
    <t xml:space="preserve">131752541</t>
  </si>
  <si>
    <t xml:space="preserve">CC(=O)C(\C)=C\C=C\C(\C)=C\C=C/C=C(\C)/C=C/C=C(/C)\C=C\C12OC1(C)CC(O)CC2(C)C</t>
  </si>
  <si>
    <t xml:space="preserve">HPOMATRGLHSHPK-MBEKKZSISA-N</t>
  </si>
  <si>
    <t xml:space="preserve">923.77718</t>
  </si>
  <si>
    <t xml:space="preserve">C57H108O6</t>
  </si>
  <si>
    <t xml:space="preserve">TG(54:1)</t>
  </si>
  <si>
    <t xml:space="preserve">48494</t>
  </si>
  <si>
    <t xml:space="preserve">HMDB0005368</t>
  </si>
  <si>
    <t xml:space="preserve">9544170</t>
  </si>
  <si>
    <t xml:space="preserve">[H][C@](COC(=O)CCCCCCCCCCCCCCC)(COC(=O)CCCCCCCCC\C=C/CCCCCCCC)OC(=O)CCCCCCCCCCCCCCCCC</t>
  </si>
  <si>
    <t xml:space="preserve">AOSKWYIWKDMXST-SEDDCBKKSA-N</t>
  </si>
  <si>
    <t xml:space="preserve">924.60310</t>
  </si>
  <si>
    <t xml:space="preserve">C48H91NO11S</t>
  </si>
  <si>
    <t xml:space="preserve">Sulfatide (D42:2)</t>
  </si>
  <si>
    <t xml:space="preserve">51994</t>
  </si>
  <si>
    <t xml:space="preserve">HMDB0012318</t>
  </si>
  <si>
    <t xml:space="preserve">C06125</t>
  </si>
  <si>
    <t xml:space="preserve">24779587</t>
  </si>
  <si>
    <t xml:space="preserve">151057-28-2</t>
  </si>
  <si>
    <t xml:space="preserve">CCCCCCCCCCCCC\C=C\[C@](O)([H])[C@]([H])(CO[C@@H]1O[C@H](CO)[C@H](O)C(OS(=O)(O)=O)C1O)NC(=O)CCCCCCCCCCCCC\C=C/CCCCCCCC</t>
  </si>
  <si>
    <t xml:space="preserve">ZZQWQNAZXFNSEP-YEWIENRVSA-N</t>
  </si>
  <si>
    <t xml:space="preserve">Glycosphingolipids</t>
  </si>
  <si>
    <t xml:space="preserve">925.54071</t>
  </si>
  <si>
    <t xml:space="preserve">C29H37NO4</t>
  </si>
  <si>
    <t xml:space="preserve">Bucromarone</t>
  </si>
  <si>
    <t xml:space="preserve">204374</t>
  </si>
  <si>
    <t xml:space="preserve">HMDB0249424</t>
  </si>
  <si>
    <t xml:space="preserve">132852</t>
  </si>
  <si>
    <t xml:space="preserve">CCCCN(CCCC)CCCOC1=C(C)C=C(C=C1C)C(=O)C1=CC(=O)C2=CC=CC=C2O1</t>
  </si>
  <si>
    <t xml:space="preserve">DYGLNTZLBQBOPT-UHFFFAOYSA-N</t>
  </si>
  <si>
    <t xml:space="preserve">926.60642</t>
  </si>
  <si>
    <t xml:space="preserve">C52H92NO8P</t>
  </si>
  <si>
    <t xml:space="preserve">PC(44:6)</t>
  </si>
  <si>
    <t xml:space="preserve">49747</t>
  </si>
  <si>
    <t xml:space="preserve">HMDB0008520</t>
  </si>
  <si>
    <t xml:space="preserve">59966</t>
  </si>
  <si>
    <t xml:space="preserve">53479137</t>
  </si>
  <si>
    <t xml:space="preserve">CCCCCCCC\C=C/CCCCCCCCCCCCCC(=O)O[C@]([H])(COC(=O)CCC\C=C/C\C=C/C\C=C/C\C=C/C\C=C/CC)COP([O-])(=O)OCC[N+](C)(C)C</t>
  </si>
  <si>
    <t xml:space="preserve">JNSNGAGZRAXQPY-WBSLUPPMSA-N</t>
  </si>
  <si>
    <t xml:space="preserve">927.62343</t>
  </si>
  <si>
    <t xml:space="preserve">C59H88O6</t>
  </si>
  <si>
    <t xml:space="preserve">TG(56:13)</t>
  </si>
  <si>
    <t xml:space="preserve">77923</t>
  </si>
  <si>
    <t xml:space="preserve">HMDB0055503</t>
  </si>
  <si>
    <t xml:space="preserve">131766023</t>
  </si>
  <si>
    <t xml:space="preserve">[H][C@](COC(=O)CCCC\C=C/C\C=C/C\C=C/C\C=C/CC)(COC(=O)CCC\C=C/C\C=C/C\C=C/C\C=C/C\C=C/CC)OC(=O)CCCC\C=C/C\C=C/C\C=C/C\C=C/CC</t>
  </si>
  <si>
    <t xml:space="preserve">WQKMYDTWATUDSH-QNFKDGTCSA-N</t>
  </si>
  <si>
    <t xml:space="preserve">928.58529</t>
  </si>
  <si>
    <t xml:space="preserve">C50H88NO10P</t>
  </si>
  <si>
    <t xml:space="preserve">PE(DiMe(11,5)/MonoMe(13,5)); PE(DiMe(13,5)/MonoMe(11,5)); PE(MonoMe(11,5)/DiMe(13,5))</t>
  </si>
  <si>
    <t xml:space="preserve">83097; 83105; 83137</t>
  </si>
  <si>
    <t xml:space="preserve">HMDB0061487; HMDB0061495; HMDB0061527</t>
  </si>
  <si>
    <t xml:space="preserve">[H]C1=C(CCCCC)OC(CCCCCCCCCCCCC(=O)O[C@H](COC(=O)CCCCCCCCCCC2=C(C)C(C)=C(CCCCC)O2)COP(O)(=O)OCCN)=C1C; [H]C1=C(CCCCC)OC(CCCCCCCCCCC(=O)O[C@H](COC(=O)CCCCCCCCCCCCC2=C(C)C(C)=C(CCCCC)O2)COP(O)(=O)OCCN)=C1C; [H]C1=C(CCCCC)OC(CCCCCCCCCCC(=O)OC[C@H](COP(O)(=O)OCCN)OC(=O)CCCCCCCCCCCCC2=C(C)C(C)=C(CCCCC)O2)=C1C</t>
  </si>
  <si>
    <t xml:space="preserve">WDYHIEHMTFODHG-WBVITSLISA-N; KYWBAAGMBQKNKK-WBVITSLISA-N; MSZKNLRRNYTLAI-WBVITSLISA-N</t>
  </si>
  <si>
    <t xml:space="preserve">929.56068</t>
  </si>
  <si>
    <t xml:space="preserve">C22H44NO7P</t>
  </si>
  <si>
    <t xml:space="preserve">LPC(14:1)</t>
  </si>
  <si>
    <t xml:space="preserve">19828</t>
  </si>
  <si>
    <t xml:space="preserve">HMDB0010380</t>
  </si>
  <si>
    <t xml:space="preserve">40280</t>
  </si>
  <si>
    <t xml:space="preserve">LMGP01050014</t>
  </si>
  <si>
    <t xml:space="preserve">73794</t>
  </si>
  <si>
    <t xml:space="preserve">24779456</t>
  </si>
  <si>
    <t xml:space="preserve">[C@](COP(=O)([O-])OCC[N+](C)(C)C)([H])(O)COC(CCCCCCC/C=C\CCCC)=O</t>
  </si>
  <si>
    <t xml:space="preserve">JXGLGTFMAQOJBB-HEDKFQSOSA-N</t>
  </si>
  <si>
    <t xml:space="preserve">931.55973</t>
  </si>
  <si>
    <t xml:space="preserve">C28H38N2O4</t>
  </si>
  <si>
    <t xml:space="preserve">Cephaeline</t>
  </si>
  <si>
    <t xml:space="preserve">204692</t>
  </si>
  <si>
    <t xml:space="preserve">HMDB0249806</t>
  </si>
  <si>
    <t xml:space="preserve">2665</t>
  </si>
  <si>
    <t xml:space="preserve">CCC1CN2CCC3=CC(OC)=C(OC)C=C3C2CC1CC1NCCC2=CC(O)=C(OC)C=C12</t>
  </si>
  <si>
    <t xml:space="preserve">DTGZHCFJNDAHEN-UHFFFAOYSA-N</t>
  </si>
  <si>
    <t xml:space="preserve">Emetine alkaloids</t>
  </si>
  <si>
    <t xml:space="preserve">933.61578</t>
  </si>
  <si>
    <t xml:space="preserve">C28H41N3O3</t>
  </si>
  <si>
    <t xml:space="preserve">Oxethazaine</t>
  </si>
  <si>
    <t xml:space="preserve">209883</t>
  </si>
  <si>
    <t xml:space="preserve">HMDB0255980</t>
  </si>
  <si>
    <t xml:space="preserve">44658</t>
  </si>
  <si>
    <t xml:space="preserve">C12552</t>
  </si>
  <si>
    <t xml:space="preserve">4621</t>
  </si>
  <si>
    <t xml:space="preserve">126-27-2</t>
  </si>
  <si>
    <t xml:space="preserve">CN(C(=O)CN(CCO)CC(=O)N(C)C(C)(C)CC1=CC=CC=C1)C(C)(C)CC1=CC=CC=C1</t>
  </si>
  <si>
    <t xml:space="preserve">FTLDJPRFCGDUFH-UHFFFAOYSA-N</t>
  </si>
  <si>
    <t xml:space="preserve">Phenethylamines</t>
  </si>
  <si>
    <t xml:space="preserve">934.57369</t>
  </si>
  <si>
    <t xml:space="preserve">C50H84NO10P</t>
  </si>
  <si>
    <t xml:space="preserve">PS(44:7)</t>
  </si>
  <si>
    <t xml:space="preserve">132915</t>
  </si>
  <si>
    <t xml:space="preserve">HMDB0112783</t>
  </si>
  <si>
    <t xml:space="preserve">131819934</t>
  </si>
  <si>
    <t xml:space="preserve">[H][C@](N)(COP(O)(=O)OC[C@@]([H])(COC(=O)CCCCCCCCCCC\C=C/C\C=C/CCCCC)OC(=O)CC\C=C/C\C=C/C\C=C/C\C=C/C\C=C/CCCCC)C(O)=O</t>
  </si>
  <si>
    <t xml:space="preserve">QPIOQTHBRFXYQX-LLDLVOEDSA-N</t>
  </si>
  <si>
    <t xml:space="preserve">937.26500</t>
  </si>
  <si>
    <t xml:space="preserve">C18H24N5O8P</t>
  </si>
  <si>
    <t xml:space="preserve">Bucladesine</t>
  </si>
  <si>
    <t xml:space="preserve">204371</t>
  </si>
  <si>
    <t xml:space="preserve">HMDB0249421</t>
  </si>
  <si>
    <t xml:space="preserve">91494</t>
  </si>
  <si>
    <t xml:space="preserve">2460</t>
  </si>
  <si>
    <t xml:space="preserve">CCCC(=O)NC1=C2N=CN(C3OC4COP(O)(=O)OC4C3OC(=O)CCC)C2=NC=N1</t>
  </si>
  <si>
    <t xml:space="preserve">CJGYSWNGNKCJSB-UHFFFAOYSA-N</t>
  </si>
  <si>
    <t xml:space="preserve">Cyclic purine nucleotides</t>
  </si>
  <si>
    <t xml:space="preserve">944.57408</t>
  </si>
  <si>
    <t xml:space="preserve">C51H90NO10P</t>
  </si>
  <si>
    <t xml:space="preserve">PE(DiMe(11,5)/DiMe(13,5)); PE(DiMe(13,5)/DiMe(11,5)); PE(MonoMe(13,5)/MonoMe(13,5))</t>
  </si>
  <si>
    <t xml:space="preserve">83092; 83100; 83151</t>
  </si>
  <si>
    <t xml:space="preserve">HMDB0061482; HMDB0061490; HMDB0061541</t>
  </si>
  <si>
    <t xml:space="preserve">CCCCCC1=C(C)C(C)=C(CCCCCCCCCCCCC(=O)O[C@H](COC(=O)CCCCCCCCCCC2=C(C)C(C)=C(CCCCC)O2)COP(O)(=O)OCCN)O1; CCCCCC1=C(C)C(C)=C(CCCCCCCCCCCCC(=O)OC[C@H](COP(O)(=O)OCCN)OC(=O)CCCCCCCCCCC2=C(C)C(C)=C(CCCCC)O2)O1; [H]C1=C(CCCCC)OC(CCCCCCCCCCCCC(=O)OC[C@H](COP(O)(=O)OCCN)OC(=O)CCCCCCCCCCCCC2=C(C)C([H])=C(CCCCC)O2)=C1C</t>
  </si>
  <si>
    <t xml:space="preserve">ITYKVNCCHSCSRQ-WBVITSLISA-N; IJPBBGGHYYXFCB-WBVITSLISA-N; XBSWWNAOCKLXBI-QZNUWAOFSA-N</t>
  </si>
  <si>
    <t xml:space="preserve">945.75399</t>
  </si>
  <si>
    <t xml:space="preserve">C53H105O8P</t>
  </si>
  <si>
    <t xml:space="preserve">PA(50:0)</t>
  </si>
  <si>
    <t xml:space="preserve">135439</t>
  </si>
  <si>
    <t xml:space="preserve">HMDB0115762</t>
  </si>
  <si>
    <t xml:space="preserve">131822418</t>
  </si>
  <si>
    <t xml:space="preserve">[H][C@@](COC(=O)CCCCCCCCCCCCCCCCCCCCC(C)CC)(COP(O)(O)=O)OC(=O)CCCCCCCCCCCCCCCCCCCCC(C)CC</t>
  </si>
  <si>
    <t xml:space="preserve">MXUGFAGOJSRFSU-WYVSOUDLSA-N</t>
  </si>
  <si>
    <t xml:space="preserve">947.61492</t>
  </si>
  <si>
    <t xml:space="preserve">C55H92O7P2</t>
  </si>
  <si>
    <t xml:space="preserve">Undecaprenyl diphosphate</t>
  </si>
  <si>
    <t xml:space="preserve">37493</t>
  </si>
  <si>
    <t xml:space="preserve">HMDB0001469</t>
  </si>
  <si>
    <t xml:space="preserve">3706</t>
  </si>
  <si>
    <t xml:space="preserve">LMPR03030004</t>
  </si>
  <si>
    <t xml:space="preserve">C03543</t>
  </si>
  <si>
    <t xml:space="preserve">17047</t>
  </si>
  <si>
    <t xml:space="preserve">5280604</t>
  </si>
  <si>
    <t xml:space="preserve">23-13-2</t>
  </si>
  <si>
    <t xml:space="preserve">P(=O)(O)(OP(=O)(O)O)OC/C=C(\C)/CC/C=C(\C)/CC/C=C(\C)/CC/C=C(\C)/CC/C=C(\C)/CC/C=C(\C)/CC/C=C(\C)/CC/C=C(\C)/CC/C=C(\C)/CC/C=C(\C)/CC/C=C(\C)/C</t>
  </si>
  <si>
    <t xml:space="preserve">NTXGVHCCXVHYCL-RDQGWRCRSA-N</t>
  </si>
  <si>
    <t xml:space="preserve">Polyprenols</t>
  </si>
  <si>
    <t xml:space="preserve">947.77786</t>
  </si>
  <si>
    <t xml:space="preserve">C59H108O6</t>
  </si>
  <si>
    <t xml:space="preserve">TG(56:3)</t>
  </si>
  <si>
    <t xml:space="preserve">48535</t>
  </si>
  <si>
    <t xml:space="preserve">HMDB0005410</t>
  </si>
  <si>
    <t xml:space="preserve">25240377</t>
  </si>
  <si>
    <t xml:space="preserve">[H][C@](COC(=O)CCCCCCCCCCCCCCCCC)(COC(=O)CCCCCCCCC\C=C/CCCCCCCC)OC(=O)CCCCCCC\C=C/C\C=C/CCCCC</t>
  </si>
  <si>
    <t xml:space="preserve">MITMUAAWQVPOIU-OICXNWLVSA-N</t>
  </si>
  <si>
    <t xml:space="preserve">949.53780</t>
  </si>
  <si>
    <t xml:space="preserve">C30H37NO4</t>
  </si>
  <si>
    <t xml:space="preserve">Ulipristal acetate</t>
  </si>
  <si>
    <t xml:space="preserve">212764</t>
  </si>
  <si>
    <t xml:space="preserve">HMDB0259399</t>
  </si>
  <si>
    <t xml:space="preserve">13559282</t>
  </si>
  <si>
    <t xml:space="preserve">CN(C)C1=CC=C(C=C1)C1CC2(C)C(CCC2(OC(C)=O)C(C)=O)C2CCC3=CC(=O)CCC3=C12</t>
  </si>
  <si>
    <t xml:space="preserve">OOLLAFOLCSJHRE-UHFFFAOYSA-N</t>
  </si>
  <si>
    <t xml:space="preserve">952.58926</t>
  </si>
  <si>
    <t xml:space="preserve">C52H88NO10P</t>
  </si>
  <si>
    <t xml:space="preserve">PS(46:7)</t>
  </si>
  <si>
    <t xml:space="preserve">132983</t>
  </si>
  <si>
    <t xml:space="preserve">HMDB0112880</t>
  </si>
  <si>
    <t xml:space="preserve">131820002</t>
  </si>
  <si>
    <t xml:space="preserve">[H][C@](N)(COP(O)(=O)OC[C@@]([H])(COC(=O)CC\C=C/C\C=C/C\C=C/C\C=C/C\C=C/C\C=C/CC)OC(=O)CCCCCCCCCCCCC\C=C/CCCCCCCC)C(O)=O</t>
  </si>
  <si>
    <t xml:space="preserve">QNZBLNHPHCQYBE-PNKMIEAOSA-N</t>
  </si>
  <si>
    <t xml:space="preserve">956.58669</t>
  </si>
  <si>
    <t xml:space="preserve">C52H90NO10P</t>
  </si>
  <si>
    <t xml:space="preserve">PS(46:6)</t>
  </si>
  <si>
    <t xml:space="preserve">132975</t>
  </si>
  <si>
    <t xml:space="preserve">HMDB0112863</t>
  </si>
  <si>
    <t xml:space="preserve">131819994</t>
  </si>
  <si>
    <t xml:space="preserve">[H][C@](N)(COP(O)(=O)OC[C@@]([H])(COC(=O)CCCCC\C=C/C\C=C/C\C=C/C\C=C/C\C=C/CC)OC(=O)CCCCCCCCCCCCC\C=C/CCCCCCCC)C(O)=O</t>
  </si>
  <si>
    <t xml:space="preserve">UJTYXVWWLKPIPQ-JWHAHGLPSA-N</t>
  </si>
  <si>
    <t xml:space="preserve">957.59526</t>
  </si>
  <si>
    <t xml:space="preserve">C23H46NO7P</t>
  </si>
  <si>
    <t xml:space="preserve">LPE(18:1)</t>
  </si>
  <si>
    <t xml:space="preserve">21200</t>
  </si>
  <si>
    <t xml:space="preserve">HMDB0011475</t>
  </si>
  <si>
    <t xml:space="preserve">62263</t>
  </si>
  <si>
    <t xml:space="preserve">LMGP02050039</t>
  </si>
  <si>
    <t xml:space="preserve">53480924</t>
  </si>
  <si>
    <t xml:space="preserve">C(OP(OCCN)(O)=O)[C@]([H])(OC(=O)CCCCCCCCC/C=C\CCCCCC)CO</t>
  </si>
  <si>
    <t xml:space="preserve">CZYOFWNORPEFDG-KOIKXXGWSA-N</t>
  </si>
  <si>
    <t xml:space="preserve">958.60543</t>
  </si>
  <si>
    <t xml:space="preserve">C48H92NO14P</t>
  </si>
  <si>
    <t xml:space="preserve">Sdz mrl 953</t>
  </si>
  <si>
    <t xml:space="preserve">211761</t>
  </si>
  <si>
    <t xml:space="preserve">HMDB0258193</t>
  </si>
  <si>
    <t xml:space="preserve">14404138</t>
  </si>
  <si>
    <t xml:space="preserve">CCCCCCCCCCCC(O)CC(=O)NC1C(OP(O)(O)=O)OC(CO)C(OC(=O)CC(O)CCCCCCCCCCC)C1OC(=O)CC(O)CCCCCCCCCCC</t>
  </si>
  <si>
    <t xml:space="preserve">DRYNWBQTTUKLQD-UHFFFAOYSA-N</t>
  </si>
  <si>
    <t xml:space="preserve">959.49265</t>
  </si>
  <si>
    <t xml:space="preserve">C43H80O16P2</t>
  </si>
  <si>
    <t xml:space="preserve">PIP(34:2)</t>
  </si>
  <si>
    <t xml:space="preserve">50569</t>
  </si>
  <si>
    <t xml:space="preserve">HMDB0009926</t>
  </si>
  <si>
    <t xml:space="preserve">53480123</t>
  </si>
  <si>
    <t xml:space="preserve">CCCCCCCCCCCCCCCC(=O)OC[C@]([H])(COP(O)(=O)O[C@H]1C(O)C(O)C(O)[C@@H](OP(=O)(O)O)C1O)OC(=O)CCCCCCC\C=C/C\C=C/CCCCC</t>
  </si>
  <si>
    <t xml:space="preserve">GGTCSXOVHHAZTG-UXQBZAKQSA-N</t>
  </si>
  <si>
    <t xml:space="preserve">Glycerophosphoinositol phosphates</t>
  </si>
  <si>
    <t xml:space="preserve">961.48371</t>
  </si>
  <si>
    <t xml:space="preserve">C48H80O13P2</t>
  </si>
  <si>
    <t xml:space="preserve">PGP(42:8)</t>
  </si>
  <si>
    <t xml:space="preserve">136153</t>
  </si>
  <si>
    <t xml:space="preserve">HMDB0116476</t>
  </si>
  <si>
    <t xml:space="preserve">131823131</t>
  </si>
  <si>
    <t xml:space="preserve">[H][C@](O)(COP(O)(O)=O)COP(O)(=O)OC[C@@]([H])(COC(=O)CC\C=C/C\C=C/C\C=C/C\C=C/C\C=C/C\C=C/CC)OC(=O)CCCCCCCCC\C=C/C\C=C/CCCCC</t>
  </si>
  <si>
    <t xml:space="preserve">ABHMVWXFQJYJQT-VTAPOZJKSA-N</t>
  </si>
  <si>
    <t xml:space="preserve">965.54183</t>
  </si>
  <si>
    <t xml:space="preserve">C49H84O17</t>
  </si>
  <si>
    <t xml:space="preserve">Antibiotic A 204A</t>
  </si>
  <si>
    <t xml:space="preserve">203560</t>
  </si>
  <si>
    <t xml:space="preserve">HMDB0248475</t>
  </si>
  <si>
    <t xml:space="preserve">206186</t>
  </si>
  <si>
    <t xml:space="preserve">COC1C(C)C2(OC1(C)C1CCC(O1)C1CCC(O1)C1OC(C)(O)C(C)C(OC)C1C)OC(CC1OC(O)(C(C)C(O)=O)C(C)C(OC3CCC(OC)C(C)O3)C1(C)OC)CC(OC)C2C</t>
  </si>
  <si>
    <t xml:space="preserve">RHDSQRNKIIRGBB-UHFFFAOYSA-N</t>
  </si>
  <si>
    <t xml:space="preserve">972.61592</t>
  </si>
  <si>
    <t xml:space="preserve">C53H94NO10P</t>
  </si>
  <si>
    <t xml:space="preserve">PE(DiMe(13,5)/DiMe(13,5)); PE-NMe(13D5/13M5); PE-NMe(13M5/13D5)</t>
  </si>
  <si>
    <t xml:space="preserve">83101; 133900; 133908</t>
  </si>
  <si>
    <t xml:space="preserve">HMDB0061491; HMDB0113797; HMDB0113805</t>
  </si>
  <si>
    <t xml:space="preserve">CCCCCC1=C(C)C(C)=C(CCCCCCCCCCCCC(=O)OC[C@H](COP(O)(=O)OCCN)OC(=O)CCCCCCCCCCCCC2=C(C)C(C)=C(CCCCC)O2)O1; [H][C@@](COC(=O)CCCCCCCCCCCCC1=C(C)C(C)=C(CCCCC)O1)(COP(O)(=O)OCCNC)OC(=O)CCCCCCCCCCCCC1=C(C)C=C(CCCCC)O1; [H][C@@](COC(=O)CCCCCCCCCCCCC1=C(C)C=C(CCCCC)O1)(COP(O)(=O)OCCNC)OC(=O)CCCCCCCCCCCCC1=C(C)C(C)=C(CCCCC)O1</t>
  </si>
  <si>
    <t xml:space="preserve">STZVDMLJLPGTBD-QZNUWAOFSA-N; XFJAJHUTSXEBML-QSCHNALKSA-N; KVYOOZYNIJQSOI-QSCHNALKSA-N</t>
  </si>
  <si>
    <t xml:space="preserve">974.60019</t>
  </si>
  <si>
    <t xml:space="preserve">C36H75N25O6</t>
  </si>
  <si>
    <t xml:space="preserve">Hexa-D-arginine</t>
  </si>
  <si>
    <t xml:space="preserve">207495</t>
  </si>
  <si>
    <t xml:space="preserve">HMDB0253116</t>
  </si>
  <si>
    <t xml:space="preserve">76519725</t>
  </si>
  <si>
    <t xml:space="preserve">NC(CCCN=C(N)N)C(=O)NC(CCCN=C(N)N)C(=O)NC(CCCN=C(N)N)C(=O)NC(CCCN=C(N)N)C(=O)NC(CCCN=C(N)N)C(=O)NC(CCCN=C(N)N)C(N)=O</t>
  </si>
  <si>
    <t xml:space="preserve">BMLTZEAFQLJTIZ-UHFFFAOYSA-N</t>
  </si>
  <si>
    <t xml:space="preserve">981.54583</t>
  </si>
  <si>
    <t xml:space="preserve">C30H35F2N3O</t>
  </si>
  <si>
    <t xml:space="preserve">Lidoflazine</t>
  </si>
  <si>
    <t xml:space="preserve">208285</t>
  </si>
  <si>
    <t xml:space="preserve">HMDB0254083</t>
  </si>
  <si>
    <t xml:space="preserve">3926</t>
  </si>
  <si>
    <t xml:space="preserve">CC1=CC=CC(C)=C1N=C(O)CN1CCN(CCCC(C2=CC=C(F)C=C2)C2=CC=C(F)C=C2)CC1</t>
  </si>
  <si>
    <t xml:space="preserve">ZBIAKUMOEKILTF-UHFFFAOYSA-N</t>
  </si>
  <si>
    <t xml:space="preserve">998.59900</t>
  </si>
  <si>
    <t xml:space="preserve">C15H8Cl8O2</t>
  </si>
  <si>
    <t xml:space="preserve">Butter acids</t>
  </si>
  <si>
    <t xml:space="preserve">63089</t>
  </si>
  <si>
    <t xml:space="preserve">HMDB0039842</t>
  </si>
  <si>
    <t xml:space="preserve">94390</t>
  </si>
  <si>
    <t xml:space="preserve">85536</t>
  </si>
  <si>
    <t xml:space="preserve">85536-25-0</t>
  </si>
  <si>
    <t xml:space="preserve">CC(C)(C1=C(Cl)C(Cl)=C(O)C(Cl)=C1Cl)C1=C(Cl)C(Cl)=C(O)C(Cl)=C1Cl</t>
  </si>
  <si>
    <t xml:space="preserve">OJTHLNYBRBMCBW-UHFFFAOYSA-N</t>
  </si>
  <si>
    <t xml:space="preserve">1021.48436</t>
  </si>
  <si>
    <t xml:space="preserve">C45H85O19P3</t>
  </si>
  <si>
    <t xml:space="preserve">PIP2(36:2)</t>
  </si>
  <si>
    <t xml:space="preserve">50677</t>
  </si>
  <si>
    <t xml:space="preserve">HMDB0010040</t>
  </si>
  <si>
    <t xml:space="preserve">61418</t>
  </si>
  <si>
    <t xml:space="preserve">C00626</t>
  </si>
  <si>
    <t xml:space="preserve">53480231</t>
  </si>
  <si>
    <t xml:space="preserve">CCCCCCCCCCCCCCCC(=O)OC[C@]([H])(COP(O)(=O)O[C@H]1C(O)C(O)C(OP(=O)(O)O)[C@@H](OP(=O)(O)O)C1O)OC(=O)CCCCCCCCC\C=C/C\C=C/CCCCC</t>
  </si>
  <si>
    <t xml:space="preserve">BQQMPYJVCSLFGU-LPIGCCKESA-N</t>
  </si>
  <si>
    <t xml:space="preserve">1036.79940</t>
  </si>
  <si>
    <t xml:space="preserve">C59H111N3O9S</t>
  </si>
  <si>
    <t xml:space="preserve">S-(2,3-Bis(palmitoyloxy)propyl)-N-palmitoylcysteinyl-alanyl-glycine</t>
  </si>
  <si>
    <t xml:space="preserve">199931</t>
  </si>
  <si>
    <t xml:space="preserve">HMDB0244426</t>
  </si>
  <si>
    <t xml:space="preserve">21124276</t>
  </si>
  <si>
    <t xml:space="preserve">CCCCCCCCCCCCCCCC(=O)NC(CSCC(COC(=O)CCCCCCCCCCCCCCC)OC(=O)CCCCCCCCCCCCCCC)C(=O)NC(C)C(=O)NCC(O)=O</t>
  </si>
  <si>
    <t xml:space="preserve">MELKZHAKCJIPSL-UHFFFAOYSA-N</t>
  </si>
  <si>
    <t xml:space="preserve">1065.85148</t>
  </si>
  <si>
    <t xml:space="preserve">C30H55N5O3</t>
  </si>
  <si>
    <t xml:space="preserve">1-(11-(Dodecylamino)-10-hydroxyundecyl)-3,7-dihydro-3,7-dimethyl-1H-purine-2,6-dione</t>
  </si>
  <si>
    <t xml:space="preserve">205317</t>
  </si>
  <si>
    <t xml:space="preserve">HMDB0250557</t>
  </si>
  <si>
    <t xml:space="preserve">3081346</t>
  </si>
  <si>
    <t xml:space="preserve">CCCCCCCCCCCCNCC(O)CCCCCCCCCN1C(=O)N(C)C2=C(N(C)C=N2)C1=O</t>
  </si>
  <si>
    <t xml:space="preserve">MZNMZWZGUGFQJP-UHFFFAOYSA-N</t>
  </si>
  <si>
    <t xml:space="preserve">1074.54343</t>
  </si>
  <si>
    <t xml:space="preserve">C50H73N15O12</t>
  </si>
  <si>
    <t xml:space="preserve">Bradykinin hydroxyproline</t>
  </si>
  <si>
    <t xml:space="preserve">51499</t>
  </si>
  <si>
    <t xml:space="preserve">HMDB0011728</t>
  </si>
  <si>
    <t xml:space="preserve">62456</t>
  </si>
  <si>
    <t xml:space="preserve">133051</t>
  </si>
  <si>
    <t xml:space="preserve">169947</t>
  </si>
  <si>
    <t xml:space="preserve">37642-65-2</t>
  </si>
  <si>
    <t xml:space="preserve">N[C@@H](CCCNC(N)=N)C(=O)N1CCC[C@H]1C(=O)N1C[C@H](O)C[C@H]1C(=O)NCC(=O)N[C@@H](CC1=CC=CC=C1)C(=O)N[C@@H](CO)C(=O)N1CCC[C@H]1C(=O)N[C@@H](CC1=CC=CC=C1)C(=O)N[C@@H](CCCNC(N)=N)C(O)=O</t>
  </si>
  <si>
    <t xml:space="preserve">JXRLHZCEMXTCBN-DIBGMJQNSA-N</t>
  </si>
  <si>
    <t xml:space="preserve">1088.63955</t>
  </si>
  <si>
    <t xml:space="preserve">C54H97N3O15P2</t>
  </si>
  <si>
    <t xml:space="preserve">CDDG(P-42:2)</t>
  </si>
  <si>
    <t xml:space="preserve">135740</t>
  </si>
  <si>
    <t xml:space="preserve">HMDB0116063</t>
  </si>
  <si>
    <t xml:space="preserve">131822719</t>
  </si>
  <si>
    <t xml:space="preserve">[H][C@@](COC(=O)CCCCCCC\C=C/C=C\CCCCCC)(COP(O)(=O)OP(O)(=O)OC[C@H]1O[C@H](C(O)[C@H]1O)N1C=CC(N)=NC1=O)OC(=O)CCCCCCCCCCCCCCCCCCCCC(C)C</t>
  </si>
  <si>
    <t xml:space="preserve">VQTMZOLLQLBBQN-AWBPJITLSA-N</t>
  </si>
  <si>
    <t xml:space="preserve">1112.53073</t>
  </si>
  <si>
    <t xml:space="preserve">C52H85NO23</t>
  </si>
  <si>
    <t xml:space="preserve">(23R)-Acetoxytomatine</t>
  </si>
  <si>
    <t xml:space="preserve">58492</t>
  </si>
  <si>
    <t xml:space="preserve">HMDB0034485</t>
  </si>
  <si>
    <t xml:space="preserve">89965</t>
  </si>
  <si>
    <t xml:space="preserve">131751568</t>
  </si>
  <si>
    <t xml:space="preserve">176181-33-2</t>
  </si>
  <si>
    <t xml:space="preserve">CC1C2C(CC3C4CCC5CC(CCC5(C)C4CCC23C)OC2OC(CO)C(OC3OC(CO)C(O)C(OC4OCC(O)C(O)C4O)C3OC3OC(CO)C(O)C(O)C3O)C(O)C2O)OC11NCC(C)CC1OC(C)=O</t>
  </si>
  <si>
    <t xml:space="preserve">POWISKNFFRUCCW-UHFFFAOYSA-N</t>
  </si>
  <si>
    <t xml:space="preserve">Steroidal glycosides</t>
  </si>
  <si>
    <t xml:space="preserve">1149.50041</t>
  </si>
  <si>
    <t xml:space="preserve">C51H86O26</t>
  </si>
  <si>
    <t xml:space="preserve">Ampeloside Bf1</t>
  </si>
  <si>
    <t xml:space="preserve">56346</t>
  </si>
  <si>
    <t xml:space="preserve">HMDB0031881</t>
  </si>
  <si>
    <t xml:space="preserve">87998</t>
  </si>
  <si>
    <t xml:space="preserve">14187144</t>
  </si>
  <si>
    <t xml:space="preserve">118524-13-3</t>
  </si>
  <si>
    <t xml:space="preserve">CC(CCC1(O)OC2CC3C4CC(O)C5CC(OC6OC(CO)C(OC7OC(CO)C(O)C(OC8OC(CO)C(O)C(O)C8O)C7O)C(O)C6O)C(O)CC5(C)C4CCC3(C)C2C1C)COC1OC(CO)C(O)C(O)C1O</t>
  </si>
  <si>
    <t xml:space="preserve">RPLNTGAJLNTPGI-UHFFFAOYSA-N</t>
  </si>
  <si>
    <t xml:space="preserve">ID-num</t>
  </si>
  <si>
    <t xml:space="preserve">cidlink</t>
  </si>
  <si>
    <t xml:space="preserve">1-1</t>
  </si>
  <si>
    <t xml:space="preserve">2-1</t>
  </si>
  <si>
    <t xml:space="preserve">Propionic acid</t>
  </si>
  <si>
    <t xml:space="preserve">HMDB0000237</t>
  </si>
  <si>
    <t xml:space="preserve">3215</t>
  </si>
  <si>
    <t xml:space="preserve">LMFA01010003</t>
  </si>
  <si>
    <t xml:space="preserve">C00163</t>
  </si>
  <si>
    <t xml:space="preserve">1032</t>
  </si>
  <si>
    <t xml:space="preserve">79-09-4</t>
  </si>
  <si>
    <t xml:space="preserve">CCC(=O)O</t>
  </si>
  <si>
    <t xml:space="preserve">XBDQKXXYIPTUBI-UHFFFAOYSA-N</t>
  </si>
  <si>
    <t xml:space="preserve">2-2</t>
  </si>
  <si>
    <t xml:space="preserve">Lactaldehyde</t>
  </si>
  <si>
    <t xml:space="preserve">HMDB0003052</t>
  </si>
  <si>
    <t xml:space="preserve">3214</t>
  </si>
  <si>
    <t xml:space="preserve">C00424</t>
  </si>
  <si>
    <t xml:space="preserve">18041</t>
  </si>
  <si>
    <t xml:space="preserve">439231</t>
  </si>
  <si>
    <t xml:space="preserve">598-35-6</t>
  </si>
  <si>
    <t xml:space="preserve">C[C@H](O)C=O</t>
  </si>
  <si>
    <t xml:space="preserve">BSABBBMNWQWLLU-VKHMYHEASA-N</t>
  </si>
  <si>
    <t xml:space="preserve">2-3</t>
  </si>
  <si>
    <t xml:space="preserve">3-Hydroxypropanal</t>
  </si>
  <si>
    <t xml:space="preserve">HMDB0003453</t>
  </si>
  <si>
    <t xml:space="preserve">65545</t>
  </si>
  <si>
    <t xml:space="preserve">C00969</t>
  </si>
  <si>
    <t xml:space="preserve">17871</t>
  </si>
  <si>
    <t xml:space="preserve">75049</t>
  </si>
  <si>
    <t xml:space="preserve">2134-29-4</t>
  </si>
  <si>
    <t xml:space="preserve">OCCC=O</t>
  </si>
  <si>
    <t xml:space="preserve">AKXKFZDCRYJKTF-UHFFFAOYSA-N</t>
  </si>
  <si>
    <t xml:space="preserve">3-1</t>
  </si>
  <si>
    <t xml:space="preserve">4-1</t>
  </si>
  <si>
    <t xml:space="preserve">5-1</t>
  </si>
  <si>
    <t xml:space="preserve">Dimethylamine</t>
  </si>
  <si>
    <t xml:space="preserve">HMDB0000087</t>
  </si>
  <si>
    <t xml:space="preserve">3758</t>
  </si>
  <si>
    <t xml:space="preserve">C00543</t>
  </si>
  <si>
    <t xml:space="preserve">17170</t>
  </si>
  <si>
    <t xml:space="preserve">674</t>
  </si>
  <si>
    <t xml:space="preserve">124-40-3</t>
  </si>
  <si>
    <t xml:space="preserve">CNC</t>
  </si>
  <si>
    <t xml:space="preserve">ROSDSFDQCJNGOL-UHFFFAOYSA-N</t>
  </si>
  <si>
    <t xml:space="preserve">5-2</t>
  </si>
  <si>
    <t xml:space="preserve">Ethylamine</t>
  </si>
  <si>
    <t xml:space="preserve">HMDB0013231</t>
  </si>
  <si>
    <t xml:space="preserve">65533</t>
  </si>
  <si>
    <t xml:space="preserve">C00797</t>
  </si>
  <si>
    <t xml:space="preserve">15862</t>
  </si>
  <si>
    <t xml:space="preserve">6341</t>
  </si>
  <si>
    <t xml:space="preserve">75-04-7</t>
  </si>
  <si>
    <t xml:space="preserve">CCN</t>
  </si>
  <si>
    <t xml:space="preserve">QUSNBJAOOMFDIB-UHFFFAOYSA-N</t>
  </si>
  <si>
    <t xml:space="preserve">6-1</t>
  </si>
  <si>
    <t xml:space="preserve">7-1</t>
  </si>
  <si>
    <t xml:space="preserve">8-1</t>
  </si>
  <si>
    <t xml:space="preserve">beta-Alanine</t>
  </si>
  <si>
    <t xml:space="preserve">HMDB0000056</t>
  </si>
  <si>
    <t xml:space="preserve">36</t>
  </si>
  <si>
    <t xml:space="preserve">C00099</t>
  </si>
  <si>
    <t xml:space="preserve">16958</t>
  </si>
  <si>
    <t xml:space="preserve">239</t>
  </si>
  <si>
    <t xml:space="preserve">107-95-9</t>
  </si>
  <si>
    <t xml:space="preserve">NCCC(O)=O</t>
  </si>
  <si>
    <t xml:space="preserve">UCMIRNVEIXFBKS-UHFFFAOYSA-N</t>
  </si>
  <si>
    <t xml:space="preserve">8-2</t>
  </si>
  <si>
    <t xml:space="preserve">L-Alanine</t>
  </si>
  <si>
    <t xml:space="preserve">HMDB0000161</t>
  </si>
  <si>
    <t xml:space="preserve">11</t>
  </si>
  <si>
    <t xml:space="preserve">C00041</t>
  </si>
  <si>
    <t xml:space="preserve">16977</t>
  </si>
  <si>
    <t xml:space="preserve">5950</t>
  </si>
  <si>
    <t xml:space="preserve">56-41-7</t>
  </si>
  <si>
    <t xml:space="preserve">C[C@H](N)C(O)=O</t>
  </si>
  <si>
    <t xml:space="preserve">QNAYBMKLOCPYGJ-REOHCLBHSA-N</t>
  </si>
  <si>
    <t xml:space="preserve">9-1</t>
  </si>
  <si>
    <t xml:space="preserve">10-1</t>
  </si>
  <si>
    <t xml:space="preserve">11-1</t>
  </si>
  <si>
    <t xml:space="preserve">12-1</t>
  </si>
  <si>
    <t xml:space="preserve">Allylamine</t>
  </si>
  <si>
    <t xml:space="preserve">HMDB0168957</t>
  </si>
  <si>
    <t xml:space="preserve">7853</t>
  </si>
  <si>
    <t xml:space="preserve">NCC=C</t>
  </si>
  <si>
    <t xml:space="preserve">VVJKKWFAADXIJK-UHFFFAOYSA-N</t>
  </si>
  <si>
    <t xml:space="preserve">12-2</t>
  </si>
  <si>
    <t xml:space="preserve">Azetidine</t>
  </si>
  <si>
    <t xml:space="preserve">HMDB0248796</t>
  </si>
  <si>
    <t xml:space="preserve">337680</t>
  </si>
  <si>
    <t xml:space="preserve">30968</t>
  </si>
  <si>
    <t xml:space="preserve">10422</t>
  </si>
  <si>
    <t xml:space="preserve">C1CNC1</t>
  </si>
  <si>
    <t xml:space="preserve">HONIICLYMWZJFZ-UHFFFAOYSA-N</t>
  </si>
  <si>
    <t xml:space="preserve">Azetidines</t>
  </si>
  <si>
    <t xml:space="preserve">12-3</t>
  </si>
  <si>
    <t xml:space="preserve">Propan-1-imine</t>
  </si>
  <si>
    <t xml:space="preserve">HMDB0256811</t>
  </si>
  <si>
    <t xml:space="preserve">5289472</t>
  </si>
  <si>
    <t xml:space="preserve">CCC=N</t>
  </si>
  <si>
    <t xml:space="preserve">WJKYOQDIQYJXSD-UHFFFAOYSA-N</t>
  </si>
  <si>
    <t xml:space="preserve">Imines</t>
  </si>
  <si>
    <t xml:space="preserve">13-1</t>
  </si>
  <si>
    <t xml:space="preserve">14-1</t>
  </si>
  <si>
    <t xml:space="preserve">15-1</t>
  </si>
  <si>
    <t xml:space="preserve">16-1</t>
  </si>
  <si>
    <t xml:space="preserve">2-Pentenoic acid</t>
  </si>
  <si>
    <t xml:space="preserve">HMDB0032459</t>
  </si>
  <si>
    <t xml:space="preserve">LMFA01030005</t>
  </si>
  <si>
    <t xml:space="preserve">38366</t>
  </si>
  <si>
    <t xml:space="preserve">638122</t>
  </si>
  <si>
    <t xml:space="preserve">626-98-2</t>
  </si>
  <si>
    <t xml:space="preserve">CC/C=C/C(=O)O</t>
  </si>
  <si>
    <t xml:space="preserve">YIYBQIKDCADOSF-ONEGZZNKSA-N</t>
  </si>
  <si>
    <t xml:space="preserve">16-2</t>
  </si>
  <si>
    <t xml:space="preserve">4-Pentenoic acid</t>
  </si>
  <si>
    <t xml:space="preserve">HMDB0031602</t>
  </si>
  <si>
    <t xml:space="preserve">34698</t>
  </si>
  <si>
    <t xml:space="preserve">LMFA01030007</t>
  </si>
  <si>
    <t xml:space="preserve">35936</t>
  </si>
  <si>
    <t xml:space="preserve">61138</t>
  </si>
  <si>
    <t xml:space="preserve">591-80-0</t>
  </si>
  <si>
    <t xml:space="preserve">C=CCCC(=O)O</t>
  </si>
  <si>
    <t xml:space="preserve">HVAMZGADVCBITI-UHFFFAOYSA-N</t>
  </si>
  <si>
    <t xml:space="preserve">16-3</t>
  </si>
  <si>
    <t xml:space="preserve">Senecioic acid</t>
  </si>
  <si>
    <t xml:space="preserve">HMDB0000509</t>
  </si>
  <si>
    <t xml:space="preserve">4623</t>
  </si>
  <si>
    <t xml:space="preserve">LMFA01020097</t>
  </si>
  <si>
    <t xml:space="preserve">37127</t>
  </si>
  <si>
    <t xml:space="preserve">10931</t>
  </si>
  <si>
    <t xml:space="preserve">541-47-9</t>
  </si>
  <si>
    <t xml:space="preserve">C(=C(/C)\C)\C(=O)O</t>
  </si>
  <si>
    <t xml:space="preserve">YYPNJNDODFVZLE-UHFFFAOYSA-N</t>
  </si>
  <si>
    <t xml:space="preserve">17-1</t>
  </si>
  <si>
    <t xml:space="preserve">18-1</t>
  </si>
  <si>
    <t xml:space="preserve">19-1</t>
  </si>
  <si>
    <t xml:space="preserve">20-1</t>
  </si>
  <si>
    <t xml:space="preserve">21-1</t>
  </si>
  <si>
    <t xml:space="preserve">2-Hydroxybutyric acid</t>
  </si>
  <si>
    <t xml:space="preserve">HMDB0000008</t>
  </si>
  <si>
    <t xml:space="preserve">3783</t>
  </si>
  <si>
    <t xml:space="preserve">LMFA01050342</t>
  </si>
  <si>
    <t xml:space="preserve">C05984</t>
  </si>
  <si>
    <t xml:space="preserve">50613</t>
  </si>
  <si>
    <t xml:space="preserve">440864</t>
  </si>
  <si>
    <t xml:space="preserve">3347-90-8</t>
  </si>
  <si>
    <t xml:space="preserve">[C@H](O)(CC)C(=O)O</t>
  </si>
  <si>
    <t xml:space="preserve">AFENDNXGAFYKQO-VKHMYHEASA-N</t>
  </si>
  <si>
    <t xml:space="preserve">21-2</t>
  </si>
  <si>
    <t xml:space="preserve">3-Hydroxybutyric acid</t>
  </si>
  <si>
    <t xml:space="preserve">HMDB0000011</t>
  </si>
  <si>
    <t xml:space="preserve">35598</t>
  </si>
  <si>
    <t xml:space="preserve">LMFA01050243</t>
  </si>
  <si>
    <t xml:space="preserve">C01089</t>
  </si>
  <si>
    <t xml:space="preserve">17066</t>
  </si>
  <si>
    <t xml:space="preserve">92135</t>
  </si>
  <si>
    <t xml:space="preserve">625-72-9</t>
  </si>
  <si>
    <t xml:space="preserve">C(C[C@H](O)C)(=O)O</t>
  </si>
  <si>
    <t xml:space="preserve">WHBMMWSBFZVSSR-GSVOUGTGSA-N</t>
  </si>
  <si>
    <t xml:space="preserve">Beta hydroxy acids and derivatives</t>
  </si>
  <si>
    <t xml:space="preserve">22-1</t>
  </si>
  <si>
    <t xml:space="preserve">Acetamide</t>
  </si>
  <si>
    <t xml:space="preserve">HMDB0031645</t>
  </si>
  <si>
    <t xml:space="preserve">3711</t>
  </si>
  <si>
    <t xml:space="preserve">C06244</t>
  </si>
  <si>
    <t xml:space="preserve">27856</t>
  </si>
  <si>
    <t xml:space="preserve">178</t>
  </si>
  <si>
    <t xml:space="preserve">60-35-5</t>
  </si>
  <si>
    <t xml:space="preserve">CC(N)=O</t>
  </si>
  <si>
    <t xml:space="preserve">DLFVBJFMPXGRIB-UHFFFAOYSA-N</t>
  </si>
  <si>
    <t xml:space="preserve">Carboximidic acids</t>
  </si>
  <si>
    <t xml:space="preserve">22-2</t>
  </si>
  <si>
    <t xml:space="preserve">N-Methylformamide</t>
  </si>
  <si>
    <t xml:space="preserve">HMDB0001122</t>
  </si>
  <si>
    <t xml:space="preserve">C11489</t>
  </si>
  <si>
    <t xml:space="preserve">7438</t>
  </si>
  <si>
    <t xml:space="preserve">31254</t>
  </si>
  <si>
    <t xml:space="preserve">123-39-7</t>
  </si>
  <si>
    <t xml:space="preserve">CNC=O</t>
  </si>
  <si>
    <t xml:space="preserve">ATHHXGZTWNVVOU-UHFFFAOYSA-N</t>
  </si>
  <si>
    <t xml:space="preserve">23-1</t>
  </si>
  <si>
    <t xml:space="preserve">24-1</t>
  </si>
  <si>
    <t xml:space="preserve">25-1</t>
  </si>
  <si>
    <t xml:space="preserve">26-1</t>
  </si>
  <si>
    <t xml:space="preserve">2,3,5-Trimethylfuran</t>
  </si>
  <si>
    <t xml:space="preserve">HMDB0029721</t>
  </si>
  <si>
    <t xml:space="preserve">86445</t>
  </si>
  <si>
    <t xml:space="preserve">517859</t>
  </si>
  <si>
    <t xml:space="preserve">10504-04-8</t>
  </si>
  <si>
    <t xml:space="preserve">CC1=CC(C)=C(C)O1</t>
  </si>
  <si>
    <t xml:space="preserve">NJXZFRUNHWKHEC-UHFFFAOYSA-N</t>
  </si>
  <si>
    <t xml:space="preserve">26-2</t>
  </si>
  <si>
    <t xml:space="preserve">3-Methyl-2-cyclohexen-1-one</t>
  </si>
  <si>
    <t xml:space="preserve">HMDB0031541</t>
  </si>
  <si>
    <t xml:space="preserve">87750</t>
  </si>
  <si>
    <t xml:space="preserve">14511</t>
  </si>
  <si>
    <t xml:space="preserve">1193-18-6</t>
  </si>
  <si>
    <t xml:space="preserve">CC1=CC(=O)CCC1</t>
  </si>
  <si>
    <t xml:space="preserve">IITQJMYAYSNIMI-UHFFFAOYSA-N</t>
  </si>
  <si>
    <t xml:space="preserve">26-3</t>
  </si>
  <si>
    <t xml:space="preserve">2-Ethyl-5-methylfuran</t>
  </si>
  <si>
    <t xml:space="preserve">HMDB0029728</t>
  </si>
  <si>
    <t xml:space="preserve">86449</t>
  </si>
  <si>
    <t xml:space="preserve">88617</t>
  </si>
  <si>
    <t xml:space="preserve">74346</t>
  </si>
  <si>
    <t xml:space="preserve">1703-52-2</t>
  </si>
  <si>
    <t xml:space="preserve">CCC1=CC=C(C)O1</t>
  </si>
  <si>
    <t xml:space="preserve">NBXLPPVOZWYADY-UHFFFAOYSA-N</t>
  </si>
  <si>
    <t xml:space="preserve">27-1</t>
  </si>
  <si>
    <t xml:space="preserve">28-1</t>
  </si>
  <si>
    <t xml:space="preserve">Citraconic acid</t>
  </si>
  <si>
    <t xml:space="preserve">HMDB0000634</t>
  </si>
  <si>
    <t xml:space="preserve">5607</t>
  </si>
  <si>
    <t xml:space="preserve">LMFA01170099</t>
  </si>
  <si>
    <t xml:space="preserve">C02226</t>
  </si>
  <si>
    <t xml:space="preserve">17626</t>
  </si>
  <si>
    <t xml:space="preserve">643798</t>
  </si>
  <si>
    <t xml:space="preserve">498-23-7</t>
  </si>
  <si>
    <t xml:space="preserve">C(=O)(O)/C(/C)=C\C(=O)O</t>
  </si>
  <si>
    <t xml:space="preserve">HNEGQIOMVPPMNR-IHWYPQMZSA-N</t>
  </si>
  <si>
    <t xml:space="preserve">28-2</t>
  </si>
  <si>
    <t xml:space="preserve">Itaconic acid</t>
  </si>
  <si>
    <t xml:space="preserve">HMDB0002092</t>
  </si>
  <si>
    <t xml:space="preserve">44764</t>
  </si>
  <si>
    <t xml:space="preserve">LMFA01170063</t>
  </si>
  <si>
    <t xml:space="preserve">C00490</t>
  </si>
  <si>
    <t xml:space="preserve">30838</t>
  </si>
  <si>
    <t xml:space="preserve">811</t>
  </si>
  <si>
    <t xml:space="preserve">97-65-4</t>
  </si>
  <si>
    <t xml:space="preserve">C(=O)(O)C(=C)CC(=O)O</t>
  </si>
  <si>
    <t xml:space="preserve">LVHBHZANLOWSRM-UHFFFAOYSA-N</t>
  </si>
  <si>
    <t xml:space="preserve">29-1</t>
  </si>
  <si>
    <t xml:space="preserve">(S)-Propane-1,2-diol</t>
  </si>
  <si>
    <t xml:space="preserve">HMDB0006213</t>
  </si>
  <si>
    <t xml:space="preserve">3220</t>
  </si>
  <si>
    <t xml:space="preserve">C02917</t>
  </si>
  <si>
    <t xml:space="preserve">29002</t>
  </si>
  <si>
    <t xml:space="preserve">439846</t>
  </si>
  <si>
    <t xml:space="preserve">4254-15-3</t>
  </si>
  <si>
    <t xml:space="preserve">C[C@H](O)CO</t>
  </si>
  <si>
    <t xml:space="preserve">DNIAPMSPPWPWGF-VKHMYHEASA-N</t>
  </si>
  <si>
    <t xml:space="preserve">29-2</t>
  </si>
  <si>
    <t xml:space="preserve">Propylene glycol</t>
  </si>
  <si>
    <t xml:space="preserve">HMDB0001881</t>
  </si>
  <si>
    <t xml:space="preserve">C02912</t>
  </si>
  <si>
    <t xml:space="preserve">28972</t>
  </si>
  <si>
    <t xml:space="preserve">259994</t>
  </si>
  <si>
    <t xml:space="preserve">4254-14-2</t>
  </si>
  <si>
    <t xml:space="preserve">C[C@@H](O)CO</t>
  </si>
  <si>
    <t xml:space="preserve">DNIAPMSPPWPWGF-GSVOUGTGSA-N</t>
  </si>
  <si>
    <t xml:space="preserve">30-1</t>
  </si>
  <si>
    <t xml:space="preserve">31-1</t>
  </si>
  <si>
    <t xml:space="preserve">32-1</t>
  </si>
  <si>
    <t xml:space="preserve">33-1</t>
  </si>
  <si>
    <t xml:space="preserve">34-1</t>
  </si>
  <si>
    <t xml:space="preserve">xI-Dihydro-2-methyl-3(2H)-thiophenone</t>
  </si>
  <si>
    <t xml:space="preserve">HMDB0038556</t>
  </si>
  <si>
    <t xml:space="preserve">93227</t>
  </si>
  <si>
    <t xml:space="preserve">87506</t>
  </si>
  <si>
    <t xml:space="preserve">61664</t>
  </si>
  <si>
    <t xml:space="preserve">CC1SCCC1=O</t>
  </si>
  <si>
    <t xml:space="preserve">YMZZPMVKABUEBL-UHFFFAOYSA-N</t>
  </si>
  <si>
    <t xml:space="preserve">34-2</t>
  </si>
  <si>
    <t xml:space="preserve">Dihydro-5-methyl-2(3H)-thiophenone</t>
  </si>
  <si>
    <t xml:space="preserve">HMDB0040150</t>
  </si>
  <si>
    <t xml:space="preserve">94690</t>
  </si>
  <si>
    <t xml:space="preserve">530400</t>
  </si>
  <si>
    <t xml:space="preserve">5650-74-8</t>
  </si>
  <si>
    <t xml:space="preserve">CC1CCC(=O)S1</t>
  </si>
  <si>
    <t xml:space="preserve">BNHNVGAUODLKKT-UHFFFAOYSA-N</t>
  </si>
  <si>
    <t xml:space="preserve">34-3</t>
  </si>
  <si>
    <t xml:space="preserve">xi-2-Acetylthietane</t>
  </si>
  <si>
    <t xml:space="preserve">HMDB0040258</t>
  </si>
  <si>
    <t xml:space="preserve">94787</t>
  </si>
  <si>
    <t xml:space="preserve">526187</t>
  </si>
  <si>
    <t xml:space="preserve">CC(=O)C1CCS1</t>
  </si>
  <si>
    <t xml:space="preserve">LHLNSXFHEGETML-UHFFFAOYSA-N</t>
  </si>
  <si>
    <t xml:space="preserve">Thietanes</t>
  </si>
  <si>
    <t xml:space="preserve">35-1</t>
  </si>
  <si>
    <t xml:space="preserve">36-1</t>
  </si>
  <si>
    <t xml:space="preserve">37-1</t>
  </si>
  <si>
    <t xml:space="preserve">38-1</t>
  </si>
  <si>
    <t xml:space="preserve">3-Methylthiophene</t>
  </si>
  <si>
    <t xml:space="preserve">HMDB0033119</t>
  </si>
  <si>
    <t xml:space="preserve">89010</t>
  </si>
  <si>
    <t xml:space="preserve">12024</t>
  </si>
  <si>
    <t xml:space="preserve">616-44-4</t>
  </si>
  <si>
    <t xml:space="preserve">CC1=CSC=C1</t>
  </si>
  <si>
    <t xml:space="preserve">QENGPZGAWFQWCZ-UHFFFAOYSA-N</t>
  </si>
  <si>
    <t xml:space="preserve">38-2</t>
  </si>
  <si>
    <t xml:space="preserve">2-Methylthiophene</t>
  </si>
  <si>
    <t xml:space="preserve">HMDB0033118</t>
  </si>
  <si>
    <t xml:space="preserve">89009</t>
  </si>
  <si>
    <t xml:space="preserve">141567</t>
  </si>
  <si>
    <t xml:space="preserve">11126</t>
  </si>
  <si>
    <t xml:space="preserve">554-14-3</t>
  </si>
  <si>
    <t xml:space="preserve">CC1=CC=CS1</t>
  </si>
  <si>
    <t xml:space="preserve">XQQBUAPQHNYYRS-UHFFFAOYSA-N</t>
  </si>
  <si>
    <t xml:space="preserve">39-1</t>
  </si>
  <si>
    <t xml:space="preserve">40-1</t>
  </si>
  <si>
    <t xml:space="preserve">41-1</t>
  </si>
  <si>
    <t xml:space="preserve">42-1</t>
  </si>
  <si>
    <t xml:space="preserve">Methanol, (methyl-ONN-azoxy)-</t>
  </si>
  <si>
    <t xml:space="preserve">HMDB0254623</t>
  </si>
  <si>
    <t xml:space="preserve">11554</t>
  </si>
  <si>
    <t xml:space="preserve">C[N+]([O-])=NCO</t>
  </si>
  <si>
    <t xml:space="preserve">BJNBRIBHKLJMAG-UHFFFAOYSA-N</t>
  </si>
  <si>
    <t xml:space="preserve">Organic 1,3-dipolar compounds</t>
  </si>
  <si>
    <t xml:space="preserve">Allyl-type 1,3-dipolar organic compounds</t>
  </si>
  <si>
    <t xml:space="preserve">Azoxy compounds</t>
  </si>
  <si>
    <t xml:space="preserve">42-2</t>
  </si>
  <si>
    <t xml:space="preserve">Dimethylnitramine</t>
  </si>
  <si>
    <t xml:space="preserve">HMDB0251404</t>
  </si>
  <si>
    <t xml:space="preserve">20120</t>
  </si>
  <si>
    <t xml:space="preserve">CN(C)[N+]([O-])=O</t>
  </si>
  <si>
    <t xml:space="preserve">XRWKADIRZXTTLH-UHFFFAOYSA-N</t>
  </si>
  <si>
    <t xml:space="preserve">Organic nitro compounds</t>
  </si>
  <si>
    <t xml:space="preserve">43-1</t>
  </si>
  <si>
    <t xml:space="preserve">44-1</t>
  </si>
  <si>
    <t xml:space="preserve">45-1</t>
  </si>
  <si>
    <t xml:space="preserve">46-1</t>
  </si>
  <si>
    <t xml:space="preserve">47-1</t>
  </si>
  <si>
    <t xml:space="preserve">48-1</t>
  </si>
  <si>
    <t xml:space="preserve">49-1</t>
  </si>
  <si>
    <t xml:space="preserve">Ethyl 3-mercaptobutyrate</t>
  </si>
  <si>
    <t xml:space="preserve">HMDB0032271</t>
  </si>
  <si>
    <t xml:space="preserve">88317</t>
  </si>
  <si>
    <t xml:space="preserve">LMFA07010863</t>
  </si>
  <si>
    <t xml:space="preserve">9833996</t>
  </si>
  <si>
    <t xml:space="preserve">156472-94-5</t>
  </si>
  <si>
    <t xml:space="preserve">O=C(CC(C)S)OCC</t>
  </si>
  <si>
    <t xml:space="preserve">FPBCNQQYLDBWMH-UHFFFAOYSA-N</t>
  </si>
  <si>
    <t xml:space="preserve">49-2</t>
  </si>
  <si>
    <t xml:space="preserve">Methyl 2-(methylthio)butyrate</t>
  </si>
  <si>
    <t xml:space="preserve">HMDB0041306</t>
  </si>
  <si>
    <t xml:space="preserve">95719</t>
  </si>
  <si>
    <t xml:space="preserve">LMFA07010938</t>
  </si>
  <si>
    <t xml:space="preserve">560572</t>
  </si>
  <si>
    <t xml:space="preserve">51534-66-8</t>
  </si>
  <si>
    <t xml:space="preserve">CCC(C(OC)=O)SC</t>
  </si>
  <si>
    <t xml:space="preserve">PBYSEUNXLXTEAN-UHFFFAOYSA-N</t>
  </si>
  <si>
    <t xml:space="preserve">49-3</t>
  </si>
  <si>
    <t xml:space="preserve">Methyl 3-(methylthio)butanoate</t>
  </si>
  <si>
    <t xml:space="preserve">HMDB0032410</t>
  </si>
  <si>
    <t xml:space="preserve">88434</t>
  </si>
  <si>
    <t xml:space="preserve">LMFA07010947</t>
  </si>
  <si>
    <t xml:space="preserve">547907</t>
  </si>
  <si>
    <t xml:space="preserve">207983-28-6</t>
  </si>
  <si>
    <t xml:space="preserve">O=C(CC(C)SC)OC</t>
  </si>
  <si>
    <t xml:space="preserve">HJJHJUWCICDDEL-UHFFFAOYSA-N</t>
  </si>
  <si>
    <t xml:space="preserve">50-1</t>
  </si>
  <si>
    <t xml:space="preserve">51-1</t>
  </si>
  <si>
    <t xml:space="preserve">1,2-Difluoroethane</t>
  </si>
  <si>
    <t xml:space="preserve">HMDB0244073</t>
  </si>
  <si>
    <t xml:space="preserve">12223</t>
  </si>
  <si>
    <t xml:space="preserve">FCCF</t>
  </si>
  <si>
    <t xml:space="preserve">AHFMSNDOYCFEPH-UHFFFAOYSA-N</t>
  </si>
  <si>
    <t xml:space="preserve">51-2</t>
  </si>
  <si>
    <t xml:space="preserve">1,1-Difluoroethane</t>
  </si>
  <si>
    <t xml:space="preserve">HMDB0244022</t>
  </si>
  <si>
    <t xml:space="preserve">6368</t>
  </si>
  <si>
    <t xml:space="preserve">CC(F)F</t>
  </si>
  <si>
    <t xml:space="preserve">NPNPZTNLOVBDOC-UHFFFAOYSA-N</t>
  </si>
  <si>
    <t xml:space="preserve">52-1</t>
  </si>
  <si>
    <t xml:space="preserve">53-1</t>
  </si>
  <si>
    <t xml:space="preserve">2-Heptanethiol</t>
  </si>
  <si>
    <t xml:space="preserve">HMDB0032303</t>
  </si>
  <si>
    <t xml:space="preserve">88347</t>
  </si>
  <si>
    <t xml:space="preserve">169377</t>
  </si>
  <si>
    <t xml:space="preserve">522071</t>
  </si>
  <si>
    <t xml:space="preserve">628-00-2</t>
  </si>
  <si>
    <t xml:space="preserve">CCCCCC(C)S</t>
  </si>
  <si>
    <t xml:space="preserve">DAZNOIJJVKASGS-UHFFFAOYSA-N</t>
  </si>
  <si>
    <t xml:space="preserve">Thiols</t>
  </si>
  <si>
    <t xml:space="preserve">Alkylthiols</t>
  </si>
  <si>
    <t xml:space="preserve">53-2</t>
  </si>
  <si>
    <t xml:space="preserve">Heptane-1-thiol</t>
  </si>
  <si>
    <t xml:space="preserve">HMDB0032304</t>
  </si>
  <si>
    <t xml:space="preserve">15422</t>
  </si>
  <si>
    <t xml:space="preserve">1639-09-4</t>
  </si>
  <si>
    <t xml:space="preserve">CCCCCCCS</t>
  </si>
  <si>
    <t xml:space="preserve">VPIAKHNXCOTPAY-UHFFFAOYSA-N</t>
  </si>
  <si>
    <t xml:space="preserve">54-1</t>
  </si>
  <si>
    <t xml:space="preserve">55-1</t>
  </si>
  <si>
    <t xml:space="preserve">Methyl 3-mercaptobutanoate</t>
  </si>
  <si>
    <t xml:space="preserve">HMDB0032409</t>
  </si>
  <si>
    <t xml:space="preserve">88433</t>
  </si>
  <si>
    <t xml:space="preserve">LMFA07010949</t>
  </si>
  <si>
    <t xml:space="preserve">9898836</t>
  </si>
  <si>
    <t xml:space="preserve">54051-19-3</t>
  </si>
  <si>
    <t xml:space="preserve">O=C(CC(C)S)OC</t>
  </si>
  <si>
    <t xml:space="preserve">BHDKXXOGPCSBQI-UHFFFAOYSA-N</t>
  </si>
  <si>
    <t xml:space="preserve">55-2</t>
  </si>
  <si>
    <t xml:space="preserve">Ethyl 2-mercaptopropionate</t>
  </si>
  <si>
    <t xml:space="preserve">HMDB0031521</t>
  </si>
  <si>
    <t xml:space="preserve">87736</t>
  </si>
  <si>
    <t xml:space="preserve">519709</t>
  </si>
  <si>
    <t xml:space="preserve">103616-07-5</t>
  </si>
  <si>
    <t xml:space="preserve">CCOC(=O)C(C)S</t>
  </si>
  <si>
    <t xml:space="preserve">LXXNWCFBZHKFPT-UHFFFAOYSA-N</t>
  </si>
  <si>
    <t xml:space="preserve">55-3</t>
  </si>
  <si>
    <t xml:space="preserve">Methyl 3-(methylthio)propanoate</t>
  </si>
  <si>
    <t xml:space="preserve">HMDB0034377</t>
  </si>
  <si>
    <t xml:space="preserve">89887</t>
  </si>
  <si>
    <t xml:space="preserve">61641</t>
  </si>
  <si>
    <t xml:space="preserve">13532-18-8</t>
  </si>
  <si>
    <t xml:space="preserve">COC(=O)CCSC</t>
  </si>
  <si>
    <t xml:space="preserve">DMMJVMYCBULSIS-UHFFFAOYSA-N</t>
  </si>
  <si>
    <t xml:space="preserve">56-1</t>
  </si>
  <si>
    <t xml:space="preserve">57-1</t>
  </si>
  <si>
    <t xml:space="preserve">4-Hydroxyphenylacetaldehyde</t>
  </si>
  <si>
    <t xml:space="preserve">HMDB0003767</t>
  </si>
  <si>
    <t xml:space="preserve">63506</t>
  </si>
  <si>
    <t xml:space="preserve">C03765</t>
  </si>
  <si>
    <t xml:space="preserve">15621</t>
  </si>
  <si>
    <t xml:space="preserve">440113</t>
  </si>
  <si>
    <t xml:space="preserve">7339-87-9</t>
  </si>
  <si>
    <t xml:space="preserve">OC1=CC=C(CC=O)C=C1</t>
  </si>
  <si>
    <t xml:space="preserve">IPRPPFIAVHPVJH-UHFFFAOYSA-N</t>
  </si>
  <si>
    <t xml:space="preserve">Phenylacetaldehydes</t>
  </si>
  <si>
    <t xml:space="preserve">57-2</t>
  </si>
  <si>
    <t xml:space="preserve">Phenylacetic acid</t>
  </si>
  <si>
    <t xml:space="preserve">HMDB0000209</t>
  </si>
  <si>
    <t xml:space="preserve">129</t>
  </si>
  <si>
    <t xml:space="preserve">C07086</t>
  </si>
  <si>
    <t xml:space="preserve">30745</t>
  </si>
  <si>
    <t xml:space="preserve">999</t>
  </si>
  <si>
    <t xml:space="preserve">103-82-2</t>
  </si>
  <si>
    <t xml:space="preserve">OC(=O)CC1=CC=CC=C1</t>
  </si>
  <si>
    <t xml:space="preserve">WLJVXDMOQOGPHL-UHFFFAOYSA-N</t>
  </si>
  <si>
    <t xml:space="preserve">58-1</t>
  </si>
  <si>
    <t xml:space="preserve">1H-1,2,3-Triazole</t>
  </si>
  <si>
    <t xml:space="preserve">HMDB0244867</t>
  </si>
  <si>
    <t xml:space="preserve">35565</t>
  </si>
  <si>
    <t xml:space="preserve">67516</t>
  </si>
  <si>
    <t xml:space="preserve">N1N=CC=N1</t>
  </si>
  <si>
    <t xml:space="preserve">QWENRTYMTSOGBR-UHFFFAOYSA-N</t>
  </si>
  <si>
    <t xml:space="preserve">Triazoles</t>
  </si>
  <si>
    <t xml:space="preserve">58-2</t>
  </si>
  <si>
    <t xml:space="preserve">1,2,4-Triazole</t>
  </si>
  <si>
    <t xml:space="preserve">HMDB0244868</t>
  </si>
  <si>
    <t xml:space="preserve">35550</t>
  </si>
  <si>
    <t xml:space="preserve">9257</t>
  </si>
  <si>
    <t xml:space="preserve">N1C=NC=N1</t>
  </si>
  <si>
    <t xml:space="preserve">NSPMIYGKQJPBQR-UHFFFAOYSA-N</t>
  </si>
  <si>
    <t xml:space="preserve">59-1</t>
  </si>
  <si>
    <t xml:space="preserve">60-1</t>
  </si>
  <si>
    <t xml:space="preserve">3-Hydroxypicolinic acid</t>
  </si>
  <si>
    <t xml:space="preserve">HMDB0013188</t>
  </si>
  <si>
    <t xml:space="preserve">64950</t>
  </si>
  <si>
    <t xml:space="preserve">C18620</t>
  </si>
  <si>
    <t xml:space="preserve">64342</t>
  </si>
  <si>
    <t xml:space="preserve">13401</t>
  </si>
  <si>
    <t xml:space="preserve">874-24-8</t>
  </si>
  <si>
    <t xml:space="preserve">OC(=O)C1=C(O)C=CC=N1</t>
  </si>
  <si>
    <t xml:space="preserve">BRARRAHGNDUELT-UHFFFAOYSA-N</t>
  </si>
  <si>
    <t xml:space="preserve">60-2</t>
  </si>
  <si>
    <t xml:space="preserve">4-Nitrophenol</t>
  </si>
  <si>
    <t xml:space="preserve">HMDB0001232</t>
  </si>
  <si>
    <t xml:space="preserve">4100</t>
  </si>
  <si>
    <t xml:space="preserve">C00870</t>
  </si>
  <si>
    <t xml:space="preserve">16836</t>
  </si>
  <si>
    <t xml:space="preserve">980</t>
  </si>
  <si>
    <t xml:space="preserve">100-02-7</t>
  </si>
  <si>
    <t xml:space="preserve">OC1=CC=C(C=C1)[N+]([O-])=O</t>
  </si>
  <si>
    <t xml:space="preserve">BTJIUGUIPKRLHP-UHFFFAOYSA-N</t>
  </si>
  <si>
    <t xml:space="preserve">61-1</t>
  </si>
  <si>
    <t xml:space="preserve">62-1</t>
  </si>
  <si>
    <t xml:space="preserve">63-1</t>
  </si>
  <si>
    <t xml:space="preserve">64-1</t>
  </si>
  <si>
    <t xml:space="preserve">65-1</t>
  </si>
  <si>
    <t xml:space="preserve">66-1</t>
  </si>
  <si>
    <t xml:space="preserve">67-1</t>
  </si>
  <si>
    <t xml:space="preserve">2-Ethylpyrazine</t>
  </si>
  <si>
    <t xml:space="preserve">HMDB0031849</t>
  </si>
  <si>
    <t xml:space="preserve">87969</t>
  </si>
  <si>
    <t xml:space="preserve">73232</t>
  </si>
  <si>
    <t xml:space="preserve">26331</t>
  </si>
  <si>
    <t xml:space="preserve">13925-00-3</t>
  </si>
  <si>
    <t xml:space="preserve">CCC1=CN=CC=N1</t>
  </si>
  <si>
    <t xml:space="preserve">KVFIJIWMDBAGDP-UHFFFAOYSA-N</t>
  </si>
  <si>
    <t xml:space="preserve">67-2</t>
  </si>
  <si>
    <t xml:space="preserve">2,3-Dimethylpyrazine</t>
  </si>
  <si>
    <t xml:space="preserve">HMDB0032971</t>
  </si>
  <si>
    <t xml:space="preserve">88870</t>
  </si>
  <si>
    <t xml:space="preserve">22201</t>
  </si>
  <si>
    <t xml:space="preserve">5910-89-4</t>
  </si>
  <si>
    <t xml:space="preserve">CC1=C(C)N=CC=N1</t>
  </si>
  <si>
    <t xml:space="preserve">OXQOBQJCDNLAPO-UHFFFAOYSA-N</t>
  </si>
  <si>
    <t xml:space="preserve">67-3</t>
  </si>
  <si>
    <t xml:space="preserve">2,6-Dimethylpyrazine</t>
  </si>
  <si>
    <t xml:space="preserve">HMDB0035248</t>
  </si>
  <si>
    <t xml:space="preserve">90558</t>
  </si>
  <si>
    <t xml:space="preserve">7938</t>
  </si>
  <si>
    <t xml:space="preserve">108-50-9</t>
  </si>
  <si>
    <t xml:space="preserve">CC1=CN=CC(C)=N1</t>
  </si>
  <si>
    <t xml:space="preserve">HJFZAYHYIWGLNL-UHFFFAOYSA-N</t>
  </si>
  <si>
    <t xml:space="preserve">68-1</t>
  </si>
  <si>
    <t xml:space="preserve">69-1</t>
  </si>
  <si>
    <t xml:space="preserve">70-1</t>
  </si>
  <si>
    <t xml:space="preserve">71-1</t>
  </si>
  <si>
    <t xml:space="preserve">72-1</t>
  </si>
  <si>
    <t xml:space="preserve">73-1</t>
  </si>
  <si>
    <t xml:space="preserve">(+/-)-Ethyl 2-hydroxy-2-methylbutyrate</t>
  </si>
  <si>
    <t xml:space="preserve">HMDB0032269</t>
  </si>
  <si>
    <t xml:space="preserve">88315</t>
  </si>
  <si>
    <t xml:space="preserve">LMFA07010693</t>
  </si>
  <si>
    <t xml:space="preserve">101536</t>
  </si>
  <si>
    <t xml:space="preserve">77-70-3</t>
  </si>
  <si>
    <t xml:space="preserve">O=C(C(CC)(C)O)OCC</t>
  </si>
  <si>
    <t xml:space="preserve">KIYWRWLZHQZKKD-UHFFFAOYSA-N</t>
  </si>
  <si>
    <t xml:space="preserve">73-2</t>
  </si>
  <si>
    <t xml:space="preserve">Methyl DL-Leucate</t>
  </si>
  <si>
    <t xml:space="preserve">HMDB0036231</t>
  </si>
  <si>
    <t xml:space="preserve">91377</t>
  </si>
  <si>
    <t xml:space="preserve">LMFA07010959</t>
  </si>
  <si>
    <t xml:space="preserve">62908</t>
  </si>
  <si>
    <t xml:space="preserve">40348-72-9</t>
  </si>
  <si>
    <t xml:space="preserve">CC(C)CC(C(OC)=O)O</t>
  </si>
  <si>
    <t xml:space="preserve">JOSNYUDSMPILKL-UHFFFAOYSA-N</t>
  </si>
  <si>
    <t xml:space="preserve">73-3</t>
  </si>
  <si>
    <t xml:space="preserve">3-Hydroxyisoheptanoic acid</t>
  </si>
  <si>
    <t xml:space="preserve">HMDB0002207</t>
  </si>
  <si>
    <t xml:space="preserve">6547</t>
  </si>
  <si>
    <t xml:space="preserve">165406</t>
  </si>
  <si>
    <t xml:space="preserve">193804</t>
  </si>
  <si>
    <t xml:space="preserve">40309-49-7</t>
  </si>
  <si>
    <t xml:space="preserve">CC(C)CC(O)CC(O)=O</t>
  </si>
  <si>
    <t xml:space="preserve">SCAWECGFPWPHAR-UHFFFAOYSA-N</t>
  </si>
  <si>
    <t xml:space="preserve">74-1</t>
  </si>
  <si>
    <t xml:space="preserve">75-1</t>
  </si>
  <si>
    <t xml:space="preserve">Oxazaphosphorine</t>
  </si>
  <si>
    <t xml:space="preserve">HMDB0255969</t>
  </si>
  <si>
    <t xml:space="preserve">22137869</t>
  </si>
  <si>
    <t xml:space="preserve">N1OC=CC=P1</t>
  </si>
  <si>
    <t xml:space="preserve">ZZVDXRCAGGQFAK-UHFFFAOYSA-N</t>
  </si>
  <si>
    <t xml:space="preserve">Phosphacyclic compounds</t>
  </si>
  <si>
    <t xml:space="preserve">75-2</t>
  </si>
  <si>
    <t xml:space="preserve">6H-Oxazaphosphinine</t>
  </si>
  <si>
    <t xml:space="preserve">HMDB0260394</t>
  </si>
  <si>
    <t xml:space="preserve">54483113</t>
  </si>
  <si>
    <t xml:space="preserve">C1ON=PC=C1</t>
  </si>
  <si>
    <t xml:space="preserve">XQKIAXHLJBULSS-UHFFFAOYSA-N</t>
  </si>
  <si>
    <t xml:space="preserve">76-1</t>
  </si>
  <si>
    <t xml:space="preserve">77-1</t>
  </si>
  <si>
    <t xml:space="preserve">78-1</t>
  </si>
  <si>
    <t xml:space="preserve">79-1</t>
  </si>
  <si>
    <t xml:space="preserve">80-1</t>
  </si>
  <si>
    <t xml:space="preserve">81-1</t>
  </si>
  <si>
    <t xml:space="preserve">82-1</t>
  </si>
  <si>
    <t xml:space="preserve">83-1</t>
  </si>
  <si>
    <t xml:space="preserve">3-Nitrobenzaldehyde</t>
  </si>
  <si>
    <t xml:space="preserve">HMDB0245945</t>
  </si>
  <si>
    <t xml:space="preserve">323917</t>
  </si>
  <si>
    <t xml:space="preserve">7449</t>
  </si>
  <si>
    <t xml:space="preserve">[O-][N+](=O)C1=CC=CC(C=O)=C1</t>
  </si>
  <si>
    <t xml:space="preserve">ZETIVVHRRQLWFW-UHFFFAOYSA-N</t>
  </si>
  <si>
    <t xml:space="preserve">83-2</t>
  </si>
  <si>
    <t xml:space="preserve">4-Nitrobenzaldehyde</t>
  </si>
  <si>
    <t xml:space="preserve">HMDB0246531</t>
  </si>
  <si>
    <t xml:space="preserve">66926</t>
  </si>
  <si>
    <t xml:space="preserve">O=CC1=CC=C(C=C1)N(=O)=O</t>
  </si>
  <si>
    <t xml:space="preserve">BXRFQSNOROATLV-UHFFFAOYSA-N</t>
  </si>
  <si>
    <t xml:space="preserve">84-1</t>
  </si>
  <si>
    <t xml:space="preserve">85-1</t>
  </si>
  <si>
    <t xml:space="preserve">86-1</t>
  </si>
  <si>
    <t xml:space="preserve">87-1</t>
  </si>
  <si>
    <t xml:space="preserve">88-1</t>
  </si>
  <si>
    <t xml:space="preserve">Allyl hexenoate</t>
  </si>
  <si>
    <t xml:space="preserve">HMDB0038268</t>
  </si>
  <si>
    <t xml:space="preserve">92993</t>
  </si>
  <si>
    <t xml:space="preserve">LMFA07010777</t>
  </si>
  <si>
    <t xml:space="preserve">11812127</t>
  </si>
  <si>
    <t xml:space="preserve">O(CC=C)C(=O)/C=C/CCC</t>
  </si>
  <si>
    <t xml:space="preserve">VOLVXFXDLNXTMV-VOTSOKGWSA-N</t>
  </si>
  <si>
    <t xml:space="preserve">88-2</t>
  </si>
  <si>
    <t xml:space="preserve">2-Nonenoic acid gamma-lactone</t>
  </si>
  <si>
    <t xml:space="preserve">HMDB0032442</t>
  </si>
  <si>
    <t xml:space="preserve">88465</t>
  </si>
  <si>
    <t xml:space="preserve">LMFA07040020</t>
  </si>
  <si>
    <t xml:space="preserve">89559</t>
  </si>
  <si>
    <t xml:space="preserve">21963-26-8</t>
  </si>
  <si>
    <t xml:space="preserve">C1(OC(CCCCC)C=C1)=O</t>
  </si>
  <si>
    <t xml:space="preserve">MXZSZHJBUODOJK-UHFFFAOYSA-N</t>
  </si>
  <si>
    <t xml:space="preserve">88-3</t>
  </si>
  <si>
    <t xml:space="preserve">2,4-Hexadienyl propionate</t>
  </si>
  <si>
    <t xml:space="preserve">HMDB0032314</t>
  </si>
  <si>
    <t xml:space="preserve">88355</t>
  </si>
  <si>
    <t xml:space="preserve">6386721</t>
  </si>
  <si>
    <t xml:space="preserve">16491-25-1</t>
  </si>
  <si>
    <t xml:space="preserve">CCC(=O)OC\C=C\C=C\C</t>
  </si>
  <si>
    <t xml:space="preserve">ZVBREIRNEOXCKQ-TWTPFVCWSA-N</t>
  </si>
  <si>
    <t xml:space="preserve">89-1</t>
  </si>
  <si>
    <t xml:space="preserve">90-1</t>
  </si>
  <si>
    <t xml:space="preserve">91-1</t>
  </si>
  <si>
    <t xml:space="preserve">92-1</t>
  </si>
  <si>
    <t xml:space="preserve">1,4-Dithiane</t>
  </si>
  <si>
    <t xml:space="preserve">HMDB0031474</t>
  </si>
  <si>
    <t xml:space="preserve">65667</t>
  </si>
  <si>
    <t xml:space="preserve">C01871</t>
  </si>
  <si>
    <t xml:space="preserve">540</t>
  </si>
  <si>
    <t xml:space="preserve">10452</t>
  </si>
  <si>
    <t xml:space="preserve">505-29-3</t>
  </si>
  <si>
    <t xml:space="preserve">C1CSCCS1</t>
  </si>
  <si>
    <t xml:space="preserve">LOZWAPSEEHRYPG-UHFFFAOYSA-N</t>
  </si>
  <si>
    <t xml:space="preserve">Dithianes</t>
  </si>
  <si>
    <t xml:space="preserve">92-2</t>
  </si>
  <si>
    <t xml:space="preserve">Methyl 2-propenyl disulfide</t>
  </si>
  <si>
    <t xml:space="preserve">HMDB0041389</t>
  </si>
  <si>
    <t xml:space="preserve">66933</t>
  </si>
  <si>
    <t xml:space="preserve">C08383</t>
  </si>
  <si>
    <t xml:space="preserve">6854</t>
  </si>
  <si>
    <t xml:space="preserve">62434</t>
  </si>
  <si>
    <t xml:space="preserve">2179-58-0</t>
  </si>
  <si>
    <t xml:space="preserve">CSSCC=C</t>
  </si>
  <si>
    <t xml:space="preserve">XNZOTQPMYMCTBZ-UHFFFAOYSA-N</t>
  </si>
  <si>
    <t xml:space="preserve">93-1</t>
  </si>
  <si>
    <t xml:space="preserve">94-1</t>
  </si>
  <si>
    <t xml:space="preserve">95-1</t>
  </si>
  <si>
    <t xml:space="preserve">96-1</t>
  </si>
  <si>
    <t xml:space="preserve">97-1</t>
  </si>
  <si>
    <t xml:space="preserve">98-1</t>
  </si>
  <si>
    <t xml:space="preserve">99-1</t>
  </si>
  <si>
    <t xml:space="preserve">D-Alanyl-D-alanine</t>
  </si>
  <si>
    <t xml:space="preserve">HMDB0003459</t>
  </si>
  <si>
    <t xml:space="preserve">6937</t>
  </si>
  <si>
    <t xml:space="preserve">C00993</t>
  </si>
  <si>
    <t xml:space="preserve">16576</t>
  </si>
  <si>
    <t xml:space="preserve">5460362</t>
  </si>
  <si>
    <t xml:space="preserve">923-16-0</t>
  </si>
  <si>
    <t xml:space="preserve">C[C@@H](N)C(=O)N[C@H](C)C(O)=O</t>
  </si>
  <si>
    <t xml:space="preserve">DEFJQIDDEAULHB-QWWZWVQMSA-N</t>
  </si>
  <si>
    <t xml:space="preserve">99-2</t>
  </si>
  <si>
    <t xml:space="preserve">4-Acetamido-2-aminobutanoic acid</t>
  </si>
  <si>
    <t xml:space="preserve">HMDB0031411</t>
  </si>
  <si>
    <t xml:space="preserve">327986</t>
  </si>
  <si>
    <t xml:space="preserve">C06442</t>
  </si>
  <si>
    <t xml:space="preserve">7351</t>
  </si>
  <si>
    <t xml:space="preserve">902</t>
  </si>
  <si>
    <t xml:space="preserve">1190-46-1</t>
  </si>
  <si>
    <t xml:space="preserve">CC(=O)NCC[C@H](N)C(O)=O</t>
  </si>
  <si>
    <t xml:space="preserve">YLZRFVZUZIJABA-YFKPBYRVSA-N</t>
  </si>
  <si>
    <t xml:space="preserve">100-1</t>
  </si>
  <si>
    <t xml:space="preserve">2-Methyl-4-isothiazolin-3-one</t>
  </si>
  <si>
    <t xml:space="preserve">HMDB0245220</t>
  </si>
  <si>
    <t xml:space="preserve">53620</t>
  </si>
  <si>
    <t xml:space="preserve">39800</t>
  </si>
  <si>
    <t xml:space="preserve">CN1SC=CC1=O</t>
  </si>
  <si>
    <t xml:space="preserve">BEGLCMHJXHIJLR-UHFFFAOYSA-N</t>
  </si>
  <si>
    <t xml:space="preserve">100-2</t>
  </si>
  <si>
    <t xml:space="preserve">Methylisothiazolone</t>
  </si>
  <si>
    <t xml:space="preserve">HMDB0254651</t>
  </si>
  <si>
    <t xml:space="preserve">57269290</t>
  </si>
  <si>
    <t xml:space="preserve">CC1=NS(=O)C=C1</t>
  </si>
  <si>
    <t xml:space="preserve">KFGWEMFTDGCYSK-UHFFFAOYSA-N</t>
  </si>
  <si>
    <t xml:space="preserve">101-1</t>
  </si>
  <si>
    <t xml:space="preserve">102-1</t>
  </si>
  <si>
    <t xml:space="preserve">103-1</t>
  </si>
  <si>
    <t xml:space="preserve">104-1</t>
  </si>
  <si>
    <t xml:space="preserve">Dimetridazole</t>
  </si>
  <si>
    <t xml:space="preserve">HMDB0251409</t>
  </si>
  <si>
    <t xml:space="preserve">141155</t>
  </si>
  <si>
    <t xml:space="preserve">CN1C(C)=NC=C1N(=O)=O</t>
  </si>
  <si>
    <t xml:space="preserve">IBXPYPUJPLLOIN-UHFFFAOYSA-N</t>
  </si>
  <si>
    <t xml:space="preserve">104-2</t>
  </si>
  <si>
    <t xml:space="preserve">hydroxymethylcytosine</t>
  </si>
  <si>
    <t xml:space="preserve">HMDB0253278</t>
  </si>
  <si>
    <t xml:space="preserve">21989274</t>
  </si>
  <si>
    <t xml:space="preserve">NC1=NC(=O)N(CO)C=C1</t>
  </si>
  <si>
    <t xml:space="preserve">MJEQLGCFPLHMNV-UHFFFAOYSA-N</t>
  </si>
  <si>
    <t xml:space="preserve">105-1</t>
  </si>
  <si>
    <t xml:space="preserve">106-1</t>
  </si>
  <si>
    <t xml:space="preserve">2-Amino-5-chloropyridine</t>
  </si>
  <si>
    <t xml:space="preserve">HMDB0244996</t>
  </si>
  <si>
    <t xml:space="preserve">NC1=NC=C(Cl)C=C1</t>
  </si>
  <si>
    <t xml:space="preserve">MAXBVGJEFDMHNV-UHFFFAOYSA-N</t>
  </si>
  <si>
    <t xml:space="preserve">Aminopyridines and derivatives</t>
  </si>
  <si>
    <t xml:space="preserve">106-2</t>
  </si>
  <si>
    <t xml:space="preserve">2-Chloro-3-methylpyrazine</t>
  </si>
  <si>
    <t xml:space="preserve">HMDB0245051</t>
  </si>
  <si>
    <t xml:space="preserve">334127</t>
  </si>
  <si>
    <t xml:space="preserve">66769</t>
  </si>
  <si>
    <t xml:space="preserve">CC1=NC=CN=C1Cl</t>
  </si>
  <si>
    <t xml:space="preserve">WZHWPZQQPWKEAV-UHFFFAOYSA-N</t>
  </si>
  <si>
    <t xml:space="preserve">106-3</t>
  </si>
  <si>
    <t xml:space="preserve">2-Amino-4-chloropyridine</t>
  </si>
  <si>
    <t xml:space="preserve">HMDB0244987</t>
  </si>
  <si>
    <t xml:space="preserve">NC1=NC=CC(Cl)=C1</t>
  </si>
  <si>
    <t xml:space="preserve">RQMWVVBHJMUJNZ-UHFFFAOYSA-N</t>
  </si>
  <si>
    <t xml:space="preserve">107-1</t>
  </si>
  <si>
    <t xml:space="preserve">108-1</t>
  </si>
  <si>
    <t xml:space="preserve">109-1</t>
  </si>
  <si>
    <t xml:space="preserve">110-1</t>
  </si>
  <si>
    <t xml:space="preserve">111-1</t>
  </si>
  <si>
    <t xml:space="preserve">112-1</t>
  </si>
  <si>
    <t xml:space="preserve">113-1</t>
  </si>
  <si>
    <t xml:space="preserve">Isopyridoxal</t>
  </si>
  <si>
    <t xml:space="preserve">HMDB0004290</t>
  </si>
  <si>
    <t xml:space="preserve">63863</t>
  </si>
  <si>
    <t xml:space="preserve">C06051</t>
  </si>
  <si>
    <t xml:space="preserve">17889</t>
  </si>
  <si>
    <t xml:space="preserve">440899</t>
  </si>
  <si>
    <t xml:space="preserve">CC1=NC=C(C=O)C(CO)=C1O</t>
  </si>
  <si>
    <t xml:space="preserve">GNKXHPULSPWUAK-UHFFFAOYSA-N</t>
  </si>
  <si>
    <t xml:space="preserve">Pyridine carboxaldehydes</t>
  </si>
  <si>
    <t xml:space="preserve">113-2</t>
  </si>
  <si>
    <t xml:space="preserve">Pyridoxal</t>
  </si>
  <si>
    <t xml:space="preserve">HMDB0001545</t>
  </si>
  <si>
    <t xml:space="preserve">313876</t>
  </si>
  <si>
    <t xml:space="preserve">C00250</t>
  </si>
  <si>
    <t xml:space="preserve">17310</t>
  </si>
  <si>
    <t xml:space="preserve">1050</t>
  </si>
  <si>
    <t xml:space="preserve">66-72-8</t>
  </si>
  <si>
    <t xml:space="preserve">CC1=NC=C(CO)C(C=O)=C1O</t>
  </si>
  <si>
    <t xml:space="preserve">RADKZDMFGJYCBB-UHFFFAOYSA-N</t>
  </si>
  <si>
    <t xml:space="preserve">114-1</t>
  </si>
  <si>
    <t xml:space="preserve">L-cis-3-Amino-2-pyrrolidinecarboxylic acid</t>
  </si>
  <si>
    <t xml:space="preserve">HMDB0029396</t>
  </si>
  <si>
    <t xml:space="preserve">86241</t>
  </si>
  <si>
    <t xml:space="preserve">21998160</t>
  </si>
  <si>
    <t xml:space="preserve">25876-88-4</t>
  </si>
  <si>
    <t xml:space="preserve">NC1CCNC1C(O)=O</t>
  </si>
  <si>
    <t xml:space="preserve">VJLXSTXGGXYQCT-UHFFFAOYSA-N</t>
  </si>
  <si>
    <t xml:space="preserve">114-2</t>
  </si>
  <si>
    <t xml:space="preserve">D-1-Amino-2-pyrrolidinecarboxylic acid</t>
  </si>
  <si>
    <t xml:space="preserve">HMDB0030405</t>
  </si>
  <si>
    <t xml:space="preserve">86950</t>
  </si>
  <si>
    <t xml:space="preserve">273022</t>
  </si>
  <si>
    <t xml:space="preserve">10139-05-6</t>
  </si>
  <si>
    <t xml:space="preserve">NN1CCCC1C(O)=O</t>
  </si>
  <si>
    <t xml:space="preserve">OUCUOMVLTQBZCY-UHFFFAOYSA-N</t>
  </si>
  <si>
    <t xml:space="preserve">115-1</t>
  </si>
  <si>
    <t xml:space="preserve">116-1</t>
  </si>
  <si>
    <t xml:space="preserve">117-1</t>
  </si>
  <si>
    <t xml:space="preserve">118-1</t>
  </si>
  <si>
    <t xml:space="preserve">119-1</t>
  </si>
  <si>
    <t xml:space="preserve">120-1</t>
  </si>
  <si>
    <t xml:space="preserve">121-1</t>
  </si>
  <si>
    <t xml:space="preserve">122-1</t>
  </si>
  <si>
    <t xml:space="preserve">cis-4-Octenedioic acid</t>
  </si>
  <si>
    <t xml:space="preserve">HMDB0004982</t>
  </si>
  <si>
    <t xml:space="preserve">5451</t>
  </si>
  <si>
    <t xml:space="preserve">LMFA01170078</t>
  </si>
  <si>
    <t xml:space="preserve">11805205</t>
  </si>
  <si>
    <t xml:space="preserve">38561-68-1</t>
  </si>
  <si>
    <t xml:space="preserve">C(=O)(O)CC/C=C\CCC(=O)O</t>
  </si>
  <si>
    <t xml:space="preserve">LQVYKEXVMZXOAH-UPHRSURJSA-N</t>
  </si>
  <si>
    <t xml:space="preserve">122-2</t>
  </si>
  <si>
    <t xml:space="preserve">2-Octenedioic acid</t>
  </si>
  <si>
    <t xml:space="preserve">HMDB0000341</t>
  </si>
  <si>
    <t xml:space="preserve">5330</t>
  </si>
  <si>
    <t xml:space="preserve">89192</t>
  </si>
  <si>
    <t xml:space="preserve">6079438</t>
  </si>
  <si>
    <t xml:space="preserve">5698-50-0</t>
  </si>
  <si>
    <t xml:space="preserve">OC(=O)CCCC\C=C\C(O)=O</t>
  </si>
  <si>
    <t xml:space="preserve">BNTPVRGYUHJFHN-HWKANZROSA-N</t>
  </si>
  <si>
    <t xml:space="preserve">122-3</t>
  </si>
  <si>
    <t xml:space="preserve">trans-3-Octenedioic acid</t>
  </si>
  <si>
    <t xml:space="preserve">HMDB0013312</t>
  </si>
  <si>
    <t xml:space="preserve">173786</t>
  </si>
  <si>
    <t xml:space="preserve">22495178</t>
  </si>
  <si>
    <t xml:space="preserve">OC(=O)CCC\C=C\CC(O)=O</t>
  </si>
  <si>
    <t xml:space="preserve">QWWZNXBOJLOHGI-HNQUOIGGSA-N</t>
  </si>
  <si>
    <t xml:space="preserve">123-1</t>
  </si>
  <si>
    <t xml:space="preserve">124-1</t>
  </si>
  <si>
    <t xml:space="preserve">2-Aminobenzenesulfonic acid</t>
  </si>
  <si>
    <t xml:space="preserve">HMDB0304940</t>
  </si>
  <si>
    <t xml:space="preserve">C06333</t>
  </si>
  <si>
    <t xml:space="preserve">1015</t>
  </si>
  <si>
    <t xml:space="preserve">6926</t>
  </si>
  <si>
    <t xml:space="preserve">NC1=CC=CC=C1S(O)(=O)=O</t>
  </si>
  <si>
    <t xml:space="preserve">ZMCHBSMFKQYNKA-UHFFFAOYSA-N</t>
  </si>
  <si>
    <t xml:space="preserve">124-2</t>
  </si>
  <si>
    <t xml:space="preserve">Sulfanilic acid</t>
  </si>
  <si>
    <t xml:space="preserve">HMDB0258581</t>
  </si>
  <si>
    <t xml:space="preserve">C06335</t>
  </si>
  <si>
    <t xml:space="preserve">27500</t>
  </si>
  <si>
    <t xml:space="preserve">NC1=CC=C(C=C1)S(O)(=O)=O</t>
  </si>
  <si>
    <t xml:space="preserve">HVBSAKJJOYLTQU-UHFFFAOYSA-N</t>
  </si>
  <si>
    <t xml:space="preserve">125-1</t>
  </si>
  <si>
    <t xml:space="preserve">2,7-Diamino-7-iminoheptanoic acid</t>
  </si>
  <si>
    <t xml:space="preserve">HMDB0245671</t>
  </si>
  <si>
    <t xml:space="preserve">4479245</t>
  </si>
  <si>
    <t xml:space="preserve">NC(CCCCC(N)=N)C(O)=O</t>
  </si>
  <si>
    <t xml:space="preserve">SILQDLDAWPQMEL-UHFFFAOYSA-N</t>
  </si>
  <si>
    <t xml:space="preserve">125-2</t>
  </si>
  <si>
    <t xml:space="preserve">5-[(1-Iminoethyl)amino]-2-aminopentanoic acid</t>
  </si>
  <si>
    <t xml:space="preserve">HMDB0246210</t>
  </si>
  <si>
    <t xml:space="preserve">CC(=N)NCCCC(N)C(O)=O</t>
  </si>
  <si>
    <t xml:space="preserve">UYZFAUAYFLEHRC-UHFFFAOYSA-N</t>
  </si>
  <si>
    <t xml:space="preserve">125-3</t>
  </si>
  <si>
    <t xml:space="preserve">apo-[3-methylcrotonoyl-CoA:carbon-dioxide ligase (ADP-forming)]</t>
  </si>
  <si>
    <t xml:space="preserve">HMDB0059607</t>
  </si>
  <si>
    <t xml:space="preserve">96232</t>
  </si>
  <si>
    <t xml:space="preserve">25244460</t>
  </si>
  <si>
    <t xml:space="preserve">NCCCC[C@H](NC=O)C(N)=O</t>
  </si>
  <si>
    <t xml:space="preserve">DKPYGQKMNSGPGT-LURJTMIESA-N</t>
  </si>
  <si>
    <t xml:space="preserve">126-1</t>
  </si>
  <si>
    <t xml:space="preserve">127-1</t>
  </si>
  <si>
    <t xml:space="preserve">128-1</t>
  </si>
  <si>
    <t xml:space="preserve">129-1</t>
  </si>
  <si>
    <t xml:space="preserve">130-1</t>
  </si>
  <si>
    <t xml:space="preserve">131-1</t>
  </si>
  <si>
    <t xml:space="preserve">132-1</t>
  </si>
  <si>
    <t xml:space="preserve">Acetylphosphate</t>
  </si>
  <si>
    <t xml:space="preserve">HMDB0001494</t>
  </si>
  <si>
    <t xml:space="preserve">63131</t>
  </si>
  <si>
    <t xml:space="preserve">C00227</t>
  </si>
  <si>
    <t xml:space="preserve">15350</t>
  </si>
  <si>
    <t xml:space="preserve">186</t>
  </si>
  <si>
    <t xml:space="preserve">590-54-5</t>
  </si>
  <si>
    <t xml:space="preserve">CC(=O)OP(O)(O)=O</t>
  </si>
  <si>
    <t xml:space="preserve">LIPOUNRJVLNBCD-UHFFFAOYSA-N</t>
  </si>
  <si>
    <t xml:space="preserve">132-2</t>
  </si>
  <si>
    <t xml:space="preserve">Phosphonoacetate</t>
  </si>
  <si>
    <t xml:space="preserve">HMDB0004110</t>
  </si>
  <si>
    <t xml:space="preserve">63576</t>
  </si>
  <si>
    <t xml:space="preserve">C05682</t>
  </si>
  <si>
    <t xml:space="preserve">15732</t>
  </si>
  <si>
    <t xml:space="preserve">546</t>
  </si>
  <si>
    <t xml:space="preserve">4408-78-0</t>
  </si>
  <si>
    <t xml:space="preserve">OC(=O)CP(O)(O)=O</t>
  </si>
  <si>
    <t xml:space="preserve">XUYJLQHKOGNDPB-UHFFFAOYSA-N</t>
  </si>
  <si>
    <t xml:space="preserve">133-1</t>
  </si>
  <si>
    <t xml:space="preserve">134-1</t>
  </si>
  <si>
    <t xml:space="preserve">135-1</t>
  </si>
  <si>
    <t xml:space="preserve">cis,cis-Muconic acid</t>
  </si>
  <si>
    <t xml:space="preserve">HMDB0006331</t>
  </si>
  <si>
    <t xml:space="preserve">45919</t>
  </si>
  <si>
    <t xml:space="preserve">LMFA01170077</t>
  </si>
  <si>
    <t xml:space="preserve">C02480</t>
  </si>
  <si>
    <t xml:space="preserve">16508</t>
  </si>
  <si>
    <t xml:space="preserve">5280518</t>
  </si>
  <si>
    <t xml:space="preserve">1119-72-8</t>
  </si>
  <si>
    <t xml:space="preserve">C(=O)(O)/C=C\C=C/C(=O)O</t>
  </si>
  <si>
    <t xml:space="preserve">TXXHDPDFNKHHGW-CCAGOZQPSA-N</t>
  </si>
  <si>
    <t xml:space="preserve">135-2</t>
  </si>
  <si>
    <t xml:space="preserve">Sumiki's acid</t>
  </si>
  <si>
    <t xml:space="preserve">HMDB0002432</t>
  </si>
  <si>
    <t xml:space="preserve">6680</t>
  </si>
  <si>
    <t xml:space="preserve">C20448</t>
  </si>
  <si>
    <t xml:space="preserve">89118</t>
  </si>
  <si>
    <t xml:space="preserve">80642</t>
  </si>
  <si>
    <t xml:space="preserve">6338-41-6</t>
  </si>
  <si>
    <t xml:space="preserve">OCC1=CC=C(O1)C(O)=O</t>
  </si>
  <si>
    <t xml:space="preserve">PCSKKIUURRTAEM-UHFFFAOYSA-N</t>
  </si>
  <si>
    <t xml:space="preserve">135-3</t>
  </si>
  <si>
    <t xml:space="preserve">trans-trans-Muconic acid</t>
  </si>
  <si>
    <t xml:space="preserve">HMDB0002349</t>
  </si>
  <si>
    <t xml:space="preserve">6639</t>
  </si>
  <si>
    <t xml:space="preserve">LMFA01170124</t>
  </si>
  <si>
    <t xml:space="preserve">C03647</t>
  </si>
  <si>
    <t xml:space="preserve">27036</t>
  </si>
  <si>
    <t xml:space="preserve">5356793</t>
  </si>
  <si>
    <t xml:space="preserve">3588-17-8</t>
  </si>
  <si>
    <t xml:space="preserve">C(=O)(O)/C=C/C=C/C(=O)O</t>
  </si>
  <si>
    <t xml:space="preserve">TXXHDPDFNKHHGW-ZPUQHVIOSA-N</t>
  </si>
  <si>
    <t xml:space="preserve">136-1</t>
  </si>
  <si>
    <t xml:space="preserve">137-1</t>
  </si>
  <si>
    <t xml:space="preserve">138-1</t>
  </si>
  <si>
    <t xml:space="preserve">2,2,7,7-Tetramethyl-1,6-dioxaspiro[4.4]nona-3,8-diene</t>
  </si>
  <si>
    <t xml:space="preserve">HMDB0030007</t>
  </si>
  <si>
    <t xml:space="preserve">86659</t>
  </si>
  <si>
    <t xml:space="preserve">172426</t>
  </si>
  <si>
    <t xml:space="preserve">11745236</t>
  </si>
  <si>
    <t xml:space="preserve">15129-55-2</t>
  </si>
  <si>
    <t xml:space="preserve">CC1(C)OC2(OC(C)(C)C=C2)C=C1</t>
  </si>
  <si>
    <t xml:space="preserve">XBYJEPZKXGPIKK-UHFFFAOYSA-N</t>
  </si>
  <si>
    <t xml:space="preserve">138-2</t>
  </si>
  <si>
    <t xml:space="preserve">Jasmolone</t>
  </si>
  <si>
    <t xml:space="preserve">HMDB0030039</t>
  </si>
  <si>
    <t xml:space="preserve">86681</t>
  </si>
  <si>
    <t xml:space="preserve">5374699</t>
  </si>
  <si>
    <t xml:space="preserve">54383-66-3</t>
  </si>
  <si>
    <t xml:space="preserve">CC\C=C\CC1=C(C)C(O)CC1=O</t>
  </si>
  <si>
    <t xml:space="preserve">SVRKACAGHUZSGU-SNAWJCMRSA-N</t>
  </si>
  <si>
    <t xml:space="preserve">138-3</t>
  </si>
  <si>
    <t xml:space="preserve">(+)-Myrtenyl formate</t>
  </si>
  <si>
    <t xml:space="preserve">HMDB0036669</t>
  </si>
  <si>
    <t xml:space="preserve">91711</t>
  </si>
  <si>
    <t xml:space="preserve">6429195</t>
  </si>
  <si>
    <t xml:space="preserve">72928-52-0</t>
  </si>
  <si>
    <t xml:space="preserve">CC1(C)C2CC1C(COC=O)=CC2</t>
  </si>
  <si>
    <t xml:space="preserve">QHPJGDWWLWJMPM-UHFFFAOYSA-N</t>
  </si>
  <si>
    <t xml:space="preserve">139-1</t>
  </si>
  <si>
    <t xml:space="preserve">140-1</t>
  </si>
  <si>
    <t xml:space="preserve">(+)-Limonene</t>
  </si>
  <si>
    <t xml:space="preserve">HMDB0003375</t>
  </si>
  <si>
    <t xml:space="preserve">41087</t>
  </si>
  <si>
    <t xml:space="preserve">LMPR0102090013</t>
  </si>
  <si>
    <t xml:space="preserve">C06099</t>
  </si>
  <si>
    <t xml:space="preserve">15382</t>
  </si>
  <si>
    <t xml:space="preserve">440917</t>
  </si>
  <si>
    <t xml:space="preserve">5989-27-5</t>
  </si>
  <si>
    <t xml:space="preserve">C1C[C@H](CC=C1C)C(C)=C</t>
  </si>
  <si>
    <t xml:space="preserve">XMGQYMWWDOXHJM-JTQLQIEISA-N</t>
  </si>
  <si>
    <t xml:space="preserve">140-2</t>
  </si>
  <si>
    <t xml:space="preserve">(R)-alpha-Phellandrene</t>
  </si>
  <si>
    <t xml:space="preserve">HMDB0035851</t>
  </si>
  <si>
    <t xml:space="preserve">316889</t>
  </si>
  <si>
    <t xml:space="preserve">LMPR0102090021</t>
  </si>
  <si>
    <t xml:space="preserve">C09875</t>
  </si>
  <si>
    <t xml:space="preserve">301</t>
  </si>
  <si>
    <t xml:space="preserve">442482</t>
  </si>
  <si>
    <t xml:space="preserve">4221-98-1</t>
  </si>
  <si>
    <t xml:space="preserve">[C@H]1(C=CC(C)=CC1)C(C)C</t>
  </si>
  <si>
    <t xml:space="preserve">OGLDWXZKYODSOB-SNVBAGLBSA-N</t>
  </si>
  <si>
    <t xml:space="preserve">140-3</t>
  </si>
  <si>
    <t xml:space="preserve">beta-Myrcene</t>
  </si>
  <si>
    <t xml:space="preserve">HMDB0038169</t>
  </si>
  <si>
    <t xml:space="preserve">41086</t>
  </si>
  <si>
    <t xml:space="preserve">LMPR0102010005</t>
  </si>
  <si>
    <t xml:space="preserve">C06074</t>
  </si>
  <si>
    <t xml:space="preserve">17221</t>
  </si>
  <si>
    <t xml:space="preserve">31253</t>
  </si>
  <si>
    <t xml:space="preserve">123-35-3</t>
  </si>
  <si>
    <t xml:space="preserve">C(=C)(C=C)CC/C=C(/C)\C</t>
  </si>
  <si>
    <t xml:space="preserve">UAHWPYUMFXYFJY-UHFFFAOYSA-N</t>
  </si>
  <si>
    <t xml:space="preserve">141-1</t>
  </si>
  <si>
    <t xml:space="preserve">142-1</t>
  </si>
  <si>
    <t xml:space="preserve">143-1</t>
  </si>
  <si>
    <t xml:space="preserve">144-1</t>
  </si>
  <si>
    <t xml:space="preserve">145-1</t>
  </si>
  <si>
    <t xml:space="preserve">146-1</t>
  </si>
  <si>
    <t xml:space="preserve">2,5-Dimethyl-3-propylpyrazine</t>
  </si>
  <si>
    <t xml:space="preserve">HMDB0031841</t>
  </si>
  <si>
    <t xml:space="preserve">87963</t>
  </si>
  <si>
    <t xml:space="preserve">87637</t>
  </si>
  <si>
    <t xml:space="preserve">18433-97-1</t>
  </si>
  <si>
    <t xml:space="preserve">CCCC1=C(C)N=CC(C)=N1</t>
  </si>
  <si>
    <t xml:space="preserve">ARRSOXMGLBJPNV-UHFFFAOYSA-N</t>
  </si>
  <si>
    <t xml:space="preserve">146-2</t>
  </si>
  <si>
    <t xml:space="preserve">3,5-Dimethyl-2-propylpyrazine</t>
  </si>
  <si>
    <t xml:space="preserve">HMDB0039995</t>
  </si>
  <si>
    <t xml:space="preserve">94536</t>
  </si>
  <si>
    <t xml:space="preserve">122594</t>
  </si>
  <si>
    <t xml:space="preserve">32350-16-6</t>
  </si>
  <si>
    <t xml:space="preserve">CCCC1=C(C)N=C(C)C=N1</t>
  </si>
  <si>
    <t xml:space="preserve">UTRAUCDSVCDVIW-UHFFFAOYSA-N</t>
  </si>
  <si>
    <t xml:space="preserve">146-3</t>
  </si>
  <si>
    <t xml:space="preserve">2,3-Dimethyl-5-propylpyrazine</t>
  </si>
  <si>
    <t xml:space="preserve">HMDB0039996</t>
  </si>
  <si>
    <t xml:space="preserve">94537</t>
  </si>
  <si>
    <t xml:space="preserve">520566</t>
  </si>
  <si>
    <t xml:space="preserve">32262-98-9</t>
  </si>
  <si>
    <t xml:space="preserve">CCCC1=NC(C)=C(C)N=C1</t>
  </si>
  <si>
    <t xml:space="preserve">RHCYSZMTNWMCOO-UHFFFAOYSA-N</t>
  </si>
  <si>
    <t xml:space="preserve">147-1</t>
  </si>
  <si>
    <t xml:space="preserve">148-1</t>
  </si>
  <si>
    <t xml:space="preserve">2,5-Dimethyl-3-(methylthio)furan</t>
  </si>
  <si>
    <t xml:space="preserve">HMDB0040198</t>
  </si>
  <si>
    <t xml:space="preserve">94732</t>
  </si>
  <si>
    <t xml:space="preserve">143990</t>
  </si>
  <si>
    <t xml:space="preserve">63359-63-7</t>
  </si>
  <si>
    <t xml:space="preserve">CSC1=C(C)OC(C)=C1</t>
  </si>
  <si>
    <t xml:space="preserve">DWAOFMNMQUXUGG-UHFFFAOYSA-N</t>
  </si>
  <si>
    <t xml:space="preserve">Thioethers</t>
  </si>
  <si>
    <t xml:space="preserve">Aryl thioethers</t>
  </si>
  <si>
    <t xml:space="preserve">148-2</t>
  </si>
  <si>
    <t xml:space="preserve">2-[(Ethylthio)methyl]furan</t>
  </si>
  <si>
    <t xml:space="preserve">HMDB0039875</t>
  </si>
  <si>
    <t xml:space="preserve">94421</t>
  </si>
  <si>
    <t xml:space="preserve">168930</t>
  </si>
  <si>
    <t xml:space="preserve">519751</t>
  </si>
  <si>
    <t xml:space="preserve">2024-70-6</t>
  </si>
  <si>
    <t xml:space="preserve">CCSCC1=CC=CO1</t>
  </si>
  <si>
    <t xml:space="preserve">WGQJSONNMGREEA-UHFFFAOYSA-N</t>
  </si>
  <si>
    <t xml:space="preserve">149-1</t>
  </si>
  <si>
    <t xml:space="preserve">150-1</t>
  </si>
  <si>
    <t xml:space="preserve">151-1</t>
  </si>
  <si>
    <t xml:space="preserve">N-Lactoylvaline</t>
  </si>
  <si>
    <t xml:space="preserve">HMDB0062181</t>
  </si>
  <si>
    <t xml:space="preserve">131770417</t>
  </si>
  <si>
    <t xml:space="preserve">21753-44-6</t>
  </si>
  <si>
    <t xml:space="preserve">CC(C)C(NC(=O)[C@H](C)O)C(O)=O</t>
  </si>
  <si>
    <t xml:space="preserve">IJKKTQLUXOILBQ-ZBHICJROSA-N</t>
  </si>
  <si>
    <t xml:space="preserve">151-2</t>
  </si>
  <si>
    <t xml:space="preserve">1-hydroxyhexanoylglycine</t>
  </si>
  <si>
    <t xml:space="preserve">HMDB0094718</t>
  </si>
  <si>
    <t xml:space="preserve">87772907</t>
  </si>
  <si>
    <t xml:space="preserve">CCCCC(NCC(O)=O)C(O)=O</t>
  </si>
  <si>
    <t xml:space="preserve">MBBNCIKYWHIZGN-UHFFFAOYSA-N</t>
  </si>
  <si>
    <t xml:space="preserve">151-3</t>
  </si>
  <si>
    <t xml:space="preserve">2-hydroxyhexanoylglycine</t>
  </si>
  <si>
    <t xml:space="preserve">HMDB0094719</t>
  </si>
  <si>
    <t xml:space="preserve">131802902</t>
  </si>
  <si>
    <t xml:space="preserve">CCCCC(O)C(O)=NCC(O)=O</t>
  </si>
  <si>
    <t xml:space="preserve">YQMRIHFIEQHCOJ-UHFFFAOYSA-N</t>
  </si>
  <si>
    <t xml:space="preserve">152-1</t>
  </si>
  <si>
    <t xml:space="preserve">153-1</t>
  </si>
  <si>
    <t xml:space="preserve">154-1</t>
  </si>
  <si>
    <t xml:space="preserve">155-1</t>
  </si>
  <si>
    <t xml:space="preserve">156-1</t>
  </si>
  <si>
    <t xml:space="preserve">157-1</t>
  </si>
  <si>
    <t xml:space="preserve">Imidazolelactic acid</t>
  </si>
  <si>
    <t xml:space="preserve">HMDB0002320</t>
  </si>
  <si>
    <t xml:space="preserve">4196</t>
  </si>
  <si>
    <t xml:space="preserve">C05132</t>
  </si>
  <si>
    <t xml:space="preserve">70808</t>
  </si>
  <si>
    <t xml:space="preserve">459122</t>
  </si>
  <si>
    <t xml:space="preserve">876-19-7</t>
  </si>
  <si>
    <t xml:space="preserve">OC(CN1C=CN=C1)C(O)=O</t>
  </si>
  <si>
    <t xml:space="preserve">JTYMXXCJQKGGFG-UHFFFAOYSA-N</t>
  </si>
  <si>
    <t xml:space="preserve">157-2</t>
  </si>
  <si>
    <t xml:space="preserve">4-Imidazolone-5-propionic acid</t>
  </si>
  <si>
    <t xml:space="preserve">HMDB0001014</t>
  </si>
  <si>
    <t xml:space="preserve">319</t>
  </si>
  <si>
    <t xml:space="preserve">C03680</t>
  </si>
  <si>
    <t xml:space="preserve">27384</t>
  </si>
  <si>
    <t xml:space="preserve">128</t>
  </si>
  <si>
    <t xml:space="preserve">17340-16-8</t>
  </si>
  <si>
    <t xml:space="preserve">OC(=O)CCC1N=CNC1=O</t>
  </si>
  <si>
    <t xml:space="preserve">HEXMLHKQVUFYME-UHFFFAOYSA-N</t>
  </si>
  <si>
    <t xml:space="preserve">158-1</t>
  </si>
  <si>
    <t xml:space="preserve">159-1</t>
  </si>
  <si>
    <t xml:space="preserve">160-1</t>
  </si>
  <si>
    <t xml:space="preserve">161-1</t>
  </si>
  <si>
    <t xml:space="preserve">162-1</t>
  </si>
  <si>
    <t xml:space="preserve">163-1</t>
  </si>
  <si>
    <t xml:space="preserve">164-1</t>
  </si>
  <si>
    <t xml:space="preserve">165-1</t>
  </si>
  <si>
    <t xml:space="preserve">166-1</t>
  </si>
  <si>
    <t xml:space="preserve">167-1</t>
  </si>
  <si>
    <t xml:space="preserve">Isobutyl 2-furanpropionate</t>
  </si>
  <si>
    <t xml:space="preserve">HMDB0037734</t>
  </si>
  <si>
    <t xml:space="preserve">92557</t>
  </si>
  <si>
    <t xml:space="preserve">LMFA07010915</t>
  </si>
  <si>
    <t xml:space="preserve">7733</t>
  </si>
  <si>
    <t xml:space="preserve">105-01-1</t>
  </si>
  <si>
    <t xml:space="preserve">O(CC(C)C)C(=O)CCC1=CC=CO1</t>
  </si>
  <si>
    <t xml:space="preserve">SVDPTFHRRNUNRS-UHFFFAOYSA-N</t>
  </si>
  <si>
    <t xml:space="preserve">167-2</t>
  </si>
  <si>
    <t xml:space="preserve">2,6-Dimethoxy-4-propylphenol</t>
  </si>
  <si>
    <t xml:space="preserve">HMDB0036226</t>
  </si>
  <si>
    <t xml:space="preserve">91372</t>
  </si>
  <si>
    <t xml:space="preserve">524975</t>
  </si>
  <si>
    <t xml:space="preserve">6766-82-1</t>
  </si>
  <si>
    <t xml:space="preserve">CCCC1=CC(OC)=C(O)C(OC)=C1</t>
  </si>
  <si>
    <t xml:space="preserve">YHEWWEXPVKCVFY-UHFFFAOYSA-N</t>
  </si>
  <si>
    <t xml:space="preserve">168-1</t>
  </si>
  <si>
    <t xml:space="preserve">169-1</t>
  </si>
  <si>
    <t xml:space="preserve">170-1</t>
  </si>
  <si>
    <t xml:space="preserve">171-1</t>
  </si>
  <si>
    <t xml:space="preserve">172-1</t>
  </si>
  <si>
    <t xml:space="preserve">173-1</t>
  </si>
  <si>
    <t xml:space="preserve">174-1</t>
  </si>
  <si>
    <t xml:space="preserve">175-1</t>
  </si>
  <si>
    <t xml:space="preserve">2,5-Diethyl-3,6-dimethylpyrazine</t>
  </si>
  <si>
    <t xml:space="preserve">HMDB0039979</t>
  </si>
  <si>
    <t xml:space="preserve">94520</t>
  </si>
  <si>
    <t xml:space="preserve">12669071</t>
  </si>
  <si>
    <t xml:space="preserve">18903-30-5</t>
  </si>
  <si>
    <t xml:space="preserve">CCC1=NC(C)=C(CC)N=C1C</t>
  </si>
  <si>
    <t xml:space="preserve">WOKWCTYNOKUPRA-UHFFFAOYSA-N</t>
  </si>
  <si>
    <t xml:space="preserve">175-2</t>
  </si>
  <si>
    <t xml:space="preserve">2,3-Diethyl-5,6-dimethylpyrazine</t>
  </si>
  <si>
    <t xml:space="preserve">HMDB0039980</t>
  </si>
  <si>
    <t xml:space="preserve">94521</t>
  </si>
  <si>
    <t xml:space="preserve">182198</t>
  </si>
  <si>
    <t xml:space="preserve">106060-96-2</t>
  </si>
  <si>
    <t xml:space="preserve">CCC1=C(CC)N=C(C)C(C)=N1</t>
  </si>
  <si>
    <t xml:space="preserve">YAGSHZPMYHTMPZ-UHFFFAOYSA-N</t>
  </si>
  <si>
    <t xml:space="preserve">175-3</t>
  </si>
  <si>
    <t xml:space="preserve">2,6-Diethyl-3,5-dimethylpyrazine</t>
  </si>
  <si>
    <t xml:space="preserve">HMDB0039981</t>
  </si>
  <si>
    <t xml:space="preserve">94522</t>
  </si>
  <si>
    <t xml:space="preserve">22152543</t>
  </si>
  <si>
    <t xml:space="preserve">18940-74-4</t>
  </si>
  <si>
    <t xml:space="preserve">CCC1=NC(CC)=C(C)N=C1C</t>
  </si>
  <si>
    <t xml:space="preserve">LQIGIQZSHAYEKN-UHFFFAOYSA-N</t>
  </si>
  <si>
    <t xml:space="preserve">176-1</t>
  </si>
  <si>
    <t xml:space="preserve">alpha-Terpineol</t>
  </si>
  <si>
    <t xml:space="preserve">HMDB0004043</t>
  </si>
  <si>
    <t xml:space="preserve">LMPR0102090028</t>
  </si>
  <si>
    <t xml:space="preserve">C09902</t>
  </si>
  <si>
    <t xml:space="preserve">300</t>
  </si>
  <si>
    <t xml:space="preserve">442501</t>
  </si>
  <si>
    <t xml:space="preserve">7785-53-7</t>
  </si>
  <si>
    <t xml:space="preserve">C(O)(C)(C)[C@H]1CC=C(C)CC1</t>
  </si>
  <si>
    <t xml:space="preserve">WUOACPNHFRMFPN-VIFPVBQESA-N</t>
  </si>
  <si>
    <t xml:space="preserve">176-2</t>
  </si>
  <si>
    <t xml:space="preserve">Geraniol</t>
  </si>
  <si>
    <t xml:space="preserve">HMDB0005812</t>
  </si>
  <si>
    <t xml:space="preserve">41105</t>
  </si>
  <si>
    <t xml:space="preserve">LMPR0102010010</t>
  </si>
  <si>
    <t xml:space="preserve">C09871</t>
  </si>
  <si>
    <t xml:space="preserve">29452</t>
  </si>
  <si>
    <t xml:space="preserve">643820</t>
  </si>
  <si>
    <t xml:space="preserve">106-25-2</t>
  </si>
  <si>
    <t xml:space="preserve">C(/C)(=C\CO)\CC/C=C(\C)/C</t>
  </si>
  <si>
    <t xml:space="preserve">GLZPCOQZEFWAFX-YFHOEESVSA-N</t>
  </si>
  <si>
    <t xml:space="preserve">176-3</t>
  </si>
  <si>
    <t xml:space="preserve">beta-Geraniol</t>
  </si>
  <si>
    <t xml:space="preserve">HMDB0035155</t>
  </si>
  <si>
    <t xml:space="preserve">41060</t>
  </si>
  <si>
    <t xml:space="preserve">LMPR0102010016</t>
  </si>
  <si>
    <t xml:space="preserve">C01500</t>
  </si>
  <si>
    <t xml:space="preserve">17447</t>
  </si>
  <si>
    <t xml:space="preserve">637566</t>
  </si>
  <si>
    <t xml:space="preserve">106-24-1</t>
  </si>
  <si>
    <t xml:space="preserve">OC/C=C(\C)/CC/C=C(\C)/C</t>
  </si>
  <si>
    <t xml:space="preserve">GLZPCOQZEFWAFX-JXMROGBWSA-N</t>
  </si>
  <si>
    <t xml:space="preserve">177-1</t>
  </si>
  <si>
    <t xml:space="preserve">178-1</t>
  </si>
  <si>
    <t xml:space="preserve">179-1</t>
  </si>
  <si>
    <t xml:space="preserve">180-1</t>
  </si>
  <si>
    <t xml:space="preserve">181-1</t>
  </si>
  <si>
    <t xml:space="preserve">182-1</t>
  </si>
  <si>
    <t xml:space="preserve">Serylproline</t>
  </si>
  <si>
    <t xml:space="preserve">HMDB0029047</t>
  </si>
  <si>
    <t xml:space="preserve">23688</t>
  </si>
  <si>
    <t xml:space="preserve">74820</t>
  </si>
  <si>
    <t xml:space="preserve">4369021</t>
  </si>
  <si>
    <t xml:space="preserve">23827-93-2</t>
  </si>
  <si>
    <t xml:space="preserve">N[C@@H](CO)C(=O)N1CCC[C@H]1C(O)=O</t>
  </si>
  <si>
    <t xml:space="preserve">WBAXJMCUFIXCNI-WDSKDSINSA-N</t>
  </si>
  <si>
    <t xml:space="preserve">182-2</t>
  </si>
  <si>
    <t xml:space="preserve">Hydroxyprolyl-Alanine</t>
  </si>
  <si>
    <t xml:space="preserve">HMDB0028856</t>
  </si>
  <si>
    <t xml:space="preserve">85765</t>
  </si>
  <si>
    <t xml:space="preserve">61156985</t>
  </si>
  <si>
    <t xml:space="preserve">CC(NC(=O)C1CC(O)CN1)C(O)=O</t>
  </si>
  <si>
    <t xml:space="preserve">PHMGRHJWVYZMPA-UHFFFAOYSA-N</t>
  </si>
  <si>
    <t xml:space="preserve">182-3</t>
  </si>
  <si>
    <t xml:space="preserve">Prolyl-Serine</t>
  </si>
  <si>
    <t xml:space="preserve">HMDB0029026</t>
  </si>
  <si>
    <t xml:space="preserve">18218236</t>
  </si>
  <si>
    <t xml:space="preserve">OCC(NC(=O)C1CCCN1)C(O)=O</t>
  </si>
  <si>
    <t xml:space="preserve">AFWBWPCXSWUCLB-UHFFFAOYSA-N</t>
  </si>
  <si>
    <t xml:space="preserve">183-1</t>
  </si>
  <si>
    <t xml:space="preserve">184-1</t>
  </si>
  <si>
    <t xml:space="preserve">185-1</t>
  </si>
  <si>
    <t xml:space="preserve">186-1</t>
  </si>
  <si>
    <t xml:space="preserve">2-Pyrroloylglycine</t>
  </si>
  <si>
    <t xml:space="preserve">HMDB0059778</t>
  </si>
  <si>
    <t xml:space="preserve">21126202</t>
  </si>
  <si>
    <t xml:space="preserve">98276-81-4</t>
  </si>
  <si>
    <t xml:space="preserve">OC(=O)CNC(=O)C1=CC=CN1</t>
  </si>
  <si>
    <t xml:space="preserve">GCBXCOXVQXMSOS-UHFFFAOYSA-N</t>
  </si>
  <si>
    <t xml:space="preserve">186-2</t>
  </si>
  <si>
    <t xml:space="preserve">2,3-Diaminosalicylic acid</t>
  </si>
  <si>
    <t xml:space="preserve">HMDB0013159</t>
  </si>
  <si>
    <t xml:space="preserve">88769</t>
  </si>
  <si>
    <t xml:space="preserve">53481699</t>
  </si>
  <si>
    <t xml:space="preserve">NC1=CC=C(O)C(C(O)=O)=C1N</t>
  </si>
  <si>
    <t xml:space="preserve">CGKSFNAGRBJNJO-UHFFFAOYSA-N</t>
  </si>
  <si>
    <t xml:space="preserve">187-1</t>
  </si>
  <si>
    <t xml:space="preserve">4-Azaspiro[bicyclo[2.2.2]octane-2,2'-[1,4]oxazolidine]-5'-one</t>
  </si>
  <si>
    <t xml:space="preserve">HMDB0244796</t>
  </si>
  <si>
    <t xml:space="preserve">9852730</t>
  </si>
  <si>
    <t xml:space="preserve">O=C1NCC2(CN3CCC2CC3)O1</t>
  </si>
  <si>
    <t xml:space="preserve">TYAGAVRSOFABFO-UHFFFAOYSA-N</t>
  </si>
  <si>
    <t xml:space="preserve">Azaspirodecane derivatives</t>
  </si>
  <si>
    <t xml:space="preserve">187-2</t>
  </si>
  <si>
    <t xml:space="preserve">Alaptide</t>
  </si>
  <si>
    <t xml:space="preserve">HMDB0248111</t>
  </si>
  <si>
    <t xml:space="preserve">351987</t>
  </si>
  <si>
    <t xml:space="preserve">541931</t>
  </si>
  <si>
    <t xml:space="preserve">CC1NC(=O)C2(CCCC2)NC1=O</t>
  </si>
  <si>
    <t xml:space="preserve">LTRSPDHUDXWHRY-UHFFFAOYSA-N</t>
  </si>
  <si>
    <t xml:space="preserve">188-1</t>
  </si>
  <si>
    <t xml:space="preserve">189-1</t>
  </si>
  <si>
    <t xml:space="preserve">(Z)-2,6,10-Bisabolatriene</t>
  </si>
  <si>
    <t xml:space="preserve">HMDB0036154</t>
  </si>
  <si>
    <t xml:space="preserve">53375</t>
  </si>
  <si>
    <t xml:space="preserve">LMPR0103060005</t>
  </si>
  <si>
    <t xml:space="preserve">C19748</t>
  </si>
  <si>
    <t xml:space="preserve">49239</t>
  </si>
  <si>
    <t xml:space="preserve">5352437</t>
  </si>
  <si>
    <t xml:space="preserve">13062-00-5</t>
  </si>
  <si>
    <t xml:space="preserve">C1C/C(/CC=C1C)=C(/C)\CC/C=C(/C)\C</t>
  </si>
  <si>
    <t xml:space="preserve">XBGUIVFBMBVUEG-PFONDFGASA-N</t>
  </si>
  <si>
    <t xml:space="preserve">189-2</t>
  </si>
  <si>
    <t xml:space="preserve">trans-beta-Farnesene</t>
  </si>
  <si>
    <t xml:space="preserve">HMDB0062763</t>
  </si>
  <si>
    <t xml:space="preserve">316880</t>
  </si>
  <si>
    <t xml:space="preserve">LMFA11000040</t>
  </si>
  <si>
    <t xml:space="preserve">C09666</t>
  </si>
  <si>
    <t xml:space="preserve">10418</t>
  </si>
  <si>
    <t xml:space="preserve">5281517</t>
  </si>
  <si>
    <t xml:space="preserve">18794-84-8</t>
  </si>
  <si>
    <t xml:space="preserve">C=CC(=C)CC/C=C(\C)/CC/C=C(\C)/C</t>
  </si>
  <si>
    <t xml:space="preserve">JSNRRGGBADWTMC-NTCAYCPXSA-N</t>
  </si>
  <si>
    <t xml:space="preserve">189-3</t>
  </si>
  <si>
    <t xml:space="preserve">alpha-Humulene</t>
  </si>
  <si>
    <t xml:space="preserve">HMDB0036467</t>
  </si>
  <si>
    <t xml:space="preserve">43510</t>
  </si>
  <si>
    <t xml:space="preserve">LMPR0103110001</t>
  </si>
  <si>
    <t xml:space="preserve">C09684</t>
  </si>
  <si>
    <t xml:space="preserve">5768</t>
  </si>
  <si>
    <t xml:space="preserve">5281520</t>
  </si>
  <si>
    <t xml:space="preserve">6753-98-6</t>
  </si>
  <si>
    <t xml:space="preserve">C1C(C)(C)CC=C(C)CCC=C(C)CC=1</t>
  </si>
  <si>
    <t xml:space="preserve">FAMPSKZZVDUYOS-HRGUGZIWSA-N</t>
  </si>
  <si>
    <t xml:space="preserve">190-1</t>
  </si>
  <si>
    <t xml:space="preserve">191-1</t>
  </si>
  <si>
    <t xml:space="preserve">192-1</t>
  </si>
  <si>
    <t xml:space="preserve">4-(1,1,3,3-Tetramethylbutyl)-phenol</t>
  </si>
  <si>
    <t xml:space="preserve">HMDB0013825</t>
  </si>
  <si>
    <t xml:space="preserve">69877</t>
  </si>
  <si>
    <t xml:space="preserve">C14205</t>
  </si>
  <si>
    <t xml:space="preserve">8814</t>
  </si>
  <si>
    <t xml:space="preserve">140-66-9</t>
  </si>
  <si>
    <t xml:space="preserve">CC(C)(C)CC(C)(C)C1=CC=C(O)C=C1</t>
  </si>
  <si>
    <t xml:space="preserve">ISAVYTVYFVQUDY-UHFFFAOYSA-N</t>
  </si>
  <si>
    <t xml:space="preserve">192-2</t>
  </si>
  <si>
    <t xml:space="preserve">alpha-Irone</t>
  </si>
  <si>
    <t xml:space="preserve">HMDB0035631</t>
  </si>
  <si>
    <t xml:space="preserve">67886</t>
  </si>
  <si>
    <t xml:space="preserve">C09690</t>
  </si>
  <si>
    <t xml:space="preserve">10284</t>
  </si>
  <si>
    <t xml:space="preserve">5371002</t>
  </si>
  <si>
    <t xml:space="preserve">79-69-6</t>
  </si>
  <si>
    <t xml:space="preserve">CC1CC=C(C)C(\C=C\C(C)=O)C1(C)C</t>
  </si>
  <si>
    <t xml:space="preserve">JZQOJFLIJNRDHK-CMDGGOBGSA-N</t>
  </si>
  <si>
    <t xml:space="preserve">193-1</t>
  </si>
  <si>
    <t xml:space="preserve">194-1</t>
  </si>
  <si>
    <t xml:space="preserve">195-1</t>
  </si>
  <si>
    <t xml:space="preserve">196-1</t>
  </si>
  <si>
    <t xml:space="preserve">197-1</t>
  </si>
  <si>
    <t xml:space="preserve">198-1</t>
  </si>
  <si>
    <t xml:space="preserve">199-1</t>
  </si>
  <si>
    <t xml:space="preserve">200-1</t>
  </si>
  <si>
    <t xml:space="preserve">201-1</t>
  </si>
  <si>
    <t xml:space="preserve">202-1</t>
  </si>
  <si>
    <t xml:space="preserve">203-1</t>
  </si>
  <si>
    <t xml:space="preserve">204-1</t>
  </si>
  <si>
    <t xml:space="preserve">Histidylglycine</t>
  </si>
  <si>
    <t xml:space="preserve">HMDB0028885</t>
  </si>
  <si>
    <t xml:space="preserve">85791</t>
  </si>
  <si>
    <t xml:space="preserve">73930</t>
  </si>
  <si>
    <t xml:space="preserve">101179</t>
  </si>
  <si>
    <t xml:space="preserve">2578-58-7</t>
  </si>
  <si>
    <t xml:space="preserve">N[C@@H](CC1=CNC=N1)C(=O)NCC(O)=O</t>
  </si>
  <si>
    <t xml:space="preserve">LYCVKHSJGDMDLM-LURJTMIESA-N</t>
  </si>
  <si>
    <t xml:space="preserve">204-2</t>
  </si>
  <si>
    <t xml:space="preserve">Glycyl-Histidine</t>
  </si>
  <si>
    <t xml:space="preserve">HMDB0028843</t>
  </si>
  <si>
    <t xml:space="preserve">23939</t>
  </si>
  <si>
    <t xml:space="preserve">172454</t>
  </si>
  <si>
    <t xml:space="preserve">417360</t>
  </si>
  <si>
    <t xml:space="preserve">NCC(=O)NC(CC1=CN=CN1)C(O)=O</t>
  </si>
  <si>
    <t xml:space="preserve">YIWFXZNIBQBFHR-UHFFFAOYSA-N</t>
  </si>
  <si>
    <t xml:space="preserve">205-1</t>
  </si>
  <si>
    <t xml:space="preserve">206-1</t>
  </si>
  <si>
    <t xml:space="preserve">207-1</t>
  </si>
  <si>
    <t xml:space="preserve">208-1</t>
  </si>
  <si>
    <t xml:space="preserve">209-1</t>
  </si>
  <si>
    <t xml:space="preserve">210-1</t>
  </si>
  <si>
    <t xml:space="preserve">211-1</t>
  </si>
  <si>
    <t xml:space="preserve">Glutamine pyruvate</t>
  </si>
  <si>
    <t xml:space="preserve">HMDB0252812</t>
  </si>
  <si>
    <t xml:space="preserve">129629480</t>
  </si>
  <si>
    <t xml:space="preserve">CC(=O)C(=O)OOC(=O)C(N)CCC(N)=O</t>
  </si>
  <si>
    <t xml:space="preserve">QIQFLMKYOPAMLL-UHFFFAOYSA-N</t>
  </si>
  <si>
    <t xml:space="preserve">211-2</t>
  </si>
  <si>
    <t xml:space="preserve">(2S)-5-Amino-2-[(2-carboxy-2-oxoethyl)amino]-5-oxopentanoic acid</t>
  </si>
  <si>
    <t xml:space="preserve">HMDB0257975</t>
  </si>
  <si>
    <t xml:space="preserve">NC(=O)CCC(NCC(=O)C(O)=O)C(O)=O</t>
  </si>
  <si>
    <t xml:space="preserve">FBZQQZFTYAAHAJ-UHFFFAOYSA-N</t>
  </si>
  <si>
    <t xml:space="preserve">211-3</t>
  </si>
  <si>
    <t xml:space="preserve">Kifunensine</t>
  </si>
  <si>
    <t xml:space="preserve">HMDB0253800</t>
  </si>
  <si>
    <t xml:space="preserve">3829</t>
  </si>
  <si>
    <t xml:space="preserve">OCC1C(O)C(O)C(O)C2NC(=O)C(=O)N12</t>
  </si>
  <si>
    <t xml:space="preserve">OIURYJWYVIAOCW-UHFFFAOYSA-N</t>
  </si>
  <si>
    <t xml:space="preserve">212-1</t>
  </si>
  <si>
    <t xml:space="preserve">3,3'-Diaminobenzidine</t>
  </si>
  <si>
    <t xml:space="preserve">HMDB0245998</t>
  </si>
  <si>
    <t xml:space="preserve">90994</t>
  </si>
  <si>
    <t xml:space="preserve">7071</t>
  </si>
  <si>
    <t xml:space="preserve">NC1=C(N)C=C(C=C1)C1=CC(N)=C(N)C=C1</t>
  </si>
  <si>
    <t xml:space="preserve">HSTOKWSFWGCZMH-UHFFFAOYSA-N</t>
  </si>
  <si>
    <t xml:space="preserve">212-2</t>
  </si>
  <si>
    <t xml:space="preserve">2,3-Diamino-benzidine</t>
  </si>
  <si>
    <t xml:space="preserve">HMDB0245384</t>
  </si>
  <si>
    <t xml:space="preserve">21226166</t>
  </si>
  <si>
    <t xml:space="preserve">NC1=CC=C(C=C1)C1=C(N)C(N)=C(N)C=C1</t>
  </si>
  <si>
    <t xml:space="preserve">GPDSDIPDQRRHPV-UHFFFAOYSA-N</t>
  </si>
  <si>
    <t xml:space="preserve">212-3</t>
  </si>
  <si>
    <t xml:space="preserve">4,4'-Dihydrazino-biphenyl</t>
  </si>
  <si>
    <t xml:space="preserve">HMDB0244050</t>
  </si>
  <si>
    <t xml:space="preserve">111063</t>
  </si>
  <si>
    <t xml:space="preserve">NNC1=CC=C(C=C1)C1=CC=C(NN)C=C1</t>
  </si>
  <si>
    <t xml:space="preserve">SXEHKFHPFVVDIR-UHFFFAOYSA-N</t>
  </si>
  <si>
    <t xml:space="preserve">213-1</t>
  </si>
  <si>
    <t xml:space="preserve">214-1</t>
  </si>
  <si>
    <t xml:space="preserve">2-Amino-3-(3-fluoro-4,5-dihydroxyphenyl)propanoic acid</t>
  </si>
  <si>
    <t xml:space="preserve">HMDB0246792</t>
  </si>
  <si>
    <t xml:space="preserve">121901</t>
  </si>
  <si>
    <t xml:space="preserve">NC(CC1=CC(O)=C(O)C(F)=C1)C(O)=O</t>
  </si>
  <si>
    <t xml:space="preserve">HAAXTGIFJHNHSX-UHFFFAOYSA-N</t>
  </si>
  <si>
    <t xml:space="preserve">214-2</t>
  </si>
  <si>
    <t xml:space="preserve">2-Fluoro-5-hydroxy-L-tyrosine</t>
  </si>
  <si>
    <t xml:space="preserve">HMDB0247059</t>
  </si>
  <si>
    <t xml:space="preserve">10242367</t>
  </si>
  <si>
    <t xml:space="preserve">NC(CC1=CC(O)=C(O)C=C1F)C(O)=O</t>
  </si>
  <si>
    <t xml:space="preserve">PAXWQORCRCBOCU-UHFFFAOYSA-N</t>
  </si>
  <si>
    <t xml:space="preserve">214-3</t>
  </si>
  <si>
    <t xml:space="preserve">2-Amino-3-(2-fluoro-3,4-dihydroxyphenyl)propanoic acid</t>
  </si>
  <si>
    <t xml:space="preserve">HMDB0247060</t>
  </si>
  <si>
    <t xml:space="preserve">343523</t>
  </si>
  <si>
    <t xml:space="preserve">NC(CC1=C(F)C(O)=C(O)C=C1)C(O)=O</t>
  </si>
  <si>
    <t xml:space="preserve">AIDLBEYXQMVQQH-UHFFFAOYSA-N</t>
  </si>
  <si>
    <t xml:space="preserve">215-1</t>
  </si>
  <si>
    <t xml:space="preserve">216-1</t>
  </si>
  <si>
    <t xml:space="preserve">217-1</t>
  </si>
  <si>
    <t xml:space="preserve">218-1</t>
  </si>
  <si>
    <t xml:space="preserve">219-1</t>
  </si>
  <si>
    <t xml:space="preserve">Valylthreonine</t>
  </si>
  <si>
    <t xml:space="preserve">HMDB0029137</t>
  </si>
  <si>
    <t xml:space="preserve">72636-02-3</t>
  </si>
  <si>
    <t xml:space="preserve">CC(C)[C@H](N)C(=O)N[C@@H](C(C)O)C(O)=O</t>
  </si>
  <si>
    <t xml:space="preserve">GVRKWABULJAONN-BYRXKDITSA-N</t>
  </si>
  <si>
    <t xml:space="preserve">219-2</t>
  </si>
  <si>
    <t xml:space="preserve">Ser-Leu</t>
  </si>
  <si>
    <t xml:space="preserve">HMDB0258242</t>
  </si>
  <si>
    <t xml:space="preserve">CC(C)CC(NC(=O)C(N)CO)C(O)=O</t>
  </si>
  <si>
    <t xml:space="preserve">NFDYGNFETJVMSE-UHFFFAOYSA-N</t>
  </si>
  <si>
    <t xml:space="preserve">220-1</t>
  </si>
  <si>
    <t xml:space="preserve">221-1</t>
  </si>
  <si>
    <t xml:space="preserve">222-1</t>
  </si>
  <si>
    <t xml:space="preserve">Methylpyrogallol sulfate 3</t>
  </si>
  <si>
    <t xml:space="preserve">HMDB0240694</t>
  </si>
  <si>
    <t xml:space="preserve">133548</t>
  </si>
  <si>
    <t xml:space="preserve">122164840</t>
  </si>
  <si>
    <t xml:space="preserve">COC1=C(O)C=CC=C1OS(O)(=O)=O</t>
  </si>
  <si>
    <t xml:space="preserve">ARLAWMCEVZUXEY-UHFFFAOYSA-N</t>
  </si>
  <si>
    <t xml:space="preserve">222-2</t>
  </si>
  <si>
    <t xml:space="preserve">Methylpyrogallol sulfate 1</t>
  </si>
  <si>
    <t xml:space="preserve">HMDB0240699</t>
  </si>
  <si>
    <t xml:space="preserve">122397220</t>
  </si>
  <si>
    <t xml:space="preserve">COC1=CC=CC(O)=C1OS(O)(=O)=O</t>
  </si>
  <si>
    <t xml:space="preserve">DIWVSUYQBQOOTK-UHFFFAOYSA-N</t>
  </si>
  <si>
    <t xml:space="preserve">222-3</t>
  </si>
  <si>
    <t xml:space="preserve">Methylpyrogallol sulfate 2</t>
  </si>
  <si>
    <t xml:space="preserve">HMDB0240709</t>
  </si>
  <si>
    <t xml:space="preserve">176448</t>
  </si>
  <si>
    <t xml:space="preserve">122397221</t>
  </si>
  <si>
    <t xml:space="preserve">COC1=C(O)C(OS(O)(=O)=O)=CC=C1</t>
  </si>
  <si>
    <t xml:space="preserve">NTXOJWKIHIOUQN-UHFFFAOYSA-N</t>
  </si>
  <si>
    <t xml:space="preserve">223-1</t>
  </si>
  <si>
    <t xml:space="preserve">224-1</t>
  </si>
  <si>
    <t xml:space="preserve">225-1</t>
  </si>
  <si>
    <t xml:space="preserve">13-Tetradecene-1,3-diyne-6,7-diol</t>
  </si>
  <si>
    <t xml:space="preserve">HMDB0039539</t>
  </si>
  <si>
    <t xml:space="preserve">94100</t>
  </si>
  <si>
    <t xml:space="preserve">LMFA05000589</t>
  </si>
  <si>
    <t xml:space="preserve">53440552</t>
  </si>
  <si>
    <t xml:space="preserve">122855-49-6</t>
  </si>
  <si>
    <t xml:space="preserve">C=CCCCCCC(C(CC#CC#C)O)O</t>
  </si>
  <si>
    <t xml:space="preserve">WOVGAQBKTGZPTO-UHFFFAOYSA-N</t>
  </si>
  <si>
    <t xml:space="preserve">225-2</t>
  </si>
  <si>
    <t xml:space="preserve">2,6-Di-tert-butylbenzoquinone</t>
  </si>
  <si>
    <t xml:space="preserve">HMDB0013817</t>
  </si>
  <si>
    <t xml:space="preserve">85272</t>
  </si>
  <si>
    <t xml:space="preserve">12867</t>
  </si>
  <si>
    <t xml:space="preserve">719-22-2</t>
  </si>
  <si>
    <t xml:space="preserve">CC(C)(C)C1=CC(=O)C=C(C1=O)C(C)(C)C</t>
  </si>
  <si>
    <t xml:space="preserve">RDQSIADLBQFVMY-UHFFFAOYSA-N</t>
  </si>
  <si>
    <t xml:space="preserve">225-3</t>
  </si>
  <si>
    <t xml:space="preserve">3-Phenylpropyl isovalerate</t>
  </si>
  <si>
    <t xml:space="preserve">HMDB0036389</t>
  </si>
  <si>
    <t xml:space="preserve">91532</t>
  </si>
  <si>
    <t xml:space="preserve">62578</t>
  </si>
  <si>
    <t xml:space="preserve">5452-07-3</t>
  </si>
  <si>
    <t xml:space="preserve">CC(C)CC(=O)OCCCC1=CC=CC=C1</t>
  </si>
  <si>
    <t xml:space="preserve">LBNFCOMOXOWXCD-UHFFFAOYSA-N</t>
  </si>
  <si>
    <t xml:space="preserve">226-1</t>
  </si>
  <si>
    <t xml:space="preserve">2,6-Dichlorobiphenyl</t>
  </si>
  <si>
    <t xml:space="preserve">HMDB0245513</t>
  </si>
  <si>
    <t xml:space="preserve">69990</t>
  </si>
  <si>
    <t xml:space="preserve">C14355</t>
  </si>
  <si>
    <t xml:space="preserve">34249</t>
  </si>
  <si>
    <t xml:space="preserve">36342</t>
  </si>
  <si>
    <t xml:space="preserve">33146-45-1</t>
  </si>
  <si>
    <t xml:space="preserve">ClC1=CC=CC(Cl)=C1C1=CC=CC=C1</t>
  </si>
  <si>
    <t xml:space="preserve">IYZWUWBAFUBNCH-UHFFFAOYSA-N</t>
  </si>
  <si>
    <t xml:space="preserve">226-2</t>
  </si>
  <si>
    <t xml:space="preserve">2,4'-Dichlorobiphenyl</t>
  </si>
  <si>
    <t xml:space="preserve">HMDB0245485</t>
  </si>
  <si>
    <t xml:space="preserve">69907</t>
  </si>
  <si>
    <t xml:space="preserve">C14246</t>
  </si>
  <si>
    <t xml:space="preserve">34232</t>
  </si>
  <si>
    <t xml:space="preserve">36982</t>
  </si>
  <si>
    <t xml:space="preserve">34883-43-7</t>
  </si>
  <si>
    <t xml:space="preserve">ClC1=CC=C(C=C1)C1=CC=CC=C1Cl</t>
  </si>
  <si>
    <t xml:space="preserve">UFNIBRDIUNVOMX-UHFFFAOYSA-N</t>
  </si>
  <si>
    <t xml:space="preserve">227-1</t>
  </si>
  <si>
    <t xml:space="preserve">(S)-3-Mercaptohexyl acetate</t>
  </si>
  <si>
    <t xml:space="preserve">HMDB0038920</t>
  </si>
  <si>
    <t xml:space="preserve">93533</t>
  </si>
  <si>
    <t xml:space="preserve">LMFA05000540</t>
  </si>
  <si>
    <t xml:space="preserve">77818</t>
  </si>
  <si>
    <t xml:space="preserve">518810</t>
  </si>
  <si>
    <t xml:space="preserve">145937-71-9</t>
  </si>
  <si>
    <t xml:space="preserve">CCCC(S)CCOC(=O)C</t>
  </si>
  <si>
    <t xml:space="preserve">JUCARGIKESIVLB-UHFFFAOYSA-N</t>
  </si>
  <si>
    <t xml:space="preserve">227-2</t>
  </si>
  <si>
    <t xml:space="preserve">Methylthiomethyl hexanoate</t>
  </si>
  <si>
    <t xml:space="preserve">HMDB0038300</t>
  </si>
  <si>
    <t xml:space="preserve">93024</t>
  </si>
  <si>
    <t xml:space="preserve">LMFA07010969</t>
  </si>
  <si>
    <t xml:space="preserve">173312</t>
  </si>
  <si>
    <t xml:space="preserve">74758-91-1</t>
  </si>
  <si>
    <t xml:space="preserve">O(C(=O)CCCCC)CSC</t>
  </si>
  <si>
    <t xml:space="preserve">NWSZEYNCLKNLMJ-UHFFFAOYSA-N</t>
  </si>
  <si>
    <t xml:space="preserve">227-3</t>
  </si>
  <si>
    <t xml:space="preserve">Methionyl butyrate</t>
  </si>
  <si>
    <t xml:space="preserve">HMDB0032378</t>
  </si>
  <si>
    <t xml:space="preserve">88405</t>
  </si>
  <si>
    <t xml:space="preserve">37902</t>
  </si>
  <si>
    <t xml:space="preserve">85520</t>
  </si>
  <si>
    <t xml:space="preserve">16630-60-7</t>
  </si>
  <si>
    <t xml:space="preserve">CCCC(=O)OCCCSC</t>
  </si>
  <si>
    <t xml:space="preserve">HSCZLQOPSGMKTK-UHFFFAOYSA-N</t>
  </si>
  <si>
    <t xml:space="preserve">228-1</t>
  </si>
  <si>
    <t xml:space="preserve">229-1</t>
  </si>
  <si>
    <t xml:space="preserve">Isokobusone</t>
  </si>
  <si>
    <t xml:space="preserve">HMDB0036791</t>
  </si>
  <si>
    <t xml:space="preserve">44491</t>
  </si>
  <si>
    <t xml:space="preserve">C16977</t>
  </si>
  <si>
    <t xml:space="preserve">3860435</t>
  </si>
  <si>
    <t xml:space="preserve">24173-72-6</t>
  </si>
  <si>
    <t xml:space="preserve">CC1(C)CC2C1CCC(=C)C(O)CCC2=O</t>
  </si>
  <si>
    <t xml:space="preserve">BSFUDCIRZBAPDS-UHFFFAOYSA-N</t>
  </si>
  <si>
    <t xml:space="preserve">229-2</t>
  </si>
  <si>
    <t xml:space="preserve">Rishitin</t>
  </si>
  <si>
    <t xml:space="preserve">HMDB0035593</t>
  </si>
  <si>
    <t xml:space="preserve">C09715</t>
  </si>
  <si>
    <t xml:space="preserve">534260</t>
  </si>
  <si>
    <t xml:space="preserve">18178-54-6</t>
  </si>
  <si>
    <t xml:space="preserve">CC1C(O)C(O)CC2=C1CC(CC2)C(C)=C</t>
  </si>
  <si>
    <t xml:space="preserve">XSCYYIVXGBKTOC-UHFFFAOYSA-N</t>
  </si>
  <si>
    <t xml:space="preserve">230-1</t>
  </si>
  <si>
    <t xml:space="preserve">231-1</t>
  </si>
  <si>
    <t xml:space="preserve">232-1</t>
  </si>
  <si>
    <t xml:space="preserve">FA(14:2)</t>
  </si>
  <si>
    <t xml:space="preserve">HMDB0000560</t>
  </si>
  <si>
    <t xml:space="preserve">34921</t>
  </si>
  <si>
    <t xml:space="preserve">LMFA01030257</t>
  </si>
  <si>
    <t xml:space="preserve">70719</t>
  </si>
  <si>
    <t xml:space="preserve">5312409</t>
  </si>
  <si>
    <t xml:space="preserve">39039-37-7</t>
  </si>
  <si>
    <t xml:space="preserve">C(CCC/C=C\C/C=C\CCCCC)(=O)O</t>
  </si>
  <si>
    <t xml:space="preserve">HXHZGHRLVRFQDR-HZJYTTRNSA-N</t>
  </si>
  <si>
    <t xml:space="preserve">232-2</t>
  </si>
  <si>
    <t xml:space="preserve">Neryl butyrate</t>
  </si>
  <si>
    <t xml:space="preserve">HMDB0038259</t>
  </si>
  <si>
    <t xml:space="preserve">92984</t>
  </si>
  <si>
    <t xml:space="preserve">LMFA07010626</t>
  </si>
  <si>
    <t xml:space="preserve">5352162</t>
  </si>
  <si>
    <t xml:space="preserve">999-40-6</t>
  </si>
  <si>
    <t xml:space="preserve">O=C(CCC)OC/C=C(/C)\CC/C=C(\C)/C</t>
  </si>
  <si>
    <t xml:space="preserve">ZSBOMYJPSRFZAL-RAXLEYEMSA-N</t>
  </si>
  <si>
    <t xml:space="preserve">232-3</t>
  </si>
  <si>
    <t xml:space="preserve">2-Propenyl cyclohexanepentanoate</t>
  </si>
  <si>
    <t xml:space="preserve">HMDB0037814</t>
  </si>
  <si>
    <t xml:space="preserve">92625</t>
  </si>
  <si>
    <t xml:space="preserve">LMFA07010745</t>
  </si>
  <si>
    <t xml:space="preserve">61407</t>
  </si>
  <si>
    <t xml:space="preserve">7493-68-7</t>
  </si>
  <si>
    <t xml:space="preserve">C1C(CCCCC(OCC=C)=O)CCCC1</t>
  </si>
  <si>
    <t xml:space="preserve">NDXGAVFJHHVIQN-UHFFFAOYSA-N</t>
  </si>
  <si>
    <t xml:space="preserve">233-1</t>
  </si>
  <si>
    <t xml:space="preserve">234-1</t>
  </si>
  <si>
    <t xml:space="preserve">235-1</t>
  </si>
  <si>
    <t xml:space="preserve">236-1</t>
  </si>
  <si>
    <t xml:space="preserve">237-1</t>
  </si>
  <si>
    <t xml:space="preserve">238-1</t>
  </si>
  <si>
    <t xml:space="preserve">4,5-Dihydrovomifoliol</t>
  </si>
  <si>
    <t xml:space="preserve">HMDB0040615</t>
  </si>
  <si>
    <t xml:space="preserve">138758</t>
  </si>
  <si>
    <t xml:space="preserve">23136584</t>
  </si>
  <si>
    <t xml:space="preserve">142173-08-8</t>
  </si>
  <si>
    <t xml:space="preserve">CC(O)\C=C\C1(O)C(C)CC(=O)CC1(C)C</t>
  </si>
  <si>
    <t xml:space="preserve">IHDJYDVWNNFPHR-AATRIKPKSA-N</t>
  </si>
  <si>
    <t xml:space="preserve">238-2</t>
  </si>
  <si>
    <t xml:space="preserve">Riesling acetal</t>
  </si>
  <si>
    <t xml:space="preserve">HMDB0037562</t>
  </si>
  <si>
    <t xml:space="preserve">92419</t>
  </si>
  <si>
    <t xml:space="preserve">156167</t>
  </si>
  <si>
    <t xml:space="preserve">57473083</t>
  </si>
  <si>
    <t xml:space="preserve">CC1=CC(O)CC(C)(C)C11CCC(C)(O)O1</t>
  </si>
  <si>
    <t xml:space="preserve">SJZGKFZUNCXEEW-UHFFFAOYSA-N</t>
  </si>
  <si>
    <t xml:space="preserve">239-1</t>
  </si>
  <si>
    <t xml:space="preserve">240-1</t>
  </si>
  <si>
    <t xml:space="preserve">241-1</t>
  </si>
  <si>
    <t xml:space="preserve">242-1</t>
  </si>
  <si>
    <t xml:space="preserve">Prolylhydroxyproline</t>
  </si>
  <si>
    <t xml:space="preserve">HMDB0006695</t>
  </si>
  <si>
    <t xml:space="preserve">58518</t>
  </si>
  <si>
    <t xml:space="preserve">74767</t>
  </si>
  <si>
    <t xml:space="preserve">11902892</t>
  </si>
  <si>
    <t xml:space="preserve">18684-24-7</t>
  </si>
  <si>
    <t xml:space="preserve">O[C@@H]1C[C@H](N(C1)C(=O)[C@@H]1CCCN1)C(O)=O</t>
  </si>
  <si>
    <t xml:space="preserve">ONPXCLZMBSJLSP-CSMHCCOUSA-N</t>
  </si>
  <si>
    <t xml:space="preserve">242-2</t>
  </si>
  <si>
    <t xml:space="preserve">Hydroxyprolyl-Proline</t>
  </si>
  <si>
    <t xml:space="preserve">HMDB0028871</t>
  </si>
  <si>
    <t xml:space="preserve">85777</t>
  </si>
  <si>
    <t xml:space="preserve">169724</t>
  </si>
  <si>
    <t xml:space="preserve">61156945</t>
  </si>
  <si>
    <t xml:space="preserve">OC1CNC(C1)C(=O)N1CCCC1C(O)=O</t>
  </si>
  <si>
    <t xml:space="preserve">GIOMWAZJQDYWEU-UHFFFAOYSA-N</t>
  </si>
  <si>
    <t xml:space="preserve">243-1</t>
  </si>
  <si>
    <t xml:space="preserve">trans-Hex-2-enoic acid</t>
  </si>
  <si>
    <t xml:space="preserve">HMDB0010719</t>
  </si>
  <si>
    <t xml:space="preserve">34699</t>
  </si>
  <si>
    <t xml:space="preserve">LMFA01030008</t>
  </si>
  <si>
    <t xml:space="preserve">87721</t>
  </si>
  <si>
    <t xml:space="preserve">5282707</t>
  </si>
  <si>
    <t xml:space="preserve">C(C)C/C=C/C(=O)O</t>
  </si>
  <si>
    <t xml:space="preserve">NIONDZDPPYHYKY-SNAWJCMRSA-N</t>
  </si>
  <si>
    <t xml:space="preserve">243-2</t>
  </si>
  <si>
    <t xml:space="preserve">3-Hexenoic acid</t>
  </si>
  <si>
    <t xml:space="preserve">HMDB0031501</t>
  </si>
  <si>
    <t xml:space="preserve">45785</t>
  </si>
  <si>
    <t xml:space="preserve">LMFA01030779</t>
  </si>
  <si>
    <t xml:space="preserve">49284</t>
  </si>
  <si>
    <t xml:space="preserve">5355152</t>
  </si>
  <si>
    <t xml:space="preserve">4219-24-3</t>
  </si>
  <si>
    <t xml:space="preserve">O=C(O)C/C=C\CC</t>
  </si>
  <si>
    <t xml:space="preserve">XXHDAWYDNSXJQM-ARJAWSKDSA-N</t>
  </si>
  <si>
    <t xml:space="preserve">243-3</t>
  </si>
  <si>
    <t xml:space="preserve">2-Methyl-2-pentenoic acid</t>
  </si>
  <si>
    <t xml:space="preserve">HMDB0031560</t>
  </si>
  <si>
    <t xml:space="preserve">87765</t>
  </si>
  <si>
    <t xml:space="preserve">LMFA01030971</t>
  </si>
  <si>
    <t xml:space="preserve">6436344</t>
  </si>
  <si>
    <t xml:space="preserve">3142-72-1</t>
  </si>
  <si>
    <t xml:space="preserve">CC/C=C(\C(O)=O)/C</t>
  </si>
  <si>
    <t xml:space="preserve">JJYWRQLLQAKNAD-PLNGDYQASA-N</t>
  </si>
  <si>
    <t xml:space="preserve">244-1</t>
  </si>
  <si>
    <t xml:space="preserve">245-1</t>
  </si>
  <si>
    <t xml:space="preserve">246-1</t>
  </si>
  <si>
    <t xml:space="preserve">247-1</t>
  </si>
  <si>
    <t xml:space="preserve">Asparaginylaspartic acid</t>
  </si>
  <si>
    <t xml:space="preserve">HMDB0028727</t>
  </si>
  <si>
    <t xml:space="preserve">23963</t>
  </si>
  <si>
    <t xml:space="preserve">73419</t>
  </si>
  <si>
    <t xml:space="preserve">25145403</t>
  </si>
  <si>
    <t xml:space="preserve">61365-15-9</t>
  </si>
  <si>
    <t xml:space="preserve">N[C@@H](CC(N)=O)C(=O)N[C@@H](CC(O)=O)C(O)=O</t>
  </si>
  <si>
    <t xml:space="preserve">HZYFHQOWCFUSOV-IMJSIDKUSA-N</t>
  </si>
  <si>
    <t xml:space="preserve">247-2</t>
  </si>
  <si>
    <t xml:space="preserve">Aspartyl-Asparagine</t>
  </si>
  <si>
    <t xml:space="preserve">HMDB0028748</t>
  </si>
  <si>
    <t xml:space="preserve">85663</t>
  </si>
  <si>
    <t xml:space="preserve">174277</t>
  </si>
  <si>
    <t xml:space="preserve">18218190</t>
  </si>
  <si>
    <t xml:space="preserve">NC(CC(O)=O)C(=O)NC(CC(N)=O)C(O)=O</t>
  </si>
  <si>
    <t xml:space="preserve">VGRHZPNRCLAHQA-UHFFFAOYSA-N</t>
  </si>
  <si>
    <t xml:space="preserve">248-1</t>
  </si>
  <si>
    <t xml:space="preserve">249-1</t>
  </si>
  <si>
    <t xml:space="preserve">250-1</t>
  </si>
  <si>
    <t xml:space="preserve">251-1</t>
  </si>
  <si>
    <t xml:space="preserve">252-1</t>
  </si>
  <si>
    <t xml:space="preserve">Valylisoleucine</t>
  </si>
  <si>
    <t xml:space="preserve">HMDB0029130</t>
  </si>
  <si>
    <t xml:space="preserve">23923</t>
  </si>
  <si>
    <t xml:space="preserve">75012</t>
  </si>
  <si>
    <t xml:space="preserve">7010531</t>
  </si>
  <si>
    <t xml:space="preserve">20556-14-3</t>
  </si>
  <si>
    <t xml:space="preserve">CC[C@H](C)[C@H](NC(=O)[C@@H](N)C(C)C)C(O)=O</t>
  </si>
  <si>
    <t xml:space="preserve">PNVLWFYAPWAQMU-CIUDSAMLSA-N</t>
  </si>
  <si>
    <t xml:space="preserve">252-2</t>
  </si>
  <si>
    <t xml:space="preserve">Valylleucine</t>
  </si>
  <si>
    <t xml:space="preserve">HMDB0029131</t>
  </si>
  <si>
    <t xml:space="preserve">23950</t>
  </si>
  <si>
    <t xml:space="preserve">75013</t>
  </si>
  <si>
    <t xml:space="preserve">6993117</t>
  </si>
  <si>
    <t xml:space="preserve">3989-97-7</t>
  </si>
  <si>
    <t xml:space="preserve">CC(C)C[C@H](NC(=O)[C@@H](N)C(C)C)C(O)=O</t>
  </si>
  <si>
    <t xml:space="preserve">XCTHZFGSVQBHBW-IUCAKERBSA-N</t>
  </si>
  <si>
    <t xml:space="preserve">252-3</t>
  </si>
  <si>
    <t xml:space="preserve">Isoleucyl-Valine</t>
  </si>
  <si>
    <t xml:space="preserve">HMDB0028920</t>
  </si>
  <si>
    <t xml:space="preserve">435949</t>
  </si>
  <si>
    <t xml:space="preserve">CCC(C)C(N)C(=O)NC(C(C)C)C(O)=O</t>
  </si>
  <si>
    <t xml:space="preserve">BCXBIONYYJCSDF-UHFFFAOYSA-N</t>
  </si>
  <si>
    <t xml:space="preserve">253-1</t>
  </si>
  <si>
    <t xml:space="preserve">254-1</t>
  </si>
  <si>
    <t xml:space="preserve">255-1</t>
  </si>
  <si>
    <t xml:space="preserve">256-1</t>
  </si>
  <si>
    <t xml:space="preserve">257-1</t>
  </si>
  <si>
    <t xml:space="preserve">258-1</t>
  </si>
  <si>
    <t xml:space="preserve">259-1</t>
  </si>
  <si>
    <t xml:space="preserve">260-1</t>
  </si>
  <si>
    <t xml:space="preserve">261-1</t>
  </si>
  <si>
    <t xml:space="preserve">Dehydrocurdione</t>
  </si>
  <si>
    <t xml:space="preserve">HMDB0035407</t>
  </si>
  <si>
    <t xml:space="preserve">C16949</t>
  </si>
  <si>
    <t xml:space="preserve">14191392</t>
  </si>
  <si>
    <t xml:space="preserve">38230-32-9</t>
  </si>
  <si>
    <t xml:space="preserve">CC1CC\C=C(C)/CC(=O)C(CC1=O)=C(C)C</t>
  </si>
  <si>
    <t xml:space="preserve">ZYPUZCWWTYIGFV-WDZFZDKYSA-N</t>
  </si>
  <si>
    <t xml:space="preserve">261-2</t>
  </si>
  <si>
    <t xml:space="preserve">Valerenic acid</t>
  </si>
  <si>
    <t xml:space="preserve">HMDB0030016</t>
  </si>
  <si>
    <t xml:space="preserve">C09743</t>
  </si>
  <si>
    <t xml:space="preserve">6042891</t>
  </si>
  <si>
    <t xml:space="preserve">3569-10-6</t>
  </si>
  <si>
    <t xml:space="preserve">CC1CCC(\C=C(/C)C(O)=O)C2=C(C)CCC12</t>
  </si>
  <si>
    <t xml:space="preserve">FEBNTWHYQKGEIQ-DHZHZOJOSA-N</t>
  </si>
  <si>
    <t xml:space="preserve">261-3</t>
  </si>
  <si>
    <t xml:space="preserve">Curcumenol</t>
  </si>
  <si>
    <t xml:space="preserve">HMDB0033960</t>
  </si>
  <si>
    <t xml:space="preserve">C16942</t>
  </si>
  <si>
    <t xml:space="preserve">80811</t>
  </si>
  <si>
    <t xml:space="preserve">387977</t>
  </si>
  <si>
    <t xml:space="preserve">19431-84-6</t>
  </si>
  <si>
    <t xml:space="preserve">CC1CCC2C(C)=CC3(O)OC12CC3=C(C)C</t>
  </si>
  <si>
    <t xml:space="preserve">ISFMXVMWEWLJGJ-UHFFFAOYSA-N</t>
  </si>
  <si>
    <t xml:space="preserve">262-1</t>
  </si>
  <si>
    <t xml:space="preserve">263-1</t>
  </si>
  <si>
    <t xml:space="preserve">264-1</t>
  </si>
  <si>
    <t xml:space="preserve">265-1</t>
  </si>
  <si>
    <t xml:space="preserve">266-1</t>
  </si>
  <si>
    <t xml:space="preserve">267-1</t>
  </si>
  <si>
    <t xml:space="preserve">268-1</t>
  </si>
  <si>
    <t xml:space="preserve">269-1</t>
  </si>
  <si>
    <t xml:space="preserve">270-1</t>
  </si>
  <si>
    <t xml:space="preserve">3,4-Dimethyl-5-pentyl-2-furanpropanoic acid</t>
  </si>
  <si>
    <t xml:space="preserve">HMDB0112083</t>
  </si>
  <si>
    <t xml:space="preserve">LMFA01150023</t>
  </si>
  <si>
    <t xml:space="preserve">23425504</t>
  </si>
  <si>
    <t xml:space="preserve">116627-39-5</t>
  </si>
  <si>
    <t xml:space="preserve">C(CC)CCC1=C(C)C(C)=C(CCC(=O)O)O1</t>
  </si>
  <si>
    <t xml:space="preserve">OSCJFAHVJDDMFL-UHFFFAOYSA-N</t>
  </si>
  <si>
    <t xml:space="preserve">270-2</t>
  </si>
  <si>
    <t xml:space="preserve">Geranyl acetoacetate</t>
  </si>
  <si>
    <t xml:space="preserve">HMDB0038256</t>
  </si>
  <si>
    <t xml:space="preserve">92981</t>
  </si>
  <si>
    <t xml:space="preserve">LMFA07010896</t>
  </si>
  <si>
    <t xml:space="preserve">54611954</t>
  </si>
  <si>
    <t xml:space="preserve">10032-00-5</t>
  </si>
  <si>
    <t xml:space="preserve">C/C(=C\CC/C(=C\COC(=O)CC(=O)C)/C)/C</t>
  </si>
  <si>
    <t xml:space="preserve">RYILZWKGLGVPOC-WQLSENKSSA-N</t>
  </si>
  <si>
    <t xml:space="preserve">271-1</t>
  </si>
  <si>
    <t xml:space="preserve">2-(2-Oxopropanoyloxy)butanedioic acid</t>
  </si>
  <si>
    <t xml:space="preserve">HMDB0258031</t>
  </si>
  <si>
    <t xml:space="preserve">53644070</t>
  </si>
  <si>
    <t xml:space="preserve">CC(=O)C(=O)OC(CC(O)=O)C(O)=O</t>
  </si>
  <si>
    <t xml:space="preserve">AIBNGERYLGBBKO-UHFFFAOYSA-N</t>
  </si>
  <si>
    <t xml:space="preserve">271-2</t>
  </si>
  <si>
    <t xml:space="preserve">Daucic acid</t>
  </si>
  <si>
    <t xml:space="preserve">HMDB0031665</t>
  </si>
  <si>
    <t xml:space="preserve">87845</t>
  </si>
  <si>
    <t xml:space="preserve">172444</t>
  </si>
  <si>
    <t xml:space="preserve">5316316</t>
  </si>
  <si>
    <t xml:space="preserve">34098-52-7</t>
  </si>
  <si>
    <t xml:space="preserve">OC1C=C(OC(C1O)C(O)=O)C(O)=O</t>
  </si>
  <si>
    <t xml:space="preserve">KUKCUROTFRBUNU-UHFFFAOYSA-N</t>
  </si>
  <si>
    <t xml:space="preserve">272-1</t>
  </si>
  <si>
    <t xml:space="preserve">273-1</t>
  </si>
  <si>
    <t xml:space="preserve">274-1</t>
  </si>
  <si>
    <t xml:space="preserve">275-1</t>
  </si>
  <si>
    <t xml:space="preserve">3-Oxotetradecanoic acid</t>
  </si>
  <si>
    <t xml:space="preserve">HMDB0010730</t>
  </si>
  <si>
    <t xml:space="preserve">74737</t>
  </si>
  <si>
    <t xml:space="preserve">LMFA01060099</t>
  </si>
  <si>
    <t xml:space="preserve">454064</t>
  </si>
  <si>
    <t xml:space="preserve">C(CC(=O)CCCCCCCCCCC)(=O)O</t>
  </si>
  <si>
    <t xml:space="preserve">XLKOZYOVXNPWGT-UHFFFAOYSA-N</t>
  </si>
  <si>
    <t xml:space="preserve">275-2</t>
  </si>
  <si>
    <t xml:space="preserve">L-Menthyl (R,S)-3-hydroxybutyrate</t>
  </si>
  <si>
    <t xml:space="preserve">HMDB0032370</t>
  </si>
  <si>
    <t xml:space="preserve">88397</t>
  </si>
  <si>
    <t xml:space="preserve">10220444</t>
  </si>
  <si>
    <t xml:space="preserve">108766-16-1</t>
  </si>
  <si>
    <t xml:space="preserve">CC(O)CC(=O)O[C@@H]1C[C@H](C)CC[C@H]1C(C)C</t>
  </si>
  <si>
    <t xml:space="preserve">XSJPRWBZLUYOOI-IBSWDFHHSA-N</t>
  </si>
  <si>
    <t xml:space="preserve">275-3</t>
  </si>
  <si>
    <t xml:space="preserve">6-Ketomyristic acid</t>
  </si>
  <si>
    <t xml:space="preserve">HMDB0030982</t>
  </si>
  <si>
    <t xml:space="preserve">74738</t>
  </si>
  <si>
    <t xml:space="preserve">LMFA01060100</t>
  </si>
  <si>
    <t xml:space="preserve">454063</t>
  </si>
  <si>
    <t xml:space="preserve">1619-89-2</t>
  </si>
  <si>
    <t xml:space="preserve">C(CCCCC(=O)CCCCCCCC)(=O)O</t>
  </si>
  <si>
    <t xml:space="preserve">FCMLVMXRWKFUTG-UHFFFAOYSA-N</t>
  </si>
  <si>
    <t xml:space="preserve">276-1</t>
  </si>
  <si>
    <t xml:space="preserve">2-Hydroxy-3-methyl-9H-carbazole</t>
  </si>
  <si>
    <t xml:space="preserve">HMDB0033455</t>
  </si>
  <si>
    <t xml:space="preserve">89286</t>
  </si>
  <si>
    <t xml:space="preserve">3459141</t>
  </si>
  <si>
    <t xml:space="preserve">24224-30-4</t>
  </si>
  <si>
    <t xml:space="preserve">CC1=C(O)C=C2NC3=CC=CC=C3C2=C1</t>
  </si>
  <si>
    <t xml:space="preserve">ZLOJFAGTWDOURE-UHFFFAOYSA-N</t>
  </si>
  <si>
    <t xml:space="preserve">276-2</t>
  </si>
  <si>
    <t xml:space="preserve">1-Hydroxy-3-methyl-9H-carbazole</t>
  </si>
  <si>
    <t xml:space="preserve">HMDB0033487</t>
  </si>
  <si>
    <t xml:space="preserve">89307</t>
  </si>
  <si>
    <t xml:space="preserve">173545</t>
  </si>
  <si>
    <t xml:space="preserve">607542</t>
  </si>
  <si>
    <t xml:space="preserve">14960-81-7</t>
  </si>
  <si>
    <t xml:space="preserve">CC1=CC2=C(NC3=CC=CC=C23)C(O)=C1</t>
  </si>
  <si>
    <t xml:space="preserve">IKITXHOOBOBUFJ-UHFFFAOYSA-N</t>
  </si>
  <si>
    <t xml:space="preserve">277-1</t>
  </si>
  <si>
    <t xml:space="preserve">Lysylproline</t>
  </si>
  <si>
    <t xml:space="preserve">HMDB0028959</t>
  </si>
  <si>
    <t xml:space="preserve">85861</t>
  </si>
  <si>
    <t xml:space="preserve">74567</t>
  </si>
  <si>
    <t xml:space="preserve">171204</t>
  </si>
  <si>
    <t xml:space="preserve">52766-27-5</t>
  </si>
  <si>
    <t xml:space="preserve">NCCCC[C@H](N)C(=O)N1CCC[C@H]1C(O)=O</t>
  </si>
  <si>
    <t xml:space="preserve">AIXUQKMMBQJZCU-IUCAKERBSA-N</t>
  </si>
  <si>
    <t xml:space="preserve">277-2</t>
  </si>
  <si>
    <t xml:space="preserve">Prolyl-Lysine</t>
  </si>
  <si>
    <t xml:space="preserve">HMDB0029022</t>
  </si>
  <si>
    <t xml:space="preserve">13653495</t>
  </si>
  <si>
    <t xml:space="preserve">NCCCCC(NC(=O)C1CCCN1)C(O)=O</t>
  </si>
  <si>
    <t xml:space="preserve">RVQDZELMXZRSSI-UHFFFAOYSA-N</t>
  </si>
  <si>
    <t xml:space="preserve">278-1</t>
  </si>
  <si>
    <t xml:space="preserve">279-1</t>
  </si>
  <si>
    <t xml:space="preserve">280-1</t>
  </si>
  <si>
    <t xml:space="preserve">281-1</t>
  </si>
  <si>
    <t xml:space="preserve">(R)-3-Hydroxy-tetradecanoic acid</t>
  </si>
  <si>
    <t xml:space="preserve">HMDB0010731</t>
  </si>
  <si>
    <t xml:space="preserve">35675</t>
  </si>
  <si>
    <t xml:space="preserve">LMFA01050322</t>
  </si>
  <si>
    <t xml:space="preserve">42539</t>
  </si>
  <si>
    <t xml:space="preserve">5288266</t>
  </si>
  <si>
    <t xml:space="preserve">C(C[C@H](O)CCCCCCCCCCC)(=O)O</t>
  </si>
  <si>
    <t xml:space="preserve">ATRNZOYKSNPPBF-CYBMUJFWSA-N</t>
  </si>
  <si>
    <t xml:space="preserve">281-2</t>
  </si>
  <si>
    <t xml:space="preserve">3-Hydroxytetradecanoic acid</t>
  </si>
  <si>
    <t xml:space="preserve">HMDB0061656</t>
  </si>
  <si>
    <t xml:space="preserve">35676</t>
  </si>
  <si>
    <t xml:space="preserve">LMFA01050323</t>
  </si>
  <si>
    <t xml:space="preserve">37374</t>
  </si>
  <si>
    <t xml:space="preserve">5312869</t>
  </si>
  <si>
    <t xml:space="preserve">35683-15-9</t>
  </si>
  <si>
    <t xml:space="preserve">C(C[C@@H](O)CCCCCCCCCCC)(=O)O</t>
  </si>
  <si>
    <t xml:space="preserve">ATRNZOYKSNPPBF-ZDUSSCGKSA-N</t>
  </si>
  <si>
    <t xml:space="preserve">281-3</t>
  </si>
  <si>
    <t xml:space="preserve">2-Hydroxymyristic acid</t>
  </si>
  <si>
    <t xml:space="preserve">HMDB0002261</t>
  </si>
  <si>
    <t xml:space="preserve">6579</t>
  </si>
  <si>
    <t xml:space="preserve">LMFA01050484</t>
  </si>
  <si>
    <t xml:space="preserve">59270</t>
  </si>
  <si>
    <t xml:space="preserve">1563</t>
  </si>
  <si>
    <t xml:space="preserve">2507-55-3</t>
  </si>
  <si>
    <t xml:space="preserve">C(C(O)CCCCCCCCCCCC)(O)=O</t>
  </si>
  <si>
    <t xml:space="preserve">JYZJYKOZGGEXSX-UHFFFAOYSA-N</t>
  </si>
  <si>
    <t xml:space="preserve">282-1</t>
  </si>
  <si>
    <t xml:space="preserve">283-1</t>
  </si>
  <si>
    <t xml:space="preserve">284-1</t>
  </si>
  <si>
    <t xml:space="preserve">285-1</t>
  </si>
  <si>
    <t xml:space="preserve">286-1</t>
  </si>
  <si>
    <t xml:space="preserve">287-1</t>
  </si>
  <si>
    <t xml:space="preserve">288-1</t>
  </si>
  <si>
    <t xml:space="preserve">289-1</t>
  </si>
  <si>
    <t xml:space="preserve">290-1</t>
  </si>
  <si>
    <t xml:space="preserve">291-1</t>
  </si>
  <si>
    <t xml:space="preserve">292-1</t>
  </si>
  <si>
    <t xml:space="preserve">293-1</t>
  </si>
  <si>
    <t xml:space="preserve">7Z,10Z-Hexadecadienoic acid</t>
  </si>
  <si>
    <t xml:space="preserve">HMDB0000477</t>
  </si>
  <si>
    <t xml:space="preserve">45809</t>
  </si>
  <si>
    <t xml:space="preserve">LMFA01030807</t>
  </si>
  <si>
    <t xml:space="preserve">86147</t>
  </si>
  <si>
    <t xml:space="preserve">13932172</t>
  </si>
  <si>
    <t xml:space="preserve">28290-73-5</t>
  </si>
  <si>
    <t xml:space="preserve">C(=O)(O)CCCCC/C=C\C/C=C\CCCCC</t>
  </si>
  <si>
    <t xml:space="preserve">WPJGPAAPSBVXNU-HZJYTTRNSA-N</t>
  </si>
  <si>
    <t xml:space="preserve">293-2</t>
  </si>
  <si>
    <t xml:space="preserve">Geranyl hexanoate</t>
  </si>
  <si>
    <t xml:space="preserve">HMDB0029351</t>
  </si>
  <si>
    <t xml:space="preserve">86212</t>
  </si>
  <si>
    <t xml:space="preserve">LMFA07010627</t>
  </si>
  <si>
    <t xml:space="preserve">12571389</t>
  </si>
  <si>
    <t xml:space="preserve">10032-02-7</t>
  </si>
  <si>
    <t xml:space="preserve">O=C(CCCCC)OC/C=C(/C)\CC/C=C(\C)/C</t>
  </si>
  <si>
    <t xml:space="preserve">ARVSCQUZFFSNKF-QINSGFPZSA-N</t>
  </si>
  <si>
    <t xml:space="preserve">293-3</t>
  </si>
  <si>
    <t xml:space="preserve">Linalyl hexanoate</t>
  </si>
  <si>
    <t xml:space="preserve">HMDB0030429</t>
  </si>
  <si>
    <t xml:space="preserve">86970</t>
  </si>
  <si>
    <t xml:space="preserve">564550</t>
  </si>
  <si>
    <t xml:space="preserve">7779-23-9</t>
  </si>
  <si>
    <t xml:space="preserve">CCCCCC(=O)OC(C)(CCC=C(C)C)C=C</t>
  </si>
  <si>
    <t xml:space="preserve">ALKCLFLTXBBMMP-UHFFFAOYSA-N</t>
  </si>
  <si>
    <t xml:space="preserve">294-1</t>
  </si>
  <si>
    <t xml:space="preserve">295-1</t>
  </si>
  <si>
    <t xml:space="preserve">296-1</t>
  </si>
  <si>
    <t xml:space="preserve">297-1</t>
  </si>
  <si>
    <t xml:space="preserve">298-1</t>
  </si>
  <si>
    <t xml:space="preserve">299-1</t>
  </si>
  <si>
    <t xml:space="preserve">300-1</t>
  </si>
  <si>
    <t xml:space="preserve">301-1</t>
  </si>
  <si>
    <t xml:space="preserve">302-1</t>
  </si>
  <si>
    <t xml:space="preserve">4,4'-Dipyridyl disulfide</t>
  </si>
  <si>
    <t xml:space="preserve">HMDB0246606</t>
  </si>
  <si>
    <t xml:space="preserve">462928</t>
  </si>
  <si>
    <t xml:space="preserve">41814</t>
  </si>
  <si>
    <t xml:space="preserve">75846</t>
  </si>
  <si>
    <t xml:space="preserve">S(SC1=CC=NC=C1)C1=CC=NC=C1</t>
  </si>
  <si>
    <t xml:space="preserve">UHBAPGWWRFVTFS-UHFFFAOYSA-N</t>
  </si>
  <si>
    <t xml:space="preserve">302-2</t>
  </si>
  <si>
    <t xml:space="preserve">2,2'-Dithiodipyridine</t>
  </si>
  <si>
    <t xml:space="preserve">HMDB0245356</t>
  </si>
  <si>
    <t xml:space="preserve">452491</t>
  </si>
  <si>
    <t xml:space="preserve">143170</t>
  </si>
  <si>
    <t xml:space="preserve">65093</t>
  </si>
  <si>
    <t xml:space="preserve">S(SC1=CC=CC=N1)C1=CC=CC=N1</t>
  </si>
  <si>
    <t xml:space="preserve">HAXFWIACAGNFHA-UHFFFAOYSA-N</t>
  </si>
  <si>
    <t xml:space="preserve">303-1</t>
  </si>
  <si>
    <t xml:space="preserve">304-1</t>
  </si>
  <si>
    <t xml:space="preserve">305-1</t>
  </si>
  <si>
    <t xml:space="preserve">306-1</t>
  </si>
  <si>
    <t xml:space="preserve">307-1</t>
  </si>
  <si>
    <t xml:space="preserve">308-1</t>
  </si>
  <si>
    <t xml:space="preserve">309-1</t>
  </si>
  <si>
    <t xml:space="preserve">310-1</t>
  </si>
  <si>
    <t xml:space="preserve">Glutamylisoleucine</t>
  </si>
  <si>
    <t xml:space="preserve">HMDB0028822</t>
  </si>
  <si>
    <t xml:space="preserve">141436</t>
  </si>
  <si>
    <t xml:space="preserve">9813855</t>
  </si>
  <si>
    <t xml:space="preserve">5879-22-1</t>
  </si>
  <si>
    <t xml:space="preserve">CC[C@H](C)[C@H](NC(=O)[C@@H](N)CCC(O)=O)C(O)=O</t>
  </si>
  <si>
    <t xml:space="preserve">SNFUTDLOCQQRQD-ZKWXMUAHSA-N</t>
  </si>
  <si>
    <t xml:space="preserve">310-2</t>
  </si>
  <si>
    <t xml:space="preserve">Glutamylleucine</t>
  </si>
  <si>
    <t xml:space="preserve">HMDB0028823</t>
  </si>
  <si>
    <t xml:space="preserve">44684</t>
  </si>
  <si>
    <t xml:space="preserve">73506</t>
  </si>
  <si>
    <t xml:space="preserve">9856500</t>
  </si>
  <si>
    <t xml:space="preserve">5969-52-8</t>
  </si>
  <si>
    <t xml:space="preserve">CC(C)C[C@H](NC(=O)[C@@H](N)CCC(O)=O)C(O)=O</t>
  </si>
  <si>
    <t xml:space="preserve">YBAFDPFAUTYYRW-YUMQZZPRSA-N</t>
  </si>
  <si>
    <t xml:space="preserve">310-3</t>
  </si>
  <si>
    <t xml:space="preserve">gamma-Glutamylleucine</t>
  </si>
  <si>
    <t xml:space="preserve">HMDB0011171</t>
  </si>
  <si>
    <t xml:space="preserve">23750</t>
  </si>
  <si>
    <t xml:space="preserve">68433</t>
  </si>
  <si>
    <t xml:space="preserve">151023</t>
  </si>
  <si>
    <t xml:space="preserve">2566-39-4</t>
  </si>
  <si>
    <t xml:space="preserve">CC(C)C[C@H](NC(=O)CC[C@H](N)C(O)=O)C(O)=O</t>
  </si>
  <si>
    <t xml:space="preserve">MYFMARDICOWMQP-YUMQZZPRSA-N</t>
  </si>
  <si>
    <t xml:space="preserve">311-1</t>
  </si>
  <si>
    <t xml:space="preserve">312-1</t>
  </si>
  <si>
    <t xml:space="preserve">313-1</t>
  </si>
  <si>
    <t xml:space="preserve">314-1</t>
  </si>
  <si>
    <t xml:space="preserve">315-1</t>
  </si>
  <si>
    <t xml:space="preserve">1-Methyladenosine</t>
  </si>
  <si>
    <t xml:space="preserve">HMDB0003331</t>
  </si>
  <si>
    <t xml:space="preserve">6888</t>
  </si>
  <si>
    <t xml:space="preserve">C02494</t>
  </si>
  <si>
    <t xml:space="preserve">16020</t>
  </si>
  <si>
    <t xml:space="preserve">27476</t>
  </si>
  <si>
    <t xml:space="preserve">15763-06-1</t>
  </si>
  <si>
    <t xml:space="preserve">CN1C=NC2=C(N=CN2[C@@H]2O[C@H](CO)[C@@H](O)[C@H]2O)C1=N</t>
  </si>
  <si>
    <t xml:space="preserve">GFYLSDSUCHVORB-IOSLPCCCSA-N</t>
  </si>
  <si>
    <t xml:space="preserve">315-2</t>
  </si>
  <si>
    <t xml:space="preserve">2'-O-Methyladenosine</t>
  </si>
  <si>
    <t xml:space="preserve">HMDB0004326</t>
  </si>
  <si>
    <t xml:space="preserve">58235</t>
  </si>
  <si>
    <t xml:space="preserve">C04779</t>
  </si>
  <si>
    <t xml:space="preserve">119928</t>
  </si>
  <si>
    <t xml:space="preserve">317398</t>
  </si>
  <si>
    <t xml:space="preserve">2140-79-6</t>
  </si>
  <si>
    <t xml:space="preserve">COC1C(O)C(CO)OC1N1C=NC2=C(N)N=CN=C12</t>
  </si>
  <si>
    <t xml:space="preserve">FPUGCISOLXNPPC-UHFFFAOYSA-N</t>
  </si>
  <si>
    <t xml:space="preserve">316-1</t>
  </si>
  <si>
    <t xml:space="preserve">317-1</t>
  </si>
  <si>
    <t xml:space="preserve">Benz[a]anthracene</t>
  </si>
  <si>
    <t xml:space="preserve">HMDB0248969</t>
  </si>
  <si>
    <t xml:space="preserve">69962</t>
  </si>
  <si>
    <t xml:space="preserve">C14317</t>
  </si>
  <si>
    <t xml:space="preserve">51348</t>
  </si>
  <si>
    <t xml:space="preserve">5954</t>
  </si>
  <si>
    <t xml:space="preserve">56-55-3</t>
  </si>
  <si>
    <t xml:space="preserve">C1=CC=C2C=C3C(C=CC4=CC=CC=C34)=CC2=C1</t>
  </si>
  <si>
    <t xml:space="preserve">DXBHBZVCASKNBY-UHFFFAOYSA-N</t>
  </si>
  <si>
    <t xml:space="preserve">317-2</t>
  </si>
  <si>
    <t xml:space="preserve">Chrysene</t>
  </si>
  <si>
    <t xml:space="preserve">HMDB0250216</t>
  </si>
  <si>
    <t xml:space="preserve">69889</t>
  </si>
  <si>
    <t xml:space="preserve">C14222</t>
  </si>
  <si>
    <t xml:space="preserve">51687</t>
  </si>
  <si>
    <t xml:space="preserve">9171</t>
  </si>
  <si>
    <t xml:space="preserve">218-01-9</t>
  </si>
  <si>
    <t xml:space="preserve">C1=CC2=CC=C3C4=CC=CC=C4C=CC3=C2C=C1</t>
  </si>
  <si>
    <t xml:space="preserve">WDECIBYCCFPHNR-UHFFFAOYSA-N</t>
  </si>
  <si>
    <t xml:space="preserve">Chrysenes</t>
  </si>
  <si>
    <t xml:space="preserve">318-1</t>
  </si>
  <si>
    <t xml:space="preserve">(S)-3-Methylthiohexyl butyrate</t>
  </si>
  <si>
    <t xml:space="preserve">HMDB0038946</t>
  </si>
  <si>
    <t xml:space="preserve">93557</t>
  </si>
  <si>
    <t xml:space="preserve">172006</t>
  </si>
  <si>
    <t xml:space="preserve">537755</t>
  </si>
  <si>
    <t xml:space="preserve">145937-80-0</t>
  </si>
  <si>
    <t xml:space="preserve">CCCC(CCOC(=O)CCC)SC</t>
  </si>
  <si>
    <t xml:space="preserve">CPZRKTMCYSRJPH-UHFFFAOYSA-N</t>
  </si>
  <si>
    <t xml:space="preserve">318-2</t>
  </si>
  <si>
    <t xml:space="preserve">(S)-3-Mercaptohexyl pentanoate</t>
  </si>
  <si>
    <t xml:space="preserve">HMDB0038945</t>
  </si>
  <si>
    <t xml:space="preserve">93556</t>
  </si>
  <si>
    <t xml:space="preserve">172008</t>
  </si>
  <si>
    <t xml:space="preserve">546093</t>
  </si>
  <si>
    <t xml:space="preserve">CCCCC(=O)OCCC(S)CCC</t>
  </si>
  <si>
    <t xml:space="preserve">VMHWVDZUYLYJAJ-UHFFFAOYSA-N</t>
  </si>
  <si>
    <t xml:space="preserve">319-1</t>
  </si>
  <si>
    <t xml:space="preserve">320-1</t>
  </si>
  <si>
    <t xml:space="preserve">321-1</t>
  </si>
  <si>
    <t xml:space="preserve">322-1</t>
  </si>
  <si>
    <t xml:space="preserve">323-1</t>
  </si>
  <si>
    <t xml:space="preserve">324-1</t>
  </si>
  <si>
    <t xml:space="preserve">325-1</t>
  </si>
  <si>
    <t xml:space="preserve">326-1</t>
  </si>
  <si>
    <t xml:space="preserve">327-1</t>
  </si>
  <si>
    <t xml:space="preserve">12-hydroxyheptadecanoic acid</t>
  </si>
  <si>
    <t xml:space="preserve">HMDB0061663</t>
  </si>
  <si>
    <t xml:space="preserve">15110021</t>
  </si>
  <si>
    <t xml:space="preserve">CCCCCC(O)CCCCCCCCCCC(O)=O</t>
  </si>
  <si>
    <t xml:space="preserve">UGNYDWLENCPIBP-UHFFFAOYSA-N</t>
  </si>
  <si>
    <t xml:space="preserve">327-2</t>
  </si>
  <si>
    <t xml:space="preserve">Avocadene</t>
  </si>
  <si>
    <t xml:space="preserve">HMDB0031042</t>
  </si>
  <si>
    <t xml:space="preserve">43516</t>
  </si>
  <si>
    <t xml:space="preserve">LMFA05000639</t>
  </si>
  <si>
    <t xml:space="preserve">582699</t>
  </si>
  <si>
    <t xml:space="preserve">158573</t>
  </si>
  <si>
    <t xml:space="preserve">83797-45-9</t>
  </si>
  <si>
    <t xml:space="preserve">C=CCCCCCCCCCCCC(O)CC(O)CO</t>
  </si>
  <si>
    <t xml:space="preserve">DFEHQWFIOMAGBM-UHFFFAOYSA-N</t>
  </si>
  <si>
    <t xml:space="preserve">328-1</t>
  </si>
  <si>
    <t xml:space="preserve">Asparaginylhistidine</t>
  </si>
  <si>
    <t xml:space="preserve">HMDB0028733</t>
  </si>
  <si>
    <t xml:space="preserve">23720</t>
  </si>
  <si>
    <t xml:space="preserve">73424</t>
  </si>
  <si>
    <t xml:space="preserve">9835143</t>
  </si>
  <si>
    <t xml:space="preserve">224638-52-2</t>
  </si>
  <si>
    <t xml:space="preserve">N[C@@H](CC(N)=O)C(=O)N[C@@H](CC1=CNC=N1)C(O)=O</t>
  </si>
  <si>
    <t xml:space="preserve">FFMIYIMKQIMDPK-BQBZGAKWSA-N</t>
  </si>
  <si>
    <t xml:space="preserve">328-2</t>
  </si>
  <si>
    <t xml:space="preserve">Histidylasparagine</t>
  </si>
  <si>
    <t xml:space="preserve">HMDB0028880</t>
  </si>
  <si>
    <t xml:space="preserve">9900076</t>
  </si>
  <si>
    <t xml:space="preserve">158691-82-8</t>
  </si>
  <si>
    <t xml:space="preserve">N[C@@H](CC1=CNC=N1)C(=O)N[C@@H](CC(N)=O)C(O)=O</t>
  </si>
  <si>
    <t xml:space="preserve">WSDOHRLQDGAOGU-BQBZGAKWSA-N</t>
  </si>
  <si>
    <t xml:space="preserve">329-1</t>
  </si>
  <si>
    <t xml:space="preserve">330-1</t>
  </si>
  <si>
    <t xml:space="preserve">331-1</t>
  </si>
  <si>
    <t xml:space="preserve">332-1</t>
  </si>
  <si>
    <t xml:space="preserve">2-Propenyl 1-(2-propenylsulfinyl)propyl disulfide</t>
  </si>
  <si>
    <t xml:space="preserve">HMDB0033062</t>
  </si>
  <si>
    <t xml:space="preserve">88954</t>
  </si>
  <si>
    <t xml:space="preserve">174205</t>
  </si>
  <si>
    <t xml:space="preserve">100916212</t>
  </si>
  <si>
    <t xml:space="preserve">CCC(SSCC=C)S(=O)CC=C</t>
  </si>
  <si>
    <t xml:space="preserve">SNOBYLKVQZUQSL-UHFFFAOYSA-N</t>
  </si>
  <si>
    <t xml:space="preserve">332-2</t>
  </si>
  <si>
    <t xml:space="preserve">1-Propenyl 1-(2-propenylsulfinyl)propyl disulfide</t>
  </si>
  <si>
    <t xml:space="preserve">HMDB0036372</t>
  </si>
  <si>
    <t xml:space="preserve">91516</t>
  </si>
  <si>
    <t xml:space="preserve">174206</t>
  </si>
  <si>
    <t xml:space="preserve">131751978</t>
  </si>
  <si>
    <t xml:space="preserve">138898-92-7</t>
  </si>
  <si>
    <t xml:space="preserve">CCC(SS\C=C\C)S(=O)CC=C</t>
  </si>
  <si>
    <t xml:space="preserve">VNGASBNMHZVNNX-QPJJXVBHSA-N</t>
  </si>
  <si>
    <t xml:space="preserve">332-3</t>
  </si>
  <si>
    <t xml:space="preserve">2-Propenyl 1-(1-propenylsulfinyl)propyl disulfide</t>
  </si>
  <si>
    <t xml:space="preserve">HMDB0036373</t>
  </si>
  <si>
    <t xml:space="preserve">174207</t>
  </si>
  <si>
    <t xml:space="preserve">131751979</t>
  </si>
  <si>
    <t xml:space="preserve">CCC(SSCC=C)S(=O)\C=C\C</t>
  </si>
  <si>
    <t xml:space="preserve">ZNCVCGZAKFLEMH-VMPITWQZSA-N</t>
  </si>
  <si>
    <t xml:space="preserve">333-1</t>
  </si>
  <si>
    <t xml:space="preserve">334-1</t>
  </si>
  <si>
    <t xml:space="preserve">335-1</t>
  </si>
  <si>
    <t xml:space="preserve">Koenoline</t>
  </si>
  <si>
    <t xml:space="preserve">HMDB0033452</t>
  </si>
  <si>
    <t xml:space="preserve">89284</t>
  </si>
  <si>
    <t xml:space="preserve">171730</t>
  </si>
  <si>
    <t xml:space="preserve">375152</t>
  </si>
  <si>
    <t xml:space="preserve">3909-78-2</t>
  </si>
  <si>
    <t xml:space="preserve">COC1=CC(CO)=CC2=C1NC1=CC=CC=C21</t>
  </si>
  <si>
    <t xml:space="preserve">KNKVHLASDDREQS-UHFFFAOYSA-N</t>
  </si>
  <si>
    <t xml:space="preserve">335-2</t>
  </si>
  <si>
    <t xml:space="preserve">Mukoline</t>
  </si>
  <si>
    <t xml:space="preserve">HMDB0041444</t>
  </si>
  <si>
    <t xml:space="preserve">95840</t>
  </si>
  <si>
    <t xml:space="preserve">171732</t>
  </si>
  <si>
    <t xml:space="preserve">53465569</t>
  </si>
  <si>
    <t xml:space="preserve">87264-41-3</t>
  </si>
  <si>
    <t xml:space="preserve">COC1=CC=CC2=C1NC1=C2C=C(CO)C=C1</t>
  </si>
  <si>
    <t xml:space="preserve">SGZIASPZRSVPDJ-UHFFFAOYSA-N</t>
  </si>
  <si>
    <t xml:space="preserve">336-1</t>
  </si>
  <si>
    <t xml:space="preserve">Karanjin</t>
  </si>
  <si>
    <t xml:space="preserve">HMDB0253763</t>
  </si>
  <si>
    <t xml:space="preserve">43509</t>
  </si>
  <si>
    <t xml:space="preserve">LMPK12111542</t>
  </si>
  <si>
    <t xml:space="preserve">100633</t>
  </si>
  <si>
    <t xml:space="preserve">521-88-0</t>
  </si>
  <si>
    <t xml:space="preserve">C12OC=CC=1C1OC(C3C=CC=CC=3)=C(OC)C(=O)C=1C=C2</t>
  </si>
  <si>
    <t xml:space="preserve">LKPQNZRGGNOPPU-UHFFFAOYSA-N</t>
  </si>
  <si>
    <t xml:space="preserve">Flavones</t>
  </si>
  <si>
    <t xml:space="preserve">336-2</t>
  </si>
  <si>
    <t xml:space="preserve">3-Hydroxy-9-(4-hydroxyphenyl)-1H,3H-naphtho[1,8-cd]pyran-1-one</t>
  </si>
  <si>
    <t xml:space="preserve">HMDB0039404</t>
  </si>
  <si>
    <t xml:space="preserve">93980</t>
  </si>
  <si>
    <t xml:space="preserve">10870049</t>
  </si>
  <si>
    <t xml:space="preserve">OC1OC(=O)C2=C(C=CC3=C2C1=CC=C3)C1=CC=C(O)C=C1</t>
  </si>
  <si>
    <t xml:space="preserve">UYEXTCFTIVELSS-UHFFFAOYSA-N</t>
  </si>
  <si>
    <t xml:space="preserve">Phenylnaphthalenes</t>
  </si>
  <si>
    <t xml:space="preserve">336-3</t>
  </si>
  <si>
    <t xml:space="preserve">3-Hydroxy-4-(4-hydroxyphenyl)-1H,3H-naphtho[1,8-cd]pyran-1-one</t>
  </si>
  <si>
    <t xml:space="preserve">HMDB0039405</t>
  </si>
  <si>
    <t xml:space="preserve">93981</t>
  </si>
  <si>
    <t xml:space="preserve">11033651</t>
  </si>
  <si>
    <t xml:space="preserve">OC1OC(=O)C2=CC=CC3=C2C1=C(C=C3)C1=CC=C(O)C=C1</t>
  </si>
  <si>
    <t xml:space="preserve">LIFGUYJSGKEZDL-UHFFFAOYSA-N</t>
  </si>
  <si>
    <t xml:space="preserve">337-1</t>
  </si>
  <si>
    <t xml:space="preserve">338-1</t>
  </si>
  <si>
    <t xml:space="preserve">339-1</t>
  </si>
  <si>
    <t xml:space="preserve">340-1</t>
  </si>
  <si>
    <t xml:space="preserve">341-1</t>
  </si>
  <si>
    <t xml:space="preserve">342-1</t>
  </si>
  <si>
    <t xml:space="preserve">343-1</t>
  </si>
  <si>
    <t xml:space="preserve">344-1</t>
  </si>
  <si>
    <t xml:space="preserve">345-1</t>
  </si>
  <si>
    <t xml:space="preserve">346-1</t>
  </si>
  <si>
    <t xml:space="preserve">347-1</t>
  </si>
  <si>
    <t xml:space="preserve">348-1</t>
  </si>
  <si>
    <t xml:space="preserve">9,10-Epoxyoctadecenoic acid</t>
  </si>
  <si>
    <t xml:space="preserve">HMDB0004701</t>
  </si>
  <si>
    <t xml:space="preserve">LMFA02000037</t>
  </si>
  <si>
    <t xml:space="preserve">C14825</t>
  </si>
  <si>
    <t xml:space="preserve">34494</t>
  </si>
  <si>
    <t xml:space="preserve">6246154</t>
  </si>
  <si>
    <t xml:space="preserve">C(CCCCCCCC1OC1C/C=C\CCCCC)(=O)O</t>
  </si>
  <si>
    <t xml:space="preserve">FBUKMFOXMZRGRB-YFHOEESVSA-N</t>
  </si>
  <si>
    <t xml:space="preserve">348-2</t>
  </si>
  <si>
    <t xml:space="preserve">12,13-EpOME</t>
  </si>
  <si>
    <t xml:space="preserve">HMDB0004702</t>
  </si>
  <si>
    <t xml:space="preserve">63352</t>
  </si>
  <si>
    <t xml:space="preserve">LMFA02000038</t>
  </si>
  <si>
    <t xml:space="preserve">C14826</t>
  </si>
  <si>
    <t xml:space="preserve">38299</t>
  </si>
  <si>
    <t xml:space="preserve">5356421</t>
  </si>
  <si>
    <t xml:space="preserve">C(CCCCCCC/C=C\CC1OC1CCCCC)(=O)O</t>
  </si>
  <si>
    <t xml:space="preserve">CCPPLLJZDQAOHD-FLIBITNWSA-N</t>
  </si>
  <si>
    <t xml:space="preserve">348-3</t>
  </si>
  <si>
    <t xml:space="preserve">alpha-Dimorphecolic acid</t>
  </si>
  <si>
    <t xml:space="preserve">HMDB0004670</t>
  </si>
  <si>
    <t xml:space="preserve">45662</t>
  </si>
  <si>
    <t xml:space="preserve">LMFA02000188</t>
  </si>
  <si>
    <t xml:space="preserve">C14767</t>
  </si>
  <si>
    <t xml:space="preserve">34496</t>
  </si>
  <si>
    <t xml:space="preserve">5312830</t>
  </si>
  <si>
    <t xml:space="preserve">73543-67-6</t>
  </si>
  <si>
    <t xml:space="preserve">C(CCCCCCC[C@H](O)/C=C/C=C\CCCCC)(=O)O</t>
  </si>
  <si>
    <t xml:space="preserve">NPDSHTNEKLQQIJ-UINYOVNOSA-N</t>
  </si>
  <si>
    <t xml:space="preserve">349-1</t>
  </si>
  <si>
    <t xml:space="preserve">350-1</t>
  </si>
  <si>
    <t xml:space="preserve">Contragestazol</t>
  </si>
  <si>
    <t xml:space="preserve">HMDB0250440</t>
  </si>
  <si>
    <t xml:space="preserve">122000</t>
  </si>
  <si>
    <t xml:space="preserve">CCC1=CC=CC=C1C1=NC(=NN1)C1=CC(OC)=CC=C1</t>
  </si>
  <si>
    <t xml:space="preserve">GXCZZAKPGMYPDJ-UHFFFAOYSA-N</t>
  </si>
  <si>
    <t xml:space="preserve">350-2</t>
  </si>
  <si>
    <t xml:space="preserve">Ramosetron</t>
  </si>
  <si>
    <t xml:space="preserve">HMDB0257105</t>
  </si>
  <si>
    <t xml:space="preserve">4442</t>
  </si>
  <si>
    <t xml:space="preserve">CN1C=C(C(=O)C2CCC3=C(C2)NC=N3)C2=CC=CC=C12</t>
  </si>
  <si>
    <t xml:space="preserve">NTHPAPBPFQJABD-UHFFFAOYSA-N</t>
  </si>
  <si>
    <t xml:space="preserve">350-3</t>
  </si>
  <si>
    <t xml:space="preserve">Verubulin</t>
  </si>
  <si>
    <t xml:space="preserve">HMDB0247500</t>
  </si>
  <si>
    <t xml:space="preserve">11414799</t>
  </si>
  <si>
    <t xml:space="preserve">COC1=CC=C(C=C1)N(C)C1=NC(C)=NC2=CC=CC=C12</t>
  </si>
  <si>
    <t xml:space="preserve">SNHCRNMVYDHVDT-UHFFFAOYSA-N</t>
  </si>
  <si>
    <t xml:space="preserve">351-1</t>
  </si>
  <si>
    <t xml:space="preserve">352-1</t>
  </si>
  <si>
    <t xml:space="preserve">353-1</t>
  </si>
  <si>
    <t xml:space="preserve">354-1</t>
  </si>
  <si>
    <t xml:space="preserve">355-1</t>
  </si>
  <si>
    <t xml:space="preserve">356-1</t>
  </si>
  <si>
    <t xml:space="preserve">357-1</t>
  </si>
  <si>
    <t xml:space="preserve">358-1</t>
  </si>
  <si>
    <t xml:space="preserve">359-1</t>
  </si>
  <si>
    <t xml:space="preserve">360-1</t>
  </si>
  <si>
    <t xml:space="preserve">361-1</t>
  </si>
  <si>
    <t xml:space="preserve">2-Chloroadenosine</t>
  </si>
  <si>
    <t xml:space="preserve">HMDB0245063</t>
  </si>
  <si>
    <t xml:space="preserve">235481</t>
  </si>
  <si>
    <t xml:space="preserve">NC1=C2N=CN(C3OC(CO)C(O)C3O)C2=NC(Cl)=N1</t>
  </si>
  <si>
    <t xml:space="preserve">BIXYYZIIJIXVFW-UHFFFAOYSA-N</t>
  </si>
  <si>
    <t xml:space="preserve">361-2</t>
  </si>
  <si>
    <t xml:space="preserve">8-Chloroadenosine</t>
  </si>
  <si>
    <t xml:space="preserve">HMDB0247426</t>
  </si>
  <si>
    <t xml:space="preserve">337175</t>
  </si>
  <si>
    <t xml:space="preserve">NC1=NC=NC2=C1N=C(Cl)N2C1OC(CO)C(O)C1O</t>
  </si>
  <si>
    <t xml:space="preserve">MHDPPLULTMGBSI-UHFFFAOYSA-N</t>
  </si>
  <si>
    <t xml:space="preserve">362-1</t>
  </si>
  <si>
    <t xml:space="preserve">363-1</t>
  </si>
  <si>
    <t xml:space="preserve">364-1</t>
  </si>
  <si>
    <t xml:space="preserve">365-1</t>
  </si>
  <si>
    <t xml:space="preserve">366-1</t>
  </si>
  <si>
    <t xml:space="preserve">1H-Imidazole-1-ethanol, alpha-2-naphthalenyl-</t>
  </si>
  <si>
    <t xml:space="preserve">HMDB0255423</t>
  </si>
  <si>
    <t xml:space="preserve">130368</t>
  </si>
  <si>
    <t xml:space="preserve">OC(CN1C=CN=C1)C1=CC2=CC=CC=C2C=C1</t>
  </si>
  <si>
    <t xml:space="preserve">LFAPKHXSAABGPQ-UHFFFAOYSA-N</t>
  </si>
  <si>
    <t xml:space="preserve">366-2</t>
  </si>
  <si>
    <t xml:space="preserve">Semaxanib</t>
  </si>
  <si>
    <t xml:space="preserve">HMDB0258223</t>
  </si>
  <si>
    <t xml:space="preserve">CC1=CC(C)=C(N1)C=C1C(=O)NC2=CC=CC=C12</t>
  </si>
  <si>
    <t xml:space="preserve">WUWDLXZGHZSWQZ-UHFFFAOYSA-N</t>
  </si>
  <si>
    <t xml:space="preserve">366-3</t>
  </si>
  <si>
    <t xml:space="preserve">10,11-Dihydrocarbamazepine</t>
  </si>
  <si>
    <t xml:space="preserve">HMDB0244276</t>
  </si>
  <si>
    <t xml:space="preserve">19099</t>
  </si>
  <si>
    <t xml:space="preserve">OC(=N)N1C2=CC=CC=C2CCC2=CC=CC=C12</t>
  </si>
  <si>
    <t xml:space="preserve">PHNLCHMJDSSPDQ-UHFFFAOYSA-N</t>
  </si>
  <si>
    <t xml:space="preserve">367-1</t>
  </si>
  <si>
    <t xml:space="preserve">368-1</t>
  </si>
  <si>
    <t xml:space="preserve">369-1</t>
  </si>
  <si>
    <t xml:space="preserve">370-1</t>
  </si>
  <si>
    <t xml:space="preserve">6-Lactoyltetrahydropterin</t>
  </si>
  <si>
    <t xml:space="preserve">HMDB0002065</t>
  </si>
  <si>
    <t xml:space="preserve">6468</t>
  </si>
  <si>
    <t xml:space="preserve">C04244</t>
  </si>
  <si>
    <t xml:space="preserve">17248</t>
  </si>
  <si>
    <t xml:space="preserve">135398702</t>
  </si>
  <si>
    <t xml:space="preserve">33405-80-0</t>
  </si>
  <si>
    <t xml:space="preserve">CC(O)C(=O)C1CNC2=C(N1)C(=O)NC(N)=N2</t>
  </si>
  <si>
    <t xml:space="preserve">HKCYZTKHPLJZDR-UHFFFAOYSA-N</t>
  </si>
  <si>
    <t xml:space="preserve">370-2</t>
  </si>
  <si>
    <t xml:space="preserve">Dihydrobiopterin</t>
  </si>
  <si>
    <t xml:space="preserve">HMDB0000038</t>
  </si>
  <si>
    <t xml:space="preserve">5106</t>
  </si>
  <si>
    <t xml:space="preserve">C02953</t>
  </si>
  <si>
    <t xml:space="preserve">43029</t>
  </si>
  <si>
    <t xml:space="preserve">119055</t>
  </si>
  <si>
    <t xml:space="preserve">6779-87-9</t>
  </si>
  <si>
    <t xml:space="preserve">C[C@H](O)[C@H](O)C1=NC2=C(NC1)NC(N)=NC2=O</t>
  </si>
  <si>
    <t xml:space="preserve">FEMXZDUTFRTWPE-DZSWIPIPSA-N</t>
  </si>
  <si>
    <t xml:space="preserve">370-3</t>
  </si>
  <si>
    <t xml:space="preserve">4a-Carbinolamine tetrahydrobiopterin</t>
  </si>
  <si>
    <t xml:space="preserve">HMDB0002215</t>
  </si>
  <si>
    <t xml:space="preserve">6552</t>
  </si>
  <si>
    <t xml:space="preserve">C00268</t>
  </si>
  <si>
    <t xml:space="preserve">43120</t>
  </si>
  <si>
    <t xml:space="preserve">133246</t>
  </si>
  <si>
    <t xml:space="preserve">79647-29-3</t>
  </si>
  <si>
    <t xml:space="preserve">[H][C@@]1(CN=C2NC(N)=NC(=O)C2=N1)[C@@H](O)[C@H](C)O</t>
  </si>
  <si>
    <t xml:space="preserve">ZHQJVZLJDXWFFX-RPDRRWSUSA-N</t>
  </si>
  <si>
    <t xml:space="preserve">371-1</t>
  </si>
  <si>
    <t xml:space="preserve">372-1</t>
  </si>
  <si>
    <t xml:space="preserve">373-1</t>
  </si>
  <si>
    <t xml:space="preserve">374-1</t>
  </si>
  <si>
    <t xml:space="preserve">375-1</t>
  </si>
  <si>
    <t xml:space="preserve">376-1</t>
  </si>
  <si>
    <t xml:space="preserve">377-1</t>
  </si>
  <si>
    <t xml:space="preserve">378-1</t>
  </si>
  <si>
    <t xml:space="preserve">379-1</t>
  </si>
  <si>
    <t xml:space="preserve">380-1</t>
  </si>
  <si>
    <t xml:space="preserve">4-Hydroxy-5-(3'-hydroxyphenyl)-valeric acid-3'-O-sulphate</t>
  </si>
  <si>
    <t xml:space="preserve">HMDB0059975</t>
  </si>
  <si>
    <t xml:space="preserve">88682</t>
  </si>
  <si>
    <t xml:space="preserve">124202067</t>
  </si>
  <si>
    <t xml:space="preserve">OC(CCC(O)=O)CC1=CC(OS(O)(=O)=O)=CC=C1</t>
  </si>
  <si>
    <t xml:space="preserve">DMBFBGLRQKIWGT-UHFFFAOYSA-N</t>
  </si>
  <si>
    <t xml:space="preserve">380-2</t>
  </si>
  <si>
    <t xml:space="preserve">4-Hydroxy-5-(4'-hydroxyphenyl)-valeric acid-4'-O-sulphate</t>
  </si>
  <si>
    <t xml:space="preserve">HMDB0059976</t>
  </si>
  <si>
    <t xml:space="preserve">88683</t>
  </si>
  <si>
    <t xml:space="preserve">124202068</t>
  </si>
  <si>
    <t xml:space="preserve">OC(CCC(O)=O)CC1=CC=C(OS(O)(=O)=O)C=C1</t>
  </si>
  <si>
    <t xml:space="preserve">GIYMZAJHBZLOGR-UHFFFAOYSA-N</t>
  </si>
  <si>
    <t xml:space="preserve">381-1</t>
  </si>
  <si>
    <t xml:space="preserve">382-1</t>
  </si>
  <si>
    <t xml:space="preserve">383-1</t>
  </si>
  <si>
    <t xml:space="preserve">Methylgingerol</t>
  </si>
  <si>
    <t xml:space="preserve">HMDB0029852</t>
  </si>
  <si>
    <t xml:space="preserve">86546</t>
  </si>
  <si>
    <t xml:space="preserve">71391212</t>
  </si>
  <si>
    <t xml:space="preserve">CCCCCC(O)CC(=O)CCC1=CC=C(OC)C(OC)=C1</t>
  </si>
  <si>
    <t xml:space="preserve">CTGAPJBPSCUFRO-UHFFFAOYSA-N</t>
  </si>
  <si>
    <t xml:space="preserve">383-2</t>
  </si>
  <si>
    <t xml:space="preserve">Diplodiatoxin</t>
  </si>
  <si>
    <t xml:space="preserve">HMDB0031471</t>
  </si>
  <si>
    <t xml:space="preserve">12309246</t>
  </si>
  <si>
    <t xml:space="preserve">41060-01-9</t>
  </si>
  <si>
    <t xml:space="preserve">CC1CC(C)C2C(C1)C=C(C)C(C(O)=O)C2(C)C(=O)CCO</t>
  </si>
  <si>
    <t xml:space="preserve">SFTQDPVLDKOILY-UHFFFAOYSA-N</t>
  </si>
  <si>
    <t xml:space="preserve">383-3</t>
  </si>
  <si>
    <t xml:space="preserve">Corchorifatty acid A</t>
  </si>
  <si>
    <t xml:space="preserve">HMDB0032664</t>
  </si>
  <si>
    <t xml:space="preserve">88605</t>
  </si>
  <si>
    <t xml:space="preserve">138783</t>
  </si>
  <si>
    <t xml:space="preserve">9883083</t>
  </si>
  <si>
    <t xml:space="preserve">CCC(=O)\C=C\C=C\C=C\C(O)CCCCCCCC(O)=O</t>
  </si>
  <si>
    <t xml:space="preserve">FCCFXOHVERVHQR-KDXRDGMUSA-N</t>
  </si>
  <si>
    <t xml:space="preserve">384-1</t>
  </si>
  <si>
    <t xml:space="preserve">385-1</t>
  </si>
  <si>
    <t xml:space="preserve">386-1</t>
  </si>
  <si>
    <t xml:space="preserve">387-1</t>
  </si>
  <si>
    <t xml:space="preserve">388-1</t>
  </si>
  <si>
    <t xml:space="preserve">Dodecylbenzene</t>
  </si>
  <si>
    <t xml:space="preserve">HMDB0251572</t>
  </si>
  <si>
    <t xml:space="preserve">6946</t>
  </si>
  <si>
    <t xml:space="preserve">31237</t>
  </si>
  <si>
    <t xml:space="preserve">CCCCCCCCCCCCC1=CC=CC=C1</t>
  </si>
  <si>
    <t xml:space="preserve">KWKXNDCHNDYVRT-UHFFFAOYSA-N</t>
  </si>
  <si>
    <t xml:space="preserve">388-2</t>
  </si>
  <si>
    <t xml:space="preserve">Estrane</t>
  </si>
  <si>
    <t xml:space="preserve">HMDB0251974</t>
  </si>
  <si>
    <t xml:space="preserve">12313694</t>
  </si>
  <si>
    <t xml:space="preserve">CC12CCCC1C1CCC3CCCCC3C1CC2</t>
  </si>
  <si>
    <t xml:space="preserve">GRXPVLPQNMUNNX-UHFFFAOYSA-N</t>
  </si>
  <si>
    <t xml:space="preserve">389-1</t>
  </si>
  <si>
    <t xml:space="preserve">390-1</t>
  </si>
  <si>
    <t xml:space="preserve">3-Hydroxybutyrylcarnitine</t>
  </si>
  <si>
    <t xml:space="preserve">HMDB0013127</t>
  </si>
  <si>
    <t xml:space="preserve">1469900-92-2</t>
  </si>
  <si>
    <t xml:space="preserve">C[C@@H](O)CC(=O)O[C@@H](CC([O-])=O)C[N+](C)(C)C</t>
  </si>
  <si>
    <t xml:space="preserve">UEFRDQSMQXDWTO-BDAKNGLRSA-N</t>
  </si>
  <si>
    <t xml:space="preserve">390-2</t>
  </si>
  <si>
    <t xml:space="preserve">(R)-3-hydroxybutyrylcarnitine</t>
  </si>
  <si>
    <t xml:space="preserve">HMDB0062735</t>
  </si>
  <si>
    <t xml:space="preserve">84842</t>
  </si>
  <si>
    <t xml:space="preserve">90659885</t>
  </si>
  <si>
    <t xml:space="preserve">[H]C(C)(O)CC(=O)O[C@]([H])(CC([O-])=O)C[N+](C)(C)C</t>
  </si>
  <si>
    <t xml:space="preserve">UEFRDQSMQXDWTO-YGPZHTELSA-N</t>
  </si>
  <si>
    <t xml:space="preserve">391-1</t>
  </si>
  <si>
    <t xml:space="preserve">392-1</t>
  </si>
  <si>
    <t xml:space="preserve">393-1</t>
  </si>
  <si>
    <t xml:space="preserve">394-1</t>
  </si>
  <si>
    <t xml:space="preserve">395-1</t>
  </si>
  <si>
    <t xml:space="preserve">396-1</t>
  </si>
  <si>
    <t xml:space="preserve">397-1</t>
  </si>
  <si>
    <t xml:space="preserve">398-1</t>
  </si>
  <si>
    <t xml:space="preserve">399-1</t>
  </si>
  <si>
    <t xml:space="preserve">400-1</t>
  </si>
  <si>
    <t xml:space="preserve">401-1</t>
  </si>
  <si>
    <t xml:space="preserve">2-[6-(4-Chlorophenoxy)hexyl]oxirane-2-carboxylic acid</t>
  </si>
  <si>
    <t xml:space="preserve">HMDB0244935</t>
  </si>
  <si>
    <t xml:space="preserve">1231</t>
  </si>
  <si>
    <t xml:space="preserve">OC(=O)C1(CCCCCCOC2=CC=C(Cl)C=C2)CO1</t>
  </si>
  <si>
    <t xml:space="preserve">NWSIRTXVYBEURF-UHFFFAOYSA-N</t>
  </si>
  <si>
    <t xml:space="preserve">401-2</t>
  </si>
  <si>
    <t xml:space="preserve">8-Deoxy-11-hydroxy-13-chlorogrosheimin</t>
  </si>
  <si>
    <t xml:space="preserve">HMDB0041037</t>
  </si>
  <si>
    <t xml:space="preserve">95470</t>
  </si>
  <si>
    <t xml:space="preserve">131753015</t>
  </si>
  <si>
    <t xml:space="preserve">83551-02-4</t>
  </si>
  <si>
    <t xml:space="preserve">CC1C2C(CC1=O)C(=C)CCC1C2OC(=O)C1(O)CCl</t>
  </si>
  <si>
    <t xml:space="preserve">RXUIKPFKVDKIDO-UHFFFAOYSA-N</t>
  </si>
  <si>
    <t xml:space="preserve">402-1</t>
  </si>
  <si>
    <t xml:space="preserve">403-1</t>
  </si>
  <si>
    <t xml:space="preserve">404-1</t>
  </si>
  <si>
    <t xml:space="preserve">5-(N-Methyl-N-isobutyl)amiloride</t>
  </si>
  <si>
    <t xml:space="preserve">HMDB0246735</t>
  </si>
  <si>
    <t xml:space="preserve">73314</t>
  </si>
  <si>
    <t xml:space="preserve">CC(C)CN(C)C1=NC(N)=C(N=C1Cl)C(=O)N=C(N)N</t>
  </si>
  <si>
    <t xml:space="preserve">RVIUMPLAOXSSGN-UHFFFAOYSA-N</t>
  </si>
  <si>
    <t xml:space="preserve">404-2</t>
  </si>
  <si>
    <t xml:space="preserve">Ethylisopropylamiloride</t>
  </si>
  <si>
    <t xml:space="preserve">HMDB0251726</t>
  </si>
  <si>
    <t xml:space="preserve">406757</t>
  </si>
  <si>
    <t xml:space="preserve">136538</t>
  </si>
  <si>
    <t xml:space="preserve">1795</t>
  </si>
  <si>
    <t xml:space="preserve">CCN(C(C)C)C1=NC(N)=C(N=C1Cl)C(=O)N=C(N)N</t>
  </si>
  <si>
    <t xml:space="preserve">QDERNBXNXJCIQK-UHFFFAOYSA-N</t>
  </si>
  <si>
    <t xml:space="preserve">405-1</t>
  </si>
  <si>
    <t xml:space="preserve">3-Methoxy-4-Hydroxyphenylglycol sulfate</t>
  </si>
  <si>
    <t xml:space="preserve">HMDB0003332</t>
  </si>
  <si>
    <t xml:space="preserve">6889</t>
  </si>
  <si>
    <t xml:space="preserve">3035420</t>
  </si>
  <si>
    <t xml:space="preserve">71324-20-4</t>
  </si>
  <si>
    <t xml:space="preserve">COC1=C(O)C=CC(=C1)C(CO)OS(O)(=O)=O</t>
  </si>
  <si>
    <t xml:space="preserve">SBKADJXSGGTEPN-UHFFFAOYSA-N</t>
  </si>
  <si>
    <t xml:space="preserve">405-2</t>
  </si>
  <si>
    <t xml:space="preserve">3-Methoxy-4-hydroxyphenylethyleneglycol sulfate</t>
  </si>
  <si>
    <t xml:space="preserve">HMDB0000559</t>
  </si>
  <si>
    <t xml:space="preserve">1596</t>
  </si>
  <si>
    <t xml:space="preserve">137054</t>
  </si>
  <si>
    <t xml:space="preserve">4183</t>
  </si>
  <si>
    <t xml:space="preserve">3415-67-6</t>
  </si>
  <si>
    <t xml:space="preserve">COC1=C(OS(O)(=O)=O)C=CC(=C1)C(O)CO</t>
  </si>
  <si>
    <t xml:space="preserve">WUFPNASKMLJSND-UHFFFAOYSA-N</t>
  </si>
  <si>
    <t xml:space="preserve">406-1</t>
  </si>
  <si>
    <t xml:space="preserve">407-1</t>
  </si>
  <si>
    <t xml:space="preserve">Chlorcyclizine</t>
  </si>
  <si>
    <t xml:space="preserve">HMDB0240224</t>
  </si>
  <si>
    <t xml:space="preserve">319845</t>
  </si>
  <si>
    <t xml:space="preserve">2710</t>
  </si>
  <si>
    <t xml:space="preserve">82-93-9</t>
  </si>
  <si>
    <t xml:space="preserve">CN1CCN(CC1)C(C1=CC=CC=C1)C1=CC=C(Cl)C=C1</t>
  </si>
  <si>
    <t xml:space="preserve">WFNAKBGANONZEQ-UHFFFAOYSA-N</t>
  </si>
  <si>
    <t xml:space="preserve">407-2</t>
  </si>
  <si>
    <t xml:space="preserve">desmethylclomipramine</t>
  </si>
  <si>
    <t xml:space="preserve">HMDB0060947</t>
  </si>
  <si>
    <t xml:space="preserve">124969</t>
  </si>
  <si>
    <t xml:space="preserve">622606</t>
  </si>
  <si>
    <t xml:space="preserve">303-48-0</t>
  </si>
  <si>
    <t xml:space="preserve">CNCCCN1C2=CC=CC=C2CCC2=C1C=C(Cl)C=C2</t>
  </si>
  <si>
    <t xml:space="preserve">VPIXQGUBUKFLRF-UHFFFAOYSA-N</t>
  </si>
  <si>
    <t xml:space="preserve">408-1</t>
  </si>
  <si>
    <t xml:space="preserve">409-1</t>
  </si>
  <si>
    <t xml:space="preserve">410-1</t>
  </si>
  <si>
    <t xml:space="preserve">411-1</t>
  </si>
  <si>
    <t xml:space="preserve">412-1</t>
  </si>
  <si>
    <t xml:space="preserve">413-1</t>
  </si>
  <si>
    <t xml:space="preserve">414-1</t>
  </si>
  <si>
    <t xml:space="preserve">415-1</t>
  </si>
  <si>
    <t xml:space="preserve">416-1</t>
  </si>
  <si>
    <t xml:space="preserve">417-1</t>
  </si>
  <si>
    <t xml:space="preserve">418-1</t>
  </si>
  <si>
    <t xml:space="preserve">419-1</t>
  </si>
  <si>
    <t xml:space="preserve">420-1</t>
  </si>
  <si>
    <t xml:space="preserve">4-Fluoroamphetamine</t>
  </si>
  <si>
    <t xml:space="preserve">HMDB0246424</t>
  </si>
  <si>
    <t xml:space="preserve">9986</t>
  </si>
  <si>
    <t xml:space="preserve">CC(N)CC1=CC=C(F)C=C1</t>
  </si>
  <si>
    <t xml:space="preserve">DGXWNDGLEOIEGT-UHFFFAOYSA-N</t>
  </si>
  <si>
    <t xml:space="preserve">420-2</t>
  </si>
  <si>
    <t xml:space="preserve">2-Fluoroamphetamine</t>
  </si>
  <si>
    <t xml:space="preserve">HMDB0245131</t>
  </si>
  <si>
    <t xml:space="preserve">96628</t>
  </si>
  <si>
    <t xml:space="preserve">121531</t>
  </si>
  <si>
    <t xml:space="preserve">1626-69-3</t>
  </si>
  <si>
    <t xml:space="preserve">CC(N)CC1=CC=CC=C1F</t>
  </si>
  <si>
    <t xml:space="preserve">GDSXNLDTQFFIEU-UHFFFAOYSA-N</t>
  </si>
  <si>
    <t xml:space="preserve">421-1</t>
  </si>
  <si>
    <t xml:space="preserve">422-1</t>
  </si>
  <si>
    <t xml:space="preserve">423-1</t>
  </si>
  <si>
    <t xml:space="preserve">424-1</t>
  </si>
  <si>
    <t xml:space="preserve">425-1</t>
  </si>
  <si>
    <t xml:space="preserve">Mono-(2-ethyl-5-carboxypentyl) phthalate</t>
  </si>
  <si>
    <t xml:space="preserve">HMDB0094647</t>
  </si>
  <si>
    <t xml:space="preserve">132611</t>
  </si>
  <si>
    <t xml:space="preserve">148386</t>
  </si>
  <si>
    <t xml:space="preserve">CCC(CCCC(O)=O)COC(=O)C1=CC=CC=C1C(O)=O</t>
  </si>
  <si>
    <t xml:space="preserve">XFGRNAPKLGXDGF-UHFFFAOYSA-N</t>
  </si>
  <si>
    <t xml:space="preserve">425-2</t>
  </si>
  <si>
    <t xml:space="preserve">8-Acetylegelolide</t>
  </si>
  <si>
    <t xml:space="preserve">HMDB0037772</t>
  </si>
  <si>
    <t xml:space="preserve">92587</t>
  </si>
  <si>
    <t xml:space="preserve">131752229</t>
  </si>
  <si>
    <t xml:space="preserve">142449-62-5</t>
  </si>
  <si>
    <t xml:space="preserve">CC1C2C(OC1=O)C1=C(C)OC=C1C(C)(O)CC2OC(C)=O</t>
  </si>
  <si>
    <t xml:space="preserve">KOUVNGDGNNAPQW-UHFFFAOYSA-N</t>
  </si>
  <si>
    <t xml:space="preserve">Cycloheptafurans</t>
  </si>
  <si>
    <t xml:space="preserve">426-1</t>
  </si>
  <si>
    <t xml:space="preserve">427-1</t>
  </si>
  <si>
    <t xml:space="preserve">428-1</t>
  </si>
  <si>
    <t xml:space="preserve">FA(20:2)</t>
  </si>
  <si>
    <t xml:space="preserve">HMDB0005060</t>
  </si>
  <si>
    <t xml:space="preserve">62964</t>
  </si>
  <si>
    <t xml:space="preserve">LMFA01031043</t>
  </si>
  <si>
    <t xml:space="preserve">C16525</t>
  </si>
  <si>
    <t xml:space="preserve">73731</t>
  </si>
  <si>
    <t xml:space="preserve">6439848</t>
  </si>
  <si>
    <t xml:space="preserve">5598-38-9</t>
  </si>
  <si>
    <t xml:space="preserve">C(CCCCCCCCC/C=C\C/C=C\CCCCC)(=O)O</t>
  </si>
  <si>
    <t xml:space="preserve">XSXIVVZCUAHUJO-HZJYTTRNSA-N</t>
  </si>
  <si>
    <t xml:space="preserve">428-2</t>
  </si>
  <si>
    <t xml:space="preserve">Sclareol</t>
  </si>
  <si>
    <t xml:space="preserve">HMDB0036827</t>
  </si>
  <si>
    <t xml:space="preserve">C09183</t>
  </si>
  <si>
    <t xml:space="preserve">9053</t>
  </si>
  <si>
    <t xml:space="preserve">521332</t>
  </si>
  <si>
    <t xml:space="preserve">515-03-7</t>
  </si>
  <si>
    <t xml:space="preserve">CC(O)(CCC1C(C)(O)CCC2C(C)(C)CCCC12C)C=C</t>
  </si>
  <si>
    <t xml:space="preserve">XVULBTBTFGYVRC-UHFFFAOYSA-N</t>
  </si>
  <si>
    <t xml:space="preserve">429-1</t>
  </si>
  <si>
    <t xml:space="preserve">Nadolol</t>
  </si>
  <si>
    <t xml:space="preserve">HMDB0015334</t>
  </si>
  <si>
    <t xml:space="preserve">1382</t>
  </si>
  <si>
    <t xml:space="preserve">C07249</t>
  </si>
  <si>
    <t xml:space="preserve">127570</t>
  </si>
  <si>
    <t xml:space="preserve">39147</t>
  </si>
  <si>
    <t xml:space="preserve">42200-33-9</t>
  </si>
  <si>
    <t xml:space="preserve">CC(C)(C)NCC(O)COC1=CC=CC2=C1C[C@H](O)[C@H](O)C2</t>
  </si>
  <si>
    <t xml:space="preserve">VWPOSFSPZNDTMJ-UCWKZMIHSA-N</t>
  </si>
  <si>
    <t xml:space="preserve">429-2</t>
  </si>
  <si>
    <t xml:space="preserve">Metipranolol</t>
  </si>
  <si>
    <t xml:space="preserve">HMDB0015345</t>
  </si>
  <si>
    <t xml:space="preserve">66765</t>
  </si>
  <si>
    <t xml:space="preserve">C07915</t>
  </si>
  <si>
    <t xml:space="preserve">6897</t>
  </si>
  <si>
    <t xml:space="preserve">31477</t>
  </si>
  <si>
    <t xml:space="preserve">22664-55-7</t>
  </si>
  <si>
    <t xml:space="preserve">CC(C)NCC(O)COC1=C(C)C(C)=C(OC(C)=O)C(C)=C1</t>
  </si>
  <si>
    <t xml:space="preserve">BQIPXWYNLPYNHW-UHFFFAOYSA-N</t>
  </si>
  <si>
    <t xml:space="preserve">430-1</t>
  </si>
  <si>
    <t xml:space="preserve">431-1</t>
  </si>
  <si>
    <t xml:space="preserve">432-1</t>
  </si>
  <si>
    <t xml:space="preserve">Palmitoyl chloride</t>
  </si>
  <si>
    <t xml:space="preserve">HMDB0256088</t>
  </si>
  <si>
    <t xml:space="preserve">325268</t>
  </si>
  <si>
    <t xml:space="preserve">8206</t>
  </si>
  <si>
    <t xml:space="preserve">CCCCCCCCCCCCCCCC(Cl)=O</t>
  </si>
  <si>
    <t xml:space="preserve">ARBOVOVUTSQWSS-UHFFFAOYSA-N</t>
  </si>
  <si>
    <t xml:space="preserve">Acyl halides</t>
  </si>
  <si>
    <t xml:space="preserve">Acyl chlorides</t>
  </si>
  <si>
    <t xml:space="preserve">432-2</t>
  </si>
  <si>
    <t xml:space="preserve">2-Chlorohexadecanal</t>
  </si>
  <si>
    <t xml:space="preserve">HMDB0245072</t>
  </si>
  <si>
    <t xml:space="preserve">46411</t>
  </si>
  <si>
    <t xml:space="preserve">LMFA06000114</t>
  </si>
  <si>
    <t xml:space="preserve">42607325</t>
  </si>
  <si>
    <t xml:space="preserve">C(C(Cl)CCCCCCCCCCCCCC)(=O)[H]</t>
  </si>
  <si>
    <t xml:space="preserve">AUGQGGLBBDGNTG-UHFFFAOYSA-N</t>
  </si>
  <si>
    <t xml:space="preserve">433-1</t>
  </si>
  <si>
    <t xml:space="preserve">434-1</t>
  </si>
  <si>
    <t xml:space="preserve">Ethyl oleate</t>
  </si>
  <si>
    <t xml:space="preserve">HMDB0034451</t>
  </si>
  <si>
    <t xml:space="preserve">318742</t>
  </si>
  <si>
    <t xml:space="preserve">LMFA07010880</t>
  </si>
  <si>
    <t xml:space="preserve">C03425</t>
  </si>
  <si>
    <t xml:space="preserve">5364430</t>
  </si>
  <si>
    <t xml:space="preserve">111-62-6</t>
  </si>
  <si>
    <t xml:space="preserve">CCOC(=O)CCCCCCC/C=C/CCCCCCCC</t>
  </si>
  <si>
    <t xml:space="preserve">LVGKNOAMLMIIKO-VAWYXSNFSA-N</t>
  </si>
  <si>
    <t xml:space="preserve">434-2</t>
  </si>
  <si>
    <t xml:space="preserve">FA(20:1)</t>
  </si>
  <si>
    <t xml:space="preserve">HMDB0002231</t>
  </si>
  <si>
    <t xml:space="preserve">3554</t>
  </si>
  <si>
    <t xml:space="preserve">LMFA01030085</t>
  </si>
  <si>
    <t xml:space="preserve">C16526</t>
  </si>
  <si>
    <t xml:space="preserve">32425</t>
  </si>
  <si>
    <t xml:space="preserve">5282768</t>
  </si>
  <si>
    <t xml:space="preserve">5561-99-9</t>
  </si>
  <si>
    <t xml:space="preserve">C(CCCCCCC(=O)O)CC/C=C\CCCCCCCC</t>
  </si>
  <si>
    <t xml:space="preserve">BITHHVVYSMSWAG-KTKRTIGZSA-N</t>
  </si>
  <si>
    <t xml:space="preserve">435-1</t>
  </si>
  <si>
    <t xml:space="preserve">436-1</t>
  </si>
  <si>
    <t xml:space="preserve">437-1</t>
  </si>
  <si>
    <t xml:space="preserve">438-1</t>
  </si>
  <si>
    <t xml:space="preserve">439-1</t>
  </si>
  <si>
    <t xml:space="preserve">3',4',5'-Trimethoxycinnamyl alcohol acetate</t>
  </si>
  <si>
    <t xml:space="preserve">HMDB0040891</t>
  </si>
  <si>
    <t xml:space="preserve">95344</t>
  </si>
  <si>
    <t xml:space="preserve">172912</t>
  </si>
  <si>
    <t xml:space="preserve">131752972</t>
  </si>
  <si>
    <t xml:space="preserve">87200-84-8</t>
  </si>
  <si>
    <t xml:space="preserve">COC1=CC(\C=C/COC(C)=O)=CC(OC)=C1OC</t>
  </si>
  <si>
    <t xml:space="preserve">IMLQOKDTSYBFHF-WAYWQWQTSA-N</t>
  </si>
  <si>
    <t xml:space="preserve">439-2</t>
  </si>
  <si>
    <t xml:space="preserve">Sapidolide A</t>
  </si>
  <si>
    <t xml:space="preserve">HMDB0041582</t>
  </si>
  <si>
    <t xml:space="preserve">95962</t>
  </si>
  <si>
    <t xml:space="preserve">85214158</t>
  </si>
  <si>
    <t xml:space="preserve">182191-87-3</t>
  </si>
  <si>
    <t xml:space="preserve">CC12C3CCC1(O)C1C(C=C)C(OC1=O)C2(O)OC3</t>
  </si>
  <si>
    <t xml:space="preserve">OZRZMHKATMSFPV-UHFFFAOYSA-N</t>
  </si>
  <si>
    <t xml:space="preserve">440-1</t>
  </si>
  <si>
    <t xml:space="preserve">(10E,12Z)-(9S)-9-Hydroperoxyoctadeca-10,12-dienoic acid</t>
  </si>
  <si>
    <t xml:space="preserve">HMDB0062434</t>
  </si>
  <si>
    <t xml:space="preserve">36019</t>
  </si>
  <si>
    <t xml:space="preserve">LMFA02000012</t>
  </si>
  <si>
    <t xml:space="preserve">C14827</t>
  </si>
  <si>
    <t xml:space="preserve">34498</t>
  </si>
  <si>
    <t xml:space="preserve">9548877</t>
  </si>
  <si>
    <t xml:space="preserve">29774-12-7</t>
  </si>
  <si>
    <t xml:space="preserve">C(CCCCCCC[C@H](OO)/C=C/C=C\CCCCC)(=O)O</t>
  </si>
  <si>
    <t xml:space="preserve">JGUNZIWGNMQSBM-UINYOVNOSA-N</t>
  </si>
  <si>
    <t xml:space="preserve">440-2</t>
  </si>
  <si>
    <t xml:space="preserve">13-L-Hydroperoxylinoleic acid</t>
  </si>
  <si>
    <t xml:space="preserve">HMDB0003871</t>
  </si>
  <si>
    <t xml:space="preserve">36036</t>
  </si>
  <si>
    <t xml:space="preserve">LMFA02000034</t>
  </si>
  <si>
    <t xml:space="preserve">C04717</t>
  </si>
  <si>
    <t xml:space="preserve">15655</t>
  </si>
  <si>
    <t xml:space="preserve">5280720</t>
  </si>
  <si>
    <t xml:space="preserve">33964-75-9</t>
  </si>
  <si>
    <t xml:space="preserve">C(CCCCCCC/C=C\C=C\[C@@H](OO)CCCCC)(=O)O</t>
  </si>
  <si>
    <t xml:space="preserve">JDSRHVWSAMTSSN-IRQZEAMPSA-N</t>
  </si>
  <si>
    <t xml:space="preserve">441-1</t>
  </si>
  <si>
    <t xml:space="preserve">442-1</t>
  </si>
  <si>
    <t xml:space="preserve">443-1</t>
  </si>
  <si>
    <t xml:space="preserve">444-1</t>
  </si>
  <si>
    <t xml:space="preserve">445-1</t>
  </si>
  <si>
    <t xml:space="preserve">446-1</t>
  </si>
  <si>
    <t xml:space="preserve">Emerin</t>
  </si>
  <si>
    <t xml:space="preserve">HMDB0251772</t>
  </si>
  <si>
    <t xml:space="preserve">181668</t>
  </si>
  <si>
    <t xml:space="preserve">COC1=CC=C(C=C(C#N)C(=CC2=CC=C(OC)C=C2)C#N)C=C1</t>
  </si>
  <si>
    <t xml:space="preserve">HCHFRAXBELVCGG-UHFFFAOYSA-N</t>
  </si>
  <si>
    <t xml:space="preserve">Lignans, neolignans and related compounds</t>
  </si>
  <si>
    <t xml:space="preserve">446-2</t>
  </si>
  <si>
    <t xml:space="preserve">N,N'-Bis(salicylidene)-1,2-phenylenediamine</t>
  </si>
  <si>
    <t xml:space="preserve">HMDB0246247</t>
  </si>
  <si>
    <t xml:space="preserve">221227</t>
  </si>
  <si>
    <t xml:space="preserve">OC1=CC=CC=C1C=NC1=CC=CC=C1N=CC1=CC=CC=C1O</t>
  </si>
  <si>
    <t xml:space="preserve">HXFYGSOGECBSOY-UHFFFAOYSA-N</t>
  </si>
  <si>
    <t xml:space="preserve">447-1</t>
  </si>
  <si>
    <t xml:space="preserve">448-1</t>
  </si>
  <si>
    <t xml:space="preserve">449-1</t>
  </si>
  <si>
    <t xml:space="preserve">Nateglinide</t>
  </si>
  <si>
    <t xml:space="preserve">HMDB0014869</t>
  </si>
  <si>
    <t xml:space="preserve">C12508</t>
  </si>
  <si>
    <t xml:space="preserve">146727</t>
  </si>
  <si>
    <t xml:space="preserve">105816-04-4</t>
  </si>
  <si>
    <t xml:space="preserve">CC(C)C1CC[C@@H](CC1)C(=O)N[C@H](CC1=CC=CC=C1)C(O)=O</t>
  </si>
  <si>
    <t xml:space="preserve">OELFLUMRDSZNSF-YJEKIOLLSA-N</t>
  </si>
  <si>
    <t xml:space="preserve">449-2</t>
  </si>
  <si>
    <t xml:space="preserve">Tetrabenazine</t>
  </si>
  <si>
    <t xml:space="preserve">HMDB0015592</t>
  </si>
  <si>
    <t xml:space="preserve">2800</t>
  </si>
  <si>
    <t xml:space="preserve">C11168</t>
  </si>
  <si>
    <t xml:space="preserve">64028</t>
  </si>
  <si>
    <t xml:space="preserve">6018</t>
  </si>
  <si>
    <t xml:space="preserve">58-46-8</t>
  </si>
  <si>
    <t xml:space="preserve">COC1=C(OC)C=C2C3CC(=O)C(CC(C)C)CN3CCC2=C1</t>
  </si>
  <si>
    <t xml:space="preserve">MKJIEFSOBYUXJB-UHFFFAOYSA-N</t>
  </si>
  <si>
    <t xml:space="preserve">450-1</t>
  </si>
  <si>
    <t xml:space="preserve">451-1</t>
  </si>
  <si>
    <t xml:space="preserve">Panaquinquecol 6</t>
  </si>
  <si>
    <t xml:space="preserve">HMDB0035500</t>
  </si>
  <si>
    <t xml:space="preserve">90782</t>
  </si>
  <si>
    <t xml:space="preserve">LMFA07010986</t>
  </si>
  <si>
    <t xml:space="preserve">57489663</t>
  </si>
  <si>
    <t xml:space="preserve">145400-15-3</t>
  </si>
  <si>
    <t xml:space="preserve">C=CC(C#CC#CC(C1OC1CCCCCCC)OC(C)=O)O</t>
  </si>
  <si>
    <t xml:space="preserve">GWHBQXMCXHWXBO-UHFFFAOYSA-N</t>
  </si>
  <si>
    <t xml:space="preserve">451-2</t>
  </si>
  <si>
    <t xml:space="preserve">(1(10)E,4E,6a,9b)-9-(2-Methylpropanoyloxy)-1(10),4,11(13)-germacratrien-12,6-olide</t>
  </si>
  <si>
    <t xml:space="preserve">HMDB0031373</t>
  </si>
  <si>
    <t xml:space="preserve">87626</t>
  </si>
  <si>
    <t xml:space="preserve">174324</t>
  </si>
  <si>
    <t xml:space="preserve">131751160</t>
  </si>
  <si>
    <t xml:space="preserve">CC(C)C(=O)OC1CC2C(OC(=O)C2=C)\C=C(C)\CC\C=C1/C</t>
  </si>
  <si>
    <t xml:space="preserve">XXAILDIUKGAZIM-GHEQENTPSA-N</t>
  </si>
  <si>
    <t xml:space="preserve">452-1</t>
  </si>
  <si>
    <t xml:space="preserve">453-1</t>
  </si>
  <si>
    <t xml:space="preserve">Stemar-13-ene</t>
  </si>
  <si>
    <t xml:space="preserve">HMDB0301828</t>
  </si>
  <si>
    <t xml:space="preserve">LMPR0104030008</t>
  </si>
  <si>
    <t xml:space="preserve">C18223</t>
  </si>
  <si>
    <t xml:space="preserve">50069</t>
  </si>
  <si>
    <t xml:space="preserve">15161496</t>
  </si>
  <si>
    <t xml:space="preserve">C1([C@]2([H])CC[C@@]3([H])C=C(C)[C@@H]4CC[C@]3(C4)[C@@]2(C)CCC1)(C)C</t>
  </si>
  <si>
    <t xml:space="preserve">MCRAOCBPZAIHJQ-QBYKVAOYSA-N</t>
  </si>
  <si>
    <t xml:space="preserve">453-2</t>
  </si>
  <si>
    <t xml:space="preserve">ent-Cassa-12,15-diene</t>
  </si>
  <si>
    <t xml:space="preserve">HMDB0302095</t>
  </si>
  <si>
    <t xml:space="preserve">53627</t>
  </si>
  <si>
    <t xml:space="preserve">LMPR0104120001</t>
  </si>
  <si>
    <t xml:space="preserve">C18226</t>
  </si>
  <si>
    <t xml:space="preserve">50060</t>
  </si>
  <si>
    <t xml:space="preserve">11471283</t>
  </si>
  <si>
    <t xml:space="preserve">C1[C@]2([C@]3([C@@]([H])([C@H](C)C(C=C)=CC3)CC[C@@]2(C(C)(C)CC1)[H])[H])C</t>
  </si>
  <si>
    <t xml:space="preserve">JQPDOKGAOXSRJD-SVEODPQUSA-N</t>
  </si>
  <si>
    <t xml:space="preserve">453-3</t>
  </si>
  <si>
    <t xml:space="preserve">ent-Sandaracopimaradiene</t>
  </si>
  <si>
    <t xml:space="preserve">HMDB0301827</t>
  </si>
  <si>
    <t xml:space="preserve">LMPR0104080001</t>
  </si>
  <si>
    <t xml:space="preserve">C11877</t>
  </si>
  <si>
    <t xml:space="preserve">63708</t>
  </si>
  <si>
    <t xml:space="preserve">443469</t>
  </si>
  <si>
    <t xml:space="preserve">[C@@]1(C)(C=C)CC[C@@]2([H])C(=C1)CC[C@]1([H])[C@@]2(CCCC1(C)C)C</t>
  </si>
  <si>
    <t xml:space="preserve">XDSYKASBVOZOAG-QGZVKYPTSA-N</t>
  </si>
  <si>
    <t xml:space="preserve">454-1</t>
  </si>
  <si>
    <t xml:space="preserve">455-1</t>
  </si>
  <si>
    <t xml:space="preserve">456-1</t>
  </si>
  <si>
    <t xml:space="preserve">457-1</t>
  </si>
  <si>
    <t xml:space="preserve">458-1</t>
  </si>
  <si>
    <t xml:space="preserve">Lactapiperanol D</t>
  </si>
  <si>
    <t xml:space="preserve">HMDB0033631</t>
  </si>
  <si>
    <t xml:space="preserve">85179199</t>
  </si>
  <si>
    <t xml:space="preserve">243447-94-1</t>
  </si>
  <si>
    <t xml:space="preserve">COC1OCC2(O)C(OC(C)=O)C3CC(C)(C)CC3C3(C)CC123</t>
  </si>
  <si>
    <t xml:space="preserve">VFJHHENNFQFTOV-UHFFFAOYSA-N</t>
  </si>
  <si>
    <t xml:space="preserve">458-2</t>
  </si>
  <si>
    <t xml:space="preserve">Cibaric acid</t>
  </si>
  <si>
    <t xml:space="preserve">HMDB0038580</t>
  </si>
  <si>
    <t xml:space="preserve">93247</t>
  </si>
  <si>
    <t xml:space="preserve">138788</t>
  </si>
  <si>
    <t xml:space="preserve">20839146</t>
  </si>
  <si>
    <t xml:space="preserve">130523-93-2</t>
  </si>
  <si>
    <t xml:space="preserve">OCC\C=C\C(\O)=C\C(=O)C\C=C\CCCCCCCC(O)=O</t>
  </si>
  <si>
    <t xml:space="preserve">LFTUCYCUYUJMJB-HNBCEUTISA-N</t>
  </si>
  <si>
    <t xml:space="preserve">459-1</t>
  </si>
  <si>
    <t xml:space="preserve">(Z)-15-Oxo-11-eicosenoic acid</t>
  </si>
  <si>
    <t xml:space="preserve">HMDB0029797</t>
  </si>
  <si>
    <t xml:space="preserve">86504</t>
  </si>
  <si>
    <t xml:space="preserve">124089052</t>
  </si>
  <si>
    <t xml:space="preserve">182145-55-7</t>
  </si>
  <si>
    <t xml:space="preserve">CCCCCC(=O)CC\C=C\CCCCCCCCCC(O)=O</t>
  </si>
  <si>
    <t xml:space="preserve">BMSUKKKAAVHUEW-PKNBQFBNSA-N</t>
  </si>
  <si>
    <t xml:space="preserve">459-2</t>
  </si>
  <si>
    <t xml:space="preserve">(13R,14R)-8-Labdene-13,14,15-triol</t>
  </si>
  <si>
    <t xml:space="preserve">HMDB0034957</t>
  </si>
  <si>
    <t xml:space="preserve">90328</t>
  </si>
  <si>
    <t xml:space="preserve">14543666</t>
  </si>
  <si>
    <t xml:space="preserve">CC1=C(CCC(C)(O)C(O)CO)C2(C)CCCC(C)(C)C2CC1</t>
  </si>
  <si>
    <t xml:space="preserve">TWZQRBKMQYAKGQ-UHFFFAOYSA-N</t>
  </si>
  <si>
    <t xml:space="preserve">459-3</t>
  </si>
  <si>
    <t xml:space="preserve">(13R,14R)-7-Labdene-13,14,15-triol</t>
  </si>
  <si>
    <t xml:space="preserve">HMDB0034958</t>
  </si>
  <si>
    <t xml:space="preserve">90329</t>
  </si>
  <si>
    <t xml:space="preserve">340130</t>
  </si>
  <si>
    <t xml:space="preserve">CC1=CCC2C(C)(C)CCCC2(C)C1CCC(C)(O)C(O)CO</t>
  </si>
  <si>
    <t xml:space="preserve">WWUAKADIANYYEA-UHFFFAOYSA-N</t>
  </si>
  <si>
    <t xml:space="preserve">460-1</t>
  </si>
  <si>
    <t xml:space="preserve">461-1</t>
  </si>
  <si>
    <t xml:space="preserve">462-1</t>
  </si>
  <si>
    <t xml:space="preserve">463-1</t>
  </si>
  <si>
    <t xml:space="preserve">10,20-Dihydroxyeicosanoic acid</t>
  </si>
  <si>
    <t xml:space="preserve">HMDB0031923</t>
  </si>
  <si>
    <t xml:space="preserve">88038</t>
  </si>
  <si>
    <t xml:space="preserve">172568</t>
  </si>
  <si>
    <t xml:space="preserve">14259007</t>
  </si>
  <si>
    <t xml:space="preserve">120727-26-6</t>
  </si>
  <si>
    <t xml:space="preserve">OCCCCCCCCCCC(O)CCCCCCCCC(O)=O</t>
  </si>
  <si>
    <t xml:space="preserve">RIIQXYZWFWMFSB-UHFFFAOYSA-N</t>
  </si>
  <si>
    <t xml:space="preserve">463-2</t>
  </si>
  <si>
    <t xml:space="preserve">MG(17:0)</t>
  </si>
  <si>
    <t xml:space="preserve">HMDB0072856</t>
  </si>
  <si>
    <t xml:space="preserve">96367592</t>
  </si>
  <si>
    <t xml:space="preserve">[H][C@@](O)(CO)COC(=O)CCCCCCCCCCCCCCCC</t>
  </si>
  <si>
    <t xml:space="preserve">SVUQHVRAGMNPLW-LJQANCHMSA-N</t>
  </si>
  <si>
    <t xml:space="preserve">464-1</t>
  </si>
  <si>
    <t xml:space="preserve">465-1</t>
  </si>
  <si>
    <t xml:space="preserve">466-1</t>
  </si>
  <si>
    <t xml:space="preserve">Perilloside B</t>
  </si>
  <si>
    <t xml:space="preserve">HMDB0040465</t>
  </si>
  <si>
    <t xml:space="preserve">94965</t>
  </si>
  <si>
    <t xml:space="preserve">168174</t>
  </si>
  <si>
    <t xml:space="preserve">73815069</t>
  </si>
  <si>
    <t xml:space="preserve">CC(=C)C1CCC(=CC1)C(=O)OC1OC(CO)C(O)C(O)C1O</t>
  </si>
  <si>
    <t xml:space="preserve">CDSQRAACZGXZNE-UHFFFAOYSA-N</t>
  </si>
  <si>
    <t xml:space="preserve">466-2</t>
  </si>
  <si>
    <t xml:space="preserve">Cymorcin monoglucoside</t>
  </si>
  <si>
    <t xml:space="preserve">HMDB0029777</t>
  </si>
  <si>
    <t xml:space="preserve">86484</t>
  </si>
  <si>
    <t xml:space="preserve">169582</t>
  </si>
  <si>
    <t xml:space="preserve">131750899</t>
  </si>
  <si>
    <t xml:space="preserve">76859-62-6</t>
  </si>
  <si>
    <t xml:space="preserve">CC(C)C1=CC(O)=C(C)C(OC2OC(CO)C(O)C(O)C2O)=C1</t>
  </si>
  <si>
    <t xml:space="preserve">KKDBPBRQLCHZDX-UHFFFAOYSA-N</t>
  </si>
  <si>
    <t xml:space="preserve">466-3</t>
  </si>
  <si>
    <t xml:space="preserve">3-Hydroxy-4-isopropylbenzyl alcohol 3-glucoside</t>
  </si>
  <si>
    <t xml:space="preserve">HMDB0039385</t>
  </si>
  <si>
    <t xml:space="preserve">93961</t>
  </si>
  <si>
    <t xml:space="preserve">175188</t>
  </si>
  <si>
    <t xml:space="preserve">85300726</t>
  </si>
  <si>
    <t xml:space="preserve">359875-75-5</t>
  </si>
  <si>
    <t xml:space="preserve">CC(C)C1=C(OC2OC(CO)C(O)C(O)C2O)C=C(CO)C=C1</t>
  </si>
  <si>
    <t xml:space="preserve">IILRAPUPZQMHJL-UHFFFAOYSA-N</t>
  </si>
  <si>
    <t xml:space="preserve">467-1</t>
  </si>
  <si>
    <t xml:space="preserve">Siderol</t>
  </si>
  <si>
    <t xml:space="preserve">HMDB0034944</t>
  </si>
  <si>
    <t xml:space="preserve">12315547</t>
  </si>
  <si>
    <t xml:space="preserve">19885-22-4</t>
  </si>
  <si>
    <t xml:space="preserve">CC(=O)OC1CC2C(C)(CO)CCCC2(C)C2CCC3CC12C=C3C</t>
  </si>
  <si>
    <t xml:space="preserve">OFNWUWHDGCNABD-UHFFFAOYSA-N</t>
  </si>
  <si>
    <t xml:space="preserve">467-2</t>
  </si>
  <si>
    <t xml:space="preserve">Volemolide</t>
  </si>
  <si>
    <t xml:space="preserve">HMDB0041001</t>
  </si>
  <si>
    <t xml:space="preserve">14584690</t>
  </si>
  <si>
    <t xml:space="preserve">125974-96-1</t>
  </si>
  <si>
    <t xml:space="preserve">COC12CCC3(C)C(CCC3C1=CC(=O)O2)C(C)\C=C\C(C)C(C)C</t>
  </si>
  <si>
    <t xml:space="preserve">FCFUSYHGZLEMJM-BQYQJAHWSA-N</t>
  </si>
  <si>
    <t xml:space="preserve">468-1</t>
  </si>
  <si>
    <t xml:space="preserve">N-(1-Deoxy-1-fructosyl)isoleucine</t>
  </si>
  <si>
    <t xml:space="preserve">HMDB0039780</t>
  </si>
  <si>
    <t xml:space="preserve">173136</t>
  </si>
  <si>
    <t xml:space="preserve">131752725</t>
  </si>
  <si>
    <t xml:space="preserve">87304-79-8</t>
  </si>
  <si>
    <t xml:space="preserve">CCC(C)[C@H](NCC1(O)O[C@H](CO)[C@@H](O)[C@@H]1O)C(O)=O</t>
  </si>
  <si>
    <t xml:space="preserve">VYGRYVGDPYFVCA-MFPOTZKYSA-N</t>
  </si>
  <si>
    <t xml:space="preserve">468-2</t>
  </si>
  <si>
    <t xml:space="preserve">N-(1-Deoxy-1-fructosyl)leucine</t>
  </si>
  <si>
    <t xml:space="preserve">HMDB0037840</t>
  </si>
  <si>
    <t xml:space="preserve">136629</t>
  </si>
  <si>
    <t xml:space="preserve">131752244</t>
  </si>
  <si>
    <t xml:space="preserve">34393-18-5</t>
  </si>
  <si>
    <t xml:space="preserve">CC(C)C[C@H](NCC1(O)O[C@H](CO)[C@@H](O)[C@@H]1O)C(O)=O</t>
  </si>
  <si>
    <t xml:space="preserve">KGTRBDVOUPALMB-PPNLDZOPSA-N</t>
  </si>
  <si>
    <t xml:space="preserve">469-1</t>
  </si>
  <si>
    <t xml:space="preserve">470-1</t>
  </si>
  <si>
    <t xml:space="preserve">471-1</t>
  </si>
  <si>
    <t xml:space="preserve">472-1</t>
  </si>
  <si>
    <t xml:space="preserve">473-1</t>
  </si>
  <si>
    <t xml:space="preserve">474-1</t>
  </si>
  <si>
    <t xml:space="preserve">475-1</t>
  </si>
  <si>
    <t xml:space="preserve">476-1</t>
  </si>
  <si>
    <t xml:space="preserve">477-1</t>
  </si>
  <si>
    <t xml:space="preserve">478-1</t>
  </si>
  <si>
    <t xml:space="preserve">479-1</t>
  </si>
  <si>
    <t xml:space="preserve">16-Mercaptohexadecanoic acid</t>
  </si>
  <si>
    <t xml:space="preserve">HMDB0244725</t>
  </si>
  <si>
    <t xml:space="preserve">3522585</t>
  </si>
  <si>
    <t xml:space="preserve">OC(=O)CCCCCCCCCCCCCCCS</t>
  </si>
  <si>
    <t xml:space="preserve">INOAASCWQMFJQA-UHFFFAOYSA-N</t>
  </si>
  <si>
    <t xml:space="preserve">479-2</t>
  </si>
  <si>
    <t xml:space="preserve">Tetradecylthioacetic acid</t>
  </si>
  <si>
    <t xml:space="preserve">HMDB0258889</t>
  </si>
  <si>
    <t xml:space="preserve">CCCCCCCCCCCCCCSCC(O)=O</t>
  </si>
  <si>
    <t xml:space="preserve">IPBCWPPBAWQYOO-UHFFFAOYSA-N</t>
  </si>
  <si>
    <t xml:space="preserve">480-1</t>
  </si>
  <si>
    <t xml:space="preserve">481-1</t>
  </si>
  <si>
    <t xml:space="preserve">482-1</t>
  </si>
  <si>
    <t xml:space="preserve">483-1</t>
  </si>
  <si>
    <t xml:space="preserve">9-peroxy-5Z,7E,11Z,14Z-eicosatetraenoate</t>
  </si>
  <si>
    <t xml:space="preserve">HMDB0060098</t>
  </si>
  <si>
    <t xml:space="preserve">131769820</t>
  </si>
  <si>
    <t xml:space="preserve">CCCCC\C=C/C\C=C/CC(O[O])\C=C\C=C/CCCC(O)=O</t>
  </si>
  <si>
    <t xml:space="preserve">LUNSZADIOHDKBX-OIZRIKEUSA-N</t>
  </si>
  <si>
    <t xml:space="preserve">483-2</t>
  </si>
  <si>
    <t xml:space="preserve">11-peroxy-5Z,8Z,12E,14Z-eicosatetraenoate</t>
  </si>
  <si>
    <t xml:space="preserve">HMDB0060099</t>
  </si>
  <si>
    <t xml:space="preserve">131769821</t>
  </si>
  <si>
    <t xml:space="preserve">CCCCC\C=C/C=C/C(C\C=C/C\C=C/CCCC(O)=O)O[O]</t>
  </si>
  <si>
    <t xml:space="preserve">CUVDHYYMVDOGDE-RLZWZWKOSA-N</t>
  </si>
  <si>
    <t xml:space="preserve">484-1</t>
  </si>
  <si>
    <t xml:space="preserve">485-1</t>
  </si>
  <si>
    <t xml:space="preserve">486-1</t>
  </si>
  <si>
    <t xml:space="preserve">487-1</t>
  </si>
  <si>
    <t xml:space="preserve">Prostaglandin A1</t>
  </si>
  <si>
    <t xml:space="preserve">HMDB0002656</t>
  </si>
  <si>
    <t xml:space="preserve">407</t>
  </si>
  <si>
    <t xml:space="preserve">LMFA03010005</t>
  </si>
  <si>
    <t xml:space="preserve">C04685</t>
  </si>
  <si>
    <t xml:space="preserve">15545</t>
  </si>
  <si>
    <t xml:space="preserve">5281912</t>
  </si>
  <si>
    <t xml:space="preserve">14152-28-4</t>
  </si>
  <si>
    <t xml:space="preserve">C1C(=O)[C@H](CCCCCCC(O)=O)[C@@H](/C=C/[C@@H](O)CCCCC)C=1</t>
  </si>
  <si>
    <t xml:space="preserve">BGKHCLZFGPIKKU-LDDQNKHRSA-N</t>
  </si>
  <si>
    <t xml:space="preserve">487-2</t>
  </si>
  <si>
    <t xml:space="preserve">11H-14,15-EETA</t>
  </si>
  <si>
    <t xml:space="preserve">HMDB0004693</t>
  </si>
  <si>
    <t xml:space="preserve">36367</t>
  </si>
  <si>
    <t xml:space="preserve">LMFA03080008</t>
  </si>
  <si>
    <t xml:space="preserve">C14813</t>
  </si>
  <si>
    <t xml:space="preserve">11954058</t>
  </si>
  <si>
    <t xml:space="preserve">219535-29-2</t>
  </si>
  <si>
    <t xml:space="preserve">C(/C=C\C/C=C\CCCC(=O)O)C(O)/C=C/C1OC1CCCCC</t>
  </si>
  <si>
    <t xml:space="preserve">WLMZMBKVRPUYIG-LTCHCNGXSA-N</t>
  </si>
  <si>
    <t xml:space="preserve">487-3</t>
  </si>
  <si>
    <t xml:space="preserve">15H-11,12-EETA</t>
  </si>
  <si>
    <t xml:space="preserve">HMDB0005050</t>
  </si>
  <si>
    <t xml:space="preserve">LMFA03080007</t>
  </si>
  <si>
    <t xml:space="preserve">C14781</t>
  </si>
  <si>
    <t xml:space="preserve">34160</t>
  </si>
  <si>
    <t xml:space="preserve">11954042</t>
  </si>
  <si>
    <t xml:space="preserve">877878-78-9</t>
  </si>
  <si>
    <t xml:space="preserve">C(/CC1OC1/C=C/[C@@H](O)CCCCC)=C/C/C=C\CCCC(=O)O</t>
  </si>
  <si>
    <t xml:space="preserve">GELFSVXLSDZDHE-YZSNCDGGSA-N</t>
  </si>
  <si>
    <t xml:space="preserve">488-1</t>
  </si>
  <si>
    <t xml:space="preserve">489-1</t>
  </si>
  <si>
    <t xml:space="preserve">490-1</t>
  </si>
  <si>
    <t xml:space="preserve">491-1</t>
  </si>
  <si>
    <t xml:space="preserve">492-1</t>
  </si>
  <si>
    <t xml:space="preserve">493-1</t>
  </si>
  <si>
    <t xml:space="preserve">Piperochromenoic acid</t>
  </si>
  <si>
    <t xml:space="preserve">HMDB0040635</t>
  </si>
  <si>
    <t xml:space="preserve">95113</t>
  </si>
  <si>
    <t xml:space="preserve">174592</t>
  </si>
  <si>
    <t xml:space="preserve">13845938</t>
  </si>
  <si>
    <t xml:space="preserve">110979-01-6</t>
  </si>
  <si>
    <t xml:space="preserve">CC(C)=CCC\C(C)=C\CCC1(C)OC2=CC=C(C=C2C=C1)C(O)=O</t>
  </si>
  <si>
    <t xml:space="preserve">MSDAWPKHHPLFBC-RQZCQDPDSA-N</t>
  </si>
  <si>
    <t xml:space="preserve">493-2</t>
  </si>
  <si>
    <t xml:space="preserve">Canrenone</t>
  </si>
  <si>
    <t xml:space="preserve">HMDB0003033</t>
  </si>
  <si>
    <t xml:space="preserve">2486</t>
  </si>
  <si>
    <t xml:space="preserve">987229</t>
  </si>
  <si>
    <t xml:space="preserve">13789</t>
  </si>
  <si>
    <t xml:space="preserve">976-71-6</t>
  </si>
  <si>
    <t xml:space="preserve">[H][C@@]12CC[C@@]3(CCC(=O)O3)[C@@]1(C)CC[C@@]1([H])[C@@]2([H])C=CC2=CC(=O)CC[C@]12C</t>
  </si>
  <si>
    <t xml:space="preserve">UJVLDDZCTMKXJK-WNHSNXHDSA-N</t>
  </si>
  <si>
    <t xml:space="preserve">494-1</t>
  </si>
  <si>
    <t xml:space="preserve">495-1</t>
  </si>
  <si>
    <t xml:space="preserve">496-1</t>
  </si>
  <si>
    <t xml:space="preserve">497-1</t>
  </si>
  <si>
    <t xml:space="preserve">498-1</t>
  </si>
  <si>
    <t xml:space="preserve">499-1</t>
  </si>
  <si>
    <t xml:space="preserve">500-1</t>
  </si>
  <si>
    <t xml:space="preserve">501-1</t>
  </si>
  <si>
    <t xml:space="preserve">502-1</t>
  </si>
  <si>
    <t xml:space="preserve">Adenosine monophosphate</t>
  </si>
  <si>
    <t xml:space="preserve">HMDB0000045</t>
  </si>
  <si>
    <t xml:space="preserve">34478</t>
  </si>
  <si>
    <t xml:space="preserve">C00020</t>
  </si>
  <si>
    <t xml:space="preserve">16027</t>
  </si>
  <si>
    <t xml:space="preserve">6083</t>
  </si>
  <si>
    <t xml:space="preserve">61-19-8</t>
  </si>
  <si>
    <t xml:space="preserve">NC1=C2N=CN([C@@H]3O[C@H](COP(O)(O)=O)[C@@H](O)[C@H]3O)C2=NC=N1</t>
  </si>
  <si>
    <t xml:space="preserve">UDMBCSSLTHHNCD-KQYNXXCUSA-N</t>
  </si>
  <si>
    <t xml:space="preserve">502-2</t>
  </si>
  <si>
    <t xml:space="preserve">3'-AMP</t>
  </si>
  <si>
    <t xml:space="preserve">HMDB0003540</t>
  </si>
  <si>
    <t xml:space="preserve">63401</t>
  </si>
  <si>
    <t xml:space="preserve">C01367</t>
  </si>
  <si>
    <t xml:space="preserve">28931</t>
  </si>
  <si>
    <t xml:space="preserve">41211</t>
  </si>
  <si>
    <t xml:space="preserve">84-21-9</t>
  </si>
  <si>
    <t xml:space="preserve">NC1=C2N=CN([C@@H]3O[C@H](CO)[C@@H](OP(O)(O)=O)[C@H]3O)C2=NC=N1</t>
  </si>
  <si>
    <t xml:space="preserve">LNQVTSROQXJCDD-KQYNXXCUSA-N</t>
  </si>
  <si>
    <t xml:space="preserve">Ribonucleoside 3'-phosphates</t>
  </si>
  <si>
    <t xml:space="preserve">503-1</t>
  </si>
  <si>
    <t xml:space="preserve">504-1</t>
  </si>
  <si>
    <t xml:space="preserve">505-1</t>
  </si>
  <si>
    <t xml:space="preserve">Intoplicine</t>
  </si>
  <si>
    <t xml:space="preserve">HMDB0253504</t>
  </si>
  <si>
    <t xml:space="preserve">414107</t>
  </si>
  <si>
    <t xml:space="preserve">65954</t>
  </si>
  <si>
    <t xml:space="preserve">CN(C)CCCNC1=NC=C(C)C2=C1C1=C(N2)C=CC2=CC(O)=CC=C12</t>
  </si>
  <si>
    <t xml:space="preserve">QROONAIPJKQFMC-UHFFFAOYSA-N</t>
  </si>
  <si>
    <t xml:space="preserve">Pyridoindoles</t>
  </si>
  <si>
    <t xml:space="preserve">505-2</t>
  </si>
  <si>
    <t xml:space="preserve">(R)-1-(5-Tert-Butyl-2,3-dihydro-1H-inden-1-yl)-3-(1H-indazol-4-yl)urea</t>
  </si>
  <si>
    <t xml:space="preserve">HMDB0247759</t>
  </si>
  <si>
    <t xml:space="preserve">11244984</t>
  </si>
  <si>
    <t xml:space="preserve">CC(C)(C)C1=CC2=C(C=C1)C(CC2)NC(=O)NC1=CC=CC2=C1C=NN2</t>
  </si>
  <si>
    <t xml:space="preserve">TYOYXJNGINZFET-UHFFFAOYSA-N</t>
  </si>
  <si>
    <t xml:space="preserve">Benzopyrazoles</t>
  </si>
  <si>
    <t xml:space="preserve">Indazoles</t>
  </si>
  <si>
    <t xml:space="preserve">506-1</t>
  </si>
  <si>
    <t xml:space="preserve">507-1</t>
  </si>
  <si>
    <t xml:space="preserve">508-1</t>
  </si>
  <si>
    <t xml:space="preserve">509-1</t>
  </si>
  <si>
    <t xml:space="preserve">510-1</t>
  </si>
  <si>
    <t xml:space="preserve">Valyltryptophan</t>
  </si>
  <si>
    <t xml:space="preserve">HMDB0029138</t>
  </si>
  <si>
    <t xml:space="preserve">23665</t>
  </si>
  <si>
    <t xml:space="preserve">168182</t>
  </si>
  <si>
    <t xml:space="preserve">24587-37-9</t>
  </si>
  <si>
    <t xml:space="preserve">CC(C)[C@H](N)C(=O)N[C@@H](CC1=CNC2=CC=CC=C12)C(O)=O</t>
  </si>
  <si>
    <t xml:space="preserve">LZDNBBYBDGBADK-KBPBESRZSA-N</t>
  </si>
  <si>
    <t xml:space="preserve">510-2</t>
  </si>
  <si>
    <t xml:space="preserve">Tryptophyl-Valine</t>
  </si>
  <si>
    <t xml:space="preserve">HMDB0029096</t>
  </si>
  <si>
    <t xml:space="preserve">19816756</t>
  </si>
  <si>
    <t xml:space="preserve">CC(C)C(NC(=O)C(N)CC1=CNC2=C1C=CC=C2)C(O)=O</t>
  </si>
  <si>
    <t xml:space="preserve">LWFWZRANSFAJDR-UHFFFAOYSA-N</t>
  </si>
  <si>
    <t xml:space="preserve">511-1</t>
  </si>
  <si>
    <t xml:space="preserve">N-(2-Cyclohexyloxy-4-nitrophenyl)methanesulfonamide</t>
  </si>
  <si>
    <t xml:space="preserve">HMDB0255773</t>
  </si>
  <si>
    <t xml:space="preserve">63036</t>
  </si>
  <si>
    <t xml:space="preserve">73458</t>
  </si>
  <si>
    <t xml:space="preserve">4553</t>
  </si>
  <si>
    <t xml:space="preserve">123653-11-2</t>
  </si>
  <si>
    <t xml:space="preserve">CS(=O)(=O)NC1=C(OC2CCCCC2)C=C(C=C1)N(=O)=O</t>
  </si>
  <si>
    <t xml:space="preserve">KTDZCOWXCWUPEO-UHFFFAOYSA-N</t>
  </si>
  <si>
    <t xml:space="preserve">511-2</t>
  </si>
  <si>
    <t xml:space="preserve">Butylcarbamoyl-(4-methylphenyl)sulfonylcarbamic acid</t>
  </si>
  <si>
    <t xml:space="preserve">HMDB0257650</t>
  </si>
  <si>
    <t xml:space="preserve">54572603</t>
  </si>
  <si>
    <t xml:space="preserve">CCCCNC(=O)N(C(O)=O)S(=O)(=O)C1=CC=C(C)C=C1</t>
  </si>
  <si>
    <t xml:space="preserve">ZYJJMXFWKVTRSJ-UHFFFAOYSA-N</t>
  </si>
  <si>
    <t xml:space="preserve">512-1</t>
  </si>
  <si>
    <t xml:space="preserve">polyneuridine aldehyde</t>
  </si>
  <si>
    <t xml:space="preserve">HMDB0304467</t>
  </si>
  <si>
    <t xml:space="preserve">631650</t>
  </si>
  <si>
    <t xml:space="preserve">COC(=O)C1(C=O)C2CC3=C(NC4=CC=CC=C34)C3CC1C(CN23)=CC</t>
  </si>
  <si>
    <t xml:space="preserve">BRJNQOSDCDNITN-UHFFFAOYSA-N</t>
  </si>
  <si>
    <t xml:space="preserve">Macroline alkaloids</t>
  </si>
  <si>
    <t xml:space="preserve">512-2</t>
  </si>
  <si>
    <t xml:space="preserve">Strychnine N-oxide</t>
  </si>
  <si>
    <t xml:space="preserve">HMDB0252685</t>
  </si>
  <si>
    <t xml:space="preserve">630532</t>
  </si>
  <si>
    <t xml:space="preserve">[O-][N+]12CCC34C1CC1C5C3N(C3=CC=CC=C43)C(=O)CC5OCC=C1C2</t>
  </si>
  <si>
    <t xml:space="preserve">ADTDBAKUQAKBGZ-UHFFFAOYSA-N</t>
  </si>
  <si>
    <t xml:space="preserve">Strychnos alkaloids</t>
  </si>
  <si>
    <t xml:space="preserve">512-3</t>
  </si>
  <si>
    <t xml:space="preserve">Paquinimod</t>
  </si>
  <si>
    <t xml:space="preserve">HMDB0256119</t>
  </si>
  <si>
    <t xml:space="preserve">460066</t>
  </si>
  <si>
    <t xml:space="preserve">54684617</t>
  </si>
  <si>
    <t xml:space="preserve">CCN(C(=O)C1=C(O)C2=C(CC)C=CC=C2N(C)C1=O)C1=CC=CC=C1</t>
  </si>
  <si>
    <t xml:space="preserve">DIKSYHCCYVYKRO-UHFFFAOYSA-N</t>
  </si>
  <si>
    <t xml:space="preserve">513-1</t>
  </si>
  <si>
    <t xml:space="preserve">514-1</t>
  </si>
  <si>
    <t xml:space="preserve">515-1</t>
  </si>
  <si>
    <t xml:space="preserve">516-1</t>
  </si>
  <si>
    <t xml:space="preserve">N-Acetyl-7-O-acetylneuraminic acid</t>
  </si>
  <si>
    <t xml:space="preserve">HMDB0000785</t>
  </si>
  <si>
    <t xml:space="preserve">5751</t>
  </si>
  <si>
    <t xml:space="preserve">C04016</t>
  </si>
  <si>
    <t xml:space="preserve">12315523</t>
  </si>
  <si>
    <t xml:space="preserve">18529-63-0</t>
  </si>
  <si>
    <t xml:space="preserve">CC(=O)N[C@@H]1[C@@H](O)C[C@](O)(O[C@H]1[C@H](OC(C)=O)[C@H](O)CO)C(O)=O</t>
  </si>
  <si>
    <t xml:space="preserve">DUOKWMWKFGDUDQ-GRRZBWEESA-N</t>
  </si>
  <si>
    <t xml:space="preserve">516-2</t>
  </si>
  <si>
    <t xml:space="preserve">N-Acetyl-9-O-acetylneuraminic acid</t>
  </si>
  <si>
    <t xml:space="preserve">HMDB0000794</t>
  </si>
  <si>
    <t xml:space="preserve">5759</t>
  </si>
  <si>
    <t xml:space="preserve">C04017</t>
  </si>
  <si>
    <t xml:space="preserve">21500</t>
  </si>
  <si>
    <t xml:space="preserve">123962</t>
  </si>
  <si>
    <t xml:space="preserve">55717-54-9</t>
  </si>
  <si>
    <t xml:space="preserve">CC(=O)N[C@@H]1[C@@H](O)C[C@](O)(O[C@H]1[C@H](O)[C@H](O)COC(C)=O)C(O)=O</t>
  </si>
  <si>
    <t xml:space="preserve">NYWZBRWKDRMPAS-GRRZBWEESA-N</t>
  </si>
  <si>
    <t xml:space="preserve">516-3</t>
  </si>
  <si>
    <t xml:space="preserve">N-Acetyl-4-O-acetylneuraminic acid</t>
  </si>
  <si>
    <t xml:space="preserve">HMDB0000796</t>
  </si>
  <si>
    <t xml:space="preserve">5761</t>
  </si>
  <si>
    <t xml:space="preserve">C04015</t>
  </si>
  <si>
    <t xml:space="preserve">32844</t>
  </si>
  <si>
    <t xml:space="preserve">440197</t>
  </si>
  <si>
    <t xml:space="preserve">16655-75-7</t>
  </si>
  <si>
    <t xml:space="preserve">CC(=O)N[C@@H]1[C@H](C[C@](O)(O[C@H]1C(O)C(O)CO)C(O)=O)OC(C)=O</t>
  </si>
  <si>
    <t xml:space="preserve">LVBIMVQYUKOENY-FODKYPIKSA-N</t>
  </si>
  <si>
    <t xml:space="preserve">517-1</t>
  </si>
  <si>
    <t xml:space="preserve">518-1</t>
  </si>
  <si>
    <t xml:space="preserve">Cajanol</t>
  </si>
  <si>
    <t xml:space="preserve">HMDB0033924</t>
  </si>
  <si>
    <t xml:space="preserve">48003</t>
  </si>
  <si>
    <t xml:space="preserve">LMPK12050499</t>
  </si>
  <si>
    <t xml:space="preserve">C10204</t>
  </si>
  <si>
    <t xml:space="preserve">442670</t>
  </si>
  <si>
    <t xml:space="preserve">61020-70-0</t>
  </si>
  <si>
    <t xml:space="preserve">C1(OC)=CC2OCC(C3=CC=C(O)C=C3OC)C(=O)C=2C(O)=C1</t>
  </si>
  <si>
    <t xml:space="preserve">RYYWWFXWFMYKJM-UHFFFAOYSA-N</t>
  </si>
  <si>
    <t xml:space="preserve">518-2</t>
  </si>
  <si>
    <t xml:space="preserve">Homoferreirin</t>
  </si>
  <si>
    <t xml:space="preserve">HMDB0030111</t>
  </si>
  <si>
    <t xml:space="preserve">48006</t>
  </si>
  <si>
    <t xml:space="preserve">LMPK12050502</t>
  </si>
  <si>
    <t xml:space="preserve">C10457</t>
  </si>
  <si>
    <t xml:space="preserve">5754</t>
  </si>
  <si>
    <t xml:space="preserve">442788</t>
  </si>
  <si>
    <t xml:space="preserve">482-01-9</t>
  </si>
  <si>
    <t xml:space="preserve">C1(O)=CC2OCC(C3=CC=C(OC)C=C3OC)C(=O)C=2C(O)=C1</t>
  </si>
  <si>
    <t xml:space="preserve">LMLDNMHDNFCNCW-UHFFFAOYSA-N</t>
  </si>
  <si>
    <t xml:space="preserve">518-3</t>
  </si>
  <si>
    <t xml:space="preserve">Byakangelicol</t>
  </si>
  <si>
    <t xml:space="preserve">HMDB0302531</t>
  </si>
  <si>
    <t xml:space="preserve">71437</t>
  </si>
  <si>
    <t xml:space="preserve">C16925</t>
  </si>
  <si>
    <t xml:space="preserve">3055167</t>
  </si>
  <si>
    <t xml:space="preserve">26091-79-2</t>
  </si>
  <si>
    <t xml:space="preserve">COC1=C2C=COC2=C(OC[C@H]2OC2(C)C)C2=C1C=CC(=O)O2</t>
  </si>
  <si>
    <t xml:space="preserve">ORBITTMJKIGFNH-LLVKDONJSA-N</t>
  </si>
  <si>
    <t xml:space="preserve">519-1</t>
  </si>
  <si>
    <t xml:space="preserve">520-1</t>
  </si>
  <si>
    <t xml:space="preserve">Tebufenozide</t>
  </si>
  <si>
    <t xml:space="preserve">HMDB0258764</t>
  </si>
  <si>
    <t xml:space="preserve">72332</t>
  </si>
  <si>
    <t xml:space="preserve">C18526</t>
  </si>
  <si>
    <t xml:space="preserve">38452</t>
  </si>
  <si>
    <t xml:space="preserve">91773</t>
  </si>
  <si>
    <t xml:space="preserve">112410-23-8</t>
  </si>
  <si>
    <t xml:space="preserve">CCC1=CC=C(C=C1)C(=O)NN(C(=O)C1=CC(C)=CC(C)=C1)C(C)(C)C</t>
  </si>
  <si>
    <t xml:space="preserve">QYPNKSZPJQQLRK-UHFFFAOYSA-N</t>
  </si>
  <si>
    <t xml:space="preserve">520-2</t>
  </si>
  <si>
    <t xml:space="preserve">Encainide</t>
  </si>
  <si>
    <t xml:space="preserve">HMDB0015359</t>
  </si>
  <si>
    <t xml:space="preserve">66566</t>
  </si>
  <si>
    <t xml:space="preserve">C06978</t>
  </si>
  <si>
    <t xml:space="preserve">4788</t>
  </si>
  <si>
    <t xml:space="preserve">48041</t>
  </si>
  <si>
    <t xml:space="preserve">66778-36-7</t>
  </si>
  <si>
    <t xml:space="preserve">COC1=CC=C(C=C1)C(=O)NC1=CC=CC=C1CCC1CCCCN1C</t>
  </si>
  <si>
    <t xml:space="preserve">PJWPNDMDCLXCOM-UHFFFAOYSA-N</t>
  </si>
  <si>
    <t xml:space="preserve">521-1</t>
  </si>
  <si>
    <t xml:space="preserve">522-1</t>
  </si>
  <si>
    <t xml:space="preserve">523-1</t>
  </si>
  <si>
    <t xml:space="preserve">524-1</t>
  </si>
  <si>
    <t xml:space="preserve">525-1</t>
  </si>
  <si>
    <t xml:space="preserve">526-1</t>
  </si>
  <si>
    <t xml:space="preserve">527-1</t>
  </si>
  <si>
    <t xml:space="preserve">528-1</t>
  </si>
  <si>
    <t xml:space="preserve">529-1</t>
  </si>
  <si>
    <t xml:space="preserve">530-1</t>
  </si>
  <si>
    <t xml:space="preserve">531-1</t>
  </si>
  <si>
    <t xml:space="preserve">532-1</t>
  </si>
  <si>
    <t xml:space="preserve">533-1</t>
  </si>
  <si>
    <t xml:space="preserve">534-1</t>
  </si>
  <si>
    <t xml:space="preserve">4,4'-Thiobis(6-tert-butyl-m-cresol)</t>
  </si>
  <si>
    <t xml:space="preserve">HMDB0247683</t>
  </si>
  <si>
    <t xml:space="preserve">7308</t>
  </si>
  <si>
    <t xml:space="preserve">CC1=CC(O)=C(C=C1SC1=CC(=C(O)C=C1C)C(C)(C)C)C(C)(C)C</t>
  </si>
  <si>
    <t xml:space="preserve">HXIQYSLFEXIOAV-UHFFFAOYSA-N</t>
  </si>
  <si>
    <t xml:space="preserve">534-2</t>
  </si>
  <si>
    <t xml:space="preserve">2-(3,7,11-Trimethyldodeca-2,6,10-trienylsulfanyl)benzoic acid</t>
  </si>
  <si>
    <t xml:space="preserve">HMDB0244927</t>
  </si>
  <si>
    <t xml:space="preserve">389644</t>
  </si>
  <si>
    <t xml:space="preserve">CC(C)=CCCC(C)=CCCC(C)=CCSC1=CC=CC=C1C(O)=O</t>
  </si>
  <si>
    <t xml:space="preserve">WUILNKCFCLNXOK-UHFFFAOYSA-N</t>
  </si>
  <si>
    <t xml:space="preserve">535-1</t>
  </si>
  <si>
    <t xml:space="preserve">Tetracosapentaenoic acid (24:5n-3)</t>
  </si>
  <si>
    <t xml:space="preserve">HMDB0006323</t>
  </si>
  <si>
    <t xml:space="preserve">74357</t>
  </si>
  <si>
    <t xml:space="preserve">LMFA01030821</t>
  </si>
  <si>
    <t xml:space="preserve">77360</t>
  </si>
  <si>
    <t xml:space="preserve">52921801</t>
  </si>
  <si>
    <t xml:space="preserve">C(CCCCCCC/C=C\C/C=C\C/C=C\C/C=C\C/C=C\CC)(=O)O</t>
  </si>
  <si>
    <t xml:space="preserve">NPTIBOCVSPURCS-JLNKQSITSA-N</t>
  </si>
  <si>
    <t xml:space="preserve">535-2</t>
  </si>
  <si>
    <t xml:space="preserve">Tetracosapentaenoic acid (24:5n-6)</t>
  </si>
  <si>
    <t xml:space="preserve">HMDB0006322</t>
  </si>
  <si>
    <t xml:space="preserve">74356</t>
  </si>
  <si>
    <t xml:space="preserve">LMFA01030820</t>
  </si>
  <si>
    <t xml:space="preserve">77527</t>
  </si>
  <si>
    <t xml:space="preserve">14505435</t>
  </si>
  <si>
    <t xml:space="preserve">C(CCCC/C=C\C/C=C\C/C=C\C/C=C\C/C=C\CCCCC)(=O)O</t>
  </si>
  <si>
    <t xml:space="preserve">VENRYLMOFDSSDJ-WMPRHZDHSA-N</t>
  </si>
  <si>
    <t xml:space="preserve">536-1</t>
  </si>
  <si>
    <t xml:space="preserve">537-1</t>
  </si>
  <si>
    <t xml:space="preserve">538-1</t>
  </si>
  <si>
    <t xml:space="preserve">539-1</t>
  </si>
  <si>
    <t xml:space="preserve">540-1</t>
  </si>
  <si>
    <t xml:space="preserve">541-1</t>
  </si>
  <si>
    <t xml:space="preserve">542-1</t>
  </si>
  <si>
    <t xml:space="preserve">543-1</t>
  </si>
  <si>
    <t xml:space="preserve">2-Amino-3-[[(2R)-2-carboxy-2-(diacetylamino)ethyl]disulfanyl]propanoic acid</t>
  </si>
  <si>
    <t xml:space="preserve">HMDB0257578</t>
  </si>
  <si>
    <t xml:space="preserve">19364518</t>
  </si>
  <si>
    <t xml:space="preserve">CC(=O)N(C(CSSCC(N)C(O)=O)C(O)=O)C(C)=O</t>
  </si>
  <si>
    <t xml:space="preserve">IUBBHHOZWDBCIV-UHFFFAOYSA-N</t>
  </si>
  <si>
    <t xml:space="preserve">543-2</t>
  </si>
  <si>
    <t xml:space="preserve">(2R)-2-Acetamido-3-[[(2R)-2-acetamido-2-carboxyethyl]disulfanyl]propanoic acid</t>
  </si>
  <si>
    <t xml:space="preserve">HMDB0242531</t>
  </si>
  <si>
    <t xml:space="preserve">306129</t>
  </si>
  <si>
    <t xml:space="preserve">CC(=O)NC(CSSCC(NC(C)=O)C(O)=O)C(O)=O</t>
  </si>
  <si>
    <t xml:space="preserve">YTPQSLLEROSACP-UHFFFAOYSA-N</t>
  </si>
  <si>
    <t xml:space="preserve">544-1</t>
  </si>
  <si>
    <t xml:space="preserve">545-1</t>
  </si>
  <si>
    <t xml:space="preserve">19,20-DiHDPA</t>
  </si>
  <si>
    <t xml:space="preserve">HMDB0010214</t>
  </si>
  <si>
    <t xml:space="preserve">61549</t>
  </si>
  <si>
    <t xml:space="preserve">LMFA04000043</t>
  </si>
  <si>
    <t xml:space="preserve">72657</t>
  </si>
  <si>
    <t xml:space="preserve">16061148</t>
  </si>
  <si>
    <t xml:space="preserve">C(CC/C=C\C/C=C\C/C=C\C/C=C\C/C=C\CC(O)C(O)CC)(=O)O</t>
  </si>
  <si>
    <t xml:space="preserve">FFXKPSNQCPNORO-MBYQGORISA-N</t>
  </si>
  <si>
    <t xml:space="preserve">545-2</t>
  </si>
  <si>
    <t xml:space="preserve">Annosquamosin A</t>
  </si>
  <si>
    <t xml:space="preserve">HMDB0031137</t>
  </si>
  <si>
    <t xml:space="preserve">87436</t>
  </si>
  <si>
    <t xml:space="preserve">469215</t>
  </si>
  <si>
    <t xml:space="preserve">192584-48-8</t>
  </si>
  <si>
    <t xml:space="preserve">CC(=O)OC[C@]1(O)CC23C[C@@H]1CCC2[C@]1(C)CCC[C@@](C)(C=O)C1CC3</t>
  </si>
  <si>
    <t xml:space="preserve">FCHGRGOUMXZTFS-QZRFJHGNSA-N</t>
  </si>
  <si>
    <t xml:space="preserve">545-3</t>
  </si>
  <si>
    <t xml:space="preserve">Lycopersiconolide</t>
  </si>
  <si>
    <t xml:space="preserve">HMDB0033677</t>
  </si>
  <si>
    <t xml:space="preserve">89469</t>
  </si>
  <si>
    <t xml:space="preserve">14186883</t>
  </si>
  <si>
    <t xml:space="preserve">110612-29-8</t>
  </si>
  <si>
    <t xml:space="preserve">CC1(O)C2C(CC3C4CCC5CC(O)CCC5(C)C4CCC23C)OC1=O</t>
  </si>
  <si>
    <t xml:space="preserve">OCPGSVYCKLXPSO-UHFFFAOYSA-N</t>
  </si>
  <si>
    <t xml:space="preserve">546-1</t>
  </si>
  <si>
    <t xml:space="preserve">547-1</t>
  </si>
  <si>
    <t xml:space="preserve">548-1</t>
  </si>
  <si>
    <t xml:space="preserve">549-1</t>
  </si>
  <si>
    <t xml:space="preserve">550-1</t>
  </si>
  <si>
    <t xml:space="preserve">551-1</t>
  </si>
  <si>
    <t xml:space="preserve">552-1</t>
  </si>
  <si>
    <t xml:space="preserve">553-1</t>
  </si>
  <si>
    <t xml:space="preserve">Anthramycin methyl ether</t>
  </si>
  <si>
    <t xml:space="preserve">HMDB0248465</t>
  </si>
  <si>
    <t xml:space="preserve">3080642</t>
  </si>
  <si>
    <t xml:space="preserve">COC1NC2=C(C=CC(C)=C2O)C(=O)N2C=C(CC12)C=CC(N)=O</t>
  </si>
  <si>
    <t xml:space="preserve">YRMCBQLZVBXOSJ-UHFFFAOYSA-N</t>
  </si>
  <si>
    <t xml:space="preserve">553-2</t>
  </si>
  <si>
    <t xml:space="preserve">L-Prolinamide, glycyl-N-(4-methyl-2-oxo-2H-1-benzopyran-7-yl)-</t>
  </si>
  <si>
    <t xml:space="preserve">HMDB0252834</t>
  </si>
  <si>
    <t xml:space="preserve">3999440</t>
  </si>
  <si>
    <t xml:space="preserve">CC1=CC(=O)OC2=C1C=CC(NC(=O)C1CCCN1C(=O)CN)=C2</t>
  </si>
  <si>
    <t xml:space="preserve">UTDVHCQTKWTQEA-UHFFFAOYSA-N</t>
  </si>
  <si>
    <t xml:space="preserve">554-1</t>
  </si>
  <si>
    <t xml:space="preserve">N-Acetyl-leucyl-leucyl-norleucinal</t>
  </si>
  <si>
    <t xml:space="preserve">HMDB0248156</t>
  </si>
  <si>
    <t xml:space="preserve">4332</t>
  </si>
  <si>
    <t xml:space="preserve">CCCCC(NC(=O)C(CC(C)C)NC(=O)C(CC(C)C)NC(C)=O)C=O</t>
  </si>
  <si>
    <t xml:space="preserve">FMYKJLXRRQTBOR-UHFFFAOYSA-N</t>
  </si>
  <si>
    <t xml:space="preserve">554-2</t>
  </si>
  <si>
    <t xml:space="preserve">(2S)-N-[(2S)-1-[Acetyl-[(2S)-1-oxohexan-2-yl]amino]-4-methyl-1-oxopentan-2-yl]-2-amino-4-methylpentanamide</t>
  </si>
  <si>
    <t xml:space="preserve">HMDB0257703</t>
  </si>
  <si>
    <t xml:space="preserve">CCCCC(C=O)N(C(C)=O)C(=O)C(CC(C)C)NC(=O)C(N)CC(C)C</t>
  </si>
  <si>
    <t xml:space="preserve">GOVKMYNMVXJDQS-UHFFFAOYSA-N</t>
  </si>
  <si>
    <t xml:space="preserve">555-1</t>
  </si>
  <si>
    <t xml:space="preserve">1,3,7-Trimethyl-8-(3-chlorostyryl)xanthine</t>
  </si>
  <si>
    <t xml:space="preserve">HMDB0244192</t>
  </si>
  <si>
    <t xml:space="preserve">44134628</t>
  </si>
  <si>
    <t xml:space="preserve">CN1C(C=CC2=CC(Cl)=CC=C2)=NC2=C1N(C)C(=O)N(C)C2=O</t>
  </si>
  <si>
    <t xml:space="preserve">MHYRUZOJQQLLQS-UHFFFAOYSA-N</t>
  </si>
  <si>
    <t xml:space="preserve">555-2</t>
  </si>
  <si>
    <t xml:space="preserve">8-(3-Chlorostyryl)caffeine</t>
  </si>
  <si>
    <t xml:space="preserve">HMDB0247411</t>
  </si>
  <si>
    <t xml:space="preserve">1902</t>
  </si>
  <si>
    <t xml:space="preserve">CN1C(C=CC2=CC(Cl)=CC=C2)=NC2=C1C(=O)N(C)C(=O)N2C</t>
  </si>
  <si>
    <t xml:space="preserve">WBWFIUAVMCNYPG-UHFFFAOYSA-N</t>
  </si>
  <si>
    <t xml:space="preserve">556-1</t>
  </si>
  <si>
    <t xml:space="preserve">557-1</t>
  </si>
  <si>
    <t xml:space="preserve">558-1</t>
  </si>
  <si>
    <t xml:space="preserve">559-1</t>
  </si>
  <si>
    <t xml:space="preserve">560-1</t>
  </si>
  <si>
    <t xml:space="preserve">561-1</t>
  </si>
  <si>
    <t xml:space="preserve">beta-Cortol</t>
  </si>
  <si>
    <t xml:space="preserve">HMDB0005821</t>
  </si>
  <si>
    <t xml:space="preserve">58325</t>
  </si>
  <si>
    <t xml:space="preserve">LMST02030229</t>
  </si>
  <si>
    <t xml:space="preserve">C01235</t>
  </si>
  <si>
    <t xml:space="preserve">17505</t>
  </si>
  <si>
    <t xml:space="preserve">246164</t>
  </si>
  <si>
    <t xml:space="preserve">667-65-2</t>
  </si>
  <si>
    <t xml:space="preserve">C[C@@]12C[C@@H](O)[C@@H]3[C@H](CC[C@H]4C[C@@H](O)CC[C@]43C)[C@H]1CC[C@@]2(O)[C@@H](O)CO</t>
  </si>
  <si>
    <t xml:space="preserve">FFPUNPBUZDTHJI-ZFOKFBPFSA-N</t>
  </si>
  <si>
    <t xml:space="preserve">561-2</t>
  </si>
  <si>
    <t xml:space="preserve">Cortol</t>
  </si>
  <si>
    <t xml:space="preserve">HMDB0003180</t>
  </si>
  <si>
    <t xml:space="preserve">3174</t>
  </si>
  <si>
    <t xml:space="preserve">LMST02030228</t>
  </si>
  <si>
    <t xml:space="preserve">C05482</t>
  </si>
  <si>
    <t xml:space="preserve">3898</t>
  </si>
  <si>
    <t xml:space="preserve">246873</t>
  </si>
  <si>
    <t xml:space="preserve">516-38-1</t>
  </si>
  <si>
    <t xml:space="preserve">C[C@@]12C[C@@H](O)[C@@H]3[C@H](CC[C@H]4C[C@@H](O)CC[C@]43C)[C@H]1CC[C@@]2(O)[C@H](O)CO</t>
  </si>
  <si>
    <t xml:space="preserve">FFPUNPBUZDTHJI-XPOJVAQCSA-N</t>
  </si>
  <si>
    <t xml:space="preserve">562-1</t>
  </si>
  <si>
    <t xml:space="preserve">563-1</t>
  </si>
  <si>
    <t xml:space="preserve">564-1</t>
  </si>
  <si>
    <t xml:space="preserve">565-1</t>
  </si>
  <si>
    <t xml:space="preserve">566-1</t>
  </si>
  <si>
    <t xml:space="preserve">567-1</t>
  </si>
  <si>
    <t xml:space="preserve">Thromboxane B2</t>
  </si>
  <si>
    <t xml:space="preserve">HMDB0003252</t>
  </si>
  <si>
    <t xml:space="preserve">422</t>
  </si>
  <si>
    <t xml:space="preserve">LMFA03030002</t>
  </si>
  <si>
    <t xml:space="preserve">C05963</t>
  </si>
  <si>
    <t xml:space="preserve">28728</t>
  </si>
  <si>
    <t xml:space="preserve">5283137</t>
  </si>
  <si>
    <t xml:space="preserve">54397-85-2</t>
  </si>
  <si>
    <t xml:space="preserve">C(O)(=O)CCC/C=C\C[C@H]1[C@@H](O)CC(O)O[C@@H]1/C=C/[C@@H](O)CCCCC</t>
  </si>
  <si>
    <t xml:space="preserve">XNRNNGPBEPRNAR-JQBLCGNGSA-N</t>
  </si>
  <si>
    <t xml:space="preserve">567-2</t>
  </si>
  <si>
    <t xml:space="preserve">6-Keto-prostaglandin F1a</t>
  </si>
  <si>
    <t xml:space="preserve">HMDB0002886</t>
  </si>
  <si>
    <t xml:space="preserve">6782</t>
  </si>
  <si>
    <t xml:space="preserve">LMFA03010001</t>
  </si>
  <si>
    <t xml:space="preserve">C05961</t>
  </si>
  <si>
    <t xml:space="preserve">28158</t>
  </si>
  <si>
    <t xml:space="preserve">5280888</t>
  </si>
  <si>
    <t xml:space="preserve">58962-34-8</t>
  </si>
  <si>
    <t xml:space="preserve">[C@H]1(/C=C/[C@@H](O)CCCCC)[C@H](O)C[C@H](O)[C@@H]1CC(=O)CCCCC(=O)O</t>
  </si>
  <si>
    <t xml:space="preserve">KFGOFTHODYBSGM-ZUNNJUQCSA-N</t>
  </si>
  <si>
    <t xml:space="preserve">568-1</t>
  </si>
  <si>
    <t xml:space="preserve">569-1</t>
  </si>
  <si>
    <t xml:space="preserve">570-1</t>
  </si>
  <si>
    <t xml:space="preserve">Indacaterol</t>
  </si>
  <si>
    <t xml:space="preserve">HMDB0015608</t>
  </si>
  <si>
    <t xml:space="preserve">85549</t>
  </si>
  <si>
    <t xml:space="preserve">68575</t>
  </si>
  <si>
    <t xml:space="preserve">6918554</t>
  </si>
  <si>
    <t xml:space="preserve">312753-06-3</t>
  </si>
  <si>
    <t xml:space="preserve">CCC1=C(CC)C=C2CC(CC2=C1)NC[C@H](O)C1=C2C=CC(=O)NC2=C(O)C=C1</t>
  </si>
  <si>
    <t xml:space="preserve">QZZUEBNBZAPZLX-QFIPXVFZSA-N</t>
  </si>
  <si>
    <t xml:space="preserve">570-2</t>
  </si>
  <si>
    <t xml:space="preserve">Ivacaftor</t>
  </si>
  <si>
    <t xml:space="preserve">HMDB0015705</t>
  </si>
  <si>
    <t xml:space="preserve">85596</t>
  </si>
  <si>
    <t xml:space="preserve">66901</t>
  </si>
  <si>
    <t xml:space="preserve">16220172</t>
  </si>
  <si>
    <t xml:space="preserve">873054-44-5</t>
  </si>
  <si>
    <t xml:space="preserve">CC(C)(C)C1=CC(=C(O)C=C1NC(=O)C1=CNC2=CC=CC=C2C1=O)C(C)(C)C</t>
  </si>
  <si>
    <t xml:space="preserve">PURKAOJPTOLRMP-UHFFFAOYSA-N</t>
  </si>
  <si>
    <t xml:space="preserve">571-1</t>
  </si>
  <si>
    <t xml:space="preserve">572-1</t>
  </si>
  <si>
    <t xml:space="preserve">Sulforaphane-N-acetylcysteine</t>
  </si>
  <si>
    <t xml:space="preserve">HMDB0061113</t>
  </si>
  <si>
    <t xml:space="preserve">983863</t>
  </si>
  <si>
    <t xml:space="preserve">45040443</t>
  </si>
  <si>
    <t xml:space="preserve">CC(=O)NC(CSC(=S)NCCCCS(C)=O)C(O)=O</t>
  </si>
  <si>
    <t xml:space="preserve">IIHBKTCHILXGOT-UHFFFAOYSA-N</t>
  </si>
  <si>
    <t xml:space="preserve">572-2</t>
  </si>
  <si>
    <t xml:space="preserve">Sulforaphane-N-acetyl-cysteine</t>
  </si>
  <si>
    <t xml:space="preserve">HMDB0240561</t>
  </si>
  <si>
    <t xml:space="preserve">71772353</t>
  </si>
  <si>
    <t xml:space="preserve">[H][C@@](CSC(S)=NCCCCS(C)=O)(N=C(C)O)C(O)=O</t>
  </si>
  <si>
    <t xml:space="preserve">IIHBKTCHILXGOT-KMYGYIBBSA-N</t>
  </si>
  <si>
    <t xml:space="preserve">572-3</t>
  </si>
  <si>
    <t xml:space="preserve">Thujan-3-ol</t>
  </si>
  <si>
    <t xml:space="preserve">HMDB0304742</t>
  </si>
  <si>
    <t xml:space="preserve">29987154</t>
  </si>
  <si>
    <t xml:space="preserve">CC(O)=N[C@H](CSC(S)=NCCCC[S@](C)=O)C(O)=O</t>
  </si>
  <si>
    <t xml:space="preserve">IIHBKTCHILXGOT-YBYGRFCBSA-N</t>
  </si>
  <si>
    <t xml:space="preserve">573-1</t>
  </si>
  <si>
    <t xml:space="preserve">574-1</t>
  </si>
  <si>
    <t xml:space="preserve">575-1</t>
  </si>
  <si>
    <t xml:space="preserve">Nitroxazepine</t>
  </si>
  <si>
    <t xml:space="preserve">HMDB0255668</t>
  </si>
  <si>
    <t xml:space="preserve">27857</t>
  </si>
  <si>
    <t xml:space="preserve">CN(C)CCCN1C2=CC=CC=C2OC2=C(C=C(C=C2)[N+]([O-])=O)C1=O</t>
  </si>
  <si>
    <t xml:space="preserve">CGYWLLGTCBIGSR-UHFFFAOYSA-N</t>
  </si>
  <si>
    <t xml:space="preserve">575-2</t>
  </si>
  <si>
    <t xml:space="preserve">ethyl 15-methoxy-12-oxo-2,4,11-triazatetracyclo[11.4.0.0^{2,6}.0^{7,11}]heptadeca-1(13),3,5,14,16-pentaene-5-carboxylate</t>
  </si>
  <si>
    <t xml:space="preserve">HMDB0252024</t>
  </si>
  <si>
    <t xml:space="preserve">91920</t>
  </si>
  <si>
    <t xml:space="preserve">4203080</t>
  </si>
  <si>
    <t xml:space="preserve">CCOC(=O)C1=C2C3CCCN3C(=O)C3=C(C=CC(OC)=C3)N2C=N1</t>
  </si>
  <si>
    <t xml:space="preserve">YKYOQIXTECBVBB-UHFFFAOYSA-N</t>
  </si>
  <si>
    <t xml:space="preserve">575-3</t>
  </si>
  <si>
    <t xml:space="preserve">N-[[(5S)-3-(4,6-Dihydropyrrolo[1,2-a][4,1]benzoxazepin-8-yl)-2-oxo-1,3-oxazolidin-5-yl]methyl]acetamide</t>
  </si>
  <si>
    <t xml:space="preserve">HMDB0260332</t>
  </si>
  <si>
    <t xml:space="preserve">CC(=O)NCC1CN(C(=O)O1)C1=CC2=C(C=C1)N1C=CC=C1COC2</t>
  </si>
  <si>
    <t xml:space="preserve">QXXKVYNZPDIMSW-UHFFFAOYSA-N</t>
  </si>
  <si>
    <t xml:space="preserve">Oxazolidines</t>
  </si>
  <si>
    <t xml:space="preserve">576-1</t>
  </si>
  <si>
    <t xml:space="preserve">577-1</t>
  </si>
  <si>
    <t xml:space="preserve">578-1</t>
  </si>
  <si>
    <t xml:space="preserve">579-1</t>
  </si>
  <si>
    <t xml:space="preserve">3-Methylthiofentanyl</t>
  </si>
  <si>
    <t xml:space="preserve">HMDB0061718</t>
  </si>
  <si>
    <t xml:space="preserve">53763</t>
  </si>
  <si>
    <t xml:space="preserve">62296</t>
  </si>
  <si>
    <t xml:space="preserve">CCC(=O)N(C1CCN(CCC2=CC=CS2)CC1C)C1=CC=CC=C1</t>
  </si>
  <si>
    <t xml:space="preserve">SRARDYUHGVMEQI-UHFFFAOYSA-N</t>
  </si>
  <si>
    <t xml:space="preserve">579-2</t>
  </si>
  <si>
    <t xml:space="preserve">(+)-2-(Benzothiophen-4-yl)-N-methyl-N-((1R,2R)-2-pyrrolidin-1-ylcyclohexyl)acetamide</t>
  </si>
  <si>
    <t xml:space="preserve">HMDB0242240</t>
  </si>
  <si>
    <t xml:space="preserve">10316246</t>
  </si>
  <si>
    <t xml:space="preserve">CN(C1CCCCC1N1CCCC1)C(=O)CC1=C2C=CSC2=CC=C1</t>
  </si>
  <si>
    <t xml:space="preserve">SYHJZCCNQDFHJQ-UHFFFAOYSA-N</t>
  </si>
  <si>
    <t xml:space="preserve">580-1</t>
  </si>
  <si>
    <t xml:space="preserve">4-(10,13-Dimethyl-2,3,4,5,6,7,8,9,11,12,14,17-dodecahydro-1H-cyclopenta[a]phenanthren-17-yl)oxolan-2-one</t>
  </si>
  <si>
    <t xml:space="preserve">HMDB0257932</t>
  </si>
  <si>
    <t xml:space="preserve">56977489</t>
  </si>
  <si>
    <t xml:space="preserve">CC12CCC3C(CCC4CCCCC34C)C1C=CC2C1COC(=O)C1</t>
  </si>
  <si>
    <t xml:space="preserve">PHLRMGUUVNOKNG-UHFFFAOYSA-N</t>
  </si>
  <si>
    <t xml:space="preserve">580-2</t>
  </si>
  <si>
    <t xml:space="preserve">Retinyl propionate</t>
  </si>
  <si>
    <t xml:space="preserve">HMDB0257180</t>
  </si>
  <si>
    <t xml:space="preserve">94336</t>
  </si>
  <si>
    <t xml:space="preserve">CCC(=O)OCC=C(C)C=CC=C(C)C=CC1=C(C)CCCC1(C)C</t>
  </si>
  <si>
    <t xml:space="preserve">SFRPDSKECHTFQA-UHFFFAOYSA-N</t>
  </si>
  <si>
    <t xml:space="preserve">580-3</t>
  </si>
  <si>
    <t xml:space="preserve">Cardenolide</t>
  </si>
  <si>
    <t xml:space="preserve">HMDB0249669</t>
  </si>
  <si>
    <t xml:space="preserve">22340795</t>
  </si>
  <si>
    <t xml:space="preserve">CC12CCC3C(CCC4CCCCC34C)C1CCC2C1=CC(=O)OC1</t>
  </si>
  <si>
    <t xml:space="preserve">JIUWTCXNUNHEGP-UHFFFAOYSA-N</t>
  </si>
  <si>
    <t xml:space="preserve">581-1</t>
  </si>
  <si>
    <t xml:space="preserve">582-1</t>
  </si>
  <si>
    <t xml:space="preserve">583-1</t>
  </si>
  <si>
    <t xml:space="preserve">584-1</t>
  </si>
  <si>
    <t xml:space="preserve">585-1</t>
  </si>
  <si>
    <t xml:space="preserve">586-1</t>
  </si>
  <si>
    <t xml:space="preserve">587-1</t>
  </si>
  <si>
    <t xml:space="preserve">588-1</t>
  </si>
  <si>
    <t xml:space="preserve">589-1</t>
  </si>
  <si>
    <t xml:space="preserve">590-1</t>
  </si>
  <si>
    <t xml:space="preserve">591-1</t>
  </si>
  <si>
    <t xml:space="preserve">2,7-Dichlorofluorescin</t>
  </si>
  <si>
    <t xml:space="preserve">HMDB0250892</t>
  </si>
  <si>
    <t xml:space="preserve">OC(=O)C1=CC=CC=C1C1C2=CC(Cl)=C(O)C=C2OC2=CC(O)=C(Cl)C=C12</t>
  </si>
  <si>
    <t xml:space="preserve">XDFNWJDGWJVGGN-UHFFFAOYSA-N</t>
  </si>
  <si>
    <t xml:space="preserve">591-2</t>
  </si>
  <si>
    <t xml:space="preserve">dichlorodihydrofluorescein</t>
  </si>
  <si>
    <t xml:space="preserve">HMDB0251190</t>
  </si>
  <si>
    <t xml:space="preserve">129650981</t>
  </si>
  <si>
    <t xml:space="preserve">OC1=CC2=C(C=C1)C1(OC(=O)C3=CC=CC=C13)C1=C(O2)C=C(O)C(Cl)C1Cl</t>
  </si>
  <si>
    <t xml:space="preserve">YAYLCTBKTQQVRP-UHFFFAOYSA-N</t>
  </si>
  <si>
    <t xml:space="preserve">591-3</t>
  </si>
  <si>
    <t xml:space="preserve">Dichlorofluorescin</t>
  </si>
  <si>
    <t xml:space="preserve">HMDB0251194</t>
  </si>
  <si>
    <t xml:space="preserve">129630296</t>
  </si>
  <si>
    <t xml:space="preserve">OC(=O)C1=CC=CC=C1C1C2=C(OC3=CC(O)=C(Cl)C(Cl)=C13)C=C(O)C=C2</t>
  </si>
  <si>
    <t xml:space="preserve">SWWKTFQCNFDMIM-UHFFFAOYSA-N</t>
  </si>
  <si>
    <t xml:space="preserve">592-1</t>
  </si>
  <si>
    <t xml:space="preserve">593-1</t>
  </si>
  <si>
    <t xml:space="preserve">594-1</t>
  </si>
  <si>
    <t xml:space="preserve">595-1</t>
  </si>
  <si>
    <t xml:space="preserve">596-1</t>
  </si>
  <si>
    <t xml:space="preserve">597-1</t>
  </si>
  <si>
    <t xml:space="preserve">598-1</t>
  </si>
  <si>
    <t xml:space="preserve">599-1</t>
  </si>
  <si>
    <t xml:space="preserve">600-1</t>
  </si>
  <si>
    <t xml:space="preserve">601-1</t>
  </si>
  <si>
    <t xml:space="preserve">602-1</t>
  </si>
  <si>
    <t xml:space="preserve">Fructose citrate</t>
  </si>
  <si>
    <t xml:space="preserve">HMDB0252489</t>
  </si>
  <si>
    <t xml:space="preserve">OCC1(O)OC23OC(=O)CC(O)(CC(=O)OC2(O)C(O)C1O)C(=O)O3</t>
  </si>
  <si>
    <t xml:space="preserve">UNRCWDYUIXYGGB-UHFFFAOYSA-N</t>
  </si>
  <si>
    <t xml:space="preserve">602-2</t>
  </si>
  <si>
    <t xml:space="preserve">Glucose citrate</t>
  </si>
  <si>
    <t xml:space="preserve">HMDB0252775</t>
  </si>
  <si>
    <t xml:space="preserve">OCC1OC2(O)OC(=O)CC3(O)CC(=O)OC(O)(C1O)C2(O)OC3=O</t>
  </si>
  <si>
    <t xml:space="preserve">DDUFRMAOKQZJSP-UHFFFAOYSA-N</t>
  </si>
  <si>
    <t xml:space="preserve">602-3</t>
  </si>
  <si>
    <t xml:space="preserve">2-(3,4-Dicarboxy-3-hydroxybutanoyl)oxypropane-1,2,3-tricarboxylic acid</t>
  </si>
  <si>
    <t xml:space="preserve">HMDB0257792</t>
  </si>
  <si>
    <t xml:space="preserve">17938267</t>
  </si>
  <si>
    <t xml:space="preserve">OC(=O)CC(O)(CC(=O)OC(CC(O)=O)(CC(O)=O)C(O)=O)C(O)=O</t>
  </si>
  <si>
    <t xml:space="preserve">XETDEOPIDAAQST-UHFFFAOYSA-N</t>
  </si>
  <si>
    <t xml:space="preserve">603-1</t>
  </si>
  <si>
    <t xml:space="preserve">604-1</t>
  </si>
  <si>
    <t xml:space="preserve">605-1</t>
  </si>
  <si>
    <t xml:space="preserve">606-1</t>
  </si>
  <si>
    <t xml:space="preserve">Medica 16</t>
  </si>
  <si>
    <t xml:space="preserve">HMDB0254402</t>
  </si>
  <si>
    <t xml:space="preserve">62960</t>
  </si>
  <si>
    <t xml:space="preserve">149582</t>
  </si>
  <si>
    <t xml:space="preserve">121871</t>
  </si>
  <si>
    <t xml:space="preserve">87272-20-6</t>
  </si>
  <si>
    <t xml:space="preserve">CC(C)(CCCCCCCCCCC(C)(C)CC(O)=O)CC(O)=O</t>
  </si>
  <si>
    <t xml:space="preserve">HYSMCRNFENOHJH-UHFFFAOYSA-N</t>
  </si>
  <si>
    <t xml:space="preserve">606-2</t>
  </si>
  <si>
    <t xml:space="preserve">Eicosanedioic acid</t>
  </si>
  <si>
    <t xml:space="preserve">HMDB0242141</t>
  </si>
  <si>
    <t xml:space="preserve">35987</t>
  </si>
  <si>
    <t xml:space="preserve">LMFA01170035</t>
  </si>
  <si>
    <t xml:space="preserve">73728</t>
  </si>
  <si>
    <t xml:space="preserve">75502</t>
  </si>
  <si>
    <t xml:space="preserve">C(CCCCCCCCCCCCCCCCCCC(=O)O)(=O)O</t>
  </si>
  <si>
    <t xml:space="preserve">JJOJFIHJIRWASH-UHFFFAOYSA-N</t>
  </si>
  <si>
    <t xml:space="preserve">606-3</t>
  </si>
  <si>
    <t xml:space="preserve">1,2-Ethanediol monoricinoleate</t>
  </si>
  <si>
    <t xml:space="preserve">HMDB0252073</t>
  </si>
  <si>
    <t xml:space="preserve">3084042</t>
  </si>
  <si>
    <t xml:space="preserve">CCCCCCC(O)CC=CCCCCCCCC(=O)OCCO</t>
  </si>
  <si>
    <t xml:space="preserve">XLMXUUQMSMKFMH-UHFFFAOYSA-N</t>
  </si>
  <si>
    <t xml:space="preserve">607-1</t>
  </si>
  <si>
    <t xml:space="preserve">608-1</t>
  </si>
  <si>
    <t xml:space="preserve">609-1</t>
  </si>
  <si>
    <t xml:space="preserve">3-(4-(2-Dimethylamino-1-methylethoxy)phenyl)-1H-pyrazolo(3,4-b)pyridine-1-acetic acid</t>
  </si>
  <si>
    <t xml:space="preserve">HMDB0244637</t>
  </si>
  <si>
    <t xml:space="preserve">126855</t>
  </si>
  <si>
    <t xml:space="preserve">CC(CN(C)C)OC1=CC=C(C=C1)C1=NN(CC(O)=O)C2=C1C=CC=N2</t>
  </si>
  <si>
    <t xml:space="preserve">DYLPVOLNSXUKPG-UHFFFAOYSA-N</t>
  </si>
  <si>
    <t xml:space="preserve">609-2</t>
  </si>
  <si>
    <t xml:space="preserve">Iclaprim</t>
  </si>
  <si>
    <t xml:space="preserve">HMDB0253366</t>
  </si>
  <si>
    <t xml:space="preserve">131751</t>
  </si>
  <si>
    <t xml:space="preserve">COC1=C(OC)C2=C(C=CC(O2)C2CC2)C(CC2=CN=C(N)N=C2N)=C1</t>
  </si>
  <si>
    <t xml:space="preserve">HWJPWWYTGBZDEG-UHFFFAOYSA-N</t>
  </si>
  <si>
    <t xml:space="preserve">610-1</t>
  </si>
  <si>
    <t xml:space="preserve">611-1</t>
  </si>
  <si>
    <t xml:space="preserve">(2S,4R,5S)-4,5,6-Trihydroxy-2-[hydroxy(phosphonooxy)phosphoryl]oxy-3-oxohexanoic acid</t>
  </si>
  <si>
    <t xml:space="preserve">HMDB0260134</t>
  </si>
  <si>
    <t xml:space="preserve">OCC(O)C(O)C(=O)C(OP(O)(=O)OP(O)(O)=O)C(O)=O</t>
  </si>
  <si>
    <t xml:space="preserve">MWKCAAZRJZZSMC-UHFFFAOYSA-N</t>
  </si>
  <si>
    <t xml:space="preserve">Organic oxoanionic compounds</t>
  </si>
  <si>
    <t xml:space="preserve">Organic pyrophosphates</t>
  </si>
  <si>
    <t xml:space="preserve">611-2</t>
  </si>
  <si>
    <t xml:space="preserve">Diphosphoglucuronic acid</t>
  </si>
  <si>
    <t xml:space="preserve">HMDB0251462</t>
  </si>
  <si>
    <t xml:space="preserve">OC(C(O)C(OP(O)(=O)OP(O)(O)=O)C=O)C(O)C(O)=O</t>
  </si>
  <si>
    <t xml:space="preserve">CHFARGCSMZFGRG-UHFFFAOYSA-N</t>
  </si>
  <si>
    <t xml:space="preserve">612-1</t>
  </si>
  <si>
    <t xml:space="preserve">613-1</t>
  </si>
  <si>
    <t xml:space="preserve">614-1</t>
  </si>
  <si>
    <t xml:space="preserve">2-(14,15-Epoxyeicosatrienoyl) Glycerol</t>
  </si>
  <si>
    <t xml:space="preserve">HMDB0013651</t>
  </si>
  <si>
    <t xml:space="preserve">44863</t>
  </si>
  <si>
    <t xml:space="preserve">132121</t>
  </si>
  <si>
    <t xml:space="preserve">53481916</t>
  </si>
  <si>
    <t xml:space="preserve">848667-56-1</t>
  </si>
  <si>
    <t xml:space="preserve">CCCCCC1OC1C\C=C/C\C=C/C\C=C/CCCC(=O)OC(CO)CO</t>
  </si>
  <si>
    <t xml:space="preserve">LPMVKZXODWQHGJ-ILYOTBPNSA-N</t>
  </si>
  <si>
    <t xml:space="preserve">614-2</t>
  </si>
  <si>
    <t xml:space="preserve">11-Hydroxyeicosatetraenoate glyceryl ester</t>
  </si>
  <si>
    <t xml:space="preserve">HMDB0012530</t>
  </si>
  <si>
    <t xml:space="preserve">85230</t>
  </si>
  <si>
    <t xml:space="preserve">171687</t>
  </si>
  <si>
    <t xml:space="preserve">53481455</t>
  </si>
  <si>
    <t xml:space="preserve">CCCCC\C=C/C=C/[C@@H](O)C\C=C/C\C=C/CCCC(=O)OC(CO)CO</t>
  </si>
  <si>
    <t xml:space="preserve">SSHLWLAPLZCWOT-XYOZOUKRSA-N</t>
  </si>
  <si>
    <t xml:space="preserve">Endocannabinoids</t>
  </si>
  <si>
    <t xml:space="preserve">615-1</t>
  </si>
  <si>
    <t xml:space="preserve">5-(3',4',5'-trihydroxyphenyl)-gamma-valerolactone-O-methyl-5'-O-glucuronide</t>
  </si>
  <si>
    <t xml:space="preserve">HMDB0060028</t>
  </si>
  <si>
    <t xml:space="preserve">89550</t>
  </si>
  <si>
    <t xml:space="preserve">124202099</t>
  </si>
  <si>
    <t xml:space="preserve">COC1=C(O)C(O[C@H]2O[C@H]([C@H](O)[C@@H](O)[C@@H]2O)C(O)=O)=CC(CC2CCC(=O)O2)=C1</t>
  </si>
  <si>
    <t xml:space="preserve">KPVLDYMZFUPBJG-VHXBZSDJSA-N</t>
  </si>
  <si>
    <t xml:space="preserve">615-2</t>
  </si>
  <si>
    <t xml:space="preserve">5-(3',4',5'-trihydroxyphenyl)-gamma-valerolactone-O-methyl-4'-O-glucuronide</t>
  </si>
  <si>
    <t xml:space="preserve">HMDB0060027</t>
  </si>
  <si>
    <t xml:space="preserve">89549</t>
  </si>
  <si>
    <t xml:space="preserve">124202098</t>
  </si>
  <si>
    <t xml:space="preserve">COC1=C(O[C@H]2O[C@H]([C@H](O)[C@@H](O)[C@@H]2O)C(O)=O)C(O)=CC(CC2CCC(=O)O2)=C1</t>
  </si>
  <si>
    <t xml:space="preserve">OQZAGOJJVQJMIE-ZTPQVCSDSA-N</t>
  </si>
  <si>
    <t xml:space="preserve">616-1</t>
  </si>
  <si>
    <t xml:space="preserve">(+)-cis-3-Methylfentanyl</t>
  </si>
  <si>
    <t xml:space="preserve">HMDB0243534</t>
  </si>
  <si>
    <t xml:space="preserve">61092</t>
  </si>
  <si>
    <t xml:space="preserve">61996</t>
  </si>
  <si>
    <t xml:space="preserve">CCC(=O)N(C1CCN(CCC2=CC=CC=C2)CC1C)C1=CC=CC=C1</t>
  </si>
  <si>
    <t xml:space="preserve">MLQRZXNZHAOCHQ-UHFFFAOYSA-N</t>
  </si>
  <si>
    <t xml:space="preserve">616-2</t>
  </si>
  <si>
    <t xml:space="preserve">Butanamide, N-phenyl-N-[1-(2-phenylethyl)-4-piperidinyl]-</t>
  </si>
  <si>
    <t xml:space="preserve">HMDB0244419</t>
  </si>
  <si>
    <t xml:space="preserve">621174</t>
  </si>
  <si>
    <t xml:space="preserve">CCCC(=O)N(C1CCN(CCC2=CC=CC=C2)CC1)C1=CC=CC=C1</t>
  </si>
  <si>
    <t xml:space="preserve">QQOMYEQLWQJRKK-UHFFFAOYSA-N</t>
  </si>
  <si>
    <t xml:space="preserve">616-3</t>
  </si>
  <si>
    <t xml:space="preserve">N-[(S)-[1-(Dimethylamino)cyclopentyl](phenyl)methyl]-2,6-dimethylbenzamide</t>
  </si>
  <si>
    <t xml:space="preserve">HMDB0252959</t>
  </si>
  <si>
    <t xml:space="preserve">11624468</t>
  </si>
  <si>
    <t xml:space="preserve">CN(C)C1(CCCC1)C(NC(=O)C1=C(C)C=CC=C1C)C1=CC=CC=C1</t>
  </si>
  <si>
    <t xml:space="preserve">BMXRRRIDMAIEKX-UHFFFAOYSA-N</t>
  </si>
  <si>
    <t xml:space="preserve">617-1</t>
  </si>
  <si>
    <t xml:space="preserve">3,4-Dimethyl-5-pentyl-2-furanundecanoic acid</t>
  </si>
  <si>
    <t xml:space="preserve">HMDB0031126</t>
  </si>
  <si>
    <t xml:space="preserve">45904</t>
  </si>
  <si>
    <t xml:space="preserve">LMFA01150002</t>
  </si>
  <si>
    <t xml:space="preserve">13963867</t>
  </si>
  <si>
    <t xml:space="preserve">57818-36-7</t>
  </si>
  <si>
    <t xml:space="preserve">C(O)(=O)CCCCCCCCCCC1OC(CCCCC)=C(C)C=1C</t>
  </si>
  <si>
    <t xml:space="preserve">MCTXSZNBSIMKTO-UHFFFAOYSA-N</t>
  </si>
  <si>
    <t xml:space="preserve">617-2</t>
  </si>
  <si>
    <t xml:space="preserve">3,4-Dimethyl-5-propyl-2-furantridecanoic acid</t>
  </si>
  <si>
    <t xml:space="preserve">HMDB0112078</t>
  </si>
  <si>
    <t xml:space="preserve">922615</t>
  </si>
  <si>
    <t xml:space="preserve">LMFA01150019</t>
  </si>
  <si>
    <t xml:space="preserve">71374382</t>
  </si>
  <si>
    <t xml:space="preserve">116627-43-1</t>
  </si>
  <si>
    <t xml:space="preserve">CCCC1=C(C)C(C)=C(CCCCCCCCCCCCC(=O)O)O1</t>
  </si>
  <si>
    <t xml:space="preserve">IGZNOKSSNQTWMY-UHFFFAOYSA-N</t>
  </si>
  <si>
    <t xml:space="preserve">618-1</t>
  </si>
  <si>
    <t xml:space="preserve">619-1</t>
  </si>
  <si>
    <t xml:space="preserve">Gibberellin A93</t>
  </si>
  <si>
    <t xml:space="preserve">HMDB0031366</t>
  </si>
  <si>
    <t xml:space="preserve">188895-39-8</t>
  </si>
  <si>
    <t xml:space="preserve">[H][C@@]12CC[C@]3(O)C[C@]1(CC3=C)[C@@H](C(O)=O)[C@]1([H])[C@@]3(C)[C@H]4O[C@H]4[C@@H](O)[C@@]21OC3=O</t>
  </si>
  <si>
    <t xml:space="preserve">GHWOQFZWXKNOMS-NRZJQWMRSA-N</t>
  </si>
  <si>
    <t xml:space="preserve">619-2</t>
  </si>
  <si>
    <t xml:space="preserve">Gibberellin A21</t>
  </si>
  <si>
    <t xml:space="preserve">HMDB0035050</t>
  </si>
  <si>
    <t xml:space="preserve">90405</t>
  </si>
  <si>
    <t xml:space="preserve">101603106</t>
  </si>
  <si>
    <t xml:space="preserve">18450-93-6</t>
  </si>
  <si>
    <t xml:space="preserve">[H][C@@]12CC[C@]3(O)C[C@]1(CC3=C)[C@@H](C(O)=O)[C@@]1([H])[C@@]22CCC[C@@]1(C(O)=O)C(=O)O2</t>
  </si>
  <si>
    <t xml:space="preserve">HILUWRPVFKJTAD-ZGHMGGRHSA-N</t>
  </si>
  <si>
    <t xml:space="preserve">619-3</t>
  </si>
  <si>
    <t xml:space="preserve">Diosbulbin C</t>
  </si>
  <si>
    <t xml:space="preserve">HMDB0036778</t>
  </si>
  <si>
    <t xml:space="preserve">91798</t>
  </si>
  <si>
    <t xml:space="preserve">15559045</t>
  </si>
  <si>
    <t xml:space="preserve">20086-07-1</t>
  </si>
  <si>
    <t xml:space="preserve">CC12CC(OC11CC(OC1=O)C1C(CC(O)CC21)C(O)=O)C1=COC=C1</t>
  </si>
  <si>
    <t xml:space="preserve">UYALWPKCIMKALF-UHFFFAOYSA-N</t>
  </si>
  <si>
    <t xml:space="preserve">620-1</t>
  </si>
  <si>
    <t xml:space="preserve">621-1</t>
  </si>
  <si>
    <t xml:space="preserve">Dihydrocortisol</t>
  </si>
  <si>
    <t xml:space="preserve">HMDB0003259</t>
  </si>
  <si>
    <t xml:space="preserve">3173</t>
  </si>
  <si>
    <t xml:space="preserve">LMST02030204</t>
  </si>
  <si>
    <t xml:space="preserve">C05471</t>
  </si>
  <si>
    <t xml:space="preserve">732</t>
  </si>
  <si>
    <t xml:space="preserve">164838</t>
  </si>
  <si>
    <t xml:space="preserve">1482-50-4</t>
  </si>
  <si>
    <t xml:space="preserve">[C@@]12([H])CC[C@]3([H])CC(=O)CC[C@]3(C)[C@@]1([H])[C@@H](O)C[C@]1(C)[C@@](O)(C(CO)=O)CC[C@@]21[H]</t>
  </si>
  <si>
    <t xml:space="preserve">ACSFOIGNUQUIGE-AIPUTVCKSA-N</t>
  </si>
  <si>
    <t xml:space="preserve">621-2</t>
  </si>
  <si>
    <t xml:space="preserve">11b,17a,21-Trihydroxypreg-nenolone</t>
  </si>
  <si>
    <t xml:space="preserve">HMDB0006760</t>
  </si>
  <si>
    <t xml:space="preserve">C05489</t>
  </si>
  <si>
    <t xml:space="preserve">440708</t>
  </si>
  <si>
    <t xml:space="preserve">CC12CC(O)C3C(CC=C4CC(O)CCC34C)C1CC[C@]2(O)C(=O)CO</t>
  </si>
  <si>
    <t xml:space="preserve">HAFVWTUQBYRPOB-QGGNSXJXSA-N</t>
  </si>
  <si>
    <t xml:space="preserve">621-3</t>
  </si>
  <si>
    <t xml:space="preserve">3a,11b,21-Trihydroxy-20-oxo-5b-pregnan-18-al</t>
  </si>
  <si>
    <t xml:space="preserve">HMDB0006753</t>
  </si>
  <si>
    <t xml:space="preserve">C05474</t>
  </si>
  <si>
    <t xml:space="preserve">440695</t>
  </si>
  <si>
    <t xml:space="preserve">CC12CC[C@@H](O)CC1CCC1C3CCC(C(=O)CO)C3(CC(O)C21)C=O</t>
  </si>
  <si>
    <t xml:space="preserve">YWTDWORQGPLRLL-NDCWLUSSSA-N</t>
  </si>
  <si>
    <t xml:space="preserve">622-1</t>
  </si>
  <si>
    <t xml:space="preserve">623-1</t>
  </si>
  <si>
    <t xml:space="preserve">624-1</t>
  </si>
  <si>
    <t xml:space="preserve">625-1</t>
  </si>
  <si>
    <t xml:space="preserve">(1S,2S,4R,8S)-p-Menthane-1,2,8,9-tetrol 2-glucoside</t>
  </si>
  <si>
    <t xml:space="preserve">HMDB0039975</t>
  </si>
  <si>
    <t xml:space="preserve">94516</t>
  </si>
  <si>
    <t xml:space="preserve">168093</t>
  </si>
  <si>
    <t xml:space="preserve">85309705</t>
  </si>
  <si>
    <t xml:space="preserve">402593-52-6</t>
  </si>
  <si>
    <t xml:space="preserve">CC(O)(CO)C1CCC(C)(O)C(C1)OC1OC(CO)C(O)C(O)C1O</t>
  </si>
  <si>
    <t xml:space="preserve">HKSOQIVAOUMKMF-UHFFFAOYSA-N</t>
  </si>
  <si>
    <t xml:space="preserve">625-2</t>
  </si>
  <si>
    <t xml:space="preserve">(1R*,2R*,4R*,8S*)-p-Menthane-1,2,8,9-tetrol 9-glucoside</t>
  </si>
  <si>
    <t xml:space="preserve">HMDB0039976</t>
  </si>
  <si>
    <t xml:space="preserve">94517</t>
  </si>
  <si>
    <t xml:space="preserve">168373</t>
  </si>
  <si>
    <t xml:space="preserve">85402711</t>
  </si>
  <si>
    <t xml:space="preserve">402593-84-4</t>
  </si>
  <si>
    <t xml:space="preserve">CC(O)(COC1OC(CO)C(O)C(O)C1O)C1CCC(C)(O)C(O)C1</t>
  </si>
  <si>
    <t xml:space="preserve">OUUOFMUQJUUKQQ-UHFFFAOYSA-N</t>
  </si>
  <si>
    <t xml:space="preserve">625-3</t>
  </si>
  <si>
    <t xml:space="preserve">(2R,6x)-7-Methyl-3-methylene-1,2,6,7-octanetetrol 2-glucoside</t>
  </si>
  <si>
    <t xml:space="preserve">HMDB0033216</t>
  </si>
  <si>
    <t xml:space="preserve">89083</t>
  </si>
  <si>
    <t xml:space="preserve">169257</t>
  </si>
  <si>
    <t xml:space="preserve">85242164</t>
  </si>
  <si>
    <t xml:space="preserve">219814-32-1</t>
  </si>
  <si>
    <t xml:space="preserve">CC(C)(O)C(O)CCC(=C)C(CO)OC1OC(CO)C(O)C(O)C1O</t>
  </si>
  <si>
    <t xml:space="preserve">YTJFEBUQZTULAC-UHFFFAOYSA-N</t>
  </si>
  <si>
    <t xml:space="preserve">626-1</t>
  </si>
  <si>
    <t xml:space="preserve">1-(2-((1-Carboxy-3-phenylpropyl)amino)-1-oxopropyl)octahydro-1H-indole-2-carboxylic acid</t>
  </si>
  <si>
    <t xml:space="preserve">HMDB0247506</t>
  </si>
  <si>
    <t xml:space="preserve">128549</t>
  </si>
  <si>
    <t xml:space="preserve">CC(NC(CCC1=CC=CC=C1)C(O)=O)C(=O)N1C2CCCCC2CC1C(O)=O</t>
  </si>
  <si>
    <t xml:space="preserve">AHYHTSYNOHNUSH-UHFFFAOYSA-N</t>
  </si>
  <si>
    <t xml:space="preserve">626-2</t>
  </si>
  <si>
    <t xml:space="preserve">Trandolaprilat</t>
  </si>
  <si>
    <t xml:space="preserve">HMDB0060583</t>
  </si>
  <si>
    <t xml:space="preserve">2888</t>
  </si>
  <si>
    <t xml:space="preserve">5464097</t>
  </si>
  <si>
    <t xml:space="preserve">87679-71-8</t>
  </si>
  <si>
    <t xml:space="preserve">C[C@H](N[C@@H](CCC1=CC=CC=C1)C(O)=O)C(=O)N1[C@H]2CCCC[C@@H]2C[C@H]1C(O)=O</t>
  </si>
  <si>
    <t xml:space="preserve">AHYHTSYNOHNUSH-HXFGRODQSA-N</t>
  </si>
  <si>
    <t xml:space="preserve">627-1</t>
  </si>
  <si>
    <t xml:space="preserve">628-1</t>
  </si>
  <si>
    <t xml:space="preserve">629-1</t>
  </si>
  <si>
    <t xml:space="preserve">630-1</t>
  </si>
  <si>
    <t xml:space="preserve">631-1</t>
  </si>
  <si>
    <t xml:space="preserve">Normammein</t>
  </si>
  <si>
    <t xml:space="preserve">HMDB0030784</t>
  </si>
  <si>
    <t xml:space="preserve">87194</t>
  </si>
  <si>
    <t xml:space="preserve">174797</t>
  </si>
  <si>
    <t xml:space="preserve">71438014</t>
  </si>
  <si>
    <t xml:space="preserve">5085-54-1</t>
  </si>
  <si>
    <t xml:space="preserve">CCCC(=O)C1=C(O)C(CC=C(C)C)=C(O)C2=C1OC(=O)C=C2CCC</t>
  </si>
  <si>
    <t xml:space="preserve">KXLBWJRELYDBOS-UHFFFAOYSA-N</t>
  </si>
  <si>
    <t xml:space="preserve">Hydroxycoumarins</t>
  </si>
  <si>
    <t xml:space="preserve">631-2</t>
  </si>
  <si>
    <t xml:space="preserve">Monascoflavin</t>
  </si>
  <si>
    <t xml:space="preserve">HMDB0030792</t>
  </si>
  <si>
    <t xml:space="preserve">131751082</t>
  </si>
  <si>
    <t xml:space="preserve">21516-68-7</t>
  </si>
  <si>
    <t xml:space="preserve">CCCCCC(=O)C1C2CC3=C(COC(\C=C/C)=C3)C(=O)C2(C)OC1=O</t>
  </si>
  <si>
    <t xml:space="preserve">XXKNHBAFFJINCK-YVMONPNESA-N</t>
  </si>
  <si>
    <t xml:space="preserve">632-1</t>
  </si>
  <si>
    <t xml:space="preserve">633-1</t>
  </si>
  <si>
    <t xml:space="preserve">634-1</t>
  </si>
  <si>
    <t xml:space="preserve">635-1</t>
  </si>
  <si>
    <t xml:space="preserve">636-1</t>
  </si>
  <si>
    <t xml:space="preserve">637-1</t>
  </si>
  <si>
    <t xml:space="preserve">638-1</t>
  </si>
  <si>
    <t xml:space="preserve">639-1</t>
  </si>
  <si>
    <t xml:space="preserve">Apo-10'-violaxanthal</t>
  </si>
  <si>
    <t xml:space="preserve">HMDB0039018</t>
  </si>
  <si>
    <t xml:space="preserve">93624</t>
  </si>
  <si>
    <t xml:space="preserve">131752515</t>
  </si>
  <si>
    <t xml:space="preserve">17237-68-2</t>
  </si>
  <si>
    <t xml:space="preserve">C\C(\C=C/C=O)=C\C=C\C=C(/C)\C=C\C=C(\C)/C=C/C12OC1(C)CC(O)CC2(C)C</t>
  </si>
  <si>
    <t xml:space="preserve">QZOYIQGWDBXSHB-AFMCRXATSA-N</t>
  </si>
  <si>
    <t xml:space="preserve">Sesterterpenoids</t>
  </si>
  <si>
    <t xml:space="preserve">639-2</t>
  </si>
  <si>
    <t xml:space="preserve">QUINGESTANOL ACETATE</t>
  </si>
  <si>
    <t xml:space="preserve">HMDB0257040</t>
  </si>
  <si>
    <t xml:space="preserve">22246747</t>
  </si>
  <si>
    <t xml:space="preserve">CC(=O)OC1(CCC2C3CC=C4C=C(CCC4C3CCC12C)OC1CCCC1)C#C</t>
  </si>
  <si>
    <t xml:space="preserve">FLGJKPPXEKYCBY-UHFFFAOYSA-N</t>
  </si>
  <si>
    <t xml:space="preserve">640-1</t>
  </si>
  <si>
    <t xml:space="preserve">641-1</t>
  </si>
  <si>
    <t xml:space="preserve">642-1</t>
  </si>
  <si>
    <t xml:space="preserve">643-1</t>
  </si>
  <si>
    <t xml:space="preserve">644-1</t>
  </si>
  <si>
    <t xml:space="preserve">645-1</t>
  </si>
  <si>
    <t xml:space="preserve">646-1</t>
  </si>
  <si>
    <t xml:space="preserve">647-1</t>
  </si>
  <si>
    <t xml:space="preserve">648-1</t>
  </si>
  <si>
    <t xml:space="preserve">649-1</t>
  </si>
  <si>
    <t xml:space="preserve">650-1</t>
  </si>
  <si>
    <t xml:space="preserve">651-1</t>
  </si>
  <si>
    <t xml:space="preserve">652-1</t>
  </si>
  <si>
    <t xml:space="preserve">653-1</t>
  </si>
  <si>
    <t xml:space="preserve">654-1</t>
  </si>
  <si>
    <t xml:space="preserve">Benzenepropanoic acid, beta-((2-carboxyethyl)thio)-2-(8-phenyloctyl)-, (betaS)-</t>
  </si>
  <si>
    <t xml:space="preserve">HMDB0259585</t>
  </si>
  <si>
    <t xml:space="preserve">9803418</t>
  </si>
  <si>
    <t xml:space="preserve">OC(=O)CCSC(CC(O)=O)C1=CC=CC=C1CCCCCCCCC1=CC=CC=C1</t>
  </si>
  <si>
    <t xml:space="preserve">QTZPRMCKSZATQD-UHFFFAOYSA-N</t>
  </si>
  <si>
    <t xml:space="preserve">654-2</t>
  </si>
  <si>
    <t xml:space="preserve">3-(2-Carboxyethylthio)-3-(2-(8-phenyloctyl)phenyl)propanoic acid</t>
  </si>
  <si>
    <t xml:space="preserve">HMDB0258325</t>
  </si>
  <si>
    <t xml:space="preserve">OC(=O)CCSC(CC(O)=O)C1=CC=CC(CCCCCCCCC2=CC=CC=C2)=C1</t>
  </si>
  <si>
    <t xml:space="preserve">IEOUXQMKLRALNJ-UHFFFAOYSA-N</t>
  </si>
  <si>
    <t xml:space="preserve">655-1</t>
  </si>
  <si>
    <t xml:space="preserve">656-1</t>
  </si>
  <si>
    <t xml:space="preserve">657-1</t>
  </si>
  <si>
    <t xml:space="preserve">2-nonenoylglycine</t>
  </si>
  <si>
    <t xml:space="preserve">HMDB0094807</t>
  </si>
  <si>
    <t xml:space="preserve">CCCCCCC=CC(=O)C(N)C(O)=O</t>
  </si>
  <si>
    <t xml:space="preserve">HQZQOJTXTXQLPE-UHFFFAOYSA-N</t>
  </si>
  <si>
    <t xml:space="preserve">657-2</t>
  </si>
  <si>
    <t xml:space="preserve">5-nonenoylglycine</t>
  </si>
  <si>
    <t xml:space="preserve">HMDB0094810</t>
  </si>
  <si>
    <t xml:space="preserve">CCCC=CCCCC(O)=NCC(O)=O</t>
  </si>
  <si>
    <t xml:space="preserve">VMRXSTXSNQJSGP-UHFFFAOYSA-N</t>
  </si>
  <si>
    <t xml:space="preserve">657-3</t>
  </si>
  <si>
    <t xml:space="preserve">6-nonenoylglycine</t>
  </si>
  <si>
    <t xml:space="preserve">HMDB0094811</t>
  </si>
  <si>
    <t xml:space="preserve">CCC=CCCCCC(O)=NCC(O)=O</t>
  </si>
  <si>
    <t xml:space="preserve">ZZHNFZRGSKLGFH-UHFFFAOYSA-N</t>
  </si>
  <si>
    <t xml:space="preserve">658-1</t>
  </si>
  <si>
    <t xml:space="preserve">659-1</t>
  </si>
  <si>
    <t xml:space="preserve">(5Z,8Z)-Pentadeca-5,8-dienoylcarnitine</t>
  </si>
  <si>
    <t xml:space="preserve">HMDB0241442</t>
  </si>
  <si>
    <t xml:space="preserve">CCCCCCC=CCC=CCCCC(=O)OC(CC([O-])=O)C[N+](C)(C)C</t>
  </si>
  <si>
    <t xml:space="preserve">RQDDHWXIBJUFNE-UHFFFAOYSA-N</t>
  </si>
  <si>
    <t xml:space="preserve">659-2</t>
  </si>
  <si>
    <t xml:space="preserve">Pentadeca-5,12-dienoylcarnitine</t>
  </si>
  <si>
    <t xml:space="preserve">HMDB0241443</t>
  </si>
  <si>
    <t xml:space="preserve">CCC=CCCCCCC=CCCCC(=O)OC(CC([O-])=O)C[N+](C)(C)C</t>
  </si>
  <si>
    <t xml:space="preserve">AUVOHJRGGUIKCH-UHFFFAOYSA-N</t>
  </si>
  <si>
    <t xml:space="preserve">659-3</t>
  </si>
  <si>
    <t xml:space="preserve">(10Z,12E)-Pentadeca-10,12-dienoylcarnitine</t>
  </si>
  <si>
    <t xml:space="preserve">HMDB0241444</t>
  </si>
  <si>
    <t xml:space="preserve">CCC=CC=CCCCCCCCCC(=O)OC(CC([O-])=O)C[N+](C)(C)C</t>
  </si>
  <si>
    <t xml:space="preserve">JNHUHASFPRVXRU-UHFFFAOYSA-N</t>
  </si>
  <si>
    <t xml:space="preserve">660-1</t>
  </si>
  <si>
    <t xml:space="preserve">661-1</t>
  </si>
  <si>
    <t xml:space="preserve">662-1</t>
  </si>
  <si>
    <t xml:space="preserve">663-1</t>
  </si>
  <si>
    <t xml:space="preserve">664-1</t>
  </si>
  <si>
    <t xml:space="preserve">665-1</t>
  </si>
  <si>
    <t xml:space="preserve">666-1</t>
  </si>
  <si>
    <t xml:space="preserve">667-1</t>
  </si>
  <si>
    <t xml:space="preserve">668-1</t>
  </si>
  <si>
    <t xml:space="preserve">669-1</t>
  </si>
  <si>
    <t xml:space="preserve">(2E,4E,6E,8E)-3,7-Dimethyl-9-(2-nonoxyphenyl)nona-2,4,6,8-tetraenoic acid</t>
  </si>
  <si>
    <t xml:space="preserve">HMDB0242652</t>
  </si>
  <si>
    <t xml:space="preserve">128186</t>
  </si>
  <si>
    <t xml:space="preserve">CCCCCCCCCOC1=CC=CC=C1C=CC(C)=CC=CC(C)=CC(O)=O</t>
  </si>
  <si>
    <t xml:space="preserve">YICSHLQWGQTKJL-UHFFFAOYSA-N</t>
  </si>
  <si>
    <t xml:space="preserve">669-2</t>
  </si>
  <si>
    <t xml:space="preserve">[(8R,9S,13S,14S,17S)-17-Hydroxy-13-methyl-6,7,8,9,11,12,14,15,16,17-decahydrocyclopenta[a]phenanthren-3-yl] 3-cyclopentylpropanoate</t>
  </si>
  <si>
    <t xml:space="preserve">HMDB0257965</t>
  </si>
  <si>
    <t xml:space="preserve">520519</t>
  </si>
  <si>
    <t xml:space="preserve">CC12CCC3C(CCC4=C3C=CC(OC(=O)CCC3CCCC3)=C4)C1CCC2O</t>
  </si>
  <si>
    <t xml:space="preserve">FKRVEVDSHLGWGC-UHFFFAOYSA-N</t>
  </si>
  <si>
    <t xml:space="preserve">669-3</t>
  </si>
  <si>
    <t xml:space="preserve">estradiol cypionate</t>
  </si>
  <si>
    <t xml:space="preserve">HMDB0251962</t>
  </si>
  <si>
    <t xml:space="preserve">3263</t>
  </si>
  <si>
    <t xml:space="preserve">CC12CCC3C(CCC4=CC(O)=CC=C34)C1CCC2OC(=O)CCC1CCCC1</t>
  </si>
  <si>
    <t xml:space="preserve">UOACKFBJUYNSLK-UHFFFAOYSA-N</t>
  </si>
  <si>
    <t xml:space="preserve">670-1</t>
  </si>
  <si>
    <t xml:space="preserve">671-1</t>
  </si>
  <si>
    <t xml:space="preserve">672-1</t>
  </si>
  <si>
    <t xml:space="preserve">7,8-Dihydro-3b,6a-dihydroxy-alpha-ionol 9-glucoside</t>
  </si>
  <si>
    <t xml:space="preserve">HMDB0041578</t>
  </si>
  <si>
    <t xml:space="preserve">95958</t>
  </si>
  <si>
    <t xml:space="preserve">175123</t>
  </si>
  <si>
    <t xml:space="preserve">85161713</t>
  </si>
  <si>
    <t xml:space="preserve">177261-75-5</t>
  </si>
  <si>
    <t xml:space="preserve">CC(CCC1(O)C(C)=CC(O)CC1(C)C)OC1OC(CO)C(O)C(O)C1O</t>
  </si>
  <si>
    <t xml:space="preserve">PKDTXFWHZWYNAH-UHFFFAOYSA-N</t>
  </si>
  <si>
    <t xml:space="preserve">672-2</t>
  </si>
  <si>
    <t xml:space="preserve">(3S,5R,6S,7E,9x)-7-Megastigmene-3,6,9-triol 9-glucoside</t>
  </si>
  <si>
    <t xml:space="preserve">HMDB0041176</t>
  </si>
  <si>
    <t xml:space="preserve">95598</t>
  </si>
  <si>
    <t xml:space="preserve">LMFA13010057</t>
  </si>
  <si>
    <t xml:space="preserve">16745401</t>
  </si>
  <si>
    <t xml:space="preserve">C1C(C(O)(/C=C/C(OC2OC(C(C(O)C2O)O)CO)C)C(C)CC1O)(C)C</t>
  </si>
  <si>
    <t xml:space="preserve">MRPDHXXPDCVBPQ-AATRIKPKSA-N</t>
  </si>
  <si>
    <t xml:space="preserve">673-1</t>
  </si>
  <si>
    <t xml:space="preserve">674-1</t>
  </si>
  <si>
    <t xml:space="preserve">675-1</t>
  </si>
  <si>
    <t xml:space="preserve">676-1</t>
  </si>
  <si>
    <t xml:space="preserve">677-1</t>
  </si>
  <si>
    <t xml:space="preserve">4-Hydroxytetradecanedioylcarnitine</t>
  </si>
  <si>
    <t xml:space="preserve">HMDB0241424</t>
  </si>
  <si>
    <t xml:space="preserve">C[N+](C)(C)CC(CC([O-])=O)OC(=O)CCC(O)CCCCCCCCCC(O)=O</t>
  </si>
  <si>
    <t xml:space="preserve">XKLKXCFRSRWAGG-UHFFFAOYSA-N</t>
  </si>
  <si>
    <t xml:space="preserve">677-2</t>
  </si>
  <si>
    <t xml:space="preserve">6-Hydroxytetradecanedioylcarnitine</t>
  </si>
  <si>
    <t xml:space="preserve">HMDB0241425</t>
  </si>
  <si>
    <t xml:space="preserve">C[N+](C)(C)CC(CC([O-])=O)OC(=O)CCCCC(O)CCCCCCCC(O)=O</t>
  </si>
  <si>
    <t xml:space="preserve">GAAAISBRTWYTJR-UHFFFAOYSA-N</t>
  </si>
  <si>
    <t xml:space="preserve">677-3</t>
  </si>
  <si>
    <t xml:space="preserve">7-Hydroxytetradecanedioylcarnitine</t>
  </si>
  <si>
    <t xml:space="preserve">HMDB0241426</t>
  </si>
  <si>
    <t xml:space="preserve">C[N+](C)(C)CC(CC([O-])=O)OC(=O)CCCCCC(O)CCCCCCC(O)=O</t>
  </si>
  <si>
    <t xml:space="preserve">UHMSNJXWQDGBSZ-UHFFFAOYSA-N</t>
  </si>
  <si>
    <t xml:space="preserve">678-1</t>
  </si>
  <si>
    <t xml:space="preserve">679-1</t>
  </si>
  <si>
    <t xml:space="preserve">680-1</t>
  </si>
  <si>
    <t xml:space="preserve">681-1</t>
  </si>
  <si>
    <t xml:space="preserve">682-1</t>
  </si>
  <si>
    <t xml:space="preserve">683-1</t>
  </si>
  <si>
    <t xml:space="preserve">Muzanzagenin</t>
  </si>
  <si>
    <t xml:space="preserve">HMDB0032601</t>
  </si>
  <si>
    <t xml:space="preserve">85284301</t>
  </si>
  <si>
    <t xml:space="preserve">197080-19-6</t>
  </si>
  <si>
    <t xml:space="preserve">CC1C2C(CC3C4=CCC5=CC(=O)C(O)CC5(C)C4CC(O)C23C)OC11CCC(C)CO1</t>
  </si>
  <si>
    <t xml:space="preserve">QRAOBCVRMVGMTN-UHFFFAOYSA-N</t>
  </si>
  <si>
    <t xml:space="preserve">683-2</t>
  </si>
  <si>
    <t xml:space="preserve">2,9-Bis(3-methyl-2E-pentenoyl)-2b,9a-dihydroxy-4Z,10(14)-oplopadien-3-one</t>
  </si>
  <si>
    <t xml:space="preserve">HMDB0034065</t>
  </si>
  <si>
    <t xml:space="preserve">89691</t>
  </si>
  <si>
    <t xml:space="preserve">175563</t>
  </si>
  <si>
    <t xml:space="preserve">131751520</t>
  </si>
  <si>
    <t xml:space="preserve">237407-03-3</t>
  </si>
  <si>
    <t xml:space="preserve">CC\C(C)=C/C(=O)OC1C2C(C(CC(OC(=O)\C=C(/C)CC)C2=C)C(C)C)\C(=C\C)C1=O</t>
  </si>
  <si>
    <t xml:space="preserve">JIHQHYGTRUPAHN-PISIAACCSA-N</t>
  </si>
  <si>
    <t xml:space="preserve">684-1</t>
  </si>
  <si>
    <t xml:space="preserve">4-Mercaptobutyl glucosinolate</t>
  </si>
  <si>
    <t xml:space="preserve">HMDB0039895</t>
  </si>
  <si>
    <t xml:space="preserve">94439</t>
  </si>
  <si>
    <t xml:space="preserve">131752747</t>
  </si>
  <si>
    <t xml:space="preserve">OCC1OC(S\C(CCCCS)=N\OS(O)(=O)=O)C(O)C(O)C1O</t>
  </si>
  <si>
    <t xml:space="preserve">KQCBSBJKABPMAT-KPKJPENVSA-N</t>
  </si>
  <si>
    <t xml:space="preserve">684-2</t>
  </si>
  <si>
    <t xml:space="preserve">Glucoibervirin</t>
  </si>
  <si>
    <t xml:space="preserve">HMDB0303666</t>
  </si>
  <si>
    <t xml:space="preserve">15560240</t>
  </si>
  <si>
    <t xml:space="preserve">CSCCC\C(SC1OC(CO)C(O)C(O)C1O)=N/OS(O)(=O)=O</t>
  </si>
  <si>
    <t xml:space="preserve">ZCZCVJVUJGULMO-KPKJPENVSA-N</t>
  </si>
  <si>
    <t xml:space="preserve">685-1</t>
  </si>
  <si>
    <t xml:space="preserve">686-1</t>
  </si>
  <si>
    <t xml:space="preserve">687-1</t>
  </si>
  <si>
    <t xml:space="preserve">688-1</t>
  </si>
  <si>
    <t xml:space="preserve">689-1</t>
  </si>
  <si>
    <t xml:space="preserve">690-1</t>
  </si>
  <si>
    <t xml:space="preserve">691-1</t>
  </si>
  <si>
    <t xml:space="preserve">692-1</t>
  </si>
  <si>
    <t xml:space="preserve">693-1</t>
  </si>
  <si>
    <t xml:space="preserve">694-1</t>
  </si>
  <si>
    <t xml:space="preserve">695-1</t>
  </si>
  <si>
    <t xml:space="preserve">Disuccinimido dithiobispropionate</t>
  </si>
  <si>
    <t xml:space="preserve">HMDB0246983</t>
  </si>
  <si>
    <t xml:space="preserve">93313</t>
  </si>
  <si>
    <t xml:space="preserve">O=C(CCSSCCC(=O)ON1C(=O)CCC1=O)ON1C(=O)CCC1=O</t>
  </si>
  <si>
    <t xml:space="preserve">FXYPGCIGRDZWNR-UHFFFAOYSA-N</t>
  </si>
  <si>
    <t xml:space="preserve">695-2</t>
  </si>
  <si>
    <t xml:space="preserve">Dithio bis(succinimidyl propionate)</t>
  </si>
  <si>
    <t xml:space="preserve">HMDB0257986</t>
  </si>
  <si>
    <t xml:space="preserve">87682079</t>
  </si>
  <si>
    <t xml:space="preserve">CC(N1C(=O)CCC1=O)C(=O)OSSOC(=O)C(C)N1C(=O)CCC1=O</t>
  </si>
  <si>
    <t xml:space="preserve">LACAPSIKXZYTNR-UHFFFAOYSA-N</t>
  </si>
  <si>
    <t xml:space="preserve">696-1</t>
  </si>
  <si>
    <t xml:space="preserve">4a-Formyl-5a-cholesta-8,24-dien-3b-ol</t>
  </si>
  <si>
    <t xml:space="preserve">HMDB0001203</t>
  </si>
  <si>
    <t xml:space="preserve">57665</t>
  </si>
  <si>
    <t xml:space="preserve">656456</t>
  </si>
  <si>
    <t xml:space="preserve">CC(CCC=C(C)C)C1CCC2C3=C(CCC12C)C1(C)CCC(O)C(C=O)C1CC3</t>
  </si>
  <si>
    <t xml:space="preserve">ZLQSSFNCEUGGJF-UHFFFAOYSA-N</t>
  </si>
  <si>
    <t xml:space="preserve">696-2</t>
  </si>
  <si>
    <t xml:space="preserve">25-Hydroxyvitamin D2</t>
  </si>
  <si>
    <t xml:space="preserve">HMDB0001438</t>
  </si>
  <si>
    <t xml:space="preserve">22833566</t>
  </si>
  <si>
    <t xml:space="preserve">21343-40-8</t>
  </si>
  <si>
    <t xml:space="preserve">C[C@H](\C=C\[C@H](C)C(O)(C)C)C1CC[C@@]2([H])\C(CCC[C@]12C)=C\C=C1\C[C@@H](O)CCC1=C</t>
  </si>
  <si>
    <t xml:space="preserve">KJKIIUAXZGLUND-BJWBXCNSSA-N</t>
  </si>
  <si>
    <t xml:space="preserve">696-3</t>
  </si>
  <si>
    <t xml:space="preserve">4α-formyl-5α-cholesta-8,24-dien-3β-ol</t>
  </si>
  <si>
    <t xml:space="preserve">HMDB0062389</t>
  </si>
  <si>
    <t xml:space="preserve">LMST01010226</t>
  </si>
  <si>
    <t xml:space="preserve">22298941</t>
  </si>
  <si>
    <t xml:space="preserve">C12CC[C@@]3([H])[C@H](C=O)[C@@H](O)CC[C@]3(C)C=1CC[C@]1(C)[C@@]([H])([C@@](C)([H])CC/C=C(\C)/C)CC[C@@]21[H]</t>
  </si>
  <si>
    <t xml:space="preserve">ZLQSSFNCEUGGJF-NUESBDPTSA-N</t>
  </si>
  <si>
    <t xml:space="preserve">697-1</t>
  </si>
  <si>
    <t xml:space="preserve">698-1</t>
  </si>
  <si>
    <t xml:space="preserve">699-1</t>
  </si>
  <si>
    <t xml:space="preserve">700-1</t>
  </si>
  <si>
    <t xml:space="preserve">701-1</t>
  </si>
  <si>
    <t xml:space="preserve">702-1</t>
  </si>
  <si>
    <t xml:space="preserve">(9S,10E,12S,13S)-9,12,13-Trihydroxyoctadec-10-enoylcarnitine</t>
  </si>
  <si>
    <t xml:space="preserve">HMDB0241532</t>
  </si>
  <si>
    <t xml:space="preserve">CCCCCC(O)C(O)C=CC(O)CCCCCCCC(=O)OC(CC([O-])=O)C[N+](C)(C)C</t>
  </si>
  <si>
    <t xml:space="preserve">JDXAKTPKOTZICL-UHFFFAOYSA-N</t>
  </si>
  <si>
    <t xml:space="preserve">702-2</t>
  </si>
  <si>
    <t xml:space="preserve">(9S,10R,11E,13S)-9,10,13-Trihydroxyoctadec-11-enoylcarnitine</t>
  </si>
  <si>
    <t xml:space="preserve">HMDB0241533</t>
  </si>
  <si>
    <t xml:space="preserve">CCCCCC(O)C=CC(O)C(O)CCCCCCCC(=O)OC(CC([O-])=O)C[N+](C)(C)C</t>
  </si>
  <si>
    <t xml:space="preserve">XLFQVLLFGOATCW-UHFFFAOYSA-N</t>
  </si>
  <si>
    <t xml:space="preserve">703-1</t>
  </si>
  <si>
    <t xml:space="preserve">704-1</t>
  </si>
  <si>
    <t xml:space="preserve">705-1</t>
  </si>
  <si>
    <t xml:space="preserve">4-Nitrobenzylthioinosine</t>
  </si>
  <si>
    <t xml:space="preserve">HMDB0255484</t>
  </si>
  <si>
    <t xml:space="preserve">5129</t>
  </si>
  <si>
    <t xml:space="preserve">OCC1OC(C(O)C1O)N1C=NC2=C1N=CN=C2SCC1=CC=C(C=C1)[N+]([O-])=O</t>
  </si>
  <si>
    <t xml:space="preserve">DYCJFJRCWPVDHY-UHFFFAOYSA-N</t>
  </si>
  <si>
    <t xml:space="preserve">705-2</t>
  </si>
  <si>
    <t xml:space="preserve">9-[(2R,3R,4S,5S)-3,4-Dihydroxy-5-[(4-nitrophenyl)methylsulfanylmethyl]oxolan-2-yl]-1H-purin-6-one</t>
  </si>
  <si>
    <t xml:space="preserve">HMDB0257940</t>
  </si>
  <si>
    <t xml:space="preserve">135829329</t>
  </si>
  <si>
    <t xml:space="preserve">OC1C(CSCC2=CC=C(C=C2)[N+]([O-])=O)OC(C1O)N1C=NC2=C1N=CNC2=O</t>
  </si>
  <si>
    <t xml:space="preserve">SUFGOXZGWHBELN-UHFFFAOYSA-N</t>
  </si>
  <si>
    <t xml:space="preserve">5'-deoxyribonucleosides</t>
  </si>
  <si>
    <t xml:space="preserve">5'-deoxy-5'-thionucleosides</t>
  </si>
  <si>
    <t xml:space="preserve">705-3</t>
  </si>
  <si>
    <t xml:space="preserve">Nitrobenzyl-6-thioinosine</t>
  </si>
  <si>
    <t xml:space="preserve">HMDB0255642</t>
  </si>
  <si>
    <t xml:space="preserve">OCC1OC(CC2=CC=CC=C2)(N2C=NC3=C2NC=NC3=S)C(O)(C1O)[N+]([O-])=O</t>
  </si>
  <si>
    <t xml:space="preserve">YRDGIFPBFBQFND-UHFFFAOYSA-N</t>
  </si>
  <si>
    <t xml:space="preserve">706-1</t>
  </si>
  <si>
    <t xml:space="preserve">707-1</t>
  </si>
  <si>
    <t xml:space="preserve">2,4-Undecadiene-8,10-diynoic acid isobutylamide</t>
  </si>
  <si>
    <t xml:space="preserve">HMDB0039106</t>
  </si>
  <si>
    <t xml:space="preserve">93707</t>
  </si>
  <si>
    <t xml:space="preserve">LMFA08020164</t>
  </si>
  <si>
    <t xml:space="preserve">15609884</t>
  </si>
  <si>
    <t xml:space="preserve">13891-74-2</t>
  </si>
  <si>
    <t xml:space="preserve">C(/C=C/C=C\CCC#CC#C)(=O)NCC(C)C</t>
  </si>
  <si>
    <t xml:space="preserve">PSAKYIJFKFCZFO-XAZJVICWSA-N</t>
  </si>
  <si>
    <t xml:space="preserve">707-2</t>
  </si>
  <si>
    <t xml:space="preserve">Neopellitorine A</t>
  </si>
  <si>
    <t xml:space="preserve">HMDB0037770</t>
  </si>
  <si>
    <t xml:space="preserve">92585</t>
  </si>
  <si>
    <t xml:space="preserve">LMFA08020192</t>
  </si>
  <si>
    <t xml:space="preserve">636555</t>
  </si>
  <si>
    <t xml:space="preserve">CC#CC#CC/C=C/C=C/C(NCC(C)C)=O</t>
  </si>
  <si>
    <t xml:space="preserve">LFYBJVLJNNOYNG-HULFFUFUSA-N</t>
  </si>
  <si>
    <t xml:space="preserve">708-1</t>
  </si>
  <si>
    <t xml:space="preserve">(3beta,5alpha,9alpha,22E,24R)-3,5,9-Trihydroxy-23-methylergosta-7,22-dien-6-one</t>
  </si>
  <si>
    <t xml:space="preserve">HMDB0032669</t>
  </si>
  <si>
    <t xml:space="preserve">88610</t>
  </si>
  <si>
    <t xml:space="preserve">131751277</t>
  </si>
  <si>
    <t xml:space="preserve">211486-12-3</t>
  </si>
  <si>
    <t xml:space="preserve">CC(C)C(C)C(\C)=C\C(C)C1CCC2C3=CC(=O)C4(O)CC(O)CCC4(C)C3(O)CCC12C</t>
  </si>
  <si>
    <t xml:space="preserve">MRERMGPPCLQIPD-NBVRZTHBSA-N</t>
  </si>
  <si>
    <t xml:space="preserve">Ergostane steroids</t>
  </si>
  <si>
    <t xml:space="preserve">708-2</t>
  </si>
  <si>
    <t xml:space="preserve">2-(Methoxycarbonyl)-5-methyl-2,4-bis(3-methyl-2-butenyl)-6-(2-methyl-1-oxopropyl)-5-(4-methyl-3-pentenyl)cyclohexanone</t>
  </si>
  <si>
    <t xml:space="preserve">HMDB0035995</t>
  </si>
  <si>
    <t xml:space="preserve">91178</t>
  </si>
  <si>
    <t xml:space="preserve">175646</t>
  </si>
  <si>
    <t xml:space="preserve">73106016</t>
  </si>
  <si>
    <t xml:space="preserve">COC(=O)C1(CC=C(C)C)CC(CC=C(C)C)C(C)(CCC=C(C)C)C(C(=O)C(C)C)C1=O</t>
  </si>
  <si>
    <t xml:space="preserve">QVUJYADKXQKJHK-UHFFFAOYSA-N</t>
  </si>
  <si>
    <t xml:space="preserve">708-3</t>
  </si>
  <si>
    <t xml:space="preserve">(3beta,17alpha,23S)-17,23-Epoxy-3,29-dihydroxy-27-norlanost-8-en-24-one</t>
  </si>
  <si>
    <t xml:space="preserve">HMDB0035142</t>
  </si>
  <si>
    <t xml:space="preserve">90478</t>
  </si>
  <si>
    <t xml:space="preserve">73816064</t>
  </si>
  <si>
    <t xml:space="preserve">CCC(=O)C1CC(C)C2(CCC3(C)C4=C(CCC23C)C2(C)CCC(O)C(C)(CO)C2CC4)O1</t>
  </si>
  <si>
    <t xml:space="preserve">WKRCCXBCFBIWPN-UHFFFAOYSA-N</t>
  </si>
  <si>
    <t xml:space="preserve">709-1</t>
  </si>
  <si>
    <t xml:space="preserve">710-1</t>
  </si>
  <si>
    <t xml:space="preserve">Kuwanon E</t>
  </si>
  <si>
    <t xml:space="preserve">HMDB0030862</t>
  </si>
  <si>
    <t xml:space="preserve">LMPK12140462</t>
  </si>
  <si>
    <t xml:space="preserve">10342292</t>
  </si>
  <si>
    <t xml:space="preserve">68401-05-8</t>
  </si>
  <si>
    <t xml:space="preserve">C1(O)=CC2OC(C3C(O)=CC(O)=C(C/C=C(\C)/CC/C=C(\C)/C)C=3)CC(=O)C=2C(O)=C1</t>
  </si>
  <si>
    <t xml:space="preserve">GJFHZVPRFLHEBR-VIZOYTHASA-N</t>
  </si>
  <si>
    <t xml:space="preserve">710-2</t>
  </si>
  <si>
    <t xml:space="preserve">Dulxanthone C</t>
  </si>
  <si>
    <t xml:space="preserve">HMDB0031917</t>
  </si>
  <si>
    <t xml:space="preserve">88033</t>
  </si>
  <si>
    <t xml:space="preserve">175405</t>
  </si>
  <si>
    <t xml:space="preserve">10670015</t>
  </si>
  <si>
    <t xml:space="preserve">4178-45-4</t>
  </si>
  <si>
    <t xml:space="preserve">COC1=C(O)C2=C(C(CC=C(C)C)=C1)C(=O)C1=C(O2)C(CC=C(C)C)=C(OC)C=C1O</t>
  </si>
  <si>
    <t xml:space="preserve">ZAAAUPCCIDWPPI-UHFFFAOYSA-N</t>
  </si>
  <si>
    <t xml:space="preserve">710-3</t>
  </si>
  <si>
    <t xml:space="preserve">(±)-2',4',5,7-Tetrahydroxy-3',8-diprenylisoflavanone</t>
  </si>
  <si>
    <t xml:space="preserve">HMDB0031743</t>
  </si>
  <si>
    <t xml:space="preserve">47994</t>
  </si>
  <si>
    <t xml:space="preserve">LMPK12050490</t>
  </si>
  <si>
    <t xml:space="preserve">480785</t>
  </si>
  <si>
    <t xml:space="preserve">C1(O)C=C(O)C2C(=O)C(C3=C(O)C(C/C=C(/C)\C)=C(O)C=C3)COC=2C=1C/C=C(/C)\C</t>
  </si>
  <si>
    <t xml:space="preserve">FSHPJPOJLGCQOJ-UHFFFAOYSA-N</t>
  </si>
  <si>
    <t xml:space="preserve">711-1</t>
  </si>
  <si>
    <t xml:space="preserve">(20‐{[1‐Carboxylato‐3‐(trimethylammonio)propan‐2‐ yl]oxy}‐20‐oxoicosa‐6,8,12,15‐tetraen‐10‐yl)peroxy</t>
  </si>
  <si>
    <t xml:space="preserve">HMDB0241799</t>
  </si>
  <si>
    <t xml:space="preserve">CCCCCC=CC=CC(CC=CCC=CCCCC(=O)OC(CC([O-])=O)C[N+](C)(C)C)O[O]</t>
  </si>
  <si>
    <t xml:space="preserve">CDZOZCSKYWZOQW-UHFFFAOYSA-N</t>
  </si>
  <si>
    <t xml:space="preserve">711-2</t>
  </si>
  <si>
    <t xml:space="preserve">(1‐{[1‐carboxylato‐3‐(trimethylammonio)propan‐2‐ yl]oxy}‐1‐oxoicosa‐5,7,11,14‐tetraen‐9‐yl)peroxy</t>
  </si>
  <si>
    <t xml:space="preserve">HMDB0241798</t>
  </si>
  <si>
    <t xml:space="preserve">CCCCCC=CCC=CCC(O[O])C=CC=CCCCC(=O)OC(CC([O-])=O)C[N+](C)(C)C</t>
  </si>
  <si>
    <t xml:space="preserve">NFTCUVFQCWRBLU-UHFFFAOYSA-N</t>
  </si>
  <si>
    <t xml:space="preserve">712-1</t>
  </si>
  <si>
    <t xml:space="preserve">713-1</t>
  </si>
  <si>
    <t xml:space="preserve">714-1</t>
  </si>
  <si>
    <t xml:space="preserve">4alpha-Formyl-4beta-methyl-5alpha-cholesta-8,24-dien-3beta-ol</t>
  </si>
  <si>
    <t xml:space="preserve">HMDB0012167</t>
  </si>
  <si>
    <t xml:space="preserve">25200700</t>
  </si>
  <si>
    <t xml:space="preserve">CC(CCC=C(C)C)C1CCC2C3=C(CC[C@]12C)[C@@]1(C)CC[C@H](O)[C@@](C)(C=O)C1CC3</t>
  </si>
  <si>
    <t xml:space="preserve">GFGANDKVOKQAGH-AEWFMJFUSA-N</t>
  </si>
  <si>
    <t xml:space="preserve">714-2</t>
  </si>
  <si>
    <t xml:space="preserve">7-Oxostigmasterol</t>
  </si>
  <si>
    <t xml:space="preserve">HMDB0030015</t>
  </si>
  <si>
    <t xml:space="preserve">131750943</t>
  </si>
  <si>
    <t xml:space="preserve">36449-99-7</t>
  </si>
  <si>
    <t xml:space="preserve">CCC(\C=C/C(C)C1CCC2C3C(CCC12C)C1(C)CCC(O)CC1=CC3=O)C(C)C</t>
  </si>
  <si>
    <t xml:space="preserve">UKMCCFHULJHJNS-HJWRWDBZSA-N</t>
  </si>
  <si>
    <t xml:space="preserve">Stigmastanes and derivatives</t>
  </si>
  <si>
    <t xml:space="preserve">714-3</t>
  </si>
  <si>
    <t xml:space="preserve">4α-formyl-4β-methyl-5α-cholesta-8,24-dien-3β-ol</t>
  </si>
  <si>
    <t xml:space="preserve">HMDB0062387</t>
  </si>
  <si>
    <t xml:space="preserve">LMST01010229</t>
  </si>
  <si>
    <t xml:space="preserve">87287</t>
  </si>
  <si>
    <t xml:space="preserve">22298937</t>
  </si>
  <si>
    <t xml:space="preserve">C12CC[C@@]3([H])[C@](C)(C=O)[C@@H](O)CC[C@]3(C)C=1CC[C@]1(C)[C@@]([H])([C@@](C)([H])CC/C=C(\C)/C)CC[C@@]21[H]</t>
  </si>
  <si>
    <t xml:space="preserve">GFGANDKVOKQAGH-WKYRUEGDSA-N</t>
  </si>
  <si>
    <t xml:space="preserve">715-1</t>
  </si>
  <si>
    <t xml:space="preserve">716-1</t>
  </si>
  <si>
    <t xml:space="preserve">717-1</t>
  </si>
  <si>
    <t xml:space="preserve">718-1</t>
  </si>
  <si>
    <t xml:space="preserve">719-1</t>
  </si>
  <si>
    <t xml:space="preserve">Liquoric acid</t>
  </si>
  <si>
    <t xml:space="preserve">HMDB0034512</t>
  </si>
  <si>
    <t xml:space="preserve">89984</t>
  </si>
  <si>
    <t xml:space="preserve">131751571</t>
  </si>
  <si>
    <t xml:space="preserve">[H][C@@]12C[C@](C)([C@H]3C[C@]1(C)[C@@H](C[C@]1(C)C2=CC(=O)C2[C@@]4(C)CC[C@H](O)C(C)(C)C4CC[C@@]12C)O3)C(O)=O</t>
  </si>
  <si>
    <t xml:space="preserve">NGWKGSCSHDHHAJ-YPFQVHCOSA-N</t>
  </si>
  <si>
    <t xml:space="preserve">719-2</t>
  </si>
  <si>
    <t xml:space="preserve">24-Hydroxyglabrolide</t>
  </si>
  <si>
    <t xml:space="preserve">HMDB0035256</t>
  </si>
  <si>
    <t xml:space="preserve">90564</t>
  </si>
  <si>
    <t xml:space="preserve">131751691</t>
  </si>
  <si>
    <t xml:space="preserve">98063-18-4</t>
  </si>
  <si>
    <t xml:space="preserve">CC12CC(OC1=O)C1(C)CCC3(C)C(=CC(=O)C4C5(C)CCC(O)C(C)(CO)C5CCC34C)C1C2</t>
  </si>
  <si>
    <t xml:space="preserve">NZAZEJAWWUVNNZ-UHFFFAOYSA-N</t>
  </si>
  <si>
    <t xml:space="preserve">719-3</t>
  </si>
  <si>
    <t xml:space="preserve">Ganolucidic acid E</t>
  </si>
  <si>
    <t xml:space="preserve">HMDB0037607</t>
  </si>
  <si>
    <t xml:space="preserve">131752214</t>
  </si>
  <si>
    <t xml:space="preserve">114567-50-9</t>
  </si>
  <si>
    <t xml:space="preserve">CC(CC\C=C(\C)C(O)=O)C1CC(O)C2(C)C3=C(C(=O)CC12C)C1(C)CCC(=O)C(C)(C)C1CC3</t>
  </si>
  <si>
    <t xml:space="preserve">XRBLVCACUHPHDE-ZDLGFXPLSA-N</t>
  </si>
  <si>
    <t xml:space="preserve">720-1</t>
  </si>
  <si>
    <t xml:space="preserve">721-1</t>
  </si>
  <si>
    <t xml:space="preserve">722-1</t>
  </si>
  <si>
    <t xml:space="preserve">Homocholic acid</t>
  </si>
  <si>
    <t xml:space="preserve">HMDB0253203</t>
  </si>
  <si>
    <t xml:space="preserve">13990077</t>
  </si>
  <si>
    <t xml:space="preserve">CC(CCCC(O)=O)C1CCC2C3C(O)CC4CC(O)CCC4(C)C3CC(O)C12C</t>
  </si>
  <si>
    <t xml:space="preserve">XOUBHVKCXRSUEN-UHFFFAOYSA-N</t>
  </si>
  <si>
    <t xml:space="preserve">722-2</t>
  </si>
  <si>
    <t xml:space="preserve">7-Methyl-cholic acid</t>
  </si>
  <si>
    <t xml:space="preserve">HMDB0244296</t>
  </si>
  <si>
    <t xml:space="preserve">13799243</t>
  </si>
  <si>
    <t xml:space="preserve">CC(CCC(O)=O)C1CCC2C3C(CC(O)C12C)C1(C)CCC(O)CC1CC3(C)O</t>
  </si>
  <si>
    <t xml:space="preserve">YSLVYCWXAPPBIQ-UHFFFAOYSA-N</t>
  </si>
  <si>
    <t xml:space="preserve">723-1</t>
  </si>
  <si>
    <t xml:space="preserve">724-1</t>
  </si>
  <si>
    <t xml:space="preserve">Fukinolic acid</t>
  </si>
  <si>
    <t xml:space="preserve">HMDB0029499</t>
  </si>
  <si>
    <t xml:space="preserve">22482507</t>
  </si>
  <si>
    <t xml:space="preserve">50982-40-6</t>
  </si>
  <si>
    <t xml:space="preserve">OC(=O)C(OC(=O)\C=C\C1=CC(O)=C(O)C=C1)C(O)(CC1=CC(O)=C(O)C=C1)C(O)=O</t>
  </si>
  <si>
    <t xml:space="preserve">ACYXDIZTQDLTCB-ZZXKWVIFSA-N</t>
  </si>
  <si>
    <t xml:space="preserve">724-2</t>
  </si>
  <si>
    <t xml:space="preserve">Avicularin</t>
  </si>
  <si>
    <t xml:space="preserve">HMDB0030860</t>
  </si>
  <si>
    <t xml:space="preserve">12308704</t>
  </si>
  <si>
    <t xml:space="preserve">572-30-5</t>
  </si>
  <si>
    <t xml:space="preserve">OCC1OC(OC2=C(OC3=CC(O)=CC(O)=C3C2=O)C2=CC(O)=C(O)C=C2)C(O)C1O</t>
  </si>
  <si>
    <t xml:space="preserve">BDCDNTVZSILEOY-UHFFFAOYSA-N</t>
  </si>
  <si>
    <t xml:space="preserve">724-3</t>
  </si>
  <si>
    <t xml:space="preserve">Quercetin 3-arabinoside</t>
  </si>
  <si>
    <t xml:space="preserve">HMDB0033795</t>
  </si>
  <si>
    <t xml:space="preserve">89537</t>
  </si>
  <si>
    <t xml:space="preserve">167916</t>
  </si>
  <si>
    <t xml:space="preserve">10252339</t>
  </si>
  <si>
    <t xml:space="preserve">22255-13-6</t>
  </si>
  <si>
    <t xml:space="preserve">OC[C@@H]1O[C@H](OC2=C(OC3=C(C(O)=CC(O)=C3)C2=O)C2=CC=C(O)C(O)=C2)[C@H](O)[C@H]1O</t>
  </si>
  <si>
    <t xml:space="preserve">BDCDNTVZSILEOY-BQCJVYABSA-N</t>
  </si>
  <si>
    <t xml:space="preserve">725-1</t>
  </si>
  <si>
    <t xml:space="preserve">726-1</t>
  </si>
  <si>
    <t xml:space="preserve">727-1</t>
  </si>
  <si>
    <t xml:space="preserve">728-1</t>
  </si>
  <si>
    <t xml:space="preserve">729-1</t>
  </si>
  <si>
    <t xml:space="preserve">730-1</t>
  </si>
  <si>
    <t xml:space="preserve">731-1</t>
  </si>
  <si>
    <t xml:space="preserve">732-1</t>
  </si>
  <si>
    <t xml:space="preserve">733-1</t>
  </si>
  <si>
    <t xml:space="preserve">734-1</t>
  </si>
  <si>
    <t xml:space="preserve">735-1</t>
  </si>
  <si>
    <t xml:space="preserve">736-1</t>
  </si>
  <si>
    <t xml:space="preserve">4a-Carboxy-4b-methyl-5a-cholesta-8,24-dien-3b-ol</t>
  </si>
  <si>
    <t xml:space="preserve">HMDB0001181</t>
  </si>
  <si>
    <t xml:space="preserve">6062</t>
  </si>
  <si>
    <t xml:space="preserve">C15808</t>
  </si>
  <si>
    <t xml:space="preserve">23724596</t>
  </si>
  <si>
    <t xml:space="preserve">C[C@H](CCC=C(C)C)C1CCC2C3=C(CC[C@]12C)[C@@]1(C)CC[C@H](O)[C@](C)([C@@H]1CC3)C(O)=O</t>
  </si>
  <si>
    <t xml:space="preserve">MYWAIWDQTCHPTH-YCIQJMEESA-N</t>
  </si>
  <si>
    <t xml:space="preserve">736-2</t>
  </si>
  <si>
    <t xml:space="preserve">4a-Methylzymosterol-4-carboxylic acid</t>
  </si>
  <si>
    <t xml:space="preserve">HMDB0006927</t>
  </si>
  <si>
    <t xml:space="preserve">C06050</t>
  </si>
  <si>
    <t xml:space="preserve">28038</t>
  </si>
  <si>
    <t xml:space="preserve">440898</t>
  </si>
  <si>
    <t xml:space="preserve">C[C@@H](CCC=C(C)C)C1CCC2C3=C(CC[C@]12C)[C@@]1(C)CC[C@H](O)[C@](C)(C1CC3)C(O)=O</t>
  </si>
  <si>
    <t xml:space="preserve">MYWAIWDQTCHPTH-IUGQOUSLSA-N</t>
  </si>
  <si>
    <t xml:space="preserve">737-1</t>
  </si>
  <si>
    <t xml:space="preserve">738-1</t>
  </si>
  <si>
    <t xml:space="preserve">739-1</t>
  </si>
  <si>
    <t xml:space="preserve">740-1</t>
  </si>
  <si>
    <t xml:space="preserve">Ganoderic acid beta</t>
  </si>
  <si>
    <t xml:space="preserve">HMDB0033234</t>
  </si>
  <si>
    <t xml:space="preserve">131751396</t>
  </si>
  <si>
    <t xml:space="preserve">217476-76-1</t>
  </si>
  <si>
    <t xml:space="preserve">CC(CC\C=C(/C)C(O)=O)C1CC(=O)C2(C)C3=C(C(=O)CC12C)C1(C)CCC(O)C(C)(C)C1CC3O</t>
  </si>
  <si>
    <t xml:space="preserve">NJZMSAAKSXZIEC-LICLKQGHSA-N</t>
  </si>
  <si>
    <t xml:space="preserve">740-2</t>
  </si>
  <si>
    <t xml:space="preserve">Physalolactone B</t>
  </si>
  <si>
    <t xml:space="preserve">HMDB0034200</t>
  </si>
  <si>
    <t xml:space="preserve">89772</t>
  </si>
  <si>
    <t xml:space="preserve">53462649</t>
  </si>
  <si>
    <t xml:space="preserve">78916-78-6</t>
  </si>
  <si>
    <t xml:space="preserve">CC(=O)OC1CC(O)CC2=CCC3C4CCC(C(C)(O)C5CC(C)=C(C)C(=O)O5)C4(C)CCC3C12C</t>
  </si>
  <si>
    <t xml:space="preserve">ANGCIHCSPJLGME-UHFFFAOYSA-N</t>
  </si>
  <si>
    <t xml:space="preserve">740-3</t>
  </si>
  <si>
    <t xml:space="preserve">Ganolucidic acid D</t>
  </si>
  <si>
    <t xml:space="preserve">HMDB0035299</t>
  </si>
  <si>
    <t xml:space="preserve">975367</t>
  </si>
  <si>
    <t xml:space="preserve">3589471</t>
  </si>
  <si>
    <t xml:space="preserve">102607-22-7</t>
  </si>
  <si>
    <t xml:space="preserve">CC(CC(O)\C=C(/C)C(O)=O)C1CC(O)C2(C)C3=C(C(=O)CC12C)C1(C)CCC(=O)C(C)(C)C1CC3</t>
  </si>
  <si>
    <t xml:space="preserve">AUAXRALNWSHMRJ-GHRIWEEISA-N</t>
  </si>
  <si>
    <t xml:space="preserve">741-1</t>
  </si>
  <si>
    <t xml:space="preserve">742-1</t>
  </si>
  <si>
    <t xml:space="preserve">743-1</t>
  </si>
  <si>
    <t xml:space="preserve">744-1</t>
  </si>
  <si>
    <t xml:space="preserve">745-1</t>
  </si>
  <si>
    <t xml:space="preserve">746-1</t>
  </si>
  <si>
    <t xml:space="preserve">5b-Cholestane-3a,7a,12a,25,26-pentol</t>
  </si>
  <si>
    <t xml:space="preserve">HMDB0002180</t>
  </si>
  <si>
    <t xml:space="preserve">84764</t>
  </si>
  <si>
    <t xml:space="preserve">LMST04030016</t>
  </si>
  <si>
    <t xml:space="preserve">5284194</t>
  </si>
  <si>
    <t xml:space="preserve">6127-75-9</t>
  </si>
  <si>
    <t xml:space="preserve">C1[C@]2(C)[C@@]3([H])C[C@H](O)[C@]4(C)[C@@]([H])([C@]([H])(C)CCCC(O)(C)CO)CC[C@@]4([H])[C@]3([H])[C@H](O)C[C@]2([H])C[C@H](O)C1</t>
  </si>
  <si>
    <t xml:space="preserve">XZDHXPDYLPEFQI-FIMPYCPFSA-N</t>
  </si>
  <si>
    <t xml:space="preserve">746-2</t>
  </si>
  <si>
    <t xml:space="preserve">5beta-cholestane-3alpha,7alpha,12alpha,23,25-pentol</t>
  </si>
  <si>
    <t xml:space="preserve">HMDB0062421</t>
  </si>
  <si>
    <t xml:space="preserve">84784</t>
  </si>
  <si>
    <t xml:space="preserve">LMST04030038</t>
  </si>
  <si>
    <t xml:space="preserve">5284212</t>
  </si>
  <si>
    <t xml:space="preserve">C1[C@]2(C)[C@@]3([H])C[C@H](O)[C@]4(C)[C@@]([H])([C@]([H])(C)CC(O)CC(O)(C)C)CC[C@@]4([H])[C@]3([H])[C@H](O)C[C@]2([H])C[C@H](O)C1</t>
  </si>
  <si>
    <t xml:space="preserve">OXSBBBPDYVCAKC-JZXYSUIZSA-N</t>
  </si>
  <si>
    <t xml:space="preserve">746-3</t>
  </si>
  <si>
    <t xml:space="preserve">5b-Cholestane-3a,7a,12a,23S,25-pentol</t>
  </si>
  <si>
    <t xml:space="preserve">HMDB0000483</t>
  </si>
  <si>
    <t xml:space="preserve">5470</t>
  </si>
  <si>
    <t xml:space="preserve">53477695</t>
  </si>
  <si>
    <t xml:space="preserve">59906-15-9</t>
  </si>
  <si>
    <t xml:space="preserve">[H]C1CC([C@@H](C)C[C@H](O)CC(C)(C)O)[C@]2(C)C1[C@]1([H])[C@H](O)C[C@]3([H])C[C@H](O)CC[C@]3(C)[C@@]1([H])C[C@@H]2O</t>
  </si>
  <si>
    <t xml:space="preserve">OXSBBBPDYVCAKC-CTSLUMRNSA-N</t>
  </si>
  <si>
    <t xml:space="preserve">747-1</t>
  </si>
  <si>
    <t xml:space="preserve">748-1</t>
  </si>
  <si>
    <t xml:space="preserve">749-1</t>
  </si>
  <si>
    <t xml:space="preserve">750-1</t>
  </si>
  <si>
    <t xml:space="preserve">751-1</t>
  </si>
  <si>
    <t xml:space="preserve">beta-Elemonic acid</t>
  </si>
  <si>
    <t xml:space="preserve">HMDB0034963</t>
  </si>
  <si>
    <t xml:space="preserve">90334</t>
  </si>
  <si>
    <t xml:space="preserve">C16927</t>
  </si>
  <si>
    <t xml:space="preserve">3083613</t>
  </si>
  <si>
    <t xml:space="preserve">28282-25-9</t>
  </si>
  <si>
    <t xml:space="preserve">CC(C)=CCCC(C1CCC2(C)C3=C(CCC12C)C1(C)CCC(=O)C(C)(C)C1CC3)C(O)=O</t>
  </si>
  <si>
    <t xml:space="preserve">XLPAINGDLCDYQV-UHFFFAOYSA-N</t>
  </si>
  <si>
    <t xml:space="preserve">751-2</t>
  </si>
  <si>
    <t xml:space="preserve">Ganoderiol F</t>
  </si>
  <si>
    <t xml:space="preserve">HMDB0038707</t>
  </si>
  <si>
    <t xml:space="preserve">C09840</t>
  </si>
  <si>
    <t xml:space="preserve">3440</t>
  </si>
  <si>
    <t xml:space="preserve">10364</t>
  </si>
  <si>
    <t xml:space="preserve">114567-47-4</t>
  </si>
  <si>
    <t xml:space="preserve">CC(CCC=C(CO)CO)C1CCC2(C)C3=CCC4C(C)(C)C(=O)CCC4(C)C3=CCC12C</t>
  </si>
  <si>
    <t xml:space="preserve">JVGJXXNUVVQEIG-UHFFFAOYSA-N</t>
  </si>
  <si>
    <t xml:space="preserve">752-1</t>
  </si>
  <si>
    <t xml:space="preserve">753-1</t>
  </si>
  <si>
    <t xml:space="preserve">754-1</t>
  </si>
  <si>
    <t xml:space="preserve">Betulinic acid</t>
  </si>
  <si>
    <t xml:space="preserve">HMDB0030094</t>
  </si>
  <si>
    <t xml:space="preserve">44088</t>
  </si>
  <si>
    <t xml:space="preserve">LMPR0106140004</t>
  </si>
  <si>
    <t xml:space="preserve">C08619</t>
  </si>
  <si>
    <t xml:space="preserve">3087</t>
  </si>
  <si>
    <t xml:space="preserve">64971</t>
  </si>
  <si>
    <t xml:space="preserve">472-15-1</t>
  </si>
  <si>
    <t xml:space="preserve">C1[C@@]2(C)[C@@]([H])(CC[C@]3(C)[C@]2([H])CC[C@@]2([C@@]4([C@](CC[C@@]32C)(C(O)=O)CC[C@H]4C(C)=C)[H])[H])C(C)(C)[C@@H](O)C1</t>
  </si>
  <si>
    <t xml:space="preserve">QGJZLNKBHJESQX-FZFNOLFKSA-N</t>
  </si>
  <si>
    <t xml:space="preserve">754-2</t>
  </si>
  <si>
    <t xml:space="preserve">Oleanolic acid</t>
  </si>
  <si>
    <t xml:space="preserve">HMDB0002364</t>
  </si>
  <si>
    <t xml:space="preserve">43767</t>
  </si>
  <si>
    <t xml:space="preserve">LMPR0106150004</t>
  </si>
  <si>
    <t xml:space="preserve">C17148</t>
  </si>
  <si>
    <t xml:space="preserve">37659</t>
  </si>
  <si>
    <t xml:space="preserve">10494</t>
  </si>
  <si>
    <t xml:space="preserve">508-02-1</t>
  </si>
  <si>
    <t xml:space="preserve">[C@@]12([C@]3(C)CC[C@]4(C(=O)O)[C@@]([H])(CC(C)(C)CC4)C3=CC[C@]1([H])[C@]1(C)[C@]([H])(C(C)(C)[C@@H](O)CC1)CC2)C</t>
  </si>
  <si>
    <t xml:space="preserve">MIJYXULNPSFWEK-GTOFXWBISA-N</t>
  </si>
  <si>
    <t xml:space="preserve">754-3</t>
  </si>
  <si>
    <t xml:space="preserve">Ursolic acid</t>
  </si>
  <si>
    <t xml:space="preserve">HMDB0002395</t>
  </si>
  <si>
    <t xml:space="preserve">53789</t>
  </si>
  <si>
    <t xml:space="preserve">LMPR0106180007</t>
  </si>
  <si>
    <t xml:space="preserve">C08988</t>
  </si>
  <si>
    <t xml:space="preserve">9908</t>
  </si>
  <si>
    <t xml:space="preserve">64945</t>
  </si>
  <si>
    <t xml:space="preserve">77-52-1</t>
  </si>
  <si>
    <t xml:space="preserve">C1[C@@]2(C)[C@@]([H])(CC[C@]3(C)[C@]2([H])CC=C2[C@@]3(C)CC[C@]3(C(=O)O)[C@@]2([H])[C@@H](C)[C@H](C)CC3)C(C)(C)[C@@H](O)C1</t>
  </si>
  <si>
    <t xml:space="preserve">WCGUUGGRBIKTOS-GPOJBZKASA-N</t>
  </si>
  <si>
    <t xml:space="preserve">755-1</t>
  </si>
  <si>
    <t xml:space="preserve">756-1</t>
  </si>
  <si>
    <t xml:space="preserve">757-1</t>
  </si>
  <si>
    <t xml:space="preserve">758-1</t>
  </si>
  <si>
    <t xml:space="preserve">759-1</t>
  </si>
  <si>
    <t xml:space="preserve">760-1</t>
  </si>
  <si>
    <t xml:space="preserve">761-1</t>
  </si>
  <si>
    <t xml:space="preserve">762-1</t>
  </si>
  <si>
    <t xml:space="preserve">Kentsin</t>
  </si>
  <si>
    <t xml:space="preserve">HMDB0005776</t>
  </si>
  <si>
    <t xml:space="preserve">58311</t>
  </si>
  <si>
    <t xml:space="preserve">171541</t>
  </si>
  <si>
    <t xml:space="preserve">56767-30-7</t>
  </si>
  <si>
    <t xml:space="preserve">C[C@@H](O)[C@H](N)C(=O)N1CCC[C@H]1C(=O)N[C@@H](CCCNC(N)=N)C(=O)N[C@@H](CCCCN)C(O)=O</t>
  </si>
  <si>
    <t xml:space="preserve">OTAMFXXAGYBAQL-YXMSTPNBSA-N</t>
  </si>
  <si>
    <t xml:space="preserve">762-2</t>
  </si>
  <si>
    <t xml:space="preserve">Tuftsin</t>
  </si>
  <si>
    <t xml:space="preserve">HMDB0005770</t>
  </si>
  <si>
    <t xml:space="preserve">88947</t>
  </si>
  <si>
    <t xml:space="preserve">53477795</t>
  </si>
  <si>
    <t xml:space="preserve">112592-90-2</t>
  </si>
  <si>
    <t xml:space="preserve">C[C@@H](O)[C@H](N)C(=O)NC(CCCCN)C(=O)N1CCC[C@H]1C(=O)N[C@@H](CCCNC(N)=N)C(O)=O</t>
  </si>
  <si>
    <t xml:space="preserve">IESDGNYHXIOKRW-NNFXCFJSSA-N</t>
  </si>
  <si>
    <t xml:space="preserve">763-1</t>
  </si>
  <si>
    <t xml:space="preserve">764-1</t>
  </si>
  <si>
    <t xml:space="preserve">765-1</t>
  </si>
  <si>
    <t xml:space="preserve">766-1</t>
  </si>
  <si>
    <t xml:space="preserve">3-alpha-Androstanediol glucuronide</t>
  </si>
  <si>
    <t xml:space="preserve">HMDB0010339</t>
  </si>
  <si>
    <t xml:space="preserve">32645</t>
  </si>
  <si>
    <t xml:space="preserve">24883428</t>
  </si>
  <si>
    <t xml:space="preserve">[H][C@@]12CC[C@H](O)[C@@]1(C)CC[C@@]1([H])[C@@]2([H])CC[C@@]2([H])C[C@@H](CC[C@]12C)O[C@H]1OC([C@@H](O)C(O)[C@H]1O)C(O)=O</t>
  </si>
  <si>
    <t xml:space="preserve">GYNWSIBKBBWJJW-YMRFBRODSA-N</t>
  </si>
  <si>
    <t xml:space="preserve">766-2</t>
  </si>
  <si>
    <t xml:space="preserve">17-Hydroxyandrostane-3-glucuronide</t>
  </si>
  <si>
    <t xml:space="preserve">HMDB0010359</t>
  </si>
  <si>
    <t xml:space="preserve">88730</t>
  </si>
  <si>
    <t xml:space="preserve">53480454</t>
  </si>
  <si>
    <t xml:space="preserve">65535-18-4</t>
  </si>
  <si>
    <t xml:space="preserve">[H][C@@]12CC[C@H](O)[C@@]1(C)CC[C@@]1([H])[C@@]2([H])CC[C@@]2([H])C[C@@H](CC[C@]12C)O[C@@H]1O[C@H]([C@@H](O)[C@@H](O)[C@H]1O)C(O)=O</t>
  </si>
  <si>
    <t xml:space="preserve">GYNWSIBKBBWJJW-JRTXBCKMSA-N</t>
  </si>
  <si>
    <t xml:space="preserve">766-3</t>
  </si>
  <si>
    <t xml:space="preserve">3,17-Androstanediol glucuronide</t>
  </si>
  <si>
    <t xml:space="preserve">HMDB0010321</t>
  </si>
  <si>
    <t xml:space="preserve">57955</t>
  </si>
  <si>
    <t xml:space="preserve">131281</t>
  </si>
  <si>
    <t xml:space="preserve">[H][C@@]12CC[C@H](O)[C@@]1(C)CC[C@@]1([H])[C@@]2([H])CC[C@@]2([H])C[C@@H](CC[C@]12C)OC(=O)[C@H]1O[C@@H](O)[C@H](O)[C@@H](O)[C@@H]1O</t>
  </si>
  <si>
    <t xml:space="preserve">TWDCYBTXSUNASK-WGGIPMEBSA-N</t>
  </si>
  <si>
    <t xml:space="preserve">767-1</t>
  </si>
  <si>
    <t xml:space="preserve">768-1</t>
  </si>
  <si>
    <t xml:space="preserve">769-1</t>
  </si>
  <si>
    <t xml:space="preserve">770-1</t>
  </si>
  <si>
    <t xml:space="preserve">Ponasterone A</t>
  </si>
  <si>
    <t xml:space="preserve">HMDB0256697</t>
  </si>
  <si>
    <t xml:space="preserve">4482619</t>
  </si>
  <si>
    <t xml:space="preserve">CC(C)CCC(O)C(C)(O)C1CCC2(O)C3=CC(=O)C4CC(O)C(O)CC4(C)C3CCC12C</t>
  </si>
  <si>
    <t xml:space="preserve">PJYYBCXMCWDUAZ-UHFFFAOYSA-N</t>
  </si>
  <si>
    <t xml:space="preserve">770-2</t>
  </si>
  <si>
    <t xml:space="preserve">Ecdysone</t>
  </si>
  <si>
    <t xml:space="preserve">HMDB0251684</t>
  </si>
  <si>
    <t xml:space="preserve">4233007</t>
  </si>
  <si>
    <t xml:space="preserve">CC(C(O)CCC(C)(C)O)C1CCC2(O)C3=CC(=O)C4CC(O)C(O)CC4(C)C3CCC12C</t>
  </si>
  <si>
    <t xml:space="preserve">UPEZCKBFRMILAV-UHFFFAOYSA-N</t>
  </si>
  <si>
    <t xml:space="preserve">771-1</t>
  </si>
  <si>
    <t xml:space="preserve">772-1</t>
  </si>
  <si>
    <t xml:space="preserve">773-1</t>
  </si>
  <si>
    <t xml:space="preserve">774-1</t>
  </si>
  <si>
    <t xml:space="preserve">775-1</t>
  </si>
  <si>
    <t xml:space="preserve">(7E,10E,13E,16E)-3-Hydroxydocosa-7,10,13,16-tetraenoylcarnitine</t>
  </si>
  <si>
    <t xml:space="preserve">HMDB0241607</t>
  </si>
  <si>
    <t xml:space="preserve">CCCCCC=CCC=CCC=CCC=CCCCC(O)CC(=O)OC(CC([O-])=O)C[N+](C)(C)C</t>
  </si>
  <si>
    <t xml:space="preserve">VNDDHCLZKGIEPZ-UHFFFAOYSA-N</t>
  </si>
  <si>
    <t xml:space="preserve">775-2</t>
  </si>
  <si>
    <t xml:space="preserve">(10E)-11-(3,4-Dimethyl-5-pentylfuran-2-yl)undec-10-enoylcarnitine</t>
  </si>
  <si>
    <t xml:space="preserve">HMDB0241829</t>
  </si>
  <si>
    <t xml:space="preserve">CCCCCC1=C(C)C(C)=C(O1)C=CCCCCCCCCC(=O)OC(CC([O-])=O)C[N+](C)(C)C</t>
  </si>
  <si>
    <t xml:space="preserve">SOOWSWAUNDRVKV-UHFFFAOYSA-N</t>
  </si>
  <si>
    <t xml:space="preserve">775-3</t>
  </si>
  <si>
    <t xml:space="preserve">11-{3,4-Dimethyl-5-[(1E)-pent-1-en-1-yl]furan-2-yl}undecanoylcarnitine</t>
  </si>
  <si>
    <t xml:space="preserve">HMDB0241833</t>
  </si>
  <si>
    <t xml:space="preserve">CCCC=CC1=C(C)C(C)=C(CCCCCCCCCCC(=O)OC(CC([O-])=O)C[N+](C)(C)C)O1</t>
  </si>
  <si>
    <t xml:space="preserve">ZOKGJZKYKVENGW-UHFFFAOYSA-N</t>
  </si>
  <si>
    <t xml:space="preserve">776-1</t>
  </si>
  <si>
    <t xml:space="preserve">777-1</t>
  </si>
  <si>
    <t xml:space="preserve">(5Z,8Z,10E,12S,14Z)-12-Hydroperoxyicosa-5,8,10,14-tetraenoylcarnitine</t>
  </si>
  <si>
    <t xml:space="preserve">HMDB0241589</t>
  </si>
  <si>
    <t xml:space="preserve">CCCCCC=CCC(OO)C=CC=CCC=CCCCC(=O)OC(CC([O-])=O)C[N+](C)(C)C</t>
  </si>
  <si>
    <t xml:space="preserve">DECGZETWJDCGMI-UHFFFAOYSA-N</t>
  </si>
  <si>
    <t xml:space="preserve">777-2</t>
  </si>
  <si>
    <t xml:space="preserve">(5Z)-7-[(1R,2E)-2-[(3S)-3-hydroxyoctylidene]-3-oxocyclopentyl]hept-5-enoylcarnitine</t>
  </si>
  <si>
    <t xml:space="preserve">HMDB0241800</t>
  </si>
  <si>
    <t xml:space="preserve">CCCCCC(O)CC=C1C(CC=CCCCC(=O)OC(CC([O-])=O)C[N+](C)(C)C)CCC1=O</t>
  </si>
  <si>
    <t xml:space="preserve">XPMPGBFECDYGKF-UHFFFAOYSA-N</t>
  </si>
  <si>
    <t xml:space="preserve">777-3</t>
  </si>
  <si>
    <t xml:space="preserve">7-[(1R)-2-[(1E,3S)-3-Hydroxyoct-1-en-1-yl]-5-oxocyclopent-2-en-1-yl]heptanoylcarnitine</t>
  </si>
  <si>
    <t xml:space="preserve">HMDB0241801</t>
  </si>
  <si>
    <t xml:space="preserve">CCCCCC(O)C=CC1=CCC(=O)C1CCCCCCC(=O)OC(CC([O-])=O)C[N+](C)(C)C</t>
  </si>
  <si>
    <t xml:space="preserve">MJRXFXIIAMDZPZ-UHFFFAOYSA-N</t>
  </si>
  <si>
    <t xml:space="preserve">778-1</t>
  </si>
  <si>
    <t xml:space="preserve">Perulactone</t>
  </si>
  <si>
    <t xml:space="preserve">HMDB0034392</t>
  </si>
  <si>
    <t xml:space="preserve">89899</t>
  </si>
  <si>
    <t xml:space="preserve">433638</t>
  </si>
  <si>
    <t xml:space="preserve">76994-38-2</t>
  </si>
  <si>
    <t xml:space="preserve">CC1C(CC(O)C(C)(O)C2CCC3C4CC=C5CC(O)CC(OC(C)=O)C5(C)C4CCC23C)COC1=O</t>
  </si>
  <si>
    <t xml:space="preserve">ODRFODNLKCBNIK-UHFFFAOYSA-N</t>
  </si>
  <si>
    <t xml:space="preserve">778-2</t>
  </si>
  <si>
    <t xml:space="preserve">Ganoderic acid C2</t>
  </si>
  <si>
    <t xml:space="preserve">HMDB0035304</t>
  </si>
  <si>
    <t xml:space="preserve">131752094</t>
  </si>
  <si>
    <t xml:space="preserve">98296-48-1</t>
  </si>
  <si>
    <t xml:space="preserve">CC(CC(=O)CC(C)C(O)=O)C1CC(O)C2(C)C3=C(C(=O)CC12C)C1(C)CCC(O)C(C)(C)C1CC3O</t>
  </si>
  <si>
    <t xml:space="preserve">RERVSJVGWKIGTJ-UHFFFAOYSA-N</t>
  </si>
  <si>
    <t xml:space="preserve">778-3</t>
  </si>
  <si>
    <t xml:space="preserve">Corosin</t>
  </si>
  <si>
    <t xml:space="preserve">HMDB0035699</t>
  </si>
  <si>
    <t xml:space="preserve">90959</t>
  </si>
  <si>
    <t xml:space="preserve">286498</t>
  </si>
  <si>
    <t xml:space="preserve">53527-49-4</t>
  </si>
  <si>
    <t xml:space="preserve">CC1CCC2(CCC3(C)C(=CCC4C5(C)CC(O)C(O)C(C)(C5CCC34C)C(O)=O)C2C1(C)O)C(O)=O</t>
  </si>
  <si>
    <t xml:space="preserve">FYGSMJAMPMZYFS-UHFFFAOYSA-N</t>
  </si>
  <si>
    <t xml:space="preserve">779-1</t>
  </si>
  <si>
    <t xml:space="preserve">780-1</t>
  </si>
  <si>
    <t xml:space="preserve">781-1</t>
  </si>
  <si>
    <t xml:space="preserve">782-1</t>
  </si>
  <si>
    <t xml:space="preserve">783-1</t>
  </si>
  <si>
    <t xml:space="preserve">784-1</t>
  </si>
  <si>
    <t xml:space="preserve">785-1</t>
  </si>
  <si>
    <t xml:space="preserve">Kukoamine A</t>
  </si>
  <si>
    <t xml:space="preserve">HMDB0030392</t>
  </si>
  <si>
    <t xml:space="preserve">71818</t>
  </si>
  <si>
    <t xml:space="preserve">C17615</t>
  </si>
  <si>
    <t xml:space="preserve">227037</t>
  </si>
  <si>
    <t xml:space="preserve">5318865</t>
  </si>
  <si>
    <t xml:space="preserve">75288-96-9</t>
  </si>
  <si>
    <t xml:space="preserve">O\C(CCC1=CC(O)=C(O)C=C1)=N/CCCNCCCCNCCC\N=C(/O)CCC1=CC(O)=C(O)C=C1</t>
  </si>
  <si>
    <t xml:space="preserve">IOLDDENZPBFBHV-UHFFFAOYSA-N</t>
  </si>
  <si>
    <t xml:space="preserve">Benzenediols</t>
  </si>
  <si>
    <t xml:space="preserve">785-2</t>
  </si>
  <si>
    <t xml:space="preserve">Kukoamine B</t>
  </si>
  <si>
    <t xml:space="preserve">HMDB0060525</t>
  </si>
  <si>
    <t xml:space="preserve">71819</t>
  </si>
  <si>
    <t xml:space="preserve">C17616</t>
  </si>
  <si>
    <t xml:space="preserve">81221</t>
  </si>
  <si>
    <t xml:space="preserve">10346914</t>
  </si>
  <si>
    <t xml:space="preserve">NCCCN(CCCCNCCCNC(=O)CCC1=CC=C(O)C(O)=C1)C(=O)CCC1=CC(O)=C(O)C=C1</t>
  </si>
  <si>
    <t xml:space="preserve">IWRAOCFRRTWUDF-UHFFFAOYSA-N</t>
  </si>
  <si>
    <t xml:space="preserve">785-3</t>
  </si>
  <si>
    <t xml:space="preserve">Kukoamine C</t>
  </si>
  <si>
    <t xml:space="preserve">HMDB0060526</t>
  </si>
  <si>
    <t xml:space="preserve">71820</t>
  </si>
  <si>
    <t xml:space="preserve">C17617</t>
  </si>
  <si>
    <t xml:space="preserve">81222</t>
  </si>
  <si>
    <t xml:space="preserve">10052730</t>
  </si>
  <si>
    <t xml:space="preserve">NCCCN(CCCCN(CCCN)C(=O)CCC1=CC(O)=C(O)C=C1)C(=O)CCC1=CC(O)=C(O)C=C1</t>
  </si>
  <si>
    <t xml:space="preserve">MRBLTJLKQIHRTP-UHFFFAOYSA-N</t>
  </si>
  <si>
    <t xml:space="preserve">786-1</t>
  </si>
  <si>
    <t xml:space="preserve">787-1</t>
  </si>
  <si>
    <t xml:space="preserve">788-1</t>
  </si>
  <si>
    <t xml:space="preserve">FAHFA(16:0/5-O-18:0)</t>
  </si>
  <si>
    <t xml:space="preserve">HMDB0112107</t>
  </si>
  <si>
    <t xml:space="preserve">LMFA07090001</t>
  </si>
  <si>
    <t xml:space="preserve">84457</t>
  </si>
  <si>
    <t xml:space="preserve">72190300</t>
  </si>
  <si>
    <t xml:space="preserve">1481636-41-2</t>
  </si>
  <si>
    <t xml:space="preserve">C(CCC(=O)O)C(OC(CCCCCCCCCCCCCCC)=O)CCCCCCCCCCCCC</t>
  </si>
  <si>
    <t xml:space="preserve">QBGKCWKQYJQHJX-UHFFFAOYSA-N</t>
  </si>
  <si>
    <t xml:space="preserve">788-2</t>
  </si>
  <si>
    <t xml:space="preserve">FAHFA(16:0/7-O-18:0)</t>
  </si>
  <si>
    <t xml:space="preserve">HMDB0112116</t>
  </si>
  <si>
    <t xml:space="preserve">LMFA07090002</t>
  </si>
  <si>
    <t xml:space="preserve">84479</t>
  </si>
  <si>
    <t xml:space="preserve">86290207</t>
  </si>
  <si>
    <t xml:space="preserve">2005487-39-6</t>
  </si>
  <si>
    <t xml:space="preserve">C(CCCCC(=O)O)C(OC(CCCCCCCCCCCCCCC)=O)CCCCCCCCCCC</t>
  </si>
  <si>
    <t xml:space="preserve">USNXMSKYBRAGPQ-UHFFFAOYSA-N</t>
  </si>
  <si>
    <t xml:space="preserve">788-3</t>
  </si>
  <si>
    <t xml:space="preserve">FAHFA(16:0/8-O-18:0)</t>
  </si>
  <si>
    <t xml:space="preserve">HMDB0112118</t>
  </si>
  <si>
    <t xml:space="preserve">LMFA07090003</t>
  </si>
  <si>
    <t xml:space="preserve">84486</t>
  </si>
  <si>
    <t xml:space="preserve">86290209</t>
  </si>
  <si>
    <t xml:space="preserve">2095569-12-1</t>
  </si>
  <si>
    <t xml:space="preserve">C(CCCCCC(=O)O)C(OC(CCCCCCCCCCCCCCC)=O)CCCCCCCCCC</t>
  </si>
  <si>
    <t xml:space="preserve">PXZVHHRFDCMNSG-UHFFFAOYSA-N</t>
  </si>
  <si>
    <t xml:space="preserve">789-1</t>
  </si>
  <si>
    <t xml:space="preserve">790-1</t>
  </si>
  <si>
    <t xml:space="preserve">791-1</t>
  </si>
  <si>
    <t xml:space="preserve">Gemcitabine triphosphate</t>
  </si>
  <si>
    <t xml:space="preserve">HMDB0060638</t>
  </si>
  <si>
    <t xml:space="preserve">130659</t>
  </si>
  <si>
    <t xml:space="preserve">NC1=NC(=O)N(C=C1)[C@@H]1O[C@H](COP(O)(=O)OP(O)(=O)OP(O)(O)=O)[C@@H](O)C1(F)F</t>
  </si>
  <si>
    <t xml:space="preserve">YMOXEIOKAJSRQX-QPPQHZFASA-N</t>
  </si>
  <si>
    <t xml:space="preserve">791-2</t>
  </si>
  <si>
    <t xml:space="preserve">Difluorodeoxycytidine triphosphate</t>
  </si>
  <si>
    <t xml:space="preserve">HMDB0251267</t>
  </si>
  <si>
    <t xml:space="preserve">NC1=NC(=O)N(C2CC(O)C(COP(O)(=O)OP(O)(=O)OP(O)(O)=O)O2)C(F)=C1F</t>
  </si>
  <si>
    <t xml:space="preserve">UWXMJKZOZZKFCT-UHFFFAOYSA-N</t>
  </si>
  <si>
    <t xml:space="preserve">792-1</t>
  </si>
  <si>
    <t xml:space="preserve">793-1</t>
  </si>
  <si>
    <t xml:space="preserve">794-1</t>
  </si>
  <si>
    <t xml:space="preserve">795-1</t>
  </si>
  <si>
    <t xml:space="preserve">796-1</t>
  </si>
  <si>
    <t xml:space="preserve">797-1</t>
  </si>
  <si>
    <t xml:space="preserve">798-1</t>
  </si>
  <si>
    <t xml:space="preserve">799-1</t>
  </si>
  <si>
    <t xml:space="preserve">800-1</t>
  </si>
  <si>
    <t xml:space="preserve">11a,12a-Epoxy-3b-hydroxy-28,13-oleananolide 3-acetate</t>
  </si>
  <si>
    <t xml:space="preserve">HMDB0031879</t>
  </si>
  <si>
    <t xml:space="preserve">87996</t>
  </si>
  <si>
    <t xml:space="preserve">13818991</t>
  </si>
  <si>
    <t xml:space="preserve">35738-25-1</t>
  </si>
  <si>
    <t xml:space="preserve">CC(=O)OC1CCC2(C)C(CCC3(C)C2C2OC2C24OC(=O)C5(CCC(C)(C)CC25)CCC34C)C1(C)C</t>
  </si>
  <si>
    <t xml:space="preserve">RJEUVXAJCYTMIC-UHFFFAOYSA-N</t>
  </si>
  <si>
    <t xml:space="preserve">800-2</t>
  </si>
  <si>
    <t xml:space="preserve">3beta-Acetoxy-12-oxo-28,13beta-oleananolide</t>
  </si>
  <si>
    <t xml:space="preserve">HMDB0034646</t>
  </si>
  <si>
    <t xml:space="preserve">90108</t>
  </si>
  <si>
    <t xml:space="preserve">76033272</t>
  </si>
  <si>
    <t xml:space="preserve">35959-11-6</t>
  </si>
  <si>
    <t xml:space="preserve">CC(=O)OC1CCC2(C)C(CCC3(C)C2CC(=O)C24OC(=O)C5(CCC(C)(C)CC25)CCC34C)C1(C)C</t>
  </si>
  <si>
    <t xml:space="preserve">CWTOUABHZIFLIH-UHFFFAOYSA-N</t>
  </si>
  <si>
    <t xml:space="preserve">800-3</t>
  </si>
  <si>
    <t xml:space="preserve">Ganoderic acid S</t>
  </si>
  <si>
    <t xml:space="preserve">HMDB0035313</t>
  </si>
  <si>
    <t xml:space="preserve">131751702</t>
  </si>
  <si>
    <t xml:space="preserve">CC(C(C\C=C(/C)C(O)=O)OC(C)=O)C1CCC2(C)C3=CCC4C(C)(C)C(O)CCC4(C)C3=CCC12C</t>
  </si>
  <si>
    <t xml:space="preserve">FRRMMEJOPQSLSE-DJKKODMXSA-N</t>
  </si>
  <si>
    <t xml:space="preserve">801-1</t>
  </si>
  <si>
    <t xml:space="preserve">802-1</t>
  </si>
  <si>
    <t xml:space="preserve">803-1</t>
  </si>
  <si>
    <t xml:space="preserve">804-1</t>
  </si>
  <si>
    <t xml:space="preserve">Chatenaytrienin 2</t>
  </si>
  <si>
    <t xml:space="preserve">HMDB0032647</t>
  </si>
  <si>
    <t xml:space="preserve">131751272</t>
  </si>
  <si>
    <t xml:space="preserve">206131-74-0</t>
  </si>
  <si>
    <t xml:space="preserve">CCCCCCCCCCCC\C=C/CC\C=C/CC\C=C/CCCCCCCCC1=CC(C)OC1=O</t>
  </si>
  <si>
    <t xml:space="preserve">GTXRLWWQVRDMLK-VCHJKVOASA-N</t>
  </si>
  <si>
    <t xml:space="preserve">804-2</t>
  </si>
  <si>
    <t xml:space="preserve">Chatenaytrienin 1</t>
  </si>
  <si>
    <t xml:space="preserve">HMDB0031910</t>
  </si>
  <si>
    <t xml:space="preserve">131751212</t>
  </si>
  <si>
    <t xml:space="preserve">206131-73-9</t>
  </si>
  <si>
    <t xml:space="preserve">CCCCCCCCCC\C=C\CC\C=C\CC\C=C/CCCCCCCCCCC1=CC(C)OC1=O</t>
  </si>
  <si>
    <t xml:space="preserve">BALJQQWVUSFUJC-JPPMZZIVSA-N</t>
  </si>
  <si>
    <t xml:space="preserve">804-3</t>
  </si>
  <si>
    <t xml:space="preserve">Cholesteryl caprylate</t>
  </si>
  <si>
    <t xml:space="preserve">HMDB0250183</t>
  </si>
  <si>
    <t xml:space="preserve">3647021</t>
  </si>
  <si>
    <t xml:space="preserve">CCCCCCCC(=O)OC1CCC2(C)C3CCC4(C)C(CCC4C3CC=C2C1)C(C)CCCC(C)C</t>
  </si>
  <si>
    <t xml:space="preserve">SKLBBRQPVZDTNM-UHFFFAOYSA-N</t>
  </si>
  <si>
    <t xml:space="preserve">805-1</t>
  </si>
  <si>
    <t xml:space="preserve">Phosphoribosylformimino-AICAR-P</t>
  </si>
  <si>
    <t xml:space="preserve">HMDB0012277</t>
  </si>
  <si>
    <t xml:space="preserve">C04896</t>
  </si>
  <si>
    <t xml:space="preserve">18302</t>
  </si>
  <si>
    <t xml:space="preserve">440534</t>
  </si>
  <si>
    <t xml:space="preserve">36244-83-4</t>
  </si>
  <si>
    <t xml:space="preserve">NC(=O)C1=C(\N=C\N[C@@H]2O[C@H](COP(O)(O)=O)[C@@H](O)[C@H]2O)N(C=N1)[C@@H]1O[C@H](COP(O)(O)=O)[C@@H](O)[C@H]1O</t>
  </si>
  <si>
    <t xml:space="preserve">QOUSHGMTBIIAHR-KEOHHSTQSA-N</t>
  </si>
  <si>
    <t xml:space="preserve">805-2</t>
  </si>
  <si>
    <t xml:space="preserve">Phosphoribulosylformimino-AICAR-P</t>
  </si>
  <si>
    <t xml:space="preserve">HMDB0012278</t>
  </si>
  <si>
    <t xml:space="preserve">C04916</t>
  </si>
  <si>
    <t xml:space="preserve">27735</t>
  </si>
  <si>
    <t xml:space="preserve">193735</t>
  </si>
  <si>
    <t xml:space="preserve">36244-86-7</t>
  </si>
  <si>
    <t xml:space="preserve">NC(=O)C1=C(\N=C\NCC(=O)[C@H](O)[C@H](O)COP(O)(O)=O)N(C=N1)[C@@H]1O[C@H](COP(O)(O)=O)[C@@H](O)[C@H]1O</t>
  </si>
  <si>
    <t xml:space="preserve">BLKFNHOCHNCLII-GHVQHMAVSA-N</t>
  </si>
  <si>
    <t xml:space="preserve">806-1</t>
  </si>
  <si>
    <t xml:space="preserve">807-1</t>
  </si>
  <si>
    <t xml:space="preserve">808-1</t>
  </si>
  <si>
    <t xml:space="preserve">809-1</t>
  </si>
  <si>
    <t xml:space="preserve">810-1</t>
  </si>
  <si>
    <t xml:space="preserve">811-1</t>
  </si>
  <si>
    <t xml:space="preserve">812-1</t>
  </si>
  <si>
    <t xml:space="preserve">813-1</t>
  </si>
  <si>
    <t xml:space="preserve">814-1</t>
  </si>
  <si>
    <t xml:space="preserve">815-1</t>
  </si>
  <si>
    <t xml:space="preserve">816-1</t>
  </si>
  <si>
    <t xml:space="preserve">817-1</t>
  </si>
  <si>
    <t xml:space="preserve">1,2-Epoxy-1,2,7,7',8,8',11',12'-octahydro-psi,psi-carotene</t>
  </si>
  <si>
    <t xml:space="preserve">HMDB0029854</t>
  </si>
  <si>
    <t xml:space="preserve">86548</t>
  </si>
  <si>
    <t xml:space="preserve">131750918</t>
  </si>
  <si>
    <t xml:space="preserve">51599-11-2</t>
  </si>
  <si>
    <t xml:space="preserve">CC(C)CCC\C(C)=C\CC\C(C)=C\C=C/C(/C)=C\C=C\C=C(\C)CC\C=C(/C)CC\C=C(/C)CCC1OC1(C)C</t>
  </si>
  <si>
    <t xml:space="preserve">DAYCXLCMSBTHAA-RVWKVOMOSA-N</t>
  </si>
  <si>
    <t xml:space="preserve">817-2</t>
  </si>
  <si>
    <t xml:space="preserve">Phytoene 1,2-epoxide</t>
  </si>
  <si>
    <t xml:space="preserve">HMDB0036875</t>
  </si>
  <si>
    <t xml:space="preserve">91875</t>
  </si>
  <si>
    <t xml:space="preserve">131752073</t>
  </si>
  <si>
    <t xml:space="preserve">26107-96-0</t>
  </si>
  <si>
    <t xml:space="preserve">CC(C)=CCC\C(C)=C/CC\C(C)=C/CC\C(C)=C\C=C\C=C(/C)CC\C=C(/C)CC\C=C(\C)CCC1OC1(C)C</t>
  </si>
  <si>
    <t xml:space="preserve">BCPVRLMAESAYCE-AFWJVYGRSA-N</t>
  </si>
  <si>
    <t xml:space="preserve">818-1</t>
  </si>
  <si>
    <t xml:space="preserve">819-1</t>
  </si>
  <si>
    <t xml:space="preserve">820-1</t>
  </si>
  <si>
    <t xml:space="preserve">821-1</t>
  </si>
  <si>
    <t xml:space="preserve">822-1</t>
  </si>
  <si>
    <t xml:space="preserve">823-1</t>
  </si>
  <si>
    <t xml:space="preserve">824-1</t>
  </si>
  <si>
    <t xml:space="preserve">825-1</t>
  </si>
  <si>
    <t xml:space="preserve">826-1</t>
  </si>
  <si>
    <t xml:space="preserve">827-1</t>
  </si>
  <si>
    <t xml:space="preserve">828-1</t>
  </si>
  <si>
    <t xml:space="preserve">829-1</t>
  </si>
  <si>
    <t xml:space="preserve">830-1</t>
  </si>
  <si>
    <t xml:space="preserve">831-1</t>
  </si>
  <si>
    <t xml:space="preserve">832-1</t>
  </si>
  <si>
    <t xml:space="preserve">Glycerol 1,3-didodecanoate 2-decanoate</t>
  </si>
  <si>
    <t xml:space="preserve">HMDB0033753</t>
  </si>
  <si>
    <t xml:space="preserve">89512</t>
  </si>
  <si>
    <t xml:space="preserve">75306806</t>
  </si>
  <si>
    <t xml:space="preserve">60138-22-9</t>
  </si>
  <si>
    <t xml:space="preserve">CCCCCCCCCCCC(=O)OCC(COC(=O)CCCCCCCCCCC)OC(=O)CCCCCCCCC</t>
  </si>
  <si>
    <t xml:space="preserve">NTSSIIDXDVUTDN-UHFFFAOYSA-N</t>
  </si>
  <si>
    <t xml:space="preserve">832-2</t>
  </si>
  <si>
    <t xml:space="preserve">Glycerol 1-dodecanoate 2-tetradecanoate 3-octanoate</t>
  </si>
  <si>
    <t xml:space="preserve">HMDB0038058</t>
  </si>
  <si>
    <t xml:space="preserve">92829</t>
  </si>
  <si>
    <t xml:space="preserve">102149216</t>
  </si>
  <si>
    <t xml:space="preserve">CCCCCCCCCCCCCC(=O)OC(COC(=O)CCCCCCC)COC(=O)CCCCCCCCCCC</t>
  </si>
  <si>
    <t xml:space="preserve">XJEQUBKBCWQXOB-UHFFFAOYSA-N</t>
  </si>
  <si>
    <t xml:space="preserve">833-1</t>
  </si>
  <si>
    <t xml:space="preserve">FAHFA(18:0/5-O-18:0)</t>
  </si>
  <si>
    <t xml:space="preserve">HMDB0112128</t>
  </si>
  <si>
    <t xml:space="preserve">LMFA07090009</t>
  </si>
  <si>
    <t xml:space="preserve">101527487</t>
  </si>
  <si>
    <t xml:space="preserve">C(CCC(=O)O)C(OC(CCCCCCCCCCCCCCCCC)=O)CCCCCCCCCCCCC</t>
  </si>
  <si>
    <t xml:space="preserve">BSOQNRNPFJEDMC-UHFFFAOYSA-N</t>
  </si>
  <si>
    <t xml:space="preserve">833-2</t>
  </si>
  <si>
    <t xml:space="preserve">FAHFA(18:0/7-O-18:0)</t>
  </si>
  <si>
    <t xml:space="preserve">HMDB0112129</t>
  </si>
  <si>
    <t xml:space="preserve">LMFA07090010</t>
  </si>
  <si>
    <t xml:space="preserve">101527489</t>
  </si>
  <si>
    <t xml:space="preserve">C(CCCCC(=O)O)C(OC(CCCCCCCCCCCCCCCCC)=O)CCCCCCCCCCC</t>
  </si>
  <si>
    <t xml:space="preserve">QUZMPBWTOKQCEK-UHFFFAOYSA-N</t>
  </si>
  <si>
    <t xml:space="preserve">833-3</t>
  </si>
  <si>
    <t xml:space="preserve">FAHFA(18:0/8-O-18:0)</t>
  </si>
  <si>
    <t xml:space="preserve">HMDB0112130</t>
  </si>
  <si>
    <t xml:space="preserve">LMFA07090011</t>
  </si>
  <si>
    <t xml:space="preserve">101527490</t>
  </si>
  <si>
    <t xml:space="preserve">C(CCCCCC(=O)O)C(OC(CCCCCCCCCCCCCCCCC)=O)CCCCCCCCCC</t>
  </si>
  <si>
    <t xml:space="preserve">MFSOFHGBSOJSCQ-UHFFFAOYSA-N</t>
  </si>
  <si>
    <t xml:space="preserve">834-1</t>
  </si>
  <si>
    <t xml:space="preserve">835-1</t>
  </si>
  <si>
    <t xml:space="preserve">8-C-Ascorbylepigallocatechin 3-gallate</t>
  </si>
  <si>
    <t xml:space="preserve">HMDB0039208</t>
  </si>
  <si>
    <t xml:space="preserve">93800</t>
  </si>
  <si>
    <t xml:space="preserve">11425230</t>
  </si>
  <si>
    <t xml:space="preserve">126715-87-5</t>
  </si>
  <si>
    <t xml:space="preserve">OCC(O)C1OC(=O)C2(O)C3=C(OC12O)C=C(O)C1=C3OC(C(C1)OC(=O)C1=CC(O)=C(O)C(O)=C1)C1=CC(O)=C(O)C(O)=C1</t>
  </si>
  <si>
    <t xml:space="preserve">DKFWYWRZDCPNOB-UHFFFAOYSA-N</t>
  </si>
  <si>
    <t xml:space="preserve">835-2</t>
  </si>
  <si>
    <t xml:space="preserve">Myricetin 7-(6''-galloylglucoside)</t>
  </si>
  <si>
    <t xml:space="preserve">HMDB0035463</t>
  </si>
  <si>
    <t xml:space="preserve">74978315</t>
  </si>
  <si>
    <t xml:space="preserve">OC1C(O)C(COC(=O)C2=CC(O)=C(O)C(O)=C2)OC(OC2=CC(O)=C3C(OC(=C(O)C3=O)C3=CC(O)=C(O)C(O)=C3)=C2)C1O</t>
  </si>
  <si>
    <t xml:space="preserve">MZDFJFBTVPXCAQ-UHFFFAOYSA-N</t>
  </si>
  <si>
    <t xml:space="preserve">836-1</t>
  </si>
  <si>
    <t xml:space="preserve">837-1</t>
  </si>
  <si>
    <t xml:space="preserve">838-1</t>
  </si>
  <si>
    <t xml:space="preserve">839-1</t>
  </si>
  <si>
    <t xml:space="preserve">840-1</t>
  </si>
  <si>
    <t xml:space="preserve">841-1</t>
  </si>
  <si>
    <t xml:space="preserve">842-1</t>
  </si>
  <si>
    <t xml:space="preserve">843-1</t>
  </si>
  <si>
    <t xml:space="preserve">844-1</t>
  </si>
  <si>
    <t xml:space="preserve">845-1</t>
  </si>
  <si>
    <t xml:space="preserve">846-1</t>
  </si>
  <si>
    <t xml:space="preserve">847-1</t>
  </si>
  <si>
    <t xml:space="preserve">DG(34:1)</t>
  </si>
  <si>
    <t xml:space="preserve">HMDB0007021</t>
  </si>
  <si>
    <t xml:space="preserve">58656</t>
  </si>
  <si>
    <t xml:space="preserve">LMGL02010389</t>
  </si>
  <si>
    <t xml:space="preserve">53477956</t>
  </si>
  <si>
    <t xml:space="preserve">OC[C@]([H])(OC(CCCCCCCCC/C=C\CCCCCCCC)=O)COC(CCCCCCCCCCCCC)=O</t>
  </si>
  <si>
    <t xml:space="preserve">VQOIASKPUKUIDV-CEJFXXFTSA-N</t>
  </si>
  <si>
    <t xml:space="preserve">847-2</t>
  </si>
  <si>
    <t xml:space="preserve">Diacylglycerol</t>
  </si>
  <si>
    <t xml:space="preserve">HMDB0242173</t>
  </si>
  <si>
    <t xml:space="preserve">6026790</t>
  </si>
  <si>
    <t xml:space="preserve">CCCCCCCCCCCCCCCC(=O)OCC(CO)OC(=O)CCCCCCC\C=C\CCCCCCCC</t>
  </si>
  <si>
    <t xml:space="preserve">YEJYLHKQOBOSCP-ISLYRVAYSA-N</t>
  </si>
  <si>
    <t xml:space="preserve">848-1</t>
  </si>
  <si>
    <t xml:space="preserve">849-1</t>
  </si>
  <si>
    <t xml:space="preserve">850-1</t>
  </si>
  <si>
    <t xml:space="preserve">851-1</t>
  </si>
  <si>
    <t xml:space="preserve">[(2R,5R)-5-(2-Amino-6-oxo-1H-purin-9-yl)-3,4-dihydroxyoxolan-2-yl]methyl [(2R,5R)-5-(4-amino-2-oxopyrimidin-1-yl)-3,4-dihydroxyoxolan-2-yl]methyl hydrogen phosphate</t>
  </si>
  <si>
    <t xml:space="preserve">HMDB0260224</t>
  </si>
  <si>
    <t xml:space="preserve">NC1=NC2=C(N=CN2C2OC(COP(O)(=O)OCC3OC(C(O)C3O)N3C=CC(N)=NC3=O)C(O)C2O)C(=O)N1</t>
  </si>
  <si>
    <t xml:space="preserve">OEZOLYYGFFTXNK-UHFFFAOYSA-N</t>
  </si>
  <si>
    <t xml:space="preserve">(5'-&gt;5')-dinucleotides</t>
  </si>
  <si>
    <t xml:space="preserve">851-2</t>
  </si>
  <si>
    <t xml:space="preserve">Cytidylyl-(3',5')-guanosine</t>
  </si>
  <si>
    <t xml:space="preserve">HMDB0245649</t>
  </si>
  <si>
    <t xml:space="preserve">135545086</t>
  </si>
  <si>
    <t xml:space="preserve">NC1=NC2=C(N=CN2C2OC(COP(O)(=O)OC3C(CO)OC(C3O)N3C=CC(N)=NC3=O)C(O)C2O)C(=O)N1</t>
  </si>
  <si>
    <t xml:space="preserve">CTMZLDSMFCVUNX-UHFFFAOYSA-N</t>
  </si>
  <si>
    <t xml:space="preserve">852-1</t>
  </si>
  <si>
    <t xml:space="preserve">853-1</t>
  </si>
  <si>
    <t xml:space="preserve">854-1</t>
  </si>
  <si>
    <t xml:space="preserve">855-1</t>
  </si>
  <si>
    <t xml:space="preserve">856-1</t>
  </si>
  <si>
    <t xml:space="preserve">2,2',4,4',5,5'-Hexabromodiphenyl ether</t>
  </si>
  <si>
    <t xml:space="preserve">HMDB0037525</t>
  </si>
  <si>
    <t xml:space="preserve">72055</t>
  </si>
  <si>
    <t xml:space="preserve">C18137</t>
  </si>
  <si>
    <t xml:space="preserve">155166</t>
  </si>
  <si>
    <t xml:space="preserve">68631-49-2</t>
  </si>
  <si>
    <t xml:space="preserve">BrC1=CC(Br)=C(Br)C=C1OC1=CC(Br)=C(Br)C=C1Br</t>
  </si>
  <si>
    <t xml:space="preserve">RZXIRSKYBISPGF-UHFFFAOYSA-N</t>
  </si>
  <si>
    <t xml:space="preserve">856-2</t>
  </si>
  <si>
    <t xml:space="preserve">2,2',4,4',5,6'-Hexabromodiphenyl ether</t>
  </si>
  <si>
    <t xml:space="preserve">HMDB0037526</t>
  </si>
  <si>
    <t xml:space="preserve">72056</t>
  </si>
  <si>
    <t xml:space="preserve">C18138</t>
  </si>
  <si>
    <t xml:space="preserve">15509898</t>
  </si>
  <si>
    <t xml:space="preserve">207122-15-4</t>
  </si>
  <si>
    <t xml:space="preserve">BrC1=CC(Br)=C(OC2=CC(Br)=C(Br)C=C2Br)C(Br)=C1</t>
  </si>
  <si>
    <t xml:space="preserve">VHNPZYZQKWIWOD-UHFFFAOYSA-N</t>
  </si>
  <si>
    <t xml:space="preserve">857-1</t>
  </si>
  <si>
    <t xml:space="preserve">858-1</t>
  </si>
  <si>
    <t xml:space="preserve">859-1</t>
  </si>
  <si>
    <t xml:space="preserve">860-1</t>
  </si>
  <si>
    <t xml:space="preserve">861-1</t>
  </si>
  <si>
    <t xml:space="preserve">CE(7M3)</t>
  </si>
  <si>
    <t xml:space="preserve">HMDB0112223</t>
  </si>
  <si>
    <t xml:space="preserve">131819666</t>
  </si>
  <si>
    <t xml:space="preserve">CCCC1=CC(C)=C(CCCCCCC(=O)OC2CCC3(C)C4CCC5(C)C(CCC5C4CC=C3C2)C(C)CCCC(C)C)O1</t>
  </si>
  <si>
    <t xml:space="preserve">HQKOLYJPZAGLPC-UHFFFAOYSA-N</t>
  </si>
  <si>
    <t xml:space="preserve">861-2</t>
  </si>
  <si>
    <t xml:space="preserve">CE(5M5)</t>
  </si>
  <si>
    <t xml:space="preserve">HMDB0112215</t>
  </si>
  <si>
    <t xml:space="preserve">131819658</t>
  </si>
  <si>
    <t xml:space="preserve">CCCCCC1=CC(C)=C(CCCCC(=O)OC2CCC3(C)C4CCC5(C)C(CCC5C4CC=C3C2)C(C)CCCC(C)C)O1</t>
  </si>
  <si>
    <t xml:space="preserve">YMBDHKJHGXXQDY-UHFFFAOYSA-N</t>
  </si>
  <si>
    <t xml:space="preserve">862-1</t>
  </si>
  <si>
    <t xml:space="preserve">863-1</t>
  </si>
  <si>
    <t xml:space="preserve">864-1</t>
  </si>
  <si>
    <t xml:space="preserve">865-1</t>
  </si>
  <si>
    <t xml:space="preserve">Methyl 2,3,6-tri-O-galloyl-beta-D-glucopyranoside</t>
  </si>
  <si>
    <t xml:space="preserve">HMDB0039184</t>
  </si>
  <si>
    <t xml:space="preserve">93777</t>
  </si>
  <si>
    <t xml:space="preserve">78407221</t>
  </si>
  <si>
    <t xml:space="preserve">COC1OC(COC(=O)C2=CC(O)=C(O)C(O)=C2)C(O)C(OC(=O)C2=CC(O)=C(O)C(O)=C2)C1OC(=O)C1=CC(O)=C(O)C(O)=C1</t>
  </si>
  <si>
    <t xml:space="preserve">ITRFLIAWJCCQTF-UHFFFAOYSA-N</t>
  </si>
  <si>
    <t xml:space="preserve">865-2</t>
  </si>
  <si>
    <t xml:space="preserve">Methyl 3,4,6-tri-O-galloyl-beta-D-glucopyranoside</t>
  </si>
  <si>
    <t xml:space="preserve">HMDB0039183</t>
  </si>
  <si>
    <t xml:space="preserve">93776</t>
  </si>
  <si>
    <t xml:space="preserve">13270027</t>
  </si>
  <si>
    <t xml:space="preserve">89927-26-4</t>
  </si>
  <si>
    <t xml:space="preserve">COC1OC(COC(=O)C2=CC(O)=C(O)C(O)=C2)C(OC(=O)C2=CC(O)=C(O)C(O)=C2)C(OC(=O)C2=CC(O)=C(O)C(O)=C2)C1O</t>
  </si>
  <si>
    <t xml:space="preserve">DXMITXYQZDSXOV-UHFFFAOYSA-N</t>
  </si>
  <si>
    <t xml:space="preserve">866-1</t>
  </si>
  <si>
    <t xml:space="preserve">867-1</t>
  </si>
  <si>
    <t xml:space="preserve">Asiminenin A</t>
  </si>
  <si>
    <t xml:space="preserve">HMDB0029959</t>
  </si>
  <si>
    <t xml:space="preserve">131750930</t>
  </si>
  <si>
    <t xml:space="preserve">168075-11-4</t>
  </si>
  <si>
    <t xml:space="preserve">CCCCCCCCCC\C=C/CCC(O)C1CCC(O1)C(O)CCCCCCCCCCC(O)CC1=CC(C)OC1=O</t>
  </si>
  <si>
    <t xml:space="preserve">OZWNHDYKRQUFSF-SDXDJHTJSA-N</t>
  </si>
  <si>
    <t xml:space="preserve">867-2</t>
  </si>
  <si>
    <t xml:space="preserve">Squamocin L</t>
  </si>
  <si>
    <t xml:space="preserve">HMDB0030940</t>
  </si>
  <si>
    <t xml:space="preserve">87303</t>
  </si>
  <si>
    <t xml:space="preserve">176212</t>
  </si>
  <si>
    <t xml:space="preserve">461667</t>
  </si>
  <si>
    <t xml:space="preserve">98767-45-4</t>
  </si>
  <si>
    <t xml:space="preserve">CCCCCCCCCCC(O)C1CCC(O1)C1CCC(O1)C(O)CCCCCCCCCCCCC1=CC(C)OC1=O</t>
  </si>
  <si>
    <t xml:space="preserve">URLVCROWVOSNPT-UHFFFAOYSA-N</t>
  </si>
  <si>
    <t xml:space="preserve">867-3</t>
  </si>
  <si>
    <t xml:space="preserve">Rollidecin D</t>
  </si>
  <si>
    <t xml:space="preserve">HMDB0031886</t>
  </si>
  <si>
    <t xml:space="preserve">85105044</t>
  </si>
  <si>
    <t xml:space="preserve">200703-17-9</t>
  </si>
  <si>
    <t xml:space="preserve">CCCCCCCCCCCCC(O)C1CCC(O1)C1CCC(CCCCCCCCCC(O)CC2=CC(C)OC2=O)O1</t>
  </si>
  <si>
    <t xml:space="preserve">KEMYLKFITCBCHA-UHFFFAOYSA-N</t>
  </si>
  <si>
    <t xml:space="preserve">868-1</t>
  </si>
  <si>
    <t xml:space="preserve">869-1</t>
  </si>
  <si>
    <t xml:space="preserve">870-1</t>
  </si>
  <si>
    <t xml:space="preserve">871-1</t>
  </si>
  <si>
    <t xml:space="preserve">872-1</t>
  </si>
  <si>
    <t xml:space="preserve">873-1</t>
  </si>
  <si>
    <t xml:space="preserve">DG(36:2)</t>
  </si>
  <si>
    <t xml:space="preserve">HMDB0007030</t>
  </si>
  <si>
    <t xml:space="preserve">58665</t>
  </si>
  <si>
    <t xml:space="preserve">LMGL02010397</t>
  </si>
  <si>
    <t xml:space="preserve">88788</t>
  </si>
  <si>
    <t xml:space="preserve">53477965</t>
  </si>
  <si>
    <t xml:space="preserve">OC[C@]([H])(OC(CCCCCCCCCCC/C=C\C/C=C\CCCCC)=O)COC(CCCCCCCCCCCCC)=O</t>
  </si>
  <si>
    <t xml:space="preserve">IOYSFCVWNHOMJU-KAOSVWFWSA-N</t>
  </si>
  <si>
    <t xml:space="preserve">873-2</t>
  </si>
  <si>
    <t xml:space="preserve">9-Octadecenoic acid (9Z)-, diester with 1,2,3-propanetriol</t>
  </si>
  <si>
    <t xml:space="preserve">HMDB0252852</t>
  </si>
  <si>
    <t xml:space="preserve">33120</t>
  </si>
  <si>
    <t xml:space="preserve">CCCCCCCCC=CCCCCCCCC(=O)OCC(O)COC(=O)CCCCCCCC=CCCCCCCCC</t>
  </si>
  <si>
    <t xml:space="preserve">DRAWQKGUORNASA-UHFFFAOYSA-N</t>
  </si>
  <si>
    <t xml:space="preserve">873-3</t>
  </si>
  <si>
    <t xml:space="preserve">1,2-Dioleoyl-rac-glycerol</t>
  </si>
  <si>
    <t xml:space="preserve">HMDB0244087</t>
  </si>
  <si>
    <t xml:space="preserve">1324</t>
  </si>
  <si>
    <t xml:space="preserve">CCCCCCCCC=CCCCCCCCC(=O)OCC(CO)OC(=O)CCCCCCCC=CCCCCCCCC</t>
  </si>
  <si>
    <t xml:space="preserve">AFSHUZFNMVJNKX-UHFFFAOYSA-N</t>
  </si>
  <si>
    <t xml:space="preserve">874-1</t>
  </si>
  <si>
    <t xml:space="preserve">875-1</t>
  </si>
  <si>
    <t xml:space="preserve">876-1</t>
  </si>
  <si>
    <t xml:space="preserve">877-1</t>
  </si>
  <si>
    <t xml:space="preserve">878-1</t>
  </si>
  <si>
    <t xml:space="preserve">879-1</t>
  </si>
  <si>
    <t xml:space="preserve">880-1</t>
  </si>
  <si>
    <t xml:space="preserve">881-1</t>
  </si>
  <si>
    <t xml:space="preserve">882-1</t>
  </si>
  <si>
    <t xml:space="preserve">883-1</t>
  </si>
  <si>
    <t xml:space="preserve">884-1</t>
  </si>
  <si>
    <t xml:space="preserve">CE(5D5)</t>
  </si>
  <si>
    <t xml:space="preserve">HMDB0112214</t>
  </si>
  <si>
    <t xml:space="preserve">131819657</t>
  </si>
  <si>
    <t xml:space="preserve">CCCCCC1=C(C)C(C)=C(CCCCC(=O)OC2CCC3(C)C4CCC5(C)C(CCC5C4CC=C3C2)C(C)CCCC(C)C)O1</t>
  </si>
  <si>
    <t xml:space="preserve">YCJJGFRFRQSJCX-UHFFFAOYSA-N</t>
  </si>
  <si>
    <t xml:space="preserve">884-2</t>
  </si>
  <si>
    <t xml:space="preserve">CE(6F6)</t>
  </si>
  <si>
    <t xml:space="preserve">HMDB0112217</t>
  </si>
  <si>
    <t xml:space="preserve">131819660</t>
  </si>
  <si>
    <t xml:space="preserve">CCCCCCC1=CC=C(CCCCCC(=O)OC2CCC3(C)C4CCC5(C)C(CCC5C4CC=C3C2)C(C)CCCC(C)C)O1</t>
  </si>
  <si>
    <t xml:space="preserve">DVCZIGGEBQPRCU-UHFFFAOYSA-N</t>
  </si>
  <si>
    <t xml:space="preserve">884-3</t>
  </si>
  <si>
    <t xml:space="preserve">CE(7D3)</t>
  </si>
  <si>
    <t xml:space="preserve">HMDB0112218</t>
  </si>
  <si>
    <t xml:space="preserve">131819661</t>
  </si>
  <si>
    <t xml:space="preserve">CCCC1=C(C)C(C)=C(CCCCCCC(=O)OC2CCC3(C)C4CCC5(C)C(CCC5C4CC=C3C2)C(C)CCCC(C)C)O1</t>
  </si>
  <si>
    <t xml:space="preserve">TWGJAWLEECMYLP-UHFFFAOYSA-N</t>
  </si>
  <si>
    <t xml:space="preserve">885-1</t>
  </si>
  <si>
    <t xml:space="preserve">886-1</t>
  </si>
  <si>
    <t xml:space="preserve">887-1</t>
  </si>
  <si>
    <t xml:space="preserve">888-1</t>
  </si>
  <si>
    <t xml:space="preserve">889-1</t>
  </si>
  <si>
    <t xml:space="preserve">890-1</t>
  </si>
  <si>
    <t xml:space="preserve">891-1</t>
  </si>
  <si>
    <t xml:space="preserve">892-1</t>
  </si>
  <si>
    <t xml:space="preserve">893-1</t>
  </si>
  <si>
    <t xml:space="preserve">894-1</t>
  </si>
  <si>
    <t xml:space="preserve">895-1</t>
  </si>
  <si>
    <t xml:space="preserve">896-1</t>
  </si>
  <si>
    <t xml:space="preserve">897-1</t>
  </si>
  <si>
    <t xml:space="preserve">898-1</t>
  </si>
  <si>
    <t xml:space="preserve">AS 1-2</t>
  </si>
  <si>
    <t xml:space="preserve">HMDB0032795</t>
  </si>
  <si>
    <t xml:space="preserve">131751311</t>
  </si>
  <si>
    <t xml:space="preserve">CCCCCCCCCCCCCC(O)C(=O)NC(COC1OC(CO)C(O)C(O)C1O)C(O)\C=C/CC\C=C/CCCCCCCCC</t>
  </si>
  <si>
    <t xml:space="preserve">NHVGKAGJOWJYCD-VFRXEOFNSA-N</t>
  </si>
  <si>
    <t xml:space="preserve">898-2</t>
  </si>
  <si>
    <t xml:space="preserve">Lucyobroside</t>
  </si>
  <si>
    <t xml:space="preserve">HMDB0031983</t>
  </si>
  <si>
    <t xml:space="preserve">88094</t>
  </si>
  <si>
    <t xml:space="preserve">169916</t>
  </si>
  <si>
    <t xml:space="preserve">131751236</t>
  </si>
  <si>
    <t xml:space="preserve">189272-90-0</t>
  </si>
  <si>
    <t xml:space="preserve">CCCCCCCCCCCCC(O)C(\O)=N\C(COC1OC(CO)C(O)C(O)C1O)C(O)\C=C\CC\C=C\CCCCCCCCCC</t>
  </si>
  <si>
    <t xml:space="preserve">ILIBLZKROFPFRG-OQHYMBEVSA-N</t>
  </si>
  <si>
    <t xml:space="preserve">899-1</t>
  </si>
  <si>
    <t xml:space="preserve">900-1</t>
  </si>
  <si>
    <t xml:space="preserve">Ethanol, magnesium salt (2:1)</t>
  </si>
  <si>
    <t xml:space="preserve">HMDB0036528</t>
  </si>
  <si>
    <t xml:space="preserve">91623</t>
  </si>
  <si>
    <t xml:space="preserve">131752898</t>
  </si>
  <si>
    <t xml:space="preserve">137578-55-3</t>
  </si>
  <si>
    <t xml:space="preserve">COC1=C(OC2OC(CO)C(O)C(OC3OC(CO)C(O)C(O)C3O)C2O)C2=CC(=C1OC)C1=C(O)C=CC(CCC(O)CCCC2)=C1</t>
  </si>
  <si>
    <t xml:space="preserve">XMKXFSLOVIEGBT-UHFFFAOYSA-N</t>
  </si>
  <si>
    <t xml:space="preserve">Diarylheptanoids</t>
  </si>
  <si>
    <t xml:space="preserve">Cyclic diarylheptanoids</t>
  </si>
  <si>
    <t xml:space="preserve">900-2</t>
  </si>
  <si>
    <t xml:space="preserve">Myricanol 5-beta-sophoroside</t>
  </si>
  <si>
    <t xml:space="preserve">HMDB0036529</t>
  </si>
  <si>
    <t xml:space="preserve">91624</t>
  </si>
  <si>
    <t xml:space="preserve">14059611</t>
  </si>
  <si>
    <t xml:space="preserve">116107-17-6</t>
  </si>
  <si>
    <t xml:space="preserve">COC1=C(OC2OC(COC3OC(CO)C(O)C(O)C3O)C(O)C(O)C2O)C2=CC(=C1OC)C1=C(O)C=CC(CCC(O)CCCC2)=C1</t>
  </si>
  <si>
    <t xml:space="preserve">MWHPGFTUVBRCFT-UHFFFAOYSA-N</t>
  </si>
  <si>
    <t xml:space="preserve">901-1</t>
  </si>
  <si>
    <t xml:space="preserve">902-1</t>
  </si>
  <si>
    <t xml:space="preserve">903-1</t>
  </si>
  <si>
    <t xml:space="preserve">904-1</t>
  </si>
  <si>
    <t xml:space="preserve">905-1</t>
  </si>
  <si>
    <t xml:space="preserve">906-1</t>
  </si>
  <si>
    <t xml:space="preserve">907-1</t>
  </si>
  <si>
    <t xml:space="preserve">908-1</t>
  </si>
  <si>
    <t xml:space="preserve">909-1</t>
  </si>
  <si>
    <t xml:space="preserve">910-1</t>
  </si>
  <si>
    <t xml:space="preserve">911-1</t>
  </si>
  <si>
    <t xml:space="preserve">912-1</t>
  </si>
  <si>
    <t xml:space="preserve">913-1</t>
  </si>
  <si>
    <t xml:space="preserve">914-1</t>
  </si>
  <si>
    <t xml:space="preserve">915-1</t>
  </si>
  <si>
    <t xml:space="preserve">916-1</t>
  </si>
  <si>
    <t xml:space="preserve">917-1</t>
  </si>
  <si>
    <t xml:space="preserve">918-1</t>
  </si>
  <si>
    <t xml:space="preserve">919-1</t>
  </si>
  <si>
    <t xml:space="preserve">920-1</t>
  </si>
  <si>
    <t xml:space="preserve">921-1</t>
  </si>
  <si>
    <t xml:space="preserve">922-1</t>
  </si>
  <si>
    <t xml:space="preserve">Tetrahydrodeoxycortisol</t>
  </si>
  <si>
    <t xml:space="preserve">HMDB0005972</t>
  </si>
  <si>
    <t xml:space="preserve">57990</t>
  </si>
  <si>
    <t xml:space="preserve">LMST05030014</t>
  </si>
  <si>
    <t xml:space="preserve">C14594</t>
  </si>
  <si>
    <t xml:space="preserve">34352</t>
  </si>
  <si>
    <t xml:space="preserve">65555</t>
  </si>
  <si>
    <t xml:space="preserve">68-60-0</t>
  </si>
  <si>
    <t xml:space="preserve">[C@@]12([H])CC[C@]3([H])C[C@H](O)CC[C@]3(C)[C@@]1([H])CC[C@]1(C)[C@@](O)(C(=O)CO)CC[C@@]21[H]</t>
  </si>
  <si>
    <t xml:space="preserve">UPTAPIKFKZGAGM-FAIYVORSSA-N</t>
  </si>
  <si>
    <t xml:space="preserve">922-2</t>
  </si>
  <si>
    <t xml:space="preserve">Pregnanetriolone</t>
  </si>
  <si>
    <t xml:space="preserve">HMDB0041997</t>
  </si>
  <si>
    <t xml:space="preserve">70840</t>
  </si>
  <si>
    <t xml:space="preserve">C15368</t>
  </si>
  <si>
    <t xml:space="preserve">79870</t>
  </si>
  <si>
    <t xml:space="preserve">150786</t>
  </si>
  <si>
    <t xml:space="preserve">603-99-6</t>
  </si>
  <si>
    <t xml:space="preserve">[H][C@@](C)(O)[C@@]1(O)CC[C@@]2([H])[C@]3([H])CC[C@]4([H])C[C@]([H])(O)CC[C@]4(C)[C@@]3([H])C(=O)C[C@]12C</t>
  </si>
  <si>
    <t xml:space="preserve">WKFXHNDWEHDGQD-ZQRGSSBZSA-N</t>
  </si>
  <si>
    <t xml:space="preserve">922-3</t>
  </si>
  <si>
    <t xml:space="preserve">Tetrahydrocorticosterone</t>
  </si>
  <si>
    <t xml:space="preserve">HMDB0000268</t>
  </si>
  <si>
    <t xml:space="preserve">5267</t>
  </si>
  <si>
    <t xml:space="preserve">LMST02030100</t>
  </si>
  <si>
    <t xml:space="preserve">C05476</t>
  </si>
  <si>
    <t xml:space="preserve">65553</t>
  </si>
  <si>
    <t xml:space="preserve">68-42-8</t>
  </si>
  <si>
    <t xml:space="preserve">[C@]12([H])[C@@H](O)C[C@]3(C)[C@H](CC[C@@]3([H])[C@]1([H])CC[C@]1([H])C[C@@H](CC[C@]21C)O)C(=O)CO</t>
  </si>
  <si>
    <t xml:space="preserve">RHQQHZQUAMFINJ-DTDWNVJFSA-N</t>
  </si>
  <si>
    <t xml:space="preserve">923-1</t>
  </si>
  <si>
    <t xml:space="preserve">924-1</t>
  </si>
  <si>
    <t xml:space="preserve">925-1</t>
  </si>
  <si>
    <t xml:space="preserve">926-1</t>
  </si>
  <si>
    <t xml:space="preserve">927-1</t>
  </si>
  <si>
    <t xml:space="preserve">928-1</t>
  </si>
  <si>
    <t xml:space="preserve">929-1</t>
  </si>
  <si>
    <t xml:space="preserve">930-1</t>
  </si>
  <si>
    <t xml:space="preserve">931-1</t>
  </si>
  <si>
    <t xml:space="preserve">932-1</t>
  </si>
  <si>
    <t xml:space="preserve">Tridec-3-enoylcarnitine</t>
  </si>
  <si>
    <t xml:space="preserve">HMDB0241309</t>
  </si>
  <si>
    <t xml:space="preserve">CCCCCCCCCC=CCC(=O)OC(CC([O-])=O)C[N+](C)(C)C</t>
  </si>
  <si>
    <t xml:space="preserve">ZMBYKPOUOMBPIF-UHFFFAOYSA-N</t>
  </si>
  <si>
    <t xml:space="preserve">932-2</t>
  </si>
  <si>
    <t xml:space="preserve">Tridec-5-enoylcarnitine</t>
  </si>
  <si>
    <t xml:space="preserve">HMDB0241310</t>
  </si>
  <si>
    <t xml:space="preserve">CCCCCCCC=CCCCC(=O)OC(CC([O-])=O)C[N+](C)(C)C</t>
  </si>
  <si>
    <t xml:space="preserve">BJGDRSVPYBPUHM-UHFFFAOYSA-N</t>
  </si>
  <si>
    <t xml:space="preserve">932-3</t>
  </si>
  <si>
    <t xml:space="preserve">Tridec-8-enoylcarnitine</t>
  </si>
  <si>
    <t xml:space="preserve">HMDB0241311</t>
  </si>
  <si>
    <t xml:space="preserve">CCCCC=CCCCCCCC(=O)OC(CC([O-])=O)C[N+](C)(C)C</t>
  </si>
  <si>
    <t xml:space="preserve">UAPXOSVJNDUCJO-UHFFFAOYSA-N</t>
  </si>
  <si>
    <t xml:space="preserve">933-1</t>
  </si>
  <si>
    <t xml:space="preserve">934-1</t>
  </si>
  <si>
    <t xml:space="preserve">935-1</t>
  </si>
  <si>
    <t xml:space="preserve">4-{[1,3-Bis(hexadecanoyloxy)propan-2-yl]oxy}-4-oxobutanoic acid</t>
  </si>
  <si>
    <t xml:space="preserve">HMDB0247505</t>
  </si>
  <si>
    <t xml:space="preserve">134301</t>
  </si>
  <si>
    <t xml:space="preserve">CCCCCCCCCCCCCCCC(=O)OCC(COC(=O)CCCCCCCCCCCCCCC)OC(=O)CCC(O)=O</t>
  </si>
  <si>
    <t xml:space="preserve">XIIQDZOQBSLDBF-UHFFFAOYSA-N</t>
  </si>
  <si>
    <t xml:space="preserve">935-2</t>
  </si>
  <si>
    <t xml:space="preserve">1,2-Dipalmitoyl-3-succinylglycerol</t>
  </si>
  <si>
    <t xml:space="preserve">HMDB0244091</t>
  </si>
  <si>
    <t xml:space="preserve">10211876</t>
  </si>
  <si>
    <t xml:space="preserve">CCCCCCCCCCCCCCCC(=O)OCC(COC(=O)CCC(O)=O)OC(=O)CCCCCCCCCCCCCCC</t>
  </si>
  <si>
    <t xml:space="preserve">GNENAKXIVCYCIZ-UHFFFAOYSA-N</t>
  </si>
  <si>
    <t xml:space="preserve">936-1</t>
  </si>
  <si>
    <t xml:space="preserve">937-1</t>
  </si>
  <si>
    <t xml:space="preserve">938-1</t>
  </si>
  <si>
    <t xml:space="preserve">939-1</t>
  </si>
  <si>
    <t xml:space="preserve">940-1</t>
  </si>
  <si>
    <t xml:space="preserve">941-1</t>
  </si>
  <si>
    <t xml:space="preserve">942-1</t>
  </si>
  <si>
    <t xml:space="preserve">943-1</t>
  </si>
  <si>
    <t xml:space="preserve">944-1</t>
  </si>
  <si>
    <t xml:space="preserve">945-1</t>
  </si>
  <si>
    <t xml:space="preserve">946-1</t>
  </si>
  <si>
    <t xml:space="preserve">947-1</t>
  </si>
  <si>
    <t xml:space="preserve">PC(32:4)</t>
  </si>
  <si>
    <t xml:space="preserve">HMDB0007877</t>
  </si>
  <si>
    <t xml:space="preserve">59327</t>
  </si>
  <si>
    <t xml:space="preserve">LMGP01010499</t>
  </si>
  <si>
    <t xml:space="preserve">24778627</t>
  </si>
  <si>
    <t xml:space="preserve">[C@](COP(=O)([O-])OCC[N+](C)(C)C)([H])(OC(CCCC/C=C\C/C=C\C/C=C\C/C=C\CC)=O)COC(CCCCCCCCCCCCC)=O</t>
  </si>
  <si>
    <t xml:space="preserve">SZQBOFQJPDNGHN-HTICVQCJSA-N</t>
  </si>
  <si>
    <t xml:space="preserve">947-2</t>
  </si>
  <si>
    <t xml:space="preserve">PE(35:4)</t>
  </si>
  <si>
    <t xml:space="preserve">HMDB0008904</t>
  </si>
  <si>
    <t xml:space="preserve">60347</t>
  </si>
  <si>
    <t xml:space="preserve">LMGP02010467</t>
  </si>
  <si>
    <t xml:space="preserve">52924170</t>
  </si>
  <si>
    <t xml:space="preserve">[C@](COP(=O)(O)OCCN)([H])(OC(CCC/C=C\C/C=C\C/C=C\C/C=C\CCCCC)=O)COC(CCCCCCCCCCCCCC)=O</t>
  </si>
  <si>
    <t xml:space="preserve">MQYXRLOJMZSONC-RUFREIRGSA-N</t>
  </si>
  <si>
    <t xml:space="preserve">948-1</t>
  </si>
  <si>
    <t xml:space="preserve">949-1</t>
  </si>
  <si>
    <t xml:space="preserve">950-1</t>
  </si>
  <si>
    <t xml:space="preserve">951-1</t>
  </si>
  <si>
    <t xml:space="preserve">952-1</t>
  </si>
  <si>
    <t xml:space="preserve">953-1</t>
  </si>
  <si>
    <t xml:space="preserve">954-1</t>
  </si>
  <si>
    <t xml:space="preserve">955-1</t>
  </si>
  <si>
    <t xml:space="preserve">956-1</t>
  </si>
  <si>
    <t xml:space="preserve">957-1</t>
  </si>
  <si>
    <t xml:space="preserve">958-1</t>
  </si>
  <si>
    <t xml:space="preserve">959-1</t>
  </si>
  <si>
    <t xml:space="preserve">960-1</t>
  </si>
  <si>
    <t xml:space="preserve">961-1</t>
  </si>
  <si>
    <t xml:space="preserve">962-1</t>
  </si>
  <si>
    <t xml:space="preserve">PC(33:4)</t>
  </si>
  <si>
    <t xml:space="preserve">HMDB0007943</t>
  </si>
  <si>
    <t xml:space="preserve">59393</t>
  </si>
  <si>
    <t xml:space="preserve">LMGP01011418</t>
  </si>
  <si>
    <t xml:space="preserve">52922318</t>
  </si>
  <si>
    <t xml:space="preserve">[C@](COP(=O)([O-])OCC[N+](C)(C)C)([H])(OC(CCCC/C=C\C/C=C\C/C=C\C/C=C\CC)=O)COC(CCCCCCCCCCCCCC)=O</t>
  </si>
  <si>
    <t xml:space="preserve">DPPYJZPUMHOJFQ-IASQADCASA-N</t>
  </si>
  <si>
    <t xml:space="preserve">962-2</t>
  </si>
  <si>
    <t xml:space="preserve">PE(36:4)</t>
  </si>
  <si>
    <t xml:space="preserve">HMDB0008844</t>
  </si>
  <si>
    <t xml:space="preserve">60288</t>
  </si>
  <si>
    <t xml:space="preserve">LMGP02010421</t>
  </si>
  <si>
    <t xml:space="preserve">52924126</t>
  </si>
  <si>
    <t xml:space="preserve">[C@](COP(=O)(O)OCCN)([H])(OC(CCCCC/C=C\C/C=C\C/C=C\C/C=C\CCCCC)=O)COC(CCCCCCCCCCCCC)=O</t>
  </si>
  <si>
    <t xml:space="preserve">KUPNWZACJRZMJD-SIOSMUJOSA-N</t>
  </si>
  <si>
    <t xml:space="preserve">963-1</t>
  </si>
  <si>
    <t xml:space="preserve">964-1</t>
  </si>
  <si>
    <t xml:space="preserve">965-1</t>
  </si>
  <si>
    <t xml:space="preserve">966-1</t>
  </si>
  <si>
    <t xml:space="preserve">967-1</t>
  </si>
  <si>
    <t xml:space="preserve">968-1</t>
  </si>
  <si>
    <t xml:space="preserve">969-1</t>
  </si>
  <si>
    <t xml:space="preserve">970-1</t>
  </si>
  <si>
    <t xml:space="preserve">971-1</t>
  </si>
  <si>
    <t xml:space="preserve">972-1</t>
  </si>
  <si>
    <t xml:space="preserve">Tetrahydropteroyltri-L-glutamic acid</t>
  </si>
  <si>
    <t xml:space="preserve">HMDB0012290</t>
  </si>
  <si>
    <t xml:space="preserve">C04144</t>
  </si>
  <si>
    <t xml:space="preserve">17420</t>
  </si>
  <si>
    <t xml:space="preserve">16722112</t>
  </si>
  <si>
    <t xml:space="preserve">88903-89-3</t>
  </si>
  <si>
    <t xml:space="preserve">NC1=NC(=O)C2=C(NC[C@H](CNC3=CC=C(C=C3)C(=O)N[C@@H](CCC(=O)N[C@@H](CCC(=O)N[C@@H](CCC(O)=O)C(O)=O)C(O)=O)C(O)=O)N2)N1</t>
  </si>
  <si>
    <t xml:space="preserve">RXWVHRYZTWZATH-XSLAGTTESA-N</t>
  </si>
  <si>
    <t xml:space="preserve">972-2</t>
  </si>
  <si>
    <t xml:space="preserve">Tetrahydrofolyl-[Glu](n)</t>
  </si>
  <si>
    <t xml:space="preserve">HMDB0006826</t>
  </si>
  <si>
    <t xml:space="preserve">C03541</t>
  </si>
  <si>
    <t xml:space="preserve">27650</t>
  </si>
  <si>
    <t xml:space="preserve">45479706</t>
  </si>
  <si>
    <t xml:space="preserve">NC1=NC(=O)C2=C(NCC(CNC3=CC=C(C=C3)C(=O)NC(CCC(=O)NC(CCC(=O)NC(CCC(O)=O)C(O)=O)C(O)=O)C(O)=O)N2)N1</t>
  </si>
  <si>
    <t xml:space="preserve">RXWVHRYZTWZATH-UHFFFAOYSA-N</t>
  </si>
  <si>
    <t xml:space="preserve">973-1</t>
  </si>
  <si>
    <t xml:space="preserve">3,5-Dihydroxydodecanoylcarnitine</t>
  </si>
  <si>
    <t xml:space="preserve">HMDB0241291</t>
  </si>
  <si>
    <t xml:space="preserve">CCCCCCCC(O)CC(O)CC(=O)OC(CC([O-])=O)C[N+](C)(C)C</t>
  </si>
  <si>
    <t xml:space="preserve">UGBKRPVCAOZLLU-UHFFFAOYSA-N</t>
  </si>
  <si>
    <t xml:space="preserve">973-2</t>
  </si>
  <si>
    <t xml:space="preserve">3,10-Dihydroxydodecanoylcarnitine</t>
  </si>
  <si>
    <t xml:space="preserve">HMDB0241292</t>
  </si>
  <si>
    <t xml:space="preserve">CCC(O)CCCCCCC(O)CC(=O)OC(CC([O-])=O)C[N+](C)(C)C</t>
  </si>
  <si>
    <t xml:space="preserve">ZFHWIWMRDNBQLH-UHFFFAOYSA-N</t>
  </si>
  <si>
    <t xml:space="preserve">973-3</t>
  </si>
  <si>
    <t xml:space="preserve">3,9-Dihydroxydodecanoylcarnitine</t>
  </si>
  <si>
    <t xml:space="preserve">HMDB0241293</t>
  </si>
  <si>
    <t xml:space="preserve">CCCC(O)CCCCCC(O)CC(=O)OC(CC([O-])=O)C[N+](C)(C)C</t>
  </si>
  <si>
    <t xml:space="preserve">JPGLPKYXCOMGSZ-UHFFFAOYSA-N</t>
  </si>
  <si>
    <t xml:space="preserve">974-1</t>
  </si>
  <si>
    <t xml:space="preserve">975-1</t>
  </si>
  <si>
    <t xml:space="preserve">976-1</t>
  </si>
  <si>
    <t xml:space="preserve">977-1</t>
  </si>
  <si>
    <t xml:space="preserve">SM(d35:1)</t>
  </si>
  <si>
    <t xml:space="preserve">HMDB0240609</t>
  </si>
  <si>
    <t xml:space="preserve">825906</t>
  </si>
  <si>
    <t xml:space="preserve">LMSP03010044</t>
  </si>
  <si>
    <t xml:space="preserve">84488</t>
  </si>
  <si>
    <t xml:space="preserve">46891763</t>
  </si>
  <si>
    <t xml:space="preserve">121999-64-2</t>
  </si>
  <si>
    <t xml:space="preserve">[C@](COP(=O)([O-])OCC[N+](C)(C)C)([H])(NC(CCCCCCCCCCCCCCCC)=O)[C@]([H])(O)/C=C/CCCCCCCCCCCCC</t>
  </si>
  <si>
    <t xml:space="preserve">YMQZQHIESOAPQH-JXGHDCMNSA-N</t>
  </si>
  <si>
    <t xml:space="preserve">977-2</t>
  </si>
  <si>
    <t xml:space="preserve">SM(d17:1/18:0)</t>
  </si>
  <si>
    <t xml:space="preserve">HMDB0240620</t>
  </si>
  <si>
    <t xml:space="preserve">134727533</t>
  </si>
  <si>
    <t xml:space="preserve">122022-13-3</t>
  </si>
  <si>
    <t xml:space="preserve">[H][C@@](COP([O-])(=O)OCC[N+](C)(C)C)(NC(=O)CCCCCCCCCCCCCCCCC)[C@H](O)\C=C\CCCCCCCCCCCC</t>
  </si>
  <si>
    <t xml:space="preserve">DPLGGWKMPLPJQQ-JXGHDCMNSA-N</t>
  </si>
  <si>
    <t xml:space="preserve">978-1</t>
  </si>
  <si>
    <t xml:space="preserve">979-1</t>
  </si>
  <si>
    <t xml:space="preserve">980-1</t>
  </si>
  <si>
    <t xml:space="preserve">981-1</t>
  </si>
  <si>
    <t xml:space="preserve">982-1</t>
  </si>
  <si>
    <t xml:space="preserve">983-1</t>
  </si>
  <si>
    <t xml:space="preserve">984-1</t>
  </si>
  <si>
    <t xml:space="preserve">985-1</t>
  </si>
  <si>
    <t xml:space="preserve">986-1</t>
  </si>
  <si>
    <t xml:space="preserve">987-1</t>
  </si>
  <si>
    <t xml:space="preserve">988-1</t>
  </si>
  <si>
    <t xml:space="preserve">989-1</t>
  </si>
  <si>
    <t xml:space="preserve">990-1</t>
  </si>
  <si>
    <t xml:space="preserve">991-1</t>
  </si>
  <si>
    <t xml:space="preserve">992-1</t>
  </si>
  <si>
    <t xml:space="preserve">PC(32:1)</t>
  </si>
  <si>
    <t xml:space="preserve">HMDB0007872</t>
  </si>
  <si>
    <t xml:space="preserve">59322</t>
  </si>
  <si>
    <t xml:space="preserve">LMGP01010490</t>
  </si>
  <si>
    <t xml:space="preserve">73793</t>
  </si>
  <si>
    <t xml:space="preserve">24778618</t>
  </si>
  <si>
    <t xml:space="preserve">[C@](COP(=O)([O-])OCC[N+](C)(C)C)([H])(OC(CCCCCCCCC/C=C\CCCCCC)=O)COC(CCCCCCCCCCCCC)=O</t>
  </si>
  <si>
    <t xml:space="preserve">GMJKBBMXRYZKEP-WYRBGLKBSA-N</t>
  </si>
  <si>
    <t xml:space="preserve">992-2</t>
  </si>
  <si>
    <t xml:space="preserve">PE(35:1)</t>
  </si>
  <si>
    <t xml:space="preserve">HMDB0008900</t>
  </si>
  <si>
    <t xml:space="preserve">60343</t>
  </si>
  <si>
    <t xml:space="preserve">LMGP02010464</t>
  </si>
  <si>
    <t xml:space="preserve">52924167</t>
  </si>
  <si>
    <t xml:space="preserve">[C@](COP(=O)(O)OCCN)([H])(OC(CCCCCCCCC/C=C\CCCCCCCC)=O)COC(CCCCCCCCCCCCCC)=O</t>
  </si>
  <si>
    <t xml:space="preserve">DAZYZDVAACSMFA-DYFSFZQGSA-N</t>
  </si>
  <si>
    <t xml:space="preserve">993-1</t>
  </si>
  <si>
    <t xml:space="preserve">994-1</t>
  </si>
  <si>
    <t xml:space="preserve">995-1</t>
  </si>
  <si>
    <t xml:space="preserve">996-1</t>
  </si>
  <si>
    <t xml:space="preserve">997-1</t>
  </si>
  <si>
    <t xml:space="preserve">998-1</t>
  </si>
  <si>
    <t xml:space="preserve">999-1</t>
  </si>
  <si>
    <t xml:space="preserve">1000-1</t>
  </si>
  <si>
    <t xml:space="preserve">1001-1</t>
  </si>
  <si>
    <t xml:space="preserve">1002-1</t>
  </si>
  <si>
    <t xml:space="preserve">1003-1</t>
  </si>
  <si>
    <t xml:space="preserve">1004-1</t>
  </si>
  <si>
    <t xml:space="preserve">1005-1</t>
  </si>
  <si>
    <t xml:space="preserve">MG(22:6)</t>
  </si>
  <si>
    <t xml:space="preserve">HMDB0011557</t>
  </si>
  <si>
    <t xml:space="preserve">62340</t>
  </si>
  <si>
    <t xml:space="preserve">LMGL01010027</t>
  </si>
  <si>
    <t xml:space="preserve">46896303</t>
  </si>
  <si>
    <t xml:space="preserve">OC[C@]([H])(OC(CC/C=C\C/C=C\C/C=C\C/C=C\C/C=C\C/C=C\CC)=O)CO</t>
  </si>
  <si>
    <t xml:space="preserve">NHNGEAQTTQPSCX-KUBAVDMBSA-N</t>
  </si>
  <si>
    <t xml:space="preserve">1005-2</t>
  </si>
  <si>
    <t xml:space="preserve">7b-Hydroxy-3-oxo-5b-cholanoic acid</t>
  </si>
  <si>
    <t xml:space="preserve">HMDB0000541</t>
  </si>
  <si>
    <t xml:space="preserve">5526</t>
  </si>
  <si>
    <t xml:space="preserve">172644</t>
  </si>
  <si>
    <t xml:space="preserve">22833531</t>
  </si>
  <si>
    <t xml:space="preserve">77060-26-5</t>
  </si>
  <si>
    <t xml:space="preserve">[H][C@@]12CC[C@H]([C@H](C)CCC(=O)OC)[C@@]1(C)CC[C@@]1([H])[C@@]2([H])C(=O)CC2CC(=O)CC[C@]12C</t>
  </si>
  <si>
    <t xml:space="preserve">UZRRNRRCPZZPNY-ZECRIGHZSA-N</t>
  </si>
  <si>
    <t xml:space="preserve">1006-1</t>
  </si>
  <si>
    <t xml:space="preserve">1007-1</t>
  </si>
  <si>
    <t xml:space="preserve">3,11-Dihydroxytetradecanoylcarnitine</t>
  </si>
  <si>
    <t xml:space="preserve">HMDB0241349</t>
  </si>
  <si>
    <t xml:space="preserve">CCCC(O)CCCCCCCC(O)CC(=O)OC(CC([O-])=O)C[N+](C)(C)C</t>
  </si>
  <si>
    <t xml:space="preserve">GYIBWBWGKKFXLF-UHFFFAOYSA-N</t>
  </si>
  <si>
    <t xml:space="preserve">1007-2</t>
  </si>
  <si>
    <t xml:space="preserve">3,7-Dihydroxytetradecanoylcarnitine</t>
  </si>
  <si>
    <t xml:space="preserve">HMDB0241350</t>
  </si>
  <si>
    <t xml:space="preserve">CCCCCCCC(O)CCCC(O)CC(=O)OC(CC([O-])=O)C[N+](C)(C)C</t>
  </si>
  <si>
    <t xml:space="preserve">VDPJGPYZMBBKAF-UHFFFAOYSA-N</t>
  </si>
  <si>
    <t xml:space="preserve">1007-3</t>
  </si>
  <si>
    <t xml:space="preserve">3,13-Dihydroxytetradecanoylcarnitine</t>
  </si>
  <si>
    <t xml:space="preserve">HMDB0241351</t>
  </si>
  <si>
    <t xml:space="preserve">CC(O)CCCCCCCCCC(O)CC(=O)OC(CC([O-])=O)C[N+](C)(C)C</t>
  </si>
  <si>
    <t xml:space="preserve">VMIXBRYHABTJPS-UHFFFAOYSA-N</t>
  </si>
  <si>
    <t xml:space="preserve">1008-1</t>
  </si>
  <si>
    <t xml:space="preserve">1009-1</t>
  </si>
  <si>
    <t xml:space="preserve">1010-1</t>
  </si>
  <si>
    <t xml:space="preserve">1011-1</t>
  </si>
  <si>
    <t xml:space="preserve">1012-1</t>
  </si>
  <si>
    <t xml:space="preserve">1013-1</t>
  </si>
  <si>
    <t xml:space="preserve">1014-1</t>
  </si>
  <si>
    <t xml:space="preserve">1015-1</t>
  </si>
  <si>
    <t xml:space="preserve">1016-1</t>
  </si>
  <si>
    <t xml:space="preserve">1017-1</t>
  </si>
  <si>
    <t xml:space="preserve">PG(36:2)</t>
  </si>
  <si>
    <t xml:space="preserve">HMDB0010605</t>
  </si>
  <si>
    <t xml:space="preserve">61878</t>
  </si>
  <si>
    <t xml:space="preserve">LMGP04010982</t>
  </si>
  <si>
    <t xml:space="preserve">89266</t>
  </si>
  <si>
    <t xml:space="preserve">52927245</t>
  </si>
  <si>
    <t xml:space="preserve">[H][C@](O)(CO)COP(OC[C@]([H])(OC(CCCCCCC/C=C\C/C=C\CCCCC)=O)COC(CCCCCCCCCCCCCCCCC)=O)(=O)O</t>
  </si>
  <si>
    <t xml:space="preserve">JPRWHUSRRGNLOV-KKUBIFFLSA-N</t>
  </si>
  <si>
    <t xml:space="preserve">1017-2</t>
  </si>
  <si>
    <t xml:space="preserve">1,2-Dioleoyl-sn-glycero-3-phosphoglycerol</t>
  </si>
  <si>
    <t xml:space="preserve">HMDB0244089</t>
  </si>
  <si>
    <t xml:space="preserve">119120</t>
  </si>
  <si>
    <t xml:space="preserve">CCCCCCCCC=CCCCCCCCC(=O)OCC(COP(O)(=O)OCC(O)CO)OC(=O)CCCCCCCC=CCCCCCCCC</t>
  </si>
  <si>
    <t xml:space="preserve">DSNRWDQKZIEDDB-UHFFFAOYSA-N</t>
  </si>
  <si>
    <t xml:space="preserve">1018-1</t>
  </si>
  <si>
    <t xml:space="preserve">1019-1</t>
  </si>
  <si>
    <t xml:space="preserve">1020-1</t>
  </si>
  <si>
    <t xml:space="preserve">1021-1</t>
  </si>
  <si>
    <t xml:space="preserve">PE(39:0)</t>
  </si>
  <si>
    <t xml:space="preserve">HMDB0008914</t>
  </si>
  <si>
    <t xml:space="preserve">60357</t>
  </si>
  <si>
    <t xml:space="preserve">53479581</t>
  </si>
  <si>
    <t xml:space="preserve">[H][C@@](COC(=O)CCCCCCCCCCCCCC)(COP(O)(=O)OCCN)OC(=O)CCCCCCCCCCCCCCCCCCCCCCC</t>
  </si>
  <si>
    <t xml:space="preserve">VYBCJTRCGBXKFD-HUESYALOSA-N</t>
  </si>
  <si>
    <t xml:space="preserve">1021-2</t>
  </si>
  <si>
    <t xml:space="preserve">PC(36:0)</t>
  </si>
  <si>
    <t xml:space="preserve">HMDB0007886</t>
  </si>
  <si>
    <t xml:space="preserve">59336</t>
  </si>
  <si>
    <t xml:space="preserve">LMGP01010511</t>
  </si>
  <si>
    <t xml:space="preserve">86107</t>
  </si>
  <si>
    <t xml:space="preserve">24778638</t>
  </si>
  <si>
    <t xml:space="preserve">[C@](COP(=O)([O-])OCC[N+](C)(C)C)([H])(OC(CCCCCCCCCCCCCCCCCCCCC)=O)COC(CCCCCCCCCCCCC)=O</t>
  </si>
  <si>
    <t xml:space="preserve">KNQNJCODLDRFSM-HUESYALOSA-N</t>
  </si>
  <si>
    <t xml:space="preserve">1022-1</t>
  </si>
  <si>
    <t xml:space="preserve">1023-1</t>
  </si>
  <si>
    <t xml:space="preserve">1024-1</t>
  </si>
  <si>
    <t xml:space="preserve">PC(20:4)</t>
  </si>
  <si>
    <t xml:space="preserve">HMDB0008392</t>
  </si>
  <si>
    <t xml:space="preserve">59838</t>
  </si>
  <si>
    <t xml:space="preserve">89181</t>
  </si>
  <si>
    <t xml:space="preserve">53479005</t>
  </si>
  <si>
    <t xml:space="preserve">CCCCCCCC\C=C/C\C=C/C\C=C/CCCC(=O)OCC(COP([O-])(=O)OCC[N+](C)(C)C)O\C=C/CCCCCCCC\C=C/CCCCCC</t>
  </si>
  <si>
    <t xml:space="preserve">LRXLTVLBEDXONI-DSLLYOFSSA-N</t>
  </si>
  <si>
    <t xml:space="preserve">1024-2</t>
  </si>
  <si>
    <t xml:space="preserve">PC(22:4)</t>
  </si>
  <si>
    <t xml:space="preserve">HMDB0008652</t>
  </si>
  <si>
    <t xml:space="preserve">60098</t>
  </si>
  <si>
    <t xml:space="preserve">88846</t>
  </si>
  <si>
    <t xml:space="preserve">53479267</t>
  </si>
  <si>
    <t xml:space="preserve">CCCCCCCCCCCCCC\C=C/OC(COC(=O)CCCCC\C=C/C\C=C/C\C=C/C\C=C/CCCCC)COP([O-])(=O)OCC[N+](C)(C)C</t>
  </si>
  <si>
    <t xml:space="preserve">QSCPZZNEQRYGTB-PZVMGWTJSA-N</t>
  </si>
  <si>
    <t xml:space="preserve">1025-1</t>
  </si>
  <si>
    <t xml:space="preserve">1026-1</t>
  </si>
  <si>
    <t xml:space="preserve">1027-1</t>
  </si>
  <si>
    <t xml:space="preserve">1028-1</t>
  </si>
  <si>
    <t xml:space="preserve">1029-1</t>
  </si>
  <si>
    <t xml:space="preserve">1030-1</t>
  </si>
  <si>
    <t xml:space="preserve">1031-1</t>
  </si>
  <si>
    <t xml:space="preserve">1032-1</t>
  </si>
  <si>
    <t xml:space="preserve">1033-1</t>
  </si>
  <si>
    <t xml:space="preserve">1034-1</t>
  </si>
  <si>
    <t xml:space="preserve">1035-1</t>
  </si>
  <si>
    <t xml:space="preserve">1036-1</t>
  </si>
  <si>
    <t xml:space="preserve">1037-1</t>
  </si>
  <si>
    <t xml:space="preserve">Hebevinoside XI</t>
  </si>
  <si>
    <t xml:space="preserve">HMDB0034601</t>
  </si>
  <si>
    <t xml:space="preserve">73818333</t>
  </si>
  <si>
    <t xml:space="preserve">101365-13-3</t>
  </si>
  <si>
    <t xml:space="preserve">COC1C=C2C(CCC(OC3OCC(O)C(O)C3O)C2(C)C)C2(C)CCC3(C)C(C(C)CCC=C(C)C)C(CC3(C)C12)OC1OC(COC(C)=O)C(OC(C)=O)C(O)C1O</t>
  </si>
  <si>
    <t xml:space="preserve">BDIZCZITXGMZCF-UHFFFAOYSA-N</t>
  </si>
  <si>
    <t xml:space="preserve">1037-2</t>
  </si>
  <si>
    <t xml:space="preserve">Hebevinoside V</t>
  </si>
  <si>
    <t xml:space="preserve">HMDB0035981</t>
  </si>
  <si>
    <t xml:space="preserve">73818216</t>
  </si>
  <si>
    <t xml:space="preserve">101365-07-5</t>
  </si>
  <si>
    <t xml:space="preserve">COC1C=C2C(CCC(OC3OCC(OC(C)=O)C(O)C3O)C2(C)C)C2(C)CCC3(C)C(C(C)CCC=C(C)C)C(CC3(C)C12)OC1OC(COC(C)=O)C(O)C(O)C1O</t>
  </si>
  <si>
    <t xml:space="preserve">AMBFYXVSRGPNHQ-UHFFFAOYSA-N</t>
  </si>
  <si>
    <t xml:space="preserve">1038-1</t>
  </si>
  <si>
    <t xml:space="preserve">1039-1</t>
  </si>
  <si>
    <t xml:space="preserve">1040-1</t>
  </si>
  <si>
    <t xml:space="preserve">1041-1</t>
  </si>
  <si>
    <t xml:space="preserve">3-Decaprenyl-4-hydroxybenzoic acid</t>
  </si>
  <si>
    <t xml:space="preserve">HMDB0006251</t>
  </si>
  <si>
    <t xml:space="preserve">58377</t>
  </si>
  <si>
    <t xml:space="preserve">64136</t>
  </si>
  <si>
    <t xml:space="preserve">6454686</t>
  </si>
  <si>
    <t xml:space="preserve">636-57-7</t>
  </si>
  <si>
    <t xml:space="preserve">CC(C)=CCC\C(C)=C\CC\C(C)=C\CC\C(C)=C\CC\C(C)=C\CC\C(C)=C\CC\C(C)=C\CC\C(C)=C\CC\C(C)=C\CC\C(C)=C\CC1=C(O)C=CC(=C1)C(O)=O</t>
  </si>
  <si>
    <t xml:space="preserve">CMPNJZREBHCPHN-LTNIBBDRSA-N</t>
  </si>
  <si>
    <t xml:space="preserve">1041-2</t>
  </si>
  <si>
    <t xml:space="preserve">2-Decaprenyl-6-methoxy-1,4-benzoquinone</t>
  </si>
  <si>
    <t xml:space="preserve">HMDB0060248</t>
  </si>
  <si>
    <t xml:space="preserve">53835</t>
  </si>
  <si>
    <t xml:space="preserve">LMPR02010033</t>
  </si>
  <si>
    <t xml:space="preserve">50773</t>
  </si>
  <si>
    <t xml:space="preserve">25010761</t>
  </si>
  <si>
    <t xml:space="preserve">C1(=O)C(OC)=CC(=O)C=C1C/C=C(/CC/C=C(/CC/C=C(/CC/C=C(/CC/C=C(/CC/C=C(/CC/C=C(/CC/C=C(/CC/C=C(/CC/C=C(/C)\C)\C)\C)\C)\C)\C)\C)\C)\C)\C</t>
  </si>
  <si>
    <t xml:space="preserve">POYJNCVGTDCCPK-RDSVHMIISA-N</t>
  </si>
  <si>
    <t xml:space="preserve">1042-1</t>
  </si>
  <si>
    <t xml:space="preserve">1043-1</t>
  </si>
  <si>
    <t xml:space="preserve">1044-1</t>
  </si>
  <si>
    <t xml:space="preserve">1045-1</t>
  </si>
  <si>
    <t xml:space="preserve">1046-1</t>
  </si>
  <si>
    <t xml:space="preserve">1047-1</t>
  </si>
  <si>
    <t xml:space="preserve">1048-1</t>
  </si>
  <si>
    <t xml:space="preserve">1049-1</t>
  </si>
  <si>
    <t xml:space="preserve">1050-1</t>
  </si>
  <si>
    <t xml:space="preserve">1051-1</t>
  </si>
  <si>
    <t xml:space="preserve">PS(DiMe(11,3)/DiMe(11,3))</t>
  </si>
  <si>
    <t xml:space="preserve">HMDB0061552</t>
  </si>
  <si>
    <t xml:space="preserve">CCCC1=C(C)C(C)=C(CCCCCCCCCCC(=O)OCC(COP(O)(=O)OCC(N)C(O)=O)OC(=O)CCCCCCCCCCC2=C(C)C(C)=C(CCC)O2)O1</t>
  </si>
  <si>
    <t xml:space="preserve">GEBZEXLPFXOQHT-UHFFFAOYSA-N</t>
  </si>
  <si>
    <t xml:space="preserve">1051-2</t>
  </si>
  <si>
    <t xml:space="preserve">PS(DiMe(11,3)/DiMe(9,5))</t>
  </si>
  <si>
    <t xml:space="preserve">HMDB0061556</t>
  </si>
  <si>
    <t xml:space="preserve">CCCCCC1=C(C)C(C)=C(CCCCCCCCC(=O)OC(COC(=O)CCCCCCCCCCC2=C(C)C(C)=C(CCC)O2)COP(O)(=O)OCC(N)C(O)=O)O1</t>
  </si>
  <si>
    <t xml:space="preserve">HTULEYJTTROFSX-UHFFFAOYSA-N</t>
  </si>
  <si>
    <t xml:space="preserve">1051-3</t>
  </si>
  <si>
    <t xml:space="preserve">PS(DiMe(11,5)/DiMe(9,3))</t>
  </si>
  <si>
    <t xml:space="preserve">HMDB0061564</t>
  </si>
  <si>
    <t xml:space="preserve">CCCCCC1=C(C)C(C)=C(CCCCCCCCCCC(=O)OCC(COP(O)(=O)OCC(N)C(O)=O)OC(=O)CCCCCCCCC2=C(C)C(C)=C(CCC)O2)O1</t>
  </si>
  <si>
    <t xml:space="preserve">NERABSYISRGKSI-UHFFFAOYSA-N</t>
  </si>
  <si>
    <t xml:space="preserve">1052-1</t>
  </si>
  <si>
    <t xml:space="preserve">1053-1</t>
  </si>
  <si>
    <t xml:space="preserve">1054-1</t>
  </si>
  <si>
    <t xml:space="preserve">1055-1</t>
  </si>
  <si>
    <t xml:space="preserve">1056-1</t>
  </si>
  <si>
    <t xml:space="preserve">1057-1</t>
  </si>
  <si>
    <t xml:space="preserve">1058-1</t>
  </si>
  <si>
    <t xml:space="preserve">1059-1</t>
  </si>
  <si>
    <t xml:space="preserve">1060-1</t>
  </si>
  <si>
    <t xml:space="preserve">1061-1</t>
  </si>
  <si>
    <t xml:space="preserve">1062-1</t>
  </si>
  <si>
    <t xml:space="preserve">1063-1</t>
  </si>
  <si>
    <t xml:space="preserve">1064-1</t>
  </si>
  <si>
    <t xml:space="preserve">1065-1</t>
  </si>
  <si>
    <t xml:space="preserve">1066-1</t>
  </si>
  <si>
    <t xml:space="preserve">1067-1</t>
  </si>
  <si>
    <t xml:space="preserve">1068-1</t>
  </si>
  <si>
    <t xml:space="preserve">1069-1</t>
  </si>
  <si>
    <t xml:space="preserve">5,8-Epoxy-5,8-dihydro-3-hydroxy-8'-apo-b,y-carotenal</t>
  </si>
  <si>
    <t xml:space="preserve">HMDB0039024</t>
  </si>
  <si>
    <t xml:space="preserve">93630</t>
  </si>
  <si>
    <t xml:space="preserve">169828</t>
  </si>
  <si>
    <t xml:space="preserve">131752520</t>
  </si>
  <si>
    <t xml:space="preserve">54899-35-3</t>
  </si>
  <si>
    <t xml:space="preserve">C\C(C=O)=C\C=C\C(\C)=C\C=C\C=C(/C)\C=C\C=C(\C)C1OC2(C)CC(O)CC(C)(C)C2=C1</t>
  </si>
  <si>
    <t xml:space="preserve">DFTUPAXJLNIGJB-UUVOACAKSA-N</t>
  </si>
  <si>
    <t xml:space="preserve">1069-2</t>
  </si>
  <si>
    <t xml:space="preserve">beta-Citraurin epoxide</t>
  </si>
  <si>
    <t xml:space="preserve">HMDB0039079</t>
  </si>
  <si>
    <t xml:space="preserve">131752538</t>
  </si>
  <si>
    <t xml:space="preserve">71869-83-5</t>
  </si>
  <si>
    <t xml:space="preserve">C\C(C=O)=C/C=C/C(/C)=C/C=C/C=C(\C)/C=C/C=C(/C)\C=C\C12OC1(C)CC(O)CC2(C)C</t>
  </si>
  <si>
    <t xml:space="preserve">TUSQPOXZYYVVMH-STNACPSUSA-N</t>
  </si>
  <si>
    <t xml:space="preserve">1070-1</t>
  </si>
  <si>
    <t xml:space="preserve">1071-1</t>
  </si>
  <si>
    <t xml:space="preserve">1072-1</t>
  </si>
  <si>
    <t xml:space="preserve">Chenodeoxyglycocholic acid</t>
  </si>
  <si>
    <t xml:space="preserve">HMDB0006898</t>
  </si>
  <si>
    <t xml:space="preserve">C05462</t>
  </si>
  <si>
    <t xml:space="preserve">53477907</t>
  </si>
  <si>
    <t xml:space="preserve">CC(CCC(=O)NCC(O)=O)C1CCC2C3[C@H](O)CC4C[C@H](O)CC[C@]4(C)C3CC[C@]12C</t>
  </si>
  <si>
    <t xml:space="preserve">GHCZAUBVMUEKKP-AFQLCFGXSA-N</t>
  </si>
  <si>
    <t xml:space="preserve">1072-2</t>
  </si>
  <si>
    <t xml:space="preserve">Deoxycholic acid glycine conjugate</t>
  </si>
  <si>
    <t xml:space="preserve">HMDB0000631</t>
  </si>
  <si>
    <t xml:space="preserve">5604</t>
  </si>
  <si>
    <t xml:space="preserve">C05464</t>
  </si>
  <si>
    <t xml:space="preserve">27471</t>
  </si>
  <si>
    <t xml:space="preserve">22833539</t>
  </si>
  <si>
    <t xml:space="preserve">360-65-6</t>
  </si>
  <si>
    <t xml:space="preserve">[H][C@]12CCC3C4CC[C@H]([C@H](C)CCC(=O)NCC(O)=O)[C@@]4(C)[C@@H](O)CC3[C@@]1(C)CC[C@@H](O)C2</t>
  </si>
  <si>
    <t xml:space="preserve">WVULKSPCQVQLCU-ZMBDPXIHSA-N</t>
  </si>
  <si>
    <t xml:space="preserve">1072-3</t>
  </si>
  <si>
    <t xml:space="preserve">Chenodeoxycholic acid glycine conjugate</t>
  </si>
  <si>
    <t xml:space="preserve">HMDB0000637</t>
  </si>
  <si>
    <t xml:space="preserve">43193</t>
  </si>
  <si>
    <t xml:space="preserve">LMST05030008</t>
  </si>
  <si>
    <t xml:space="preserve">C05466</t>
  </si>
  <si>
    <t xml:space="preserve">36274</t>
  </si>
  <si>
    <t xml:space="preserve">12544</t>
  </si>
  <si>
    <t xml:space="preserve">640-79-9</t>
  </si>
  <si>
    <t xml:space="preserve">[C@]12([C@H](O)C[C@]3([H])C[C@H](O)CC[C@]3(C)[C@@]1([H])CC[C@]1(C)[C@@]([H])([C@@](C)([H])CCC(=O)NCC(=O)O)CC[C@@]21[H])[H]</t>
  </si>
  <si>
    <t xml:space="preserve">GHCZAUBVMUEKKP-GYPHWSFCSA-N</t>
  </si>
  <si>
    <t xml:space="preserve">1073-1</t>
  </si>
  <si>
    <t xml:space="preserve">1074-1</t>
  </si>
  <si>
    <t xml:space="preserve">1075-1</t>
  </si>
  <si>
    <t xml:space="preserve">1076-1</t>
  </si>
  <si>
    <t xml:space="preserve">1077-1</t>
  </si>
  <si>
    <t xml:space="preserve">1078-1</t>
  </si>
  <si>
    <t xml:space="preserve">PI(36:0)</t>
  </si>
  <si>
    <t xml:space="preserve">HMDB0009785</t>
  </si>
  <si>
    <t xml:space="preserve">88388</t>
  </si>
  <si>
    <t xml:space="preserve">[H][C@@](COC(=O)CCCCCCCCCCCCCCC)(COP(O)(=O)O[C@H]1C(O)C(O)C(O)[C@@H](O)C1O)OC(=O)CCCCCCCCCCCCCCCCCCC</t>
  </si>
  <si>
    <t xml:space="preserve">RWZGSUKHWVGIAM-SNXKPFKBSA-N</t>
  </si>
  <si>
    <t xml:space="preserve">1078-2</t>
  </si>
  <si>
    <t xml:space="preserve">Phosphatidylinositols,soya</t>
  </si>
  <si>
    <t xml:space="preserve">HMDB0247688</t>
  </si>
  <si>
    <t xml:space="preserve">44134894</t>
  </si>
  <si>
    <t xml:space="preserve">CCCCCCCCCCCCCCCCCC(=O)OCC(COP(O)(=O)OC1C(O)C(O)C(O)C(O)C1O)OC(=O)CCCCCCCCCCCCCCCCC</t>
  </si>
  <si>
    <t xml:space="preserve">FQZQXPXKJFOAGE-UHFFFAOYSA-N</t>
  </si>
  <si>
    <t xml:space="preserve">1079-1</t>
  </si>
  <si>
    <t xml:space="preserve">PE(DiMe(11,3)/MonoMe(13,5))</t>
  </si>
  <si>
    <t xml:space="preserve">HMDB0061478</t>
  </si>
  <si>
    <t xml:space="preserve">[H]C1=C(CCCCC)OC(CCCCCCCCCCCCC(=O)O[C@H](COC(=O)CCCCCCCCCCC2=C(C)C(C)=C(CCC)O2)COP(O)(=O)OCCN)=C1C</t>
  </si>
  <si>
    <t xml:space="preserve">UAMPKQWQTADZOO-VZUYHUTRSA-N</t>
  </si>
  <si>
    <t xml:space="preserve">1079-2</t>
  </si>
  <si>
    <t xml:space="preserve">PE(DiMe(11,5)/MonoMe(11,5))</t>
  </si>
  <si>
    <t xml:space="preserve">HMDB0061486</t>
  </si>
  <si>
    <t xml:space="preserve">[H]C1=C(CCCCC)OC(CCCCCCCCCCC(=O)O[C@H](COC(=O)CCCCCCCCCCC2=C(C)C(C)=C(CCCCC)O2)COP(O)(=O)OCCN)=C1C</t>
  </si>
  <si>
    <t xml:space="preserve">PYFCFCHMLIUMLO-VZUYHUTRSA-N</t>
  </si>
  <si>
    <t xml:space="preserve">1079-3</t>
  </si>
  <si>
    <t xml:space="preserve">PE(DiMe(13,5)/MonoMe(11,3))</t>
  </si>
  <si>
    <t xml:space="preserve">HMDB0061494</t>
  </si>
  <si>
    <t xml:space="preserve">[H]C1=C(CCC)OC(CCCCCCCCCCC(=O)O[C@H](COC(=O)CCCCCCCCCCCCC2=C(C)C(C)=C(CCCCC)O2)COP(O)(=O)OCCN)=C1C</t>
  </si>
  <si>
    <t xml:space="preserve">JDJZKGQIIUFPHQ-VZUYHUTRSA-N</t>
  </si>
  <si>
    <t xml:space="preserve">1080-1</t>
  </si>
  <si>
    <t xml:space="preserve">1081-1</t>
  </si>
  <si>
    <t xml:space="preserve">1082-1</t>
  </si>
  <si>
    <t xml:space="preserve">1083-1</t>
  </si>
  <si>
    <t xml:space="preserve">1084-1</t>
  </si>
  <si>
    <t xml:space="preserve">1085-1</t>
  </si>
  <si>
    <t xml:space="preserve">1086-1</t>
  </si>
  <si>
    <t xml:space="preserve">1087-1</t>
  </si>
  <si>
    <t xml:space="preserve">1088-1</t>
  </si>
  <si>
    <t xml:space="preserve">1089-1</t>
  </si>
  <si>
    <t xml:space="preserve">PE(DiMe(11,3)/DiMe(13,5))</t>
  </si>
  <si>
    <t xml:space="preserve">HMDB0061473</t>
  </si>
  <si>
    <t xml:space="preserve">CCCCCC1=C(C)C(C)=C(CCCCCCCCCCCCC(=O)O[C@H](COC(=O)CCCCCCCCCCC2=C(C)C(C)=C(CCC)O2)COP(O)(=O)OCCN)O1</t>
  </si>
  <si>
    <t xml:space="preserve">CDNPWVGGWXNTBR-VZUYHUTRSA-N</t>
  </si>
  <si>
    <t xml:space="preserve">1089-2</t>
  </si>
  <si>
    <t xml:space="preserve">PE(DiMe(11,5)/DiMe(11,5))</t>
  </si>
  <si>
    <t xml:space="preserve">HMDB0061481</t>
  </si>
  <si>
    <t xml:space="preserve">CCCCCC1=C(C)C(C)=C(CCCCCCCCCCC(=O)OC[C@H](COP(O)(=O)OCCN)OC(=O)CCCCCCCCCCC2=C(C)C(C)=C(CCCCC)O2)O1</t>
  </si>
  <si>
    <t xml:space="preserve">IBAYQVACCJSDJX-VZUYHUTRSA-N</t>
  </si>
  <si>
    <t xml:space="preserve">1089-3</t>
  </si>
  <si>
    <t xml:space="preserve">PE(DiMe(13,5)/DiMe(11,3))</t>
  </si>
  <si>
    <t xml:space="preserve">HMDB0061489</t>
  </si>
  <si>
    <t xml:space="preserve">CCCCCC1=C(C)C(C)=C(CCCCCCCCCCCCC(=O)OC[C@H](COP(O)(=O)OCCN)OC(=O)CCCCCCCCCCC2=C(C)C(C)=C(CCC)O2)O1</t>
  </si>
  <si>
    <t xml:space="preserve">NKKQINAZXXBALB-VZUYHUTRSA-N</t>
  </si>
  <si>
    <t xml:space="preserve">1090-1</t>
  </si>
  <si>
    <t xml:space="preserve">1091-1</t>
  </si>
  <si>
    <t xml:space="preserve">1092-1</t>
  </si>
  <si>
    <t xml:space="preserve">1093-1</t>
  </si>
  <si>
    <t xml:space="preserve">1094-1</t>
  </si>
  <si>
    <t xml:space="preserve">1095-1</t>
  </si>
  <si>
    <t xml:space="preserve">1096-1</t>
  </si>
  <si>
    <t xml:space="preserve">1097-1</t>
  </si>
  <si>
    <t xml:space="preserve">1098-1</t>
  </si>
  <si>
    <t xml:space="preserve">1099-1</t>
  </si>
  <si>
    <t xml:space="preserve">1100-1</t>
  </si>
  <si>
    <t xml:space="preserve">1101-1</t>
  </si>
  <si>
    <t xml:space="preserve">1102-1</t>
  </si>
  <si>
    <t xml:space="preserve">PE(DiMe(11,5)/MonoMe(13,5))</t>
  </si>
  <si>
    <t xml:space="preserve">HMDB0061487</t>
  </si>
  <si>
    <t xml:space="preserve">[H]C1=C(CCCCC)OC(CCCCCCCCCCCCC(=O)O[C@H](COC(=O)CCCCCCCCCCC2=C(C)C(C)=C(CCCCC)O2)COP(O)(=O)OCCN)=C1C</t>
  </si>
  <si>
    <t xml:space="preserve">WDYHIEHMTFODHG-WBVITSLISA-N</t>
  </si>
  <si>
    <t xml:space="preserve">1102-2</t>
  </si>
  <si>
    <t xml:space="preserve">PE(DiMe(13,5)/MonoMe(11,5))</t>
  </si>
  <si>
    <t xml:space="preserve">HMDB0061495</t>
  </si>
  <si>
    <t xml:space="preserve">[H]C1=C(CCCCC)OC(CCCCCCCCCCC(=O)O[C@H](COC(=O)CCCCCCCCCCCCC2=C(C)C(C)=C(CCCCC)O2)COP(O)(=O)OCCN)=C1C</t>
  </si>
  <si>
    <t xml:space="preserve">KYWBAAGMBQKNKK-WBVITSLISA-N</t>
  </si>
  <si>
    <t xml:space="preserve">1102-3</t>
  </si>
  <si>
    <t xml:space="preserve">PE(MonoMe(11,5)/DiMe(13,5))</t>
  </si>
  <si>
    <t xml:space="preserve">HMDB0061527</t>
  </si>
  <si>
    <t xml:space="preserve">[H]C1=C(CCCCC)OC(CCCCCCCCCCC(=O)OC[C@H](COP(O)(=O)OCCN)OC(=O)CCCCCCCCCCCCC2=C(C)C(C)=C(CCCCC)O2)=C1C</t>
  </si>
  <si>
    <t xml:space="preserve">MSZKNLRRNYTLAI-WBVITSLISA-N</t>
  </si>
  <si>
    <t xml:space="preserve">1103-1</t>
  </si>
  <si>
    <t xml:space="preserve">1104-1</t>
  </si>
  <si>
    <t xml:space="preserve">1105-1</t>
  </si>
  <si>
    <t xml:space="preserve">1106-1</t>
  </si>
  <si>
    <t xml:space="preserve">1107-1</t>
  </si>
  <si>
    <t xml:space="preserve">1108-1</t>
  </si>
  <si>
    <t xml:space="preserve">PE(DiMe(11,5)/DiMe(13,5))</t>
  </si>
  <si>
    <t xml:space="preserve">HMDB0061482</t>
  </si>
  <si>
    <t xml:space="preserve">CCCCCC1=C(C)C(C)=C(CCCCCCCCCCCCC(=O)O[C@H](COC(=O)CCCCCCCCCCC2=C(C)C(C)=C(CCCCC)O2)COP(O)(=O)OCCN)O1</t>
  </si>
  <si>
    <t xml:space="preserve">ITYKVNCCHSCSRQ-WBVITSLISA-N</t>
  </si>
  <si>
    <t xml:space="preserve">1108-2</t>
  </si>
  <si>
    <t xml:space="preserve">PE(DiMe(13,5)/DiMe(11,5))</t>
  </si>
  <si>
    <t xml:space="preserve">HMDB0061490</t>
  </si>
  <si>
    <t xml:space="preserve">CCCCCC1=C(C)C(C)=C(CCCCCCCCCCCCC(=O)OC[C@H](COP(O)(=O)OCCN)OC(=O)CCCCCCCCCCC2=C(C)C(C)=C(CCCCC)O2)O1</t>
  </si>
  <si>
    <t xml:space="preserve">IJPBBGGHYYXFCB-WBVITSLISA-N</t>
  </si>
  <si>
    <t xml:space="preserve">1108-3</t>
  </si>
  <si>
    <t xml:space="preserve">PE(MonoMe(13,5)/MonoMe(13,5))</t>
  </si>
  <si>
    <t xml:space="preserve">HMDB0061541</t>
  </si>
  <si>
    <t xml:space="preserve">[H]C1=C(CCCCC)OC(CCCCCCCCCCCCC(=O)OC[C@H](COP(O)(=O)OCCN)OC(=O)CCCCCCCCCCCCC2=C(C)C([H])=C(CCCCC)O2)=C1C</t>
  </si>
  <si>
    <t xml:space="preserve">XBSWWNAOCKLXBI-QZNUWAOFSA-N</t>
  </si>
  <si>
    <t xml:space="preserve">1109-1</t>
  </si>
  <si>
    <t xml:space="preserve">1110-1</t>
  </si>
  <si>
    <t xml:space="preserve">1111-1</t>
  </si>
  <si>
    <t xml:space="preserve">1112-1</t>
  </si>
  <si>
    <t xml:space="preserve">1113-1</t>
  </si>
  <si>
    <t xml:space="preserve">1114-1</t>
  </si>
  <si>
    <t xml:space="preserve">1115-1</t>
  </si>
  <si>
    <t xml:space="preserve">1116-1</t>
  </si>
  <si>
    <t xml:space="preserve">1117-1</t>
  </si>
  <si>
    <t xml:space="preserve">1118-1</t>
  </si>
  <si>
    <t xml:space="preserve">1119-1</t>
  </si>
  <si>
    <t xml:space="preserve">1120-1</t>
  </si>
  <si>
    <t xml:space="preserve">PE(DiMe(13,5)/DiMe(13,5))</t>
  </si>
  <si>
    <t xml:space="preserve">HMDB0061491</t>
  </si>
  <si>
    <t xml:space="preserve">CCCCCC1=C(C)C(C)=C(CCCCCCCCCCCCC(=O)OC[C@H](COP(O)(=O)OCCN)OC(=O)CCCCCCCCCCCCC2=C(C)C(C)=C(CCCCC)O2)O1</t>
  </si>
  <si>
    <t xml:space="preserve">STZVDMLJLPGTBD-QZNUWAOFSA-N</t>
  </si>
  <si>
    <t xml:space="preserve">1120-2</t>
  </si>
  <si>
    <t xml:space="preserve">PE-NMe(13D5/13M5)</t>
  </si>
  <si>
    <t xml:space="preserve">HMDB0113797</t>
  </si>
  <si>
    <t xml:space="preserve">[H][C@@](COC(=O)CCCCCCCCCCCCC1=C(C)C(C)=C(CCCCC)O1)(COP(O)(=O)OCCNC)OC(=O)CCCCCCCCCCCCC1=C(C)C=C(CCCCC)O1</t>
  </si>
  <si>
    <t xml:space="preserve">XFJAJHUTSXEBML-QSCHNALKSA-N</t>
  </si>
  <si>
    <t xml:space="preserve">1120-3</t>
  </si>
  <si>
    <t xml:space="preserve">PE-NMe(13M5/13D5)</t>
  </si>
  <si>
    <t xml:space="preserve">HMDB0113805</t>
  </si>
  <si>
    <t xml:space="preserve">[H][C@@](COC(=O)CCCCCCCCCCCCC1=C(C)C=C(CCCCC)O1)(COP(O)(=O)OCCNC)OC(=O)CCCCCCCCCCCCC1=C(C)C(C)=C(CCCCC)O1</t>
  </si>
  <si>
    <t xml:space="preserve">KVYOOZYNIJQSOI-QSCHNALKSA-N</t>
  </si>
  <si>
    <t xml:space="preserve">1121-1</t>
  </si>
  <si>
    <t xml:space="preserve">1122-1</t>
  </si>
  <si>
    <t xml:space="preserve">1123-1</t>
  </si>
  <si>
    <t xml:space="preserve">1124-1</t>
  </si>
  <si>
    <t xml:space="preserve">1125-1</t>
  </si>
  <si>
    <t xml:space="preserve">1126-1</t>
  </si>
  <si>
    <t xml:space="preserve">1127-1</t>
  </si>
  <si>
    <t xml:space="preserve">1128-1</t>
  </si>
  <si>
    <t xml:space="preserve">1129-1</t>
  </si>
  <si>
    <t xml:space="preserve">1130-1</t>
  </si>
  <si>
    <t xml:space="preserve">71.08707</t>
  </si>
  <si>
    <t xml:space="preserve">C5H12O</t>
  </si>
  <si>
    <t xml:space="preserve">M+H-H2O</t>
  </si>
  <si>
    <t xml:space="preserve">Isopentanol; 1-Pentanol; Methyl-tert-butyl ether</t>
  </si>
  <si>
    <t xml:space="preserve">6085; 6089; 83305</t>
  </si>
  <si>
    <t xml:space="preserve">HMDB0006007; HMDB0013036; HMDB0061749</t>
  </si>
  <si>
    <t xml:space="preserve">46062; 46065; 69006</t>
  </si>
  <si>
    <t xml:space="preserve">LMFA05000108; LMFA05000112; </t>
  </si>
  <si>
    <t xml:space="preserve">C07328; C16834; C11344</t>
  </si>
  <si>
    <t xml:space="preserve">15837; 44884; 27642</t>
  </si>
  <si>
    <t xml:space="preserve">31260; 6276; 15413</t>
  </si>
  <si>
    <t xml:space="preserve">123-51-3; 71-41-0; 1634-04-4</t>
  </si>
  <si>
    <t xml:space="preserve">OCCC(C)C; OCCCCC; COC(C)(C)C</t>
  </si>
  <si>
    <t xml:space="preserve">PHTQWCKDNZKARW-UHFFFAOYSA-N; AMQJEAYHLZJPGS-UHFFFAOYSA-N; BZLVMXJERCGZMT-UHFFFAOYSA-N</t>
  </si>
  <si>
    <t xml:space="preserve">Alcohols and polyols; Alcohols and polyols; Ethers</t>
  </si>
  <si>
    <t xml:space="preserve">72.08239</t>
  </si>
  <si>
    <t xml:space="preserve">C4H11NO</t>
  </si>
  <si>
    <t xml:space="preserve">Dimethylethanolamine</t>
  </si>
  <si>
    <t xml:space="preserve">56641</t>
  </si>
  <si>
    <t xml:space="preserve">HMDB0032231</t>
  </si>
  <si>
    <t xml:space="preserve">88280</t>
  </si>
  <si>
    <t xml:space="preserve">C04308</t>
  </si>
  <si>
    <t xml:space="preserve">271436</t>
  </si>
  <si>
    <t xml:space="preserve">7902</t>
  </si>
  <si>
    <t xml:space="preserve">108-01-0</t>
  </si>
  <si>
    <t xml:space="preserve">CN(C)CCO</t>
  </si>
  <si>
    <t xml:space="preserve">UEEJHVSXFDXPFK-UHFFFAOYSA-N</t>
  </si>
  <si>
    <t xml:space="preserve">73.06607</t>
  </si>
  <si>
    <t xml:space="preserve">C4H10O2</t>
  </si>
  <si>
    <t xml:space="preserve">1,3-Butanediol; 2,3-Butanediol; 2-Ethoxyethanol</t>
  </si>
  <si>
    <t xml:space="preserve">55895; 48034; 55817</t>
  </si>
  <si>
    <t xml:space="preserve">HMDB0031320; HMDB0003156; HMDB0031213</t>
  </si>
  <si>
    <t xml:space="preserve">87583; 104; 70261</t>
  </si>
  <si>
    <t xml:space="preserve">C20335; C03044; C14687</t>
  </si>
  <si>
    <t xml:space="preserve">52683; 62064; 46788</t>
  </si>
  <si>
    <t xml:space="preserve">7896; 262; 8076</t>
  </si>
  <si>
    <t xml:space="preserve">107-88-0; 513-85-9; 110-80-5</t>
  </si>
  <si>
    <t xml:space="preserve">CC(O)CCO; CC(O)C(C)O; CCOCCO</t>
  </si>
  <si>
    <t xml:space="preserve">PUPZLCDOIYMWBV-UHFFFAOYSA-N; OWBTYPJTUOEWEK-UHFFFAOYSA-N; ZNQVEEAIQZEUHB-UHFFFAOYSA-N</t>
  </si>
  <si>
    <t xml:space="preserve">81.07144</t>
  </si>
  <si>
    <t xml:space="preserve">C6H10O</t>
  </si>
  <si>
    <t xml:space="preserve">(Z)-3-Hexenal; 2-Hexenal; Cyclohexanone</t>
  </si>
  <si>
    <t xml:space="preserve">6575; 6468; 48053</t>
  </si>
  <si>
    <t xml:space="preserve">HMDB0031498; HMDB0031496; HMDB0003315</t>
  </si>
  <si>
    <t xml:space="preserve">36628; 36524; 58147</t>
  </si>
  <si>
    <t xml:space="preserve">LMFA06000110; LMFA06000002; </t>
  </si>
  <si>
    <t xml:space="preserve">C16310; C08497; C00414</t>
  </si>
  <si>
    <t xml:space="preserve">23292; 28913; 17854</t>
  </si>
  <si>
    <t xml:space="preserve">643941; 5281168; 7967</t>
  </si>
  <si>
    <t xml:space="preserve">6789-80-6; 6728-26-3; 108-94-1</t>
  </si>
  <si>
    <t xml:space="preserve">C(C/C=C\CC)=O; CCC/C=C/C([H])=O; O=C1CCCCC1</t>
  </si>
  <si>
    <t xml:space="preserve">GXANMBISFKBPEX-ARJAWSKDSA-N; MBDOYVRWFFCFHM-SNAWJCMRSA-N; JHIVVAPYMSGYDF-UHFFFAOYSA-N</t>
  </si>
  <si>
    <t xml:space="preserve">Carbonyl compounds; Carbonyl compounds; Carbonyl compounds</t>
  </si>
  <si>
    <t xml:space="preserve">83.08658</t>
  </si>
  <si>
    <t xml:space="preserve">C6H12O</t>
  </si>
  <si>
    <t xml:space="preserve">Hexanal; Methyl isobutyl ketone; 4-Methylpentanal</t>
  </si>
  <si>
    <t xml:space="preserve">6574; 9859; 47514</t>
  </si>
  <si>
    <t xml:space="preserve">HMDB0005994; HMDB0002939; HMDB0001318</t>
  </si>
  <si>
    <t xml:space="preserve">36627; 58138; 6155</t>
  </si>
  <si>
    <t xml:space="preserve">LMFA06000109; LMFA12000033; </t>
  </si>
  <si>
    <t xml:space="preserve">C02373; C19263; C02373</t>
  </si>
  <si>
    <t xml:space="preserve">88528; 142806; 17998</t>
  </si>
  <si>
    <t xml:space="preserve">6184; 7909; 129</t>
  </si>
  <si>
    <t xml:space="preserve">66-25-1; 108-10-1; 1119-16-0</t>
  </si>
  <si>
    <t xml:space="preserve">CCCCCC([H])=O; CC(=O)CC(C)C; CC(C)CCC=O</t>
  </si>
  <si>
    <t xml:space="preserve">JARKCYVAAOWBJS-UHFFFAOYSA-N; NTIZESTWPVYFNL-UHFFFAOYSA-N; JGEGJYXHCFUMJF-UHFFFAOYSA-N</t>
  </si>
  <si>
    <t xml:space="preserve">84.04504</t>
  </si>
  <si>
    <t xml:space="preserve">C4H7NO2</t>
  </si>
  <si>
    <t xml:space="preserve">L-3-Aminodihydro-2(3H)-furanone; 1-Aminocyclopropanecarboxylic acid</t>
  </si>
  <si>
    <t xml:space="preserve">54348; 60212</t>
  </si>
  <si>
    <t xml:space="preserve">HMDB0029387; HMDB0036458</t>
  </si>
  <si>
    <t xml:space="preserve">65863; 6029</t>
  </si>
  <si>
    <t xml:space="preserve">C02926; C01234</t>
  </si>
  <si>
    <t xml:space="preserve">17289; 18053</t>
  </si>
  <si>
    <t xml:space="preserve">73509; 535</t>
  </si>
  <si>
    <t xml:space="preserve">1192-20-7; 22059-21-8</t>
  </si>
  <si>
    <t xml:space="preserve">NC1CCOC1=O; NC1(CC1)C(O)=O</t>
  </si>
  <si>
    <t xml:space="preserve">QJPWUUJVYOJNMH-UHFFFAOYSA-N; PAJPWUMXBYXFCZ-UHFFFAOYSA-N</t>
  </si>
  <si>
    <t xml:space="preserve">84.08224</t>
  </si>
  <si>
    <t xml:space="preserve">C5H10N</t>
  </si>
  <si>
    <t xml:space="preserve">M+</t>
  </si>
  <si>
    <t xml:space="preserve">1-Methylpyrrolinium</t>
  </si>
  <si>
    <t xml:space="preserve">82200</t>
  </si>
  <si>
    <t xml:space="preserve">HMDB0060253</t>
  </si>
  <si>
    <t xml:space="preserve">436042</t>
  </si>
  <si>
    <t xml:space="preserve">C06178</t>
  </si>
  <si>
    <t xml:space="preserve">27435</t>
  </si>
  <si>
    <t xml:space="preserve">440932</t>
  </si>
  <si>
    <t xml:space="preserve">C[N+]1=CCCC1</t>
  </si>
  <si>
    <t xml:space="preserve">FDWZAOGDOVQOLD-UHFFFAOYSA-N</t>
  </si>
  <si>
    <t xml:space="preserve">86.09768</t>
  </si>
  <si>
    <t xml:space="preserve">C5H12N</t>
  </si>
  <si>
    <t xml:space="preserve">N,N,N-Trimethylethenaminium</t>
  </si>
  <si>
    <t xml:space="preserve">81980</t>
  </si>
  <si>
    <t xml:space="preserve">HMDB0059961</t>
  </si>
  <si>
    <t xml:space="preserve">10043</t>
  </si>
  <si>
    <t xml:space="preserve">C[N+](C)(C)C=C</t>
  </si>
  <si>
    <t xml:space="preserve">PPJWCUOWPVSSSW-UHFFFAOYSA-N</t>
  </si>
  <si>
    <t xml:space="preserve">87.04525</t>
  </si>
  <si>
    <t xml:space="preserve">C4H6O2</t>
  </si>
  <si>
    <t xml:space="preserve">M+H</t>
  </si>
  <si>
    <t xml:space="preserve">But-2-enoic acid</t>
  </si>
  <si>
    <t xml:space="preserve">HMDB0010720</t>
  </si>
  <si>
    <t xml:space="preserve">34861</t>
  </si>
  <si>
    <t xml:space="preserve">LMFA01030195</t>
  </si>
  <si>
    <t xml:space="preserve">C01771</t>
  </si>
  <si>
    <t xml:space="preserve">41131</t>
  </si>
  <si>
    <t xml:space="preserve">637090</t>
  </si>
  <si>
    <t xml:space="preserve">3724-65-0</t>
  </si>
  <si>
    <t xml:space="preserve">C(=C/C)\C(=O)O</t>
  </si>
  <si>
    <t xml:space="preserve">LDHQCZJRKDOVOX-NSCUHMNNSA-N</t>
  </si>
  <si>
    <t xml:space="preserve">88.07692</t>
  </si>
  <si>
    <t xml:space="preserve">C4H11NO2</t>
  </si>
  <si>
    <t xml:space="preserve">Diethanolamine</t>
  </si>
  <si>
    <t xml:space="preserve">48290</t>
  </si>
  <si>
    <t xml:space="preserve">HMDB0004437</t>
  </si>
  <si>
    <t xml:space="preserve">3239</t>
  </si>
  <si>
    <t xml:space="preserve">C06772</t>
  </si>
  <si>
    <t xml:space="preserve">28123</t>
  </si>
  <si>
    <t xml:space="preserve">8113</t>
  </si>
  <si>
    <t xml:space="preserve">111-42-2</t>
  </si>
  <si>
    <t xml:space="preserve">OCCNCCO</t>
  </si>
  <si>
    <t xml:space="preserve">ZBCBWPMODOFKDW-UHFFFAOYSA-N</t>
  </si>
  <si>
    <t xml:space="preserve">89.07201</t>
  </si>
  <si>
    <t xml:space="preserve">C3H8N2O</t>
  </si>
  <si>
    <t xml:space="preserve">Dimethylurea</t>
  </si>
  <si>
    <t xml:space="preserve">54188</t>
  </si>
  <si>
    <t xml:space="preserve">HMDB0029198</t>
  </si>
  <si>
    <t xml:space="preserve">4228</t>
  </si>
  <si>
    <t xml:space="preserve">C16364</t>
  </si>
  <si>
    <t xml:space="preserve">80472</t>
  </si>
  <si>
    <t xml:space="preserve">7293</t>
  </si>
  <si>
    <t xml:space="preserve">96-31-1</t>
  </si>
  <si>
    <t xml:space="preserve">CNC(=O)NC</t>
  </si>
  <si>
    <t xml:space="preserve">MGJKQDOBUOMPEZ-UHFFFAOYSA-N</t>
  </si>
  <si>
    <t xml:space="preserve">91.05536</t>
  </si>
  <si>
    <t xml:space="preserve">C7H8O</t>
  </si>
  <si>
    <t xml:space="preserve">p-Cresol</t>
  </si>
  <si>
    <t xml:space="preserve">47679</t>
  </si>
  <si>
    <t xml:space="preserve">HMDB0001858</t>
  </si>
  <si>
    <t xml:space="preserve">4236</t>
  </si>
  <si>
    <t xml:space="preserve">C01468</t>
  </si>
  <si>
    <t xml:space="preserve">17847</t>
  </si>
  <si>
    <t xml:space="preserve">2879</t>
  </si>
  <si>
    <t xml:space="preserve">106-44-5</t>
  </si>
  <si>
    <t xml:space="preserve">CC1=CC=C(O)C=C1</t>
  </si>
  <si>
    <t xml:space="preserve">IWDCLRJOBJJRNH-UHFFFAOYSA-N</t>
  </si>
  <si>
    <t xml:space="preserve">Cresols</t>
  </si>
  <si>
    <t xml:space="preserve">95.08742</t>
  </si>
  <si>
    <t xml:space="preserve">C7H12O</t>
  </si>
  <si>
    <t xml:space="preserve">3-Hepten-2-one; (Z)-4-Heptenal; 2-Hepten-4-one</t>
  </si>
  <si>
    <t xml:space="preserve">9916; 56027; 56028</t>
  </si>
  <si>
    <t xml:space="preserve">HMDB0031486; HMDB0031483; HMDB0031488</t>
  </si>
  <si>
    <t xml:space="preserve">87713; 87711; 87715</t>
  </si>
  <si>
    <t xml:space="preserve">LMFA12000103; ; </t>
  </si>
  <si>
    <t xml:space="preserve">5364578; 5362814; 5463238</t>
  </si>
  <si>
    <t xml:space="preserve">1119-44-4; 6728-31-0; 4643-25-8</t>
  </si>
  <si>
    <t xml:space="preserve">CC(=O)/C=C/CCC; CC\C=C/CCC=O; CCCC(=O)\C=C\C</t>
  </si>
  <si>
    <t xml:space="preserve">JHHZQADGLDKIPM-AATRIKPKSA-N; VVGOCOMZRGWHPI-ARJAWSKDSA-N; TXVAOITYBBWKMG-HWKANZROSA-N</t>
  </si>
  <si>
    <t xml:space="preserve">96.07869</t>
  </si>
  <si>
    <t xml:space="preserve">C4H11N</t>
  </si>
  <si>
    <t xml:space="preserve">M+Na</t>
  </si>
  <si>
    <t xml:space="preserve">1-Butylamine; sec-Butylamine; 2-Methyl-1-propylamine</t>
  </si>
  <si>
    <t xml:space="preserve">55896; 56611; 58270</t>
  </si>
  <si>
    <t xml:space="preserve">HMDB0031321; HMDB0032179; HMDB0034198</t>
  </si>
  <si>
    <t xml:space="preserve">72484; ; 65832</t>
  </si>
  <si>
    <t xml:space="preserve">C18706; C18706; C02787</t>
  </si>
  <si>
    <t xml:space="preserve">43799; 74526; 15997</t>
  </si>
  <si>
    <t xml:space="preserve">8007; 24874; 6558</t>
  </si>
  <si>
    <t xml:space="preserve">109-73-9; 13952-84-6; 78-81-9</t>
  </si>
  <si>
    <t xml:space="preserve">CCCCN; CCC(C)N; CC(C)CN</t>
  </si>
  <si>
    <t xml:space="preserve">HQABUPZFAYXKJW-UHFFFAOYSA-N; BHRZNVHARXXAHW-UHFFFAOYSA-N; KDSNLYIMUZNERS-UHFFFAOYSA-N</t>
  </si>
  <si>
    <t xml:space="preserve">Organic nitrogen compounds; Organic nitrogen compounds; Organic nitrogen compounds</t>
  </si>
  <si>
    <t xml:space="preserve">Organonitrogen compounds; Organonitrogen compounds; Organonitrogen compounds</t>
  </si>
  <si>
    <t xml:space="preserve">Amines; Amines; Amines</t>
  </si>
  <si>
    <t xml:space="preserve">98.97621</t>
  </si>
  <si>
    <t xml:space="preserve">C2H4Cl2</t>
  </si>
  <si>
    <t xml:space="preserve">1,2-Dichloroethane; 1,1-Dichloroethane</t>
  </si>
  <si>
    <t xml:space="preserve">54497; 199547</t>
  </si>
  <si>
    <t xml:space="preserve">HMDB0029571; HMDB0244020</t>
  </si>
  <si>
    <t xml:space="preserve">66520; 72092</t>
  </si>
  <si>
    <t xml:space="preserve">C06752; C18247</t>
  </si>
  <si>
    <t xml:space="preserve">27789; </t>
  </si>
  <si>
    <t xml:space="preserve">11; 6365</t>
  </si>
  <si>
    <t xml:space="preserve">107-06-2; 75-34-3</t>
  </si>
  <si>
    <t xml:space="preserve">ClCCCl; CC(Cl)Cl</t>
  </si>
  <si>
    <t xml:space="preserve">WSLDOOZREJYCGB-UHFFFAOYSA-N; SCYULBFZEHDVBN-UHFFFAOYSA-N</t>
  </si>
  <si>
    <t xml:space="preserve">Organochlorides; Organochlorides</t>
  </si>
  <si>
    <t xml:space="preserve">98.98362</t>
  </si>
  <si>
    <t xml:space="preserve">CH2O</t>
  </si>
  <si>
    <t xml:space="preserve">2M+K</t>
  </si>
  <si>
    <t xml:space="preserve">Formaldehyde</t>
  </si>
  <si>
    <t xml:space="preserve">47579</t>
  </si>
  <si>
    <t xml:space="preserve">HMDB0001426</t>
  </si>
  <si>
    <t xml:space="preserve">3198</t>
  </si>
  <si>
    <t xml:space="preserve">C00067</t>
  </si>
  <si>
    <t xml:space="preserve">16842</t>
  </si>
  <si>
    <t xml:space="preserve">712</t>
  </si>
  <si>
    <t xml:space="preserve">50-00-0</t>
  </si>
  <si>
    <t xml:space="preserve">C=O</t>
  </si>
  <si>
    <t xml:space="preserve">WSFSSNUMVMOOMR-UHFFFAOYSA-N</t>
  </si>
  <si>
    <t xml:space="preserve">100.07675</t>
  </si>
  <si>
    <t xml:space="preserve">C5H11NO2</t>
  </si>
  <si>
    <t xml:space="preserve">L-Valine</t>
  </si>
  <si>
    <t xml:space="preserve">47278</t>
  </si>
  <si>
    <t xml:space="preserve">HMDB0000883</t>
  </si>
  <si>
    <t xml:space="preserve">35</t>
  </si>
  <si>
    <t xml:space="preserve">C00183</t>
  </si>
  <si>
    <t xml:space="preserve">16414</t>
  </si>
  <si>
    <t xml:space="preserve">6287</t>
  </si>
  <si>
    <t xml:space="preserve">72-18-4</t>
  </si>
  <si>
    <t xml:space="preserve">CC(C)[C@H](N)C(O)=O</t>
  </si>
  <si>
    <t xml:space="preserve">KZSNJWFQEVHDMF-BYPYZUCNSA-N</t>
  </si>
  <si>
    <t xml:space="preserve">100.11215</t>
  </si>
  <si>
    <t xml:space="preserve">C6H14N</t>
  </si>
  <si>
    <t xml:space="preserve">Cyclohexylammonium</t>
  </si>
  <si>
    <t xml:space="preserve">83743</t>
  </si>
  <si>
    <t xml:space="preserve">HMDB0062716</t>
  </si>
  <si>
    <t xml:space="preserve">42939</t>
  </si>
  <si>
    <t xml:space="preserve">1549093</t>
  </si>
  <si>
    <t xml:space="preserve">[NH3+]C1CCCCC1</t>
  </si>
  <si>
    <t xml:space="preserve">PAFZNILMFXTMIY-UHFFFAOYSA-O</t>
  </si>
  <si>
    <t xml:space="preserve">Cyclohexylamines</t>
  </si>
  <si>
    <t xml:space="preserve">101.06087</t>
  </si>
  <si>
    <t xml:space="preserve">C5H10O3</t>
  </si>
  <si>
    <t xml:space="preserve">5-Hydroxypentanoic acid</t>
  </si>
  <si>
    <t xml:space="preserve">1656</t>
  </si>
  <si>
    <t xml:space="preserve">HMDB0061927</t>
  </si>
  <si>
    <t xml:space="preserve">35394</t>
  </si>
  <si>
    <t xml:space="preserve">LMFA01050010</t>
  </si>
  <si>
    <t xml:space="preserve">C02804</t>
  </si>
  <si>
    <t xml:space="preserve">45564</t>
  </si>
  <si>
    <t xml:space="preserve">25945</t>
  </si>
  <si>
    <t xml:space="preserve">13392-69-3</t>
  </si>
  <si>
    <t xml:space="preserve">C(CCO)CC(=O)O</t>
  </si>
  <si>
    <t xml:space="preserve">PHOJOSOUIAQEDH-UHFFFAOYSA-N</t>
  </si>
  <si>
    <t xml:space="preserve">102.09019</t>
  </si>
  <si>
    <t xml:space="preserve">C5H12NO</t>
  </si>
  <si>
    <t xml:space="preserve">Betaine aldehyde</t>
  </si>
  <si>
    <t xml:space="preserve">47472</t>
  </si>
  <si>
    <t xml:space="preserve">HMDB0001252</t>
  </si>
  <si>
    <t xml:space="preserve">278</t>
  </si>
  <si>
    <t xml:space="preserve">C00576</t>
  </si>
  <si>
    <t xml:space="preserve">15710</t>
  </si>
  <si>
    <t xml:space="preserve">249</t>
  </si>
  <si>
    <t xml:space="preserve">7418-61-3</t>
  </si>
  <si>
    <t xml:space="preserve">C[N+](C)(C)CC=O</t>
  </si>
  <si>
    <t xml:space="preserve">SXKNCCSPZDCRFD-UHFFFAOYSA-N</t>
  </si>
  <si>
    <t xml:space="preserve">103.04014</t>
  </si>
  <si>
    <t xml:space="preserve">C4H8O4</t>
  </si>
  <si>
    <t xml:space="preserve">Erythrose</t>
  </si>
  <si>
    <t xml:space="preserve">47971</t>
  </si>
  <si>
    <t xml:space="preserve">HMDB0002649</t>
  </si>
  <si>
    <t xml:space="preserve">289</t>
  </si>
  <si>
    <t xml:space="preserve">C01796</t>
  </si>
  <si>
    <t xml:space="preserve">23956</t>
  </si>
  <si>
    <t xml:space="preserve">439574</t>
  </si>
  <si>
    <t xml:space="preserve">1758-51-6</t>
  </si>
  <si>
    <t xml:space="preserve">[H][C@@]1(O)COC([H])(O)[C@]1([H])O</t>
  </si>
  <si>
    <t xml:space="preserve">FMAORJIQYMIRHF-HERZVMAMSA-N</t>
  </si>
  <si>
    <t xml:space="preserve">103.12398</t>
  </si>
  <si>
    <t xml:space="preserve">C5H14N2</t>
  </si>
  <si>
    <t xml:space="preserve">N-Methylputrescine; Cadaverine</t>
  </si>
  <si>
    <t xml:space="preserve">48155; 47908</t>
  </si>
  <si>
    <t xml:space="preserve">HMDB0003661; HMDB0002322</t>
  </si>
  <si>
    <t xml:space="preserve">58172; 3236</t>
  </si>
  <si>
    <t xml:space="preserve">C02723; C01672</t>
  </si>
  <si>
    <t xml:space="preserve">17166; 18127</t>
  </si>
  <si>
    <t xml:space="preserve">439791; 273</t>
  </si>
  <si>
    <t xml:space="preserve">14475-60-6; 462-94-2</t>
  </si>
  <si>
    <t xml:space="preserve">CNCCCCN; NCCCCCN</t>
  </si>
  <si>
    <t xml:space="preserve">RMIVMBYMDISYFZ-UHFFFAOYSA-N; VHRGRCVQAFMJIZ-UHFFFAOYSA-N</t>
  </si>
  <si>
    <t xml:space="preserve">104.10883</t>
  </si>
  <si>
    <t xml:space="preserve">C5H14NO</t>
  </si>
  <si>
    <t xml:space="preserve">Choline</t>
  </si>
  <si>
    <t xml:space="preserve">46869</t>
  </si>
  <si>
    <t xml:space="preserve">HMDB0000097</t>
  </si>
  <si>
    <t xml:space="preserve">C00114</t>
  </si>
  <si>
    <t xml:space="preserve">15354</t>
  </si>
  <si>
    <t xml:space="preserve">305</t>
  </si>
  <si>
    <t xml:space="preserve">62-49-7</t>
  </si>
  <si>
    <t xml:space="preserve">C[N+](C)(C)CCO</t>
  </si>
  <si>
    <t xml:space="preserve">OEYIOHPDSNJKLS-UHFFFAOYSA-N</t>
  </si>
  <si>
    <t xml:space="preserve">105.03501</t>
  </si>
  <si>
    <t xml:space="preserve">C7H6O2</t>
  </si>
  <si>
    <t xml:space="preserve">4-Hydroxybenzaldehyde</t>
  </si>
  <si>
    <t xml:space="preserve">51491</t>
  </si>
  <si>
    <t xml:space="preserve">HMDB0011718</t>
  </si>
  <si>
    <t xml:space="preserve">62451</t>
  </si>
  <si>
    <t xml:space="preserve">C00633</t>
  </si>
  <si>
    <t xml:space="preserve">17597</t>
  </si>
  <si>
    <t xml:space="preserve">126</t>
  </si>
  <si>
    <t xml:space="preserve">123-08-0</t>
  </si>
  <si>
    <t xml:space="preserve">OC1=CC=C(C=O)C=C1</t>
  </si>
  <si>
    <t xml:space="preserve">RGHHSNMVTDWUBI-UHFFFAOYSA-N</t>
  </si>
  <si>
    <t xml:space="preserve">105.07080</t>
  </si>
  <si>
    <t xml:space="preserve">C8H10O</t>
  </si>
  <si>
    <t xml:space="preserve">1-Phenylethanol; 4-Ethylphenol; 2-Phenylethanol</t>
  </si>
  <si>
    <t xml:space="preserve">56909; 54277; 58091</t>
  </si>
  <si>
    <t xml:space="preserve">HMDB0032619; HMDB0029306; HMDB0033944</t>
  </si>
  <si>
    <t xml:space="preserve">66591; 69612; 64740</t>
  </si>
  <si>
    <t xml:space="preserve">C07112; C13637; C05853</t>
  </si>
  <si>
    <t xml:space="preserve">669; 49584; 49000</t>
  </si>
  <si>
    <t xml:space="preserve">7409; 31242; 6054</t>
  </si>
  <si>
    <t xml:space="preserve">98-85-1; 123-07-9; 60-12-8</t>
  </si>
  <si>
    <t xml:space="preserve">CC(O)C1=CC=CC=C1; CCC1=CC=C(O)C=C1; OCCC1=CC=CC=C1</t>
  </si>
  <si>
    <t xml:space="preserve">WAPNOHKVXSQRPX-UHFFFAOYSA-N; HXDOZKJGKXYMEW-UHFFFAOYSA-N; WRMNZCZEMHIOCP-UHFFFAOYSA-N</t>
  </si>
  <si>
    <t xml:space="preserve">Benzene and substituted derivatives; Phenols; Benzene and substituted derivatives</t>
  </si>
  <si>
    <t xml:space="preserve">Unclassified; 1-hydroxy-2-unsubstituted benzenoids; Unclassified</t>
  </si>
  <si>
    <t xml:space="preserve">107.08724</t>
  </si>
  <si>
    <t xml:space="preserve">C8H12O</t>
  </si>
  <si>
    <t xml:space="preserve">(E,E)-2,4-Octadienal; trans, trans-3,5-Octadien-2-one; 2,3-Dimethyl-2-cyclohexen-1-one</t>
  </si>
  <si>
    <t xml:space="preserve">6499; 9843; 55985</t>
  </si>
  <si>
    <t xml:space="preserve">HMDB0031686; HMDB0032446; HMDB0031414</t>
  </si>
  <si>
    <t xml:space="preserve">36554; 88467; 87665</t>
  </si>
  <si>
    <t xml:space="preserve">LMFA06000034; LMFA12000017; </t>
  </si>
  <si>
    <t xml:space="preserve">5283329; 5352876; 10887898</t>
  </si>
  <si>
    <t xml:space="preserve">30361-28-5; 30086-02-3; 1122-20-9</t>
  </si>
  <si>
    <t xml:space="preserve">CCC/C=C/C=C/C([H])=O; CC(=O)/C=C/C=C/CC; CC1=C(C)C(=O)CCC1</t>
  </si>
  <si>
    <t xml:space="preserve">DVVATNQISMINCX-YTXTXJHMSA-N; LWRKMRFJEUFXIB-YTXTXJHMSA-N; FRJKTQQNQDTORT-UHFFFAOYSA-N</t>
  </si>
  <si>
    <t xml:space="preserve">109.10273</t>
  </si>
  <si>
    <t xml:space="preserve">C8H14O</t>
  </si>
  <si>
    <t xml:space="preserve">Sulcatone</t>
  </si>
  <si>
    <t xml:space="preserve">9865</t>
  </si>
  <si>
    <t xml:space="preserve">HMDB0035915</t>
  </si>
  <si>
    <t xml:space="preserve">LMFA12000039</t>
  </si>
  <si>
    <t xml:space="preserve">C07287</t>
  </si>
  <si>
    <t xml:space="preserve">16310</t>
  </si>
  <si>
    <t xml:space="preserve">9862</t>
  </si>
  <si>
    <t xml:space="preserve">110-93-0</t>
  </si>
  <si>
    <t xml:space="preserve">CC(=O)CC/C=C(\C)/C</t>
  </si>
  <si>
    <t xml:space="preserve">UHEPJGULSIKKTP-UHFFFAOYSA-N</t>
  </si>
  <si>
    <t xml:space="preserve">110.07149</t>
  </si>
  <si>
    <t xml:space="preserve">C5H7N3</t>
  </si>
  <si>
    <t xml:space="preserve">2-Hydrazinopyridine; 3,4-Diaminopyridine</t>
  </si>
  <si>
    <t xml:space="preserve">200581; 201395</t>
  </si>
  <si>
    <t xml:space="preserve">HMDB0245139; HMDB0246022</t>
  </si>
  <si>
    <t xml:space="preserve">350391; 315851</t>
  </si>
  <si>
    <t xml:space="preserve">78645; 5918</t>
  </si>
  <si>
    <t xml:space="preserve">NNC1=CC=CC=N1; NC1=CNC=CC1=N</t>
  </si>
  <si>
    <t xml:space="preserve">NWELCUKYUCBVKK-UHFFFAOYSA-N; OYTKINVCDFNREN-UHFFFAOYSA-N</t>
  </si>
  <si>
    <t xml:space="preserve">Unclassified; Aminopyridines and derivatives</t>
  </si>
  <si>
    <t xml:space="preserve">111.04574</t>
  </si>
  <si>
    <t xml:space="preserve">C6H8O3</t>
  </si>
  <si>
    <t xml:space="preserve">Osmundalactone</t>
  </si>
  <si>
    <t xml:space="preserve">55880</t>
  </si>
  <si>
    <t xml:space="preserve">HMDB0031303</t>
  </si>
  <si>
    <t xml:space="preserve">87570</t>
  </si>
  <si>
    <t xml:space="preserve">173475</t>
  </si>
  <si>
    <t xml:space="preserve">12374456</t>
  </si>
  <si>
    <t xml:space="preserve">69308-39-0</t>
  </si>
  <si>
    <t xml:space="preserve">CC1OC(=O)C=CC1O</t>
  </si>
  <si>
    <t xml:space="preserve">TVDPVFPVOHCHQM-UHFFFAOYSA-N</t>
  </si>
  <si>
    <t xml:space="preserve">111.11771</t>
  </si>
  <si>
    <t xml:space="preserve">C8H16O</t>
  </si>
  <si>
    <t xml:space="preserve">(R)-1-Octen-3-ol; (R)-Sulcatol</t>
  </si>
  <si>
    <t xml:space="preserve">6068; 6305</t>
  </si>
  <si>
    <t xml:space="preserve">HMDB0031299; HMDB0030030</t>
  </si>
  <si>
    <t xml:space="preserve">46045; 44731</t>
  </si>
  <si>
    <t xml:space="preserve">LMFA05000090; LMFA05000566</t>
  </si>
  <si>
    <t xml:space="preserve">C14272; C07288</t>
  </si>
  <si>
    <t xml:space="preserve">34118; 15833</t>
  </si>
  <si>
    <t xml:space="preserve">18827; 20745</t>
  </si>
  <si>
    <t xml:space="preserve">; 4630-06-2</t>
  </si>
  <si>
    <t xml:space="preserve">C(C(CCCCC)O)=C; C/C(/C)=C/CCC(C)O</t>
  </si>
  <si>
    <t xml:space="preserve">VSMOENVRRABVKN-UHFFFAOYSA-N; OHEFFKYYKJVVOX-UHFFFAOYSA-N</t>
  </si>
  <si>
    <t xml:space="preserve">Fatty alcohols; Fatty alcohols</t>
  </si>
  <si>
    <t xml:space="preserve">112.02919</t>
  </si>
  <si>
    <t xml:space="preserve">C4H9O</t>
  </si>
  <si>
    <t xml:space="preserve">M+K</t>
  </si>
  <si>
    <t xml:space="preserve">Tert-Butoxy</t>
  </si>
  <si>
    <t xml:space="preserve">212280</t>
  </si>
  <si>
    <t xml:space="preserve">HMDB0258838</t>
  </si>
  <si>
    <t xml:space="preserve">CC(C)(C)[O]</t>
  </si>
  <si>
    <t xml:space="preserve">ZLRFPQPVXRIBCQ-UHFFFAOYSA-N</t>
  </si>
  <si>
    <t xml:space="preserve">112.05228</t>
  </si>
  <si>
    <t xml:space="preserve">C4H7N3O2</t>
  </si>
  <si>
    <t xml:space="preserve">5-Hydroxy-2-imino-1-methylimidazolidin-4-one</t>
  </si>
  <si>
    <t xml:space="preserve">200439</t>
  </si>
  <si>
    <t xml:space="preserve">HMDB0244988</t>
  </si>
  <si>
    <t xml:space="preserve">124266</t>
  </si>
  <si>
    <t xml:space="preserve">CN1C(O)C(=O)NC1=N</t>
  </si>
  <si>
    <t xml:space="preserve">SMQPRZPBBUJEGU-UHFFFAOYSA-N</t>
  </si>
  <si>
    <t xml:space="preserve">112.99279</t>
  </si>
  <si>
    <t xml:space="preserve">C3H6Cl2</t>
  </si>
  <si>
    <t xml:space="preserve">1,2-Dichloropropane</t>
  </si>
  <si>
    <t xml:space="preserve">199595</t>
  </si>
  <si>
    <t xml:space="preserve">HMDB0244069</t>
  </si>
  <si>
    <t xml:space="preserve">72785</t>
  </si>
  <si>
    <t xml:space="preserve">C19034</t>
  </si>
  <si>
    <t xml:space="preserve">142468</t>
  </si>
  <si>
    <t xml:space="preserve">6564</t>
  </si>
  <si>
    <t xml:space="preserve">78-87-5</t>
  </si>
  <si>
    <t xml:space="preserve">CC(Cl)CCl</t>
  </si>
  <si>
    <t xml:space="preserve">KNKRKFALVUDBJE-UHFFFAOYSA-N</t>
  </si>
  <si>
    <t xml:space="preserve">113.06076</t>
  </si>
  <si>
    <t xml:space="preserve">C6H10O3</t>
  </si>
  <si>
    <t xml:space="preserve">Ketoleucine</t>
  </si>
  <si>
    <t xml:space="preserve">47163</t>
  </si>
  <si>
    <t xml:space="preserve">HMDB0000695</t>
  </si>
  <si>
    <t xml:space="preserve">121</t>
  </si>
  <si>
    <t xml:space="preserve">C00233</t>
  </si>
  <si>
    <t xml:space="preserve">48430</t>
  </si>
  <si>
    <t xml:space="preserve">816-66-0</t>
  </si>
  <si>
    <t xml:space="preserve">CC(C)CC(=O)C(O)=O</t>
  </si>
  <si>
    <t xml:space="preserve">BKAJNAXTPSGJCU-UHFFFAOYSA-N</t>
  </si>
  <si>
    <t xml:space="preserve">114.09362</t>
  </si>
  <si>
    <t xml:space="preserve">C6H13NO2</t>
  </si>
  <si>
    <t xml:space="preserve">L-Isoleucine; L-Leucine</t>
  </si>
  <si>
    <t xml:space="preserve">2489; 47159</t>
  </si>
  <si>
    <t xml:space="preserve">HMDB0000172; HMDB0000687</t>
  </si>
  <si>
    <t xml:space="preserve">23; 24</t>
  </si>
  <si>
    <t xml:space="preserve">LMFA01100047; </t>
  </si>
  <si>
    <t xml:space="preserve">C00407; C00123</t>
  </si>
  <si>
    <t xml:space="preserve">17191; 15603</t>
  </si>
  <si>
    <t xml:space="preserve">6306; 6106</t>
  </si>
  <si>
    <t xml:space="preserve">73-32-5; 61-90-5</t>
  </si>
  <si>
    <t xml:space="preserve">C([C@@H](N)[C@@H](C)CC)(=O)O; CC(C)C[C@H](N)C(O)=O</t>
  </si>
  <si>
    <t xml:space="preserve">AGPKZVBTJJNPAG-WHFBIAKZSA-N; ROHFNLRQFUQHCH-YFKPBYRVSA-N</t>
  </si>
  <si>
    <t xml:space="preserve">115.08679</t>
  </si>
  <si>
    <t xml:space="preserve">C5H10N2O</t>
  </si>
  <si>
    <t xml:space="preserve">3-Amino-2-piperidone; N-Mononitrosopiperazine</t>
  </si>
  <si>
    <t xml:space="preserve">46995; 82979</t>
  </si>
  <si>
    <t xml:space="preserve">HMDB0000323; HMDB0061162</t>
  </si>
  <si>
    <t xml:space="preserve">5312; </t>
  </si>
  <si>
    <t xml:space="preserve">76341; </t>
  </si>
  <si>
    <t xml:space="preserve">5200225; 53864161</t>
  </si>
  <si>
    <t xml:space="preserve">1892-22-4; </t>
  </si>
  <si>
    <t xml:space="preserve">NC1CCCNC1=O; O=NC1CCNCC1</t>
  </si>
  <si>
    <t xml:space="preserve">YCCMTCQQDULIFE-UHFFFAOYSA-N; GYOBZYGGVLLHBK-UHFFFAOYSA-N</t>
  </si>
  <si>
    <t xml:space="preserve">Carboxylic acids and derivatives; Piperidines</t>
  </si>
  <si>
    <t xml:space="preserve">Amino acids, peptides, and analogues; Nitrosopiperidines</t>
  </si>
  <si>
    <t xml:space="preserve">115.96494</t>
  </si>
  <si>
    <t xml:space="preserve">C3H3NOS2</t>
  </si>
  <si>
    <t xml:space="preserve">RHODANINE</t>
  </si>
  <si>
    <t xml:space="preserve">210932</t>
  </si>
  <si>
    <t xml:space="preserve">HMDB0257201</t>
  </si>
  <si>
    <t xml:space="preserve">66618</t>
  </si>
  <si>
    <t xml:space="preserve">C07280</t>
  </si>
  <si>
    <t xml:space="preserve">1201546</t>
  </si>
  <si>
    <t xml:space="preserve">141-84-4</t>
  </si>
  <si>
    <t xml:space="preserve">O=C1CSC(=S)N1</t>
  </si>
  <si>
    <t xml:space="preserve">KIWUVOGUEXMXSV-UHFFFAOYSA-N</t>
  </si>
  <si>
    <t xml:space="preserve">117.10354</t>
  </si>
  <si>
    <t xml:space="preserve">C5H12N2O</t>
  </si>
  <si>
    <t xml:space="preserve">5-Aminopentanamide</t>
  </si>
  <si>
    <t xml:space="preserve">51888</t>
  </si>
  <si>
    <t xml:space="preserve">HMDB0012176</t>
  </si>
  <si>
    <t xml:space="preserve">62837</t>
  </si>
  <si>
    <t xml:space="preserve">C00990</t>
  </si>
  <si>
    <t xml:space="preserve">18120</t>
  </si>
  <si>
    <t xml:space="preserve">439358</t>
  </si>
  <si>
    <t xml:space="preserve">13023-70-6</t>
  </si>
  <si>
    <t xml:space="preserve">NCCCCC(N)=O</t>
  </si>
  <si>
    <t xml:space="preserve">OTIAVLWNTIXJDO-UHFFFAOYSA-N</t>
  </si>
  <si>
    <t xml:space="preserve">118.08765</t>
  </si>
  <si>
    <t xml:space="preserve">C5H12NO2</t>
  </si>
  <si>
    <t xml:space="preserve">Betaine</t>
  </si>
  <si>
    <t xml:space="preserve">46839</t>
  </si>
  <si>
    <t xml:space="preserve">HMDB0000043</t>
  </si>
  <si>
    <t xml:space="preserve">96231</t>
  </si>
  <si>
    <t xml:space="preserve">41139</t>
  </si>
  <si>
    <t xml:space="preserve">248</t>
  </si>
  <si>
    <t xml:space="preserve">6915-17-9</t>
  </si>
  <si>
    <t xml:space="preserve">C[N+](C)(C)CC(O)=O</t>
  </si>
  <si>
    <t xml:space="preserve">KWIUHFFTVRNATP-UHFFFAOYSA-O</t>
  </si>
  <si>
    <t xml:space="preserve">120.08223</t>
  </si>
  <si>
    <t xml:space="preserve">C8H11NO</t>
  </si>
  <si>
    <t xml:space="preserve">Tyramine; 2-Hydroxyphenethylamine; 4-Hydroxy-2,6-dimethylaniline</t>
  </si>
  <si>
    <t xml:space="preserve">46989; 47375; 82553</t>
  </si>
  <si>
    <t xml:space="preserve">HMDB0000306; HMDB0001065; HMDB0060681</t>
  </si>
  <si>
    <t xml:space="preserve">60; 59; 1000</t>
  </si>
  <si>
    <t xml:space="preserve">C00483; C02735; C16570</t>
  </si>
  <si>
    <t xml:space="preserve">15760; 16343; 55545</t>
  </si>
  <si>
    <t xml:space="preserve">5610; 1000; 76543</t>
  </si>
  <si>
    <t xml:space="preserve">51-67-2; 7568-93-6; 3096-70-6</t>
  </si>
  <si>
    <t xml:space="preserve">NCCC1=CC=C(O)C=C1; NCC(O)C1=CC=CC=C1; CC1=CC(O)=CC(C)=C1N</t>
  </si>
  <si>
    <t xml:space="preserve">DZGWFCGJZKJUFP-UHFFFAOYSA-N; ULSIYEODSMZIPX-UHFFFAOYSA-N; GCWYXRHXGLFVFE-UHFFFAOYSA-N</t>
  </si>
  <si>
    <t xml:space="preserve">Benzenoids; Organic nitrogen compounds; Benzenoids</t>
  </si>
  <si>
    <t xml:space="preserve">Benzene and substituted derivatives; Organonitrogen compounds; Phenols</t>
  </si>
  <si>
    <t xml:space="preserve">Phenethylamines; Amines; Cresols</t>
  </si>
  <si>
    <t xml:space="preserve">120.96726</t>
  </si>
  <si>
    <t xml:space="preserve">C2H6N</t>
  </si>
  <si>
    <t xml:space="preserve">M+2K-H</t>
  </si>
  <si>
    <t xml:space="preserve">Dimethylamino</t>
  </si>
  <si>
    <t xml:space="preserve">206009</t>
  </si>
  <si>
    <t xml:space="preserve">HMDB0251382</t>
  </si>
  <si>
    <t xml:space="preserve">433232</t>
  </si>
  <si>
    <t xml:space="preserve">136634</t>
  </si>
  <si>
    <t xml:space="preserve">C[N]C</t>
  </si>
  <si>
    <t xml:space="preserve">MAUMSNABMVEOGP-UHFFFAOYSA-N</t>
  </si>
  <si>
    <t xml:space="preserve">121.02950</t>
  </si>
  <si>
    <t xml:space="preserve">C7H6O3</t>
  </si>
  <si>
    <t xml:space="preserve">4-Hydroxybenzoic acid; Salicylic acid</t>
  </si>
  <si>
    <t xml:space="preserve">47065; 47701</t>
  </si>
  <si>
    <t xml:space="preserve">HMDB0000500; HMDB0001895</t>
  </si>
  <si>
    <t xml:space="preserve">3263; 616</t>
  </si>
  <si>
    <t xml:space="preserve">C00156; C00805</t>
  </si>
  <si>
    <t xml:space="preserve">30763; 16914</t>
  </si>
  <si>
    <t xml:space="preserve">135; 338</t>
  </si>
  <si>
    <t xml:space="preserve">99-96-7; 69-72-7</t>
  </si>
  <si>
    <t xml:space="preserve">OC(=O)C1=CC=C(O)C=C1; OC(=O)C1=C(O)C=CC=C1</t>
  </si>
  <si>
    <t xml:space="preserve">FJKROLUGYXJWQN-UHFFFAOYSA-N; YGSDEFSMJLZEOE-UHFFFAOYSA-N</t>
  </si>
  <si>
    <t xml:space="preserve">Benzoic acids and derivatives; Benzoic acids and derivatives</t>
  </si>
  <si>
    <t xml:space="preserve">121.10302</t>
  </si>
  <si>
    <t xml:space="preserve">C9H14O</t>
  </si>
  <si>
    <t xml:space="preserve">Violet-leaf aldehyde; 3,5,5-Trimethyl-2-cyclohexen-1-one; (3Z,6Z)-3,6-Nonadienal</t>
  </si>
  <si>
    <t xml:space="preserve">6582; 55803; 55765</t>
  </si>
  <si>
    <t xml:space="preserve">HMDB0033857; HMDB0031195; HMDB0031152</t>
  </si>
  <si>
    <t xml:space="preserve">46414; 70300; 63363</t>
  </si>
  <si>
    <t xml:space="preserve">LMFA06000117; ; </t>
  </si>
  <si>
    <t xml:space="preserve">C08499; C14743; C16323</t>
  </si>
  <si>
    <t xml:space="preserve">7610; 34800; 80444</t>
  </si>
  <si>
    <t xml:space="preserve">643731; 6544; 5352808</t>
  </si>
  <si>
    <t xml:space="preserve">557-48-2; 78-59-1; 21944-83-2</t>
  </si>
  <si>
    <t xml:space="preserve">C(=O)/C=C/CC/C=C\CC; CC1=CC(=O)CC(C)(C)C1; CC\C=C/C\C=C/CC=O</t>
  </si>
  <si>
    <t xml:space="preserve">HZYHMHHBBBSGHB-ODYTWBPASA-N; HJOVHMDZYOCNQW-UHFFFAOYSA-N; FIDBXHOCOXRPRO-CWWKMNTPSA-N</t>
  </si>
  <si>
    <t xml:space="preserve">122.05750</t>
  </si>
  <si>
    <t xml:space="preserve">C5H9NO</t>
  </si>
  <si>
    <t xml:space="preserve">2-Piperidinone</t>
  </si>
  <si>
    <t xml:space="preserve">51514</t>
  </si>
  <si>
    <t xml:space="preserve">HMDB0011749</t>
  </si>
  <si>
    <t xml:space="preserve">62467</t>
  </si>
  <si>
    <t xml:space="preserve">77761</t>
  </si>
  <si>
    <t xml:space="preserve">12665</t>
  </si>
  <si>
    <t xml:space="preserve">675-20-7</t>
  </si>
  <si>
    <t xml:space="preserve">O=C1CCCCN1</t>
  </si>
  <si>
    <t xml:space="preserve">XUWHAWMETYGRKB-UHFFFAOYSA-N</t>
  </si>
  <si>
    <t xml:space="preserve">Piperidinones</t>
  </si>
  <si>
    <t xml:space="preserve">122.07195</t>
  </si>
  <si>
    <t xml:space="preserve">C6H9N3O</t>
  </si>
  <si>
    <t xml:space="preserve">Histidinal</t>
  </si>
  <si>
    <t xml:space="preserve">51929</t>
  </si>
  <si>
    <t xml:space="preserve">HMDB0012234</t>
  </si>
  <si>
    <t xml:space="preserve">C01929</t>
  </si>
  <si>
    <t xml:space="preserve">27676</t>
  </si>
  <si>
    <t xml:space="preserve">152657</t>
  </si>
  <si>
    <t xml:space="preserve">23784-15-8</t>
  </si>
  <si>
    <t xml:space="preserve">N[C@@H](CC1=CNC=N1)C=O</t>
  </si>
  <si>
    <t xml:space="preserve">VYOIELONWKIZJS-YFKPBYRVSA-N</t>
  </si>
  <si>
    <t xml:space="preserve">123.05715</t>
  </si>
  <si>
    <t xml:space="preserve">C6H12</t>
  </si>
  <si>
    <t xml:space="preserve">Cyclohexane</t>
  </si>
  <si>
    <t xml:space="preserve">54513</t>
  </si>
  <si>
    <t xml:space="preserve">HMDB0029597</t>
  </si>
  <si>
    <t xml:space="preserve">68937</t>
  </si>
  <si>
    <t xml:space="preserve">C11249</t>
  </si>
  <si>
    <t xml:space="preserve">29005</t>
  </si>
  <si>
    <t xml:space="preserve">8078</t>
  </si>
  <si>
    <t xml:space="preserve">110-82-7</t>
  </si>
  <si>
    <t xml:space="preserve">C1CCCCC1</t>
  </si>
  <si>
    <t xml:space="preserve">XDTMQSROBMDMFD-UHFFFAOYSA-N</t>
  </si>
  <si>
    <t xml:space="preserve">Saturated hydrocarbons</t>
  </si>
  <si>
    <t xml:space="preserve">Cycloalkanes</t>
  </si>
  <si>
    <t xml:space="preserve">123.11815</t>
  </si>
  <si>
    <t xml:space="preserve">C9H16O</t>
  </si>
  <si>
    <t xml:space="preserve">(3Z,6Z)-3,6-Nonadien-1-ol; (3E,6Z)-3,6-Nonadien-1-ol; (2E,4E)-2,4-Nonadien-1-ol</t>
  </si>
  <si>
    <t xml:space="preserve">6113; 6294; 6341</t>
  </si>
  <si>
    <t xml:space="preserve">HMDB0030957; HMDB0038067; HMDB0034845</t>
  </si>
  <si>
    <t xml:space="preserve">46088; 92838; 90242</t>
  </si>
  <si>
    <t xml:space="preserve">LMFA05000136; LMFA05000555; LMFA05000608</t>
  </si>
  <si>
    <t xml:space="preserve">6434541; 44630408; 5364586</t>
  </si>
  <si>
    <t xml:space="preserve">53046-97-2; 56805-23-3; 64576-90-5</t>
  </si>
  <si>
    <t xml:space="preserve">OCC/C=C\C/C=C\CC; OCC/C=C/C/C=C\CC; C(/CCCC)=C\C=C\CO</t>
  </si>
  <si>
    <t xml:space="preserve">PICGPEBVZGCYBV-CWWKMNTPSA-N; PICGPEBVZGCYBV-WWVFNRLHSA-N; NCPWFIVLKCFWSP-BSWSSELBSA-N</t>
  </si>
  <si>
    <t xml:space="preserve">124.08779</t>
  </si>
  <si>
    <t xml:space="preserve">C6H11N3O</t>
  </si>
  <si>
    <t xml:space="preserve">L-Histidinol</t>
  </si>
  <si>
    <t xml:space="preserve">48102</t>
  </si>
  <si>
    <t xml:space="preserve">HMDB0003431</t>
  </si>
  <si>
    <t xml:space="preserve">C00860</t>
  </si>
  <si>
    <t xml:space="preserve">16255</t>
  </si>
  <si>
    <t xml:space="preserve">165271</t>
  </si>
  <si>
    <t xml:space="preserve">4836-52-6</t>
  </si>
  <si>
    <t xml:space="preserve">N[C@H](CO)CC1=CNC=N1</t>
  </si>
  <si>
    <t xml:space="preserve">ZQISRDCJNBUVMM-YFKPBYRVSA-N</t>
  </si>
  <si>
    <t xml:space="preserve">125.09665</t>
  </si>
  <si>
    <t xml:space="preserve">C8H14O2</t>
  </si>
  <si>
    <t xml:space="preserve">(3Z)-2-Propylpent-3-enoic acid; 4-ene-Valproic acid; (3E)-2-Propylpent-3-enoic acid</t>
  </si>
  <si>
    <t xml:space="preserve">1340; 1357; 1339</t>
  </si>
  <si>
    <t xml:space="preserve">HMDB0013903; HMDB0013897; HMDB0013904</t>
  </si>
  <si>
    <t xml:space="preserve">; 2996; 2993</t>
  </si>
  <si>
    <t xml:space="preserve">LMFA01030946; LMFA01030982; LMFA01030945</t>
  </si>
  <si>
    <t xml:space="preserve">C16654; C16648; C16654</t>
  </si>
  <si>
    <t xml:space="preserve">80640; 410867; </t>
  </si>
  <si>
    <t xml:space="preserve">24892812; 104896; 6439747</t>
  </si>
  <si>
    <t xml:space="preserve">; 1575-72-0; 72010-19-6</t>
  </si>
  <si>
    <t xml:space="preserve">C(/C)=C/C(C(=O)O)CCC; C=CCC(C(=O)O)CCC; C/C=C/C(C(=O)O)CCC</t>
  </si>
  <si>
    <t xml:space="preserve">WTMAHJABDOHPDJ-HYXAFXHYSA-N; UMYDNZXEHYSVFY-UHFFFAOYSA-N; WTMAHJABDOHPDJ-HWKANZROSA-N</t>
  </si>
  <si>
    <t xml:space="preserve">126.02326</t>
  </si>
  <si>
    <t xml:space="preserve">C2H7NO3S</t>
  </si>
  <si>
    <t xml:space="preserve">Taurine</t>
  </si>
  <si>
    <t xml:space="preserve">46959</t>
  </si>
  <si>
    <t xml:space="preserve">HMDB0000251</t>
  </si>
  <si>
    <t xml:space="preserve">31</t>
  </si>
  <si>
    <t xml:space="preserve">C00245</t>
  </si>
  <si>
    <t xml:space="preserve">15891</t>
  </si>
  <si>
    <t xml:space="preserve">1123</t>
  </si>
  <si>
    <t xml:space="preserve">107-35-7</t>
  </si>
  <si>
    <t xml:space="preserve">NCCS(O)(=O)=O</t>
  </si>
  <si>
    <t xml:space="preserve">XOAAWQZATWQOTB-UHFFFAOYSA-N</t>
  </si>
  <si>
    <t xml:space="preserve">127.01257</t>
  </si>
  <si>
    <t xml:space="preserve">C2H4N2O3</t>
  </si>
  <si>
    <t xml:space="preserve">Allophanic acid</t>
  </si>
  <si>
    <t xml:space="preserve">203303</t>
  </si>
  <si>
    <t xml:space="preserve">HMDB0248159</t>
  </si>
  <si>
    <t xml:space="preserve">334258</t>
  </si>
  <si>
    <t xml:space="preserve">C01010</t>
  </si>
  <si>
    <t xml:space="preserve">9889</t>
  </si>
  <si>
    <t xml:space="preserve">150833</t>
  </si>
  <si>
    <t xml:space="preserve">NC(=O)NC(O)=O</t>
  </si>
  <si>
    <t xml:space="preserve">AVWRKZWQTYIKIY-UHFFFAOYSA-N</t>
  </si>
  <si>
    <t xml:space="preserve">127.11174</t>
  </si>
  <si>
    <t xml:space="preserve">C8H16O2</t>
  </si>
  <si>
    <t xml:space="preserve">FA(8:0)</t>
  </si>
  <si>
    <t xml:space="preserve">55</t>
  </si>
  <si>
    <t xml:space="preserve">HMDB0000482</t>
  </si>
  <si>
    <t xml:space="preserve">112</t>
  </si>
  <si>
    <t xml:space="preserve">LMFA01010008</t>
  </si>
  <si>
    <t xml:space="preserve">C06423</t>
  </si>
  <si>
    <t xml:space="preserve">28837</t>
  </si>
  <si>
    <t xml:space="preserve">379</t>
  </si>
  <si>
    <t xml:space="preserve">124-07-2</t>
  </si>
  <si>
    <t xml:space="preserve">CCCCCCCC(=O)O</t>
  </si>
  <si>
    <t xml:space="preserve">WWZKQHOCKIZLMA-UHFFFAOYSA-N</t>
  </si>
  <si>
    <t xml:space="preserve">128.10908</t>
  </si>
  <si>
    <t xml:space="preserve">C7H15NO2</t>
  </si>
  <si>
    <t xml:space="preserve">4-Trimethylammoniobutanoic acid</t>
  </si>
  <si>
    <t xml:space="preserve">47422</t>
  </si>
  <si>
    <t xml:space="preserve">HMDB0001161</t>
  </si>
  <si>
    <t xml:space="preserve">C01181</t>
  </si>
  <si>
    <t xml:space="preserve">16244</t>
  </si>
  <si>
    <t xml:space="preserve">725</t>
  </si>
  <si>
    <t xml:space="preserve">407-64-7</t>
  </si>
  <si>
    <t xml:space="preserve">C[N+](C)(C)CCCC([O-])=O</t>
  </si>
  <si>
    <t xml:space="preserve">JHPNVNIEXXLNTR-UHFFFAOYSA-N</t>
  </si>
  <si>
    <t xml:space="preserve">128.11850</t>
  </si>
  <si>
    <t xml:space="preserve">C6H15N3O</t>
  </si>
  <si>
    <t xml:space="preserve">L-Lysinamide</t>
  </si>
  <si>
    <t xml:space="preserve">208152</t>
  </si>
  <si>
    <t xml:space="preserve">HMDB0253898</t>
  </si>
  <si>
    <t xml:space="preserve">4477686</t>
  </si>
  <si>
    <t xml:space="preserve">NCCCCC(N)C(N)=O</t>
  </si>
  <si>
    <t xml:space="preserve">HKXLAGBDJVHRQG-UHFFFAOYSA-N</t>
  </si>
  <si>
    <t xml:space="preserve">128.98805</t>
  </si>
  <si>
    <t xml:space="preserve">C2H6N2S</t>
  </si>
  <si>
    <t xml:space="preserve">Carbamimidothioic acid, methyl ester; N-METHYLTHIOUREA</t>
  </si>
  <si>
    <t xml:space="preserve">211099; 209210</t>
  </si>
  <si>
    <t xml:space="preserve">HMDB0257408; HMDB0255194</t>
  </si>
  <si>
    <t xml:space="preserve">64870; 319538</t>
  </si>
  <si>
    <t xml:space="preserve">5142; 11720</t>
  </si>
  <si>
    <t xml:space="preserve">867-44-7; </t>
  </si>
  <si>
    <t xml:space="preserve">CSC(N)=N; CNC(N)=S</t>
  </si>
  <si>
    <t xml:space="preserve">SDDKIZNHOCEXTF-UHFFFAOYSA-N; KQJQICVXLJTWQD-UHFFFAOYSA-N</t>
  </si>
  <si>
    <t xml:space="preserve">Isothioureas; Thioureas</t>
  </si>
  <si>
    <t xml:space="preserve">129.10270</t>
  </si>
  <si>
    <t xml:space="preserve">C6H14N2O2</t>
  </si>
  <si>
    <t xml:space="preserve">L-Lysine</t>
  </si>
  <si>
    <t xml:space="preserve">46915</t>
  </si>
  <si>
    <t xml:space="preserve">HMDB0000182</t>
  </si>
  <si>
    <t xml:space="preserve">25</t>
  </si>
  <si>
    <t xml:space="preserve">C00047</t>
  </si>
  <si>
    <t xml:space="preserve">18019</t>
  </si>
  <si>
    <t xml:space="preserve">5962</t>
  </si>
  <si>
    <t xml:space="preserve">56-87-1</t>
  </si>
  <si>
    <t xml:space="preserve">NCCCC[C@H](N)C(O)=O</t>
  </si>
  <si>
    <t xml:space="preserve">KDXKERNSBIXSRK-YFKPBYRVSA-N</t>
  </si>
  <si>
    <t xml:space="preserve">130.06677</t>
  </si>
  <si>
    <t xml:space="preserve">C9H9NO</t>
  </si>
  <si>
    <t xml:space="preserve">1-(2-Furanylmethyl)-1H-pyrrole</t>
  </si>
  <si>
    <t xml:space="preserve">55029</t>
  </si>
  <si>
    <t xml:space="preserve">HMDB0030204</t>
  </si>
  <si>
    <t xml:space="preserve">86795</t>
  </si>
  <si>
    <t xml:space="preserve">15037</t>
  </si>
  <si>
    <t xml:space="preserve">1438-94-4</t>
  </si>
  <si>
    <t xml:space="preserve">C(N1C=CC=C1)C1=CC=CO1</t>
  </si>
  <si>
    <t xml:space="preserve">BTBFUBUCCJKJOZ-UHFFFAOYSA-N</t>
  </si>
  <si>
    <t xml:space="preserve">130.16055</t>
  </si>
  <si>
    <t xml:space="preserve">C8H19N</t>
  </si>
  <si>
    <t xml:space="preserve">Octylamine</t>
  </si>
  <si>
    <t xml:space="preserve">209832</t>
  </si>
  <si>
    <t xml:space="preserve">HMDB0255916</t>
  </si>
  <si>
    <t xml:space="preserve">65641</t>
  </si>
  <si>
    <t xml:space="preserve">C01740</t>
  </si>
  <si>
    <t xml:space="preserve">7728</t>
  </si>
  <si>
    <t xml:space="preserve">8143</t>
  </si>
  <si>
    <t xml:space="preserve">111-86-4</t>
  </si>
  <si>
    <t xml:space="preserve">CCCCCCCCN</t>
  </si>
  <si>
    <t xml:space="preserve">IOQPZZOEVPZRBK-UHFFFAOYSA-N</t>
  </si>
  <si>
    <t xml:space="preserve">131.00307</t>
  </si>
  <si>
    <t xml:space="preserve">C4H9Cl</t>
  </si>
  <si>
    <t xml:space="preserve">1-Chlorobutane</t>
  </si>
  <si>
    <t xml:space="preserve">199388</t>
  </si>
  <si>
    <t xml:space="preserve">HMDB0243848</t>
  </si>
  <si>
    <t xml:space="preserve">8005</t>
  </si>
  <si>
    <t xml:space="preserve">CCCCCl</t>
  </si>
  <si>
    <t xml:space="preserve">VFWCMGCRMGJXDK-UHFFFAOYSA-N</t>
  </si>
  <si>
    <t xml:space="preserve">131.10840</t>
  </si>
  <si>
    <t xml:space="preserve">C7H16O3</t>
  </si>
  <si>
    <t xml:space="preserve">Triethyl orthoformate</t>
  </si>
  <si>
    <t xml:space="preserve">212592</t>
  </si>
  <si>
    <t xml:space="preserve">HMDB0259190</t>
  </si>
  <si>
    <t xml:space="preserve">CCOC(OCC)OCC</t>
  </si>
  <si>
    <t xml:space="preserve">GKASDNZWUGIAMG-UHFFFAOYSA-N</t>
  </si>
  <si>
    <t xml:space="preserve">Ortho esters</t>
  </si>
  <si>
    <t xml:space="preserve">131.11901</t>
  </si>
  <si>
    <t xml:space="preserve">C6H14N2O</t>
  </si>
  <si>
    <t xml:space="preserve">N-Acetylputrescine</t>
  </si>
  <si>
    <t xml:space="preserve">47788</t>
  </si>
  <si>
    <t xml:space="preserve">HMDB0002064</t>
  </si>
  <si>
    <t xml:space="preserve">3252</t>
  </si>
  <si>
    <t xml:space="preserve">C02714</t>
  </si>
  <si>
    <t xml:space="preserve">17768</t>
  </si>
  <si>
    <t xml:space="preserve">122356</t>
  </si>
  <si>
    <t xml:space="preserve">18233-70-0</t>
  </si>
  <si>
    <t xml:space="preserve">CC(=O)NCCCCN</t>
  </si>
  <si>
    <t xml:space="preserve">KLZGKIDSEJWEDW-UHFFFAOYSA-N</t>
  </si>
  <si>
    <t xml:space="preserve">132.10388</t>
  </si>
  <si>
    <t xml:space="preserve">C6H14NO2</t>
  </si>
  <si>
    <t xml:space="preserve">1-Nitrohexane</t>
  </si>
  <si>
    <t xml:space="preserve">52458</t>
  </si>
  <si>
    <t xml:space="preserve">HMDB0013812</t>
  </si>
  <si>
    <t xml:space="preserve">89185</t>
  </si>
  <si>
    <t xml:space="preserve">646-14-0</t>
  </si>
  <si>
    <t xml:space="preserve">CCCCCC[N+](O)=O</t>
  </si>
  <si>
    <t xml:space="preserve">RPBWECFHDHMPJN-UHFFFAOYSA-N</t>
  </si>
  <si>
    <t xml:space="preserve">133.08616</t>
  </si>
  <si>
    <t xml:space="preserve">C6H12O3</t>
  </si>
  <si>
    <t xml:space="preserve">2-Hydroxy-3-methylpentanoic acid</t>
  </si>
  <si>
    <t xml:space="preserve">1866</t>
  </si>
  <si>
    <t xml:space="preserve">HMDB0000317</t>
  </si>
  <si>
    <t xml:space="preserve">45843</t>
  </si>
  <si>
    <t xml:space="preserve">LMFA01050380</t>
  </si>
  <si>
    <t xml:space="preserve">89228</t>
  </si>
  <si>
    <t xml:space="preserve">10796774</t>
  </si>
  <si>
    <t xml:space="preserve">488-15-3</t>
  </si>
  <si>
    <t xml:space="preserve">C(=O)(O)[C@H](O)[C@H](C)CC</t>
  </si>
  <si>
    <t xml:space="preserve">RILPIWOPNGRASR-RFZPGFLSSA-N</t>
  </si>
  <si>
    <t xml:space="preserve">136.06317</t>
  </si>
  <si>
    <t xml:space="preserve">C5H7N5O</t>
  </si>
  <si>
    <t xml:space="preserve">FAPy-adenine</t>
  </si>
  <si>
    <t xml:space="preserve">48313</t>
  </si>
  <si>
    <t xml:space="preserve">HMDB0004816</t>
  </si>
  <si>
    <t xml:space="preserve">7080</t>
  </si>
  <si>
    <t xml:space="preserve">C06502</t>
  </si>
  <si>
    <t xml:space="preserve">27983</t>
  </si>
  <si>
    <t xml:space="preserve">114926</t>
  </si>
  <si>
    <t xml:space="preserve">5122-36-1</t>
  </si>
  <si>
    <t xml:space="preserve">NC1=NC=NC(N)=C1NC=O</t>
  </si>
  <si>
    <t xml:space="preserve">MVYUVUOSXNYQLL-UHFFFAOYSA-N</t>
  </si>
  <si>
    <t xml:space="preserve">136.07631</t>
  </si>
  <si>
    <t xml:space="preserve">C8H11NO2</t>
  </si>
  <si>
    <t xml:space="preserve">Vanillylamine; p-Octopamine; Dopamine</t>
  </si>
  <si>
    <t xml:space="preserve">51985; 48320; 46857</t>
  </si>
  <si>
    <t xml:space="preserve">HMDB0012309; HMDB0004825; HMDB0000073</t>
  </si>
  <si>
    <t xml:space="preserve">62928; 7087; 64</t>
  </si>
  <si>
    <t xml:space="preserve">C16666; C04227; C03758</t>
  </si>
  <si>
    <t xml:space="preserve">46958; 44715; 18243</t>
  </si>
  <si>
    <t xml:space="preserve">70966; 440266; 681</t>
  </si>
  <si>
    <t xml:space="preserve">1196-92-5; 104-14-3; 62-31-7</t>
  </si>
  <si>
    <t xml:space="preserve">COC1=CC(CN)=CC=C1O; NC[C@H](O)C1=CC=C(O)C=C1; NCCC1=CC(O)=C(O)C=C1</t>
  </si>
  <si>
    <t xml:space="preserve">WRPWWVNUCXQDQV-UHFFFAOYSA-N; QHGUCRYDKWKLMG-QMMMGPOBSA-N; VYFYYTLLBUKUHU-UHFFFAOYSA-N</t>
  </si>
  <si>
    <t xml:space="preserve">Methoxyphenols; 1-hydroxy-2-unsubstituted benzenoids; Benzenediols</t>
  </si>
  <si>
    <t xml:space="preserve">136.11472</t>
  </si>
  <si>
    <t xml:space="preserve">C9H15NO</t>
  </si>
  <si>
    <t xml:space="preserve">psi-Pelletierine</t>
  </si>
  <si>
    <t xml:space="preserve">58576</t>
  </si>
  <si>
    <t xml:space="preserve">HMDB0034580</t>
  </si>
  <si>
    <t xml:space="preserve">64456</t>
  </si>
  <si>
    <t xml:space="preserve">C10865</t>
  </si>
  <si>
    <t xml:space="preserve">11096</t>
  </si>
  <si>
    <t xml:space="preserve">552-70-5</t>
  </si>
  <si>
    <t xml:space="preserve">CN1C2CCCC1CC(=O)C2</t>
  </si>
  <si>
    <t xml:space="preserve">RHWSKVCZXBAWLZ-UHFFFAOYSA-N</t>
  </si>
  <si>
    <t xml:space="preserve">137.04693</t>
  </si>
  <si>
    <t xml:space="preserve">C5H10N2</t>
  </si>
  <si>
    <t xml:space="preserve">xi-4,5-Dihydro-2,4(5)-dimethyl-1H-imidazole</t>
  </si>
  <si>
    <t xml:space="preserve">61282</t>
  </si>
  <si>
    <t xml:space="preserve">HMDB0037787</t>
  </si>
  <si>
    <t xml:space="preserve">102522</t>
  </si>
  <si>
    <t xml:space="preserve">CC1CN=C(C)N1</t>
  </si>
  <si>
    <t xml:space="preserve">DIHAURBCYGTGCV-UHFFFAOYSA-N</t>
  </si>
  <si>
    <t xml:space="preserve">Imidolactams</t>
  </si>
  <si>
    <t xml:space="preserve">137.07166</t>
  </si>
  <si>
    <t xml:space="preserve">C7H9N2O</t>
  </si>
  <si>
    <t xml:space="preserve">1-Methylnicotinamide</t>
  </si>
  <si>
    <t xml:space="preserve">47166</t>
  </si>
  <si>
    <t xml:space="preserve">HMDB0000699</t>
  </si>
  <si>
    <t xml:space="preserve">274</t>
  </si>
  <si>
    <t xml:space="preserve">C02918</t>
  </si>
  <si>
    <t xml:space="preserve">16797</t>
  </si>
  <si>
    <t xml:space="preserve">457</t>
  </si>
  <si>
    <t xml:space="preserve">1005-24-9</t>
  </si>
  <si>
    <t xml:space="preserve">C[N+]1=CC=CC(=C1)C(N)=O</t>
  </si>
  <si>
    <t xml:space="preserve">LDHMAVIPBRSVRG-UHFFFAOYSA-O</t>
  </si>
  <si>
    <t xml:space="preserve">138.05421</t>
  </si>
  <si>
    <t xml:space="preserve">C7H9NO3</t>
  </si>
  <si>
    <t xml:space="preserve">methoxycatecholamine</t>
  </si>
  <si>
    <t xml:space="preserve">208645</t>
  </si>
  <si>
    <t xml:space="preserve">HMDB0254544</t>
  </si>
  <si>
    <t xml:space="preserve">53995407</t>
  </si>
  <si>
    <t xml:space="preserve">COC1=C(N)C(O)=C(O)C=C1</t>
  </si>
  <si>
    <t xml:space="preserve">KHTCLRGXXJPSRJ-UHFFFAOYSA-N</t>
  </si>
  <si>
    <t xml:space="preserve">139.98908</t>
  </si>
  <si>
    <t xml:space="preserve">C6H4ClNO2</t>
  </si>
  <si>
    <t xml:space="preserve">1-Chloro-3-nitrobenzene; 1-Chloro-2-nitrobenzene; 1-Chloro-4-nitrobenzene</t>
  </si>
  <si>
    <t xml:space="preserve">199385; 200521; 201740</t>
  </si>
  <si>
    <t xml:space="preserve">HMDB0243845; HMDB0245074; HMDB0246397</t>
  </si>
  <si>
    <t xml:space="preserve">73068; 70036; 70076</t>
  </si>
  <si>
    <t xml:space="preserve">C19364; C14407; C14456</t>
  </si>
  <si>
    <t xml:space="preserve">82420; 34270; </t>
  </si>
  <si>
    <t xml:space="preserve">8489; 6945; 7474</t>
  </si>
  <si>
    <t xml:space="preserve">121-73-3; 88-73-3; 100-00-5</t>
  </si>
  <si>
    <t xml:space="preserve">ClC1=CC(=CC=C1)N(=O)=O; [O-][N+](=O)C1=CC=CC=C1Cl; ClC1=CC=C(C=C1)N(=O)=O</t>
  </si>
  <si>
    <t xml:space="preserve">KMAQZIILEGKYQZ-UHFFFAOYSA-N; BFCFYVKQTRLZHA-UHFFFAOYSA-N; CZGCEKJOLUNIFY-UHFFFAOYSA-N</t>
  </si>
  <si>
    <t xml:space="preserve">Nitrobenzenes; Nitrobenzenes; Nitrobenzenes</t>
  </si>
  <si>
    <t xml:space="preserve">139.99908</t>
  </si>
  <si>
    <t xml:space="preserve">C2H5NO4S</t>
  </si>
  <si>
    <t xml:space="preserve">2-Sulfamoylacetic Acid</t>
  </si>
  <si>
    <t xml:space="preserve">200750</t>
  </si>
  <si>
    <t xml:space="preserve">HMDB0245317</t>
  </si>
  <si>
    <t xml:space="preserve">11083961</t>
  </si>
  <si>
    <t xml:space="preserve">NS(=O)(=O)CC(O)=O</t>
  </si>
  <si>
    <t xml:space="preserve">FUYOZIVWKHUWQX-UHFFFAOYSA-N</t>
  </si>
  <si>
    <t xml:space="preserve">140.06871</t>
  </si>
  <si>
    <t xml:space="preserve">C7H9NO2</t>
  </si>
  <si>
    <t xml:space="preserve">3,4-Dihydroxybenzylamine</t>
  </si>
  <si>
    <t xml:space="preserve">51868</t>
  </si>
  <si>
    <t xml:space="preserve">HMDB0012153</t>
  </si>
  <si>
    <t xml:space="preserve">62817</t>
  </si>
  <si>
    <t xml:space="preserve">37491-68-2</t>
  </si>
  <si>
    <t xml:space="preserve">NCC1=CC=C(O)C(O)=C1</t>
  </si>
  <si>
    <t xml:space="preserve">YFMPSMITLLBENU-UHFFFAOYSA-N</t>
  </si>
  <si>
    <t xml:space="preserve">141.07151</t>
  </si>
  <si>
    <t xml:space="preserve">C6H14S</t>
  </si>
  <si>
    <t xml:space="preserve">Diisopropyl sulfide; Dipropyl sulfide</t>
  </si>
  <si>
    <t xml:space="preserve">54504; 56000</t>
  </si>
  <si>
    <t xml:space="preserve">HMDB0029579; HMDB0031431</t>
  </si>
  <si>
    <t xml:space="preserve">86360; 87679</t>
  </si>
  <si>
    <t xml:space="preserve">12264; 8118</t>
  </si>
  <si>
    <t xml:space="preserve">625-80-9; 111-47-7</t>
  </si>
  <si>
    <t xml:space="preserve">CC(C)SC(C)C; CCCSCCC</t>
  </si>
  <si>
    <t xml:space="preserve">XYWDPYKBIRQXQS-UHFFFAOYSA-N; ZERULLAPCVRMCO-UHFFFAOYSA-N</t>
  </si>
  <si>
    <t xml:space="preserve">Thioethers; Thioethers</t>
  </si>
  <si>
    <t xml:space="preserve">Dialkylthioethers; Dialkylthioethers</t>
  </si>
  <si>
    <t xml:space="preserve">144.10292</t>
  </si>
  <si>
    <t xml:space="preserve">C7H15NO3</t>
  </si>
  <si>
    <t xml:space="preserve">N-(2-Hydroxyethyl)valine; beta-Hydroxy-gamma-trimethylaminobutyric acid</t>
  </si>
  <si>
    <t xml:space="preserve">209030; 200433</t>
  </si>
  <si>
    <t xml:space="preserve">HMDB0254990; HMDB0244982</t>
  </si>
  <si>
    <t xml:space="preserve">107912; 5148875</t>
  </si>
  <si>
    <t xml:space="preserve">CC(C)C(NCCO)C(O)=O; CC(C)(C)C(O)C(N)C(O)=O</t>
  </si>
  <si>
    <t xml:space="preserve">AJNYQRXDVGKEIT-UHFFFAOYSA-N; DREONSBNBZFXLW-UHFFFAOYSA-N</t>
  </si>
  <si>
    <t xml:space="preserve">145.01962</t>
  </si>
  <si>
    <t xml:space="preserve">CH3NO2</t>
  </si>
  <si>
    <t xml:space="preserve">2M+Na</t>
  </si>
  <si>
    <t xml:space="preserve">Carbamic acid</t>
  </si>
  <si>
    <t xml:space="preserve">48131</t>
  </si>
  <si>
    <t xml:space="preserve">HMDB0003551</t>
  </si>
  <si>
    <t xml:space="preserve">6950</t>
  </si>
  <si>
    <t xml:space="preserve">C01563</t>
  </si>
  <si>
    <t xml:space="preserve">28616</t>
  </si>
  <si>
    <t xml:space="preserve">277</t>
  </si>
  <si>
    <t xml:space="preserve">463-77-4</t>
  </si>
  <si>
    <t xml:space="preserve">NC(O)=O</t>
  </si>
  <si>
    <t xml:space="preserve">KXDHJXZQYSOELW-UHFFFAOYSA-N</t>
  </si>
  <si>
    <t xml:space="preserve">145.10086</t>
  </si>
  <si>
    <t xml:space="preserve">C11H14O</t>
  </si>
  <si>
    <t xml:space="preserve">1-Phenyl-1-pentanone; (±)-2-Methyl-3-(4-methylphenyl)propanal; 4'-Isopropylacetophenone</t>
  </si>
  <si>
    <t xml:space="preserve">55812; 56321; 56483</t>
  </si>
  <si>
    <t xml:space="preserve">HMDB0031208; HMDB0031856; HMDB0032025</t>
  </si>
  <si>
    <t xml:space="preserve">87496; 87976; 88127</t>
  </si>
  <si>
    <t xml:space="preserve">36812; ; </t>
  </si>
  <si>
    <t xml:space="preserve">66093; 95594; 12578</t>
  </si>
  <si>
    <t xml:space="preserve">1009-14-9; ; 645-13-6</t>
  </si>
  <si>
    <t xml:space="preserve">CCCCC(=O)C1=CC=CC=C1; CC(CC1=CC=C(C)C=C1)C=O; CC(C)C1=CC=C(C=C1)C(C)=O</t>
  </si>
  <si>
    <t xml:space="preserve">XKGLSKVNOSHTAD-UHFFFAOYSA-N; SGVBCLGVIOFAFT-UHFFFAOYSA-N; PDLCCNYKIIUWHA-UHFFFAOYSA-N</t>
  </si>
  <si>
    <t xml:space="preserve">Organic oxygen compounds; Benzenoids; Organic oxygen compounds</t>
  </si>
  <si>
    <t xml:space="preserve">Organooxygen compounds; Benzene and substituted derivatives; Organooxygen compounds</t>
  </si>
  <si>
    <t xml:space="preserve">Carbonyl compounds; Phenylpropanes; Carbonyl compounds</t>
  </si>
  <si>
    <t xml:space="preserve">146.09210</t>
  </si>
  <si>
    <t xml:space="preserve">C5H11N3O2</t>
  </si>
  <si>
    <t xml:space="preserve">4-Guanidinobutanoic acid</t>
  </si>
  <si>
    <t xml:space="preserve">48113</t>
  </si>
  <si>
    <t xml:space="preserve">HMDB0003464</t>
  </si>
  <si>
    <t xml:space="preserve">4155</t>
  </si>
  <si>
    <t xml:space="preserve">C01035</t>
  </si>
  <si>
    <t xml:space="preserve">15728</t>
  </si>
  <si>
    <t xml:space="preserve">500</t>
  </si>
  <si>
    <t xml:space="preserve">463-00-3</t>
  </si>
  <si>
    <t xml:space="preserve">NC(=N)NCCCC(O)=O</t>
  </si>
  <si>
    <t xml:space="preserve">TUHVEAJXIMEOSA-UHFFFAOYSA-N</t>
  </si>
  <si>
    <t xml:space="preserve">147.03392</t>
  </si>
  <si>
    <t xml:space="preserve">C8H5FN2O</t>
  </si>
  <si>
    <t xml:space="preserve">Fluoronaphthyridone</t>
  </si>
  <si>
    <t xml:space="preserve">206878</t>
  </si>
  <si>
    <t xml:space="preserve">HMDB0252387</t>
  </si>
  <si>
    <t xml:space="preserve">66764350</t>
  </si>
  <si>
    <t xml:space="preserve">FC1=CC2=C(NC1=O)N=CC=C2</t>
  </si>
  <si>
    <t xml:space="preserve">JHAXGSQISYDXFP-UHFFFAOYSA-N</t>
  </si>
  <si>
    <t xml:space="preserve">148.00420</t>
  </si>
  <si>
    <t xml:space="preserve">C5H11</t>
  </si>
  <si>
    <t xml:space="preserve">n-Pentyl; isoamyl</t>
  </si>
  <si>
    <t xml:space="preserve">210164; 207924</t>
  </si>
  <si>
    <t xml:space="preserve">HMDB0256294; HMDB0253600</t>
  </si>
  <si>
    <t xml:space="preserve">; 12421370</t>
  </si>
  <si>
    <t xml:space="preserve">[CH2]CCCC; [CH2]CC(C)C</t>
  </si>
  <si>
    <t xml:space="preserve">BFKVXNPJXXJUGQ-UHFFFAOYSA-N; TXFXGCPVIYCUIT-UHFFFAOYSA-N</t>
  </si>
  <si>
    <t xml:space="preserve">Hydrocarbons; Hydrocarbons</t>
  </si>
  <si>
    <t xml:space="preserve">Saturated hydrocarbons; Saturated hydrocarbons</t>
  </si>
  <si>
    <t xml:space="preserve">148.97621</t>
  </si>
  <si>
    <t xml:space="preserve">C2H7O3P</t>
  </si>
  <si>
    <t xml:space="preserve">Ethylphosphonic acid</t>
  </si>
  <si>
    <t xml:space="preserve">206607</t>
  </si>
  <si>
    <t xml:space="preserve">HMDB0252085</t>
  </si>
  <si>
    <t xml:space="preserve">204482</t>
  </si>
  <si>
    <t xml:space="preserve">CCP(O)(O)=O</t>
  </si>
  <si>
    <t xml:space="preserve">GATNOFPXSDHULC-UHFFFAOYSA-N</t>
  </si>
  <si>
    <t xml:space="preserve">149.02521</t>
  </si>
  <si>
    <t xml:space="preserve">C5H8O3S</t>
  </si>
  <si>
    <t xml:space="preserve">2-Oxo-4-methylthiobutanoic acid</t>
  </si>
  <si>
    <t xml:space="preserve">2164</t>
  </si>
  <si>
    <t xml:space="preserve">HMDB0001553</t>
  </si>
  <si>
    <t xml:space="preserve">6319</t>
  </si>
  <si>
    <t xml:space="preserve">LMFA01060170</t>
  </si>
  <si>
    <t xml:space="preserve">C01180</t>
  </si>
  <si>
    <t xml:space="preserve">33574</t>
  </si>
  <si>
    <t xml:space="preserve">473</t>
  </si>
  <si>
    <t xml:space="preserve">583-92-6</t>
  </si>
  <si>
    <t xml:space="preserve">C(=O)(CCSC)C(=O)O</t>
  </si>
  <si>
    <t xml:space="preserve">SXFSQZDSUWACKX-UHFFFAOYSA-N</t>
  </si>
  <si>
    <t xml:space="preserve">150.97778</t>
  </si>
  <si>
    <t xml:space="preserve">C3H3FO3</t>
  </si>
  <si>
    <t xml:space="preserve">M+2Na-H</t>
  </si>
  <si>
    <t xml:space="preserve">3-Fluoro-2-oxopropanoic acid</t>
  </si>
  <si>
    <t xml:space="preserve">206882</t>
  </si>
  <si>
    <t xml:space="preserve">HMDB0252391</t>
  </si>
  <si>
    <t xml:space="preserve">55521</t>
  </si>
  <si>
    <t xml:space="preserve">67946</t>
  </si>
  <si>
    <t xml:space="preserve">OC(=O)C(=O)CF</t>
  </si>
  <si>
    <t xml:space="preserve">CXABZTLXNODUTD-UHFFFAOYSA-N</t>
  </si>
  <si>
    <t xml:space="preserve">Alpha-keto acids and derivatives</t>
  </si>
  <si>
    <t xml:space="preserve">151.04892</t>
  </si>
  <si>
    <t xml:space="preserve">C7H6N2O2</t>
  </si>
  <si>
    <t xml:space="preserve">5-Propynyluracil</t>
  </si>
  <si>
    <t xml:space="preserve">202158</t>
  </si>
  <si>
    <t xml:space="preserve">HMDB0246840</t>
  </si>
  <si>
    <t xml:space="preserve">421221</t>
  </si>
  <si>
    <t xml:space="preserve">131813</t>
  </si>
  <si>
    <t xml:space="preserve">CC#CC1=CNC(=O)NC1=O</t>
  </si>
  <si>
    <t xml:space="preserve">UJBCLAXPPIDQEE-UHFFFAOYSA-N</t>
  </si>
  <si>
    <t xml:space="preserve">152.03161</t>
  </si>
  <si>
    <t xml:space="preserve">C5H7NO3</t>
  </si>
  <si>
    <t xml:space="preserve">Pyroglutamic acid</t>
  </si>
  <si>
    <t xml:space="preserve">46966</t>
  </si>
  <si>
    <t xml:space="preserve">HMDB0000267</t>
  </si>
  <si>
    <t xml:space="preserve">3251</t>
  </si>
  <si>
    <t xml:space="preserve">C01879</t>
  </si>
  <si>
    <t xml:space="preserve">18183</t>
  </si>
  <si>
    <t xml:space="preserve">7405</t>
  </si>
  <si>
    <t xml:space="preserve">98-79-3</t>
  </si>
  <si>
    <t xml:space="preserve">OC(=O)[C@@H]1CCC(=O)N1</t>
  </si>
  <si>
    <t xml:space="preserve">ODHCTXKNWHHXJC-VKHMYHEASA-N</t>
  </si>
  <si>
    <t xml:space="preserve">155.04820</t>
  </si>
  <si>
    <t xml:space="preserve">C11H6O</t>
  </si>
  <si>
    <t xml:space="preserve">1-Phenyl-2,4-pentadiyn-1-one</t>
  </si>
  <si>
    <t xml:space="preserve">57208</t>
  </si>
  <si>
    <t xml:space="preserve">HMDB0032945</t>
  </si>
  <si>
    <t xml:space="preserve">88847</t>
  </si>
  <si>
    <t xml:space="preserve">173417</t>
  </si>
  <si>
    <t xml:space="preserve">592950</t>
  </si>
  <si>
    <t xml:space="preserve">29743-36-0</t>
  </si>
  <si>
    <t xml:space="preserve">O=C(C#CC#C)C1=CC=CC=C1</t>
  </si>
  <si>
    <t xml:space="preserve">ZKQQJUBGJLUJNT-UHFFFAOYSA-N</t>
  </si>
  <si>
    <t xml:space="preserve">Benzoyl derivatives</t>
  </si>
  <si>
    <t xml:space="preserve">155.06994</t>
  </si>
  <si>
    <t xml:space="preserve">C8H10O3</t>
  </si>
  <si>
    <t xml:space="preserve">4-Hydroxy-3-methoxybenzenemethanol</t>
  </si>
  <si>
    <t xml:space="preserve">56470</t>
  </si>
  <si>
    <t xml:space="preserve">HMDB0032012</t>
  </si>
  <si>
    <t xml:space="preserve">66362</t>
  </si>
  <si>
    <t xml:space="preserve">C06317</t>
  </si>
  <si>
    <t xml:space="preserve">18353</t>
  </si>
  <si>
    <t xml:space="preserve">62348</t>
  </si>
  <si>
    <t xml:space="preserve">498-00-0</t>
  </si>
  <si>
    <t xml:space="preserve">COC1=C(O)C=CC(CO)=C1</t>
  </si>
  <si>
    <t xml:space="preserve">ZENOXNGFMSCLLL-UHFFFAOYSA-N</t>
  </si>
  <si>
    <t xml:space="preserve">156.04299</t>
  </si>
  <si>
    <t xml:space="preserve">C5H8FNO2</t>
  </si>
  <si>
    <t xml:space="preserve">Fluciclovine</t>
  </si>
  <si>
    <t xml:space="preserve">199820</t>
  </si>
  <si>
    <t xml:space="preserve">HMDB0244302</t>
  </si>
  <si>
    <t xml:space="preserve">10820564</t>
  </si>
  <si>
    <t xml:space="preserve">NC1(CC(F)C1)C(O)=O</t>
  </si>
  <si>
    <t xml:space="preserve">NTEDWGYJNHZKQW-UHFFFAOYSA-N</t>
  </si>
  <si>
    <t xml:space="preserve">156.07699</t>
  </si>
  <si>
    <t xml:space="preserve">C6H11N3O3</t>
  </si>
  <si>
    <t xml:space="preserve">2-Oxoarginine</t>
  </si>
  <si>
    <t xml:space="preserve">48262</t>
  </si>
  <si>
    <t xml:space="preserve">HMDB0004225</t>
  </si>
  <si>
    <t xml:space="preserve">7030</t>
  </si>
  <si>
    <t xml:space="preserve">C03771</t>
  </si>
  <si>
    <t xml:space="preserve">28116</t>
  </si>
  <si>
    <t xml:space="preserve">558</t>
  </si>
  <si>
    <t xml:space="preserve">3715-10-4</t>
  </si>
  <si>
    <t xml:space="preserve">NC(N)=NCCCC(=O)C(O)=O</t>
  </si>
  <si>
    <t xml:space="preserve">ARBHXJXXVVHMET-UHFFFAOYSA-N</t>
  </si>
  <si>
    <t xml:space="preserve">156.14942</t>
  </si>
  <si>
    <t xml:space="preserve">C8H17N3</t>
  </si>
  <si>
    <t xml:space="preserve">1-Ethyl-3-(dimethyl-aminopropyl)-carbodiimide; 1-Ethyl-3-(3-dimethylaminopropyl)carbodiimide</t>
  </si>
  <si>
    <t xml:space="preserve">211707; 200289</t>
  </si>
  <si>
    <t xml:space="preserve">HMDB0258121; HMDB0244825</t>
  </si>
  <si>
    <t xml:space="preserve">; 24064</t>
  </si>
  <si>
    <t xml:space="preserve">53787393; 15908</t>
  </si>
  <si>
    <t xml:space="preserve">; 25952-53-8</t>
  </si>
  <si>
    <t xml:space="preserve">CCN=C=NCCC(C)(C)N; CCN=C=NCCCN(C)C</t>
  </si>
  <si>
    <t xml:space="preserve">DZMACVLKIPJSDJ-UHFFFAOYSA-N; LMDZBCPBFSXMTL-UHFFFAOYSA-N</t>
  </si>
  <si>
    <t xml:space="preserve">Carbodiimides; Amines</t>
  </si>
  <si>
    <t xml:space="preserve">158.04248</t>
  </si>
  <si>
    <t xml:space="preserve">C4H9NO4</t>
  </si>
  <si>
    <t xml:space="preserve">(+)-threo-2-Amino-3,4-dihydroxybutanoic acid</t>
  </si>
  <si>
    <t xml:space="preserve">1911</t>
  </si>
  <si>
    <t xml:space="preserve">HMDB0029389</t>
  </si>
  <si>
    <t xml:space="preserve">86235</t>
  </si>
  <si>
    <t xml:space="preserve">LMFA01050439</t>
  </si>
  <si>
    <t xml:space="preserve">3914727</t>
  </si>
  <si>
    <t xml:space="preserve">21768-44-5</t>
  </si>
  <si>
    <t xml:space="preserve">O=C(C(C(O)CO)N)O</t>
  </si>
  <si>
    <t xml:space="preserve">JBNUARFQOCGDRK-UHFFFAOYSA-N</t>
  </si>
  <si>
    <t xml:space="preserve">158.09594</t>
  </si>
  <si>
    <t xml:space="preserve">C11H11N</t>
  </si>
  <si>
    <t xml:space="preserve">4,8-Dimethylquinoline; 2,4-Dimethylquinoline; 2,6-Dimethylquinoline</t>
  </si>
  <si>
    <t xml:space="preserve">255365; 255348; 255351</t>
  </si>
  <si>
    <t xml:space="preserve">HMDB0302402; HMDB0302385; HMDB0302388</t>
  </si>
  <si>
    <t xml:space="preserve">; 343066; </t>
  </si>
  <si>
    <t xml:space="preserve">34222; 14536; </t>
  </si>
  <si>
    <t xml:space="preserve">CC1=CC=CC2=C(C)C=CN=C12; CC1=NC2=CC=CC=C2C(C)=C1; CC1=CC2=CC=C(C)N=C2C=C1</t>
  </si>
  <si>
    <t xml:space="preserve">DULGUAMZWACUFO-UHFFFAOYSA-N; ZTNANFDSJRRZRJ-UHFFFAOYSA-N; JJPSZKIOGBRMHK-UHFFFAOYSA-N</t>
  </si>
  <si>
    <t xml:space="preserve">Quinolines and derivatives; Quinolines and derivatives; Quinolines and derivatives</t>
  </si>
  <si>
    <t xml:space="preserve">158.12034</t>
  </si>
  <si>
    <t xml:space="preserve">C8H17NO3</t>
  </si>
  <si>
    <t xml:space="preserve">N-(3-Hydroxypropyl)valine; N-(2-Hydroxypropyl)valine; Statine</t>
  </si>
  <si>
    <t xml:space="preserve">209041; 209032; 211990</t>
  </si>
  <si>
    <t xml:space="preserve">HMDB0255001; HMDB0254992; HMDB0258487</t>
  </si>
  <si>
    <t xml:space="preserve">43468391; 21121256; 3387569</t>
  </si>
  <si>
    <t xml:space="preserve">CC(C)C(NCCCO)C(O)=O; CC(C)C(NCC(C)O)C(O)=O; CC(C)CC(N)C(O)CC(O)=O</t>
  </si>
  <si>
    <t xml:space="preserve">LPXDRBWCBNPDTJ-UHFFFAOYSA-N; LQFKABMWUHITQU-UHFFFAOYSA-N; DFVFTMTWCUHJBL-UHFFFAOYSA-N</t>
  </si>
  <si>
    <t xml:space="preserve">158.15574</t>
  </si>
  <si>
    <t xml:space="preserve">C9H19NO</t>
  </si>
  <si>
    <t xml:space="preserve">2,2,6,6-Tetramethyl-4-piperidinol; 2,2,6,6-Tetramethylpiperidin-1-ol; Isovaleryl diethylamide</t>
  </si>
  <si>
    <t xml:space="preserve">200776; 200777; 208008</t>
  </si>
  <si>
    <t xml:space="preserve">HMDB0245344; HMDB0245345; HMDB0253703</t>
  </si>
  <si>
    <t xml:space="preserve">; 357057; </t>
  </si>
  <si>
    <t xml:space="preserve">; 549976; </t>
  </si>
  <si>
    <t xml:space="preserve">CC1(C)CC(O)CC(C)(C)N1; CC1(C)CCCC(C)(C)N1O; CCN(CC)C(=O)CC(C)C</t>
  </si>
  <si>
    <t xml:space="preserve">VDVUCLWJZJHFAV-UHFFFAOYSA-N; VUZNLSBZRVZGIK-UHFFFAOYSA-N; QZMQDHNCNUGQSO-UHFFFAOYSA-N</t>
  </si>
  <si>
    <t xml:space="preserve">Organoheterocyclic compounds; Organoheterocyclic compounds; Lipids and lipid-like molecules</t>
  </si>
  <si>
    <t xml:space="preserve">Piperidines; Piperidines; Fatty Acyls</t>
  </si>
  <si>
    <t xml:space="preserve">Unclassified; Unclassified; Fatty amides</t>
  </si>
  <si>
    <t xml:space="preserve">158.92217</t>
  </si>
  <si>
    <t xml:space="preserve">C2HF3</t>
  </si>
  <si>
    <t xml:space="preserve">Trifluoroethylene</t>
  </si>
  <si>
    <t xml:space="preserve">212607</t>
  </si>
  <si>
    <t xml:space="preserve">HMDB0259205</t>
  </si>
  <si>
    <t xml:space="preserve">336867</t>
  </si>
  <si>
    <t xml:space="preserve">9665</t>
  </si>
  <si>
    <t xml:space="preserve">FC=C(F)F</t>
  </si>
  <si>
    <t xml:space="preserve">MIZLGWKEZAPEFJ-UHFFFAOYSA-N</t>
  </si>
  <si>
    <t xml:space="preserve">158.99990</t>
  </si>
  <si>
    <t xml:space="preserve">C3H8N2OS</t>
  </si>
  <si>
    <t xml:space="preserve">Noxytiolin</t>
  </si>
  <si>
    <t xml:space="preserve">209699</t>
  </si>
  <si>
    <t xml:space="preserve">HMDB0255760</t>
  </si>
  <si>
    <t xml:space="preserve">434501</t>
  </si>
  <si>
    <t xml:space="preserve">519136</t>
  </si>
  <si>
    <t xml:space="preserve">CNC(=S)NCO</t>
  </si>
  <si>
    <t xml:space="preserve">JLMHZVYLAQPMOZ-UHFFFAOYSA-N</t>
  </si>
  <si>
    <t xml:space="preserve">Thioureas</t>
  </si>
  <si>
    <t xml:space="preserve">159.04736</t>
  </si>
  <si>
    <t xml:space="preserve">C7H10O2S</t>
  </si>
  <si>
    <t xml:space="preserve">S-(4,5-Dihydro-2-methyl-3-furanyl) ethanethioate</t>
  </si>
  <si>
    <t xml:space="preserve">61281</t>
  </si>
  <si>
    <t xml:space="preserve">HMDB0037786</t>
  </si>
  <si>
    <t xml:space="preserve">92601</t>
  </si>
  <si>
    <t xml:space="preserve">131456</t>
  </si>
  <si>
    <t xml:space="preserve">20831821</t>
  </si>
  <si>
    <t xml:space="preserve">26486-14-6</t>
  </si>
  <si>
    <t xml:space="preserve">CC(=O)SC1=C(C)OCC1</t>
  </si>
  <si>
    <t xml:space="preserve">YDYAMYYOQBGPRX-UHFFFAOYSA-N</t>
  </si>
  <si>
    <t xml:space="preserve">159.15924</t>
  </si>
  <si>
    <t xml:space="preserve">C7H18N4</t>
  </si>
  <si>
    <t xml:space="preserve">Guanidine, (6-aminohexyl)-</t>
  </si>
  <si>
    <t xml:space="preserve">207378</t>
  </si>
  <si>
    <t xml:space="preserve">HMDB0252969</t>
  </si>
  <si>
    <t xml:space="preserve">NCCCCCCN=C(N)N</t>
  </si>
  <si>
    <t xml:space="preserve">YCFMDZYUHFANML-UHFFFAOYSA-N</t>
  </si>
  <si>
    <t xml:space="preserve">161.09739</t>
  </si>
  <si>
    <t xml:space="preserve">C11H14O2</t>
  </si>
  <si>
    <t xml:space="preserve">Methyleugenol</t>
  </si>
  <si>
    <t xml:space="preserve">56329</t>
  </si>
  <si>
    <t xml:space="preserve">HMDB0031864</t>
  </si>
  <si>
    <t xml:space="preserve">68336</t>
  </si>
  <si>
    <t xml:space="preserve">C10454</t>
  </si>
  <si>
    <t xml:space="preserve">4918</t>
  </si>
  <si>
    <t xml:space="preserve">7127</t>
  </si>
  <si>
    <t xml:space="preserve">93-15-2</t>
  </si>
  <si>
    <t xml:space="preserve">COC1=C(OC)C=C(CC=C)C=C1</t>
  </si>
  <si>
    <t xml:space="preserve">ZYEMGPIYFIJGTP-UHFFFAOYSA-N</t>
  </si>
  <si>
    <t xml:space="preserve">162.11359</t>
  </si>
  <si>
    <t xml:space="preserve">C7H16NO3</t>
  </si>
  <si>
    <t xml:space="preserve">L-Carnitine</t>
  </si>
  <si>
    <t xml:space="preserve">46851</t>
  </si>
  <si>
    <t xml:space="preserve">HMDB0000062</t>
  </si>
  <si>
    <t xml:space="preserve">52</t>
  </si>
  <si>
    <t xml:space="preserve">C00318</t>
  </si>
  <si>
    <t xml:space="preserve">16347</t>
  </si>
  <si>
    <t xml:space="preserve">10917</t>
  </si>
  <si>
    <t xml:space="preserve">541-15-1</t>
  </si>
  <si>
    <t xml:space="preserve">C[N+](C)(C)C[C@H](O)CC(O)=O</t>
  </si>
  <si>
    <t xml:space="preserve">PHIQHXFUZVPYII-ZCFIWIBFSA-O</t>
  </si>
  <si>
    <t xml:space="preserve">163.03996</t>
  </si>
  <si>
    <t xml:space="preserve">C9H8O4</t>
  </si>
  <si>
    <t xml:space="preserve">4-Hydroxyphenylpyruvic acid; Caffeic acid; 2-Hydroxy-3-(4-hydroxyphenyl)propenoic acid</t>
  </si>
  <si>
    <t xml:space="preserve">47172; 47741; 48931</t>
  </si>
  <si>
    <t xml:space="preserve">HMDB0000707; HMDB0001964; HMDB0006915</t>
  </si>
  <si>
    <t xml:space="preserve">3315; 3316; 58595</t>
  </si>
  <si>
    <t xml:space="preserve">C01179; C01481; C05350</t>
  </si>
  <si>
    <t xml:space="preserve">15999; 16433; 27683</t>
  </si>
  <si>
    <t xml:space="preserve">979; 689043; 636708</t>
  </si>
  <si>
    <t xml:space="preserve">156-39-8; 501-16-6; </t>
  </si>
  <si>
    <t xml:space="preserve">OC(=O)C(=O)CC1=CC=C(O)C=C1; OC(=O)\C=C\C1=CC(O)=C(O)C=C1; OC(=O)C(\O)=C\C1=CC=C(O)C=C1</t>
  </si>
  <si>
    <t xml:space="preserve">KKADPXVIOXHVKN-UHFFFAOYSA-N; QAIPRVGONGVQAS-DUXPYHPUSA-N; GQYBCIHRWMPOOF-YVMONPNESA-N</t>
  </si>
  <si>
    <t xml:space="preserve">Benzenoids; Phenylpropanoids and polyketides; Benzenoids</t>
  </si>
  <si>
    <t xml:space="preserve">Benzene and substituted derivatives; Cinnamic acids and derivatives; Benzene and substituted derivatives</t>
  </si>
  <si>
    <t xml:space="preserve">Phenylpyruvic acid derivatives; Hydroxycinnamic acids and derivatives; Phenylpyruvic acid derivatives</t>
  </si>
  <si>
    <t xml:space="preserve">163.11981</t>
  </si>
  <si>
    <t xml:space="preserve">C5H14N4O2</t>
  </si>
  <si>
    <t xml:space="preserve">3-(2-Hydroxy-1-methyl-2-nitrosohydrazino)-N-methyl-1-propanamine</t>
  </si>
  <si>
    <t xml:space="preserve">209634</t>
  </si>
  <si>
    <t xml:space="preserve">HMDB0255680</t>
  </si>
  <si>
    <t xml:space="preserve">135521196</t>
  </si>
  <si>
    <t xml:space="preserve">CNCCCN(C)[N+]([O-])=NO</t>
  </si>
  <si>
    <t xml:space="preserve">BPBUJYBQUBMWDT-UHFFFAOYSA-N</t>
  </si>
  <si>
    <t xml:space="preserve">165.07254</t>
  </si>
  <si>
    <t xml:space="preserve">C13H10O</t>
  </si>
  <si>
    <t xml:space="preserve">2-Hydroxyfluorene; Benzophenone</t>
  </si>
  <si>
    <t xml:space="preserve">52198; 56501</t>
  </si>
  <si>
    <t xml:space="preserve">HMDB0013163; HMDB0032049</t>
  </si>
  <si>
    <t xml:space="preserve">64933; 66382</t>
  </si>
  <si>
    <t xml:space="preserve">C14460; C06354</t>
  </si>
  <si>
    <t xml:space="preserve">; 41308</t>
  </si>
  <si>
    <t xml:space="preserve">75547; 3102</t>
  </si>
  <si>
    <t xml:space="preserve">2443-58-5; 119-61-9</t>
  </si>
  <si>
    <t xml:space="preserve">OC1=CC2=C(C=C1)C1=CC=CC=C1C2; O=C(C1=CC=CC=C1)C1=CC=CC=C1</t>
  </si>
  <si>
    <t xml:space="preserve">ZDOIAPGLORMKTR-UHFFFAOYSA-N; RWCCWEUUXYIKHB-UHFFFAOYSA-N</t>
  </si>
  <si>
    <t xml:space="preserve">Fluorenes; Benzene and substituted derivatives</t>
  </si>
  <si>
    <t xml:space="preserve">Unclassified; Benzophenones</t>
  </si>
  <si>
    <t xml:space="preserve">165.09228</t>
  </si>
  <si>
    <t xml:space="preserve">C10H14O3</t>
  </si>
  <si>
    <t xml:space="preserve">Furfuryl pentanoate; Amyl 2-furoate; Furfuryl isovalerate</t>
  </si>
  <si>
    <t xml:space="preserve">7556; 54410; 7554</t>
  </si>
  <si>
    <t xml:space="preserve">HMDB0037727; HMDB0029456; HMDB0039874</t>
  </si>
  <si>
    <t xml:space="preserve">92550; 86282; 94420</t>
  </si>
  <si>
    <t xml:space="preserve">LMFA07010892; ; LMFA07010890</t>
  </si>
  <si>
    <t xml:space="preserve">61955; 74008; 61658</t>
  </si>
  <si>
    <t xml:space="preserve">36701-01-6; 4996-48-9; 13678-60-9</t>
  </si>
  <si>
    <t xml:space="preserve">O(C(=O)CCCC)CC1OC=CC=1; CCCCCOC(=O)C1=CC=CO1; O(C(=O)CC(C)C)CC1OC=CC=1</t>
  </si>
  <si>
    <t xml:space="preserve">HRYAVTBTUKVHBU-UHFFFAOYSA-N; BGJZMKPSRLHMME-UHFFFAOYSA-N; FKGUIBCHHSHJNQ-UHFFFAOYSA-N</t>
  </si>
  <si>
    <t xml:space="preserve">Fatty acid esters; Furoic acid and derivatives; Fatty acid esters</t>
  </si>
  <si>
    <t xml:space="preserve">166.08518</t>
  </si>
  <si>
    <t xml:space="preserve">C9H11NO2</t>
  </si>
  <si>
    <t xml:space="preserve">L-Phenylalanine</t>
  </si>
  <si>
    <t xml:space="preserve">46902</t>
  </si>
  <si>
    <t xml:space="preserve">HMDB0000159</t>
  </si>
  <si>
    <t xml:space="preserve">28</t>
  </si>
  <si>
    <t xml:space="preserve">C00079</t>
  </si>
  <si>
    <t xml:space="preserve">17295</t>
  </si>
  <si>
    <t xml:space="preserve">6140</t>
  </si>
  <si>
    <t xml:space="preserve">63-91-2</t>
  </si>
  <si>
    <t xml:space="preserve">N[C@@H](CC1=CC=CC=C1)C(O)=O</t>
  </si>
  <si>
    <t xml:space="preserve">COLNVLDHVKWLRT-QMMMGPOBSA-N</t>
  </si>
  <si>
    <t xml:space="preserve">166.95139</t>
  </si>
  <si>
    <t xml:space="preserve">CH5O5P</t>
  </si>
  <si>
    <t xml:space="preserve">Phosphoric acid hydroxymethyl ester</t>
  </si>
  <si>
    <t xml:space="preserve">211280</t>
  </si>
  <si>
    <t xml:space="preserve">HMDB0257619</t>
  </si>
  <si>
    <t xml:space="preserve">19914290</t>
  </si>
  <si>
    <t xml:space="preserve">OCOP(O)(O)=O</t>
  </si>
  <si>
    <t xml:space="preserve">VFNOXQPPJXXRNB-UHFFFAOYSA-N</t>
  </si>
  <si>
    <t xml:space="preserve">167.03573</t>
  </si>
  <si>
    <t xml:space="preserve">C8H8O5</t>
  </si>
  <si>
    <t xml:space="preserve">3,4-Dihydroxymandelic acid</t>
  </si>
  <si>
    <t xml:space="preserve">47683</t>
  </si>
  <si>
    <t xml:space="preserve">HMDB0001866</t>
  </si>
  <si>
    <t xml:space="preserve">696</t>
  </si>
  <si>
    <t xml:space="preserve">C05580</t>
  </si>
  <si>
    <t xml:space="preserve">27637</t>
  </si>
  <si>
    <t xml:space="preserve">85782</t>
  </si>
  <si>
    <t xml:space="preserve">775-01-9</t>
  </si>
  <si>
    <t xml:space="preserve">OC(C(O)=O)C1=CC=C(O)C(O)=C1</t>
  </si>
  <si>
    <t xml:space="preserve">RGHMISIYKIHAJW-UHFFFAOYSA-N</t>
  </si>
  <si>
    <t xml:space="preserve">168.95148</t>
  </si>
  <si>
    <t xml:space="preserve">C5H6S2</t>
  </si>
  <si>
    <t xml:space="preserve">2-Thiophenemethanethiol; 3-(Methylthio)thiophene; 2-Methyl-3-thiophenethiol</t>
  </si>
  <si>
    <t xml:space="preserve">56318; 57202; 63038</t>
  </si>
  <si>
    <t xml:space="preserve">HMDB0031853; HMDB0032939; HMDB0039787</t>
  </si>
  <si>
    <t xml:space="preserve">87973; 88842; 94336</t>
  </si>
  <si>
    <t xml:space="preserve">80408; 519806; 75664</t>
  </si>
  <si>
    <t xml:space="preserve">6258-63-5; 20731-74-2; 2527-76-6</t>
  </si>
  <si>
    <t xml:space="preserve">SCC1=CC=CS1; CSC1=CSC=C1; CC1=C(S)C=CS1</t>
  </si>
  <si>
    <t xml:space="preserve">GCZQHDFWKVMZOE-UHFFFAOYSA-N; OTYBVBDWIKXFDO-UHFFFAOYSA-N; AQXLMAYNBMTBHD-UHFFFAOYSA-N</t>
  </si>
  <si>
    <t xml:space="preserve">Organoheterocyclic compounds; Organosulfur compounds; Organoheterocyclic compounds</t>
  </si>
  <si>
    <t xml:space="preserve">Heteroaromatic compounds; Thioethers; Heteroaromatic compounds</t>
  </si>
  <si>
    <t xml:space="preserve">Unclassified; Aryl thioethers; Unclassified</t>
  </si>
  <si>
    <t xml:space="preserve">169.05886</t>
  </si>
  <si>
    <t xml:space="preserve">C5H6N5O2</t>
  </si>
  <si>
    <t xml:space="preserve">2,6-diamino-4-hydroxy-5-formamidopyrimidine</t>
  </si>
  <si>
    <t xml:space="preserve">256872</t>
  </si>
  <si>
    <t xml:space="preserve">HMDB0304046</t>
  </si>
  <si>
    <t xml:space="preserve">NC1=NC(=O)[C-](NC=O)C(N)=[N+]1</t>
  </si>
  <si>
    <t xml:space="preserve">BKXIMINDJGDBPF-UHFFFAOYSA-N</t>
  </si>
  <si>
    <t xml:space="preserve">169.08652</t>
  </si>
  <si>
    <t xml:space="preserve">C9H12O3</t>
  </si>
  <si>
    <t xml:space="preserve">2-Furanylmethyl butanoate; 4-Ipomeanol; 1-Ipomeanol</t>
  </si>
  <si>
    <t xml:space="preserve">7437; 55283; 55284</t>
  </si>
  <si>
    <t xml:space="preserve">HMDB0037729; HMDB0030472; HMDB0030473</t>
  </si>
  <si>
    <t xml:space="preserve">92552; 96319; 87002</t>
  </si>
  <si>
    <t xml:space="preserve">LMFA07010714; ; </t>
  </si>
  <si>
    <t xml:space="preserve">; 1222143; 173765</t>
  </si>
  <si>
    <t xml:space="preserve">61167; 36284; 161819</t>
  </si>
  <si>
    <t xml:space="preserve">623-21-2; 32954-58-8; 34435-70-6</t>
  </si>
  <si>
    <t xml:space="preserve">O(C(=O)CCC)CC1OC=CC=1; CC(O)CCC(=O)C1=COC=C1; CC(=O)CCC(O)C1=COC=C1</t>
  </si>
  <si>
    <t xml:space="preserve">IXISGRHWGVGCAK-UHFFFAOYSA-N; RJYQLMILDVERHH-UHFFFAOYSA-N; IGGLYMZTLQKWGT-UHFFFAOYSA-N</t>
  </si>
  <si>
    <t xml:space="preserve">Lipids and lipid-like molecules; Organic oxygen compounds; Organoheterocyclic compounds</t>
  </si>
  <si>
    <t xml:space="preserve">Fatty Acyls; Organooxygen compounds; Heteroaromatic compounds</t>
  </si>
  <si>
    <t xml:space="preserve">Fatty acid esters; Carbonyl compounds; Unclassified</t>
  </si>
  <si>
    <t xml:space="preserve">169.12503</t>
  </si>
  <si>
    <t xml:space="preserve">C10H18O3</t>
  </si>
  <si>
    <t xml:space="preserve">3-Oxodecanoic acid; Ethyl (3R,5Z)-3-hydroxy-5-octenoate; 3-Hydroxy-5Z-octenyl acetate</t>
  </si>
  <si>
    <t xml:space="preserve">2063; 55185; 55186</t>
  </si>
  <si>
    <t xml:space="preserve">HMDB0010724; HMDB0030367; HMDB0030369</t>
  </si>
  <si>
    <t xml:space="preserve">35722; 86919; 86921</t>
  </si>
  <si>
    <t xml:space="preserve">LMFA01060028; ; </t>
  </si>
  <si>
    <t xml:space="preserve">37157; 171969; 171977</t>
  </si>
  <si>
    <t xml:space="preserve">5282982; 101998819; 92034372</t>
  </si>
  <si>
    <t xml:space="preserve">; 182510-22-1; </t>
  </si>
  <si>
    <t xml:space="preserve">C(CCCCC)CC(=O)CC(=O)O; CCOC(=O)CC(O)C\C=C/CC; CC\C=C/CC(O)CCOC(C)=O</t>
  </si>
  <si>
    <t xml:space="preserve">YXTHWTPUTHTODU-UHFFFAOYSA-N; UIWVSNIRNXLEKC-WAYWQWQTSA-N; WWZCBOHSNDHUER-PLNGDYQASA-N</t>
  </si>
  <si>
    <t xml:space="preserve">Keto acids and derivatives; Fatty Acyls; Fatty Acyls</t>
  </si>
  <si>
    <t xml:space="preserve">Medium-chain keto acids and derivatives; Fatty alcohols; Fatty alcohol esters</t>
  </si>
  <si>
    <t xml:space="preserve">169.98668</t>
  </si>
  <si>
    <t xml:space="preserve">C4H5NO4</t>
  </si>
  <si>
    <t xml:space="preserve">Iminoaspartic acid</t>
  </si>
  <si>
    <t xml:space="preserve">2917</t>
  </si>
  <si>
    <t xml:space="preserve">HMDB0001131</t>
  </si>
  <si>
    <t xml:space="preserve">6025</t>
  </si>
  <si>
    <t xml:space="preserve">LMFA01170110</t>
  </si>
  <si>
    <t xml:space="preserve">C05840</t>
  </si>
  <si>
    <t xml:space="preserve">50616</t>
  </si>
  <si>
    <t xml:space="preserve">796</t>
  </si>
  <si>
    <t xml:space="preserve">79067-61-1</t>
  </si>
  <si>
    <t xml:space="preserve">C(=O)(O)C(=N)CC(O)=O</t>
  </si>
  <si>
    <t xml:space="preserve">NMUOATVLLQEYHI-UHFFFAOYSA-N</t>
  </si>
  <si>
    <t xml:space="preserve">170.03538</t>
  </si>
  <si>
    <t xml:space="preserve">C9H5N3O2</t>
  </si>
  <si>
    <t xml:space="preserve">1h-[1,2,4]Oxadiazolo[4,3-a]quinoxalin-1-one; 4-Phenyl-3-furoxancarbonitrile</t>
  </si>
  <si>
    <t xml:space="preserve">200316; 201902</t>
  </si>
  <si>
    <t xml:space="preserve">HMDB0244864; HMDB0246569</t>
  </si>
  <si>
    <t xml:space="preserve">62975; </t>
  </si>
  <si>
    <t xml:space="preserve">91215; </t>
  </si>
  <si>
    <t xml:space="preserve">1456; 1756</t>
  </si>
  <si>
    <t xml:space="preserve">41443-28-1; </t>
  </si>
  <si>
    <t xml:space="preserve">O=C1ON=C2C=NC3=CC=CC=C3N12; [O-][N+]1=C(C#N)C(=NO1)C1=CC=CC=C1</t>
  </si>
  <si>
    <t xml:space="preserve">LZMHWZHOZLVYDL-UHFFFAOYSA-N; PMYJGTWUVVVOFO-UHFFFAOYSA-N</t>
  </si>
  <si>
    <t xml:space="preserve">Diazanaphthalenes; Azoles</t>
  </si>
  <si>
    <t xml:space="preserve">Benzodiazines; Oxadiazoles</t>
  </si>
  <si>
    <t xml:space="preserve">170.05948</t>
  </si>
  <si>
    <t xml:space="preserve">C11H7NO</t>
  </si>
  <si>
    <t xml:space="preserve">1-Naphthyl isocyanate</t>
  </si>
  <si>
    <t xml:space="preserve">199493</t>
  </si>
  <si>
    <t xml:space="preserve">HMDB0243960</t>
  </si>
  <si>
    <t xml:space="preserve">333507</t>
  </si>
  <si>
    <t xml:space="preserve">66589</t>
  </si>
  <si>
    <t xml:space="preserve">O=C=NC1=CC=CC2=CC=CC=C12</t>
  </si>
  <si>
    <t xml:space="preserve">BDQNKCYCTYYMAA-UHFFFAOYSA-N</t>
  </si>
  <si>
    <t xml:space="preserve">171.10103</t>
  </si>
  <si>
    <t xml:space="preserve">C9H14O3</t>
  </si>
  <si>
    <t xml:space="preserve">1,4-Ipomeadiol</t>
  </si>
  <si>
    <t xml:space="preserve">55282</t>
  </si>
  <si>
    <t xml:space="preserve">HMDB0030471</t>
  </si>
  <si>
    <t xml:space="preserve">87001</t>
  </si>
  <si>
    <t xml:space="preserve">166532</t>
  </si>
  <si>
    <t xml:space="preserve">13186539</t>
  </si>
  <si>
    <t xml:space="preserve">53011-73-7</t>
  </si>
  <si>
    <t xml:space="preserve">CC(O)CCC(O)C1=COC=C1</t>
  </si>
  <si>
    <t xml:space="preserve">AORCXYMSPVAQIZ-UHFFFAOYSA-N</t>
  </si>
  <si>
    <t xml:space="preserve">171.14936</t>
  </si>
  <si>
    <t xml:space="preserve">C9H18N2O</t>
  </si>
  <si>
    <t xml:space="preserve">2-Amino-3-methyl-1-pyrrolidin-1-YL-butan-1-one</t>
  </si>
  <si>
    <t xml:space="preserve">202235</t>
  </si>
  <si>
    <t xml:space="preserve">HMDB0246938</t>
  </si>
  <si>
    <t xml:space="preserve">4470972</t>
  </si>
  <si>
    <t xml:space="preserve">CC(C)C(N)C(=O)N1CCCC1</t>
  </si>
  <si>
    <t xml:space="preserve">IHBAVXVTGLANPI-UHFFFAOYSA-N</t>
  </si>
  <si>
    <t xml:space="preserve">172.16999</t>
  </si>
  <si>
    <t xml:space="preserve">C10H21NO</t>
  </si>
  <si>
    <t xml:space="preserve">N,2,3-Trimethyl-2-(1-methylethyl)butanamide</t>
  </si>
  <si>
    <t xml:space="preserve">8765</t>
  </si>
  <si>
    <t xml:space="preserve">HMDB0036195</t>
  </si>
  <si>
    <t xml:space="preserve">91344</t>
  </si>
  <si>
    <t xml:space="preserve">LMFA08020189</t>
  </si>
  <si>
    <t xml:space="preserve">65300</t>
  </si>
  <si>
    <t xml:space="preserve">51115-67-4</t>
  </si>
  <si>
    <t xml:space="preserve">C(C)(C)C(C(NC)=O)(C)C(C)C</t>
  </si>
  <si>
    <t xml:space="preserve">RWAXQWRDVUOOGG-UHFFFAOYSA-N</t>
  </si>
  <si>
    <t xml:space="preserve">173.05514</t>
  </si>
  <si>
    <t xml:space="preserve">C5H6N6</t>
  </si>
  <si>
    <t xml:space="preserve">2,6-Diaminopurine</t>
  </si>
  <si>
    <t xml:space="preserve">200937</t>
  </si>
  <si>
    <t xml:space="preserve">HMDB0245509</t>
  </si>
  <si>
    <t xml:space="preserve">344623</t>
  </si>
  <si>
    <t xml:space="preserve">40235</t>
  </si>
  <si>
    <t xml:space="preserve">30976</t>
  </si>
  <si>
    <t xml:space="preserve">NC1=NC2=C(NC=N2)C(N)=N1</t>
  </si>
  <si>
    <t xml:space="preserve">MSSXOMSJDRHRMC-UHFFFAOYSA-N</t>
  </si>
  <si>
    <t xml:space="preserve">174.99842</t>
  </si>
  <si>
    <t xml:space="preserve">C6H7O2PS</t>
  </si>
  <si>
    <t xml:space="preserve">Phenyl phosphonothioate</t>
  </si>
  <si>
    <t xml:space="preserve">210284</t>
  </si>
  <si>
    <t xml:space="preserve">HMDB0256424</t>
  </si>
  <si>
    <t xml:space="preserve">1378714</t>
  </si>
  <si>
    <t xml:space="preserve">OP(O)(=S)C1=CC=CC=C1</t>
  </si>
  <si>
    <t xml:space="preserve">NAKDJXIEBCHXIZ-UHFFFAOYSA-N</t>
  </si>
  <si>
    <t xml:space="preserve">175.02769</t>
  </si>
  <si>
    <t xml:space="preserve">C7H8N2O</t>
  </si>
  <si>
    <t xml:space="preserve">N-Methylnicotinamide</t>
  </si>
  <si>
    <t xml:space="preserve">48033</t>
  </si>
  <si>
    <t xml:space="preserve">HMDB0003152</t>
  </si>
  <si>
    <t xml:space="preserve">3770</t>
  </si>
  <si>
    <t xml:space="preserve">64399</t>
  </si>
  <si>
    <t xml:space="preserve">114-33-0</t>
  </si>
  <si>
    <t xml:space="preserve">CNC(=O)C1=CN=CC=C1</t>
  </si>
  <si>
    <t xml:space="preserve">ZYVXHFWBYUDDBM-UHFFFAOYSA-N</t>
  </si>
  <si>
    <t xml:space="preserve">175.16359</t>
  </si>
  <si>
    <t xml:space="preserve">C3H9N3</t>
  </si>
  <si>
    <t xml:space="preserve">2M+H</t>
  </si>
  <si>
    <t xml:space="preserve">N-Ethylguanidine</t>
  </si>
  <si>
    <t xml:space="preserve">199412</t>
  </si>
  <si>
    <t xml:space="preserve">HMDB0243875</t>
  </si>
  <si>
    <t xml:space="preserve">29544</t>
  </si>
  <si>
    <t xml:space="preserve">CCNC(N)=N</t>
  </si>
  <si>
    <t xml:space="preserve">KEWLVUBYGUZFKX-UHFFFAOYSA-N</t>
  </si>
  <si>
    <t xml:space="preserve">176.01146</t>
  </si>
  <si>
    <t xml:space="preserve">C7H7NO2</t>
  </si>
  <si>
    <t xml:space="preserve">Trigonelline; 2-Aminobenzoic acid; p-Aminobenzoic acid</t>
  </si>
  <si>
    <t xml:space="preserve">47275; 47405; 47557</t>
  </si>
  <si>
    <t xml:space="preserve">HMDB0000875; HMDB0001123; HMDB0001392</t>
  </si>
  <si>
    <t xml:space="preserve">273; 317; 3261</t>
  </si>
  <si>
    <t xml:space="preserve">C01004; C00108; C00568</t>
  </si>
  <si>
    <t xml:space="preserve">18123; 30754; 30753</t>
  </si>
  <si>
    <t xml:space="preserve">5570; 227; 978</t>
  </si>
  <si>
    <t xml:space="preserve">535-83-1; 118-92-3; 150-13-0</t>
  </si>
  <si>
    <t xml:space="preserve">C[N+]1=CC=CC(=C1)C([O-])=O; NC1=CC=CC=C1C(O)=O; NC1=CC=C(C=C1)C(O)=O</t>
  </si>
  <si>
    <t xml:space="preserve">WWNNZCOKKKDOPX-UHFFFAOYSA-N; RWZYAGGXGHYGMB-UHFFFAOYSA-N; ALYNCZNDIQEVRV-UHFFFAOYSA-N</t>
  </si>
  <si>
    <t xml:space="preserve">Alkaloids and derivatives; Benzenoids; Benzenoids</t>
  </si>
  <si>
    <t xml:space="preserve">Unclassified; Benzene and substituted derivatives; Benzene and substituted derivatives</t>
  </si>
  <si>
    <t xml:space="preserve">Unclassified; Benzoic acids and derivatives; Benzoic acids and derivatives</t>
  </si>
  <si>
    <t xml:space="preserve">177.00924</t>
  </si>
  <si>
    <t xml:space="preserve">C6H6N2O2</t>
  </si>
  <si>
    <t xml:space="preserve">Urocanic acid</t>
  </si>
  <si>
    <t xml:space="preserve">46985</t>
  </si>
  <si>
    <t xml:space="preserve">HMDB0000301</t>
  </si>
  <si>
    <t xml:space="preserve">298</t>
  </si>
  <si>
    <t xml:space="preserve">C00785</t>
  </si>
  <si>
    <t xml:space="preserve">30817</t>
  </si>
  <si>
    <t xml:space="preserve">736715</t>
  </si>
  <si>
    <t xml:space="preserve">104-98-3</t>
  </si>
  <si>
    <t xml:space="preserve">OC(=O)\C=C\C1=CNC=N1</t>
  </si>
  <si>
    <t xml:space="preserve">LOIYMIARKYCTBW-OWOJBTEDSA-N</t>
  </si>
  <si>
    <t xml:space="preserve">177.05632</t>
  </si>
  <si>
    <t xml:space="preserve">C10H10O4</t>
  </si>
  <si>
    <t xml:space="preserve">Ferulic acid</t>
  </si>
  <si>
    <t xml:space="preserve">47315</t>
  </si>
  <si>
    <t xml:space="preserve">HMDB0000954</t>
  </si>
  <si>
    <t xml:space="preserve">4156</t>
  </si>
  <si>
    <t xml:space="preserve">C01494</t>
  </si>
  <si>
    <t xml:space="preserve">17620</t>
  </si>
  <si>
    <t xml:space="preserve">445858</t>
  </si>
  <si>
    <t xml:space="preserve">537-98-4</t>
  </si>
  <si>
    <t xml:space="preserve">COC1=C(O)C=CC(\C=C\C(O)=O)=C1</t>
  </si>
  <si>
    <t xml:space="preserve">KSEBMYQBYZTDHS-HWKANZROSA-N</t>
  </si>
  <si>
    <t xml:space="preserve">177.12934</t>
  </si>
  <si>
    <t xml:space="preserve">C12H18O2</t>
  </si>
  <si>
    <t xml:space="preserve">4-Hydroxypropofol</t>
  </si>
  <si>
    <t xml:space="preserve">52556</t>
  </si>
  <si>
    <t xml:space="preserve">HMDB0014018</t>
  </si>
  <si>
    <t xml:space="preserve">2156</t>
  </si>
  <si>
    <t xml:space="preserve">145211</t>
  </si>
  <si>
    <t xml:space="preserve">3014064</t>
  </si>
  <si>
    <t xml:space="preserve">1988-10-9</t>
  </si>
  <si>
    <t xml:space="preserve">CC(C)C1=CC(O)=CC(C(C)C)=C1O</t>
  </si>
  <si>
    <t xml:space="preserve">UFWIJKBKROBWTG-UHFFFAOYSA-N</t>
  </si>
  <si>
    <t xml:space="preserve">Cumenes</t>
  </si>
  <si>
    <t xml:space="preserve">178.06136</t>
  </si>
  <si>
    <t xml:space="preserve">C8H13NO</t>
  </si>
  <si>
    <t xml:space="preserve">9-Azabicyclo[3.3.1]nonan-3-one; 2,4-Dimethyl-5-propyloxazole</t>
  </si>
  <si>
    <t xml:space="preserve">54526; 61352</t>
  </si>
  <si>
    <t xml:space="preserve">HMDB0029613; HMDB0037868</t>
  </si>
  <si>
    <t xml:space="preserve">86376; 92674</t>
  </si>
  <si>
    <t xml:space="preserve">145745; 525774</t>
  </si>
  <si>
    <t xml:space="preserve">4390-39-0; 84027-86-1</t>
  </si>
  <si>
    <t xml:space="preserve">O=C1CC2CCCC(C1)N2; CCCC1=C(C)N=C(C)O1</t>
  </si>
  <si>
    <t xml:space="preserve">JIYPUEZSSJAXBO-UHFFFAOYSA-N; PSGAPKDEFJWSNU-UHFFFAOYSA-N</t>
  </si>
  <si>
    <t xml:space="preserve">Piperidines; Azoles</t>
  </si>
  <si>
    <t xml:space="preserve">Piperidinones; Oxazoles</t>
  </si>
  <si>
    <t xml:space="preserve">179.06467</t>
  </si>
  <si>
    <t xml:space="preserve">C9H10N2S</t>
  </si>
  <si>
    <t xml:space="preserve">2-Ethylsulfanyl-1H-benzoimidazole</t>
  </si>
  <si>
    <t xml:space="preserve">200130</t>
  </si>
  <si>
    <t xml:space="preserve">HMDB0244644</t>
  </si>
  <si>
    <t xml:space="preserve">CCSC1=NC2=CC=CC=C2N1</t>
  </si>
  <si>
    <t xml:space="preserve">UGCOPUIBNABIEP-UHFFFAOYSA-N</t>
  </si>
  <si>
    <t xml:space="preserve">181.08855</t>
  </si>
  <si>
    <t xml:space="preserve">C7H16O3S</t>
  </si>
  <si>
    <t xml:space="preserve">1-Heptanesulfonic acid</t>
  </si>
  <si>
    <t xml:space="preserve">199422</t>
  </si>
  <si>
    <t xml:space="preserve">HMDB0243886</t>
  </si>
  <si>
    <t xml:space="preserve">89829</t>
  </si>
  <si>
    <t xml:space="preserve">CCCCCCCS(O)(=O)=O</t>
  </si>
  <si>
    <t xml:space="preserve">AKRQHOWXVSDJEF-UHFFFAOYSA-N</t>
  </si>
  <si>
    <t xml:space="preserve">181.16092</t>
  </si>
  <si>
    <t xml:space="preserve">C12H22O2</t>
  </si>
  <si>
    <t xml:space="preserve">11-Dodecenoic acid; FA(12:1); trans-Dodec-2-enoic acid</t>
  </si>
  <si>
    <t xml:space="preserve">553; 721; 1200</t>
  </si>
  <si>
    <t xml:space="preserve">HMDB0032248; HMDB0000529; HMDB0010729</t>
  </si>
  <si>
    <t xml:space="preserve">34732; 34891; 74351</t>
  </si>
  <si>
    <t xml:space="preserve">LMFA01030043; LMFA01030226; LMFA01030788</t>
  </si>
  <si>
    <t xml:space="preserve">38381; 86595; </t>
  </si>
  <si>
    <t xml:space="preserve">125207; 5312378; 5282729</t>
  </si>
  <si>
    <t xml:space="preserve">65423-25-8; 2430-94-6; </t>
  </si>
  <si>
    <t xml:space="preserve">C(C=C)CCCCCCCCC(=O)O; C(CCC/C=C\CCCCCC)(=O)O; C(/C=C/CCCCCCCCC)(=O)O</t>
  </si>
  <si>
    <t xml:space="preserve">GZZPOFFXKUVNSW-UHFFFAOYSA-N; IJBFSOLHRKELLR-FPLPWBNLSA-N; PAWGRNGPMLVJQH-ZHACJKMWSA-N</t>
  </si>
  <si>
    <t xml:space="preserve">182.05857</t>
  </si>
  <si>
    <t xml:space="preserve">C5H12NO4P</t>
  </si>
  <si>
    <t xml:space="preserve">Glufosinate</t>
  </si>
  <si>
    <t xml:space="preserve">207232</t>
  </si>
  <si>
    <t xml:space="preserve">HMDB0252799</t>
  </si>
  <si>
    <t xml:space="preserve">C05042</t>
  </si>
  <si>
    <t xml:space="preserve">142851</t>
  </si>
  <si>
    <t xml:space="preserve">4794</t>
  </si>
  <si>
    <t xml:space="preserve">CP(O)(=O)CCC(N)C(O)=O</t>
  </si>
  <si>
    <t xml:space="preserve">IAJOBQBIJHVGMQ-UHFFFAOYSA-N</t>
  </si>
  <si>
    <t xml:space="preserve">182.19203</t>
  </si>
  <si>
    <t xml:space="preserve">C12H25NO</t>
  </si>
  <si>
    <t xml:space="preserve">Dodecanamide</t>
  </si>
  <si>
    <t xml:space="preserve">8564</t>
  </si>
  <si>
    <t xml:space="preserve">HMDB0251566</t>
  </si>
  <si>
    <t xml:space="preserve">36671</t>
  </si>
  <si>
    <t xml:space="preserve">LMFA08010001</t>
  </si>
  <si>
    <t xml:space="preserve">C13831</t>
  </si>
  <si>
    <t xml:space="preserve">34726</t>
  </si>
  <si>
    <t xml:space="preserve">14256</t>
  </si>
  <si>
    <t xml:space="preserve">NC(CCCCCCCCCCC)=O</t>
  </si>
  <si>
    <t xml:space="preserve">ILRSCQWREDREME-UHFFFAOYSA-N</t>
  </si>
  <si>
    <t xml:space="preserve">183.07940</t>
  </si>
  <si>
    <t xml:space="preserve">C8H13FO2</t>
  </si>
  <si>
    <t xml:space="preserve">4-Pentenoic acid, 2-fluoro-2-propyl-</t>
  </si>
  <si>
    <t xml:space="preserve">201900</t>
  </si>
  <si>
    <t xml:space="preserve">HMDB0246567</t>
  </si>
  <si>
    <t xml:space="preserve">CCCC(F)(CC=C)C(O)=O</t>
  </si>
  <si>
    <t xml:space="preserve">CYSFMOXXKZIWLO-UHFFFAOYSA-N</t>
  </si>
  <si>
    <t xml:space="preserve">183.10260</t>
  </si>
  <si>
    <t xml:space="preserve">C10H16O4</t>
  </si>
  <si>
    <t xml:space="preserve">cis-4-Decenedioic acid; cis-5-Decenedioic acid; 5-Pentyltetrahydro-2-oxo-3-furancarboxylic acid</t>
  </si>
  <si>
    <t xml:space="preserve">2859; 52219; 55677</t>
  </si>
  <si>
    <t xml:space="preserve">HMDB0000603; HMDB0013227; HMDB0030989</t>
  </si>
  <si>
    <t xml:space="preserve">74921; ; 87333</t>
  </si>
  <si>
    <t xml:space="preserve">LMFA01170045; ; </t>
  </si>
  <si>
    <t xml:space="preserve">89730; 172075; 172077</t>
  </si>
  <si>
    <t xml:space="preserve">9543671; 7563148; 131751115</t>
  </si>
  <si>
    <t xml:space="preserve">72879-22-2; ; </t>
  </si>
  <si>
    <t xml:space="preserve">C(CC/C=C\CCCCC(=O)O)(=O)O; OC(=O)CCC\C=C/CCCC(O)=O; CCCCCC1CC(C(O)=O)C(=O)O1</t>
  </si>
  <si>
    <t xml:space="preserve">CXGDCGIPEJKSCK-IWQZZHSRSA-N; WAGQZQAZCIOEDU-UPHRSURJSA-N; RXLCOVRNIXYZMX-UHFFFAOYSA-N</t>
  </si>
  <si>
    <t xml:space="preserve">Fatty Acyls; Fatty Acyls; Lactones</t>
  </si>
  <si>
    <t xml:space="preserve">Fatty acids and conjugates; Fatty acids and conjugates; Gamma butyrolactones</t>
  </si>
  <si>
    <t xml:space="preserve">184.07505</t>
  </si>
  <si>
    <t xml:space="preserve">C5H15NO4P</t>
  </si>
  <si>
    <t xml:space="preserve">Phosphorylcholine</t>
  </si>
  <si>
    <t xml:space="preserve">47656</t>
  </si>
  <si>
    <t xml:space="preserve">HMDB0001565</t>
  </si>
  <si>
    <t xml:space="preserve">6326</t>
  </si>
  <si>
    <t xml:space="preserve">C00588</t>
  </si>
  <si>
    <t xml:space="preserve">18132</t>
  </si>
  <si>
    <t xml:space="preserve">1014</t>
  </si>
  <si>
    <t xml:space="preserve">3616-04-4</t>
  </si>
  <si>
    <t xml:space="preserve">C[N+](C)(C)CCOP(O)(O)=O</t>
  </si>
  <si>
    <t xml:space="preserve">YHHSONZFOIEMCP-UHFFFAOYSA-O</t>
  </si>
  <si>
    <t xml:space="preserve">185.03317</t>
  </si>
  <si>
    <t xml:space="preserve">C8H6N2O2</t>
  </si>
  <si>
    <t xml:space="preserve">Quindoxin</t>
  </si>
  <si>
    <t xml:space="preserve">57190</t>
  </si>
  <si>
    <t xml:space="preserve">HMDB0032927</t>
  </si>
  <si>
    <t xml:space="preserve">88831</t>
  </si>
  <si>
    <t xml:space="preserve">72073</t>
  </si>
  <si>
    <t xml:space="preserve">2423-66-7</t>
  </si>
  <si>
    <t xml:space="preserve">O=N1=CC=N(=O)C2=CC=CC=C12</t>
  </si>
  <si>
    <t xml:space="preserve">CKIHZSGJPSDCNC-UHFFFAOYSA-N</t>
  </si>
  <si>
    <t xml:space="preserve">185.08083</t>
  </si>
  <si>
    <t xml:space="preserve">C9H12O4</t>
  </si>
  <si>
    <t xml:space="preserve">Vanylglycol</t>
  </si>
  <si>
    <t xml:space="preserve">47611</t>
  </si>
  <si>
    <t xml:space="preserve">HMDB0001490</t>
  </si>
  <si>
    <t xml:space="preserve">698</t>
  </si>
  <si>
    <t xml:space="preserve">C05594</t>
  </si>
  <si>
    <t xml:space="preserve">10805</t>
  </si>
  <si>
    <t xml:space="preserve">534-82-7</t>
  </si>
  <si>
    <t xml:space="preserve">COC1=CC(=CC=C1O)C(O)CO</t>
  </si>
  <si>
    <t xml:space="preserve">FBWPWWWZWKPJFL-UHFFFAOYSA-N</t>
  </si>
  <si>
    <t xml:space="preserve">185.11765</t>
  </si>
  <si>
    <t xml:space="preserve">C10H16O3</t>
  </si>
  <si>
    <t xml:space="preserve">(E)-10-Oxo-8-decenoic acid; (1'R)-Nepetalic acid</t>
  </si>
  <si>
    <t xml:space="preserve">1341; 59910</t>
  </si>
  <si>
    <t xml:space="preserve">HMDB0040883; HMDB0036117</t>
  </si>
  <si>
    <t xml:space="preserve">95336; 91274</t>
  </si>
  <si>
    <t xml:space="preserve">LMFA01030949; </t>
  </si>
  <si>
    <t xml:space="preserve">; 173886</t>
  </si>
  <si>
    <t xml:space="preserve">12431569; 12313272</t>
  </si>
  <si>
    <t xml:space="preserve">69152-89-2; 21651-54-7</t>
  </si>
  <si>
    <t xml:space="preserve">O=C/C=C/CCCCCCC(=O)O; CC(C=O)C1CCC(C)C1C(O)=O</t>
  </si>
  <si>
    <t xml:space="preserve">YUAQBOMIASXPQW-FNORWQNLSA-N; RGTMAXSVLBZNEL-UHFFFAOYSA-N</t>
  </si>
  <si>
    <t xml:space="preserve">Fatty acids and conjugates; Monoterpenoids</t>
  </si>
  <si>
    <t xml:space="preserve">186.01172</t>
  </si>
  <si>
    <t xml:space="preserve">C6H7NO3</t>
  </si>
  <si>
    <t xml:space="preserve">2-Aminomuconic acid semialdehyde</t>
  </si>
  <si>
    <t xml:space="preserve">2182</t>
  </si>
  <si>
    <t xml:space="preserve">HMDB0001280</t>
  </si>
  <si>
    <t xml:space="preserve">3248</t>
  </si>
  <si>
    <t xml:space="preserve">LMFA01060191</t>
  </si>
  <si>
    <t xml:space="preserve">C03824</t>
  </si>
  <si>
    <t xml:space="preserve">15745</t>
  </si>
  <si>
    <t xml:space="preserve">5280625</t>
  </si>
  <si>
    <t xml:space="preserve">245128-91-0</t>
  </si>
  <si>
    <t xml:space="preserve">C(=O)(O)/C(/N)=C\C=C/C=O</t>
  </si>
  <si>
    <t xml:space="preserve">QCGTZPZKJPTAEP-REDYYMJGSA-N</t>
  </si>
  <si>
    <t xml:space="preserve">186.22266</t>
  </si>
  <si>
    <t xml:space="preserve">C12H27N</t>
  </si>
  <si>
    <t xml:space="preserve">Dodecylamine; TRIBUTYLAMINE</t>
  </si>
  <si>
    <t xml:space="preserve">206184; 212568</t>
  </si>
  <si>
    <t xml:space="preserve">HMDB0251571; HMDB0259165</t>
  </si>
  <si>
    <t xml:space="preserve">; 38905</t>
  </si>
  <si>
    <t xml:space="preserve">CCCCCCCCCCCCN; CCCCN(CCCC)CCCC</t>
  </si>
  <si>
    <t xml:space="preserve">JRBPAEWTRLWTQC-UHFFFAOYSA-N; IMFACGCPASFAPR-UHFFFAOYSA-N</t>
  </si>
  <si>
    <t xml:space="preserve">187.07456</t>
  </si>
  <si>
    <t xml:space="preserve">C12H10O2</t>
  </si>
  <si>
    <t xml:space="preserve">Eutypine; 1-Naphthaleneacetic acid</t>
  </si>
  <si>
    <t xml:space="preserve">254902; 56983</t>
  </si>
  <si>
    <t xml:space="preserve">HMDB0301834; HMDB0032708</t>
  </si>
  <si>
    <t xml:space="preserve">66984; 69522</t>
  </si>
  <si>
    <t xml:space="preserve">C08448; C13014</t>
  </si>
  <si>
    <t xml:space="preserve">; 32918</t>
  </si>
  <si>
    <t xml:space="preserve">129326; 6862</t>
  </si>
  <si>
    <t xml:space="preserve">121007-17-8; 86-87-3</t>
  </si>
  <si>
    <t xml:space="preserve">CC(=C)C#CC1=CC(C=O)=CC=C1O; OC(=O)CC1=C2C=CC=CC2=CC=C1</t>
  </si>
  <si>
    <t xml:space="preserve">SFCYVTIQMNZUCZ-UHFFFAOYSA-N; PRPINYUDVPFIRX-UHFFFAOYSA-N</t>
  </si>
  <si>
    <t xml:space="preserve">Organic oxygen compounds; Benzenoids</t>
  </si>
  <si>
    <t xml:space="preserve">Organooxygen compounds; Naphthalenes</t>
  </si>
  <si>
    <t xml:space="preserve">Carbonyl compounds; Unclassified</t>
  </si>
  <si>
    <t xml:space="preserve">187.12559</t>
  </si>
  <si>
    <t xml:space="preserve">C12H14N2</t>
  </si>
  <si>
    <t xml:space="preserve">1,2,3,4-Tetrahydro-2-methyl-b-carboline</t>
  </si>
  <si>
    <t xml:space="preserve">54722</t>
  </si>
  <si>
    <t xml:space="preserve">HMDB0029836</t>
  </si>
  <si>
    <t xml:space="preserve">86540</t>
  </si>
  <si>
    <t xml:space="preserve">213990</t>
  </si>
  <si>
    <t xml:space="preserve">121896</t>
  </si>
  <si>
    <t xml:space="preserve">13100-00-0</t>
  </si>
  <si>
    <t xml:space="preserve">CN1CCC2=C(C1)NC1=C2C=CC=C1</t>
  </si>
  <si>
    <t xml:space="preserve">JOFKCNJIUXPJAC-UHFFFAOYSA-N</t>
  </si>
  <si>
    <t xml:space="preserve">188.14174</t>
  </si>
  <si>
    <t xml:space="preserve">C13H17N</t>
  </si>
  <si>
    <t xml:space="preserve">Selegiline</t>
  </si>
  <si>
    <t xml:space="preserve">53276</t>
  </si>
  <si>
    <t xml:space="preserve">HMDB0015171</t>
  </si>
  <si>
    <t xml:space="preserve">C07245</t>
  </si>
  <si>
    <t xml:space="preserve">50217</t>
  </si>
  <si>
    <t xml:space="preserve">5195</t>
  </si>
  <si>
    <t xml:space="preserve">14611-51-9</t>
  </si>
  <si>
    <t xml:space="preserve">CC(CC1=CC=CC=C1)N(C)CC#C</t>
  </si>
  <si>
    <t xml:space="preserve">MEZLKOACVSPNER-UHFFFAOYSA-N</t>
  </si>
  <si>
    <t xml:space="preserve">189.05377</t>
  </si>
  <si>
    <t xml:space="preserve">C11H8O3</t>
  </si>
  <si>
    <t xml:space="preserve">Isoplumbagin</t>
  </si>
  <si>
    <t xml:space="preserve">59174</t>
  </si>
  <si>
    <t xml:space="preserve">HMDB0035291</t>
  </si>
  <si>
    <t xml:space="preserve">90596</t>
  </si>
  <si>
    <t xml:space="preserve">173524</t>
  </si>
  <si>
    <t xml:space="preserve">375105</t>
  </si>
  <si>
    <t xml:space="preserve">14777-17-4</t>
  </si>
  <si>
    <t xml:space="preserve">CC1=CC(=O)C2=C(C(O)=CC=C2)C1=O</t>
  </si>
  <si>
    <t xml:space="preserve">ZMOIGGHUSNHCAB-UHFFFAOYSA-N</t>
  </si>
  <si>
    <t xml:space="preserve">191.02583</t>
  </si>
  <si>
    <t xml:space="preserve">C9H8N2O2S</t>
  </si>
  <si>
    <t xml:space="preserve">Isoquinolinesulfonamide</t>
  </si>
  <si>
    <t xml:space="preserve">207993</t>
  </si>
  <si>
    <t xml:space="preserve">HMDB0253686</t>
  </si>
  <si>
    <t xml:space="preserve">10104496</t>
  </si>
  <si>
    <t xml:space="preserve">NS(=O)(=O)C1=NC=CC2=CC=CC=C12</t>
  </si>
  <si>
    <t xml:space="preserve">GZZCYMXZJQCAJU-UHFFFAOYSA-N</t>
  </si>
  <si>
    <t xml:space="preserve">192.03205</t>
  </si>
  <si>
    <t xml:space="preserve">C6H9NO4S</t>
  </si>
  <si>
    <t xml:space="preserve">2,4-Thiazolidinedicarboxylic acid, 2-methyl-</t>
  </si>
  <si>
    <t xml:space="preserve">200224</t>
  </si>
  <si>
    <t xml:space="preserve">HMDB0244750</t>
  </si>
  <si>
    <t xml:space="preserve">98342</t>
  </si>
  <si>
    <t xml:space="preserve">CC1(NC(CS1)C(O)=O)C(O)=O</t>
  </si>
  <si>
    <t xml:space="preserve">JCAKCGQZNBEITC-UHFFFAOYSA-N</t>
  </si>
  <si>
    <t xml:space="preserve">192.13991</t>
  </si>
  <si>
    <t xml:space="preserve">C12H17NO</t>
  </si>
  <si>
    <t xml:space="preserve">N,N-Diethylbenzeneacetamide</t>
  </si>
  <si>
    <t xml:space="preserve">56921</t>
  </si>
  <si>
    <t xml:space="preserve">HMDB0032635</t>
  </si>
  <si>
    <t xml:space="preserve">68704</t>
  </si>
  <si>
    <t xml:space="preserve">C10938</t>
  </si>
  <si>
    <t xml:space="preserve">17076</t>
  </si>
  <si>
    <t xml:space="preserve">2431-96-1</t>
  </si>
  <si>
    <t xml:space="preserve">CCN(CC)C(=O)CC1=CC=CC=C1</t>
  </si>
  <si>
    <t xml:space="preserve">UXDAWVUDZLBBAM-UHFFFAOYSA-N</t>
  </si>
  <si>
    <t xml:space="preserve">193.13346</t>
  </si>
  <si>
    <t xml:space="preserve">C11H16N2O</t>
  </si>
  <si>
    <t xml:space="preserve">Tocainide</t>
  </si>
  <si>
    <t xml:space="preserve">53291</t>
  </si>
  <si>
    <t xml:space="preserve">HMDB0015189</t>
  </si>
  <si>
    <t xml:space="preserve">2864</t>
  </si>
  <si>
    <t xml:space="preserve">C07142</t>
  </si>
  <si>
    <t xml:space="preserve">9611</t>
  </si>
  <si>
    <t xml:space="preserve">38945</t>
  </si>
  <si>
    <t xml:space="preserve">41708-72-9</t>
  </si>
  <si>
    <t xml:space="preserve">CC(N)C(=O)NC1=C(C)C=CC=C1C</t>
  </si>
  <si>
    <t xml:space="preserve">BUJAGSGYPOAWEI-UHFFFAOYSA-N</t>
  </si>
  <si>
    <t xml:space="preserve">Xylenes</t>
  </si>
  <si>
    <t xml:space="preserve">193.16037</t>
  </si>
  <si>
    <t xml:space="preserve">C13H22O2</t>
  </si>
  <si>
    <t xml:space="preserve">Neryl propionate; Propyl 2,4-decadienoate; alpha-Terpineol propanoate</t>
  </si>
  <si>
    <t xml:space="preserve">7626; 7642; 56503</t>
  </si>
  <si>
    <t xml:space="preserve">HMDB0038258; HMDB0037307; HMDB0032052</t>
  </si>
  <si>
    <t xml:space="preserve">92983; 92256; 88148</t>
  </si>
  <si>
    <t xml:space="preserve">LMFA07010976; LMFA07011001; </t>
  </si>
  <si>
    <t xml:space="preserve">5365982; 5362592; 62328</t>
  </si>
  <si>
    <t xml:space="preserve">105-91-9; ; 80-27-3</t>
  </si>
  <si>
    <t xml:space="preserve">C/C(=C\CC/C(=C\COC(CC)=O)/C)/C; O(CCC)C(/C=C/C=C/CCCCC)=O; CCC(=O)OC(C)(C)C1CCC(C)=CC1</t>
  </si>
  <si>
    <t xml:space="preserve">BYCHQEILESTMQU-XFXZXTDPSA-N; RKDOXCGYGLYOBV-BNFZFUHLSA-N; CMKQOKAXUWQAHG-UHFFFAOYSA-N</t>
  </si>
  <si>
    <t xml:space="preserve">Fatty alcohol esters; Fatty acid esters; Monoterpenoids</t>
  </si>
  <si>
    <t xml:space="preserve">195.00382</t>
  </si>
  <si>
    <t xml:space="preserve">C7H4N2O6</t>
  </si>
  <si>
    <t xml:space="preserve">3,5-Dinitrobenzoic acid</t>
  </si>
  <si>
    <t xml:space="preserve">201439</t>
  </si>
  <si>
    <t xml:space="preserve">HMDB0246067</t>
  </si>
  <si>
    <t xml:space="preserve">334360</t>
  </si>
  <si>
    <t xml:space="preserve">73914</t>
  </si>
  <si>
    <t xml:space="preserve">7433</t>
  </si>
  <si>
    <t xml:space="preserve">OC(=O)C1=CC(=CC(=C1)N(=O)=O)N(=O)=O</t>
  </si>
  <si>
    <t xml:space="preserve">VYWYYJYRVSBHJQ-UHFFFAOYSA-N</t>
  </si>
  <si>
    <t xml:space="preserve">196.07325</t>
  </si>
  <si>
    <t xml:space="preserve">C11H11NO</t>
  </si>
  <si>
    <t xml:space="preserve">1,2,5,6-Tetrahydro-4H-pyrrolo[3,2,1-ij]quinolin-4-one</t>
  </si>
  <si>
    <t xml:space="preserve">60759</t>
  </si>
  <si>
    <t xml:space="preserve">HMDB0037113</t>
  </si>
  <si>
    <t xml:space="preserve">72293</t>
  </si>
  <si>
    <t xml:space="preserve">C18487</t>
  </si>
  <si>
    <t xml:space="preserve">45141</t>
  </si>
  <si>
    <t xml:space="preserve">91665</t>
  </si>
  <si>
    <t xml:space="preserve">57369-32-1</t>
  </si>
  <si>
    <t xml:space="preserve">O=C1CCC2=CC=CC3=C2N1CC3</t>
  </si>
  <si>
    <t xml:space="preserve">XRJLAOUDSILTFT-UHFFFAOYSA-N</t>
  </si>
  <si>
    <t xml:space="preserve">196.17076</t>
  </si>
  <si>
    <t xml:space="preserve">C12H21NO</t>
  </si>
  <si>
    <t xml:space="preserve">1-Amino-3-hydroxymethyl-5-methyl-adamantane; 3-Amino-1-hydroxy-5,7-dimethyl-adamantane</t>
  </si>
  <si>
    <t xml:space="preserve">82568; 82602</t>
  </si>
  <si>
    <t xml:space="preserve">HMDB0060703; HMDB0060738</t>
  </si>
  <si>
    <t xml:space="preserve">2850520; 3382167</t>
  </si>
  <si>
    <t xml:space="preserve">CC12CC3CC(N)(C1)CC(CO)(C3)C2; CC12CC3(C)CC(N)(C1)CC(O)(C2)C3</t>
  </si>
  <si>
    <t xml:space="preserve">YANGLOGEEOBUMT-UHFFFAOYSA-N; HSRBAOBUCHCHTQ-UHFFFAOYSA-N</t>
  </si>
  <si>
    <t xml:space="preserve">197.09692</t>
  </si>
  <si>
    <t xml:space="preserve">C9H18OS</t>
  </si>
  <si>
    <t xml:space="preserve">Hexanethioic acid S-propyl ester</t>
  </si>
  <si>
    <t xml:space="preserve">62742</t>
  </si>
  <si>
    <t xml:space="preserve">HMDB0039466</t>
  </si>
  <si>
    <t xml:space="preserve">94038</t>
  </si>
  <si>
    <t xml:space="preserve">538678</t>
  </si>
  <si>
    <t xml:space="preserve">2432-78-2</t>
  </si>
  <si>
    <t xml:space="preserve">CCCCCC(=O)SCCC</t>
  </si>
  <si>
    <t xml:space="preserve">XWEXGRZJPGGXCY-UHFFFAOYSA-N</t>
  </si>
  <si>
    <t xml:space="preserve">Fatty acyl thioesters</t>
  </si>
  <si>
    <t xml:space="preserve">198.04617</t>
  </si>
  <si>
    <t xml:space="preserve">C5H9N3O4</t>
  </si>
  <si>
    <t xml:space="preserve">Guanidinosuccinic acid</t>
  </si>
  <si>
    <t xml:space="preserve">48035</t>
  </si>
  <si>
    <t xml:space="preserve">HMDB0003157</t>
  </si>
  <si>
    <t xml:space="preserve">10</t>
  </si>
  <si>
    <t xml:space="preserve">C03139</t>
  </si>
  <si>
    <t xml:space="preserve">17072</t>
  </si>
  <si>
    <t xml:space="preserve">439918</t>
  </si>
  <si>
    <t xml:space="preserve">6133-30-8</t>
  </si>
  <si>
    <t xml:space="preserve">NC(=N)N[C@@H](CC(O)=O)C(O)=O</t>
  </si>
  <si>
    <t xml:space="preserve">VVHOUVWJCQOYGG-REOHCLBHSA-N</t>
  </si>
  <si>
    <t xml:space="preserve">199.09706</t>
  </si>
  <si>
    <t xml:space="preserve">C10H16O5</t>
  </si>
  <si>
    <t xml:space="preserve">Isoketocamphoric acid</t>
  </si>
  <si>
    <t xml:space="preserve">254899</t>
  </si>
  <si>
    <t xml:space="preserve">HMDB0301824</t>
  </si>
  <si>
    <t xml:space="preserve">CC(=O)C(C)(C)C(CC(O)=O)CC(O)=O</t>
  </si>
  <si>
    <t xml:space="preserve">WLXCRBOZJKAXCC-UHFFFAOYSA-N</t>
  </si>
  <si>
    <t xml:space="preserve">200.04580</t>
  </si>
  <si>
    <t xml:space="preserve">C10H5N3O2</t>
  </si>
  <si>
    <t xml:space="preserve">2-(4-Nitrobenzylidene)malononitrile</t>
  </si>
  <si>
    <t xml:space="preserve">201122</t>
  </si>
  <si>
    <t xml:space="preserve">HMDB0245723</t>
  </si>
  <si>
    <t xml:space="preserve">2041</t>
  </si>
  <si>
    <t xml:space="preserve">[O-][N+](=O)C1=CC=C(C=C(C#N)C#N)C=C1</t>
  </si>
  <si>
    <t xml:space="preserve">BDTIGNGBIBFXSE-UHFFFAOYSA-N</t>
  </si>
  <si>
    <t xml:space="preserve">200.06836</t>
  </si>
  <si>
    <t xml:space="preserve">C10H11NO2</t>
  </si>
  <si>
    <t xml:space="preserve">5-Hydroxytryptophol; 1,2-Dehydrosalsolinol</t>
  </si>
  <si>
    <t xml:space="preserve">47676; 52028</t>
  </si>
  <si>
    <t xml:space="preserve">HMDB0001855; HMDB0012490</t>
  </si>
  <si>
    <t xml:space="preserve">433576; </t>
  </si>
  <si>
    <t xml:space="preserve">; 193796</t>
  </si>
  <si>
    <t xml:space="preserve">9061; 20844</t>
  </si>
  <si>
    <t xml:space="preserve">154-02-9; 4602-81-7</t>
  </si>
  <si>
    <t xml:space="preserve">OCCC1=CNC2=CC=C(O)C=C12; CC1=NCCC2=C1C=C(O)C(O)=C2</t>
  </si>
  <si>
    <t xml:space="preserve">KQROHCSYOGBQGJ-UHFFFAOYSA-N; DWHSGRLKLUGKOU-UHFFFAOYSA-N</t>
  </si>
  <si>
    <t xml:space="preserve">Indoles and derivatives; Dihydroisoquinolines</t>
  </si>
  <si>
    <t xml:space="preserve">Hydroxyindoles; Unclassified</t>
  </si>
  <si>
    <t xml:space="preserve">201.08926</t>
  </si>
  <si>
    <t xml:space="preserve">C8H18O3</t>
  </si>
  <si>
    <t xml:space="preserve">(3R,7R)-1,3,7-Octanetriol</t>
  </si>
  <si>
    <t xml:space="preserve">57837</t>
  </si>
  <si>
    <t xml:space="preserve">HMDB0033625</t>
  </si>
  <si>
    <t xml:space="preserve">165502</t>
  </si>
  <si>
    <t xml:space="preserve">85279741</t>
  </si>
  <si>
    <t xml:space="preserve">217650-11-8</t>
  </si>
  <si>
    <t xml:space="preserve">CC(O)CCCC(O)CCO</t>
  </si>
  <si>
    <t xml:space="preserve">NGACGNKKNNNNHK-UHFFFAOYSA-N</t>
  </si>
  <si>
    <t xml:space="preserve">201.16808</t>
  </si>
  <si>
    <t xml:space="preserve">C15H22O</t>
  </si>
  <si>
    <t xml:space="preserve">Valerenal; 1,3,5-Bisabolatrien-10-one; (+)-4,11-Eudesmadien-3-one</t>
  </si>
  <si>
    <t xml:space="preserve">59625; 59905; 60709</t>
  </si>
  <si>
    <t xml:space="preserve">HMDB0035786; HMDB0036109; HMDB0037061</t>
  </si>
  <si>
    <t xml:space="preserve">; 91269; 92039</t>
  </si>
  <si>
    <t xml:space="preserve">12444654; 71360448; 273568</t>
  </si>
  <si>
    <t xml:space="preserve">4176-16-3; 76760-40-2; 473-08-5</t>
  </si>
  <si>
    <t xml:space="preserve">CC1CCC(\C=C(/C)C=O)C2=C(C)CCC12; CC(C)C(=O)CCC(C)C1=CC=C(C)C=C1; CC(=C)C1CCC2(C)CCC(=O)C(C)=C2C1</t>
  </si>
  <si>
    <t xml:space="preserve">RJZWGDPBGWGJNU-CSKARUKUSA-N; UWAKTEDKARQVDV-UHFFFAOYSA-N; KUFXJZXMWHNCEH-UHFFFAOYSA-N</t>
  </si>
  <si>
    <t xml:space="preserve">201.20932</t>
  </si>
  <si>
    <t xml:space="preserve">C10H24N4</t>
  </si>
  <si>
    <t xml:space="preserve">1,4,8,11-Tetraazacyclotetradecane; 1,4-Bis(3-aminopropyl)piperazine</t>
  </si>
  <si>
    <t xml:space="preserve">199747; 202569</t>
  </si>
  <si>
    <t xml:space="preserve">HMDB0244225; HMDB0247321</t>
  </si>
  <si>
    <t xml:space="preserve">37401; </t>
  </si>
  <si>
    <t xml:space="preserve">; 81629</t>
  </si>
  <si>
    <t xml:space="preserve">C1CNCCNCCCNCCNC1; NCCCN1CCN(CCCN)CC1</t>
  </si>
  <si>
    <t xml:space="preserve">MDAXKAUIABOHTD-UHFFFAOYSA-N; XUSNPFGLKGCWGN-UHFFFAOYSA-N</t>
  </si>
  <si>
    <t xml:space="preserve">Organic nitrogen compounds; Organoheterocyclic compounds</t>
  </si>
  <si>
    <t xml:space="preserve">Organonitrogen compounds; Diazinanes</t>
  </si>
  <si>
    <t xml:space="preserve">Amines; Piperazines</t>
  </si>
  <si>
    <t xml:space="preserve">201.93571</t>
  </si>
  <si>
    <t xml:space="preserve">C4H5NO2S2</t>
  </si>
  <si>
    <t xml:space="preserve">2-Thiothiazolidine-4-carboxylic acid</t>
  </si>
  <si>
    <t xml:space="preserve">64857</t>
  </si>
  <si>
    <t xml:space="preserve">HMDB0041805</t>
  </si>
  <si>
    <t xml:space="preserve">96146</t>
  </si>
  <si>
    <t xml:space="preserve">136957</t>
  </si>
  <si>
    <t xml:space="preserve">3035791</t>
  </si>
  <si>
    <t xml:space="preserve">20933-67-9</t>
  </si>
  <si>
    <t xml:space="preserve">[H][C@]1(CSC(S)=N1)C(O)=O</t>
  </si>
  <si>
    <t xml:space="preserve">SQUOCHQOQMZGQP-REOHCLBHSA-N</t>
  </si>
  <si>
    <t xml:space="preserve">202.15879</t>
  </si>
  <si>
    <t xml:space="preserve">C14H21NO</t>
  </si>
  <si>
    <t xml:space="preserve">3-(1-Propyl-3-piperidinyl)phenol</t>
  </si>
  <si>
    <t xml:space="preserve">201351</t>
  </si>
  <si>
    <t xml:space="preserve">HMDB0245975</t>
  </si>
  <si>
    <t xml:space="preserve">125440</t>
  </si>
  <si>
    <t xml:space="preserve">55445</t>
  </si>
  <si>
    <t xml:space="preserve">CCCN1CCCC(C1)C1=CC(O)=CC=C1</t>
  </si>
  <si>
    <t xml:space="preserve">HTSNFXAICLXZMA-UHFFFAOYSA-N</t>
  </si>
  <si>
    <t xml:space="preserve">203.02381</t>
  </si>
  <si>
    <t xml:space="preserve">C5H9FN2O3</t>
  </si>
  <si>
    <t xml:space="preserve">(2S)-2,5-Diamino-4-fluoro-5-oxopentanoic acid</t>
  </si>
  <si>
    <t xml:space="preserve">201771</t>
  </si>
  <si>
    <t xml:space="preserve">HMDB0246428</t>
  </si>
  <si>
    <t xml:space="preserve">2737323</t>
  </si>
  <si>
    <t xml:space="preserve">NC(CC(F)C(N)=O)C(O)=O</t>
  </si>
  <si>
    <t xml:space="preserve">PGEYFCBAWGQSGT-UHFFFAOYSA-N</t>
  </si>
  <si>
    <t xml:space="preserve">203.05445</t>
  </si>
  <si>
    <t xml:space="preserve">C8H10O6</t>
  </si>
  <si>
    <t xml:space="preserve">Succinylacetoacetate; Ethyl aconitate</t>
  </si>
  <si>
    <t xml:space="preserve">197023; 63475</t>
  </si>
  <si>
    <t xml:space="preserve">HMDB0240258; HMDB0040275</t>
  </si>
  <si>
    <t xml:space="preserve">352772; 405567</t>
  </si>
  <si>
    <t xml:space="preserve">87999; </t>
  </si>
  <si>
    <t xml:space="preserve">125181; 25088425</t>
  </si>
  <si>
    <t xml:space="preserve">65115-74-4; 1321-30-8</t>
  </si>
  <si>
    <t xml:space="preserve">OC(=O)CCC(=O)CC(=O)CC(O)=O; CCOC(=O)\C=C(\CC(O)=O)C(O)=O</t>
  </si>
  <si>
    <t xml:space="preserve">OMFWHSRZHVVVAL-UHFFFAOYSA-N; ANIDMCPGEUWERH-PLNGDYQASA-N</t>
  </si>
  <si>
    <t xml:space="preserve">Keto acids and derivatives; Carboxylic acids and derivatives</t>
  </si>
  <si>
    <t xml:space="preserve">Medium-chain keto acids and derivatives; Tricarboxylic acids and derivatives</t>
  </si>
  <si>
    <t xml:space="preserve">203.93212</t>
  </si>
  <si>
    <t xml:space="preserve">C5H5NOS</t>
  </si>
  <si>
    <t xml:space="preserve">2-Acetylthiazole</t>
  </si>
  <si>
    <t xml:space="preserve">57226</t>
  </si>
  <si>
    <t xml:space="preserve">HMDB0032964</t>
  </si>
  <si>
    <t xml:space="preserve">88863</t>
  </si>
  <si>
    <t xml:space="preserve">520108</t>
  </si>
  <si>
    <t xml:space="preserve">24295-03-2</t>
  </si>
  <si>
    <t xml:space="preserve">CC(=O)C1=NC=CS1</t>
  </si>
  <si>
    <t xml:space="preserve">MOMFXATYAINJML-UHFFFAOYSA-N</t>
  </si>
  <si>
    <t xml:space="preserve">204.05710</t>
  </si>
  <si>
    <t xml:space="preserve">C12H12ClNO</t>
  </si>
  <si>
    <t xml:space="preserve">Dehydronorketamine</t>
  </si>
  <si>
    <t xml:space="preserve">202173</t>
  </si>
  <si>
    <t xml:space="preserve">HMDB0246857</t>
  </si>
  <si>
    <t xml:space="preserve">884</t>
  </si>
  <si>
    <t xml:space="preserve">162835</t>
  </si>
  <si>
    <t xml:space="preserve">57683-62-2</t>
  </si>
  <si>
    <t xml:space="preserve">NC1(CCC=CC1=O)C1=CC=CC=C1Cl</t>
  </si>
  <si>
    <t xml:space="preserve">BXBPJMHHWPXBJL-UHFFFAOYSA-N</t>
  </si>
  <si>
    <t xml:space="preserve">204.12527</t>
  </si>
  <si>
    <t xml:space="preserve">C9H18NO4</t>
  </si>
  <si>
    <t xml:space="preserve">L-Acetylcarnitine</t>
  </si>
  <si>
    <t xml:space="preserve">46926</t>
  </si>
  <si>
    <t xml:space="preserve">HMDB0000201</t>
  </si>
  <si>
    <t xml:space="preserve">57589</t>
  </si>
  <si>
    <t xml:space="preserve">3040-38-8</t>
  </si>
  <si>
    <t xml:space="preserve">CC(=O)O[C@H](CC(O)=O)C[N+](C)(C)C</t>
  </si>
  <si>
    <t xml:space="preserve">RDHQFKQIGNGIED-MRVPVSSYSA-O</t>
  </si>
  <si>
    <t xml:space="preserve">205.05966</t>
  </si>
  <si>
    <t xml:space="preserve">C6H10N6</t>
  </si>
  <si>
    <t xml:space="preserve">Cyromazine</t>
  </si>
  <si>
    <t xml:space="preserve">54744</t>
  </si>
  <si>
    <t xml:space="preserve">HMDB0029862</t>
  </si>
  <si>
    <t xml:space="preserve">69834</t>
  </si>
  <si>
    <t xml:space="preserve">C14147</t>
  </si>
  <si>
    <t xml:space="preserve">30260</t>
  </si>
  <si>
    <t xml:space="preserve">47866</t>
  </si>
  <si>
    <t xml:space="preserve">66215-27-8</t>
  </si>
  <si>
    <t xml:space="preserve">NC1=NC(NC2CC2)=NC(N)=N1</t>
  </si>
  <si>
    <t xml:space="preserve">LVQDKIWDGQRHTE-UHFFFAOYSA-N</t>
  </si>
  <si>
    <t xml:space="preserve">205.08770</t>
  </si>
  <si>
    <t xml:space="preserve">C6H16FN2OP</t>
  </si>
  <si>
    <t xml:space="preserve">Mipafox</t>
  </si>
  <si>
    <t xml:space="preserve">208821</t>
  </si>
  <si>
    <t xml:space="preserve">HMDB0254744</t>
  </si>
  <si>
    <t xml:space="preserve">72759</t>
  </si>
  <si>
    <t xml:space="preserve">C19008</t>
  </si>
  <si>
    <t xml:space="preserve">9738</t>
  </si>
  <si>
    <t xml:space="preserve">371-86-8</t>
  </si>
  <si>
    <t xml:space="preserve">CC(C)NP(F)(=O)NC(C)C</t>
  </si>
  <si>
    <t xml:space="preserve">UOSHUBFBCPGQAY-UHFFFAOYSA-N</t>
  </si>
  <si>
    <t xml:space="preserve">Organic phosphoramides</t>
  </si>
  <si>
    <t xml:space="preserve">206.05552</t>
  </si>
  <si>
    <t xml:space="preserve">C10H11NO</t>
  </si>
  <si>
    <t xml:space="preserve">(R)-Boschniakine; Tryptophol</t>
  </si>
  <si>
    <t xml:space="preserve">55090; 48105</t>
  </si>
  <si>
    <t xml:space="preserve">HMDB0030267; HMDB0003447</t>
  </si>
  <si>
    <t xml:space="preserve">; 6932</t>
  </si>
  <si>
    <t xml:space="preserve">C09915; C00955</t>
  </si>
  <si>
    <t xml:space="preserve">3157; 17890</t>
  </si>
  <si>
    <t xml:space="preserve">3530565; 10685</t>
  </si>
  <si>
    <t xml:space="preserve">18070-40-1; 526-55-6</t>
  </si>
  <si>
    <t xml:space="preserve">CC1CCC2=C(C=O)C=NC=C12; OCCC1=CNC2=C1C=CC=C2</t>
  </si>
  <si>
    <t xml:space="preserve">OPRAONAUWNNOOV-UHFFFAOYSA-N; MBBOMCVGYCRMEA-UHFFFAOYSA-N</t>
  </si>
  <si>
    <t xml:space="preserve">Pyridines and derivatives; Indoles and derivatives</t>
  </si>
  <si>
    <t xml:space="preserve">Pyridine carboxaldehydes; Indoles</t>
  </si>
  <si>
    <t xml:space="preserve">207.01598</t>
  </si>
  <si>
    <t xml:space="preserve">C6H8O9</t>
  </si>
  <si>
    <t xml:space="preserve">3-[(1R,2R,3S)-3-Carboxy-1,2,3-trihydroxypropyl]dioxirane-3-carboxylic acid</t>
  </si>
  <si>
    <t xml:space="preserve">209407</t>
  </si>
  <si>
    <t xml:space="preserve">HMDB0255411</t>
  </si>
  <si>
    <t xml:space="preserve">76054794</t>
  </si>
  <si>
    <t xml:space="preserve">OC(C(O)C(O)=O)C(O)C1(OO1)C(O)=O</t>
  </si>
  <si>
    <t xml:space="preserve">ANVLMUZOIWITMQ-UHFFFAOYSA-N</t>
  </si>
  <si>
    <t xml:space="preserve">207.07853</t>
  </si>
  <si>
    <t xml:space="preserve">C13H12O</t>
  </si>
  <si>
    <t xml:space="preserve">Benzyl phenyl ether</t>
  </si>
  <si>
    <t xml:space="preserve">204093</t>
  </si>
  <si>
    <t xml:space="preserve">HMDB0249075</t>
  </si>
  <si>
    <t xml:space="preserve">C(OC1=CC=CC=C1)C1=CC=CC=C1</t>
  </si>
  <si>
    <t xml:space="preserve">BOTNYLSAWDQNEX-UHFFFAOYSA-N</t>
  </si>
  <si>
    <t xml:space="preserve">208.00738</t>
  </si>
  <si>
    <t xml:space="preserve">C4H11NO3S2</t>
  </si>
  <si>
    <t xml:space="preserve">3-Amino-4-sulfanylbutane-1-sulfonic acid</t>
  </si>
  <si>
    <t xml:space="preserve">211272</t>
  </si>
  <si>
    <t xml:space="preserve">HMDB0257610</t>
  </si>
  <si>
    <t xml:space="preserve">10013250</t>
  </si>
  <si>
    <t xml:space="preserve">NC(CS)CCS(O)(=O)=O</t>
  </si>
  <si>
    <t xml:space="preserve">GHOHRLXVWJYYKJ-UHFFFAOYSA-N</t>
  </si>
  <si>
    <t xml:space="preserve">209.00065</t>
  </si>
  <si>
    <t xml:space="preserve">C5H2F6O2</t>
  </si>
  <si>
    <t xml:space="preserve">Hexafluoroacetylacetone</t>
  </si>
  <si>
    <t xml:space="preserve">207510</t>
  </si>
  <si>
    <t xml:space="preserve">HMDB0253132</t>
  </si>
  <si>
    <t xml:space="preserve">343580</t>
  </si>
  <si>
    <t xml:space="preserve">73706</t>
  </si>
  <si>
    <t xml:space="preserve">FC(F)(F)C(=O)CC(=O)C(F)(F)F</t>
  </si>
  <si>
    <t xml:space="preserve">QAMFBRUWYYMMGJ-UHFFFAOYSA-N</t>
  </si>
  <si>
    <t xml:space="preserve">209.11626</t>
  </si>
  <si>
    <t xml:space="preserve">C12H16O3</t>
  </si>
  <si>
    <t xml:space="preserve">(Z)-3-Oxo-2-(2-pentenyl)-1-cyclopenteneacetic acid; 5-Deoxydiplosporin; Jasmine ketolactone</t>
  </si>
  <si>
    <t xml:space="preserve">55022; 55449; 54981</t>
  </si>
  <si>
    <t xml:space="preserve">HMDB0030197; HMDB0030681; HMDB0030150</t>
  </si>
  <si>
    <t xml:space="preserve">86789; 87138; 86758</t>
  </si>
  <si>
    <t xml:space="preserve">168229; 173595; 173593</t>
  </si>
  <si>
    <t xml:space="preserve">14262444; 131751070; 21134279</t>
  </si>
  <si>
    <t xml:space="preserve">120282-76-0; ; 70981-24-7</t>
  </si>
  <si>
    <t xml:space="preserve">CC\C=C\CC1=C(CC(O)=O)CCC1=O; CCC1CCC2=C(C1)C(=O)C(CO)=CO2; O=C1CCC2CC(=O)OCC\C=C/CC12</t>
  </si>
  <si>
    <t xml:space="preserve">QAAHGFINENUHAR-ONEGZZNKSA-N; CVHITWPBDVBDIQ-UHFFFAOYSA-N; DINQMNROFIPFOH-UPHRSURJSA-N</t>
  </si>
  <si>
    <t xml:space="preserve">Organooxygen compounds; Pyrans; Oxocins</t>
  </si>
  <si>
    <t xml:space="preserve">Carbonyl compounds; Pyranones and derivatives; Unclassified</t>
  </si>
  <si>
    <t xml:space="preserve">210.09149</t>
  </si>
  <si>
    <t xml:space="preserve">C14H11NO</t>
  </si>
  <si>
    <t xml:space="preserve">2-Hydroxyiminostilbene</t>
  </si>
  <si>
    <t xml:space="preserve">35098</t>
  </si>
  <si>
    <t xml:space="preserve">HMDB0060652</t>
  </si>
  <si>
    <t xml:space="preserve">53258</t>
  </si>
  <si>
    <t xml:space="preserve">LMPK13090031</t>
  </si>
  <si>
    <t xml:space="preserve">C16604</t>
  </si>
  <si>
    <t xml:space="preserve">80599</t>
  </si>
  <si>
    <t xml:space="preserve">13103864</t>
  </si>
  <si>
    <t xml:space="preserve">C1C2=CC(O)=CC=C2NC2=CC=CC=C2C=1</t>
  </si>
  <si>
    <t xml:space="preserve">FKCUOSGTQJAUQX-UHFFFAOYSA-N</t>
  </si>
  <si>
    <t xml:space="preserve">210.12161</t>
  </si>
  <si>
    <t xml:space="preserve">C10H15N3O2</t>
  </si>
  <si>
    <t xml:space="preserve">4-(Methylnitrosamino)-1-(3-pyridyl)-1-butanol</t>
  </si>
  <si>
    <t xml:space="preserve">64861</t>
  </si>
  <si>
    <t xml:space="preserve">HMDB0041809</t>
  </si>
  <si>
    <t xml:space="preserve">73239</t>
  </si>
  <si>
    <t xml:space="preserve">C19574</t>
  </si>
  <si>
    <t xml:space="preserve">82569</t>
  </si>
  <si>
    <t xml:space="preserve">104856</t>
  </si>
  <si>
    <t xml:space="preserve">76014-81-8</t>
  </si>
  <si>
    <t xml:space="preserve">CN(CCCC(O)C1=CN=CC=C1)N=O</t>
  </si>
  <si>
    <t xml:space="preserve">OGRXKBUCZFFSTL-UHFFFAOYSA-N</t>
  </si>
  <si>
    <t xml:space="preserve">210.99093</t>
  </si>
  <si>
    <t xml:space="preserve">C7H9O3P</t>
  </si>
  <si>
    <t xml:space="preserve">Monomethyl phenylphosphonate</t>
  </si>
  <si>
    <t xml:space="preserve">56333</t>
  </si>
  <si>
    <t xml:space="preserve">HMDB0031868</t>
  </si>
  <si>
    <t xml:space="preserve">87986</t>
  </si>
  <si>
    <t xml:space="preserve">172071</t>
  </si>
  <si>
    <t xml:space="preserve">24913</t>
  </si>
  <si>
    <t xml:space="preserve">10088-45-6</t>
  </si>
  <si>
    <t xml:space="preserve">COP(O)(=O)C1=CC=CC=C1</t>
  </si>
  <si>
    <t xml:space="preserve">ZWBALHRZGYPNNG-UHFFFAOYSA-N</t>
  </si>
  <si>
    <t xml:space="preserve">211.10210</t>
  </si>
  <si>
    <t xml:space="preserve">C8H18O4S</t>
  </si>
  <si>
    <t xml:space="preserve">2-Ethyl-1-hexanol sulfate</t>
  </si>
  <si>
    <t xml:space="preserve">57615</t>
  </si>
  <si>
    <t xml:space="preserve">HMDB0033373</t>
  </si>
  <si>
    <t xml:space="preserve">89216</t>
  </si>
  <si>
    <t xml:space="preserve">88117</t>
  </si>
  <si>
    <t xml:space="preserve">31364</t>
  </si>
  <si>
    <t xml:space="preserve">126-92-1</t>
  </si>
  <si>
    <t xml:space="preserve">CCCCC(CC)COS(O)(=O)=O</t>
  </si>
  <si>
    <t xml:space="preserve">MHGOKSLTIUHUBF-UHFFFAOYSA-N</t>
  </si>
  <si>
    <t xml:space="preserve">Sulfuric acid esters</t>
  </si>
  <si>
    <t xml:space="preserve">211.17079</t>
  </si>
  <si>
    <t xml:space="preserve">C13H24O3</t>
  </si>
  <si>
    <t xml:space="preserve">11-Hydroxy-9-tridecenoic acid; Menthone 1,2-glyceryl ketal; Menthyl lactate</t>
  </si>
  <si>
    <t xml:space="preserve">1909; 59930; 60833</t>
  </si>
  <si>
    <t xml:space="preserve">HMDB0035881; HMDB0036139; HMDB0037212</t>
  </si>
  <si>
    <t xml:space="preserve">91087; 91295; 92179</t>
  </si>
  <si>
    <t xml:space="preserve">LMFA01050437; ; </t>
  </si>
  <si>
    <t xml:space="preserve">5318367; 162184; 62151</t>
  </si>
  <si>
    <t xml:space="preserve">105798-56-9; 63187-91-7; 59259-38-0</t>
  </si>
  <si>
    <t xml:space="preserve">CCC(O)/C=C/CCCCCCCC(O)=O; CC(C)C1CCC(C)CC11OCC(CO)O1; CC(C)[C@@H]1CC[C@@H](C)C[C@H]1OC(=O)C(C)O</t>
  </si>
  <si>
    <t xml:space="preserve">NSVPCFNUUARRKL-CSKARUKUSA-N; ZBJCYZPANVLBRK-UHFFFAOYSA-N; UJNOLBSYLSYIBM-SGUBAKSOSA-N</t>
  </si>
  <si>
    <t xml:space="preserve">Fatty acids and conjugates; Monoterpenoids; Monoterpenoids</t>
  </si>
  <si>
    <t xml:space="preserve">213.11321</t>
  </si>
  <si>
    <t xml:space="preserve">C12H12N4</t>
  </si>
  <si>
    <t xml:space="preserve">2-Amino-3,4-dimethylimidazo[4,5-f]quinoline</t>
  </si>
  <si>
    <t xml:space="preserve">54607</t>
  </si>
  <si>
    <t xml:space="preserve">HMDB0029707</t>
  </si>
  <si>
    <t xml:space="preserve">72974</t>
  </si>
  <si>
    <t xml:space="preserve">C19254</t>
  </si>
  <si>
    <t xml:space="preserve">62274</t>
  </si>
  <si>
    <t xml:space="preserve">77094-11-2</t>
  </si>
  <si>
    <t xml:space="preserve">CN1C(N)=NC2=C1C(C)=CC1=C2C=CC=N1</t>
  </si>
  <si>
    <t xml:space="preserve">GMGWMIJIGUYNAY-UHFFFAOYSA-N</t>
  </si>
  <si>
    <t xml:space="preserve">215.07165</t>
  </si>
  <si>
    <t xml:space="preserve">C8H16O3S</t>
  </si>
  <si>
    <t xml:space="preserve">Propan-2-yl 2-hydroxy-4-methylsulfanylbutanoate</t>
  </si>
  <si>
    <t xml:space="preserve">202269</t>
  </si>
  <si>
    <t xml:space="preserve">HMDB0246980</t>
  </si>
  <si>
    <t xml:space="preserve">10130325</t>
  </si>
  <si>
    <t xml:space="preserve">CSCCC(O)C(=O)OC(C)C</t>
  </si>
  <si>
    <t xml:space="preserve">HTDCLHZBSWMJGI-UHFFFAOYSA-N</t>
  </si>
  <si>
    <t xml:space="preserve">216.01763</t>
  </si>
  <si>
    <t xml:space="preserve">C4H13NO6P2</t>
  </si>
  <si>
    <t xml:space="preserve">Aminobutane bisphosphonate</t>
  </si>
  <si>
    <t xml:space="preserve">204787</t>
  </si>
  <si>
    <t xml:space="preserve">HMDB0249923</t>
  </si>
  <si>
    <t xml:space="preserve">169445</t>
  </si>
  <si>
    <t xml:space="preserve">CCCC(N)(P(O)(O)=O)P(O)(O)=O</t>
  </si>
  <si>
    <t xml:space="preserve">XLIREHXMRXKQIV-UHFFFAOYSA-N</t>
  </si>
  <si>
    <t xml:space="preserve">Bisphosphonates</t>
  </si>
  <si>
    <t xml:space="preserve">216.05766</t>
  </si>
  <si>
    <t xml:space="preserve">C9H17N</t>
  </si>
  <si>
    <t xml:space="preserve">quinolizidine</t>
  </si>
  <si>
    <t xml:space="preserve">210818</t>
  </si>
  <si>
    <t xml:space="preserve">HMDB0257048</t>
  </si>
  <si>
    <t xml:space="preserve">46751</t>
  </si>
  <si>
    <t xml:space="preserve">119036</t>
  </si>
  <si>
    <t xml:space="preserve">C1CCN2CCCCC2C1</t>
  </si>
  <si>
    <t xml:space="preserve">LJPZHJUSICYOIX-UHFFFAOYSA-N</t>
  </si>
  <si>
    <t xml:space="preserve">Quinolizines</t>
  </si>
  <si>
    <t xml:space="preserve">216.13057</t>
  </si>
  <si>
    <t xml:space="preserve">C13H17N2O2</t>
  </si>
  <si>
    <t xml:space="preserve">2-Phenyl-4,4,5,5-tetramethylimidazoline-1-oxyl 3-oxide</t>
  </si>
  <si>
    <t xml:space="preserve">200278</t>
  </si>
  <si>
    <t xml:space="preserve">HMDB0244813</t>
  </si>
  <si>
    <t xml:space="preserve">2733513</t>
  </si>
  <si>
    <t xml:space="preserve">CC1(C)N([O])C(C2=CC=CC=C2)=[N+]([O-])C1(C)C</t>
  </si>
  <si>
    <t xml:space="preserve">DYUUGILMVYJEHY-UHFFFAOYSA-N</t>
  </si>
  <si>
    <t xml:space="preserve">217.04758</t>
  </si>
  <si>
    <t xml:space="preserve">C5H13O7P</t>
  </si>
  <si>
    <t xml:space="preserve">2-C-methyl-D-erythritol-4-phosphate</t>
  </si>
  <si>
    <t xml:space="preserve">256887</t>
  </si>
  <si>
    <t xml:space="preserve">HMDB0304061</t>
  </si>
  <si>
    <t xml:space="preserve">64013</t>
  </si>
  <si>
    <t xml:space="preserve">C11434</t>
  </si>
  <si>
    <t xml:space="preserve">17764</t>
  </si>
  <si>
    <t xml:space="preserve">443198</t>
  </si>
  <si>
    <t xml:space="preserve">[H][C@@](O)(COP(O)(O)=O)[C@@](C)(O)CO</t>
  </si>
  <si>
    <t xml:space="preserve">XMWHRVNVKDKBRG-UHNVWZDZSA-N</t>
  </si>
  <si>
    <t xml:space="preserve">218.10336</t>
  </si>
  <si>
    <t xml:space="preserve">C10H19NS2</t>
  </si>
  <si>
    <t xml:space="preserve">1-Isothiocyanato-8-(methylthio)octane</t>
  </si>
  <si>
    <t xml:space="preserve">61834</t>
  </si>
  <si>
    <t xml:space="preserve">HMDB0038447</t>
  </si>
  <si>
    <t xml:space="preserve">93138</t>
  </si>
  <si>
    <t xml:space="preserve">136947</t>
  </si>
  <si>
    <t xml:space="preserve">10171359</t>
  </si>
  <si>
    <t xml:space="preserve">4430-41-5</t>
  </si>
  <si>
    <t xml:space="preserve">CSCCCCCCCCN=C=S</t>
  </si>
  <si>
    <t xml:space="preserve">BFBMDZOSZQDEKW-UHFFFAOYSA-N</t>
  </si>
  <si>
    <t xml:space="preserve">219.02790</t>
  </si>
  <si>
    <t xml:space="preserve">C9H8O5</t>
  </si>
  <si>
    <t xml:space="preserve">4-Hydroxy-benzenepropanedioate</t>
  </si>
  <si>
    <t xml:space="preserve">81847</t>
  </si>
  <si>
    <t xml:space="preserve">HMDB0059809</t>
  </si>
  <si>
    <t xml:space="preserve">89654</t>
  </si>
  <si>
    <t xml:space="preserve">66886955</t>
  </si>
  <si>
    <t xml:space="preserve">OC(=O)CC(=O)OC1=CC=C(O)C=C1</t>
  </si>
  <si>
    <t xml:space="preserve">LEOVWDSHDAVANJ-UHFFFAOYSA-N</t>
  </si>
  <si>
    <t xml:space="preserve">219.05903</t>
  </si>
  <si>
    <t xml:space="preserve">C8H14O4</t>
  </si>
  <si>
    <t xml:space="preserve">Suberic acid</t>
  </si>
  <si>
    <t xml:space="preserve">2816</t>
  </si>
  <si>
    <t xml:space="preserve">HMDB0000893</t>
  </si>
  <si>
    <t xml:space="preserve">4243</t>
  </si>
  <si>
    <t xml:space="preserve">LMFA01170001</t>
  </si>
  <si>
    <t xml:space="preserve">C08278</t>
  </si>
  <si>
    <t xml:space="preserve">9300</t>
  </si>
  <si>
    <t xml:space="preserve">10457</t>
  </si>
  <si>
    <t xml:space="preserve">505-48-6</t>
  </si>
  <si>
    <t xml:space="preserve">OC(CCCCCCC(=O)O)=O</t>
  </si>
  <si>
    <t xml:space="preserve">TYFQFVWCELRYAO-UHFFFAOYSA-N</t>
  </si>
  <si>
    <t xml:space="preserve">220.03180</t>
  </si>
  <si>
    <t xml:space="preserve">C4H5N5O6</t>
  </si>
  <si>
    <t xml:space="preserve">Creatinine nitrite nitrate</t>
  </si>
  <si>
    <t xml:space="preserve">205295</t>
  </si>
  <si>
    <t xml:space="preserve">HMDB0250532</t>
  </si>
  <si>
    <t xml:space="preserve">132280893</t>
  </si>
  <si>
    <t xml:space="preserve">CN1C(N)=NC(=O)C1(ON=O)O[N+]([O-])=O</t>
  </si>
  <si>
    <t xml:space="preserve">BVMRJQKBFJDKEW-UHFFFAOYSA-N</t>
  </si>
  <si>
    <t xml:space="preserve">220.99650</t>
  </si>
  <si>
    <t xml:space="preserve">C7H6N2O4</t>
  </si>
  <si>
    <t xml:space="preserve">2,6-Dinitrotoluene; 2,4-Dinitrotoluene</t>
  </si>
  <si>
    <t xml:space="preserve">200949; 200893</t>
  </si>
  <si>
    <t xml:space="preserve">HMDB0245521; HMDB0245464</t>
  </si>
  <si>
    <t xml:space="preserve">68767; 68765</t>
  </si>
  <si>
    <t xml:space="preserve">C11008; C11006</t>
  </si>
  <si>
    <t xml:space="preserve">957; 920</t>
  </si>
  <si>
    <t xml:space="preserve">11813; 8461</t>
  </si>
  <si>
    <t xml:space="preserve">606-20-2; 121-14-2</t>
  </si>
  <si>
    <t xml:space="preserve">CC1=C(C=CC=C1[N+]([O-])=O)[N+]([O-])=O; CC1=CC=C(C=C1[N+]([O-])=O)[N+]([O-])=O</t>
  </si>
  <si>
    <t xml:space="preserve">XTRDKALNCIHHNI-UHFFFAOYSA-N; RMBFBMJGBANMMK-UHFFFAOYSA-N</t>
  </si>
  <si>
    <t xml:space="preserve">Toluenes; Toluenes</t>
  </si>
  <si>
    <t xml:space="preserve">221.03180</t>
  </si>
  <si>
    <t xml:space="preserve">C8H6N4O5</t>
  </si>
  <si>
    <t xml:space="preserve">Nitrofurantoin</t>
  </si>
  <si>
    <t xml:space="preserve">53001</t>
  </si>
  <si>
    <t xml:space="preserve">HMDB0014836</t>
  </si>
  <si>
    <t xml:space="preserve">1039679</t>
  </si>
  <si>
    <t xml:space="preserve">5353830</t>
  </si>
  <si>
    <t xml:space="preserve">67-20-9</t>
  </si>
  <si>
    <t xml:space="preserve">[O-][N+](=O)C1=CC=C(O1)\C=N/N1CC(=O)NC1=O</t>
  </si>
  <si>
    <t xml:space="preserve">NXFQHRVNIOXGAQ-OQFOIZHKSA-N</t>
  </si>
  <si>
    <t xml:space="preserve">222.03137</t>
  </si>
  <si>
    <t xml:space="preserve">C12H9NO</t>
  </si>
  <si>
    <t xml:space="preserve">Phenoxazine; 3H-Phenoxazine</t>
  </si>
  <si>
    <t xml:space="preserve">210276; 201618</t>
  </si>
  <si>
    <t xml:space="preserve">HMDB0256415; HMDB0246271</t>
  </si>
  <si>
    <t xml:space="preserve">421828; </t>
  </si>
  <si>
    <t xml:space="preserve">94057; </t>
  </si>
  <si>
    <t xml:space="preserve">67278; 23120633</t>
  </si>
  <si>
    <t xml:space="preserve">N1C2=CC=CC=C2OC2=CC=CC=C12; C1C=CC2=NC3=CC=CC=C3OC2=C1</t>
  </si>
  <si>
    <t xml:space="preserve">TZMSYXZUNZXBOL-UHFFFAOYSA-N; MOLUAYHPIDORGD-UHFFFAOYSA-N</t>
  </si>
  <si>
    <t xml:space="preserve">Benzoxazines; Benzoxazines</t>
  </si>
  <si>
    <t xml:space="preserve">Phenoxazines; Phenoxazines</t>
  </si>
  <si>
    <t xml:space="preserve">222.98953</t>
  </si>
  <si>
    <t xml:space="preserve">C10H7ClO</t>
  </si>
  <si>
    <t xml:space="preserve">4-Chloro-1-naphthol</t>
  </si>
  <si>
    <t xml:space="preserve">202400</t>
  </si>
  <si>
    <t xml:space="preserve">HMDB0247127</t>
  </si>
  <si>
    <t xml:space="preserve">339194</t>
  </si>
  <si>
    <t xml:space="preserve">11787</t>
  </si>
  <si>
    <t xml:space="preserve">OC1=CC=C(Cl)C2=CC=CC=C12</t>
  </si>
  <si>
    <t xml:space="preserve">LVSPDZAGCBEQAV-UHFFFAOYSA-N</t>
  </si>
  <si>
    <t xml:space="preserve">Naphthols and derivatives</t>
  </si>
  <si>
    <t xml:space="preserve">223.05186</t>
  </si>
  <si>
    <t xml:space="preserve">C16H8</t>
  </si>
  <si>
    <t xml:space="preserve">Benzo[alpha]pyrene</t>
  </si>
  <si>
    <t xml:space="preserve">204029</t>
  </si>
  <si>
    <t xml:space="preserve">HMDB0249001</t>
  </si>
  <si>
    <t xml:space="preserve">90044747</t>
  </si>
  <si>
    <t xml:space="preserve">C1=CC2=C3C(=C1)C1=C4C=CC(=C1)C3=C4C=C2</t>
  </si>
  <si>
    <t xml:space="preserve">AXFBAIOSECPASO-UHFFFAOYSA-N</t>
  </si>
  <si>
    <t xml:space="preserve">223.97403</t>
  </si>
  <si>
    <t xml:space="preserve">C8H5NO2S</t>
  </si>
  <si>
    <t xml:space="preserve">thiol-maleimide</t>
  </si>
  <si>
    <t xml:space="preserve">212440</t>
  </si>
  <si>
    <t xml:space="preserve">HMDB0259015</t>
  </si>
  <si>
    <t xml:space="preserve">66618112</t>
  </si>
  <si>
    <t xml:space="preserve">O=C1NC(=O)C(=C1)C1=CC=CS1</t>
  </si>
  <si>
    <t xml:space="preserve">AUDYZXNUHIIGRB-UHFFFAOYSA-N</t>
  </si>
  <si>
    <t xml:space="preserve">Pyrrolidones</t>
  </si>
  <si>
    <t xml:space="preserve">224.09660</t>
  </si>
  <si>
    <t xml:space="preserve">C12H11N5O</t>
  </si>
  <si>
    <t xml:space="preserve">9H-Purin-6-ol, 2-((phenylmethyl)amino)-; o6-Benzylguanine; Peldesine</t>
  </si>
  <si>
    <t xml:space="preserve">202267; 209799; 210085</t>
  </si>
  <si>
    <t xml:space="preserve">HMDB0246978; HMDB0255878; HMDB0256208</t>
  </si>
  <si>
    <t xml:space="preserve">; 448971; 419846</t>
  </si>
  <si>
    <t xml:space="preserve">5271885; 4578; 135413525</t>
  </si>
  <si>
    <t xml:space="preserve">O=C1NC(NCC2=CC=CC=C2)=NC2=C1NC=N2; N=C1NC2=C(N=CN2)C(OCC2=CC=CC=C2)=N1; NC1=NC(=O)C2=C(N1)C(CC1=CN=CC=C1)=CN2</t>
  </si>
  <si>
    <t xml:space="preserve">XWNJMSJGJFSGRY-UHFFFAOYSA-N; KRWMERLEINMZFT-UHFFFAOYSA-N; DOHVAKFYAHLCJP-UHFFFAOYSA-N</t>
  </si>
  <si>
    <t xml:space="preserve">Imidazopyrimidines; Imidazopyrimidines; Pyrrolopyrimidines</t>
  </si>
  <si>
    <t xml:space="preserve">Purines and purine derivatives; Purines and purine derivatives; Unclassified</t>
  </si>
  <si>
    <t xml:space="preserve">224.11771</t>
  </si>
  <si>
    <t xml:space="preserve">C14H13N3</t>
  </si>
  <si>
    <t xml:space="preserve">Mepanipyrim</t>
  </si>
  <si>
    <t xml:space="preserve">208564</t>
  </si>
  <si>
    <t xml:space="preserve">HMDB0254448</t>
  </si>
  <si>
    <t xml:space="preserve">68688</t>
  </si>
  <si>
    <t xml:space="preserve">C10919</t>
  </si>
  <si>
    <t xml:space="preserve">6751</t>
  </si>
  <si>
    <t xml:space="preserve">86296</t>
  </si>
  <si>
    <t xml:space="preserve">110235-47-7</t>
  </si>
  <si>
    <t xml:space="preserve">CC#CC1=NC(NC2=CC=CC=C2)=NC(C)=C1</t>
  </si>
  <si>
    <t xml:space="preserve">CIFWZNRJIBNXRE-UHFFFAOYSA-N</t>
  </si>
  <si>
    <t xml:space="preserve">224.98730</t>
  </si>
  <si>
    <t xml:space="preserve">C9H6O6S</t>
  </si>
  <si>
    <t xml:space="preserve">2H-1-Benzopyran-2-one, 7-(sulfooxy)-</t>
  </si>
  <si>
    <t xml:space="preserve">198635</t>
  </si>
  <si>
    <t xml:space="preserve">HMDB0242135</t>
  </si>
  <si>
    <t xml:space="preserve">133565</t>
  </si>
  <si>
    <t xml:space="preserve">129659</t>
  </si>
  <si>
    <t xml:space="preserve">OS(=O)(=O)OC1=CC=C2C=CC(=O)OC2=C1</t>
  </si>
  <si>
    <t xml:space="preserve">LJOOSFYJELZGMR-UHFFFAOYSA-N</t>
  </si>
  <si>
    <t xml:space="preserve">225.04107</t>
  </si>
  <si>
    <t xml:space="preserve">C10H8O6</t>
  </si>
  <si>
    <t xml:space="preserve">Dehydrochorismic acid</t>
  </si>
  <si>
    <t xml:space="preserve">60078</t>
  </si>
  <si>
    <t xml:space="preserve">HMDB0036314</t>
  </si>
  <si>
    <t xml:space="preserve">91459</t>
  </si>
  <si>
    <t xml:space="preserve">9920917</t>
  </si>
  <si>
    <t xml:space="preserve">81757-66-6</t>
  </si>
  <si>
    <t xml:space="preserve">OC(=O)C(=C)OC1=C(O)C=CC(=C1)C(O)=O</t>
  </si>
  <si>
    <t xml:space="preserve">LKNPFOZIOWXDQS-UHFFFAOYSA-N</t>
  </si>
  <si>
    <t xml:space="preserve">225.09353</t>
  </si>
  <si>
    <t xml:space="preserve">C15H14O3</t>
  </si>
  <si>
    <t xml:space="preserve">Equol</t>
  </si>
  <si>
    <t xml:space="preserve">47861</t>
  </si>
  <si>
    <t xml:space="preserve">HMDB0002209</t>
  </si>
  <si>
    <t xml:space="preserve">44865</t>
  </si>
  <si>
    <t xml:space="preserve">C14131</t>
  </si>
  <si>
    <t xml:space="preserve">428126</t>
  </si>
  <si>
    <t xml:space="preserve">91469</t>
  </si>
  <si>
    <t xml:space="preserve">531-95-3</t>
  </si>
  <si>
    <t xml:space="preserve">OC1=CC=C(C=C1)[C@H]1COC2=CC(O)=CC=C2C1</t>
  </si>
  <si>
    <t xml:space="preserve">ADFCQWZHKCXPAJ-GFCCVEGCSA-N</t>
  </si>
  <si>
    <t xml:space="preserve">228.05994</t>
  </si>
  <si>
    <t xml:space="preserve">C8H11N3O6</t>
  </si>
  <si>
    <t xml:space="preserve">6-Azauridine</t>
  </si>
  <si>
    <t xml:space="preserve">202318</t>
  </si>
  <si>
    <t xml:space="preserve">HMDB0247037</t>
  </si>
  <si>
    <t xml:space="preserve">233502</t>
  </si>
  <si>
    <t xml:space="preserve">OCC1OC(C(O)C1O)N1N=CC(=O)NC1=O</t>
  </si>
  <si>
    <t xml:space="preserve">WYXSYVWAUAUWLD-UHFFFAOYSA-N</t>
  </si>
  <si>
    <t xml:space="preserve">228.95496</t>
  </si>
  <si>
    <t xml:space="preserve">C6H4Cl2N2O2</t>
  </si>
  <si>
    <t xml:space="preserve">2,6-Dichloro-4-nitroaniline</t>
  </si>
  <si>
    <t xml:space="preserve">200938</t>
  </si>
  <si>
    <t xml:space="preserve">HMDB0245510</t>
  </si>
  <si>
    <t xml:space="preserve">68760</t>
  </si>
  <si>
    <t xml:space="preserve">C11000</t>
  </si>
  <si>
    <t xml:space="preserve">27864</t>
  </si>
  <si>
    <t xml:space="preserve">7430</t>
  </si>
  <si>
    <t xml:space="preserve">99-30-9</t>
  </si>
  <si>
    <t xml:space="preserve">NC1=C(Cl)C=C(C=C1Cl)[N+]([O-])=O</t>
  </si>
  <si>
    <t xml:space="preserve">BIXZHMJUSMUDOQ-UHFFFAOYSA-N</t>
  </si>
  <si>
    <t xml:space="preserve">228.97903</t>
  </si>
  <si>
    <t xml:space="preserve">C7H10OS3</t>
  </si>
  <si>
    <t xml:space="preserve">2-Methyl-3-furyl methylthiomethyl disulfide</t>
  </si>
  <si>
    <t xml:space="preserve">256136</t>
  </si>
  <si>
    <t xml:space="preserve">HMDB0303259</t>
  </si>
  <si>
    <t xml:space="preserve">71587703</t>
  </si>
  <si>
    <t xml:space="preserve">CSCSSC1=C(C)OC=C1</t>
  </si>
  <si>
    <t xml:space="preserve">WQZZYRQOADSWHJ-UHFFFAOYSA-N</t>
  </si>
  <si>
    <t xml:space="preserve">229.14067</t>
  </si>
  <si>
    <t xml:space="preserve">C12H20O4</t>
  </si>
  <si>
    <t xml:space="preserve">Traumatic acid</t>
  </si>
  <si>
    <t xml:space="preserve">2817</t>
  </si>
  <si>
    <t xml:space="preserve">HMDB0000933</t>
  </si>
  <si>
    <t xml:space="preserve">5882</t>
  </si>
  <si>
    <t xml:space="preserve">LMFA01170002</t>
  </si>
  <si>
    <t xml:space="preserve">C16308</t>
  </si>
  <si>
    <t xml:space="preserve">545687</t>
  </si>
  <si>
    <t xml:space="preserve">5283028</t>
  </si>
  <si>
    <t xml:space="preserve">6402-36-4</t>
  </si>
  <si>
    <t xml:space="preserve">C(CC(=O)O)CCCCCC/C=C/C(=O)O</t>
  </si>
  <si>
    <t xml:space="preserve">MAZWDMBCPDUFDJ-VQHVLOKHSA-N</t>
  </si>
  <si>
    <t xml:space="preserve">231.05763</t>
  </si>
  <si>
    <t xml:space="preserve">C12H10N2OS</t>
  </si>
  <si>
    <t xml:space="preserve">6-Methoxy-3-(2-thiazolyl)-1H-indole</t>
  </si>
  <si>
    <t xml:space="preserve">61999</t>
  </si>
  <si>
    <t xml:space="preserve">HMDB0038632</t>
  </si>
  <si>
    <t xml:space="preserve">93293</t>
  </si>
  <si>
    <t xml:space="preserve">136941</t>
  </si>
  <si>
    <t xml:space="preserve">11160579</t>
  </si>
  <si>
    <t xml:space="preserve">135531-87-2</t>
  </si>
  <si>
    <t xml:space="preserve">COC1=CC2=C(C=C1)C(=CN2)C1=NC=CS1</t>
  </si>
  <si>
    <t xml:space="preserve">FGXYYCWDPYDAOS-UHFFFAOYSA-N</t>
  </si>
  <si>
    <t xml:space="preserve">231.09987</t>
  </si>
  <si>
    <t xml:space="preserve">C14H14O3</t>
  </si>
  <si>
    <t xml:space="preserve">Naproxen</t>
  </si>
  <si>
    <t xml:space="preserve">47714</t>
  </si>
  <si>
    <t xml:space="preserve">HMDB0001923</t>
  </si>
  <si>
    <t xml:space="preserve">1461</t>
  </si>
  <si>
    <t xml:space="preserve">C01517</t>
  </si>
  <si>
    <t xml:space="preserve">7476</t>
  </si>
  <si>
    <t xml:space="preserve">156391</t>
  </si>
  <si>
    <t xml:space="preserve">22204-53-1</t>
  </si>
  <si>
    <t xml:space="preserve">COC1=CC2=C(C=C1)C=C(C=C2)[C@H](C)C(O)=O</t>
  </si>
  <si>
    <t xml:space="preserve">CMWTZPSULFXXJA-VIFPVBQESA-N</t>
  </si>
  <si>
    <t xml:space="preserve">231.14915</t>
  </si>
  <si>
    <t xml:space="preserve">C14H18N2O</t>
  </si>
  <si>
    <t xml:space="preserve">Ibudilast</t>
  </si>
  <si>
    <t xml:space="preserve">HMDB0015614</t>
  </si>
  <si>
    <t xml:space="preserve">85552</t>
  </si>
  <si>
    <t xml:space="preserve">123745</t>
  </si>
  <si>
    <t xml:space="preserve">3671</t>
  </si>
  <si>
    <t xml:space="preserve">50847-11-5</t>
  </si>
  <si>
    <t xml:space="preserve">CC(C)C(=O)C1=C2C=CC=CN2N=C1C(C)C</t>
  </si>
  <si>
    <t xml:space="preserve">ZJVFLBOZORBYFE-UHFFFAOYSA-N</t>
  </si>
  <si>
    <t xml:space="preserve">Pyrazolopyridines</t>
  </si>
  <si>
    <t xml:space="preserve">233.07924</t>
  </si>
  <si>
    <t xml:space="preserve">C12H10N4</t>
  </si>
  <si>
    <t xml:space="preserve">Phenazine-2,3-diamine</t>
  </si>
  <si>
    <t xml:space="preserve">210258</t>
  </si>
  <si>
    <t xml:space="preserve">HMDB0256396</t>
  </si>
  <si>
    <t xml:space="preserve">NC1=CC2=NC3=CC=CC=C3N=C2C=C1N</t>
  </si>
  <si>
    <t xml:space="preserve">VZPGINJWPPHRLS-UHFFFAOYSA-N</t>
  </si>
  <si>
    <t xml:space="preserve">234.09959</t>
  </si>
  <si>
    <t xml:space="preserve">C9H16ClN3O2</t>
  </si>
  <si>
    <t xml:space="preserve">Lomustine</t>
  </si>
  <si>
    <t xml:space="preserve">53420</t>
  </si>
  <si>
    <t xml:space="preserve">HMDB0015337</t>
  </si>
  <si>
    <t xml:space="preserve">66570</t>
  </si>
  <si>
    <t xml:space="preserve">C07079</t>
  </si>
  <si>
    <t xml:space="preserve">6520</t>
  </si>
  <si>
    <t xml:space="preserve">3950</t>
  </si>
  <si>
    <t xml:space="preserve">13010-47-4</t>
  </si>
  <si>
    <t xml:space="preserve">ClCCN(N=O)C(=O)NC1CCCCC1</t>
  </si>
  <si>
    <t xml:space="preserve">GQYIWUVLTXOXAJ-UHFFFAOYSA-N</t>
  </si>
  <si>
    <t xml:space="preserve">235.08180</t>
  </si>
  <si>
    <t xml:space="preserve">C9H16O8</t>
  </si>
  <si>
    <t xml:space="preserve">[(2R,3S,4R,5R)-3,4,5,6-Tetrahydroxy-1-oxohexan-2-yl] 2-hydroxypropanoate; Glucose propionate</t>
  </si>
  <si>
    <t xml:space="preserve">211629; 207221</t>
  </si>
  <si>
    <t xml:space="preserve">HMDB0258037; HMDB0252785</t>
  </si>
  <si>
    <t xml:space="preserve">CC(O)C(=O)OC(C=O)C(O)C(O)C(O)CO; CCC(=O)OC1(O)OC(CO)C(O)C(O)C1O</t>
  </si>
  <si>
    <t xml:space="preserve">GGTVXTGXRPOKPC-UHFFFAOYSA-N; PCFIAZZAJNYGGV-UHFFFAOYSA-N</t>
  </si>
  <si>
    <t xml:space="preserve">Lipids and lipid-like molecules; Organic oxygen compounds</t>
  </si>
  <si>
    <t xml:space="preserve">Fatty Acyls; Organooxygen compounds</t>
  </si>
  <si>
    <t xml:space="preserve">Fatty alcohols; Carbohydrates and carbohydrate conjugates</t>
  </si>
  <si>
    <t xml:space="preserve">236.99080</t>
  </si>
  <si>
    <t xml:space="preserve">C7H6N2O5</t>
  </si>
  <si>
    <t xml:space="preserve">4,6-Dinitro-O-cresol</t>
  </si>
  <si>
    <t xml:space="preserve">200660</t>
  </si>
  <si>
    <t xml:space="preserve">HMDB0245221</t>
  </si>
  <si>
    <t xml:space="preserve">72439</t>
  </si>
  <si>
    <t xml:space="preserve">C18653</t>
  </si>
  <si>
    <t xml:space="preserve">39349</t>
  </si>
  <si>
    <t xml:space="preserve">10800</t>
  </si>
  <si>
    <t xml:space="preserve">534-52-1</t>
  </si>
  <si>
    <t xml:space="preserve">CC1=CC(=CC(=C1O)[N+]([O-])=O)[N+]([O-])=O</t>
  </si>
  <si>
    <t xml:space="preserve">ZXVONLUNISGICL-UHFFFAOYSA-N</t>
  </si>
  <si>
    <t xml:space="preserve">237.11408</t>
  </si>
  <si>
    <t xml:space="preserve">C14H14N4O</t>
  </si>
  <si>
    <t xml:space="preserve">4,5-Dihydro-6-(4-(imidazol-1-yl)phenyl)-5-methyl-3(2H)-pyridazinone</t>
  </si>
  <si>
    <t xml:space="preserve">205040</t>
  </si>
  <si>
    <t xml:space="preserve">HMDB0250224</t>
  </si>
  <si>
    <t xml:space="preserve">3021729</t>
  </si>
  <si>
    <t xml:space="preserve">CC1CC(=O)NN=C1C1=CC=C(C=C1)N1C=CN=C1</t>
  </si>
  <si>
    <t xml:space="preserve">AEZZPAQOEUQNBB-UHFFFAOYSA-N</t>
  </si>
  <si>
    <t xml:space="preserve">237.14841</t>
  </si>
  <si>
    <t xml:space="preserve">C14H22O4</t>
  </si>
  <si>
    <t xml:space="preserve">C75 trans</t>
  </si>
  <si>
    <t xml:space="preserve">204453</t>
  </si>
  <si>
    <t xml:space="preserve">HMDB0249518</t>
  </si>
  <si>
    <t xml:space="preserve">44901</t>
  </si>
  <si>
    <t xml:space="preserve">4248455</t>
  </si>
  <si>
    <t xml:space="preserve">191282-48-1</t>
  </si>
  <si>
    <t xml:space="preserve">CCCCCCCCC1OC(=O)C(=C)C1C(O)=O</t>
  </si>
  <si>
    <t xml:space="preserve">VCWLZDVWHQVAJU-UHFFFAOYSA-N</t>
  </si>
  <si>
    <t xml:space="preserve">238.14899</t>
  </si>
  <si>
    <t xml:space="preserve">C10H21N3O2</t>
  </si>
  <si>
    <t xml:space="preserve">Diethylcarbamazine N-oxide</t>
  </si>
  <si>
    <t xml:space="preserve">82675</t>
  </si>
  <si>
    <t xml:space="preserve">HMDB0060817</t>
  </si>
  <si>
    <t xml:space="preserve">2005</t>
  </si>
  <si>
    <t xml:space="preserve">161840</t>
  </si>
  <si>
    <t xml:space="preserve">34812-73-2</t>
  </si>
  <si>
    <t xml:space="preserve">CCN(CC)C(=O)N1CC[N+](C)([O-])CC1</t>
  </si>
  <si>
    <t xml:space="preserve">KAJAFGMERLXELG-UHFFFAOYSA-N</t>
  </si>
  <si>
    <t xml:space="preserve">239.07153</t>
  </si>
  <si>
    <t xml:space="preserve">C15H12O4</t>
  </si>
  <si>
    <t xml:space="preserve">Pinocembrin; Liquiritigenin</t>
  </si>
  <si>
    <t xml:space="preserve">34395; 34243</t>
  </si>
  <si>
    <t xml:space="preserve">HMDB0030808; HMDB0029519</t>
  </si>
  <si>
    <t xml:space="preserve">44418; 52551</t>
  </si>
  <si>
    <t xml:space="preserve">LMPK12140214; LMPK12140061</t>
  </si>
  <si>
    <t xml:space="preserve">C09827; C09762</t>
  </si>
  <si>
    <t xml:space="preserve">28157; 28777</t>
  </si>
  <si>
    <t xml:space="preserve">68071; 114829</t>
  </si>
  <si>
    <t xml:space="preserve">480-39-7; 578-86-9</t>
  </si>
  <si>
    <t xml:space="preserve">C1(O)C=C2O[C@]([H])(C3C=CC=CC=3)CC(=O)C2=C(O)C=1; C1(O)C=C2O[C@]([H])(C3C=CC(O)=CC=3)CC(=O)C2=CC=1</t>
  </si>
  <si>
    <t xml:space="preserve">URFCJEUYXNAHFI-ZDUSSCGKSA-N; FURUXTVZLHCCNA-AWEZNQCLSA-N</t>
  </si>
  <si>
    <t xml:space="preserve">Flavans; Flavans</t>
  </si>
  <si>
    <t xml:space="preserve">239.16265</t>
  </si>
  <si>
    <t xml:space="preserve">C12H24O3</t>
  </si>
  <si>
    <t xml:space="preserve">12-Hydroxydodecanoic acid</t>
  </si>
  <si>
    <t xml:space="preserve">1684</t>
  </si>
  <si>
    <t xml:space="preserve">HMDB0002059</t>
  </si>
  <si>
    <t xml:space="preserve">6465</t>
  </si>
  <si>
    <t xml:space="preserve">LMFA01050039</t>
  </si>
  <si>
    <t xml:space="preserve">C08317</t>
  </si>
  <si>
    <t xml:space="preserve">39567</t>
  </si>
  <si>
    <t xml:space="preserve">79034</t>
  </si>
  <si>
    <t xml:space="preserve">505-95-3</t>
  </si>
  <si>
    <t xml:space="preserve">C(CCCCCCCCCO)CC(=O)O</t>
  </si>
  <si>
    <t xml:space="preserve">ZDHCZVWCTKTBRY-UHFFFAOYSA-N</t>
  </si>
  <si>
    <t xml:space="preserve">241.01080</t>
  </si>
  <si>
    <t xml:space="preserve">C9H10N2O3S2</t>
  </si>
  <si>
    <t xml:space="preserve">Ethoxzolamide</t>
  </si>
  <si>
    <t xml:space="preserve">52698</t>
  </si>
  <si>
    <t xml:space="preserve">HMDB0014456</t>
  </si>
  <si>
    <t xml:space="preserve">85362</t>
  </si>
  <si>
    <t xml:space="preserve">101096</t>
  </si>
  <si>
    <t xml:space="preserve">3295</t>
  </si>
  <si>
    <t xml:space="preserve">452-35-7</t>
  </si>
  <si>
    <t xml:space="preserve">CCOC1=CC2=C(C=C1)N=C(S2)S(N)(=O)=O</t>
  </si>
  <si>
    <t xml:space="preserve">OUZWUKMCLIBBOG-UHFFFAOYSA-N</t>
  </si>
  <si>
    <t xml:space="preserve">241.17480</t>
  </si>
  <si>
    <t xml:space="preserve">C12H26O3</t>
  </si>
  <si>
    <t xml:space="preserve">8,8-Dimethoxy-2,6-dimethyl-2-octanol</t>
  </si>
  <si>
    <t xml:space="preserve">63429</t>
  </si>
  <si>
    <t xml:space="preserve">HMDB0040219</t>
  </si>
  <si>
    <t xml:space="preserve">94750</t>
  </si>
  <si>
    <t xml:space="preserve">8863</t>
  </si>
  <si>
    <t xml:space="preserve">141-92-4</t>
  </si>
  <si>
    <t xml:space="preserve">COC(CC(C)CCCC(C)(C)O)OC</t>
  </si>
  <si>
    <t xml:space="preserve">QCJVKUULZGKQDG-UHFFFAOYSA-N</t>
  </si>
  <si>
    <t xml:space="preserve">242.28584</t>
  </si>
  <si>
    <t xml:space="preserve">C16H35N</t>
  </si>
  <si>
    <t xml:space="preserve">Dioctylamine; Hexadecylamine</t>
  </si>
  <si>
    <t xml:space="preserve">206050; 199426</t>
  </si>
  <si>
    <t xml:space="preserve">HMDB0251428; HMDB0243891</t>
  </si>
  <si>
    <t xml:space="preserve">342738; 4110</t>
  </si>
  <si>
    <t xml:space="preserve">132284; </t>
  </si>
  <si>
    <t xml:space="preserve">3094; 8926</t>
  </si>
  <si>
    <t xml:space="preserve">; 143-27-1</t>
  </si>
  <si>
    <t xml:space="preserve">CCCCCCCCNCCCCCCCC; CCCCCCCCCCCCCCCCN</t>
  </si>
  <si>
    <t xml:space="preserve">LAWOZCWGWDVVSG-UHFFFAOYSA-N; FJLUATLTXUNBOT-UHFFFAOYSA-N</t>
  </si>
  <si>
    <t xml:space="preserve">243.02020</t>
  </si>
  <si>
    <t xml:space="preserve">C10H8N2O2S</t>
  </si>
  <si>
    <t xml:space="preserve">Rapalexin B; Tyrphostin 47</t>
  </si>
  <si>
    <t xml:space="preserve">255092; 212740</t>
  </si>
  <si>
    <t xml:space="preserve">HMDB0302105; HMDB0259355</t>
  </si>
  <si>
    <t xml:space="preserve">16102149; 3034797</t>
  </si>
  <si>
    <t xml:space="preserve">COC1=C2C(NC=C2N=C=S)=CC=C1O; NC(=S)C(=CC1=CC(O)=C(O)C=C1)C#N</t>
  </si>
  <si>
    <t xml:space="preserve">RIANPHYYVJUMIF-UHFFFAOYSA-N; ZGHQGWOETPXKLY-UHFFFAOYSA-N</t>
  </si>
  <si>
    <t xml:space="preserve">Indoles and derivatives; Phenols</t>
  </si>
  <si>
    <t xml:space="preserve">Hydroxyindoles; Benzenediols</t>
  </si>
  <si>
    <t xml:space="preserve">244.01169</t>
  </si>
  <si>
    <t xml:space="preserve">C11H8ClNO2</t>
  </si>
  <si>
    <t xml:space="preserve">Quinmerac</t>
  </si>
  <si>
    <t xml:space="preserve">210813</t>
  </si>
  <si>
    <t xml:space="preserve">HMDB0257043</t>
  </si>
  <si>
    <t xml:space="preserve">72652</t>
  </si>
  <si>
    <t xml:space="preserve">C18891</t>
  </si>
  <si>
    <t xml:space="preserve">84199</t>
  </si>
  <si>
    <t xml:space="preserve">91749</t>
  </si>
  <si>
    <t xml:space="preserve">90717-03-6</t>
  </si>
  <si>
    <t xml:space="preserve">CC1=CC2=C(N=C1)C(C(O)=O)=C(Cl)C=C2</t>
  </si>
  <si>
    <t xml:space="preserve">ALZOLUNSQWINIR-UHFFFAOYSA-N</t>
  </si>
  <si>
    <t xml:space="preserve">244.09229</t>
  </si>
  <si>
    <t xml:space="preserve">C9H13N3O5</t>
  </si>
  <si>
    <t xml:space="preserve">Cytidine; Cytarabine</t>
  </si>
  <si>
    <t xml:space="preserve">46865; 53235</t>
  </si>
  <si>
    <t xml:space="preserve">HMDB0000089; HMDB0015122</t>
  </si>
  <si>
    <t xml:space="preserve">3376; 567</t>
  </si>
  <si>
    <t xml:space="preserve">C00475; C02961</t>
  </si>
  <si>
    <t xml:space="preserve">17562; 28680</t>
  </si>
  <si>
    <t xml:space="preserve">6175; 6253</t>
  </si>
  <si>
    <t xml:space="preserve">65-46-3; 147-94-4</t>
  </si>
  <si>
    <t xml:space="preserve">NC1=NC(=O)N(C=C1)[C@@H]1O[C@H](CO)[C@@H](O)[C@H]1O; NC1=NC(=O)N(C=C1)[C@@H]1O[C@H](CO)[C@@H](O)[C@@H]1O</t>
  </si>
  <si>
    <t xml:space="preserve">UHDGCWIWMRVCDJ-XVFCMESISA-N; UHDGCWIWMRVCDJ-CCXZUQQUSA-N</t>
  </si>
  <si>
    <t xml:space="preserve">Pyrimidine nucleosides; Pyrimidine nucleosides</t>
  </si>
  <si>
    <t xml:space="preserve">245.11622</t>
  </si>
  <si>
    <t xml:space="preserve">C15H16O3</t>
  </si>
  <si>
    <t xml:space="preserve">Batatasin IV</t>
  </si>
  <si>
    <t xml:space="preserve">35099</t>
  </si>
  <si>
    <t xml:space="preserve">HMDB0032641</t>
  </si>
  <si>
    <t xml:space="preserve">53259</t>
  </si>
  <si>
    <t xml:space="preserve">LMPK13090032</t>
  </si>
  <si>
    <t xml:space="preserve">C10247</t>
  </si>
  <si>
    <t xml:space="preserve">181271</t>
  </si>
  <si>
    <t xml:space="preserve">60347-67-3</t>
  </si>
  <si>
    <t xml:space="preserve">C1=C(OC)C=C(CCC2=C(O)C=CC=C2)C=C1O</t>
  </si>
  <si>
    <t xml:space="preserve">IUMFLNFLJUUODE-UHFFFAOYSA-N</t>
  </si>
  <si>
    <t xml:space="preserve">245.17759</t>
  </si>
  <si>
    <t xml:space="preserve">C13H26O5</t>
  </si>
  <si>
    <t xml:space="preserve">Glyceryl 5-hydroxydecanoate</t>
  </si>
  <si>
    <t xml:space="preserve">56681</t>
  </si>
  <si>
    <t xml:space="preserve">HMDB0032297</t>
  </si>
  <si>
    <t xml:space="preserve">88341</t>
  </si>
  <si>
    <t xml:space="preserve">168139</t>
  </si>
  <si>
    <t xml:space="preserve">5463954</t>
  </si>
  <si>
    <t xml:space="preserve">26446-31-1</t>
  </si>
  <si>
    <t xml:space="preserve">CCCCCC(O)CCCC(=O)OCC(O)CO</t>
  </si>
  <si>
    <t xml:space="preserve">ILJDYMFZBMWGGZ-UHFFFAOYSA-N</t>
  </si>
  <si>
    <t xml:space="preserve">245.22867</t>
  </si>
  <si>
    <t xml:space="preserve">C18H30O</t>
  </si>
  <si>
    <t xml:space="preserve">6,10,14-Trimethyl-5,9,13-pentadecatrien-2-one</t>
  </si>
  <si>
    <t xml:space="preserve">58497</t>
  </si>
  <si>
    <t xml:space="preserve">HMDB0034495</t>
  </si>
  <si>
    <t xml:space="preserve">89972</t>
  </si>
  <si>
    <t xml:space="preserve">1711944</t>
  </si>
  <si>
    <t xml:space="preserve">762-29-8</t>
  </si>
  <si>
    <t xml:space="preserve">CC(C)=CCC\C(C)=C/CC\C(C)=C\CCC(C)=O</t>
  </si>
  <si>
    <t xml:space="preserve">LTUMRKDLVGQMJU-HSVQFRAPSA-N</t>
  </si>
  <si>
    <t xml:space="preserve">245.95451</t>
  </si>
  <si>
    <t xml:space="preserve">C9H6BrNO</t>
  </si>
  <si>
    <t xml:space="preserve">2-Bromo-1H-indole-3-carboxaldehyde</t>
  </si>
  <si>
    <t xml:space="preserve">63379</t>
  </si>
  <si>
    <t xml:space="preserve">HMDB0040147</t>
  </si>
  <si>
    <t xml:space="preserve">94687</t>
  </si>
  <si>
    <t xml:space="preserve">360191</t>
  </si>
  <si>
    <t xml:space="preserve">119910-45-1</t>
  </si>
  <si>
    <t xml:space="preserve">BrC1=C(C=O)C2=CC=CC=C2N1</t>
  </si>
  <si>
    <t xml:space="preserve">WIRLVLFYTTULCM-UHFFFAOYSA-N</t>
  </si>
  <si>
    <t xml:space="preserve">246.07036</t>
  </si>
  <si>
    <t xml:space="preserve">C9H12F3NO2</t>
  </si>
  <si>
    <t xml:space="preserve">4,6-Dimethyl-1-nitro-4-(trifluoromethyl)cyclohexene</t>
  </si>
  <si>
    <t xml:space="preserve">213422</t>
  </si>
  <si>
    <t xml:space="preserve">HMDB0260288</t>
  </si>
  <si>
    <t xml:space="preserve">91611000</t>
  </si>
  <si>
    <t xml:space="preserve">CC1CC(C)(CC=C1[N+]([O-])=O)C(F)(F)F</t>
  </si>
  <si>
    <t xml:space="preserve">JOLGUHSEMPNHSK-UHFFFAOYSA-N</t>
  </si>
  <si>
    <t xml:space="preserve">246.10014</t>
  </si>
  <si>
    <t xml:space="preserve">C11H17N3O</t>
  </si>
  <si>
    <t xml:space="preserve">Arenaine</t>
  </si>
  <si>
    <t xml:space="preserve">55173</t>
  </si>
  <si>
    <t xml:space="preserve">HMDB0030354</t>
  </si>
  <si>
    <t xml:space="preserve">C09912</t>
  </si>
  <si>
    <t xml:space="preserve">3530563</t>
  </si>
  <si>
    <t xml:space="preserve">35471-10-4</t>
  </si>
  <si>
    <t xml:space="preserve">CC1C2CCC(C)(C=C)N2C(=N)NC1=O</t>
  </si>
  <si>
    <t xml:space="preserve">JICZMZVYTMAXGX-UHFFFAOYSA-N</t>
  </si>
  <si>
    <t xml:space="preserve">247.05184</t>
  </si>
  <si>
    <t xml:space="preserve">C15H12O</t>
  </si>
  <si>
    <t xml:space="preserve">Chalcone; 1-Methoxyphenanthrene</t>
  </si>
  <si>
    <t xml:space="preserve">48021; 82235</t>
  </si>
  <si>
    <t xml:space="preserve">HMDB0003066; HMDB0060323</t>
  </si>
  <si>
    <t xml:space="preserve">3342; 69037</t>
  </si>
  <si>
    <t xml:space="preserve">C15589; C11433</t>
  </si>
  <si>
    <t xml:space="preserve">48965; 27753</t>
  </si>
  <si>
    <t xml:space="preserve">637760; 43547</t>
  </si>
  <si>
    <t xml:space="preserve">94-41-7; 834-99-1</t>
  </si>
  <si>
    <t xml:space="preserve">O=C(\C=C\C1=CC=CC=C1)C1=CC=CC=C1; COC1=CC=CC2=C1C=CC1=CC=CC=C21</t>
  </si>
  <si>
    <t xml:space="preserve">DQFBYFPFKXHELB-VAWYXSNFSA-N; ONMKCYMMGBIVPT-UHFFFAOYSA-N</t>
  </si>
  <si>
    <t xml:space="preserve">Phenylpropanoids and polyketides; Benzenoids</t>
  </si>
  <si>
    <t xml:space="preserve">Linear 1,3-diarylpropanoids; Phenanthrenes and derivatives</t>
  </si>
  <si>
    <t xml:space="preserve">Chalcones and dihydrochalcones; Unclassified</t>
  </si>
  <si>
    <t xml:space="preserve">247.09248</t>
  </si>
  <si>
    <t xml:space="preserve">C9H14N2O6</t>
  </si>
  <si>
    <t xml:space="preserve">Aspartylhydroxyproline; 5,6-Dihydrouridine</t>
  </si>
  <si>
    <t xml:space="preserve">51178; 47063</t>
  </si>
  <si>
    <t xml:space="preserve">HMDB0011160; HMDB0000497</t>
  </si>
  <si>
    <t xml:space="preserve">62009; 5483</t>
  </si>
  <si>
    <t xml:space="preserve">; 23774</t>
  </si>
  <si>
    <t xml:space="preserve">132990981; 94312</t>
  </si>
  <si>
    <t xml:space="preserve">106414-01-1; 5627-05-4</t>
  </si>
  <si>
    <t xml:space="preserve">N[C@@H](CC(O)=O)C(=O)N1C[C@H](O)C[C@H]1C(O)=O; OC[C@H]1O[C@H]([C@H](O)[C@@H]1O)N1CCC(=O)NC1=O</t>
  </si>
  <si>
    <t xml:space="preserve">WJDUWENBTQEKDZ-SRQIZXRXSA-N; ZPTBLXKRQACLCR-XVFCMESISA-N</t>
  </si>
  <si>
    <t xml:space="preserve">Organic acids and derivatives; Organic oxygen compounds</t>
  </si>
  <si>
    <t xml:space="preserve">Carboxylic acids and derivatives; Organooxygen compounds</t>
  </si>
  <si>
    <t xml:space="preserve">Amino acids, peptides, and analogues; Carbohydrates and carbohydrate conjugates</t>
  </si>
  <si>
    <t xml:space="preserve">248.11728</t>
  </si>
  <si>
    <t xml:space="preserve">C11H15N5O3</t>
  </si>
  <si>
    <t xml:space="preserve">3-(6-Aminopurin-9-yl)-5-(hydroxymethyl)cyclopentane-1,2-diol</t>
  </si>
  <si>
    <t xml:space="preserve">200299</t>
  </si>
  <si>
    <t xml:space="preserve">HMDB0244841</t>
  </si>
  <si>
    <t xml:space="preserve">2235</t>
  </si>
  <si>
    <t xml:space="preserve">NC1=C2N=CN(C3CC(CO)C(O)C3O)C2=NC=N1</t>
  </si>
  <si>
    <t xml:space="preserve">UGRNVLGKAGREKS-UHFFFAOYSA-N</t>
  </si>
  <si>
    <t xml:space="preserve">Nucleoside and nucleotide analogues</t>
  </si>
  <si>
    <t xml:space="preserve">Cyclopentyl nucleosides</t>
  </si>
  <si>
    <t xml:space="preserve">248.93622</t>
  </si>
  <si>
    <t xml:space="preserve">C4F6O3</t>
  </si>
  <si>
    <t xml:space="preserve">TRIFLUOROACETIC ANHYDRIDE</t>
  </si>
  <si>
    <t xml:space="preserve">212605</t>
  </si>
  <si>
    <t xml:space="preserve">HMDB0259203</t>
  </si>
  <si>
    <t xml:space="preserve">FC(F)(F)C(=O)OC(=O)C(F)(F)F</t>
  </si>
  <si>
    <t xml:space="preserve">QAEDZJGFFMLHHQ-UHFFFAOYSA-N</t>
  </si>
  <si>
    <t xml:space="preserve">249.07050</t>
  </si>
  <si>
    <t xml:space="preserve">C15H14S</t>
  </si>
  <si>
    <t xml:space="preserve">2-Phenyl-3,4-dihydro-2H-thiochromene</t>
  </si>
  <si>
    <t xml:space="preserve">200726</t>
  </si>
  <si>
    <t xml:space="preserve">HMDB0245290</t>
  </si>
  <si>
    <t xml:space="preserve">22251</t>
  </si>
  <si>
    <t xml:space="preserve">C1CC2=CC=CC=C2SC1C1=CC=CC=C1</t>
  </si>
  <si>
    <t xml:space="preserve">NRYGFMAOIPXXBW-UHFFFAOYSA-N</t>
  </si>
  <si>
    <t xml:space="preserve">Thiochromanes</t>
  </si>
  <si>
    <t xml:space="preserve">Thioflavans</t>
  </si>
  <si>
    <t xml:space="preserve">249.11973</t>
  </si>
  <si>
    <t xml:space="preserve">C11H18N2O3</t>
  </si>
  <si>
    <t xml:space="preserve">Pentobarbital; Amobarbital</t>
  </si>
  <si>
    <t xml:space="preserve">52699; 53510</t>
  </si>
  <si>
    <t xml:space="preserve">HMDB0014457; HMDB0015440</t>
  </si>
  <si>
    <t xml:space="preserve">494; 496</t>
  </si>
  <si>
    <t xml:space="preserve">C07422; C07536</t>
  </si>
  <si>
    <t xml:space="preserve">7983; 2673</t>
  </si>
  <si>
    <t xml:space="preserve">4737; 2164</t>
  </si>
  <si>
    <t xml:space="preserve">76-74-4; 57-43-2</t>
  </si>
  <si>
    <t xml:space="preserve">CCCC(C)C1(CC)C(=O)NC(=O)NC1=O; CCC1(CCC(C)C)C(=O)NC(=O)NC1=O</t>
  </si>
  <si>
    <t xml:space="preserve">WEXRUCMBJFQVBZ-UHFFFAOYSA-N; VIROVYVQCGLCII-UHFFFAOYSA-N</t>
  </si>
  <si>
    <t xml:space="preserve">Pyrimidines and pyrimidine derivatives; Pyrimidines and pyrimidine derivatives</t>
  </si>
  <si>
    <t xml:space="preserve">249.14766</t>
  </si>
  <si>
    <t xml:space="preserve">C15H20O3</t>
  </si>
  <si>
    <t xml:space="preserve">Artabsin</t>
  </si>
  <si>
    <t xml:space="preserve">60323</t>
  </si>
  <si>
    <t xml:space="preserve">HMDB0036641</t>
  </si>
  <si>
    <t xml:space="preserve">C09301</t>
  </si>
  <si>
    <t xml:space="preserve">5089295</t>
  </si>
  <si>
    <t xml:space="preserve">24399-20-0</t>
  </si>
  <si>
    <t xml:space="preserve">CC1C2CCC(C)(O)C3=CCC(C)=C3C2OC1=O</t>
  </si>
  <si>
    <t xml:space="preserve">BXBCLQRTBGRRDB-UHFFFAOYSA-N</t>
  </si>
  <si>
    <t xml:space="preserve">250.08723</t>
  </si>
  <si>
    <t xml:space="preserve">C16H11NO2</t>
  </si>
  <si>
    <t xml:space="preserve">Cinchophen</t>
  </si>
  <si>
    <t xml:space="preserve">205076</t>
  </si>
  <si>
    <t xml:space="preserve">HMDB0250261</t>
  </si>
  <si>
    <t xml:space="preserve">8593</t>
  </si>
  <si>
    <t xml:space="preserve">OC(=O)C1=CC(=NC2=CC=CC=C12)C1=CC=CC=C1</t>
  </si>
  <si>
    <t xml:space="preserve">YTRMTPPVNRALON-UHFFFAOYSA-N</t>
  </si>
  <si>
    <t xml:space="preserve">Phenylquinolines</t>
  </si>
  <si>
    <t xml:space="preserve">250.13232</t>
  </si>
  <si>
    <t xml:space="preserve">C13H17N2O3</t>
  </si>
  <si>
    <t xml:space="preserve">Melatonin radical</t>
  </si>
  <si>
    <t xml:space="preserve">82076</t>
  </si>
  <si>
    <t xml:space="preserve">HMDB0060070</t>
  </si>
  <si>
    <t xml:space="preserve">131769813</t>
  </si>
  <si>
    <t xml:space="preserve">COC1=CC2=C(N[CH]C2(O)CCN=C(C)O)C=C1</t>
  </si>
  <si>
    <t xml:space="preserve">SQNQBXWYHXYLQX-UHFFFAOYSA-N</t>
  </si>
  <si>
    <t xml:space="preserve">251.00268</t>
  </si>
  <si>
    <t xml:space="preserve">C6H4N4O6</t>
  </si>
  <si>
    <t xml:space="preserve">uric acid bicarbonate</t>
  </si>
  <si>
    <t xml:space="preserve">212972</t>
  </si>
  <si>
    <t xml:space="preserve">HMDB0259717</t>
  </si>
  <si>
    <t xml:space="preserve">129670077</t>
  </si>
  <si>
    <t xml:space="preserve">OC(=O)ON1C(=O)NC2=C(NC(=O)N2)C1=O</t>
  </si>
  <si>
    <t xml:space="preserve">CLZRAKUOTOEUIF-UHFFFAOYSA-N</t>
  </si>
  <si>
    <t xml:space="preserve">251.05043</t>
  </si>
  <si>
    <t xml:space="preserve">C11H16O2S</t>
  </si>
  <si>
    <t xml:space="preserve">S-2,5-Dimethyl-3-furanyl 3-methylbutanethioate</t>
  </si>
  <si>
    <t xml:space="preserve">60788</t>
  </si>
  <si>
    <t xml:space="preserve">HMDB0037153</t>
  </si>
  <si>
    <t xml:space="preserve">92121</t>
  </si>
  <si>
    <t xml:space="preserve">41570</t>
  </si>
  <si>
    <t xml:space="preserve">55764-28-8</t>
  </si>
  <si>
    <t xml:space="preserve">CC(C)CC(=O)SC1=C(C)OC(C)=C1</t>
  </si>
  <si>
    <t xml:space="preserve">XFNLWIPNTYNNJX-UHFFFAOYSA-N</t>
  </si>
  <si>
    <t xml:space="preserve">252.95143</t>
  </si>
  <si>
    <t xml:space="preserve">C4H7O8P</t>
  </si>
  <si>
    <t xml:space="preserve">2-Oxo-3-hydroxy-4-phosphobutanoic acid</t>
  </si>
  <si>
    <t xml:space="preserve">48881</t>
  </si>
  <si>
    <t xml:space="preserve">HMDB0006801</t>
  </si>
  <si>
    <t xml:space="preserve">3347</t>
  </si>
  <si>
    <t xml:space="preserve">C06054</t>
  </si>
  <si>
    <t xml:space="preserve">27951</t>
  </si>
  <si>
    <t xml:space="preserve">21145142</t>
  </si>
  <si>
    <t xml:space="preserve">O[C@H](COP(O)(O)=O)C(=O)C(O)=O</t>
  </si>
  <si>
    <t xml:space="preserve">MZJFVXDTNBHTKZ-UWTATZPHSA-N</t>
  </si>
  <si>
    <t xml:space="preserve">253.04228</t>
  </si>
  <si>
    <t xml:space="preserve">C9H14N2O2S</t>
  </si>
  <si>
    <t xml:space="preserve">Methyl bisnorbiotinyl ketone</t>
  </si>
  <si>
    <t xml:space="preserve">48317</t>
  </si>
  <si>
    <t xml:space="preserve">HMDB0004822</t>
  </si>
  <si>
    <t xml:space="preserve">7084</t>
  </si>
  <si>
    <t xml:space="preserve">89480</t>
  </si>
  <si>
    <t xml:space="preserve">21252323</t>
  </si>
  <si>
    <t xml:space="preserve">35638-35-8</t>
  </si>
  <si>
    <t xml:space="preserve">[H][C@]12CS[C@@H](CCC(C)=O)[C@@]1([H])NC(=O)N2</t>
  </si>
  <si>
    <t xml:space="preserve">ITHUGYGPPSVHRH-FXQIFTODSA-N</t>
  </si>
  <si>
    <t xml:space="preserve">Thienoimidazolidines</t>
  </si>
  <si>
    <t xml:space="preserve">253.12436</t>
  </si>
  <si>
    <t xml:space="preserve">C10H16N6S</t>
  </si>
  <si>
    <t xml:space="preserve">Cimetidine</t>
  </si>
  <si>
    <t xml:space="preserve">52848</t>
  </si>
  <si>
    <t xml:space="preserve">HMDB0014644</t>
  </si>
  <si>
    <t xml:space="preserve">1755</t>
  </si>
  <si>
    <t xml:space="preserve">C06952</t>
  </si>
  <si>
    <t xml:space="preserve">3699</t>
  </si>
  <si>
    <t xml:space="preserve">2756</t>
  </si>
  <si>
    <t xml:space="preserve">51481-61-9</t>
  </si>
  <si>
    <t xml:space="preserve">C\N=C(\NCCSCC1=C(C)NC=N1)NC#N</t>
  </si>
  <si>
    <t xml:space="preserve">AQIXAKUUQRKLND-UHFFFAOYSA-N</t>
  </si>
  <si>
    <t xml:space="preserve">254.01845</t>
  </si>
  <si>
    <t xml:space="preserve">C13H7NO2</t>
  </si>
  <si>
    <t xml:space="preserve">Aza-anthracenedione</t>
  </si>
  <si>
    <t xml:space="preserve">203798</t>
  </si>
  <si>
    <t xml:space="preserve">HMDB0248757</t>
  </si>
  <si>
    <t xml:space="preserve">67435898</t>
  </si>
  <si>
    <t xml:space="preserve">O=C1N=CC2=CC3=CC=CC=C3C=C2C1=O</t>
  </si>
  <si>
    <t xml:space="preserve">XYENXGAFFXQHIV-UHFFFAOYSA-N</t>
  </si>
  <si>
    <t xml:space="preserve">254.12056</t>
  </si>
  <si>
    <t xml:space="preserve">C8H17N5O3</t>
  </si>
  <si>
    <t xml:space="preserve">Arginylglycine; Glycyl-Arginine</t>
  </si>
  <si>
    <t xml:space="preserve">53748; 53866</t>
  </si>
  <si>
    <t xml:space="preserve">HMDB0028709; HMDB0028835</t>
  </si>
  <si>
    <t xml:space="preserve">458830; </t>
  </si>
  <si>
    <t xml:space="preserve">142765; 333414</t>
  </si>
  <si>
    <t xml:space="preserve">2418-67-9; </t>
  </si>
  <si>
    <t xml:space="preserve">N[C@@H](CCCNC(N)=N)C(=O)NCC(O)=O; NCC(O)=NC(CCCNC(N)=N)C(O)=O</t>
  </si>
  <si>
    <t xml:space="preserve">XUUXCWCKKCZEAW-YFKPBYRVSA-N; JLXVRFDTDUGQEE-UHFFFAOYSA-N</t>
  </si>
  <si>
    <t xml:space="preserve">254.99807</t>
  </si>
  <si>
    <t xml:space="preserve">C10H7ClN2O2S</t>
  </si>
  <si>
    <t xml:space="preserve">2-(Chloromethyl)-4-(4-nitrophenyl)-1,3-thiazole</t>
  </si>
  <si>
    <t xml:space="preserve">202777</t>
  </si>
  <si>
    <t xml:space="preserve">HMDB0247564</t>
  </si>
  <si>
    <t xml:space="preserve">[O-][N+](=O)C1=CC=C(C=C1)C1=CSC(CCl)=N1</t>
  </si>
  <si>
    <t xml:space="preserve">LEBRGKZHLICZCZ-UHFFFAOYSA-N</t>
  </si>
  <si>
    <t xml:space="preserve">255.06445</t>
  </si>
  <si>
    <t xml:space="preserve">C15H11O4</t>
  </si>
  <si>
    <t xml:space="preserve">Apigenidin</t>
  </si>
  <si>
    <t xml:space="preserve">255964</t>
  </si>
  <si>
    <t xml:space="preserve">HMDB0303074</t>
  </si>
  <si>
    <t xml:space="preserve">C08574</t>
  </si>
  <si>
    <t xml:space="preserve">2772</t>
  </si>
  <si>
    <t xml:space="preserve">441647</t>
  </si>
  <si>
    <t xml:space="preserve">OC1=CC=C(C=C1)C1=[O+]C2=C(C=C1)C(O)=CC(O)=C2</t>
  </si>
  <si>
    <t xml:space="preserve">ZKMZBAABQFUXFE-UHFFFAOYSA-O</t>
  </si>
  <si>
    <t xml:space="preserve">Hydroxyflavonoids</t>
  </si>
  <si>
    <t xml:space="preserve">255.14028</t>
  </si>
  <si>
    <t xml:space="preserve">C14H22O2S</t>
  </si>
  <si>
    <t xml:space="preserve">2,6-Dimethyl-3-[(2-methyl-3-furanyl)thio]-4-heptanone; 4-[(2-Methyl-3-furanyl)thio]-5-nonanone</t>
  </si>
  <si>
    <t xml:space="preserve">60789; 60779</t>
  </si>
  <si>
    <t xml:space="preserve">HMDB0037154; HMDB0037141</t>
  </si>
  <si>
    <t xml:space="preserve">92122; 92109</t>
  </si>
  <si>
    <t xml:space="preserve">; 168976</t>
  </si>
  <si>
    <t xml:space="preserve">62183; 62182</t>
  </si>
  <si>
    <t xml:space="preserve">61295-51-0; 61295-50-9</t>
  </si>
  <si>
    <t xml:space="preserve">CC(C)CC(=O)C(SC1=C(C)OC=C1)C(C)C; CCCCC(=O)C(CCC)SC1=C(C)OC=C1</t>
  </si>
  <si>
    <t xml:space="preserve">PFFLSEMCPNTWOY-UHFFFAOYSA-N; PEYZZTQOVLTVHN-UHFFFAOYSA-N</t>
  </si>
  <si>
    <t xml:space="preserve">Aryl thioethers; Aryl thioethers</t>
  </si>
  <si>
    <t xml:space="preserve">256.01668</t>
  </si>
  <si>
    <t xml:space="preserve">C9H7Cl2N5</t>
  </si>
  <si>
    <t xml:space="preserve">Lamotrigine</t>
  </si>
  <si>
    <t xml:space="preserve">52890</t>
  </si>
  <si>
    <t xml:space="preserve">HMDB0014695</t>
  </si>
  <si>
    <t xml:space="preserve">917</t>
  </si>
  <si>
    <t xml:space="preserve">C07066</t>
  </si>
  <si>
    <t xml:space="preserve">6367</t>
  </si>
  <si>
    <t xml:space="preserve">3878</t>
  </si>
  <si>
    <t xml:space="preserve">84057-84-1</t>
  </si>
  <si>
    <t xml:space="preserve">NC1=NC(N)=C(N=N1)C1=C(Cl)C(Cl)=CC=C1</t>
  </si>
  <si>
    <t xml:space="preserve">PYZRQGJRPPTADH-UHFFFAOYSA-N</t>
  </si>
  <si>
    <t xml:space="preserve">256.13690</t>
  </si>
  <si>
    <t xml:space="preserve">C13H21NO2S</t>
  </si>
  <si>
    <t xml:space="preserve">2,5-Dimethoxy-4-propylthiophenethylamine</t>
  </si>
  <si>
    <t xml:space="preserve">201152</t>
  </si>
  <si>
    <t xml:space="preserve">HMDB0245756</t>
  </si>
  <si>
    <t xml:space="preserve">24728635</t>
  </si>
  <si>
    <t xml:space="preserve">CCCSC1=CC(OC)=C(CCN)C=C1OC</t>
  </si>
  <si>
    <t xml:space="preserve">OLEVEPDJOFPJTF-UHFFFAOYSA-N</t>
  </si>
  <si>
    <t xml:space="preserve">256.26654</t>
  </si>
  <si>
    <t xml:space="preserve">C16H33NO</t>
  </si>
  <si>
    <t xml:space="preserve">Palmitic amide</t>
  </si>
  <si>
    <t xml:space="preserve">8572</t>
  </si>
  <si>
    <t xml:space="preserve">HMDB0012273</t>
  </si>
  <si>
    <t xml:space="preserve">62905</t>
  </si>
  <si>
    <t xml:space="preserve">LMFA08010009</t>
  </si>
  <si>
    <t xml:space="preserve">74475</t>
  </si>
  <si>
    <t xml:space="preserve">69421</t>
  </si>
  <si>
    <t xml:space="preserve">629-54-9</t>
  </si>
  <si>
    <t xml:space="preserve">NC(=O)CCCCCCCCCCCCCCC</t>
  </si>
  <si>
    <t xml:space="preserve">HSEMFIZWXHQJAE-UHFFFAOYSA-N</t>
  </si>
  <si>
    <t xml:space="preserve">256.98331</t>
  </si>
  <si>
    <t xml:space="preserve">C7H8N4O2</t>
  </si>
  <si>
    <t xml:space="preserve">Paraxanthine; Theobromine; Theophylline</t>
  </si>
  <si>
    <t xml:space="preserve">47681; 47991; 47696</t>
  </si>
  <si>
    <t xml:space="preserve">HMDB0001860; HMDB0002825; HMDB0001889</t>
  </si>
  <si>
    <t xml:space="preserve">1457; 1456; 1458</t>
  </si>
  <si>
    <t xml:space="preserve">C13747; C07480; C07130</t>
  </si>
  <si>
    <t xml:space="preserve">25858; 28946; 28177</t>
  </si>
  <si>
    <t xml:space="preserve">4687; 5429; 2153</t>
  </si>
  <si>
    <t xml:space="preserve">611-59-6; 83-67-0; 58-55-9</t>
  </si>
  <si>
    <t xml:space="preserve">CN1C=NC2=C1C(=O)N(C)C(=O)N2; CN1C=NC2=C1C(O)=NC(=O)N2C; CN1C2=C(NC=N2)C(=O)N(C)C1=O</t>
  </si>
  <si>
    <t xml:space="preserve">QUNWUDVFRNGTCO-UHFFFAOYSA-N; YAPQBXQYLJRXSA-UHFFFAOYSA-N; ZFXYFBGIUFBOJW-UHFFFAOYSA-N</t>
  </si>
  <si>
    <t xml:space="preserve">Imidazopyrimidines; Imidazopyrimidines; Imidazopyrimidines</t>
  </si>
  <si>
    <t xml:space="preserve">Purines and purine derivatives; Purines and purine derivatives; Purines and purine derivatives</t>
  </si>
  <si>
    <t xml:space="preserve">257.08155</t>
  </si>
  <si>
    <t xml:space="preserve">C15H14O5</t>
  </si>
  <si>
    <t xml:space="preserve">(-)-Epiafzelechin; Phloretin</t>
  </si>
  <si>
    <t xml:space="preserve">28856; 34015</t>
  </si>
  <si>
    <t xml:space="preserve">HMDB0030822; HMDB0003306</t>
  </si>
  <si>
    <t xml:space="preserve">44474; 3405</t>
  </si>
  <si>
    <t xml:space="preserve">LMPK12020036; LMPK12120525</t>
  </si>
  <si>
    <t xml:space="preserve">C12128; C00774</t>
  </si>
  <si>
    <t xml:space="preserve">31028; 17276</t>
  </si>
  <si>
    <t xml:space="preserve">443639; 4788</t>
  </si>
  <si>
    <t xml:space="preserve">24808-04-6; 60-82-2</t>
  </si>
  <si>
    <t xml:space="preserve">C1(O)C=C2O[C@H](C3C=CC(O)=CC=3)[C@H](O)CC2=C(O)C=1; C1(O)C=C(O)C(C(=O)CCC2C=CC(O)=CC=2)=C(O)C=1</t>
  </si>
  <si>
    <t xml:space="preserve">RSYUFYQTACJFML-UKRRQHHQSA-N; VGEREEWJJVICBM-UHFFFAOYSA-N</t>
  </si>
  <si>
    <t xml:space="preserve">Flavonoids; Linear 1,3-diarylpropanoids</t>
  </si>
  <si>
    <t xml:space="preserve">Flavans; Chalcones and dihydrochalcones</t>
  </si>
  <si>
    <t xml:space="preserve">257.14663</t>
  </si>
  <si>
    <t xml:space="preserve">C13H24O2</t>
  </si>
  <si>
    <t xml:space="preserve">Citronellyl propionate; Ethyl 10-undecenoate; Methyl (E)-2-dodecenoate</t>
  </si>
  <si>
    <t xml:space="preserve">7506; 7521; 7586</t>
  </si>
  <si>
    <t xml:space="preserve">HMDB0037226; HMDB0034286; HMDB0031028</t>
  </si>
  <si>
    <t xml:space="preserve">92191; 89823; 87359</t>
  </si>
  <si>
    <t xml:space="preserve">LMFA07010820; LMFA07010850; LMFA07010931</t>
  </si>
  <si>
    <t xml:space="preserve">8834; 12729; 637723</t>
  </si>
  <si>
    <t xml:space="preserve">141-14-0; 692-86-4; 6208-91-9</t>
  </si>
  <si>
    <t xml:space="preserve">C/C(=C\CCC(C)CCOC(CC)=O)/C; CCOC(=O)CCCCCCCCC=C; COC(=O)/C=C/CCCCCCCCC</t>
  </si>
  <si>
    <t xml:space="preserve">POPNTVRHTZDEBW-UHFFFAOYSA-N; FXNFFCMITPHEIT-UHFFFAOYSA-N; YWSDDOFJTUOVMX-VAWYXSNFSA-N</t>
  </si>
  <si>
    <t xml:space="preserve">Fatty alcohol esters; Fatty acid esters; Fatty acid esters</t>
  </si>
  <si>
    <t xml:space="preserve">259.08658</t>
  </si>
  <si>
    <t xml:space="preserve">C9H14N4O3S</t>
  </si>
  <si>
    <t xml:space="preserve">Cysteinyl-Histidine; Histidylcysteine</t>
  </si>
  <si>
    <t xml:space="preserve">53813; 53906</t>
  </si>
  <si>
    <t xml:space="preserve">HMDB0028777; HMDB0028882</t>
  </si>
  <si>
    <t xml:space="preserve">; 23651</t>
  </si>
  <si>
    <t xml:space="preserve">18218196; 15294281</t>
  </si>
  <si>
    <t xml:space="preserve">; 116833-93-3</t>
  </si>
  <si>
    <t xml:space="preserve">NC(CS)C(=O)NC(CC1=CN=CN1)C(O)=O; N[C@@H](CC1=CNC=N1)C(=O)N[C@@H](CS)C(O)=O</t>
  </si>
  <si>
    <t xml:space="preserve">LVNMAAGSAUGNIC-UHFFFAOYSA-N; MAJYPBAJPNUFPV-BQBZGAKWSA-N</t>
  </si>
  <si>
    <t xml:space="preserve">259.98669</t>
  </si>
  <si>
    <t xml:space="preserve">C10H7Cl2NO3</t>
  </si>
  <si>
    <t xml:space="preserve">N-(3,5-Dichlorophenyl)-2-hydroxysuccinimide; 1-(3,5-Dichlorophenyl)pyrrole-2,3,5-triol</t>
  </si>
  <si>
    <t xml:space="preserve">199943; 213372</t>
  </si>
  <si>
    <t xml:space="preserve">HMDB0244438; HMDB0260232</t>
  </si>
  <si>
    <t xml:space="preserve">114902; 54414721</t>
  </si>
  <si>
    <t xml:space="preserve">OC1CC(=O)N(C1=O)C1=CC(Cl)=CC(Cl)=C1; OC1=CC(O)=C(O)N1C1=CC(Cl)=CC(Cl)=C1</t>
  </si>
  <si>
    <t xml:space="preserve">AAGBZCCQCVOKKA-UHFFFAOYSA-N; VWPFTDCSDUFHPE-UHFFFAOYSA-N</t>
  </si>
  <si>
    <t xml:space="preserve">Pyrrolidines; Pyrroles</t>
  </si>
  <si>
    <t xml:space="preserve">Phenylpyrrolidines; Substituted pyrroles</t>
  </si>
  <si>
    <t xml:space="preserve">260.05251</t>
  </si>
  <si>
    <t xml:space="preserve">C6H14NO8P</t>
  </si>
  <si>
    <t xml:space="preserve">Glucosamine 6-phosphate</t>
  </si>
  <si>
    <t xml:space="preserve">47474</t>
  </si>
  <si>
    <t xml:space="preserve">HMDB0001254</t>
  </si>
  <si>
    <t xml:space="preserve">6111</t>
  </si>
  <si>
    <t xml:space="preserve">C00352</t>
  </si>
  <si>
    <t xml:space="preserve">15873</t>
  </si>
  <si>
    <t xml:space="preserve">439217</t>
  </si>
  <si>
    <t xml:space="preserve">55722-81-1</t>
  </si>
  <si>
    <t xml:space="preserve">N[C@H]1[C@@H](O)O[C@H](COP(O)(O)=O)[C@@H](O)[C@@H]1O</t>
  </si>
  <si>
    <t xml:space="preserve">XHMJOUIAFHJHBW-UKFBFLRUSA-N</t>
  </si>
  <si>
    <t xml:space="preserve">260.11447</t>
  </si>
  <si>
    <t xml:space="preserve">C12H23NO2S2</t>
  </si>
  <si>
    <t xml:space="preserve">S-(2-Methylpropionyl)-dihydrolipoamide-E</t>
  </si>
  <si>
    <t xml:space="preserve">8585</t>
  </si>
  <si>
    <t xml:space="preserve">HMDB0006868</t>
  </si>
  <si>
    <t xml:space="preserve">58573</t>
  </si>
  <si>
    <t xml:space="preserve">LMFA08010022</t>
  </si>
  <si>
    <t xml:space="preserve">C04424</t>
  </si>
  <si>
    <t xml:space="preserve">17577</t>
  </si>
  <si>
    <t xml:space="preserve">11953835</t>
  </si>
  <si>
    <t xml:space="preserve">C(CCCC(CCSC(C(C)C)=O)S)C(N)=O</t>
  </si>
  <si>
    <t xml:space="preserve">UEFURMXXHJCLJP-UHFFFAOYSA-N</t>
  </si>
  <si>
    <t xml:space="preserve">261.04505</t>
  </si>
  <si>
    <t xml:space="preserve">C11H11FN2O2</t>
  </si>
  <si>
    <t xml:space="preserve">6-Fluoro-DL-tryptophan</t>
  </si>
  <si>
    <t xml:space="preserve">202337</t>
  </si>
  <si>
    <t xml:space="preserve">HMDB0247058</t>
  </si>
  <si>
    <t xml:space="preserve">94937</t>
  </si>
  <si>
    <t xml:space="preserve">NC(CC1=CNC2=C1C=CC(F)=C2)C(O)=O</t>
  </si>
  <si>
    <t xml:space="preserve">YMEXGEAJNZRQEH-UHFFFAOYSA-N</t>
  </si>
  <si>
    <t xml:space="preserve">Indolyl carboxylic acids and derivatives</t>
  </si>
  <si>
    <t xml:space="preserve">261.07078</t>
  </si>
  <si>
    <t xml:space="preserve">C8H10N6O3</t>
  </si>
  <si>
    <t xml:space="preserve">N7-(2-Carbamoyl-2-hydroxyethyl)guanine</t>
  </si>
  <si>
    <t xml:space="preserve">209313</t>
  </si>
  <si>
    <t xml:space="preserve">HMDB0255307</t>
  </si>
  <si>
    <t xml:space="preserve">825115</t>
  </si>
  <si>
    <t xml:space="preserve">136051299</t>
  </si>
  <si>
    <t xml:space="preserve">NC(=O)C(O)CN1C=NC2=C1C(=O)NC(N)=N2</t>
  </si>
  <si>
    <t xml:space="preserve">JYHHZNJOFXOGSQ-UHFFFAOYSA-N</t>
  </si>
  <si>
    <t xml:space="preserve">261.10416</t>
  </si>
  <si>
    <t xml:space="preserve">C17H18</t>
  </si>
  <si>
    <t xml:space="preserve">(all-E)-1,7,9-Heptadecatriene-11,13,15-triyne</t>
  </si>
  <si>
    <t xml:space="preserve">55854</t>
  </si>
  <si>
    <t xml:space="preserve">HMDB0031260</t>
  </si>
  <si>
    <t xml:space="preserve">87533</t>
  </si>
  <si>
    <t xml:space="preserve">14409592</t>
  </si>
  <si>
    <t xml:space="preserve">41688-30-6</t>
  </si>
  <si>
    <t xml:space="preserve">CC#CC#CC#C\C=C\C=C\CCCCC=C</t>
  </si>
  <si>
    <t xml:space="preserve">LEQCZKIMKYGCIQ-TZSXFDEBSA-N</t>
  </si>
  <si>
    <t xml:space="preserve">261.12697</t>
  </si>
  <si>
    <t xml:space="preserve">C11H22N2O4S</t>
  </si>
  <si>
    <t xml:space="preserve">Pantetheine</t>
  </si>
  <si>
    <t xml:space="preserve">48100</t>
  </si>
  <si>
    <t xml:space="preserve">HMDB0003426</t>
  </si>
  <si>
    <t xml:space="preserve">6928</t>
  </si>
  <si>
    <t xml:space="preserve">C00831</t>
  </si>
  <si>
    <t xml:space="preserve">16753</t>
  </si>
  <si>
    <t xml:space="preserve">479</t>
  </si>
  <si>
    <t xml:space="preserve">496-65-1</t>
  </si>
  <si>
    <t xml:space="preserve">CC(C)(CO)C(O)C(=O)NCCC(=O)NCCS</t>
  </si>
  <si>
    <t xml:space="preserve">ZNXZGRMVNNHPCA-UHFFFAOYSA-N</t>
  </si>
  <si>
    <t xml:space="preserve">261.92796</t>
  </si>
  <si>
    <t xml:space="preserve">C3H8NO6P</t>
  </si>
  <si>
    <t xml:space="preserve">DL-O-Phosphoserine; Phosphoserine</t>
  </si>
  <si>
    <t xml:space="preserve">47663; 46968</t>
  </si>
  <si>
    <t xml:space="preserve">HMDB0001721; HMDB0000272</t>
  </si>
  <si>
    <t xml:space="preserve">6338; 297</t>
  </si>
  <si>
    <t xml:space="preserve">C01005; C01005</t>
  </si>
  <si>
    <t xml:space="preserve">37712; 15811</t>
  </si>
  <si>
    <t xml:space="preserve">106; 68841</t>
  </si>
  <si>
    <t xml:space="preserve">17885-08-4; 407-41-0</t>
  </si>
  <si>
    <t xml:space="preserve">NC(COP(O)(O)=O)C(O)=O; N[C@@H](COP(O)(O)=O)C(O)=O</t>
  </si>
  <si>
    <t xml:space="preserve">BZQFBWGGLXLEPQ-UHFFFAOYSA-N; BZQFBWGGLXLEPQ-REOHCLBHSA-N</t>
  </si>
  <si>
    <t xml:space="preserve">262.13294</t>
  </si>
  <si>
    <t xml:space="preserve">C11H20NO6</t>
  </si>
  <si>
    <t xml:space="preserve">Methylmalonylcarnitine</t>
  </si>
  <si>
    <t xml:space="preserve">52190</t>
  </si>
  <si>
    <t xml:space="preserve">HMDB0013133</t>
  </si>
  <si>
    <t xml:space="preserve">256928-70-8</t>
  </si>
  <si>
    <t xml:space="preserve">C[C@H](C(O)=O)C(=O)O[C@H](CC(O)=O)C[N+](C)(C)C</t>
  </si>
  <si>
    <t xml:space="preserve">XROYFEWIXXCPAW-HTQZYQBOSA-O</t>
  </si>
  <si>
    <t xml:space="preserve">263.05963</t>
  </si>
  <si>
    <t xml:space="preserve">C11H12N4O3S</t>
  </si>
  <si>
    <t xml:space="preserve">Sulfametopyrazine</t>
  </si>
  <si>
    <t xml:space="preserve">52975</t>
  </si>
  <si>
    <t xml:space="preserve">HMDB0014802</t>
  </si>
  <si>
    <t xml:space="preserve">69463</t>
  </si>
  <si>
    <t xml:space="preserve">C12616</t>
  </si>
  <si>
    <t xml:space="preserve">1049710</t>
  </si>
  <si>
    <t xml:space="preserve">9047</t>
  </si>
  <si>
    <t xml:space="preserve">152-47-6</t>
  </si>
  <si>
    <t xml:space="preserve">COC1=NC=CN=C1NS(=O)(=O)C1=CC=C(N)C=C1</t>
  </si>
  <si>
    <t xml:space="preserve">KXRZBTAEDBELFD-UHFFFAOYSA-N</t>
  </si>
  <si>
    <t xml:space="preserve">263.08442</t>
  </si>
  <si>
    <t xml:space="preserve">C13H16N2O3S</t>
  </si>
  <si>
    <t xml:space="preserve">N-Despyridinyl rosiglitazone</t>
  </si>
  <si>
    <t xml:space="preserve">82700</t>
  </si>
  <si>
    <t xml:space="preserve">HMDB0060842</t>
  </si>
  <si>
    <t xml:space="preserve">10356320</t>
  </si>
  <si>
    <t xml:space="preserve">CNCCOC1=CC=C(CC2SC(=O)NC2=O)C=C1</t>
  </si>
  <si>
    <t xml:space="preserve">BPSKNLFJDYBECE-UHFFFAOYSA-N</t>
  </si>
  <si>
    <t xml:space="preserve">265.02507</t>
  </si>
  <si>
    <t xml:space="preserve">C14H10O3</t>
  </si>
  <si>
    <t xml:space="preserve">2-Methoxyxanthone; Oroselone</t>
  </si>
  <si>
    <t xml:space="preserve">57260; 58076</t>
  </si>
  <si>
    <t xml:space="preserve">HMDB0032998; HMDB0033925</t>
  </si>
  <si>
    <t xml:space="preserve">43829; 89622</t>
  </si>
  <si>
    <t xml:space="preserve">71034; 74477</t>
  </si>
  <si>
    <t xml:space="preserve">1214-20-6; 1760-27-6</t>
  </si>
  <si>
    <t xml:space="preserve">COC1=CC2=C(OC3=CC=CC=C3C2=O)C=C1; CC(=C)C1=CC2=C(O1)C=CC1=C2OC(=O)C=C1</t>
  </si>
  <si>
    <t xml:space="preserve">DVZCOQQFPCMIPO-UHFFFAOYSA-N; FQCPXIJRWHRHIP-UHFFFAOYSA-N</t>
  </si>
  <si>
    <t xml:space="preserve">Organoheterocyclic compounds; Phenylpropanoids and polyketides</t>
  </si>
  <si>
    <t xml:space="preserve">Benzopyrans; Coumarins and derivatives</t>
  </si>
  <si>
    <t xml:space="preserve">1-benzopyrans; Furanocoumarins</t>
  </si>
  <si>
    <t xml:space="preserve">265.06609</t>
  </si>
  <si>
    <t xml:space="preserve">C10H19O5PS</t>
  </si>
  <si>
    <t xml:space="preserve">Ethyl (E)-3-diethoxyphosphinothioyloxybut-2-enoate</t>
  </si>
  <si>
    <t xml:space="preserve">211038</t>
  </si>
  <si>
    <t xml:space="preserve">HMDB0257328</t>
  </si>
  <si>
    <t xml:space="preserve">984250</t>
  </si>
  <si>
    <t xml:space="preserve">159505</t>
  </si>
  <si>
    <t xml:space="preserve">CCOC(=O)C=C(C)OP(=S)(OCC)OCC</t>
  </si>
  <si>
    <t xml:space="preserve">MZULHRQPPKQTRY-UHFFFAOYSA-N</t>
  </si>
  <si>
    <t xml:space="preserve">Organic thiophosphoric acids and derivatives</t>
  </si>
  <si>
    <t xml:space="preserve">Thiophosphoric acid esters</t>
  </si>
  <si>
    <t xml:space="preserve">266.05533</t>
  </si>
  <si>
    <t xml:space="preserve">C9H13N3O4</t>
  </si>
  <si>
    <t xml:space="preserve">Deoxycytidine</t>
  </si>
  <si>
    <t xml:space="preserve">46826</t>
  </si>
  <si>
    <t xml:space="preserve">HMDB0000014</t>
  </si>
  <si>
    <t xml:space="preserve">3367</t>
  </si>
  <si>
    <t xml:space="preserve">C00881</t>
  </si>
  <si>
    <t xml:space="preserve">15698</t>
  </si>
  <si>
    <t xml:space="preserve">13711</t>
  </si>
  <si>
    <t xml:space="preserve">951-77-9</t>
  </si>
  <si>
    <t xml:space="preserve">NC1=NC(=O)N(C=C1)[C@H]1C[C@H](O)[C@@H](CO)O1</t>
  </si>
  <si>
    <t xml:space="preserve">CKTSBUTUHBMZGZ-SHYZEUOFSA-N</t>
  </si>
  <si>
    <t xml:space="preserve">267.05927</t>
  </si>
  <si>
    <t xml:space="preserve">C9H12N2O6</t>
  </si>
  <si>
    <t xml:space="preserve">Uridine</t>
  </si>
  <si>
    <t xml:space="preserve">46982</t>
  </si>
  <si>
    <t xml:space="preserve">HMDB0000296</t>
  </si>
  <si>
    <t xml:space="preserve">90</t>
  </si>
  <si>
    <t xml:space="preserve">C00299</t>
  </si>
  <si>
    <t xml:space="preserve">16704</t>
  </si>
  <si>
    <t xml:space="preserve">6029</t>
  </si>
  <si>
    <t xml:space="preserve">58-96-8</t>
  </si>
  <si>
    <t xml:space="preserve">OC[C@H]1O[C@H]([C@H](O)[C@@H]1O)N1C=CC(=O)NC1=O</t>
  </si>
  <si>
    <t xml:space="preserve">DRTQHJPVMGBUCF-XVFCMESISA-N</t>
  </si>
  <si>
    <t xml:space="preserve">268.05359</t>
  </si>
  <si>
    <t xml:space="preserve">C17H11N</t>
  </si>
  <si>
    <t xml:space="preserve">Benzo[c]phenanthridine</t>
  </si>
  <si>
    <t xml:space="preserve">202077</t>
  </si>
  <si>
    <t xml:space="preserve">HMDB0246755</t>
  </si>
  <si>
    <t xml:space="preserve">344234</t>
  </si>
  <si>
    <t xml:space="preserve">C1=CC=C2C(C=CC3=C2N=CC2=CC=CC=C32)=C1</t>
  </si>
  <si>
    <t xml:space="preserve">XPDJLGHACUMTKU-UHFFFAOYSA-N</t>
  </si>
  <si>
    <t xml:space="preserve">268.10505</t>
  </si>
  <si>
    <t xml:space="preserve">C10H13N5O4</t>
  </si>
  <si>
    <t xml:space="preserve">Zidovudine; Adenosine</t>
  </si>
  <si>
    <t xml:space="preserve">52842; 46843</t>
  </si>
  <si>
    <t xml:space="preserve">HMDB0014638; HMDB0000050</t>
  </si>
  <si>
    <t xml:space="preserve">3066; 86</t>
  </si>
  <si>
    <t xml:space="preserve">C07210; C00212</t>
  </si>
  <si>
    <t xml:space="preserve">10110; 16335</t>
  </si>
  <si>
    <t xml:space="preserve">35370; 60961</t>
  </si>
  <si>
    <t xml:space="preserve">30516-87-1; 58-61-7</t>
  </si>
  <si>
    <t xml:space="preserve">CC1=CN([C@H]2C[C@H](N=[N+]=[N-])[C@@H](CO)O2)C(=O)NC1=O; NC1=C2N=CN([C@@H]3O[C@H](CO)[C@@H](O)[C@H]3O)C2=NC=N1</t>
  </si>
  <si>
    <t xml:space="preserve">HBOMLICNUCNMMY-XLPZGREQSA-N; OIRDTQYFTABQOQ-KQYNXXCUSA-N</t>
  </si>
  <si>
    <t xml:space="preserve">Pyrimidine nucleosides; Purine nucleosides</t>
  </si>
  <si>
    <t xml:space="preserve">Pyrimidine 2',3'-dideoxyribonucleosides; Unclassified</t>
  </si>
  <si>
    <t xml:space="preserve">269.11010</t>
  </si>
  <si>
    <t xml:space="preserve">C10H18N2O5</t>
  </si>
  <si>
    <t xml:space="preserve">gamma-Glutamylvaline; Aspartyl-Isoleucine; Aspartyl-Leucine</t>
  </si>
  <si>
    <t xml:space="preserve">51190; 53794; 53795</t>
  </si>
  <si>
    <t xml:space="preserve">HMDB0011172; HMDB0028756; HMDB0028757</t>
  </si>
  <si>
    <t xml:space="preserve">62020; ; </t>
  </si>
  <si>
    <t xml:space="preserve">68848; ; </t>
  </si>
  <si>
    <t xml:space="preserve">7015683; 21845165; 332962</t>
  </si>
  <si>
    <t xml:space="preserve">2746-34-1; ; </t>
  </si>
  <si>
    <t xml:space="preserve">CC(C)[C@H](NC(=O)CC[C@H](N)C(O)=O)C(O)=O; CCC(C)C(NC(=O)C(N)CC(O)=O)C(O)=O; CC(C)CC(NC(=O)C(N)CC(O)=O)C(O)=O</t>
  </si>
  <si>
    <t xml:space="preserve">AQAKHZVPOOGUCK-XPUUQOCRSA-N; BSWHERGFUNMWGS-UHFFFAOYSA-N; ZVDPYSVOZFINEE-UHFFFAOYSA-N</t>
  </si>
  <si>
    <t xml:space="preserve">270.28284</t>
  </si>
  <si>
    <t xml:space="preserve">C17H35NO</t>
  </si>
  <si>
    <t xml:space="preserve">Capsiamide</t>
  </si>
  <si>
    <t xml:space="preserve">64056</t>
  </si>
  <si>
    <t xml:space="preserve">HMDB0040940</t>
  </si>
  <si>
    <t xml:space="preserve">71748</t>
  </si>
  <si>
    <t xml:space="preserve">C17515</t>
  </si>
  <si>
    <t xml:space="preserve">47346</t>
  </si>
  <si>
    <t xml:space="preserve">64317-66-4</t>
  </si>
  <si>
    <t xml:space="preserve">CC(C)CCCCCCCCCCCC\N=C(\C)O</t>
  </si>
  <si>
    <t xml:space="preserve">AMLDBWWQKYLAHJ-UHFFFAOYSA-N</t>
  </si>
  <si>
    <t xml:space="preserve">271.13337</t>
  </si>
  <si>
    <t xml:space="preserve">C17H18O3</t>
  </si>
  <si>
    <t xml:space="preserve">(E)-3,5,4'-Trimethoxystilbene; 4-tert-Butylphenyl salicylate</t>
  </si>
  <si>
    <t xml:space="preserve">201045; 64410</t>
  </si>
  <si>
    <t xml:space="preserve">HMDB0245633; HMDB0041314</t>
  </si>
  <si>
    <t xml:space="preserve">; 95726</t>
  </si>
  <si>
    <t xml:space="preserve">364707; 66597</t>
  </si>
  <si>
    <t xml:space="preserve">; 87-18-3</t>
  </si>
  <si>
    <t xml:space="preserve">COC1=CC=C(C=CC2=CC(OC)=CC(OC)=C2)C=C1; CC(C)(C)C1=CC=C(OC(=O)C2=CC=CC=C2O)C=C1</t>
  </si>
  <si>
    <t xml:space="preserve">GDHNBPHYVRHYCC-UHFFFAOYSA-N; DBOSBRHMHBENLP-UHFFFAOYSA-N</t>
  </si>
  <si>
    <t xml:space="preserve">Stilbenes; Depsides and depsidones</t>
  </si>
  <si>
    <t xml:space="preserve">272.18850</t>
  </si>
  <si>
    <t xml:space="preserve">C14H27NO5</t>
  </si>
  <si>
    <t xml:space="preserve">5-Hydroxyheptanoylcarnitine; 4-Hydroxyheptanoylcarnitine; 3-Hydroxyheptanoylcarnitine</t>
  </si>
  <si>
    <t xml:space="preserve">198207; 198208; 198206</t>
  </si>
  <si>
    <t xml:space="preserve">HMDB0241678; HMDB0241679; HMDB0241677</t>
  </si>
  <si>
    <t xml:space="preserve">; ; 174063</t>
  </si>
  <si>
    <t xml:space="preserve">; ; 131770386</t>
  </si>
  <si>
    <t xml:space="preserve">CCC(O)CCCC(=O)OC(CC([O-])=O)C[N+](C)(C)C; CCCC(O)CCC(=O)OC(CC([O-])=O)C[N+](C)(C)C; CCCCC(O)CC(=O)OC(CC([O-])=O)C[N+](C)(C)C</t>
  </si>
  <si>
    <t xml:space="preserve">JGYMSEVETFVRSO-UHFFFAOYSA-N; ZOSNARZUKAOCMY-UHFFFAOYSA-N; YWSDGPGKVSDFES-UHFFFAOYSA-N</t>
  </si>
  <si>
    <t xml:space="preserve">273.11814</t>
  </si>
  <si>
    <t xml:space="preserve">C10H18N4O6</t>
  </si>
  <si>
    <t xml:space="preserve">Argininosuccinic acid</t>
  </si>
  <si>
    <t xml:space="preserve">46845</t>
  </si>
  <si>
    <t xml:space="preserve">HMDB0000052</t>
  </si>
  <si>
    <t xml:space="preserve">389</t>
  </si>
  <si>
    <t xml:space="preserve">C03406</t>
  </si>
  <si>
    <t xml:space="preserve">15682</t>
  </si>
  <si>
    <t xml:space="preserve">16950</t>
  </si>
  <si>
    <t xml:space="preserve">2387-71-5</t>
  </si>
  <si>
    <t xml:space="preserve">N[C@@H](CCCNC(=N)N[C@@H](CC(O)=O)C(O)=O)C(O)=O</t>
  </si>
  <si>
    <t xml:space="preserve">KDZOASGQNOPSCU-WDSKDSINSA-N</t>
  </si>
  <si>
    <t xml:space="preserve">273.16981</t>
  </si>
  <si>
    <t xml:space="preserve">C14H26O6</t>
  </si>
  <si>
    <t xml:space="preserve">1-Octen-3-yl glucoside</t>
  </si>
  <si>
    <t xml:space="preserve">57222</t>
  </si>
  <si>
    <t xml:space="preserve">HMDB0032959</t>
  </si>
  <si>
    <t xml:space="preserve">88858</t>
  </si>
  <si>
    <t xml:space="preserve">168990</t>
  </si>
  <si>
    <t xml:space="preserve">73817234</t>
  </si>
  <si>
    <t xml:space="preserve">209863-00-3</t>
  </si>
  <si>
    <t xml:space="preserve">CCCCCC(OC1OC(CO)C(O)C(O)C1O)C=C</t>
  </si>
  <si>
    <t xml:space="preserve">MPSRBJBPHXIOFN-UHFFFAOYSA-N</t>
  </si>
  <si>
    <t xml:space="preserve">274.06316</t>
  </si>
  <si>
    <t xml:space="preserve">C15H12ClNO2</t>
  </si>
  <si>
    <t xml:space="preserve">Carprofen</t>
  </si>
  <si>
    <t xml:space="preserve">53103</t>
  </si>
  <si>
    <t xml:space="preserve">HMDB0014959</t>
  </si>
  <si>
    <t xml:space="preserve">44246</t>
  </si>
  <si>
    <t xml:space="preserve">C18364</t>
  </si>
  <si>
    <t xml:space="preserve">364453</t>
  </si>
  <si>
    <t xml:space="preserve">2581</t>
  </si>
  <si>
    <t xml:space="preserve">53716-49-7</t>
  </si>
  <si>
    <t xml:space="preserve">CC(C(O)=O)C1=CC2=C(C=C1)C1=C(N2)C=CC(Cl)=C1</t>
  </si>
  <si>
    <t xml:space="preserve">PUXBGTOOZJQSKH-UHFFFAOYSA-N</t>
  </si>
  <si>
    <t xml:space="preserve">275.11797</t>
  </si>
  <si>
    <t xml:space="preserve">C12H20NO4S</t>
  </si>
  <si>
    <t xml:space="preserve">4-hydroxy-2-nonenal-[L-Cys] conjugate</t>
  </si>
  <si>
    <t xml:space="preserve">256999</t>
  </si>
  <si>
    <t xml:space="preserve">HMDB0304176</t>
  </si>
  <si>
    <t xml:space="preserve">CCCCCC(O)C(CC=O)SCC([N+])C([O-])=O</t>
  </si>
  <si>
    <t xml:space="preserve">XJUXNVLIARNBIH-UHFFFAOYSA-M</t>
  </si>
  <si>
    <t xml:space="preserve">275.14681</t>
  </si>
  <si>
    <t xml:space="preserve">C12H20N4O2</t>
  </si>
  <si>
    <t xml:space="preserve">Hexazinone</t>
  </si>
  <si>
    <t xml:space="preserve">207530</t>
  </si>
  <si>
    <t xml:space="preserve">HMDB0253153</t>
  </si>
  <si>
    <t xml:space="preserve">68694</t>
  </si>
  <si>
    <t xml:space="preserve">C10926</t>
  </si>
  <si>
    <t xml:space="preserve">39965</t>
  </si>
  <si>
    <t xml:space="preserve">51235-04-2</t>
  </si>
  <si>
    <t xml:space="preserve">CN(C)C1=NC(=O)N(C2CCCCC2)C(=O)N1C</t>
  </si>
  <si>
    <t xml:space="preserve">CAWXEEYDBZRFPE-UHFFFAOYSA-N</t>
  </si>
  <si>
    <t xml:space="preserve">275.99944</t>
  </si>
  <si>
    <t xml:space="preserve">C8H10IN3</t>
  </si>
  <si>
    <t xml:space="preserve">Iodobenzylguanidine; Iobenguane</t>
  </si>
  <si>
    <t xml:space="preserve">207848; 207834</t>
  </si>
  <si>
    <t xml:space="preserve">HMDB0253522; HMDB0253507</t>
  </si>
  <si>
    <t xml:space="preserve">; 321013</t>
  </si>
  <si>
    <t xml:space="preserve">19830541; 60860</t>
  </si>
  <si>
    <t xml:space="preserve">NC(=N)N(I)CC1=CC=CC=C1; NC(N)=NCC1=CC(I)=CC=C1</t>
  </si>
  <si>
    <t xml:space="preserve">AJXDZTRQWPEVQU-UHFFFAOYSA-N; PDWUPXJEEYOOTR-UHFFFAOYSA-N</t>
  </si>
  <si>
    <t xml:space="preserve">Unclassified; Halobenzenes</t>
  </si>
  <si>
    <t xml:space="preserve">277.10667</t>
  </si>
  <si>
    <t xml:space="preserve">C15H16O5</t>
  </si>
  <si>
    <t xml:space="preserve">Lactucin; Dihydromethysticin</t>
  </si>
  <si>
    <t xml:space="preserve">59649; 55531</t>
  </si>
  <si>
    <t xml:space="preserve">HMDB0035814; HMDB0030791</t>
  </si>
  <si>
    <t xml:space="preserve">C09489; C09926</t>
  </si>
  <si>
    <t xml:space="preserve">; 1034670</t>
  </si>
  <si>
    <t xml:space="preserve">3756497; 229852</t>
  </si>
  <si>
    <t xml:space="preserve">1891-29-8; 19902-91-1</t>
  </si>
  <si>
    <t xml:space="preserve">CC1=C2C(C3OC(=O)C(=C)C3C(O)C1)C(CO)=CC2=O; COC1=CC(=O)OC(CCC2=CC3=C(OCO3)C=C2)C1</t>
  </si>
  <si>
    <t xml:space="preserve">VJQAFLAZRVKAKM-UHFFFAOYSA-N; RSIWXFIBHXYNFM-UHFFFAOYSA-N</t>
  </si>
  <si>
    <t xml:space="preserve">Lactones; Kavalactones</t>
  </si>
  <si>
    <t xml:space="preserve">Gamma butyrolactones; Unclassified</t>
  </si>
  <si>
    <t xml:space="preserve">277.16790</t>
  </si>
  <si>
    <t xml:space="preserve">C17H22N2</t>
  </si>
  <si>
    <t xml:space="preserve">Phenbenzamine</t>
  </si>
  <si>
    <t xml:space="preserve">196994</t>
  </si>
  <si>
    <t xml:space="preserve">HMDB0240227</t>
  </si>
  <si>
    <t xml:space="preserve">961-71-7</t>
  </si>
  <si>
    <t xml:space="preserve">CN(C)CCN(CC1=CC=CC=C1)C1=CC=CC=C1</t>
  </si>
  <si>
    <t xml:space="preserve">CHOBRHHOYQKCOU-UHFFFAOYSA-N</t>
  </si>
  <si>
    <t xml:space="preserve">Phenylmethylamines</t>
  </si>
  <si>
    <t xml:space="preserve">279.04440</t>
  </si>
  <si>
    <t xml:space="preserve">C12H12N2O5S</t>
  </si>
  <si>
    <t xml:space="preserve">1,4-Benzothiazine-O-quinonimine</t>
  </si>
  <si>
    <t xml:space="preserve">52029</t>
  </si>
  <si>
    <t xml:space="preserve">HMDB0012491</t>
  </si>
  <si>
    <t xml:space="preserve">53481441</t>
  </si>
  <si>
    <t xml:space="preserve">N[C@H](CC1=CC(=O)C2=N[C@H](CSC2=C1)C(O)=O)C(O)=O</t>
  </si>
  <si>
    <t xml:space="preserve">NANJICKTJNNTGA-RNFRBKRXSA-N</t>
  </si>
  <si>
    <t xml:space="preserve">279.16112</t>
  </si>
  <si>
    <t xml:space="preserve">C14H24O4</t>
  </si>
  <si>
    <t xml:space="preserve">5-Nonyltetrahydro-2-oxo-3-furancarboxylic acid</t>
  </si>
  <si>
    <t xml:space="preserve">55681</t>
  </si>
  <si>
    <t xml:space="preserve">HMDB0030993</t>
  </si>
  <si>
    <t xml:space="preserve">87337</t>
  </si>
  <si>
    <t xml:space="preserve">168062</t>
  </si>
  <si>
    <t xml:space="preserve">131751119</t>
  </si>
  <si>
    <t xml:space="preserve">CCCCCCCCCC1CC(C(O)=O)C(=O)O1</t>
  </si>
  <si>
    <t xml:space="preserve">DKQLZKCYTLXNBN-UHFFFAOYSA-N</t>
  </si>
  <si>
    <t xml:space="preserve">280.14472</t>
  </si>
  <si>
    <t xml:space="preserve">C17H19N3O2</t>
  </si>
  <si>
    <t xml:space="preserve">Glycyl-proline-1-naphthylamide</t>
  </si>
  <si>
    <t xml:space="preserve">207265</t>
  </si>
  <si>
    <t xml:space="preserve">HMDB0252835</t>
  </si>
  <si>
    <t xml:space="preserve">53463649</t>
  </si>
  <si>
    <t xml:space="preserve">NCC(=O)NC(=O)C1CCCN1C1=CC=CC2=CC=CC=C12</t>
  </si>
  <si>
    <t xml:space="preserve">ISYRZPSFPJOYCQ-UHFFFAOYSA-N</t>
  </si>
  <si>
    <t xml:space="preserve">281.05259</t>
  </si>
  <si>
    <t xml:space="preserve">C14H11FN2S</t>
  </si>
  <si>
    <t xml:space="preserve">4-(5-Fluoro-1,3-benzothiazol-2-yl)-2-methylaniline</t>
  </si>
  <si>
    <t xml:space="preserve">201109</t>
  </si>
  <si>
    <t xml:space="preserve">HMDB0245710</t>
  </si>
  <si>
    <t xml:space="preserve">CC1=C(N)C=CC(=C1)C1=NC2=C(S1)C=CC(F)=C2</t>
  </si>
  <si>
    <t xml:space="preserve">IFWLHIIUGSEKKE-UHFFFAOYSA-N</t>
  </si>
  <si>
    <t xml:space="preserve">281.10983</t>
  </si>
  <si>
    <t xml:space="preserve">C11H18N2O5</t>
  </si>
  <si>
    <t xml:space="preserve">(2S,2'S)-Pyrosaccharopine; gamma-L-Glutamyl-L-pipecolic acid</t>
  </si>
  <si>
    <t xml:space="preserve">62040; 61981</t>
  </si>
  <si>
    <t xml:space="preserve">HMDB0038676; HMDB0038614</t>
  </si>
  <si>
    <t xml:space="preserve">93331; 93275</t>
  </si>
  <si>
    <t xml:space="preserve">173839; 173838</t>
  </si>
  <si>
    <t xml:space="preserve">131752421; 69247902</t>
  </si>
  <si>
    <t xml:space="preserve">38495-84-0; </t>
  </si>
  <si>
    <t xml:space="preserve">NC(CCCCN1C(CCC1=O)C(O)=O)C(O)=O; NC(CCC(=O)N1CCCCC1C(O)=O)C(O)=O</t>
  </si>
  <si>
    <t xml:space="preserve">KZGLERZNBKMMPP-UHFFFAOYSA-N; MNEBDCWSYIPUDZ-UHFFFAOYSA-N</t>
  </si>
  <si>
    <t xml:space="preserve">282.05098</t>
  </si>
  <si>
    <t xml:space="preserve">C11H14ClNO4</t>
  </si>
  <si>
    <t xml:space="preserve">Cloethocarb</t>
  </si>
  <si>
    <t xml:space="preserve">205132</t>
  </si>
  <si>
    <t xml:space="preserve">HMDB0250338</t>
  </si>
  <si>
    <t xml:space="preserve">72711</t>
  </si>
  <si>
    <t xml:space="preserve">C18951</t>
  </si>
  <si>
    <t xml:space="preserve">40032</t>
  </si>
  <si>
    <t xml:space="preserve">51487-69-5</t>
  </si>
  <si>
    <t xml:space="preserve">CNC(=O)OC1=CC=CC=C1OC(CCl)OC</t>
  </si>
  <si>
    <t xml:space="preserve">PITWUHDDNUVBPT-UHFFFAOYSA-N</t>
  </si>
  <si>
    <t xml:space="preserve">282.14998</t>
  </si>
  <si>
    <t xml:space="preserve">C18H21NO3</t>
  </si>
  <si>
    <t xml:space="preserve">Neopine; Codeine</t>
  </si>
  <si>
    <t xml:space="preserve">55072; 48440</t>
  </si>
  <si>
    <t xml:space="preserve">HMDB0030248; HMDB0004995</t>
  </si>
  <si>
    <t xml:space="preserve">; 498</t>
  </si>
  <si>
    <t xml:space="preserve">C09594; C06174</t>
  </si>
  <si>
    <t xml:space="preserve">; 16714</t>
  </si>
  <si>
    <t xml:space="preserve">101685; 5284371</t>
  </si>
  <si>
    <t xml:space="preserve">467-14-1; 76-57-3</t>
  </si>
  <si>
    <t xml:space="preserve">COC1=C2OC3C(O)CC=C4C5CC(C=C1)=C2C34CCN5C; [H][C@@]12OC3=C(OC)C=CC4=C3[C@@]11CCN(C)[C@]([H])(C4)[C@]1([H])C=C[C@@H]2O</t>
  </si>
  <si>
    <t xml:space="preserve">NNDKZTBFZTWKLA-UHFFFAOYSA-N; OROGSEYTTFOCAN-DNJOTXNNSA-N</t>
  </si>
  <si>
    <t xml:space="preserve">Benzenoids; Alkaloids and derivatives</t>
  </si>
  <si>
    <t xml:space="preserve">Phenanthrenes and derivatives; Morphinans</t>
  </si>
  <si>
    <t xml:space="preserve">282.28189</t>
  </si>
  <si>
    <t xml:space="preserve">C18H37NO2</t>
  </si>
  <si>
    <t xml:space="preserve">Sphingosine</t>
  </si>
  <si>
    <t xml:space="preserve">38921</t>
  </si>
  <si>
    <t xml:space="preserve">HMDB0000252</t>
  </si>
  <si>
    <t xml:space="preserve">LMSP01010001</t>
  </si>
  <si>
    <t xml:space="preserve">C00319</t>
  </si>
  <si>
    <t xml:space="preserve">16393</t>
  </si>
  <si>
    <t xml:space="preserve">5280335</t>
  </si>
  <si>
    <t xml:space="preserve">123-78-4</t>
  </si>
  <si>
    <t xml:space="preserve">OC[C@]([H])(N)[C@]([H])(O)/C=C/CCCCCCCCCCCCC</t>
  </si>
  <si>
    <t xml:space="preserve">WWUZIQQURGPMPG-KRWOKUGFSA-N</t>
  </si>
  <si>
    <t xml:space="preserve">283.13134</t>
  </si>
  <si>
    <t xml:space="preserve">C16H20O3</t>
  </si>
  <si>
    <t xml:space="preserve">10-Hydroxy-3-methoxy-1,3,5,7-cadinatetraen-9-one</t>
  </si>
  <si>
    <t xml:space="preserve">60210</t>
  </si>
  <si>
    <t xml:space="preserve">HMDB0036456</t>
  </si>
  <si>
    <t xml:space="preserve">C09695</t>
  </si>
  <si>
    <t xml:space="preserve">172504</t>
  </si>
  <si>
    <t xml:space="preserve">3504625</t>
  </si>
  <si>
    <t xml:space="preserve">72843-51-7</t>
  </si>
  <si>
    <t xml:space="preserve">COC1=C(C)C=C2C(=CC(=O)C(C)(O)C2=C1)C(C)C</t>
  </si>
  <si>
    <t xml:space="preserve">VMEKKHYIQYOLHA-UHFFFAOYSA-N</t>
  </si>
  <si>
    <t xml:space="preserve">284.13627</t>
  </si>
  <si>
    <t xml:space="preserve">C14H19N3O2</t>
  </si>
  <si>
    <t xml:space="preserve">Hydroxyl frovatriptan</t>
  </si>
  <si>
    <t xml:space="preserve">82968</t>
  </si>
  <si>
    <t xml:space="preserve">HMDB0061150</t>
  </si>
  <si>
    <t xml:space="preserve">131770051</t>
  </si>
  <si>
    <t xml:space="preserve">CNC1CCC2NC3=C(O)C=C(C=C3C2C1)C(N)=O</t>
  </si>
  <si>
    <t xml:space="preserve">WKNUOPLCDMOYFP-UHFFFAOYSA-N</t>
  </si>
  <si>
    <t xml:space="preserve">285.05500</t>
  </si>
  <si>
    <t xml:space="preserve">C8H16O8</t>
  </si>
  <si>
    <t xml:space="preserve">D-glycero-L-galacto-Octulose</t>
  </si>
  <si>
    <t xml:space="preserve">54818</t>
  </si>
  <si>
    <t xml:space="preserve">HMDB0029954</t>
  </si>
  <si>
    <t xml:space="preserve">174239</t>
  </si>
  <si>
    <t xml:space="preserve">18618152</t>
  </si>
  <si>
    <t xml:space="preserve">OCC(O)C1OC(O)(CO)C(O)C(O)C1O</t>
  </si>
  <si>
    <t xml:space="preserve">HYWDXGGHANXDIV-UHFFFAOYSA-N</t>
  </si>
  <si>
    <t xml:space="preserve">285.13525</t>
  </si>
  <si>
    <t xml:space="preserve">C15H18N4O3</t>
  </si>
  <si>
    <t xml:space="preserve">Histidylphenylalanine</t>
  </si>
  <si>
    <t xml:space="preserve">53916</t>
  </si>
  <si>
    <t xml:space="preserve">HMDB0028892</t>
  </si>
  <si>
    <t xml:space="preserve">439333</t>
  </si>
  <si>
    <t xml:space="preserve">141438</t>
  </si>
  <si>
    <t xml:space="preserve">152198</t>
  </si>
  <si>
    <t xml:space="preserve">16874-81-0</t>
  </si>
  <si>
    <t xml:space="preserve">N[C@@H](CC1=CNC=N1)C(=O)N[C@@H](CC1=CC=CC=C1)C(O)=O</t>
  </si>
  <si>
    <t xml:space="preserve">XMAUFHMAAVTODF-STQMWFEESA-N</t>
  </si>
  <si>
    <t xml:space="preserve">285.18553</t>
  </si>
  <si>
    <t xml:space="preserve">C19H26O3</t>
  </si>
  <si>
    <t xml:space="preserve">4-Androsten-4-ol-3,17-dione</t>
  </si>
  <si>
    <t xml:space="preserve">199104</t>
  </si>
  <si>
    <t xml:space="preserve">HMDB0242733</t>
  </si>
  <si>
    <t xml:space="preserve">3408</t>
  </si>
  <si>
    <t xml:space="preserve">CC12CCC3C(CCC4=C(O)C(=O)CCC34C)C1CCC2=O</t>
  </si>
  <si>
    <t xml:space="preserve">OSVMTWJCGUFAOD-UHFFFAOYSA-N</t>
  </si>
  <si>
    <t xml:space="preserve">286.89029</t>
  </si>
  <si>
    <t xml:space="preserve">C6H4Cl2O4S</t>
  </si>
  <si>
    <t xml:space="preserve">3,5-Dichloro-2-hydroxybenzenesulfonic acid</t>
  </si>
  <si>
    <t xml:space="preserve">201422</t>
  </si>
  <si>
    <t xml:space="preserve">HMDB0246049</t>
  </si>
  <si>
    <t xml:space="preserve">462679</t>
  </si>
  <si>
    <t xml:space="preserve">152819</t>
  </si>
  <si>
    <t xml:space="preserve">OC1=C(Cl)C=C(Cl)C=C1S(O)(=O)=O</t>
  </si>
  <si>
    <t xml:space="preserve">LWKJNIMGNUTZOO-UHFFFAOYSA-N</t>
  </si>
  <si>
    <t xml:space="preserve">286.99156</t>
  </si>
  <si>
    <t xml:space="preserve">C7H5ClF6O3</t>
  </si>
  <si>
    <t xml:space="preserve">4-Carbethoxyhexafluorobutyryl chloride</t>
  </si>
  <si>
    <t xml:space="preserve">200277</t>
  </si>
  <si>
    <t xml:space="preserve">HMDB0244812</t>
  </si>
  <si>
    <t xml:space="preserve">444795</t>
  </si>
  <si>
    <t xml:space="preserve">161251</t>
  </si>
  <si>
    <t xml:space="preserve">CCOC(=O)C(F)(F)C(F)(F)C(F)(F)C(Cl)=O</t>
  </si>
  <si>
    <t xml:space="preserve">OLRXGDHRDQKNGW-UHFFFAOYSA-N</t>
  </si>
  <si>
    <t xml:space="preserve">287.16135</t>
  </si>
  <si>
    <t xml:space="preserve">C14H18N6O</t>
  </si>
  <si>
    <t xml:space="preserve">Abacavir</t>
  </si>
  <si>
    <t xml:space="preserve">53286</t>
  </si>
  <si>
    <t xml:space="preserve">HMDB0015182</t>
  </si>
  <si>
    <t xml:space="preserve">64828</t>
  </si>
  <si>
    <t xml:space="preserve">C07624</t>
  </si>
  <si>
    <t xml:space="preserve">421707</t>
  </si>
  <si>
    <t xml:space="preserve">441300</t>
  </si>
  <si>
    <t xml:space="preserve">136470-78-5</t>
  </si>
  <si>
    <t xml:space="preserve">NC1=NC2=C(N=CN2[C@@H]2C[C@H](CO)C=C2)C(NC2CC2)=N1</t>
  </si>
  <si>
    <t xml:space="preserve">MCGSCOLBFJQGHM-SCZZXKLOSA-N</t>
  </si>
  <si>
    <t xml:space="preserve">287.22695</t>
  </si>
  <si>
    <t xml:space="preserve">C16H34O</t>
  </si>
  <si>
    <t xml:space="preserve">1-Hexadecanol</t>
  </si>
  <si>
    <t xml:space="preserve">6041</t>
  </si>
  <si>
    <t xml:space="preserve">HMDB0003424</t>
  </si>
  <si>
    <t xml:space="preserve">6927</t>
  </si>
  <si>
    <t xml:space="preserve">LMFA05000061</t>
  </si>
  <si>
    <t xml:space="preserve">C00823</t>
  </si>
  <si>
    <t xml:space="preserve">16125</t>
  </si>
  <si>
    <t xml:space="preserve">2682</t>
  </si>
  <si>
    <t xml:space="preserve">36653-82-4</t>
  </si>
  <si>
    <t xml:space="preserve">C(CCCCCCCO)CCCCCCCC</t>
  </si>
  <si>
    <t xml:space="preserve">BXWNKGSJHAJOGX-UHFFFAOYSA-N</t>
  </si>
  <si>
    <t xml:space="preserve">288.16126</t>
  </si>
  <si>
    <t xml:space="preserve">C17H23NO4</t>
  </si>
  <si>
    <t xml:space="preserve">Cetraxate</t>
  </si>
  <si>
    <t xml:space="preserve">204718</t>
  </si>
  <si>
    <t xml:space="preserve">HMDB0249836</t>
  </si>
  <si>
    <t xml:space="preserve">65612</t>
  </si>
  <si>
    <t xml:space="preserve">C01564</t>
  </si>
  <si>
    <t xml:space="preserve">94638</t>
  </si>
  <si>
    <t xml:space="preserve">25201854</t>
  </si>
  <si>
    <t xml:space="preserve">34675-84-8</t>
  </si>
  <si>
    <t xml:space="preserve">NCC1CCC(CC1)C(=O)OC1=CC=C(CCC(O)=O)C=C1</t>
  </si>
  <si>
    <t xml:space="preserve">FHRSHSOEWXUORL-UHFFFAOYSA-N</t>
  </si>
  <si>
    <t xml:space="preserve">289.13900</t>
  </si>
  <si>
    <t xml:space="preserve">C16H22N2O2S</t>
  </si>
  <si>
    <t xml:space="preserve">N-(6-Aminohexyl)-1-Naphthalenesulfonamide</t>
  </si>
  <si>
    <t xml:space="preserve">209056</t>
  </si>
  <si>
    <t xml:space="preserve">HMDB0255017</t>
  </si>
  <si>
    <t xml:space="preserve">4314</t>
  </si>
  <si>
    <t xml:space="preserve">NCCCCCCNS(=O)(=O)C1=CC=CC2=CC=CC=C12</t>
  </si>
  <si>
    <t xml:space="preserve">FVJRBJIENDRNBE-UHFFFAOYSA-N</t>
  </si>
  <si>
    <t xml:space="preserve">291.06900</t>
  </si>
  <si>
    <t xml:space="preserve">C9H16O9</t>
  </si>
  <si>
    <t xml:space="preserve">3-Deoxy-D-glycero-D-galacto-2-nonulosonic acid</t>
  </si>
  <si>
    <t xml:space="preserve">47027</t>
  </si>
  <si>
    <t xml:space="preserve">HMDB0000425</t>
  </si>
  <si>
    <t xml:space="preserve">5414</t>
  </si>
  <si>
    <t xml:space="preserve">22833524</t>
  </si>
  <si>
    <t xml:space="preserve">22594-61-2</t>
  </si>
  <si>
    <t xml:space="preserve">OC[C@H](O)[C@@H](O)[C@H](O)[C@H](O)[C@@H](O)CC(=O)C(O)=O</t>
  </si>
  <si>
    <t xml:space="preserve">FQHUAUMYHAJTDH-IMSDGWMTSA-N</t>
  </si>
  <si>
    <t xml:space="preserve">291.15165</t>
  </si>
  <si>
    <t xml:space="preserve">C19H20N2O2</t>
  </si>
  <si>
    <t xml:space="preserve">Phenylbutazone</t>
  </si>
  <si>
    <t xml:space="preserve">53095</t>
  </si>
  <si>
    <t xml:space="preserve">HMDB0014950</t>
  </si>
  <si>
    <t xml:space="preserve">399</t>
  </si>
  <si>
    <t xml:space="preserve">C07440</t>
  </si>
  <si>
    <t xml:space="preserve">48574</t>
  </si>
  <si>
    <t xml:space="preserve">4781</t>
  </si>
  <si>
    <t xml:space="preserve">50-33-9</t>
  </si>
  <si>
    <t xml:space="preserve">CCCCC1C(=O)N(N(C1=O)C1=CC=CC=C1)C1=CC=CC=C1</t>
  </si>
  <si>
    <t xml:space="preserve">VYMDGNCVAMGZFE-UHFFFAOYSA-N</t>
  </si>
  <si>
    <t xml:space="preserve">291.97565</t>
  </si>
  <si>
    <t xml:space="preserve">C5H14NO6P</t>
  </si>
  <si>
    <t xml:space="preserve">sn-glycero-3-Phosphoethanolamine</t>
  </si>
  <si>
    <t xml:space="preserve">81746</t>
  </si>
  <si>
    <t xml:space="preserve">HMDB0059660</t>
  </si>
  <si>
    <t xml:space="preserve">96256</t>
  </si>
  <si>
    <t xml:space="preserve">16929</t>
  </si>
  <si>
    <t xml:space="preserve">5459861</t>
  </si>
  <si>
    <t xml:space="preserve">NCCO[P@@](O)(=O)OC[C@@H](O)CO</t>
  </si>
  <si>
    <t xml:space="preserve">JZNWSCPGTDBMEW-YFKPBYRVSA-N</t>
  </si>
  <si>
    <t xml:space="preserve">293.09181</t>
  </si>
  <si>
    <t xml:space="preserve">C12H15FN2O4</t>
  </si>
  <si>
    <t xml:space="preserve">1,3-Bis(tetrahydro-2-furanyl)-5-fluoro-2,4-pyrimidinedione</t>
  </si>
  <si>
    <t xml:space="preserve">206691</t>
  </si>
  <si>
    <t xml:space="preserve">HMDB0252180</t>
  </si>
  <si>
    <t xml:space="preserve">124956</t>
  </si>
  <si>
    <t xml:space="preserve">FC1=CN(C2CCCO2)C(=O)N(C2CCCO2)C1=O</t>
  </si>
  <si>
    <t xml:space="preserve">FLMBDTNCANYTCP-UHFFFAOYSA-N</t>
  </si>
  <si>
    <t xml:space="preserve">293.17325</t>
  </si>
  <si>
    <t xml:space="preserve">C16H22N4</t>
  </si>
  <si>
    <t xml:space="preserve">5-Hexyl-2-methylpyridine</t>
  </si>
  <si>
    <t xml:space="preserve">255497</t>
  </si>
  <si>
    <t xml:space="preserve">HMDB0302550</t>
  </si>
  <si>
    <t xml:space="preserve">659917</t>
  </si>
  <si>
    <t xml:space="preserve">CCCCNC1=NC(NCC2=CC=CC=C2)=NC(C)=C1</t>
  </si>
  <si>
    <t xml:space="preserve">DPOXNTYFLHVMNX-UHFFFAOYSA-N</t>
  </si>
  <si>
    <t xml:space="preserve">294.17177</t>
  </si>
  <si>
    <t xml:space="preserve">C17H19N5</t>
  </si>
  <si>
    <t xml:space="preserve">Anastrozole</t>
  </si>
  <si>
    <t xml:space="preserve">53429</t>
  </si>
  <si>
    <t xml:space="preserve">HMDB0015348</t>
  </si>
  <si>
    <t xml:space="preserve">555</t>
  </si>
  <si>
    <t xml:space="preserve">C08159</t>
  </si>
  <si>
    <t xml:space="preserve">2704</t>
  </si>
  <si>
    <t xml:space="preserve">2187</t>
  </si>
  <si>
    <t xml:space="preserve">120511-73-1</t>
  </si>
  <si>
    <t xml:space="preserve">CC(C)(C#N)C1=CC(=CC(CN2C=NC=N2)=C1)C(C)(C)C#N</t>
  </si>
  <si>
    <t xml:space="preserve">YBBLVLTVTVSKRW-UHFFFAOYSA-N</t>
  </si>
  <si>
    <t xml:space="preserve">294.19812</t>
  </si>
  <si>
    <t xml:space="preserve">C19H23N3</t>
  </si>
  <si>
    <t xml:space="preserve">Amitraz</t>
  </si>
  <si>
    <t xml:space="preserve">203446</t>
  </si>
  <si>
    <t xml:space="preserve">HMDB0248337</t>
  </si>
  <si>
    <t xml:space="preserve">3928</t>
  </si>
  <si>
    <t xml:space="preserve">C10995</t>
  </si>
  <si>
    <t xml:space="preserve">36324</t>
  </si>
  <si>
    <t xml:space="preserve">33089-61-1</t>
  </si>
  <si>
    <t xml:space="preserve">CN(C=NC1=C(C)C=C(C)C=C1)C=NC1=C(C)C=C(C)C=C1</t>
  </si>
  <si>
    <t xml:space="preserve">QXAITBQSYVNQDR-UHFFFAOYSA-N</t>
  </si>
  <si>
    <t xml:space="preserve">295.07769</t>
  </si>
  <si>
    <t xml:space="preserve">C12H16O7</t>
  </si>
  <si>
    <t xml:space="preserve">Arbutin</t>
  </si>
  <si>
    <t xml:space="preserve">54810</t>
  </si>
  <si>
    <t xml:space="preserve">HMDB0029943</t>
  </si>
  <si>
    <t xml:space="preserve">43989</t>
  </si>
  <si>
    <t xml:space="preserve">C06186</t>
  </si>
  <si>
    <t xml:space="preserve">18305</t>
  </si>
  <si>
    <t xml:space="preserve">440936</t>
  </si>
  <si>
    <t xml:space="preserve">497-76-7</t>
  </si>
  <si>
    <t xml:space="preserve">OC[C@H]1O[C@@H](OC2=CC=C(O)C=C2)[C@H](O)[C@@H](O)[C@@H]1O</t>
  </si>
  <si>
    <t xml:space="preserve">BJRNKVDFDLYUGJ-RMPHRYRLSA-N</t>
  </si>
  <si>
    <t xml:space="preserve">296.06780</t>
  </si>
  <si>
    <t xml:space="preserve">C15H15NO3</t>
  </si>
  <si>
    <t xml:space="preserve">Tolmetin</t>
  </si>
  <si>
    <t xml:space="preserve">52847</t>
  </si>
  <si>
    <t xml:space="preserve">HMDB0014643</t>
  </si>
  <si>
    <t xml:space="preserve">2871</t>
  </si>
  <si>
    <t xml:space="preserve">C07149</t>
  </si>
  <si>
    <t xml:space="preserve">71941</t>
  </si>
  <si>
    <t xml:space="preserve">5509</t>
  </si>
  <si>
    <t xml:space="preserve">26171-23-3</t>
  </si>
  <si>
    <t xml:space="preserve">CN1C(CC(O)=O)=CC=C1C(=O)C1=CC=C(C)C=C1</t>
  </si>
  <si>
    <t xml:space="preserve">UPSPUYADGBWSHF-UHFFFAOYSA-N</t>
  </si>
  <si>
    <t xml:space="preserve">296.18288</t>
  </si>
  <si>
    <t xml:space="preserve">C14H27NO4</t>
  </si>
  <si>
    <t xml:space="preserve">Heptanoylcarnitine</t>
  </si>
  <si>
    <t xml:space="preserve">8350</t>
  </si>
  <si>
    <t xml:space="preserve">HMDB0013238</t>
  </si>
  <si>
    <t xml:space="preserve">LMFA07070068</t>
  </si>
  <si>
    <t xml:space="preserve">74303</t>
  </si>
  <si>
    <t xml:space="preserve">6426896</t>
  </si>
  <si>
    <t xml:space="preserve">C(C[N+](C)(C)C)(OC(=O)CCCCCC)CC(=O)[O-]</t>
  </si>
  <si>
    <t xml:space="preserve">VDPCTFWULDLKHT-UHFFFAOYSA-N</t>
  </si>
  <si>
    <t xml:space="preserve">297.01602</t>
  </si>
  <si>
    <t xml:space="preserve">C14H10O5</t>
  </si>
  <si>
    <t xml:space="preserve">Alternariol; Gentisin; Isogentisin</t>
  </si>
  <si>
    <t xml:space="preserve">55563; 56232; 55592</t>
  </si>
  <si>
    <t xml:space="preserve">HMDB0030831; HMDB0031760; HMDB0030871</t>
  </si>
  <si>
    <t xml:space="preserve">71377; 68108; 68111</t>
  </si>
  <si>
    <t xml:space="preserve">C16838; C10066; C10070</t>
  </si>
  <si>
    <t xml:space="preserve">64983; 5324; 6017</t>
  </si>
  <si>
    <t xml:space="preserve">5359485; 5281636; 5281640</t>
  </si>
  <si>
    <t xml:space="preserve">641-38-3; 437-50-3; 491-64-5</t>
  </si>
  <si>
    <t xml:space="preserve">CC1=CC(O)=CC2=C1C1=C(C(=O)O2)C(O)=CC(O)=C1; COC1=CC(O)=C2C(=O)C3=CC(O)=CC=C3OC2=C1; COC1=CC2=C(OC3=CC(O)=CC(O)=C3C2=O)C=C1</t>
  </si>
  <si>
    <t xml:space="preserve">CEBXXEKPIIDJHL-UHFFFAOYSA-N; XOXYHGOIRWABTC-UHFFFAOYSA-N; FVIYCYAHKMJVJK-UHFFFAOYSA-N</t>
  </si>
  <si>
    <t xml:space="preserve">Phenylpropanoids and polyketides; Organoheterocyclic compounds; Organoheterocyclic compounds</t>
  </si>
  <si>
    <t xml:space="preserve">Coumarins and derivatives; Benzopyrans; Benzopyrans</t>
  </si>
  <si>
    <t xml:space="preserve">Unclassified; 1-benzopyrans; 1-benzopyrans</t>
  </si>
  <si>
    <t xml:space="preserve">297.07240</t>
  </si>
  <si>
    <t xml:space="preserve">C13H16N2O2S2</t>
  </si>
  <si>
    <t xml:space="preserve">N-Methoxyspirobrassinol methyl ether</t>
  </si>
  <si>
    <t xml:space="preserve">64169</t>
  </si>
  <si>
    <t xml:space="preserve">HMDB0041059</t>
  </si>
  <si>
    <t xml:space="preserve">95492</t>
  </si>
  <si>
    <t xml:space="preserve">169036</t>
  </si>
  <si>
    <t xml:space="preserve">10040237</t>
  </si>
  <si>
    <t xml:space="preserve">113866-41-4</t>
  </si>
  <si>
    <t xml:space="preserve">COC1N(OC)C2=CC=CC=C2C11CN=C(SC)S1</t>
  </si>
  <si>
    <t xml:space="preserve">KJSKSCBVIGFOKZ-UHFFFAOYSA-N</t>
  </si>
  <si>
    <t xml:space="preserve">297.14997</t>
  </si>
  <si>
    <t xml:space="preserve">C19H20O3</t>
  </si>
  <si>
    <t xml:space="preserve">Cryptotanshinone</t>
  </si>
  <si>
    <t xml:space="preserve">59110</t>
  </si>
  <si>
    <t xml:space="preserve">HMDB0035220</t>
  </si>
  <si>
    <t xml:space="preserve">90535</t>
  </si>
  <si>
    <t xml:space="preserve">496348</t>
  </si>
  <si>
    <t xml:space="preserve">35825-57-1</t>
  </si>
  <si>
    <t xml:space="preserve">CC1COC2=C1C(=O)C(=O)C1=C2C=CC2=C1CCCC2(C)C</t>
  </si>
  <si>
    <t xml:space="preserve">GVKKJJOMQCNPGB-UHFFFAOYSA-N</t>
  </si>
  <si>
    <t xml:space="preserve">298.12149</t>
  </si>
  <si>
    <t xml:space="preserve">C16H21NO2</t>
  </si>
  <si>
    <t xml:space="preserve">Norchalciporyl propionate; Norbutorphanol</t>
  </si>
  <si>
    <t xml:space="preserve">54716; 64963</t>
  </si>
  <si>
    <t xml:space="preserve">HMDB0029829; HMDB0041954</t>
  </si>
  <si>
    <t xml:space="preserve">; 96191</t>
  </si>
  <si>
    <t xml:space="preserve">131750914; 29230</t>
  </si>
  <si>
    <t xml:space="preserve">112448-75-6; 3792-68-5</t>
  </si>
  <si>
    <t xml:space="preserve">CCC(=O)OCC\C=C\C=C/C1=NC(C)C=CC=C1; [H][C@@]12CC3=C(C=C(O)C=C3)[C@]3(CCCC[C@@]13O)CCN2</t>
  </si>
  <si>
    <t xml:space="preserve">AWLYBJONQDYQAK-QTJNYWJXSA-N; GJOVVPXDEXUSTC-OWCLPIDISA-N</t>
  </si>
  <si>
    <t xml:space="preserve">Azepines; Phenanthrenes and derivatives</t>
  </si>
  <si>
    <t xml:space="preserve">298.15161</t>
  </si>
  <si>
    <t xml:space="preserve">C15H21N3O2</t>
  </si>
  <si>
    <t xml:space="preserve">Physostigmine</t>
  </si>
  <si>
    <t xml:space="preserve">53231</t>
  </si>
  <si>
    <t xml:space="preserve">HMDB0015116</t>
  </si>
  <si>
    <t xml:space="preserve">1934</t>
  </si>
  <si>
    <t xml:space="preserve">C06535</t>
  </si>
  <si>
    <t xml:space="preserve">27953</t>
  </si>
  <si>
    <t xml:space="preserve">5983</t>
  </si>
  <si>
    <t xml:space="preserve">57-47-6</t>
  </si>
  <si>
    <t xml:space="preserve">[H][C@]12N(C)CC[C@@]1(C)C1=C(C=CC(OC(=O)NC)=C1)N2C</t>
  </si>
  <si>
    <t xml:space="preserve">PIJVFDBKTWXHHD-HIFRSBDPSA-N</t>
  </si>
  <si>
    <t xml:space="preserve">Pyrroloindoles</t>
  </si>
  <si>
    <t xml:space="preserve">299.11926</t>
  </si>
  <si>
    <t xml:space="preserve">C17H17FN2O3</t>
  </si>
  <si>
    <t xml:space="preserve">(E)-N-(3-(3-(4-Fluorophenoxy)phenyl)-1-(R,S)-methylprop-2-enyl)-N-hydroxyurea</t>
  </si>
  <si>
    <t xml:space="preserve">204432</t>
  </si>
  <si>
    <t xml:space="preserve">HMDB0249490</t>
  </si>
  <si>
    <t xml:space="preserve">91765</t>
  </si>
  <si>
    <t xml:space="preserve">2491</t>
  </si>
  <si>
    <t xml:space="preserve">CC(C=CC1=CC(OC2=CC=C(F)C=C2)=CC=C1)N(O)C(N)=O</t>
  </si>
  <si>
    <t xml:space="preserve">UAIYNMRLUHHRMF-UHFFFAOYSA-N</t>
  </si>
  <si>
    <t xml:space="preserve">299.15280</t>
  </si>
  <si>
    <t xml:space="preserve">C18H23N2S</t>
  </si>
  <si>
    <t xml:space="preserve">Thiazinamium</t>
  </si>
  <si>
    <t xml:space="preserve">197002</t>
  </si>
  <si>
    <t xml:space="preserve">HMDB0240235</t>
  </si>
  <si>
    <t xml:space="preserve">2338-21-8</t>
  </si>
  <si>
    <t xml:space="preserve">CC(CN1C2=CC=CC=C2SC2=CC=CC=C12)[N+](C)(C)C</t>
  </si>
  <si>
    <t xml:space="preserve">CDXCCYNINPIWGE-UHFFFAOYSA-N</t>
  </si>
  <si>
    <t xml:space="preserve">302.06741</t>
  </si>
  <si>
    <t xml:space="preserve">C13H14ClN3O2</t>
  </si>
  <si>
    <t xml:space="preserve">Imepitoin</t>
  </si>
  <si>
    <t xml:space="preserve">207747</t>
  </si>
  <si>
    <t xml:space="preserve">HMDB0253409</t>
  </si>
  <si>
    <t xml:space="preserve">446039</t>
  </si>
  <si>
    <t xml:space="preserve">3083511</t>
  </si>
  <si>
    <t xml:space="preserve">ClC1=CC=C(C=C1)N1CC(=NC1=O)N1CCOCC1</t>
  </si>
  <si>
    <t xml:space="preserve">IQHYCZKIFIHTAI-UHFFFAOYSA-N</t>
  </si>
  <si>
    <t xml:space="preserve">304.15805</t>
  </si>
  <si>
    <t xml:space="preserve">C14H25NO4S</t>
  </si>
  <si>
    <t xml:space="preserve">1-Oxononan-4-yl (2R)-2-acetamido-3-sulfanylpropanoate</t>
  </si>
  <si>
    <t xml:space="preserve">209337</t>
  </si>
  <si>
    <t xml:space="preserve">HMDB0255339</t>
  </si>
  <si>
    <t xml:space="preserve">CCCCCC(CCC=O)OC(=O)C(CS)NC(C)=O</t>
  </si>
  <si>
    <t xml:space="preserve">JGZHQLNWJPAWJQ-UHFFFAOYSA-N</t>
  </si>
  <si>
    <t xml:space="preserve">305.10979</t>
  </si>
  <si>
    <t xml:space="preserve">C14H22N2OS</t>
  </si>
  <si>
    <t xml:space="preserve">Amg-221</t>
  </si>
  <si>
    <t xml:space="preserve">203401</t>
  </si>
  <si>
    <t xml:space="preserve">HMDB0248291</t>
  </si>
  <si>
    <t xml:space="preserve">67012766</t>
  </si>
  <si>
    <t xml:space="preserve">CC(C)C1(C)SC(NC1=O)=NC1CC2CCC1C2</t>
  </si>
  <si>
    <t xml:space="preserve">YCNCXQNUXCHRRX-UHFFFAOYSA-N</t>
  </si>
  <si>
    <t xml:space="preserve">305.17170</t>
  </si>
  <si>
    <t xml:space="preserve">C14H20N6O2</t>
  </si>
  <si>
    <t xml:space="preserve">Tert-butyl 4-(1H-pyrazolo[3,4-d]pyrimidin-4-yl)piperazine-1-carboxylate</t>
  </si>
  <si>
    <t xml:space="preserve">201078</t>
  </si>
  <si>
    <t xml:space="preserve">HMDB0245674</t>
  </si>
  <si>
    <t xml:space="preserve">CC(C)(C)OC(=O)N1CCN(CC1)C1=NC=NC2=C1C=NN2</t>
  </si>
  <si>
    <t xml:space="preserve">PODFBDRFPZOWFK-UHFFFAOYSA-N</t>
  </si>
  <si>
    <t xml:space="preserve">307.04686</t>
  </si>
  <si>
    <t xml:space="preserve">C10H12N4O4S</t>
  </si>
  <si>
    <t xml:space="preserve">6-Thioinosinic acid; 6-Thioinosine</t>
  </si>
  <si>
    <t xml:space="preserve">82651; 209732</t>
  </si>
  <si>
    <t xml:space="preserve">HMDB0060791; HMDB0255798</t>
  </si>
  <si>
    <t xml:space="preserve">313872; </t>
  </si>
  <si>
    <t xml:space="preserve">676166; 2861016</t>
  </si>
  <si>
    <t xml:space="preserve">OC[C@H]1O[C@H]([C@H](O)[C@@H]1O)N1C=NC2=C1N=CN=C2S; OCC1OC(C(O)C1O)N1C=NC2=C1NC=NC2=S</t>
  </si>
  <si>
    <t xml:space="preserve">NKGPJODWTZCHGF-KQYNXXCUSA-N; NKGPJODWTZCHGF-UHFFFAOYSA-N</t>
  </si>
  <si>
    <t xml:space="preserve">307.18905</t>
  </si>
  <si>
    <t xml:space="preserve">C18H26O4</t>
  </si>
  <si>
    <t xml:space="preserve">5'-Carboxy-gamma-chromanol</t>
  </si>
  <si>
    <t xml:space="preserve">52079</t>
  </si>
  <si>
    <t xml:space="preserve">HMDB0012799</t>
  </si>
  <si>
    <t xml:space="preserve">134159052</t>
  </si>
  <si>
    <t xml:space="preserve">1221262-11-8</t>
  </si>
  <si>
    <t xml:space="preserve">C[C@@H](CCC[C@]1(C)CCC2=CC(O)=C(C)C(C)=C2O1)C(O)=O</t>
  </si>
  <si>
    <t xml:space="preserve">CNGKBUHOCIWLHJ-BBATYDOGSA-N</t>
  </si>
  <si>
    <t xml:space="preserve">308.04588</t>
  </si>
  <si>
    <t xml:space="preserve">C14H8FN3O3</t>
  </si>
  <si>
    <t xml:space="preserve">5-(4-Fluorophenyl)-3-(3-nitrophenyl)-1,2,4-oxadiazole</t>
  </si>
  <si>
    <t xml:space="preserve">202045</t>
  </si>
  <si>
    <t xml:space="preserve">HMDB0246720</t>
  </si>
  <si>
    <t xml:space="preserve">699591</t>
  </si>
  <si>
    <t xml:space="preserve">[O-][N+](=O)C1=CC=CC(=C1)C1=NOC(=N1)C1=CC=C(F)C=C1</t>
  </si>
  <si>
    <t xml:space="preserve">PHSKMUVSVYQIRN-UHFFFAOYSA-N</t>
  </si>
  <si>
    <t xml:space="preserve">308.09522</t>
  </si>
  <si>
    <t xml:space="preserve">C13H19NO4S</t>
  </si>
  <si>
    <t xml:space="preserve">Probenecid</t>
  </si>
  <si>
    <t xml:space="preserve">53271</t>
  </si>
  <si>
    <t xml:space="preserve">HMDB0015166</t>
  </si>
  <si>
    <t xml:space="preserve">2087</t>
  </si>
  <si>
    <t xml:space="preserve">C07372</t>
  </si>
  <si>
    <t xml:space="preserve">8426</t>
  </si>
  <si>
    <t xml:space="preserve">4911</t>
  </si>
  <si>
    <t xml:space="preserve">57-66-9</t>
  </si>
  <si>
    <t xml:space="preserve">CCCN(CCC)S(=O)(=O)C1=CC=C(C=C1)C(O)=O</t>
  </si>
  <si>
    <t xml:space="preserve">DBABZHXKTCFAPX-UHFFFAOYSA-N</t>
  </si>
  <si>
    <t xml:space="preserve">308.19530</t>
  </si>
  <si>
    <t xml:space="preserve">C16H27N3O4</t>
  </si>
  <si>
    <t xml:space="preserve">L-Proline, 1-(1-L-leucyl-L-prolyl)-; Isoleucyl-prolyl-proline</t>
  </si>
  <si>
    <t xml:space="preserve">207419; 207418</t>
  </si>
  <si>
    <t xml:space="preserve">HMDB0253022; HMDB0253021</t>
  </si>
  <si>
    <t xml:space="preserve">; 21566</t>
  </si>
  <si>
    <t xml:space="preserve">18222233; 20155153</t>
  </si>
  <si>
    <t xml:space="preserve">CC(C)CC(N)C(=O)N1CCCC1C(=O)N1CCCC1C(O)=O; CCC(C)C(N)C(=O)N1CCCC1C(=O)N1CCCC1C(O)=O</t>
  </si>
  <si>
    <t xml:space="preserve">DPURXCQCHSQPAN-UHFFFAOYSA-N; FQYQMFCIJNWDQZ-UHFFFAOYSA-N</t>
  </si>
  <si>
    <t xml:space="preserve">309.04978</t>
  </si>
  <si>
    <t xml:space="preserve">C9H13N2O8P</t>
  </si>
  <si>
    <t xml:space="preserve">dUMP</t>
  </si>
  <si>
    <t xml:space="preserve">47566</t>
  </si>
  <si>
    <t xml:space="preserve">HMDB0001409</t>
  </si>
  <si>
    <t xml:space="preserve">6225</t>
  </si>
  <si>
    <t xml:space="preserve">C00365</t>
  </si>
  <si>
    <t xml:space="preserve">17622</t>
  </si>
  <si>
    <t xml:space="preserve">65063</t>
  </si>
  <si>
    <t xml:space="preserve">964-26-1</t>
  </si>
  <si>
    <t xml:space="preserve">O[C@H]1C[C@@H](O[C@@H]1COP(O)(O)=O)N1C=CC(=O)NC1=O</t>
  </si>
  <si>
    <t xml:space="preserve">JSRLJPSBLDHEIO-SHYZEUOFSA-N</t>
  </si>
  <si>
    <t xml:space="preserve">310.13824</t>
  </si>
  <si>
    <t xml:space="preserve">C14H19N3O5</t>
  </si>
  <si>
    <t xml:space="preserve">Glutaminyltyrosine; Tyrosyl-Glutamine; Tyrosyl-Gamma-glutamate</t>
  </si>
  <si>
    <t xml:space="preserve">53845; 54114; 54130</t>
  </si>
  <si>
    <t xml:space="preserve">HMDB0028809; HMDB0029103; HMDB0029119</t>
  </si>
  <si>
    <t xml:space="preserve">23670; ; 86011</t>
  </si>
  <si>
    <t xml:space="preserve">141432; ; 174962</t>
  </si>
  <si>
    <t xml:space="preserve">9972600; 19421321; 131750790</t>
  </si>
  <si>
    <t xml:space="preserve">457662-02-1; ; </t>
  </si>
  <si>
    <t xml:space="preserve">N[C@@H](CCC(N)=O)C(=O)N[C@@H](CC1=CC=C(O)C=C1)C(O)=O; NC(CC1=CC=C(O)C=C1)C(=O)NC(CCC(N)=O)C(O)=O; NC(CCC(=O)NC(=O)C(N)CC1=CC=C(O)C=C1)C(O)=O</t>
  </si>
  <si>
    <t xml:space="preserve">KGNSGRRALVIRGR-QWRGUYRKSA-N; UBAQSAUDKMIEQZ-UHFFFAOYSA-N; NHXCEHCKISFORA-UHFFFAOYSA-N</t>
  </si>
  <si>
    <t xml:space="preserve">311.05945</t>
  </si>
  <si>
    <t xml:space="preserve">C14H14O6S</t>
  </si>
  <si>
    <t xml:space="preserve">Dihydroresveratrol 4'-sulfate; Dihydroresveratrol 3-sulfate</t>
  </si>
  <si>
    <t xml:space="preserve">197158; 197156</t>
  </si>
  <si>
    <t xml:space="preserve">HMDB0240502; HMDB0240500</t>
  </si>
  <si>
    <t xml:space="preserve">; 84038</t>
  </si>
  <si>
    <t xml:space="preserve">122185058; </t>
  </si>
  <si>
    <t xml:space="preserve">OC1=CC(CCC2=CC=C(OS(O)(=O)=O)C=C2)=CC(O)=C1; OC1=CC=C(CCC2=CC(O)=CC(OS(O)(=O)=O)=C2)C=C1</t>
  </si>
  <si>
    <t xml:space="preserve">VPKVLRCNQRSXLW-UHFFFAOYSA-N; KAVKAZLSONPCRU-UHFFFAOYSA-N</t>
  </si>
  <si>
    <t xml:space="preserve">Stilbenes; Stilbenes</t>
  </si>
  <si>
    <t xml:space="preserve">313.21322</t>
  </si>
  <si>
    <t xml:space="preserve">C16H30N2O5</t>
  </si>
  <si>
    <t xml:space="preserve">(8S)-8-Amino-7-oxononanoylcarnitine</t>
  </si>
  <si>
    <t xml:space="preserve">198388</t>
  </si>
  <si>
    <t xml:space="preserve">HMDB0241866</t>
  </si>
  <si>
    <t xml:space="preserve">CC(N)C(=O)CCCCCC(=O)OC(CC([O-])=O)C[N+](C)(C)C</t>
  </si>
  <si>
    <t xml:space="preserve">IFOHXRVAXASLQG-UHFFFAOYSA-N</t>
  </si>
  <si>
    <t xml:space="preserve">313.27381</t>
  </si>
  <si>
    <t xml:space="preserve">C19H38O4</t>
  </si>
  <si>
    <t xml:space="preserve">MG(0:0); MG(16:0)</t>
  </si>
  <si>
    <t xml:space="preserve">93668; 10442</t>
  </si>
  <si>
    <t xml:space="preserve">HMDB0072844; HMDB0011533</t>
  </si>
  <si>
    <t xml:space="preserve">; 62317</t>
  </si>
  <si>
    <t xml:space="preserve">; LMGL01010025</t>
  </si>
  <si>
    <t xml:space="preserve">; 75455</t>
  </si>
  <si>
    <t xml:space="preserve">51416799; 123409</t>
  </si>
  <si>
    <t xml:space="preserve">[H][C@@](O)(CO)COC(=O)CCCCCCCCCCCCC(C)C; OC[C@]([H])(OC(CCCCCCCCCCCCCCC)=O)CO</t>
  </si>
  <si>
    <t xml:space="preserve">UJXZLNLZBUWQKD-GOSISDBHSA-N; BBNYCLAREVXOSG-UHFFFAOYSA-N</t>
  </si>
  <si>
    <t xml:space="preserve">Monoradylglycerols; Monoradylglycerols</t>
  </si>
  <si>
    <t xml:space="preserve">315.15575</t>
  </si>
  <si>
    <t xml:space="preserve">C14H24N2O7</t>
  </si>
  <si>
    <t xml:space="preserve">Spectinomycin</t>
  </si>
  <si>
    <t xml:space="preserve">53180</t>
  </si>
  <si>
    <t xml:space="preserve">HMDB0015055</t>
  </si>
  <si>
    <t xml:space="preserve">2476</t>
  </si>
  <si>
    <t xml:space="preserve">C02078</t>
  </si>
  <si>
    <t xml:space="preserve">9215</t>
  </si>
  <si>
    <t xml:space="preserve">15541</t>
  </si>
  <si>
    <t xml:space="preserve">1695-77-8</t>
  </si>
  <si>
    <t xml:space="preserve">[H][C@@]12O[C@H](C)CC(=O)[C@]1(O)O[C@]1([H])[C@@H](NC)[C@@H](O)[C@@H](NC)[C@H](O)[C@@]1([H])O2</t>
  </si>
  <si>
    <t xml:space="preserve">UNFWWIHTNXNPBV-WXKVUWSESA-N</t>
  </si>
  <si>
    <t xml:space="preserve">316.99643</t>
  </si>
  <si>
    <t xml:space="preserve">C11H12O8P2</t>
  </si>
  <si>
    <t xml:space="preserve">2-Methyl-1,4-naphthalenediol bis(dihydrogen phosphate)</t>
  </si>
  <si>
    <t xml:space="preserve">56996</t>
  </si>
  <si>
    <t xml:space="preserve">HMDB0032721</t>
  </si>
  <si>
    <t xml:space="preserve">88651</t>
  </si>
  <si>
    <t xml:space="preserve">8556</t>
  </si>
  <si>
    <t xml:space="preserve">84-98-0</t>
  </si>
  <si>
    <t xml:space="preserve">CC1=C(OP(O)(O)=O)C2=CC=CC=C2C(OP(O)(O)=O)=C1</t>
  </si>
  <si>
    <t xml:space="preserve">JTNHOVZOOVVGHI-UHFFFAOYSA-N</t>
  </si>
  <si>
    <t xml:space="preserve">317.11854</t>
  </si>
  <si>
    <t xml:space="preserve">C21H18O4</t>
  </si>
  <si>
    <t xml:space="preserve">Psora-4</t>
  </si>
  <si>
    <t xml:space="preserve">210687</t>
  </si>
  <si>
    <t xml:space="preserve">HMDB0256900</t>
  </si>
  <si>
    <t xml:space="preserve">O=C1OC2=CC3=C(C=CO3)C(OCCCCC3=CC=CC=C3)=C2C=C1</t>
  </si>
  <si>
    <t xml:space="preserve">JJAWGNIQEOFURP-UHFFFAOYSA-N</t>
  </si>
  <si>
    <t xml:space="preserve">317.18876</t>
  </si>
  <si>
    <t xml:space="preserve">C18H30O2</t>
  </si>
  <si>
    <t xml:space="preserve">FA(18:3)</t>
  </si>
  <si>
    <t xml:space="preserve">657</t>
  </si>
  <si>
    <t xml:space="preserve">HMDB0001388</t>
  </si>
  <si>
    <t xml:space="preserve">6208</t>
  </si>
  <si>
    <t xml:space="preserve">LMFA01030152</t>
  </si>
  <si>
    <t xml:space="preserve">C06427</t>
  </si>
  <si>
    <t xml:space="preserve">27432</t>
  </si>
  <si>
    <t xml:space="preserve">5280934</t>
  </si>
  <si>
    <t xml:space="preserve">463-40-1</t>
  </si>
  <si>
    <t xml:space="preserve">C(CCCCCCC(=O)O)/C=C\C/C=C\C/C=C\CC</t>
  </si>
  <si>
    <t xml:space="preserve">DTOSIQBPPRVQHS-PDBXOOCHSA-N</t>
  </si>
  <si>
    <t xml:space="preserve">319.11504</t>
  </si>
  <si>
    <t xml:space="preserve">C15H20O6</t>
  </si>
  <si>
    <t xml:space="preserve">Deoxynivalenol</t>
  </si>
  <si>
    <t xml:space="preserve">59946</t>
  </si>
  <si>
    <t xml:space="preserve">HMDB0036156</t>
  </si>
  <si>
    <t xml:space="preserve">C09747</t>
  </si>
  <si>
    <t xml:space="preserve">430147</t>
  </si>
  <si>
    <t xml:space="preserve">51481-10-8</t>
  </si>
  <si>
    <t xml:space="preserve">CC1=CC2OC3C(O)CC(C)(C33CO3)C2(CO)C(O)C1=O</t>
  </si>
  <si>
    <t xml:space="preserve">LINOMUASTDIRTM-UHFFFAOYSA-N</t>
  </si>
  <si>
    <t xml:space="preserve">320.12158</t>
  </si>
  <si>
    <t xml:space="preserve">C15H17N3O5</t>
  </si>
  <si>
    <t xml:space="preserve">Aspartyl-Tryptophan; Tryptophyl-Aspartate</t>
  </si>
  <si>
    <t xml:space="preserve">53801; 54090</t>
  </si>
  <si>
    <t xml:space="preserve">HMDB0028764; HMDB0029079</t>
  </si>
  <si>
    <t xml:space="preserve">9948926; 14717801</t>
  </si>
  <si>
    <t xml:space="preserve">NC(CC(O)=O)C(=O)NC(CC1=CNC2=CC=CC=C12)C(O)=O; NC(CC1=CNC2=C1C=CC=C2)C(=O)NC(CC(O)=O)C(O)=O</t>
  </si>
  <si>
    <t xml:space="preserve">ZARXTZFGQZBYFO-UHFFFAOYSA-N; PEEAINPHPNDNGE-UHFFFAOYSA-N</t>
  </si>
  <si>
    <t xml:space="preserve">320.19573</t>
  </si>
  <si>
    <t xml:space="preserve">C17H31NO2</t>
  </si>
  <si>
    <t xml:space="preserve">Methyl 15-cyanopentadecanoate</t>
  </si>
  <si>
    <t xml:space="preserve">57062</t>
  </si>
  <si>
    <t xml:space="preserve">HMDB0032791</t>
  </si>
  <si>
    <t xml:space="preserve">88714</t>
  </si>
  <si>
    <t xml:space="preserve">85756565</t>
  </si>
  <si>
    <t xml:space="preserve">198898-36-1</t>
  </si>
  <si>
    <t xml:space="preserve">COC(=O)CCCCCCCCCCCCCCC#N</t>
  </si>
  <si>
    <t xml:space="preserve">NWDLYWNGKGFCQE-UHFFFAOYSA-N</t>
  </si>
  <si>
    <t xml:space="preserve">321.13313</t>
  </si>
  <si>
    <t xml:space="preserve">C17H20O6</t>
  </si>
  <si>
    <t xml:space="preserve">Helipyrone</t>
  </si>
  <si>
    <t xml:space="preserve">55492</t>
  </si>
  <si>
    <t xml:space="preserve">HMDB0030742</t>
  </si>
  <si>
    <t xml:space="preserve">87168</t>
  </si>
  <si>
    <t xml:space="preserve">475114</t>
  </si>
  <si>
    <t xml:space="preserve">54709865</t>
  </si>
  <si>
    <t xml:space="preserve">29902-01-0</t>
  </si>
  <si>
    <t xml:space="preserve">CCC1=C(C)C(O)=C(CC2=C(O)C(C)=C(CC)OC2=O)C(=O)O1</t>
  </si>
  <si>
    <t xml:space="preserve">BYRZLWJKTOLLBX-UHFFFAOYSA-N</t>
  </si>
  <si>
    <t xml:space="preserve">321.22061</t>
  </si>
  <si>
    <t xml:space="preserve">C23H30O2</t>
  </si>
  <si>
    <t xml:space="preserve">Santalyl phenylacetate; alpha-Santalyl phenylacetate</t>
  </si>
  <si>
    <t xml:space="preserve">56824; 60831</t>
  </si>
  <si>
    <t xml:space="preserve">HMDB0032502; HMDB0037210</t>
  </si>
  <si>
    <t xml:space="preserve">18401; 141531</t>
  </si>
  <si>
    <t xml:space="preserve">131751268; 131752163</t>
  </si>
  <si>
    <t xml:space="preserve">1323-75-7; </t>
  </si>
  <si>
    <t xml:space="preserve">C\C(COC(=O)CC1=CC=CC=C1)=C\CCC1(C)C2CCC(C2)C1=C; C\C(COC(=O)CC1=CC=CC=C1)=C\CCC1(C)C2CC3C(C2)C13C</t>
  </si>
  <si>
    <t xml:space="preserve">FIZFZQIBGCHOJY-IUXPMGMMSA-N; ISBNMFLPVWHCIH-PXNMLYILSA-N</t>
  </si>
  <si>
    <t xml:space="preserve">Sesquiterpenoids; Sesquiterpenoids</t>
  </si>
  <si>
    <t xml:space="preserve">322.13495</t>
  </si>
  <si>
    <t xml:space="preserve">C13H23NO6S</t>
  </si>
  <si>
    <t xml:space="preserve">(2R,3R,4E)-2,3-Dihydroxy-5-(methylsulfanyl)pent-4-enoylcarnitine</t>
  </si>
  <si>
    <t xml:space="preserve">198387</t>
  </si>
  <si>
    <t xml:space="preserve">HMDB0241865</t>
  </si>
  <si>
    <t xml:space="preserve">CSC=CC(O)C(O)C(=O)OC(CC([O-])=O)C[N+](C)(C)C</t>
  </si>
  <si>
    <t xml:space="preserve">OUASMDLFFOSFCF-UHFFFAOYSA-N</t>
  </si>
  <si>
    <t xml:space="preserve">323.04207</t>
  </si>
  <si>
    <t xml:space="preserve">C10H12N4O5S</t>
  </si>
  <si>
    <t xml:space="preserve">Tazobactam</t>
  </si>
  <si>
    <t xml:space="preserve">53589</t>
  </si>
  <si>
    <t xml:space="preserve">HMDB0015544</t>
  </si>
  <si>
    <t xml:space="preserve">581</t>
  </si>
  <si>
    <t xml:space="preserve">C07771</t>
  </si>
  <si>
    <t xml:space="preserve">9421</t>
  </si>
  <si>
    <t xml:space="preserve">123630</t>
  </si>
  <si>
    <t xml:space="preserve">89786-04-9</t>
  </si>
  <si>
    <t xml:space="preserve">[H][C@@]12CC(=O)N1[C@@H](C(O)=O)[C@](C)(CN1C=CN=N1)S2(=O)=O</t>
  </si>
  <si>
    <t xml:space="preserve">LPQZKKCYTLCDGQ-WEDXCCLWSA-N</t>
  </si>
  <si>
    <t xml:space="preserve">323.12783</t>
  </si>
  <si>
    <t xml:space="preserve">C20H18O4</t>
  </si>
  <si>
    <t xml:space="preserve">Glabrene</t>
  </si>
  <si>
    <t xml:space="preserve">54468</t>
  </si>
  <si>
    <t xml:space="preserve">HMDB0029530</t>
  </si>
  <si>
    <t xml:space="preserve">48304</t>
  </si>
  <si>
    <t xml:space="preserve">603420</t>
  </si>
  <si>
    <t xml:space="preserve">480774</t>
  </si>
  <si>
    <t xml:space="preserve">60008-03-9</t>
  </si>
  <si>
    <t xml:space="preserve">CC1(C)OC2=C(C=CC(O)=C2C=C1)C1=CC2=CC=C(O)C=C2OC1</t>
  </si>
  <si>
    <t xml:space="preserve">NGGYSPUAKQMTNP-UHFFFAOYSA-N</t>
  </si>
  <si>
    <t xml:space="preserve">Pyranoisoflavonoids</t>
  </si>
  <si>
    <t xml:space="preserve">323.18742</t>
  </si>
  <si>
    <t xml:space="preserve">C19H24N4O2</t>
  </si>
  <si>
    <t xml:space="preserve">Pentamidine</t>
  </si>
  <si>
    <t xml:space="preserve">53034</t>
  </si>
  <si>
    <t xml:space="preserve">HMDB0014876</t>
  </si>
  <si>
    <t xml:space="preserve">1750</t>
  </si>
  <si>
    <t xml:space="preserve">C07420</t>
  </si>
  <si>
    <t xml:space="preserve">45081</t>
  </si>
  <si>
    <t xml:space="preserve">4735</t>
  </si>
  <si>
    <t xml:space="preserve">100-33-4</t>
  </si>
  <si>
    <t xml:space="preserve">NC(=N)C1=CC=C(OCCCCCOC2=CC=C(C=C2)C(N)=N)C=C1</t>
  </si>
  <si>
    <t xml:space="preserve">XDRYMKDFEDOLFX-UHFFFAOYSA-N</t>
  </si>
  <si>
    <t xml:space="preserve">324.19312</t>
  </si>
  <si>
    <t xml:space="preserve">C19H27NO2</t>
  </si>
  <si>
    <t xml:space="preserve">(1R,9R,13R)-1,13-Dimethyl-10-[[(2R)-oxolan-2-yl]methyl]-10-azatricyclo[7.3.1.02,7]trideca-2(7),3,5-trien-4-ol</t>
  </si>
  <si>
    <t xml:space="preserve">198799</t>
  </si>
  <si>
    <t xml:space="preserve">HMDB0242342</t>
  </si>
  <si>
    <t xml:space="preserve">5256956</t>
  </si>
  <si>
    <t xml:space="preserve">CC1C2CC3=C(C=C(O)C=C3)C1(C)CCN2CC1CCCO1</t>
  </si>
  <si>
    <t xml:space="preserve">NLKLXMMOJZHSCB-UHFFFAOYSA-N</t>
  </si>
  <si>
    <t xml:space="preserve">6,7-benzomorphans</t>
  </si>
  <si>
    <t xml:space="preserve">2,6-dimethyl-3-benzazocines</t>
  </si>
  <si>
    <t xml:space="preserve">325.10610</t>
  </si>
  <si>
    <t xml:space="preserve">C19H16O5</t>
  </si>
  <si>
    <t xml:space="preserve">S-6-Hydroxywarfarin; S-4'-Hydroxywarfarin; R-4'-Hydroxywarfarin</t>
  </si>
  <si>
    <t xml:space="preserve">52493; 52494; 52495</t>
  </si>
  <si>
    <t xml:space="preserve">HMDB0013880; HMDB0013881; HMDB0013882</t>
  </si>
  <si>
    <t xml:space="preserve">13427218; 6935999; 6936000</t>
  </si>
  <si>
    <t xml:space="preserve">[H][C@](CC(C)=O)(C1=CC=CC=C1)C1=C(O)OC2=CC=C(O)C=C2C1=O; [H][C@](CC(C)=O)(C1=CC=C(O)C=C1)C1=C(O)OC2=CC=CC=C2C1=O; [H][C@@](CC(C)=O)(C1=CC=C(O)C=C1)C1=C(O)OC2=CC=CC=C2C1=O</t>
  </si>
  <si>
    <t xml:space="preserve">JFCOGWFGPAUYNK-AWEZNQCLSA-N; UNTPHJKCRGFOFJ-HNNXBMFYSA-N; UNTPHJKCRGFOFJ-OAHLLOKOSA-N</t>
  </si>
  <si>
    <t xml:space="preserve">Homoisoflavonoids; Homoisoflavonoids; Homoisoflavonoids</t>
  </si>
  <si>
    <t xml:space="preserve">Homoisoflavones; Homoisoflavones; Homoisoflavones</t>
  </si>
  <si>
    <t xml:space="preserve">325.17983</t>
  </si>
  <si>
    <t xml:space="preserve">C21H24O3</t>
  </si>
  <si>
    <t xml:space="preserve">2,3-Epoxymenaquinone</t>
  </si>
  <si>
    <t xml:space="preserve">82269</t>
  </si>
  <si>
    <t xml:space="preserve">HMDB0060359</t>
  </si>
  <si>
    <t xml:space="preserve">C20265</t>
  </si>
  <si>
    <t xml:space="preserve">71448979</t>
  </si>
  <si>
    <t xml:space="preserve">CC(C)=CCC\C(C)=C\CC12OC1(C)C(=O)C1=CC=CC=C1C2=O</t>
  </si>
  <si>
    <t xml:space="preserve">ZEACJJRPAPKYKW-NTCAYCPXSA-N</t>
  </si>
  <si>
    <t xml:space="preserve">326.11021</t>
  </si>
  <si>
    <t xml:space="preserve">C15H17N3O4</t>
  </si>
  <si>
    <t xml:space="preserve">Indoleacetyl glutamine</t>
  </si>
  <si>
    <t xml:space="preserve">52225</t>
  </si>
  <si>
    <t xml:space="preserve">HMDB0013240</t>
  </si>
  <si>
    <t xml:space="preserve">70811</t>
  </si>
  <si>
    <t xml:space="preserve">25200879</t>
  </si>
  <si>
    <t xml:space="preserve">6899-04-3</t>
  </si>
  <si>
    <t xml:space="preserve">NC(=O)CCC(NC(=O)CC1=CNC2=CC=CC=C12)C(O)=O</t>
  </si>
  <si>
    <t xml:space="preserve">DVJIJAYHBZALOJ-UHFFFAOYSA-N</t>
  </si>
  <si>
    <t xml:space="preserve">326.18489</t>
  </si>
  <si>
    <t xml:space="preserve">C19H23N3O2</t>
  </si>
  <si>
    <t xml:space="preserve">Ergonovine</t>
  </si>
  <si>
    <t xml:space="preserve">53458</t>
  </si>
  <si>
    <t xml:space="preserve">HMDB0015383</t>
  </si>
  <si>
    <t xml:space="preserve">2563</t>
  </si>
  <si>
    <t xml:space="preserve">C07543</t>
  </si>
  <si>
    <t xml:space="preserve">4822</t>
  </si>
  <si>
    <t xml:space="preserve">443884</t>
  </si>
  <si>
    <t xml:space="preserve">60-79-7</t>
  </si>
  <si>
    <t xml:space="preserve">[H][C@@]12CC3=CNC4=CC=CC(=C34)C1=C[C@H](CN2C)C(=O)N[C@@H](C)CO</t>
  </si>
  <si>
    <t xml:space="preserve">WVVSZNPYNCNODU-XTQGRXLLSA-N</t>
  </si>
  <si>
    <t xml:space="preserve">327.00957</t>
  </si>
  <si>
    <t xml:space="preserve">C15H10ClFN2O</t>
  </si>
  <si>
    <t xml:space="preserve">N-Desalkyl flurazepam</t>
  </si>
  <si>
    <t xml:space="preserve">82978</t>
  </si>
  <si>
    <t xml:space="preserve">HMDB0061161</t>
  </si>
  <si>
    <t xml:space="preserve">4540</t>
  </si>
  <si>
    <t xml:space="preserve">FC1=CC=CC=C1C1=NCC(=O)NC2=C1C=C(Cl)C=C2</t>
  </si>
  <si>
    <t xml:space="preserve">UVCOILFBWYKHHB-UHFFFAOYSA-N</t>
  </si>
  <si>
    <t xml:space="preserve">327.09402</t>
  </si>
  <si>
    <t xml:space="preserve">C11H18O11</t>
  </si>
  <si>
    <t xml:space="preserve">Glucose lactate acetate; 3-O-alpha-D-Glucopyranuronosyl-D-xylose; Aldobiouronic acid D3</t>
  </si>
  <si>
    <t xml:space="preserve">207215; 62980; 63874</t>
  </si>
  <si>
    <t xml:space="preserve">HMDB0252779; HMDB0039723; HMDB0040737</t>
  </si>
  <si>
    <t xml:space="preserve">; 167922; 168914</t>
  </si>
  <si>
    <t xml:space="preserve">; 131752710; 131752919</t>
  </si>
  <si>
    <t xml:space="preserve">; 85269-45-0; 17676-51-6</t>
  </si>
  <si>
    <t xml:space="preserve">CC(O)C(=O)OOC(=O)CC1(O)OC(CO)C(O)C(O)C1O; OCC1OC(O)C(O)C1OC1OC(C(O)C(O)C1O)C(O)=O; OC1COC(O)C(OC2OC(C(O)C(O)C2O)C(O)=O)C1O</t>
  </si>
  <si>
    <t xml:space="preserve">JUXWBTIKZQUSST-UHFFFAOYSA-N; CWFMVLQLLUZBPE-UHFFFAOYSA-N; KPPOIQPQTVLBFD-UHFFFAOYSA-N</t>
  </si>
  <si>
    <t xml:space="preserve">327.12742</t>
  </si>
  <si>
    <t xml:space="preserve">C11H20N4O6</t>
  </si>
  <si>
    <t xml:space="preserve">2-[(2-Amino-2-oxoethyl)-[(2S)-2-[(2-amino-2-oxoethyl)-(carboxymethyl)amino]propyl]amino]acetic acid</t>
  </si>
  <si>
    <t xml:space="preserve">202605</t>
  </si>
  <si>
    <t xml:space="preserve">HMDB0247365</t>
  </si>
  <si>
    <t xml:space="preserve">126521</t>
  </si>
  <si>
    <t xml:space="preserve">CC(CN(CC(N)=O)CC(O)=O)N(CC(N)=O)CC(O)=O</t>
  </si>
  <si>
    <t xml:space="preserve">YXWHFCSUHVBWFG-UHFFFAOYSA-N</t>
  </si>
  <si>
    <t xml:space="preserve">327.18299</t>
  </si>
  <si>
    <t xml:space="preserve">C21H24N2</t>
  </si>
  <si>
    <t xml:space="preserve">Quinupramine</t>
  </si>
  <si>
    <t xml:space="preserve">210827</t>
  </si>
  <si>
    <t xml:space="preserve">HMDB0257058</t>
  </si>
  <si>
    <t xml:space="preserve">C1CN2CCC1C(C2)N1C2=CC=CC=C2CCC2=CC=CC=C12</t>
  </si>
  <si>
    <t xml:space="preserve">JCBQCKFFSPGEDY-UHFFFAOYSA-N</t>
  </si>
  <si>
    <t xml:space="preserve">327.24563</t>
  </si>
  <si>
    <t xml:space="preserve">C21H36</t>
  </si>
  <si>
    <t xml:space="preserve">5alpha-Pregnane; Pentadecylbenzene</t>
  </si>
  <si>
    <t xml:space="preserve">202300; 63403</t>
  </si>
  <si>
    <t xml:space="preserve">HMDB0247017; HMDB0040180</t>
  </si>
  <si>
    <t xml:space="preserve">; 94715</t>
  </si>
  <si>
    <t xml:space="preserve">61313; </t>
  </si>
  <si>
    <t xml:space="preserve">; 16476</t>
  </si>
  <si>
    <t xml:space="preserve">; 2131-18-2</t>
  </si>
  <si>
    <t xml:space="preserve">CCC1CCC2C3CCC4CCCCC4(C)C3CCC12C; CCCCCCCCCCCCCCCC1=CC=CC=C1</t>
  </si>
  <si>
    <t xml:space="preserve">JWMFYGXQPXQEEM-UHFFFAOYSA-N; JIRNEODMTPGRGV-UHFFFAOYSA-N</t>
  </si>
  <si>
    <t xml:space="preserve">Steroids and steroid derivatives; Benzene and substituted derivatives</t>
  </si>
  <si>
    <t xml:space="preserve">Pregnane steroids; Unclassified</t>
  </si>
  <si>
    <t xml:space="preserve">328.20081</t>
  </si>
  <si>
    <t xml:space="preserve">C22H27N</t>
  </si>
  <si>
    <t xml:space="preserve">Nonyl acridine; Indenopyridine</t>
  </si>
  <si>
    <t xml:space="preserve">209658; 207791</t>
  </si>
  <si>
    <t xml:space="preserve">HMDB0255711; HMDB0253454</t>
  </si>
  <si>
    <t xml:space="preserve">22239671; 10086446</t>
  </si>
  <si>
    <t xml:space="preserve">CCCCCCCCCC1=CC=CC2=NC3=CC=CC=C3C=C12; CCN1CCC2C(C1)C1=C(C=C(C)C=C1)C2C1=CC=C(C)C=C1</t>
  </si>
  <si>
    <t xml:space="preserve">VAXNMTMRMVMKLU-UHFFFAOYSA-N; AYJJTPLDSZAGGA-UHFFFAOYSA-N</t>
  </si>
  <si>
    <t xml:space="preserve">Quinolines and derivatives; Indanes</t>
  </si>
  <si>
    <t xml:space="preserve">Benzoquinolines; Unclassified</t>
  </si>
  <si>
    <t xml:space="preserve">329.01207</t>
  </si>
  <si>
    <t xml:space="preserve">C8H18O7S2</t>
  </si>
  <si>
    <t xml:space="preserve">Sulfobutyl ether</t>
  </si>
  <si>
    <t xml:space="preserve">212079</t>
  </si>
  <si>
    <t xml:space="preserve">HMDB0258592</t>
  </si>
  <si>
    <t xml:space="preserve">12856218</t>
  </si>
  <si>
    <t xml:space="preserve">OS(=O)(=O)CCCCOCCCCS(O)(=O)=O</t>
  </si>
  <si>
    <t xml:space="preserve">NZAQRZWBQUIBSF-UHFFFAOYSA-N</t>
  </si>
  <si>
    <t xml:space="preserve">329.16802</t>
  </si>
  <si>
    <t xml:space="preserve">C19H25N2OS</t>
  </si>
  <si>
    <t xml:space="preserve">Hydroxyethylpromethazine</t>
  </si>
  <si>
    <t xml:space="preserve">196996</t>
  </si>
  <si>
    <t xml:space="preserve">HMDB0240229</t>
  </si>
  <si>
    <t xml:space="preserve">7647-63-4</t>
  </si>
  <si>
    <t xml:space="preserve">CC(CN1C2=CC=CC=C2SC2=CC=CC=C12)[N+](C)(C)CCO</t>
  </si>
  <si>
    <t xml:space="preserve">PDSVTRQOBUIQBQ-UHFFFAOYSA-N</t>
  </si>
  <si>
    <t xml:space="preserve">329.21104</t>
  </si>
  <si>
    <t xml:space="preserve">C21H28O3</t>
  </si>
  <si>
    <t xml:space="preserve">12-Methoxy-8,11,13-abietatrien-20,11-olide</t>
  </si>
  <si>
    <t xml:space="preserve">61783</t>
  </si>
  <si>
    <t xml:space="preserve">HMDB0038391</t>
  </si>
  <si>
    <t xml:space="preserve">93098</t>
  </si>
  <si>
    <t xml:space="preserve">5317481</t>
  </si>
  <si>
    <t xml:space="preserve">COC1=C(C=C2CCC3C4C(CCC3(C)C)C(=O)OC1=C24)C(C)C</t>
  </si>
  <si>
    <t xml:space="preserve">NRKDGGOZWKDHMW-UHFFFAOYSA-N</t>
  </si>
  <si>
    <t xml:space="preserve">330.07388</t>
  </si>
  <si>
    <t xml:space="preserve">C20H13NO5</t>
  </si>
  <si>
    <t xml:space="preserve">Hydroxysanguinarine</t>
  </si>
  <si>
    <t xml:space="preserve">207650</t>
  </si>
  <si>
    <t xml:space="preserve">HMDB0253291</t>
  </si>
  <si>
    <t xml:space="preserve">69373</t>
  </si>
  <si>
    <t xml:space="preserve">C12222</t>
  </si>
  <si>
    <t xml:space="preserve">443716</t>
  </si>
  <si>
    <t xml:space="preserve">548-30-1</t>
  </si>
  <si>
    <t xml:space="preserve">CN1C(=O)C2=C3OCOC3=CC=C2C2=CC=C3C=C4OCOC4=CC3=C12</t>
  </si>
  <si>
    <t xml:space="preserve">UFHGABBBZRPRJV-UHFFFAOYSA-N</t>
  </si>
  <si>
    <t xml:space="preserve">331.00646</t>
  </si>
  <si>
    <t xml:space="preserve">C5H6O5</t>
  </si>
  <si>
    <t xml:space="preserve">Oxoglutaric acid</t>
  </si>
  <si>
    <t xml:space="preserve">46929</t>
  </si>
  <si>
    <t xml:space="preserve">HMDB0000208</t>
  </si>
  <si>
    <t xml:space="preserve">119</t>
  </si>
  <si>
    <t xml:space="preserve">C00026</t>
  </si>
  <si>
    <t xml:space="preserve">30915</t>
  </si>
  <si>
    <t xml:space="preserve">51</t>
  </si>
  <si>
    <t xml:space="preserve">328-50-7</t>
  </si>
  <si>
    <t xml:space="preserve">OC(=O)CCC(=O)C(O)=O</t>
  </si>
  <si>
    <t xml:space="preserve">KPGXRSRHYNQIFN-UHFFFAOYSA-N</t>
  </si>
  <si>
    <t xml:space="preserve">331.09383</t>
  </si>
  <si>
    <t xml:space="preserve">C16H20O5</t>
  </si>
  <si>
    <t xml:space="preserve">11,12-Dimethoxydihydrokawain</t>
  </si>
  <si>
    <t xml:space="preserve">55514</t>
  </si>
  <si>
    <t xml:space="preserve">HMDB0030767</t>
  </si>
  <si>
    <t xml:space="preserve">44639</t>
  </si>
  <si>
    <t xml:space="preserve">110179</t>
  </si>
  <si>
    <t xml:space="preserve">592220</t>
  </si>
  <si>
    <t xml:space="preserve">38146-60-0</t>
  </si>
  <si>
    <t xml:space="preserve">COC1=CC(=O)OC(CCC2=CC(OC)=C(OC)C=C2)C1</t>
  </si>
  <si>
    <t xml:space="preserve">HEURTYMJWQPWNN-UHFFFAOYSA-N</t>
  </si>
  <si>
    <t xml:space="preserve">Kavalactones</t>
  </si>
  <si>
    <t xml:space="preserve">331.14390</t>
  </si>
  <si>
    <t xml:space="preserve">C21H18N2O2</t>
  </si>
  <si>
    <t xml:space="preserve">(4Bs,8aR,10aS)-10a-ethynyl-4b,8,8-trimethyl-3,7-dioxo-3,4b,7,8,8a,9,10,10a-octahydrophenanthrene-2,6-dicarbonitrile</t>
  </si>
  <si>
    <t xml:space="preserve">204805</t>
  </si>
  <si>
    <t xml:space="preserve">HMDB0249943</t>
  </si>
  <si>
    <t xml:space="preserve">24962674</t>
  </si>
  <si>
    <t xml:space="preserve">CC1(C)C2CCC3(C=C(C#N)C(=O)C=C3C2(C)C=C(C#N)C1=O)C#C</t>
  </si>
  <si>
    <t xml:space="preserve">ISZIRXMFUSQQOS-UHFFFAOYSA-N</t>
  </si>
  <si>
    <t xml:space="preserve">Hydrophenanthrenes</t>
  </si>
  <si>
    <t xml:space="preserve">331.21084</t>
  </si>
  <si>
    <t xml:space="preserve">C16H28N4O2</t>
  </si>
  <si>
    <t xml:space="preserve">2,2'-Azobis(4-methoxy-2,4-dimethylvaleronitrile)</t>
  </si>
  <si>
    <t xml:space="preserve">200185</t>
  </si>
  <si>
    <t xml:space="preserve">HMDB0244704</t>
  </si>
  <si>
    <t xml:space="preserve">85867</t>
  </si>
  <si>
    <t xml:space="preserve">COC(C)(C)CC(C)(N=NC(C)(CC(C)(C)OC)C#N)C#N</t>
  </si>
  <si>
    <t xml:space="preserve">PFHOSZAOXCYAGJ-UHFFFAOYSA-N</t>
  </si>
  <si>
    <t xml:space="preserve">Azo compounds</t>
  </si>
  <si>
    <t xml:space="preserve">333.11028</t>
  </si>
  <si>
    <t xml:space="preserve">C16H22O5</t>
  </si>
  <si>
    <t xml:space="preserve">Tocopheronic acid</t>
  </si>
  <si>
    <t xml:space="preserve">55349</t>
  </si>
  <si>
    <t xml:space="preserve">HMDB0030555</t>
  </si>
  <si>
    <t xml:space="preserve">87057</t>
  </si>
  <si>
    <t xml:space="preserve">172913</t>
  </si>
  <si>
    <t xml:space="preserve">67764516</t>
  </si>
  <si>
    <t xml:space="preserve">1948-76-1</t>
  </si>
  <si>
    <t xml:space="preserve">CC1=C(C)C(=O)C(CCC(C)(O)CCC(O)=O)=C(C)C1=O</t>
  </si>
  <si>
    <t xml:space="preserve">LRYFTDGIIUTFFA-UHFFFAOYSA-N</t>
  </si>
  <si>
    <t xml:space="preserve">333.16518</t>
  </si>
  <si>
    <t xml:space="preserve">C15H28O5</t>
  </si>
  <si>
    <t xml:space="preserve">6-Hydroxypentadecanedioic acid</t>
  </si>
  <si>
    <t xml:space="preserve">56350</t>
  </si>
  <si>
    <t xml:space="preserve">HMDB0031885</t>
  </si>
  <si>
    <t xml:space="preserve">88002</t>
  </si>
  <si>
    <t xml:space="preserve">168491</t>
  </si>
  <si>
    <t xml:space="preserve">131751198</t>
  </si>
  <si>
    <t xml:space="preserve">38076-52-7</t>
  </si>
  <si>
    <t xml:space="preserve">OC(CCCCCCCCC(O)=O)CCCCC(O)=O</t>
  </si>
  <si>
    <t xml:space="preserve">PNEJUHLZEPRMHF-UHFFFAOYSA-N</t>
  </si>
  <si>
    <t xml:space="preserve">333.20334</t>
  </si>
  <si>
    <t xml:space="preserve">C20H28O4</t>
  </si>
  <si>
    <t xml:space="preserve">ent-7alpha,12beta-Dihydroxy-16-kauren-19,6beta-olide</t>
  </si>
  <si>
    <t xml:space="preserve">60378</t>
  </si>
  <si>
    <t xml:space="preserve">HMDB0036700</t>
  </si>
  <si>
    <t xml:space="preserve">C09081</t>
  </si>
  <si>
    <t xml:space="preserve">5088389</t>
  </si>
  <si>
    <t xml:space="preserve">62107-03-3</t>
  </si>
  <si>
    <t xml:space="preserve">CC12CCCC3(C)C1C(OC2=O)C(O)C12CC(C(O)CC31)C(=C)C2</t>
  </si>
  <si>
    <t xml:space="preserve">OSYJLXUUZYSFTC-UHFFFAOYSA-N</t>
  </si>
  <si>
    <t xml:space="preserve">335.11880</t>
  </si>
  <si>
    <t xml:space="preserve">C17H25ClO2</t>
  </si>
  <si>
    <t xml:space="preserve">Panaxydol chlorohydrin</t>
  </si>
  <si>
    <t xml:space="preserve">6017</t>
  </si>
  <si>
    <t xml:space="preserve">HMDB0039534</t>
  </si>
  <si>
    <t xml:space="preserve">36494</t>
  </si>
  <si>
    <t xml:space="preserve">LMFA05000037</t>
  </si>
  <si>
    <t xml:space="preserve">130664</t>
  </si>
  <si>
    <t xml:space="preserve">111103-92-5</t>
  </si>
  <si>
    <t xml:space="preserve">C(O)(C=C)C#CC#CCC(O)C(Cl)CCCCCCC</t>
  </si>
  <si>
    <t xml:space="preserve">PBNFQEYKZLUTLH-UHFFFAOYSA-N</t>
  </si>
  <si>
    <t xml:space="preserve">Halohydrins</t>
  </si>
  <si>
    <t xml:space="preserve">Chlorohydrins</t>
  </si>
  <si>
    <t xml:space="preserve">335.18581</t>
  </si>
  <si>
    <t xml:space="preserve">C19H26O5</t>
  </si>
  <si>
    <t xml:space="preserve">3-(2-Methylpropanoyloxy)-8-(3-methylbutanoyloxy)-9,10-epoxy-p-mentha-1,3,5-triene; 3-(2-Methylpropanoyloxy)-8-(2-methylbutanoyloxy)-9,10-epoxy-p-mentha-1,3,5-triene</t>
  </si>
  <si>
    <t xml:space="preserve">56979; 56978</t>
  </si>
  <si>
    <t xml:space="preserve">HMDB0032700; HMDB0032699</t>
  </si>
  <si>
    <t xml:space="preserve">88637; 88636</t>
  </si>
  <si>
    <t xml:space="preserve">173268; </t>
  </si>
  <si>
    <t xml:space="preserve">13819150; 354159</t>
  </si>
  <si>
    <t xml:space="preserve">71939-56-5; 22518-07-6</t>
  </si>
  <si>
    <t xml:space="preserve">CC(C)CC(=O)OCC1(CO1)C1=C(OC(=O)C(C)C)C=C(C)C=C1; CCC(C)C(=O)OCC1(CO1)C1=C(OC(=O)C(C)C)C=C(C)C=C1</t>
  </si>
  <si>
    <t xml:space="preserve">QVGMYLIEMRLBGN-UHFFFAOYSA-N; DBEFONQGRSUFQO-UHFFFAOYSA-N</t>
  </si>
  <si>
    <t xml:space="preserve">Phenol esters; Phenol esters</t>
  </si>
  <si>
    <t xml:space="preserve">336.10569</t>
  </si>
  <si>
    <t xml:space="preserve">C20H19NO3S</t>
  </si>
  <si>
    <t xml:space="preserve">Englitazone</t>
  </si>
  <si>
    <t xml:space="preserve">206385</t>
  </si>
  <si>
    <t xml:space="preserve">HMDB0251808</t>
  </si>
  <si>
    <t xml:space="preserve">O=C1NC(=O)C(CC2=CC3=C(OC(CC4=CC=CC=C4)CC3)C=C2)S1</t>
  </si>
  <si>
    <t xml:space="preserve">MVDXXGIBARMXSA-UHFFFAOYSA-N</t>
  </si>
  <si>
    <t xml:space="preserve">337.16931</t>
  </si>
  <si>
    <t xml:space="preserve">C19H26N2S</t>
  </si>
  <si>
    <t xml:space="preserve">Pergolide</t>
  </si>
  <si>
    <t xml:space="preserve">53401</t>
  </si>
  <si>
    <t xml:space="preserve">HMDB0015317</t>
  </si>
  <si>
    <t xml:space="preserve">1787</t>
  </si>
  <si>
    <t xml:space="preserve">C07425</t>
  </si>
  <si>
    <t xml:space="preserve">63617</t>
  </si>
  <si>
    <t xml:space="preserve">47811</t>
  </si>
  <si>
    <t xml:space="preserve">66104-22-1</t>
  </si>
  <si>
    <t xml:space="preserve">[H][C@@]12CC3=CNC4=CC=CC(=C34)[C@@]1([H])C[C@@H](CSC)CN2CCC</t>
  </si>
  <si>
    <t xml:space="preserve">YEHCICAEULNIGD-MZMPZRCHSA-N</t>
  </si>
  <si>
    <t xml:space="preserve">Indoloquinolines</t>
  </si>
  <si>
    <t xml:space="preserve">337.27521</t>
  </si>
  <si>
    <t xml:space="preserve">C21H38O4</t>
  </si>
  <si>
    <t xml:space="preserve">MG(18:2)</t>
  </si>
  <si>
    <t xml:space="preserve">10449</t>
  </si>
  <si>
    <t xml:space="preserve">HMDB0011538</t>
  </si>
  <si>
    <t xml:space="preserve">62322</t>
  </si>
  <si>
    <t xml:space="preserve">LMGL01010033</t>
  </si>
  <si>
    <t xml:space="preserve">75457</t>
  </si>
  <si>
    <t xml:space="preserve">5365676</t>
  </si>
  <si>
    <t xml:space="preserve">OC[C@]([H])(OC(CCCCCCC/C=C\C/C=C\CCCCC)=O)CO</t>
  </si>
  <si>
    <t xml:space="preserve">IEPGNWMPIFDNSD-HZJYTTRNSA-N</t>
  </si>
  <si>
    <t xml:space="preserve">338.34566</t>
  </si>
  <si>
    <t xml:space="preserve">C22H45NO2</t>
  </si>
  <si>
    <t xml:space="preserve">Arachidoyl Ethanolamide</t>
  </si>
  <si>
    <t xml:space="preserve">HMDB0248559</t>
  </si>
  <si>
    <t xml:space="preserve">3723</t>
  </si>
  <si>
    <t xml:space="preserve">LMFA08040038</t>
  </si>
  <si>
    <t xml:space="preserve">85253</t>
  </si>
  <si>
    <t xml:space="preserve">3787294</t>
  </si>
  <si>
    <t xml:space="preserve">94421-69-9</t>
  </si>
  <si>
    <t xml:space="preserve">C(CCCCCCCCCCC)CCCCCCCC(=O)NCCO</t>
  </si>
  <si>
    <t xml:space="preserve">AUJVQJHODMISJP-UHFFFAOYSA-N</t>
  </si>
  <si>
    <t xml:space="preserve">339.05671</t>
  </si>
  <si>
    <t xml:space="preserve">C16H13FN2O2S</t>
  </si>
  <si>
    <t xml:space="preserve">4-(4-Fluorobenzyl)-2-p-tolyl-1,2,4-thiadiazolidine-3,5-dione</t>
  </si>
  <si>
    <t xml:space="preserve">204616</t>
  </si>
  <si>
    <t xml:space="preserve">HMDB0249721</t>
  </si>
  <si>
    <t xml:space="preserve">2733079</t>
  </si>
  <si>
    <t xml:space="preserve">CC1=CC=C(C=C1)N1SC(=O)N(CC2=CC=C(F)C=C2)C1=O</t>
  </si>
  <si>
    <t xml:space="preserve">QUIIIYITNGOFEI-UHFFFAOYSA-N</t>
  </si>
  <si>
    <t xml:space="preserve">339.17483</t>
  </si>
  <si>
    <t xml:space="preserve">C20H28O2</t>
  </si>
  <si>
    <t xml:space="preserve">all-trans-Retinoic acid</t>
  </si>
  <si>
    <t xml:space="preserve">37385</t>
  </si>
  <si>
    <t xml:space="preserve">HMDB0001852</t>
  </si>
  <si>
    <t xml:space="preserve">2277</t>
  </si>
  <si>
    <t xml:space="preserve">LMPR01090019</t>
  </si>
  <si>
    <t xml:space="preserve">C00777</t>
  </si>
  <si>
    <t xml:space="preserve">15367</t>
  </si>
  <si>
    <t xml:space="preserve">302-79-4</t>
  </si>
  <si>
    <t xml:space="preserve">C1C(C)(C)C(/C=C/C(=C/C=C/C(=C/C(=O)O)/C)/C)=C(C)CC1</t>
  </si>
  <si>
    <t xml:space="preserve">SHGAZHPCJJPHSC-YCNIQYBTSA-N</t>
  </si>
  <si>
    <t xml:space="preserve">339.29169</t>
  </si>
  <si>
    <t xml:space="preserve">C19H40O3</t>
  </si>
  <si>
    <t xml:space="preserve">1,2,4-Nonadecanetriol</t>
  </si>
  <si>
    <t xml:space="preserve">6315</t>
  </si>
  <si>
    <t xml:space="preserve">HMDB0032112</t>
  </si>
  <si>
    <t xml:space="preserve">88195</t>
  </si>
  <si>
    <t xml:space="preserve">LMFA05000577</t>
  </si>
  <si>
    <t xml:space="preserve">10567452</t>
  </si>
  <si>
    <t xml:space="preserve">CCCCCCCCCCCCCCCC(O)CC(O)CO</t>
  </si>
  <si>
    <t xml:space="preserve">BADVLZPPYIABDS-UHFFFAOYSA-N</t>
  </si>
  <si>
    <t xml:space="preserve">339.34600</t>
  </si>
  <si>
    <t xml:space="preserve">C9H22N2</t>
  </si>
  <si>
    <t xml:space="preserve">2,3,4,4-Tetramethylpentane-2,3-diamine</t>
  </si>
  <si>
    <t xml:space="preserve">211654</t>
  </si>
  <si>
    <t xml:space="preserve">HMDB0258064</t>
  </si>
  <si>
    <t xml:space="preserve">54154182</t>
  </si>
  <si>
    <t xml:space="preserve">CC(C)(C)C(C)(N)C(C)(C)N</t>
  </si>
  <si>
    <t xml:space="preserve">OJWCXLKZZPLFGR-UHFFFAOYSA-N</t>
  </si>
  <si>
    <t xml:space="preserve">341.18658</t>
  </si>
  <si>
    <t xml:space="preserve">C20H26N2O4</t>
  </si>
  <si>
    <t xml:space="preserve">Itopride</t>
  </si>
  <si>
    <t xml:space="preserve">208026</t>
  </si>
  <si>
    <t xml:space="preserve">HMDB0253722</t>
  </si>
  <si>
    <t xml:space="preserve">320603</t>
  </si>
  <si>
    <t xml:space="preserve">3792</t>
  </si>
  <si>
    <t xml:space="preserve">COC1=C(OC)C=C(C=C1)C(=O)NCC1=CC=C(OCCN(C)C)C=C1</t>
  </si>
  <si>
    <t xml:space="preserve">QQQIECGTIMUVDS-UHFFFAOYSA-N</t>
  </si>
  <si>
    <t xml:space="preserve">343.14521</t>
  </si>
  <si>
    <t xml:space="preserve">C14H22N4O4S</t>
  </si>
  <si>
    <t xml:space="preserve">Tame</t>
  </si>
  <si>
    <t xml:space="preserve">212166</t>
  </si>
  <si>
    <t xml:space="preserve">HMDB0258705</t>
  </si>
  <si>
    <t xml:space="preserve">COC(=O)C(CCCN=C(N)N)NS(=O)(=O)C1=CC=C(C)C=C1</t>
  </si>
  <si>
    <t xml:space="preserve">FKMJXALNHKIDOD-UHFFFAOYSA-N</t>
  </si>
  <si>
    <t xml:space="preserve">343.21288</t>
  </si>
  <si>
    <t xml:space="preserve">C18H30O6</t>
  </si>
  <si>
    <t xml:space="preserve">Monic acid</t>
  </si>
  <si>
    <t xml:space="preserve">82972</t>
  </si>
  <si>
    <t xml:space="preserve">HMDB0061154</t>
  </si>
  <si>
    <t xml:space="preserve">131770055</t>
  </si>
  <si>
    <t xml:space="preserve">[H][C@]1(O[C@H]1CC1CC[C@@H](C\C(C)=C\C(O)=O)[C@H](O)[C@@H]1O)[C@@H](C)C(C)O</t>
  </si>
  <si>
    <t xml:space="preserve">MUWNEQMGMLXEFO-CXSJRMNRSA-N</t>
  </si>
  <si>
    <t xml:space="preserve">344.03011</t>
  </si>
  <si>
    <t xml:space="preserve">C15H11ClF3NO4</t>
  </si>
  <si>
    <t xml:space="preserve">Haloxyfop-P; Oxyfluorfen</t>
  </si>
  <si>
    <t xml:space="preserve">207439; 209915</t>
  </si>
  <si>
    <t xml:space="preserve">HMDB0253047; HMDB0256013</t>
  </si>
  <si>
    <t xml:space="preserve">66271; 72642</t>
  </si>
  <si>
    <t xml:space="preserve">C04871; C18881</t>
  </si>
  <si>
    <t xml:space="preserve">136694; </t>
  </si>
  <si>
    <t xml:space="preserve">50895; 39327</t>
  </si>
  <si>
    <t xml:space="preserve">69806-34-4; 42874-03-3</t>
  </si>
  <si>
    <t xml:space="preserve">CC(OC1=CC=C(OC2=C(Cl)C=C(C=N2)C(F)(F)F)C=C1)C(O)=O; CCOC1=C(C=CC(OC2=C(Cl)C=C(C=C2)C(F)(F)F)=C1)[N+]([O-])=O</t>
  </si>
  <si>
    <t xml:space="preserve">GOCUAJYOYBLQRH-UHFFFAOYSA-N; OQMBBFQZGJFLBU-UHFFFAOYSA-N</t>
  </si>
  <si>
    <t xml:space="preserve">2-phenoxypropionic acids; Diphenylethers</t>
  </si>
  <si>
    <t xml:space="preserve">344.21975</t>
  </si>
  <si>
    <t xml:space="preserve">C19H31NO3</t>
  </si>
  <si>
    <t xml:space="preserve">Homodihydrocapsaicin</t>
  </si>
  <si>
    <t xml:space="preserve">60093</t>
  </si>
  <si>
    <t xml:space="preserve">HMDB0036330</t>
  </si>
  <si>
    <t xml:space="preserve">91474</t>
  </si>
  <si>
    <t xml:space="preserve">3084336</t>
  </si>
  <si>
    <t xml:space="preserve">20279-06-5</t>
  </si>
  <si>
    <t xml:space="preserve">COC1=CC(CNC(=O)CCCCCCCC(C)C)=CC=C1O</t>
  </si>
  <si>
    <t xml:space="preserve">AKDLSISGGARWFP-UHFFFAOYSA-N</t>
  </si>
  <si>
    <t xml:space="preserve">345.00492</t>
  </si>
  <si>
    <t xml:space="preserve">C13H16Cl2O4</t>
  </si>
  <si>
    <t xml:space="preserve">Dictyostelium</t>
  </si>
  <si>
    <t xml:space="preserve">205896</t>
  </si>
  <si>
    <t xml:space="preserve">HMDB0251253</t>
  </si>
  <si>
    <t xml:space="preserve">64598</t>
  </si>
  <si>
    <t xml:space="preserve">123886</t>
  </si>
  <si>
    <t xml:space="preserve">CCCCCC(=O)C1=C(O)C(Cl)=C(OC)C(Cl)=C1O</t>
  </si>
  <si>
    <t xml:space="preserve">VUDQSRFCCHQIIU-UHFFFAOYSA-N</t>
  </si>
  <si>
    <t xml:space="preserve">345.16217</t>
  </si>
  <si>
    <t xml:space="preserve">C21H27ClO3</t>
  </si>
  <si>
    <t xml:space="preserve">Chlormadinone</t>
  </si>
  <si>
    <t xml:space="preserve">204939</t>
  </si>
  <si>
    <t xml:space="preserve">HMDB0250103</t>
  </si>
  <si>
    <t xml:space="preserve">23314628</t>
  </si>
  <si>
    <t xml:space="preserve">CC(=O)C1(O)CCC2C3C=C(Cl)C4=CC(=O)CCC4(C)C3CCC12C</t>
  </si>
  <si>
    <t xml:space="preserve">VUHJZBBCZGVNDZ-UHFFFAOYSA-N</t>
  </si>
  <si>
    <t xml:space="preserve">345.21369</t>
  </si>
  <si>
    <t xml:space="preserve">C16H35O4P</t>
  </si>
  <si>
    <t xml:space="preserve">Bis(2-ethylhexyl) hydrogen phosphate</t>
  </si>
  <si>
    <t xml:space="preserve">204221</t>
  </si>
  <si>
    <t xml:space="preserve">HMDB0249242</t>
  </si>
  <si>
    <t xml:space="preserve">9275</t>
  </si>
  <si>
    <t xml:space="preserve">CCCCC(CC)COP(O)(=O)OCC(CC)CCCC</t>
  </si>
  <si>
    <t xml:space="preserve">SEGLCEQVOFDUPX-UHFFFAOYSA-N</t>
  </si>
  <si>
    <t xml:space="preserve">347.05117</t>
  </si>
  <si>
    <t xml:space="preserve">C18H12O6</t>
  </si>
  <si>
    <t xml:space="preserve">Sterigmatocystin</t>
  </si>
  <si>
    <t xml:space="preserve">55374</t>
  </si>
  <si>
    <t xml:space="preserve">HMDB0030588</t>
  </si>
  <si>
    <t xml:space="preserve">C00961</t>
  </si>
  <si>
    <t xml:space="preserve">18227</t>
  </si>
  <si>
    <t xml:space="preserve">5284457</t>
  </si>
  <si>
    <t xml:space="preserve">10048-13-2</t>
  </si>
  <si>
    <t xml:space="preserve">COC1=CC2=C(C3C=COC3O2)C2=C1C(=O)C1=C(O)C=CC=C1O2</t>
  </si>
  <si>
    <t xml:space="preserve">UTSVPXMQSFGQTM-UHFFFAOYSA-N</t>
  </si>
  <si>
    <t xml:space="preserve">Sterigmatocystins</t>
  </si>
  <si>
    <t xml:space="preserve">347.18467</t>
  </si>
  <si>
    <t xml:space="preserve">C20H26O5</t>
  </si>
  <si>
    <t xml:space="preserve">Gibberellin A37; Gibberellin A44</t>
  </si>
  <si>
    <t xml:space="preserve">58966; 60566</t>
  </si>
  <si>
    <t xml:space="preserve">HMDB0035047; HMDB0036901</t>
  </si>
  <si>
    <t xml:space="preserve">53645; 53651</t>
  </si>
  <si>
    <t xml:space="preserve">C14161; C12308</t>
  </si>
  <si>
    <t xml:space="preserve">29596; 28211</t>
  </si>
  <si>
    <t xml:space="preserve">14605568; 5460372</t>
  </si>
  <si>
    <t xml:space="preserve">38231-54-8; 36434-15-8</t>
  </si>
  <si>
    <t xml:space="preserve">[H][C@@]12CC[C@@H]3C[C@]1(CC3=C)[C@@H](C(O)=O)[C@@]1([H])[C@@]22CC[C@H](O)[C@@]1(C)C(=O)OC2; [H][C@@]12CC[C@]3(O)C[C@]1(CC3=C)[C@@H](C(O)=O)[C@@]1([H])[C@@]22CCC[C@@]1(C)C(=O)OC2</t>
  </si>
  <si>
    <t xml:space="preserve">QYXZQZMPZUEEML-SQLMURCQSA-N; KSBJAONOPKRVRR-YTJHIPEWSA-N</t>
  </si>
  <si>
    <t xml:space="preserve">Diterpenoids; Diterpenoids</t>
  </si>
  <si>
    <t xml:space="preserve">348.01199</t>
  </si>
  <si>
    <t xml:space="preserve">C14H10ClF2N3S</t>
  </si>
  <si>
    <t xml:space="preserve">5-Chloro-3-[2-(2,6-difluorophenyl)ethyl]-1H-imidazo[4,5-b]pyridine-2-thione</t>
  </si>
  <si>
    <t xml:space="preserve">202090</t>
  </si>
  <si>
    <t xml:space="preserve">HMDB0246768</t>
  </si>
  <si>
    <t xml:space="preserve">483444</t>
  </si>
  <si>
    <t xml:space="preserve">FC1=CC=CC(F)=C1CCN1C(=S)NC2=C1N=C(Cl)C=C2</t>
  </si>
  <si>
    <t xml:space="preserve">RTZACTFZGJNCLF-UHFFFAOYSA-N</t>
  </si>
  <si>
    <t xml:space="preserve">348.04721</t>
  </si>
  <si>
    <t xml:space="preserve">C14H15NO7</t>
  </si>
  <si>
    <t xml:space="preserve">Indoxyl glucuronide</t>
  </si>
  <si>
    <t xml:space="preserve">50887</t>
  </si>
  <si>
    <t xml:space="preserve">HMDB0010319</t>
  </si>
  <si>
    <t xml:space="preserve">61642</t>
  </si>
  <si>
    <t xml:space="preserve">C03033</t>
  </si>
  <si>
    <t xml:space="preserve">145223</t>
  </si>
  <si>
    <t xml:space="preserve">2733785</t>
  </si>
  <si>
    <t xml:space="preserve">35804-66-1</t>
  </si>
  <si>
    <t xml:space="preserve">O[C@@H]1[C@@H](O)[C@H](OC2=CNC3=CC=CC=C23)O[C@@H]([C@H]1O)C(O)=O</t>
  </si>
  <si>
    <t xml:space="preserve">KUYNOZVWCFXSNE-BYNIDDHOSA-N</t>
  </si>
  <si>
    <t xml:space="preserve">348.99416</t>
  </si>
  <si>
    <t xml:space="preserve">C14H9ClF2N2O2</t>
  </si>
  <si>
    <t xml:space="preserve">Diflubenzuron</t>
  </si>
  <si>
    <t xml:space="preserve">56249</t>
  </si>
  <si>
    <t xml:space="preserve">HMDB0031778</t>
  </si>
  <si>
    <t xml:space="preserve">70053</t>
  </si>
  <si>
    <t xml:space="preserve">C14427</t>
  </si>
  <si>
    <t xml:space="preserve">34703</t>
  </si>
  <si>
    <t xml:space="preserve">37123</t>
  </si>
  <si>
    <t xml:space="preserve">35367-38-5</t>
  </si>
  <si>
    <t xml:space="preserve">FC1=CC=CC(F)=C1C(=O)NC(=O)NC1=CC=C(Cl)C=C1</t>
  </si>
  <si>
    <t xml:space="preserve">QQQYTWIFVNKMRW-UHFFFAOYSA-N</t>
  </si>
  <si>
    <t xml:space="preserve">351.19607</t>
  </si>
  <si>
    <t xml:space="preserve">C23H26O3</t>
  </si>
  <si>
    <t xml:space="preserve">(1R)-trans-Phenothrin</t>
  </si>
  <si>
    <t xml:space="preserve">198820</t>
  </si>
  <si>
    <t xml:space="preserve">HMDB0242366</t>
  </si>
  <si>
    <t xml:space="preserve">70021</t>
  </si>
  <si>
    <t xml:space="preserve">C14387</t>
  </si>
  <si>
    <t xml:space="preserve">34916</t>
  </si>
  <si>
    <t xml:space="preserve">4767</t>
  </si>
  <si>
    <t xml:space="preserve">26002-80-2</t>
  </si>
  <si>
    <t xml:space="preserve">CC(C)=CC1C(C(=O)OCC2=CC(OC3=CC=CC=C3)=CC=C2)C1(C)C</t>
  </si>
  <si>
    <t xml:space="preserve">SBNFWQZLDJGRLK-UHFFFAOYSA-N</t>
  </si>
  <si>
    <t xml:space="preserve">351.24093</t>
  </si>
  <si>
    <t xml:space="preserve">C18H30N4O3</t>
  </si>
  <si>
    <t xml:space="preserve">Adamantylamide-alanyl-isoglutamine</t>
  </si>
  <si>
    <t xml:space="preserve">203165</t>
  </si>
  <si>
    <t xml:space="preserve">HMDB0247998</t>
  </si>
  <si>
    <t xml:space="preserve">13669364</t>
  </si>
  <si>
    <t xml:space="preserve">CC(N)C(=O)NC(CCC(=O)NC12CC3CC(CC(C3)C1)C2)C(N)=O</t>
  </si>
  <si>
    <t xml:space="preserve">MXWDHKDTQAPDQD-UHFFFAOYSA-N</t>
  </si>
  <si>
    <t xml:space="preserve">352.05560</t>
  </si>
  <si>
    <t xml:space="preserve">C12H21NO6</t>
  </si>
  <si>
    <t xml:space="preserve">2-Ethylpropanedioylcarnitine; O-Glutarylcarnitine</t>
  </si>
  <si>
    <t xml:space="preserve">198390; 8373</t>
  </si>
  <si>
    <t xml:space="preserve">HMDB0241868; HMDB0240779</t>
  </si>
  <si>
    <t xml:space="preserve">; LMFA07070091</t>
  </si>
  <si>
    <t xml:space="preserve">; 73040</t>
  </si>
  <si>
    <t xml:space="preserve">; 71464488</t>
  </si>
  <si>
    <t xml:space="preserve">CCC(C(O)=O)C(=O)OC(CC([O-])=O)C[N+](C)(C)C; C(C[N+](C)(C)C)(OC(=O)CCCC(=O)O)CC(=O)[O-]</t>
  </si>
  <si>
    <t xml:space="preserve">HWVVDTFMNSFBTH-UHFFFAOYSA-N; NXJAXUYOQLTISD-UHFFFAOYSA-N</t>
  </si>
  <si>
    <t xml:space="preserve">353.09642</t>
  </si>
  <si>
    <t xml:space="preserve">C19H18N2O4S</t>
  </si>
  <si>
    <t xml:space="preserve">Tetomilast; Parecoxib; n-[[(5-Methyl-3-phenylisoxazol-4-yl)-phenyl]sulfonyl]propanamide</t>
  </si>
  <si>
    <t xml:space="preserve">212303; 210009; 211585</t>
  </si>
  <si>
    <t xml:space="preserve">HMDB0258864; HMDB0256127; HMDB0257987</t>
  </si>
  <si>
    <t xml:space="preserve">429208; ; </t>
  </si>
  <si>
    <t xml:space="preserve">; 73038; </t>
  </si>
  <si>
    <t xml:space="preserve">3025803; 119828; 21982135</t>
  </si>
  <si>
    <t xml:space="preserve">CCOC1=C(OCC)C=C(C=C1)C1=NC(=CS1)C1=NC(=CC=C1)C(O)=O; CCC(=O)NS(=O)(=O)C1=CC=C(C=C1)C1=C(C)ON=C1C1=CC=CC=C1; CCC(=O)NS(=O)(=O)C1=CC=CC=C1C1=C(C)ON=C1C1=CC=CC=C1</t>
  </si>
  <si>
    <t xml:space="preserve">XDBHURGONHZNJF-UHFFFAOYSA-N; TZRHLKRLEZJVIJ-UHFFFAOYSA-N; UAIKDILVTTVJDN-UHFFFAOYSA-N</t>
  </si>
  <si>
    <t xml:space="preserve">Organoheterocyclic compounds; Benzenoids; Benzenoids</t>
  </si>
  <si>
    <t xml:space="preserve">Pyridines and derivatives; Benzene and substituted derivatives; Benzene and substituted derivatives</t>
  </si>
  <si>
    <t xml:space="preserve">Pyridinecarboxylic acids and derivatives; Benzenesulfonamides; Benzenesulfonamides</t>
  </si>
  <si>
    <t xml:space="preserve">355.14917</t>
  </si>
  <si>
    <t xml:space="preserve">C14H23N6O3S</t>
  </si>
  <si>
    <t xml:space="preserve">S-Adenosylmethioninamine</t>
  </si>
  <si>
    <t xml:space="preserve">47330</t>
  </si>
  <si>
    <t xml:space="preserve">HMDB0000988</t>
  </si>
  <si>
    <t xml:space="preserve">3501</t>
  </si>
  <si>
    <t xml:space="preserve">C01137</t>
  </si>
  <si>
    <t xml:space="preserve">15625</t>
  </si>
  <si>
    <t xml:space="preserve">439415</t>
  </si>
  <si>
    <t xml:space="preserve">22365-13-5</t>
  </si>
  <si>
    <t xml:space="preserve">C[S+](CCCN)C[C@H]1O[C@H]([C@H](O)[C@@H]1O)N1C=NC2=C1N=CN=C2N</t>
  </si>
  <si>
    <t xml:space="preserve">ZUNBITIXDCPNSD-LSRJEVITSA-N</t>
  </si>
  <si>
    <t xml:space="preserve">355.28440</t>
  </si>
  <si>
    <t xml:space="preserve">C21H40O5</t>
  </si>
  <si>
    <t xml:space="preserve">DG(18:0)</t>
  </si>
  <si>
    <t xml:space="preserve">113724</t>
  </si>
  <si>
    <t xml:space="preserve">HMDB0092901</t>
  </si>
  <si>
    <t xml:space="preserve">73416317</t>
  </si>
  <si>
    <t xml:space="preserve">[H][C@](CO)(COC(=O)CCCCCCC)OC(=O)CCCCCCCCC</t>
  </si>
  <si>
    <t xml:space="preserve">YOYOQXRPUDEPAK-IBGZPJMESA-N</t>
  </si>
  <si>
    <t xml:space="preserve">357.16084</t>
  </si>
  <si>
    <t xml:space="preserve">C22H27ClO3</t>
  </si>
  <si>
    <t xml:space="preserve">Cyproteron; Cyproterone</t>
  </si>
  <si>
    <t xml:space="preserve">205442; 53624</t>
  </si>
  <si>
    <t xml:space="preserve">HMDB0250698; HMDB0015587</t>
  </si>
  <si>
    <t xml:space="preserve">; 556</t>
  </si>
  <si>
    <t xml:space="preserve">; 50742</t>
  </si>
  <si>
    <t xml:space="preserve">3015; 5284537</t>
  </si>
  <si>
    <t xml:space="preserve">; 2098-66-0</t>
  </si>
  <si>
    <t xml:space="preserve">CC(=O)C1(O)CCC2C3C=C(Cl)C4=CC(=O)C5CC5C4(C)C3CCC12C; [H][C@@]12C[C@]1([H])[C@@]1(C)C(=CC2=O)C(Cl)=C[C@@]2([H])[C@]3([H])CC[C@](O)(C(C)=O)[C@@]3(C)CC[C@]12[H]</t>
  </si>
  <si>
    <t xml:space="preserve">DUSHUSLJJMDGTE-UHFFFAOYSA-N; DUSHUSLJJMDGTE-ZJPMUUANSA-N</t>
  </si>
  <si>
    <t xml:space="preserve">Pregnane steroids; Pregnane steroids</t>
  </si>
  <si>
    <t xml:space="preserve">361.17041</t>
  </si>
  <si>
    <t xml:space="preserve">C26H20N2</t>
  </si>
  <si>
    <t xml:space="preserve">2,9-Dimethyl-4,7-diphenyl-1,10-phenanthroline</t>
  </si>
  <si>
    <t xml:space="preserve">200955</t>
  </si>
  <si>
    <t xml:space="preserve">HMDB0245527</t>
  </si>
  <si>
    <t xml:space="preserve">350147</t>
  </si>
  <si>
    <t xml:space="preserve">65149</t>
  </si>
  <si>
    <t xml:space="preserve">CC1=NC2=C(C=CC3=C2N=C(C)C=C3C2=CC=CC=C2)C(=C1)C1=CC=CC=C1</t>
  </si>
  <si>
    <t xml:space="preserve">STTGYIUESPWXOW-UHFFFAOYSA-N</t>
  </si>
  <si>
    <t xml:space="preserve">362.23552</t>
  </si>
  <si>
    <t xml:space="preserve">C19H33NO4</t>
  </si>
  <si>
    <t xml:space="preserve">(7Z,9E)-Dodeca-7,9-dienoylcarnitine; (5E,7E)-Dodeca-5,7-dienoylcarnitine; (2E,8Z)-Dodeca-2,8-dienoylcarnitine</t>
  </si>
  <si>
    <t xml:space="preserve">197786; 197787; 197788</t>
  </si>
  <si>
    <t xml:space="preserve">HMDB0241240; HMDB0241241; HMDB0241242</t>
  </si>
  <si>
    <t xml:space="preserve">CCC=CC=CCCCCCC(=O)OC(CC([O-])=O)C[N+](C)(C)C; CCCCC=CC=CCCCC(=O)OC(CC([O-])=O)C[N+](C)(C)C; CCCC=CCCCCC=CC(=O)OC(CC([O-])=O)C[N+](C)(C)C</t>
  </si>
  <si>
    <t xml:space="preserve">CEFGCPSVFBVQLE-UHFFFAOYSA-N; ICZRAPCDYIZBSB-UHFFFAOYSA-N; JJVABRWGVULIQW-UHFFFAOYSA-N</t>
  </si>
  <si>
    <t xml:space="preserve">363.11958</t>
  </si>
  <si>
    <t xml:space="preserve">C20H20O5</t>
  </si>
  <si>
    <t xml:space="preserve">Desmethylxanthohumol</t>
  </si>
  <si>
    <t xml:space="preserve">55395</t>
  </si>
  <si>
    <t xml:space="preserve">HMDB0030610</t>
  </si>
  <si>
    <t xml:space="preserve">64209</t>
  </si>
  <si>
    <t xml:space="preserve">C16416</t>
  </si>
  <si>
    <t xml:space="preserve">80489</t>
  </si>
  <si>
    <t xml:space="preserve">6443339</t>
  </si>
  <si>
    <t xml:space="preserve">115063-39-3</t>
  </si>
  <si>
    <t xml:space="preserve">CC(C)=CCC1=C(O)C(C(=O)\C=C\C2=CC=C(O)C=C2)=C(O)C=C1O</t>
  </si>
  <si>
    <t xml:space="preserve">FUSADYLVRMROPL-UXBLZVDNSA-N</t>
  </si>
  <si>
    <t xml:space="preserve">363.17210</t>
  </si>
  <si>
    <t xml:space="preserve">C22H28O2</t>
  </si>
  <si>
    <t xml:space="preserve">Etonogestrel</t>
  </si>
  <si>
    <t xml:space="preserve">52682</t>
  </si>
  <si>
    <t xml:space="preserve">HMDB0014439</t>
  </si>
  <si>
    <t xml:space="preserve">1954</t>
  </si>
  <si>
    <t xml:space="preserve">50777</t>
  </si>
  <si>
    <t xml:space="preserve">6917715</t>
  </si>
  <si>
    <t xml:space="preserve">54048-10-1</t>
  </si>
  <si>
    <t xml:space="preserve">[H][C@@]12CC[C@@](O)(C#C)[C@@]1(CC)CC(=C)[C@]1([H])[C@@]3([H])CCC(=O)C=C3CC[C@@]21[H]</t>
  </si>
  <si>
    <t xml:space="preserve">GCKFUYQCUCGESZ-BPIQYHPVSA-N</t>
  </si>
  <si>
    <t xml:space="preserve">363.99207</t>
  </si>
  <si>
    <t xml:space="preserve">C14H13N3O2S</t>
  </si>
  <si>
    <t xml:space="preserve">Sulmazole</t>
  </si>
  <si>
    <t xml:space="preserve">212101</t>
  </si>
  <si>
    <t xml:space="preserve">HMDB0258615</t>
  </si>
  <si>
    <t xml:space="preserve">69680</t>
  </si>
  <si>
    <t xml:space="preserve">C13749</t>
  </si>
  <si>
    <t xml:space="preserve">34988</t>
  </si>
  <si>
    <t xml:space="preserve">5353</t>
  </si>
  <si>
    <t xml:space="preserve">73384-60-8</t>
  </si>
  <si>
    <t xml:space="preserve">COC1=C(C=CC(=C1)S(C)=O)C1=NC2=C(N1)C=CC=N2</t>
  </si>
  <si>
    <t xml:space="preserve">XMFCOYRWYYXZMY-UHFFFAOYSA-N</t>
  </si>
  <si>
    <t xml:space="preserve">364.96856</t>
  </si>
  <si>
    <t xml:space="preserve">C15H12Cl4O2</t>
  </si>
  <si>
    <t xml:space="preserve">Tetrachlorobisphenol A</t>
  </si>
  <si>
    <t xml:space="preserve">212309</t>
  </si>
  <si>
    <t xml:space="preserve">HMDB0258870</t>
  </si>
  <si>
    <t xml:space="preserve">70129</t>
  </si>
  <si>
    <t xml:space="preserve">C14528</t>
  </si>
  <si>
    <t xml:space="preserve">6619</t>
  </si>
  <si>
    <t xml:space="preserve">79-95-8</t>
  </si>
  <si>
    <t xml:space="preserve">CC(C)(C1=CC(Cl)=C(O)C(Cl)=C1)C1=CC(Cl)=C(O)C(Cl)=C1</t>
  </si>
  <si>
    <t xml:space="preserve">KYPYTERUKNKOLP-UHFFFAOYSA-N</t>
  </si>
  <si>
    <t xml:space="preserve">365.10326</t>
  </si>
  <si>
    <t xml:space="preserve">C21H16O6</t>
  </si>
  <si>
    <t xml:space="preserve">Gerberinol</t>
  </si>
  <si>
    <t xml:space="preserve">57550</t>
  </si>
  <si>
    <t xml:space="preserve">HMDB0033304</t>
  </si>
  <si>
    <t xml:space="preserve">89160</t>
  </si>
  <si>
    <t xml:space="preserve">172592</t>
  </si>
  <si>
    <t xml:space="preserve">54714260</t>
  </si>
  <si>
    <t xml:space="preserve">84153-78-6</t>
  </si>
  <si>
    <t xml:space="preserve">CC1=C2C(O)=C(CC3=C(O)C4=C(C)C=CC=C4OC3=O)C(=O)OC2=CC=C1</t>
  </si>
  <si>
    <t xml:space="preserve">JUCUEMBIORWHSB-UHFFFAOYSA-N</t>
  </si>
  <si>
    <t xml:space="preserve">365.15794</t>
  </si>
  <si>
    <t xml:space="preserve">C14H30O8</t>
  </si>
  <si>
    <t xml:space="preserve">Heptaethylene glycol</t>
  </si>
  <si>
    <t xml:space="preserve">83356</t>
  </si>
  <si>
    <t xml:space="preserve">HMDB0061835</t>
  </si>
  <si>
    <t xml:space="preserve">44748</t>
  </si>
  <si>
    <t xml:space="preserve">79718</t>
  </si>
  <si>
    <t xml:space="preserve">5617-32-3</t>
  </si>
  <si>
    <t xml:space="preserve">OCCOCCOCCOCCOCCOCCOCCO</t>
  </si>
  <si>
    <t xml:space="preserve">XPJRQAIZZQMSCM-UHFFFAOYSA-N</t>
  </si>
  <si>
    <t xml:space="preserve">366.16206</t>
  </si>
  <si>
    <t xml:space="preserve">C21H22FN3O3</t>
  </si>
  <si>
    <t xml:space="preserve">Methyl (1-(4-fluorobenzyl)-1H-indazole-3-carbonyl)-L-valinate</t>
  </si>
  <si>
    <t xml:space="preserve">208883</t>
  </si>
  <si>
    <t xml:space="preserve">HMDB0254816</t>
  </si>
  <si>
    <t xml:space="preserve">119058044</t>
  </si>
  <si>
    <t xml:space="preserve">COC(=O)C(NC(=O)C1=NN(CC2=CC=C(F)C=C2)C2=CC=CC=C12)C(C)C</t>
  </si>
  <si>
    <t xml:space="preserve">FRFFLYJQPCIIQB-UHFFFAOYSA-N</t>
  </si>
  <si>
    <t xml:space="preserve">366.96704</t>
  </si>
  <si>
    <t xml:space="preserve">C4H9NO2Se</t>
  </si>
  <si>
    <t xml:space="preserve">Se-Methylselenocysteine; Selenohomocysteine</t>
  </si>
  <si>
    <t xml:space="preserve">48237; 48239</t>
  </si>
  <si>
    <t xml:space="preserve">HMDB0004113; HMDB0004119</t>
  </si>
  <si>
    <t xml:space="preserve">7019; </t>
  </si>
  <si>
    <t xml:space="preserve">C05689; C05698</t>
  </si>
  <si>
    <t xml:space="preserve">27812; 9096</t>
  </si>
  <si>
    <t xml:space="preserve">147004; 49787004</t>
  </si>
  <si>
    <t xml:space="preserve">26046-90-2; 29475-60-3</t>
  </si>
  <si>
    <t xml:space="preserve">C[Se]C[C@H](N)C(O)=O; N[C@@H](CC[SeH])C(O)=O</t>
  </si>
  <si>
    <t xml:space="preserve">XDSSPSLGNGIIHP-VKHMYHEASA-N; RCWCGLALNCIQNM-VKHMYHEASA-N</t>
  </si>
  <si>
    <t xml:space="preserve">367.15743</t>
  </si>
  <si>
    <t xml:space="preserve">C22H25ClN2O2</t>
  </si>
  <si>
    <t xml:space="preserve">4-(2-(1-(4-Chlorocinnamyl)piperazin-4-yl)ethyl)benzoate</t>
  </si>
  <si>
    <t xml:space="preserve">201629</t>
  </si>
  <si>
    <t xml:space="preserve">HMDB0246282</t>
  </si>
  <si>
    <t xml:space="preserve">114892</t>
  </si>
  <si>
    <t xml:space="preserve">[O-]C(=O)C1=CC=C(CC[NH+]2CCN(CC=CC3=CC=C(Cl)C=C3)CC2)C=C1</t>
  </si>
  <si>
    <t xml:space="preserve">YQIGCNRBMYEJID-UHFFFAOYSA-N</t>
  </si>
  <si>
    <t xml:space="preserve">367.22413</t>
  </si>
  <si>
    <t xml:space="preserve">C22H32O3</t>
  </si>
  <si>
    <t xml:space="preserve">17-HDoHE; 10-HDoHE; 11-HDoHE</t>
  </si>
  <si>
    <t xml:space="preserve">4847; 82051; 82052</t>
  </si>
  <si>
    <t xml:space="preserve">HMDB0010213; HMDB0060037; HMDB0060040</t>
  </si>
  <si>
    <t xml:space="preserve">LMFA04000032; ; </t>
  </si>
  <si>
    <t xml:space="preserve">72637; ; </t>
  </si>
  <si>
    <t xml:space="preserve">6439179; 88553636; 131769802</t>
  </si>
  <si>
    <t xml:space="preserve">90780-52-2; ; </t>
  </si>
  <si>
    <t xml:space="preserve">C(CC/C=C\C/C=C\C/C=C\C/C=C\C=C\C(O)C/C=C\CC)(=O)O; CC\C=C/C\C=C/C\C=C/C=C\C(O)C\C=C/C\C=C/CCC(O)=O; CC\C=C/C\C=C/C\C=C/CC(O)\C=C\C=C\C\C=C/CCC(O)=O</t>
  </si>
  <si>
    <t xml:space="preserve">SWTYBBUBEPPYCX-VIIQGJSXSA-N; DDCYKEYDTGCKAS-PMYRRKJZSA-N; LTERDCBCHFKFRI-KEFMQFBKSA-N</t>
  </si>
  <si>
    <t xml:space="preserve">368.22303</t>
  </si>
  <si>
    <t xml:space="preserve">C23H30NO3</t>
  </si>
  <si>
    <t xml:space="preserve">Propantheline</t>
  </si>
  <si>
    <t xml:space="preserve">53069</t>
  </si>
  <si>
    <t xml:space="preserve">HMDB0014920</t>
  </si>
  <si>
    <t xml:space="preserve">2153</t>
  </si>
  <si>
    <t xml:space="preserve">C07506</t>
  </si>
  <si>
    <t xml:space="preserve">754675</t>
  </si>
  <si>
    <t xml:space="preserve">4934</t>
  </si>
  <si>
    <t xml:space="preserve">298-50-0</t>
  </si>
  <si>
    <t xml:space="preserve">CC(C)[N+](C)(CCOC(=O)C1C2=CC=CC=C2OC2=CC=CC=C12)C(C)C</t>
  </si>
  <si>
    <t xml:space="preserve">VVWYOYDLCMFIEM-UHFFFAOYSA-N</t>
  </si>
  <si>
    <t xml:space="preserve">368.96344</t>
  </si>
  <si>
    <t xml:space="preserve">C3H5O7P</t>
  </si>
  <si>
    <t xml:space="preserve">Phosphohydroxypyruvic acid</t>
  </si>
  <si>
    <t xml:space="preserve">47351</t>
  </si>
  <si>
    <t xml:space="preserve">HMDB0001024</t>
  </si>
  <si>
    <t xml:space="preserve">484</t>
  </si>
  <si>
    <t xml:space="preserve">C03232</t>
  </si>
  <si>
    <t xml:space="preserve">30933</t>
  </si>
  <si>
    <t xml:space="preserve">105</t>
  </si>
  <si>
    <t xml:space="preserve">3913-50-6</t>
  </si>
  <si>
    <t xml:space="preserve">OC(=O)C(=O)COP(O)(O)=O</t>
  </si>
  <si>
    <t xml:space="preserve">LFLUCDOSQPJJBE-UHFFFAOYSA-N</t>
  </si>
  <si>
    <t xml:space="preserve">369.02996</t>
  </si>
  <si>
    <t xml:space="preserve">C18H16OSn</t>
  </si>
  <si>
    <t xml:space="preserve">Fentin</t>
  </si>
  <si>
    <t xml:space="preserve">197039</t>
  </si>
  <si>
    <t xml:space="preserve">HMDB0240281</t>
  </si>
  <si>
    <t xml:space="preserve">C18729</t>
  </si>
  <si>
    <t xml:space="preserve">30473</t>
  </si>
  <si>
    <t xml:space="preserve">9907219</t>
  </si>
  <si>
    <t xml:space="preserve">O[Sn](C1=CC=CC=C1)(C1=CC=CC=C1)C1=CC=CC=C1</t>
  </si>
  <si>
    <t xml:space="preserve">BFWMWWXRWVJXSE-UHFFFAOYSA-M</t>
  </si>
  <si>
    <t xml:space="preserve">369.13476</t>
  </si>
  <si>
    <t xml:space="preserve">C19H17FN4O3</t>
  </si>
  <si>
    <t xml:space="preserve">1-(5-Cyanopyridin-2-yl)-3-((1S,2S)-2-(6-fluoro-2-hydroxy-3-propanoylphenyl)cyclopropyl)urea</t>
  </si>
  <si>
    <t xml:space="preserve">208841</t>
  </si>
  <si>
    <t xml:space="preserve">HMDB0254768</t>
  </si>
  <si>
    <t xml:space="preserve">475289</t>
  </si>
  <si>
    <t xml:space="preserve">CCC(=O)C1=C(O)C(C2CC2NC(=O)NC2=NC=C(C=C2)C#N)=C(F)C=C1</t>
  </si>
  <si>
    <t xml:space="preserve">NKPHEWJJTGPRSL-UHFFFAOYSA-N</t>
  </si>
  <si>
    <t xml:space="preserve">369.23400</t>
  </si>
  <si>
    <t xml:space="preserve">C23H29FN2O</t>
  </si>
  <si>
    <t xml:space="preserve">4-Fluorobutyrfentanyl</t>
  </si>
  <si>
    <t xml:space="preserve">209050</t>
  </si>
  <si>
    <t xml:space="preserve">HMDB0255010</t>
  </si>
  <si>
    <t xml:space="preserve">86280430</t>
  </si>
  <si>
    <t xml:space="preserve">CCCC(=O)N(C1CCN(CCC2=CC=CC=C2)CC1)C1=CC=C(F)C=C1</t>
  </si>
  <si>
    <t xml:space="preserve">QZFMCYUBPSLOBP-UHFFFAOYSA-N</t>
  </si>
  <si>
    <t xml:space="preserve">371.10363</t>
  </si>
  <si>
    <t xml:space="preserve">C17H20N2O4S</t>
  </si>
  <si>
    <t xml:space="preserve">Dansylproline</t>
  </si>
  <si>
    <t xml:space="preserve">205547</t>
  </si>
  <si>
    <t xml:space="preserve">HMDB0250852</t>
  </si>
  <si>
    <t xml:space="preserve">598802</t>
  </si>
  <si>
    <t xml:space="preserve">CN(C)C1=CC=CC2=C1C=CC=C2S(=O)(=O)N1CCCC1C(O)=O</t>
  </si>
  <si>
    <t xml:space="preserve">ZHJIWURDCGMVQE-UHFFFAOYSA-N</t>
  </si>
  <si>
    <t xml:space="preserve">371.14586</t>
  </si>
  <si>
    <t xml:space="preserve">C22H20F2O3</t>
  </si>
  <si>
    <t xml:space="preserve">Fenozan 50F</t>
  </si>
  <si>
    <t xml:space="preserve">206722</t>
  </si>
  <si>
    <t xml:space="preserve">HMDB0252214</t>
  </si>
  <si>
    <t xml:space="preserve">FC1=CC=C(C=C1)C1=CC2OC3(CCCC3)OOC2(C1)C1=CC=C(F)C=C1</t>
  </si>
  <si>
    <t xml:space="preserve">XOTXRFZXHHSRTQ-UHFFFAOYSA-N</t>
  </si>
  <si>
    <t xml:space="preserve">371.22984</t>
  </si>
  <si>
    <t xml:space="preserve">C20H32N2O3</t>
  </si>
  <si>
    <t xml:space="preserve">(Z)-7-[(1R,4S,5R,6R)-5-[(E,3S)-3-Hydroxyoct-1-enyl]-2,3-diazabicyclo[2.2.1]hept-2-en-6-yl]hept-5-enoic acid</t>
  </si>
  <si>
    <t xml:space="preserve">203849</t>
  </si>
  <si>
    <t xml:space="preserve">HMDB0248811</t>
  </si>
  <si>
    <t xml:space="preserve">54461377</t>
  </si>
  <si>
    <t xml:space="preserve">CCCCCC(O)C=CC1C2CC(N=N2)C1CC=CCCCC(O)=O</t>
  </si>
  <si>
    <t xml:space="preserve">XBVVXCYNLAIXKD-UHFFFAOYSA-N</t>
  </si>
  <si>
    <t xml:space="preserve">371.31518</t>
  </si>
  <si>
    <t xml:space="preserve">C10H22O2</t>
  </si>
  <si>
    <t xml:space="preserve">1,1-Dimethoxyoctane; (±)-Hydroxycitronellol</t>
  </si>
  <si>
    <t xml:space="preserve">63470; 6386</t>
  </si>
  <si>
    <t xml:space="preserve">HMDB0040267; HMDB0030083</t>
  </si>
  <si>
    <t xml:space="preserve">94795; 86715</t>
  </si>
  <si>
    <t xml:space="preserve">; LMFA05000666</t>
  </si>
  <si>
    <t xml:space="preserve">61431; 249494</t>
  </si>
  <si>
    <t xml:space="preserve">10022-28-3; </t>
  </si>
  <si>
    <t xml:space="preserve">CCCCCCCC(OC)OC; C(CO)C(C)CCCC(O)(C)C</t>
  </si>
  <si>
    <t xml:space="preserve">BZOOCKAFKVYAOZ-UHFFFAOYSA-N; FPCCDPXRNNVUOM-UHFFFAOYSA-N</t>
  </si>
  <si>
    <t xml:space="preserve">Organic oxygen compounds; Lipids and lipid-like molecules</t>
  </si>
  <si>
    <t xml:space="preserve">Organooxygen compounds; Fatty Acyls</t>
  </si>
  <si>
    <t xml:space="preserve">Ethers; Fatty alcohols</t>
  </si>
  <si>
    <t xml:space="preserve">372.10407</t>
  </si>
  <si>
    <t xml:space="preserve">C18H20FNO3S</t>
  </si>
  <si>
    <t xml:space="preserve">R-138727</t>
  </si>
  <si>
    <t xml:space="preserve">52575</t>
  </si>
  <si>
    <t xml:space="preserve">HMDB0014258</t>
  </si>
  <si>
    <t xml:space="preserve">121230782</t>
  </si>
  <si>
    <t xml:space="preserve">204204-73-9</t>
  </si>
  <si>
    <t xml:space="preserve">OC(=O)CC1=C(S)CCN(C1)C(C(=O)C1CC1)C1=CC=CC=C1F</t>
  </si>
  <si>
    <t xml:space="preserve">HLJDDPUMYDOUGR-UHFFFAOYSA-N</t>
  </si>
  <si>
    <t xml:space="preserve">375.17135</t>
  </si>
  <si>
    <t xml:space="preserve">C18H28N2O3S</t>
  </si>
  <si>
    <t xml:space="preserve">Almokalant; (R)-3-((2-(2-(4-Methylpiperidin-1-yl)ethyl)pyrrolidin-1-yl)sulfonyl)phenol</t>
  </si>
  <si>
    <t xml:space="preserve">203315; 200996</t>
  </si>
  <si>
    <t xml:space="preserve">HMDB0248171; HMDB0245575</t>
  </si>
  <si>
    <t xml:space="preserve">3033962; 4184551</t>
  </si>
  <si>
    <t xml:space="preserve">CCCS(=O)CCCN(CC)CC(O)COC1=CC=C(C=C1)C#N; CC1CCN(CCC2CCCN2S(=O)(=O)C2=CC=CC(O)=C2)CC1</t>
  </si>
  <si>
    <t xml:space="preserve">ZMHOBBKJBYLXFR-UHFFFAOYSA-N; HWKROQUZSKPIKQ-UHFFFAOYSA-N</t>
  </si>
  <si>
    <t xml:space="preserve">Phenol ethers; Benzene and substituted derivatives</t>
  </si>
  <si>
    <t xml:space="preserve">Unclassified; Benzenesulfonamides</t>
  </si>
  <si>
    <t xml:space="preserve">376.30411</t>
  </si>
  <si>
    <t xml:space="preserve">C22H43NO</t>
  </si>
  <si>
    <t xml:space="preserve">13-Docosenamide</t>
  </si>
  <si>
    <t xml:space="preserve">200006</t>
  </si>
  <si>
    <t xml:space="preserve">HMDB0244507</t>
  </si>
  <si>
    <t xml:space="preserve">8214</t>
  </si>
  <si>
    <t xml:space="preserve">CCCCCCCCC=CCCCCCCCCCCCC(N)=O</t>
  </si>
  <si>
    <t xml:space="preserve">UAUDZVJPLUQNMU-UHFFFAOYSA-N</t>
  </si>
  <si>
    <t xml:space="preserve">377.12740</t>
  </si>
  <si>
    <t xml:space="preserve">C23H18N2O2</t>
  </si>
  <si>
    <t xml:space="preserve">Isofezolac</t>
  </si>
  <si>
    <t xml:space="preserve">207949</t>
  </si>
  <si>
    <t xml:space="preserve">HMDB0253634</t>
  </si>
  <si>
    <t xml:space="preserve">68677</t>
  </si>
  <si>
    <t xml:space="preserve">OC(=O)CC1=C(C(=NN1C1=CC=CC=C1)C1=CC=CC=C1)C1=CC=CC=C1</t>
  </si>
  <si>
    <t xml:space="preserve">LZRDDINFIHUVCX-UHFFFAOYSA-N</t>
  </si>
  <si>
    <t xml:space="preserve">377.20161</t>
  </si>
  <si>
    <t xml:space="preserve">C22H27FN2O</t>
  </si>
  <si>
    <t xml:space="preserve">p-Fluorofentanyl</t>
  </si>
  <si>
    <t xml:space="preserve">209935</t>
  </si>
  <si>
    <t xml:space="preserve">HMDB0256037</t>
  </si>
  <si>
    <t xml:space="preserve">322681</t>
  </si>
  <si>
    <t xml:space="preserve">61074</t>
  </si>
  <si>
    <t xml:space="preserve">62300</t>
  </si>
  <si>
    <t xml:space="preserve">CCC(=O)N(C1CCN(CCC2=CC=CC=C2)CC1)C1=CC=C(F)C=C1</t>
  </si>
  <si>
    <t xml:space="preserve">KXUBAVLIJFTASZ-UHFFFAOYSA-N</t>
  </si>
  <si>
    <t xml:space="preserve">377.26624</t>
  </si>
  <si>
    <t xml:space="preserve">C18H36N2O6</t>
  </si>
  <si>
    <t xml:space="preserve">4,7,13,16,21,24-Hexaoxa-1,10-diazabicyclo[8.8.8]hexacosane</t>
  </si>
  <si>
    <t xml:space="preserve">201063</t>
  </si>
  <si>
    <t xml:space="preserve">HMDB0245653</t>
  </si>
  <si>
    <t xml:space="preserve">458476</t>
  </si>
  <si>
    <t xml:space="preserve">72801</t>
  </si>
  <si>
    <t xml:space="preserve">C1COCCN2CCOCCOCCN(CCO1)CCOCCOCC2</t>
  </si>
  <si>
    <t xml:space="preserve">AUFVJZSDSXXFOI-UHFFFAOYSA-N</t>
  </si>
  <si>
    <t xml:space="preserve">379.14607</t>
  </si>
  <si>
    <t xml:space="preserve">C24H23ClO2</t>
  </si>
  <si>
    <t xml:space="preserve">2-[4-[(Z)-4-Chloro-1,2-diphenylbut-1-enyl]phenoxy]ethanol</t>
  </si>
  <si>
    <t xml:space="preserve">208382</t>
  </si>
  <si>
    <t xml:space="preserve">HMDB0254208</t>
  </si>
  <si>
    <t xml:space="preserve">148127</t>
  </si>
  <si>
    <t xml:space="preserve">OCCOC1=CC=C(C=C1)C(=C(CCCl)C1=CC=CC=C1)C1=CC=CC=C1</t>
  </si>
  <si>
    <t xml:space="preserve">LUMKNAVTFCDUIE-UHFFFAOYSA-N</t>
  </si>
  <si>
    <t xml:space="preserve">379.28668</t>
  </si>
  <si>
    <t xml:space="preserve">C21H40O4</t>
  </si>
  <si>
    <t xml:space="preserve">3-(2-Heptenyloxy)-2-hydroxypropyl undecanoate; Stearoyllactic acid</t>
  </si>
  <si>
    <t xml:space="preserve">58144; 7660</t>
  </si>
  <si>
    <t xml:space="preserve">HMDB0034031; HMDB0033372</t>
  </si>
  <si>
    <t xml:space="preserve">89668; 89215</t>
  </si>
  <si>
    <t xml:space="preserve">; LMFA07011021</t>
  </si>
  <si>
    <t xml:space="preserve">175593; </t>
  </si>
  <si>
    <t xml:space="preserve">101942511; 86677</t>
  </si>
  <si>
    <t xml:space="preserve">; 4253-64-9</t>
  </si>
  <si>
    <t xml:space="preserve">CCCCCCCCCCC(=O)OCC(O)COC\C=C\CCCC; O=C(C(OC(=O)CCCCCCCCCCCCCCCCC)C)O</t>
  </si>
  <si>
    <t xml:space="preserve">AQZFORIMCWMRNP-FYWRMAATSA-N; QMGGUIASDZZMHS-UHFFFAOYSA-N</t>
  </si>
  <si>
    <t xml:space="preserve">Glycerolipids; Fatty Acyls</t>
  </si>
  <si>
    <t xml:space="preserve">Diradylglycerols; Fatty acid esters</t>
  </si>
  <si>
    <t xml:space="preserve">380.28732</t>
  </si>
  <si>
    <t xml:space="preserve">C24H39NO</t>
  </si>
  <si>
    <t xml:space="preserve">Oleanilide</t>
  </si>
  <si>
    <t xml:space="preserve">209847</t>
  </si>
  <si>
    <t xml:space="preserve">HMDB0255937</t>
  </si>
  <si>
    <t xml:space="preserve">CCCCCCCCC=CCCCCCCCC(=O)NC1=CC=CC=C1</t>
  </si>
  <si>
    <t xml:space="preserve">YPUOCYKJOLQYQS-UHFFFAOYSA-N</t>
  </si>
  <si>
    <t xml:space="preserve">381.08126</t>
  </si>
  <si>
    <t xml:space="preserve">C12H22O11</t>
  </si>
  <si>
    <t xml:space="preserve">Trehalose; Alpha-Lactose</t>
  </si>
  <si>
    <t xml:space="preserve">47326; 46916</t>
  </si>
  <si>
    <t xml:space="preserve">HMDB0000975; HMDB0000186</t>
  </si>
  <si>
    <t xml:space="preserve">5913; 984806</t>
  </si>
  <si>
    <t xml:space="preserve">C01083; C00243</t>
  </si>
  <si>
    <t xml:space="preserve">16551; 36219</t>
  </si>
  <si>
    <t xml:space="preserve">7427; 84571</t>
  </si>
  <si>
    <t xml:space="preserve">99-20-7; 14641-93-1</t>
  </si>
  <si>
    <t xml:space="preserve">OC[C@H]1O[C@H](O[C@H]2O[C@H](CO)[C@@H](O)[C@H](O)[C@H]2O)[C@H](O)[C@@H](O)[C@@H]1O; OC[C@H]1O[C@@H](O[C@H]2[C@H](O)[C@@H](O)[C@@H](O)O[C@@H]2CO)[C@H](O)[C@@H](O)[C@H]1O</t>
  </si>
  <si>
    <t xml:space="preserve">HDTRYLNUVZCQOY-LIZSDCNHSA-N; GUBGYTABKSRVRQ-XLOQQCSPSA-N</t>
  </si>
  <si>
    <t xml:space="preserve">381.15867</t>
  </si>
  <si>
    <t xml:space="preserve">C12H32N4O3P2</t>
  </si>
  <si>
    <t xml:space="preserve">N-[Diaminophosphoryloxy-[di(propan-2-yl)amino]phosphoryl]-N-propan-2-ylpropan-2-amine; iso-OMPA</t>
  </si>
  <si>
    <t xml:space="preserve">211252; 207922</t>
  </si>
  <si>
    <t xml:space="preserve">HMDB0257590; HMDB0253598</t>
  </si>
  <si>
    <t xml:space="preserve">22034046; 5420</t>
  </si>
  <si>
    <t xml:space="preserve">CC(C)N(C(C)C)P(=O)(OP(N)(N)=O)N(C(C)C)C(C)C; CC(C)NP(=O)(NC(C)C)OP(=O)(NC(C)C)NC(C)C</t>
  </si>
  <si>
    <t xml:space="preserve">INMCMKYHPLDLLX-UHFFFAOYSA-N; IOIMDJXKIMCMIG-UHFFFAOYSA-N</t>
  </si>
  <si>
    <t xml:space="preserve">Organic phosphoric acids and derivatives; Organic phosphoric acids and derivatives</t>
  </si>
  <si>
    <t xml:space="preserve">Organic phosphoramides; Organic phosphoramides</t>
  </si>
  <si>
    <t xml:space="preserve">383.11852</t>
  </si>
  <si>
    <t xml:space="preserve">C19H24N2O2S</t>
  </si>
  <si>
    <t xml:space="preserve">Methotrimeprazine sulfoxide</t>
  </si>
  <si>
    <t xml:space="preserve">208641</t>
  </si>
  <si>
    <t xml:space="preserve">HMDB0254540</t>
  </si>
  <si>
    <t xml:space="preserve">1192</t>
  </si>
  <si>
    <t xml:space="preserve">165566</t>
  </si>
  <si>
    <t xml:space="preserve">7606-29-3</t>
  </si>
  <si>
    <t xml:space="preserve">COC1=CC2=C(C=C1)S(=O)C1=CC=CC=C1N2CC(C)CN(C)C</t>
  </si>
  <si>
    <t xml:space="preserve">CUJAZGOWDHBZEI-UHFFFAOYSA-N</t>
  </si>
  <si>
    <t xml:space="preserve">384.00595</t>
  </si>
  <si>
    <t xml:space="preserve">C18H13NO4</t>
  </si>
  <si>
    <t xml:space="preserve">Hallacridone</t>
  </si>
  <si>
    <t xml:space="preserve">54713</t>
  </si>
  <si>
    <t xml:space="preserve">HMDB0029826</t>
  </si>
  <si>
    <t xml:space="preserve">86531</t>
  </si>
  <si>
    <t xml:space="preserve">170087</t>
  </si>
  <si>
    <t xml:space="preserve">14380428</t>
  </si>
  <si>
    <t xml:space="preserve">109897-77-0</t>
  </si>
  <si>
    <t xml:space="preserve">CN1C2=C(C=CC=C2)C(=O)C2=C1C1=C(OC(=C1)C(C)=O)C=C2O</t>
  </si>
  <si>
    <t xml:space="preserve">GZVRDNACRGJZNW-UHFFFAOYSA-N</t>
  </si>
  <si>
    <t xml:space="preserve">384.99568</t>
  </si>
  <si>
    <t xml:space="preserve">C9H22O4P2S4</t>
  </si>
  <si>
    <t xml:space="preserve">Ethion</t>
  </si>
  <si>
    <t xml:space="preserve">206547</t>
  </si>
  <si>
    <t xml:space="preserve">HMDB0252018</t>
  </si>
  <si>
    <t xml:space="preserve">44238</t>
  </si>
  <si>
    <t xml:space="preserve">C18725</t>
  </si>
  <si>
    <t xml:space="preserve">38663</t>
  </si>
  <si>
    <t xml:space="preserve">3286</t>
  </si>
  <si>
    <t xml:space="preserve">563-12-2</t>
  </si>
  <si>
    <t xml:space="preserve">CCOP(=S)(OCC)SCSP(=S)(OCC)OCC</t>
  </si>
  <si>
    <t xml:space="preserve">RIZMRRKBZQXFOY-UHFFFAOYSA-N</t>
  </si>
  <si>
    <t xml:space="preserve">Organic dithiophosphoric acids and derivatives</t>
  </si>
  <si>
    <t xml:space="preserve">Dithiophosphate O-esters</t>
  </si>
  <si>
    <t xml:space="preserve">386.01751</t>
  </si>
  <si>
    <t xml:space="preserve">C9H15N3O11P2</t>
  </si>
  <si>
    <t xml:space="preserve">CDP</t>
  </si>
  <si>
    <t xml:space="preserve">47646</t>
  </si>
  <si>
    <t xml:space="preserve">HMDB0001546</t>
  </si>
  <si>
    <t xml:space="preserve">6313</t>
  </si>
  <si>
    <t xml:space="preserve">C00112</t>
  </si>
  <si>
    <t xml:space="preserve">17239</t>
  </si>
  <si>
    <t xml:space="preserve">6132</t>
  </si>
  <si>
    <t xml:space="preserve">63-38-7</t>
  </si>
  <si>
    <t xml:space="preserve">NC1=NC(=O)N(C=C1)[C@@H]1O[C@H](COP(O)(=O)OP(O)(O)=O)[C@@H](O)[C@H]1O</t>
  </si>
  <si>
    <t xml:space="preserve">ZWIADYZPOWUWEW-XVFCMESISA-N</t>
  </si>
  <si>
    <t xml:space="preserve">389.19003</t>
  </si>
  <si>
    <t xml:space="preserve">C18H24N6O4</t>
  </si>
  <si>
    <t xml:space="preserve">2-Hexynyl-5'-N-ethylcarboxamidoadenosine</t>
  </si>
  <si>
    <t xml:space="preserve">200580</t>
  </si>
  <si>
    <t xml:space="preserve">HMDB0245138</t>
  </si>
  <si>
    <t xml:space="preserve">4438292</t>
  </si>
  <si>
    <t xml:space="preserve">CCCCC#CC1=NC2=C(N=CN2C2OC(C(O)C2O)C(=O)NCC)C(N)=N1</t>
  </si>
  <si>
    <t xml:space="preserve">FDEACFAXFCKCHZ-UHFFFAOYSA-N</t>
  </si>
  <si>
    <t xml:space="preserve">391.21917</t>
  </si>
  <si>
    <t xml:space="preserve">C11H14FNO</t>
  </si>
  <si>
    <t xml:space="preserve">4-(4-Fluorophenyl)piperidin-4-ol; 3-Fluorophenmetrazine</t>
  </si>
  <si>
    <t xml:space="preserve">201638; 200052</t>
  </si>
  <si>
    <t xml:space="preserve">HMDB0246291; HMDB0244559</t>
  </si>
  <si>
    <t xml:space="preserve">77497; </t>
  </si>
  <si>
    <t xml:space="preserve">OC1(CCNCC1)C1=CC=C(F)C=C1; CC1NCCOC1C1=CC(F)=CC=C1</t>
  </si>
  <si>
    <t xml:space="preserve">QXWRXWPNHLIZBV-UHFFFAOYSA-N; VHYVKJAQSJCYCK-UHFFFAOYSA-N</t>
  </si>
  <si>
    <t xml:space="preserve">Piperidines; Oxazinanes</t>
  </si>
  <si>
    <t xml:space="preserve">Phenylpiperidines; Morpholines</t>
  </si>
  <si>
    <t xml:space="preserve">393.16883</t>
  </si>
  <si>
    <t xml:space="preserve">C24H24O5</t>
  </si>
  <si>
    <t xml:space="preserve">Calabaxanthone</t>
  </si>
  <si>
    <t xml:space="preserve">55430</t>
  </si>
  <si>
    <t xml:space="preserve">HMDB0030655</t>
  </si>
  <si>
    <t xml:space="preserve">87122</t>
  </si>
  <si>
    <t xml:space="preserve">341188</t>
  </si>
  <si>
    <t xml:space="preserve">39011-96-6</t>
  </si>
  <si>
    <t xml:space="preserve">COC1=C(CC=C(C)C)C2=C(OC3=C(C(O)=C4C=CC(C)(C)OC4=C3)C2=O)C=C1</t>
  </si>
  <si>
    <t xml:space="preserve">PLKQPRRVFTZBAE-UHFFFAOYSA-N</t>
  </si>
  <si>
    <t xml:space="preserve">393.23921</t>
  </si>
  <si>
    <t xml:space="preserve">C24H34O3</t>
  </si>
  <si>
    <t xml:space="preserve">3-Oxo-4,6-choladienoic acid</t>
  </si>
  <si>
    <t xml:space="preserve">46095</t>
  </si>
  <si>
    <t xml:space="preserve">HMDB0000476</t>
  </si>
  <si>
    <t xml:space="preserve">5463</t>
  </si>
  <si>
    <t xml:space="preserve">LMST04010235</t>
  </si>
  <si>
    <t xml:space="preserve">88112</t>
  </si>
  <si>
    <t xml:space="preserve">5283992</t>
  </si>
  <si>
    <t xml:space="preserve">88179-71-9</t>
  </si>
  <si>
    <t xml:space="preserve">C1[C@]2(C)[C@@]3([H])CC[C@]4(C)[C@@]([H])([C@]([H])(C)CCC(O)=O)CC[C@@]4([H])[C@]3([H])C=CC2=CC(=O)C1</t>
  </si>
  <si>
    <t xml:space="preserve">CREVIXFSUWYGRJ-IHMUCKAYSA-N</t>
  </si>
  <si>
    <t xml:space="preserve">395.25253</t>
  </si>
  <si>
    <t xml:space="preserve">C19H39O6P</t>
  </si>
  <si>
    <t xml:space="preserve">LPA(16:1)</t>
  </si>
  <si>
    <t xml:space="preserve">26117</t>
  </si>
  <si>
    <t xml:space="preserve">HMDB0011154</t>
  </si>
  <si>
    <t xml:space="preserve">82363</t>
  </si>
  <si>
    <t xml:space="preserve">LMGP10070003</t>
  </si>
  <si>
    <t xml:space="preserve">C15646</t>
  </si>
  <si>
    <t xml:space="preserve">52929772</t>
  </si>
  <si>
    <t xml:space="preserve">[C@](COP(=O)(O)O)([H])(O)CO/C=C\CCCCCCCCCCCCCC</t>
  </si>
  <si>
    <t xml:space="preserve">LBGSRVIXIVDRQM-OAXWQBPPSA-N</t>
  </si>
  <si>
    <t xml:space="preserve">396.25772</t>
  </si>
  <si>
    <t xml:space="preserve">C25H35NO4</t>
  </si>
  <si>
    <t xml:space="preserve">Norbuprenorphine</t>
  </si>
  <si>
    <t xml:space="preserve">82435</t>
  </si>
  <si>
    <t xml:space="preserve">HMDB0060546</t>
  </si>
  <si>
    <t xml:space="preserve">1430</t>
  </si>
  <si>
    <t xml:space="preserve">114976</t>
  </si>
  <si>
    <t xml:space="preserve">78715-23-8</t>
  </si>
  <si>
    <t xml:space="preserve">CO[C@]12CC[C@@]3(C[C@@H]1[C@](C)(O)C(C)(C)C)[C@H]1CC4=C5C(O[C@@H]2[C@@]35CCN1)=C(O)C=C4</t>
  </si>
  <si>
    <t xml:space="preserve">YOYLLRBMGQRFTN-IOMBULRVSA-N</t>
  </si>
  <si>
    <t xml:space="preserve">397.26416</t>
  </si>
  <si>
    <t xml:space="preserve">C28H34N2O</t>
  </si>
  <si>
    <t xml:space="preserve">1-[2-(Diphenylmethoxy)ethyl]-4-(3-phenylpropyl)piperazine</t>
  </si>
  <si>
    <t xml:space="preserve">207107</t>
  </si>
  <si>
    <t xml:space="preserve">HMDB0252651</t>
  </si>
  <si>
    <t xml:space="preserve">64093</t>
  </si>
  <si>
    <t xml:space="preserve">3456</t>
  </si>
  <si>
    <t xml:space="preserve">C(CN1CCN(CCOC(C2=CC=CC=C2)C2=CC=CC=C2)CC1)CC1=CC=CC=C1</t>
  </si>
  <si>
    <t xml:space="preserve">RAQPOZGWANIDQT-UHFFFAOYSA-N</t>
  </si>
  <si>
    <t xml:space="preserve">398.76956</t>
  </si>
  <si>
    <t xml:space="preserve">C2H4S5</t>
  </si>
  <si>
    <t xml:space="preserve">Lenthionine</t>
  </si>
  <si>
    <t xml:space="preserve">55853</t>
  </si>
  <si>
    <t xml:space="preserve">HMDB0031258</t>
  </si>
  <si>
    <t xml:space="preserve">66932</t>
  </si>
  <si>
    <t xml:space="preserve">C08382</t>
  </si>
  <si>
    <t xml:space="preserve">67521</t>
  </si>
  <si>
    <t xml:space="preserve">292-46-6</t>
  </si>
  <si>
    <t xml:space="preserve">C1SSCSSS1</t>
  </si>
  <si>
    <t xml:space="preserve">DZKOKXZNCDGVRY-UHFFFAOYSA-N</t>
  </si>
  <si>
    <t xml:space="preserve">Organic trisulfides</t>
  </si>
  <si>
    <t xml:space="preserve">399.09339</t>
  </si>
  <si>
    <t xml:space="preserve">C19H15F3N2O3</t>
  </si>
  <si>
    <t xml:space="preserve">N-(3,5-Dihydroxy-4-azatetracyclo[5.3.2.02,6.08,10]dodeca-2,5,11-trien-4-yl)-4-(trifluoromethyl)benzamide; 4-Trifluoromethyl-N-(3,3a,4,4a,5,5a,6,6a-octahydro-1,3-dioxo-4,6-ethenocycloprop(f)isoindol-2(1H)-yl)-benzamide</t>
  </si>
  <si>
    <t xml:space="preserve">213547; 211981</t>
  </si>
  <si>
    <t xml:space="preserve">HMDB0260430; HMDB0258473</t>
  </si>
  <si>
    <t xml:space="preserve">91572954; 25101755</t>
  </si>
  <si>
    <t xml:space="preserve">OC1=C2C3C=CC(C4CC34)C2=C(O)N1NC(=O)C1=CC=C(C=C1)C(F)(F)F; FC(F)(F)C1=CC=C(C=C1)C(=O)NN1C(=O)C2C(C3C=CC2C2CC32)C1=O</t>
  </si>
  <si>
    <t xml:space="preserve">PFTCYSLXMGONAY-UHFFFAOYSA-N; CSKDFZIMJXRJGH-UHFFFAOYSA-N</t>
  </si>
  <si>
    <t xml:space="preserve">Benzene and substituted derivatives; Isoindoles and derivatives</t>
  </si>
  <si>
    <t xml:space="preserve">Trifluoromethylbenzenes; Isoindolines</t>
  </si>
  <si>
    <t xml:space="preserve">399.18252</t>
  </si>
  <si>
    <t xml:space="preserve">C24H22N4O2</t>
  </si>
  <si>
    <t xml:space="preserve">N-[(3R)-2,3-Dihydro-1-methyl-2-oxo-5-phenyl-1H-1,4-benzodiazepin-3-yl]-N'-(3-methylphenyl)urea; 3-[1-(3-Aminopropyl)-1H-indol-3-YL]-4-(1-methyl-1H-indol-3-YL)-1H-pyrrole-2,5-dione</t>
  </si>
  <si>
    <t xml:space="preserve">199934; 210982</t>
  </si>
  <si>
    <t xml:space="preserve">HMDB0244429; HMDB0257261</t>
  </si>
  <si>
    <t xml:space="preserve">; 45539</t>
  </si>
  <si>
    <t xml:space="preserve">104929; 2403</t>
  </si>
  <si>
    <t xml:space="preserve">; 138516-31-1</t>
  </si>
  <si>
    <t xml:space="preserve">CN1C2=CC=CC=C2C(=NC(NC(=O)NC2=CC=CC(C)=C2)C1=O)C1=CC=CC=C1; CN1C=C(C2=CC=CC=C12)C1=C(C(=O)NC1=O)C1=CN(CCCN)C2=C1C=CC=C2</t>
  </si>
  <si>
    <t xml:space="preserve">KDFQABSFVYLGPM-UHFFFAOYSA-N; UQHKJRCFSLMWIA-UHFFFAOYSA-N</t>
  </si>
  <si>
    <t xml:space="preserve">Benzodiazepines; Indoles and derivatives</t>
  </si>
  <si>
    <t xml:space="preserve">1,4-benzodiazepines; N-alkylindoles</t>
  </si>
  <si>
    <t xml:space="preserve">399.26007</t>
  </si>
  <si>
    <t xml:space="preserve">C27H36O</t>
  </si>
  <si>
    <t xml:space="preserve">10'-Apo-beta-carotenal</t>
  </si>
  <si>
    <t xml:space="preserve">81711</t>
  </si>
  <si>
    <t xml:space="preserve">HMDB0059605</t>
  </si>
  <si>
    <t xml:space="preserve">96230</t>
  </si>
  <si>
    <t xml:space="preserve">53153</t>
  </si>
  <si>
    <t xml:space="preserve">6450190</t>
  </si>
  <si>
    <t xml:space="preserve">640-49-3</t>
  </si>
  <si>
    <t xml:space="preserve">C\C(\C=C\C=O)=C/C=C/C=C(\C)/C=C/C=C(\C)/C=C/C1=C(C)CCCC1(C)C</t>
  </si>
  <si>
    <t xml:space="preserve">PJEHRCCPERVGEC-FLHUAPOTSA-N</t>
  </si>
  <si>
    <t xml:space="preserve">401.16347</t>
  </si>
  <si>
    <t xml:space="preserve">C23H26N2O2</t>
  </si>
  <si>
    <t xml:space="preserve">Benzetimide</t>
  </si>
  <si>
    <t xml:space="preserve">204016</t>
  </si>
  <si>
    <t xml:space="preserve">HMDB0248988</t>
  </si>
  <si>
    <t xml:space="preserve">314266</t>
  </si>
  <si>
    <t xml:space="preserve">21847</t>
  </si>
  <si>
    <t xml:space="preserve">OC1=NC(=O)C(CC1)(C1CCN(CC2=CC=CC=C2)CC1)C1=CC=CC=C1</t>
  </si>
  <si>
    <t xml:space="preserve">LQQIVYSCPWCSSD-UHFFFAOYSA-N</t>
  </si>
  <si>
    <t xml:space="preserve">401.26576</t>
  </si>
  <si>
    <t xml:space="preserve">C20H42O5</t>
  </si>
  <si>
    <t xml:space="preserve">Tetraethylene glycol monododecyl ether</t>
  </si>
  <si>
    <t xml:space="preserve">202214</t>
  </si>
  <si>
    <t xml:space="preserve">HMDB0246913</t>
  </si>
  <si>
    <t xml:space="preserve">350763</t>
  </si>
  <si>
    <t xml:space="preserve">78933</t>
  </si>
  <si>
    <t xml:space="preserve">CCCCCCCCCCCCOCCOCCOCCOCCO</t>
  </si>
  <si>
    <t xml:space="preserve">WPMWEFXCIYCJSA-UHFFFAOYSA-N</t>
  </si>
  <si>
    <t xml:space="preserve">405.16412</t>
  </si>
  <si>
    <t xml:space="preserve">C17H24F2N6O</t>
  </si>
  <si>
    <t xml:space="preserve">Gosogliptin</t>
  </si>
  <si>
    <t xml:space="preserve">207331</t>
  </si>
  <si>
    <t xml:space="preserve">HMDB0252917</t>
  </si>
  <si>
    <t xml:space="preserve">53400847</t>
  </si>
  <si>
    <t xml:space="preserve">FC1(F)CCN(C1)C(=O)C1CC(CN1)N1CCN(CC1)C1=NC=CC=N1</t>
  </si>
  <si>
    <t xml:space="preserve">QWEWGXUTRTXFRF-UHFFFAOYSA-N</t>
  </si>
  <si>
    <t xml:space="preserve">405.22162</t>
  </si>
  <si>
    <t xml:space="preserve">C25H34O2</t>
  </si>
  <si>
    <t xml:space="preserve">Apo-12'-zeaxanthinal; QUINGESTANOL</t>
  </si>
  <si>
    <t xml:space="preserve">255017; 210809</t>
  </si>
  <si>
    <t xml:space="preserve">HMDB0302023; HMDB0257039</t>
  </si>
  <si>
    <t xml:space="preserve">53161; </t>
  </si>
  <si>
    <t xml:space="preserve">; 25414</t>
  </si>
  <si>
    <t xml:space="preserve">[H]/C(=C(/[H])\C(\[H])=C(/C)\C(\[H])=C(/[H])\C(\[H])=C(/C)\C(\[H])=C(/[H])C1=C(C)C[C@@]([H])(O)CC1(C)C)/C(/[H])=C(\C)C=O; CC12CCC3C(CC=C4C=C(CCC34)OC3CCCC3)C1CCC2(O)C#C</t>
  </si>
  <si>
    <t xml:space="preserve">PAUIQDPAEDELMC-HEZGKBSMSA-N; PCJFRMOEZQQSAX-UHFFFAOYSA-N</t>
  </si>
  <si>
    <t xml:space="preserve">Diterpenoids; Estrane steroids</t>
  </si>
  <si>
    <t xml:space="preserve">405.98661</t>
  </si>
  <si>
    <t xml:space="preserve">C13H19ClNO3PS2</t>
  </si>
  <si>
    <t xml:space="preserve">Anilofos</t>
  </si>
  <si>
    <t xml:space="preserve">203529</t>
  </si>
  <si>
    <t xml:space="preserve">HMDB0248439</t>
  </si>
  <si>
    <t xml:space="preserve">72203</t>
  </si>
  <si>
    <t xml:space="preserve">C18394</t>
  </si>
  <si>
    <t xml:space="preserve">91687</t>
  </si>
  <si>
    <t xml:space="preserve">64249-01-0</t>
  </si>
  <si>
    <t xml:space="preserve">COP(=S)(OC)SCC(=O)N(C(C)C)C1=CC=C(Cl)C=C1</t>
  </si>
  <si>
    <t xml:space="preserve">NXQDBZGWYSEGFL-UHFFFAOYSA-N</t>
  </si>
  <si>
    <t xml:space="preserve">407.17317</t>
  </si>
  <si>
    <t xml:space="preserve">C25H24N2O2</t>
  </si>
  <si>
    <t xml:space="preserve">1-(2-(4-Morpholinyl)ethyl)-3-(1-naphthoyl) indole</t>
  </si>
  <si>
    <t xml:space="preserve">199824</t>
  </si>
  <si>
    <t xml:space="preserve">HMDB0244306</t>
  </si>
  <si>
    <t xml:space="preserve">45478</t>
  </si>
  <si>
    <t xml:space="preserve">10045570</t>
  </si>
  <si>
    <t xml:space="preserve">103610-04-4</t>
  </si>
  <si>
    <t xml:space="preserve">O=C(C1=CN(CCN2CCOCC2)C2=CC=CC=C12)C1=CC=CC2=CC=CC=C12</t>
  </si>
  <si>
    <t xml:space="preserve">SZWYXJHTNGJPKU-UHFFFAOYSA-N</t>
  </si>
  <si>
    <t xml:space="preserve">Naphthoylindoles</t>
  </si>
  <si>
    <t xml:space="preserve">407.21401</t>
  </si>
  <si>
    <t xml:space="preserve">C23H32N2OS</t>
  </si>
  <si>
    <t xml:space="preserve">Diafenthiuron</t>
  </si>
  <si>
    <t xml:space="preserve">205776</t>
  </si>
  <si>
    <t xml:space="preserve">HMDB0251124</t>
  </si>
  <si>
    <t xml:space="preserve">72551</t>
  </si>
  <si>
    <t xml:space="preserve">C18781</t>
  </si>
  <si>
    <t xml:space="preserve">39299</t>
  </si>
  <si>
    <t xml:space="preserve">3034380</t>
  </si>
  <si>
    <t xml:space="preserve">80060-09-9</t>
  </si>
  <si>
    <t xml:space="preserve">CC(C)C1=CC(OC2=CC=CC=C2)=CC(C(C)C)=C1N=C(S)NC(C)(C)C</t>
  </si>
  <si>
    <t xml:space="preserve">WOWBFOBYOAGEEA-UHFFFAOYSA-N</t>
  </si>
  <si>
    <t xml:space="preserve">409.17905</t>
  </si>
  <si>
    <t xml:space="preserve">C23H25ClN4O</t>
  </si>
  <si>
    <t xml:space="preserve">5-Benzyl-2-[[4-(3-chlorophenyl)piperazin-1-yl]methyl]-6-methylpyridazin-3-one</t>
  </si>
  <si>
    <t xml:space="preserve">210047</t>
  </si>
  <si>
    <t xml:space="preserve">HMDB0256167</t>
  </si>
  <si>
    <t xml:space="preserve">10047089</t>
  </si>
  <si>
    <t xml:space="preserve">CC1=NN(CN2CCN(CC2)C2=CC(Cl)=CC=C2)C(=O)C=C1CC1=CC=CC=C1</t>
  </si>
  <si>
    <t xml:space="preserve">NIRCAUPPZAUKDX-UHFFFAOYSA-N</t>
  </si>
  <si>
    <t xml:space="preserve">409.26656</t>
  </si>
  <si>
    <t xml:space="preserve">C23H40O3</t>
  </si>
  <si>
    <t xml:space="preserve">2-Arachidonyl Glycerol ether; 4-Hydroxy-3-(16-methylheptadecyl)-2H-pyran-2-one; 3-Methyl-5-pentyl-2-furantridecanoic acid</t>
  </si>
  <si>
    <t xml:space="preserve">10462; 56542; 2627</t>
  </si>
  <si>
    <t xml:space="preserve">HMDB0013657; HMDB0032093; HMDB0061648</t>
  </si>
  <si>
    <t xml:space="preserve">64848; 88177; 978192</t>
  </si>
  <si>
    <t xml:space="preserve">LMGL01020034; ; LMFA01150014</t>
  </si>
  <si>
    <t xml:space="preserve">75913; ; </t>
  </si>
  <si>
    <t xml:space="preserve">6483057; 86187765; 71443943</t>
  </si>
  <si>
    <t xml:space="preserve">222723-55-9; 203300-23-6; 57818-42-5</t>
  </si>
  <si>
    <t xml:space="preserve">O([C@@](CO)(CO)[H])CCCC/C=C\C/C=C\C/C=C\C/C=C\CCCCC; CC(C)CCCCCCCCCCCCCCCC1=C(O)C=COC1=O; C(CC)CCC1=CC(C)=C(CCCCCCCCCCCCC(=O)O)O1</t>
  </si>
  <si>
    <t xml:space="preserve">CUJUUWXZAQHCNC-DOFZRALJSA-N; XEKYYIHOWASTHE-UHFFFAOYSA-N; JXBLMIJDQFTVIE-UHFFFAOYSA-N</t>
  </si>
  <si>
    <t xml:space="preserve">Endocannabinoids; Pyrans; Fatty Acyls</t>
  </si>
  <si>
    <t xml:space="preserve">Unclassified; Pyranones and derivatives; Fatty acids and conjugates</t>
  </si>
  <si>
    <t xml:space="preserve">410.18099</t>
  </si>
  <si>
    <t xml:space="preserve">C19H25N5O4</t>
  </si>
  <si>
    <t xml:space="preserve">Terazosin</t>
  </si>
  <si>
    <t xml:space="preserve">53380</t>
  </si>
  <si>
    <t xml:space="preserve">HMDB0015293</t>
  </si>
  <si>
    <t xml:space="preserve">2721</t>
  </si>
  <si>
    <t xml:space="preserve">C07127</t>
  </si>
  <si>
    <t xml:space="preserve">9445</t>
  </si>
  <si>
    <t xml:space="preserve">5401</t>
  </si>
  <si>
    <t xml:space="preserve">63590-64-7</t>
  </si>
  <si>
    <t xml:space="preserve">COC1=C(OC)C=C2C(N)=NC(=NC2=C1)N1CCN(CC1)C(=O)C1CCCO1</t>
  </si>
  <si>
    <t xml:space="preserve">VCKUSRYTPJJLNI-UHFFFAOYSA-N</t>
  </si>
  <si>
    <t xml:space="preserve">410.26894</t>
  </si>
  <si>
    <t xml:space="preserve">C26H35NO3</t>
  </si>
  <si>
    <t xml:space="preserve">Methyl (2E)-2-(10,13-dimethyl-11-oxo-3-pyrrolidin-1-yl-2,7,8,9,12,14,15,16-octahydro-1H-cyclopenta[a]phenanthren-17-ylidene)acetate</t>
  </si>
  <si>
    <t xml:space="preserve">209724</t>
  </si>
  <si>
    <t xml:space="preserve">HMDB0255789</t>
  </si>
  <si>
    <t xml:space="preserve">408040</t>
  </si>
  <si>
    <t xml:space="preserve">COC(=O)C=C1CCC2C3CC=C4C=C(CCC4(C)C3C(=O)CC12C)N1CCCC1</t>
  </si>
  <si>
    <t xml:space="preserve">WWWFGNPHCWUJER-UHFFFAOYSA-N</t>
  </si>
  <si>
    <t xml:space="preserve">410.76735</t>
  </si>
  <si>
    <t xml:space="preserve">C2Cl3F3</t>
  </si>
  <si>
    <t xml:space="preserve">1,1,1-Trichloro-2,2,2-trifluoroethane</t>
  </si>
  <si>
    <t xml:space="preserve">199559</t>
  </si>
  <si>
    <t xml:space="preserve">HMDB0244032</t>
  </si>
  <si>
    <t xml:space="preserve">9635</t>
  </si>
  <si>
    <t xml:space="preserve">FC(F)(F)C(Cl)(Cl)Cl</t>
  </si>
  <si>
    <t xml:space="preserve">BOSAWIQFTJIYIS-UHFFFAOYSA-N</t>
  </si>
  <si>
    <t xml:space="preserve">Alkyl chlorides</t>
  </si>
  <si>
    <t xml:space="preserve">411.26595</t>
  </si>
  <si>
    <t xml:space="preserve">C25H40O2</t>
  </si>
  <si>
    <t xml:space="preserve">1-Phenyl-1,3-nonadecanedione; 5-(10,13-Nonadecadienyl)-1,3-benzenediol</t>
  </si>
  <si>
    <t xml:space="preserve">59448; 63107</t>
  </si>
  <si>
    <t xml:space="preserve">HMDB0035584; HMDB0039867</t>
  </si>
  <si>
    <t xml:space="preserve">90864; 94413</t>
  </si>
  <si>
    <t xml:space="preserve">67738066; 131752737</t>
  </si>
  <si>
    <t xml:space="preserve">; 189562-02-5</t>
  </si>
  <si>
    <t xml:space="preserve">CCCCCCCCCCCCCCCCC(=O)CC(=O)C1=CC=CC=C1; CCCCC\C=C\C\C=C\CCCCCCCCCC1=CC(O)=CC(O)=C1</t>
  </si>
  <si>
    <t xml:space="preserve">MVJPWTFBRAZGDC-UHFFFAOYSA-N; QEMSHYYBCNAAQA-AVQMFFATSA-N</t>
  </si>
  <si>
    <t xml:space="preserve">Organooxygen compounds; Phenols</t>
  </si>
  <si>
    <t xml:space="preserve">Carbonyl compounds; Benzenediols</t>
  </si>
  <si>
    <t xml:space="preserve">415.03879</t>
  </si>
  <si>
    <t xml:space="preserve">C11H21O12P</t>
  </si>
  <si>
    <t xml:space="preserve">lysophosphatidylinositol</t>
  </si>
  <si>
    <t xml:space="preserve">208423</t>
  </si>
  <si>
    <t xml:space="preserve">HMDB0254272</t>
  </si>
  <si>
    <t xml:space="preserve">138149697</t>
  </si>
  <si>
    <t xml:space="preserve">CC(=O)OCC(O)COP(O)(=O)OC1C(O)C(O)C(O)C(O)C1O</t>
  </si>
  <si>
    <t xml:space="preserve">FBDBXJJQMHPGMP-UHFFFAOYSA-N</t>
  </si>
  <si>
    <t xml:space="preserve">415.27393</t>
  </si>
  <si>
    <t xml:space="preserve">C23H46O</t>
  </si>
  <si>
    <t xml:space="preserve">Tricosanal</t>
  </si>
  <si>
    <t xml:space="preserve">212589</t>
  </si>
  <si>
    <t xml:space="preserve">HMDB0259187</t>
  </si>
  <si>
    <t xml:space="preserve">CCCCCCCCCCCCCCCCCCCCCCC=O</t>
  </si>
  <si>
    <t xml:space="preserve">IALIDHPAWNTXOK-UHFFFAOYSA-N</t>
  </si>
  <si>
    <t xml:space="preserve">Fatty aldehydes</t>
  </si>
  <si>
    <t xml:space="preserve">417.24472</t>
  </si>
  <si>
    <t xml:space="preserve">C17H32N6O6</t>
  </si>
  <si>
    <t xml:space="preserve">Glutamylleucylarginine</t>
  </si>
  <si>
    <t xml:space="preserve">207197</t>
  </si>
  <si>
    <t xml:space="preserve">HMDB0252758</t>
  </si>
  <si>
    <t xml:space="preserve">18220317</t>
  </si>
  <si>
    <t xml:space="preserve">CC(C)CC(NC(=O)C(N)CCC(O)=O)C(=O)NC(CCCN=C(N)N)C(O)=O</t>
  </si>
  <si>
    <t xml:space="preserve">VSRCAOIHMGCIJK-UHFFFAOYSA-N</t>
  </si>
  <si>
    <t xml:space="preserve">418.24235</t>
  </si>
  <si>
    <t xml:space="preserve">C27H33NO4</t>
  </si>
  <si>
    <t xml:space="preserve">Paxilline</t>
  </si>
  <si>
    <t xml:space="preserve">55142</t>
  </si>
  <si>
    <t xml:space="preserve">HMDB0030323</t>
  </si>
  <si>
    <t xml:space="preserve">69702</t>
  </si>
  <si>
    <t xml:space="preserve">C13782</t>
  </si>
  <si>
    <t xml:space="preserve">105008</t>
  </si>
  <si>
    <t xml:space="preserve">57186-25-1</t>
  </si>
  <si>
    <t xml:space="preserve">[H][C@]12CC3=C(NC4=CC=CC=C34)[C@]1(C)[C@@]1(C)CC[C@]3([H])O[C@@H](C(=O)C=C3[C@]1(O)CC2)C(C)(C)O</t>
  </si>
  <si>
    <t xml:space="preserve">ACNHBCIZLNNLRS-UBGQALKQSA-N</t>
  </si>
  <si>
    <t xml:space="preserve">419.24638</t>
  </si>
  <si>
    <t xml:space="preserve">C25H30N4O2</t>
  </si>
  <si>
    <t xml:space="preserve">Palosuran</t>
  </si>
  <si>
    <t xml:space="preserve">209981</t>
  </si>
  <si>
    <t xml:space="preserve">HMDB0256094</t>
  </si>
  <si>
    <t xml:space="preserve">CC1=NC2=CC=CC=C2C(NC(=O)NCCN2CCC(O)(CC3=CC=CC=C3)CC2)=C1</t>
  </si>
  <si>
    <t xml:space="preserve">WYJCYXOCHXWTHG-UHFFFAOYSA-N</t>
  </si>
  <si>
    <t xml:space="preserve">419.31896</t>
  </si>
  <si>
    <t xml:space="preserve">C26H44O5</t>
  </si>
  <si>
    <t xml:space="preserve">Varanic acid</t>
  </si>
  <si>
    <t xml:space="preserve">47851</t>
  </si>
  <si>
    <t xml:space="preserve">HMDB0002195</t>
  </si>
  <si>
    <t xml:space="preserve">6538</t>
  </si>
  <si>
    <t xml:space="preserve">22833587</t>
  </si>
  <si>
    <t xml:space="preserve">1061-64-9</t>
  </si>
  <si>
    <t xml:space="preserve">[H][C@@]12CC[C@H]([C@H](C)CC[C@@H](O)[C@@H](O)C(O)=O)[C@@]1(C)CC[C@@]1([H])[C@@]2([H])CC[C@]2([H])C[C@H](O)CC[C@]12C</t>
  </si>
  <si>
    <t xml:space="preserve">NRDKNLGDNLHWHG-IYELHLJQSA-N</t>
  </si>
  <si>
    <t xml:space="preserve">423.21624</t>
  </si>
  <si>
    <t xml:space="preserve">C26H30O5</t>
  </si>
  <si>
    <t xml:space="preserve">2',4,4'-Trihydroxy-6'-methoxy-3',5'-diprenylchalcone; Kanzonol J; 1-Methoxyficifolinol</t>
  </si>
  <si>
    <t xml:space="preserve">33787; 63748; 61554</t>
  </si>
  <si>
    <t xml:space="preserve">HMDB0035066; HMDB0040605; HMDB0038109</t>
  </si>
  <si>
    <t xml:space="preserve">52099; 95085; </t>
  </si>
  <si>
    <t xml:space="preserve">LMPK12120296; ; </t>
  </si>
  <si>
    <t xml:space="preserve">23250008; 131752862; 131752306</t>
  </si>
  <si>
    <t xml:space="preserve">189299-04-5; 152511-47-2; 129280-35-9</t>
  </si>
  <si>
    <t xml:space="preserve">C1(C/C=C(/C)\C)C(OC)=C(C(=O)/C=C/C2C=CC(O)=CC=2)C(O)=C(C/C=C(\C)/C)C=1O; COC1=C2CC(COC2=CC2=C1CCC(C)(C)O2)C1=C2OC(C)(C)C=CC2=C(O)C=C1; COC1=CC2=C(C=C1CC=C(C)C)C1COC3=C(C1O2)C(O)=C(CC=C(C)C)C(O)=C3</t>
  </si>
  <si>
    <t xml:space="preserve">HOTYOZVURUOVTK-XNTDXEJSSA-N; POHNDGZXXXCXFF-UHFFFAOYSA-N; YCYLVHIWXLJVIC-UHFFFAOYSA-N</t>
  </si>
  <si>
    <t xml:space="preserve">Linear 1,3-diarylpropanoids; Isoflavonoids; Isoflavonoids</t>
  </si>
  <si>
    <t xml:space="preserve">Chalcones and dihydrochalcones; Pyranoisoflavonoids; Furanoisoflavonoids</t>
  </si>
  <si>
    <t xml:space="preserve">423.26750</t>
  </si>
  <si>
    <t xml:space="preserve">C13H20O</t>
  </si>
  <si>
    <t xml:space="preserve">alpha-Ionone; beta-Ionone</t>
  </si>
  <si>
    <t xml:space="preserve">81912; 60266</t>
  </si>
  <si>
    <t xml:space="preserve">HMDB0059883; HMDB0036565</t>
  </si>
  <si>
    <t xml:space="preserve">69412; 69413</t>
  </si>
  <si>
    <t xml:space="preserve">C12286; C12287</t>
  </si>
  <si>
    <t xml:space="preserve">32319; 32325</t>
  </si>
  <si>
    <t xml:space="preserve">5282108; 638014</t>
  </si>
  <si>
    <t xml:space="preserve">127-41-3; 79-77-6</t>
  </si>
  <si>
    <t xml:space="preserve">CC(=O)\C=C\C1C(C)=CCCC1(C)C; CC(=O)\C=C\C1=C(C)CCCC1(C)C</t>
  </si>
  <si>
    <t xml:space="preserve">UZFLPKAIBPNNCA-BQYQJAHWSA-N; PSQYTAPXSHCGMF-BQYQJAHWSA-N</t>
  </si>
  <si>
    <t xml:space="preserve">423.98817</t>
  </si>
  <si>
    <t xml:space="preserve">C16H13F2NO3S3</t>
  </si>
  <si>
    <t xml:space="preserve">5-Methanesulfonamido-6-(2,4-difluorothiophenyl)-1-indanone</t>
  </si>
  <si>
    <t xml:space="preserve">202139</t>
  </si>
  <si>
    <t xml:space="preserve">HMDB0246821</t>
  </si>
  <si>
    <t xml:space="preserve">23509770</t>
  </si>
  <si>
    <t xml:space="preserve">CS(=O)(=O)NC1=CC2=C(C=C1C1=C(SF)C=C(SF)C=C1)C(=O)CC2</t>
  </si>
  <si>
    <t xml:space="preserve">AMRQIDIFRRETOE-UHFFFAOYSA-N</t>
  </si>
  <si>
    <t xml:space="preserve">424.28453</t>
  </si>
  <si>
    <t xml:space="preserve">C25H39NO3</t>
  </si>
  <si>
    <t xml:space="preserve">Cetilistat</t>
  </si>
  <si>
    <t xml:space="preserve">204717</t>
  </si>
  <si>
    <t xml:space="preserve">HMDB0249835</t>
  </si>
  <si>
    <t xml:space="preserve">CCCCCCCCCCCCCCCCOC1=NC2=C(C=C(C)C=C2)C(=O)O1</t>
  </si>
  <si>
    <t xml:space="preserve">MVCQKIKWYUURMU-UHFFFAOYSA-N</t>
  </si>
  <si>
    <t xml:space="preserve">424.78212</t>
  </si>
  <si>
    <t xml:space="preserve">C10H5Cl7O</t>
  </si>
  <si>
    <t xml:space="preserve">Heptachlor exo-epoxide</t>
  </si>
  <si>
    <t xml:space="preserve">199816</t>
  </si>
  <si>
    <t xml:space="preserve">HMDB0244297</t>
  </si>
  <si>
    <t xml:space="preserve">69968</t>
  </si>
  <si>
    <t xml:space="preserve">C14327</t>
  </si>
  <si>
    <t xml:space="preserve">13930</t>
  </si>
  <si>
    <t xml:space="preserve">1024-57-3</t>
  </si>
  <si>
    <t xml:space="preserve">ClC1C2OC2C2C1C1(Cl)C(Cl)=C(Cl)C2(Cl)C1(Cl)Cl</t>
  </si>
  <si>
    <t xml:space="preserve">ZXFXBSWRVIQKOD-UHFFFAOYSA-N</t>
  </si>
  <si>
    <t xml:space="preserve">Oxanes</t>
  </si>
  <si>
    <t xml:space="preserve">425.18224</t>
  </si>
  <si>
    <t xml:space="preserve">C11H15NO2</t>
  </si>
  <si>
    <t xml:space="preserve">(-)-Salsoline</t>
  </si>
  <si>
    <t xml:space="preserve">52010</t>
  </si>
  <si>
    <t xml:space="preserve">HMDB0012469</t>
  </si>
  <si>
    <t xml:space="preserve">C09640</t>
  </si>
  <si>
    <t xml:space="preserve">761542</t>
  </si>
  <si>
    <t xml:space="preserve">442356</t>
  </si>
  <si>
    <t xml:space="preserve">89-31-6</t>
  </si>
  <si>
    <t xml:space="preserve">COC1=CC2=C(CCN[C@H]2C)C=C1O</t>
  </si>
  <si>
    <t xml:space="preserve">YTPRLBGPGZHUPD-ZETCQYMHSA-N</t>
  </si>
  <si>
    <t xml:space="preserve">425.27913</t>
  </si>
  <si>
    <t xml:space="preserve">C26H36N2O3</t>
  </si>
  <si>
    <t xml:space="preserve">Devazepide</t>
  </si>
  <si>
    <t xml:space="preserve">205738</t>
  </si>
  <si>
    <t xml:space="preserve">HMDB0251074</t>
  </si>
  <si>
    <t xml:space="preserve">69692</t>
  </si>
  <si>
    <t xml:space="preserve">C13763</t>
  </si>
  <si>
    <t xml:space="preserve">34673</t>
  </si>
  <si>
    <t xml:space="preserve">65832</t>
  </si>
  <si>
    <t xml:space="preserve">92302-55-1</t>
  </si>
  <si>
    <t xml:space="preserve">COC1=CC=CC(CCN(C)CCCC(C#N)(C(C)C)C2=CC(OC)=C(OC)C=C2)=C1</t>
  </si>
  <si>
    <t xml:space="preserve">VMVKIDPOEOLUFS-UHFFFAOYSA-N</t>
  </si>
  <si>
    <t xml:space="preserve">Phenylbutylamines</t>
  </si>
  <si>
    <t xml:space="preserve">426.27804</t>
  </si>
  <si>
    <t xml:space="preserve">C25H41NO2</t>
  </si>
  <si>
    <t xml:space="preserve">3,5-Didecanoylpyridine</t>
  </si>
  <si>
    <t xml:space="preserve">59380</t>
  </si>
  <si>
    <t xml:space="preserve">HMDB0035515</t>
  </si>
  <si>
    <t xml:space="preserve">90796</t>
  </si>
  <si>
    <t xml:space="preserve">85697557</t>
  </si>
  <si>
    <t xml:space="preserve">149682-93-9</t>
  </si>
  <si>
    <t xml:space="preserve">CCCCCCCCCC(=O)C1=CC(=CN=C1)C(=O)CCCCCCCCC</t>
  </si>
  <si>
    <t xml:space="preserve">TWSXMOSHPGZBJE-UHFFFAOYSA-N</t>
  </si>
  <si>
    <t xml:space="preserve">427.27165</t>
  </si>
  <si>
    <t xml:space="preserve">C24H40N2O2</t>
  </si>
  <si>
    <t xml:space="preserve">17-N,N-Diethylcarbamoyl-4-methyl-4-azaandrostane-3-one</t>
  </si>
  <si>
    <t xml:space="preserve">201820</t>
  </si>
  <si>
    <t xml:space="preserve">HMDB0246483</t>
  </si>
  <si>
    <t xml:space="preserve">13391384</t>
  </si>
  <si>
    <t xml:space="preserve">CCN(CC)C(=O)C1CCC2C3CCC4N(C)C(=O)CCC4(C)C3CCC12C</t>
  </si>
  <si>
    <t xml:space="preserve">GNWBLLYJQXKPIP-UHFFFAOYSA-N</t>
  </si>
  <si>
    <t xml:space="preserve">429.23989</t>
  </si>
  <si>
    <t xml:space="preserve">C25H28N6O</t>
  </si>
  <si>
    <t xml:space="preserve">Irbesartan</t>
  </si>
  <si>
    <t xml:space="preserve">53268</t>
  </si>
  <si>
    <t xml:space="preserve">HMDB0015163</t>
  </si>
  <si>
    <t xml:space="preserve">43218</t>
  </si>
  <si>
    <t xml:space="preserve">C07469</t>
  </si>
  <si>
    <t xml:space="preserve">5959</t>
  </si>
  <si>
    <t xml:space="preserve">3749</t>
  </si>
  <si>
    <t xml:space="preserve">138402-11-6</t>
  </si>
  <si>
    <t xml:space="preserve">CCCCC1=NC2(CCCC2)C(=O)N1CC1=CC=C(C=C1)C1=CC=CC=C1C1=NNN=N1</t>
  </si>
  <si>
    <t xml:space="preserve">YOSHYTLCDANDAN-UHFFFAOYSA-N</t>
  </si>
  <si>
    <t xml:space="preserve">430.24496</t>
  </si>
  <si>
    <t xml:space="preserve">C22H31N5O4</t>
  </si>
  <si>
    <t xml:space="preserve">Melagatran</t>
  </si>
  <si>
    <t xml:space="preserve">208538</t>
  </si>
  <si>
    <t xml:space="preserve">HMDB0254416</t>
  </si>
  <si>
    <t xml:space="preserve">4478247</t>
  </si>
  <si>
    <t xml:space="preserve">NC(=N)C1=CC=C(CNC(=O)C2CCN2C(=O)C(NCC(O)=O)C2CCCCC2)C=C1</t>
  </si>
  <si>
    <t xml:space="preserve">DKWNMCUOEDMMIN-UHFFFAOYSA-N</t>
  </si>
  <si>
    <t xml:space="preserve">431.23891</t>
  </si>
  <si>
    <t xml:space="preserve">C20H36N2O9</t>
  </si>
  <si>
    <t xml:space="preserve">3-Hydroxy-3-methylglutarylcarnitine</t>
  </si>
  <si>
    <t xml:space="preserve">201266</t>
  </si>
  <si>
    <t xml:space="preserve">HMDB0245885</t>
  </si>
  <si>
    <t xml:space="preserve">129692232</t>
  </si>
  <si>
    <t xml:space="preserve">CC(O)(CC(=O)C(C(O)C[N+](C)(C)C)C([O-])=O)CC(=O)C(C(O)C[N+](C)(C)C)C([O-])=O</t>
  </si>
  <si>
    <t xml:space="preserve">UIGGVTYQXJVTAE-UHFFFAOYSA-N</t>
  </si>
  <si>
    <t xml:space="preserve">435.24281</t>
  </si>
  <si>
    <t xml:space="preserve">C30H32N2O2</t>
  </si>
  <si>
    <t xml:space="preserve">Diphenoxylate</t>
  </si>
  <si>
    <t xml:space="preserve">53311</t>
  </si>
  <si>
    <t xml:space="preserve">HMDB0015213</t>
  </si>
  <si>
    <t xml:space="preserve">2327</t>
  </si>
  <si>
    <t xml:space="preserve">C07872</t>
  </si>
  <si>
    <t xml:space="preserve">4639</t>
  </si>
  <si>
    <t xml:space="preserve">13505</t>
  </si>
  <si>
    <t xml:space="preserve">915-30-0</t>
  </si>
  <si>
    <t xml:space="preserve">CCOC(=O)C1(CCN(CCC(C#N)(C2=CC=CC=C2)C2=CC=CC=C2)CC1)C1=CC=CC=C1</t>
  </si>
  <si>
    <t xml:space="preserve">HYPPXZBJBPSRLK-UHFFFAOYSA-N</t>
  </si>
  <si>
    <t xml:space="preserve">Diphenylacetonitriles</t>
  </si>
  <si>
    <t xml:space="preserve">436.77909</t>
  </si>
  <si>
    <t xml:space="preserve">C12H3Cl7</t>
  </si>
  <si>
    <t xml:space="preserve">2,3,3',4,4',5,5'-Heptachlorobiphenyl</t>
  </si>
  <si>
    <t xml:space="preserve">200848</t>
  </si>
  <si>
    <t xml:space="preserve">HMDB0245419</t>
  </si>
  <si>
    <t xml:space="preserve">72050</t>
  </si>
  <si>
    <t xml:space="preserve">C18123</t>
  </si>
  <si>
    <t xml:space="preserve">38306</t>
  </si>
  <si>
    <t xml:space="preserve">39635-31-9</t>
  </si>
  <si>
    <t xml:space="preserve">ClC1=CC(=CC(Cl)=C1Cl)C1=CC(Cl)=C(Cl)C(Cl)=C1Cl</t>
  </si>
  <si>
    <t xml:space="preserve">XUAWBXBYHDRROL-UHFFFAOYSA-N</t>
  </si>
  <si>
    <t xml:space="preserve">437.19710</t>
  </si>
  <si>
    <t xml:space="preserve">C26H28O6</t>
  </si>
  <si>
    <t xml:space="preserve">Artocarpin; Kanzonol K; 2'-O-Methylcajanone</t>
  </si>
  <si>
    <t xml:space="preserve">55576; 64313; 29635</t>
  </si>
  <si>
    <t xml:space="preserve">HMDB0030849; HMDB0041212; HMDB0033806</t>
  </si>
  <si>
    <t xml:space="preserve">49326; 95632; 48001</t>
  </si>
  <si>
    <t xml:space="preserve">; ; LMPK12050497</t>
  </si>
  <si>
    <t xml:space="preserve">65439; 175519; </t>
  </si>
  <si>
    <t xml:space="preserve">5458461; 131753069; 634867</t>
  </si>
  <si>
    <t xml:space="preserve">7608-44-8; 156281-30-0; 71765-79-2</t>
  </si>
  <si>
    <t xml:space="preserve">COC1=CC2=C(C(O)=C1\C=C\C(C)C)C(=O)C(CC=C(C)C)=C(O2)C1=C(O)C=C(O)C=C1; COC1=CC2=C(C(O)=C1CC=C(C)C)C(=O)C(=CO2)C1=C(O)C(CC=C(C)C)=C(O)C=C1; C12OC(C)(C)C=CC1=C(O)C1C(=O)C(C3=CC(C/C=C(/C)\C)=C(O)C=C3OC)COC=1C=2</t>
  </si>
  <si>
    <t xml:space="preserve">KRGDFVQWQJIMEK-RMKNXTFCSA-N; UWUOGPWSIVRQNM-UHFFFAOYSA-N; REBVXJPVOISSEO-UHFFFAOYSA-N</t>
  </si>
  <si>
    <t xml:space="preserve">Flavonoids; Isoflavonoids; Isoflavonoids</t>
  </si>
  <si>
    <t xml:space="preserve">Flavones; Isoflavans; Isoflavans</t>
  </si>
  <si>
    <t xml:space="preserve">441.19163</t>
  </si>
  <si>
    <t xml:space="preserve">C25H28O7</t>
  </si>
  <si>
    <t xml:space="preserve">1,6-Dihydroxy-3,7-dimethoxy-2-(3-methyl-2-butenyl)-8-(3-hydroxy-3-methyl-1E-butenyl)-xanthone; 1,6-Dihydroxy-3,7-dimethoxy-2-(2-hydroxy-3-methyl-3-butenyl)-8-(3-methyl-2-butenyl)-xanthone; 1,6-Dihydroxy-3,7-dimethoxy-2-(3-methyl-2-butenyl)-8-(2-hydroxy-3-methyl-3-butenyl)-xanthone</t>
  </si>
  <si>
    <t xml:space="preserve">63150; 63151; 63152</t>
  </si>
  <si>
    <t xml:space="preserve">HMDB0039914; HMDB0039915; HMDB0039916</t>
  </si>
  <si>
    <t xml:space="preserve">94457; 94458; 94459</t>
  </si>
  <si>
    <t xml:space="preserve">5319262; 101193827; 101193826</t>
  </si>
  <si>
    <t xml:space="preserve">COC1=CC2=C(C(O)=C1CC=C(C)C)C(=O)C1=C(\C=C\C(C)(C)O)C(OC)=C(O)C=C1O2; COC1=CC2=C(C(O)=C1CC(O)C(C)=C)C(=O)C1=C(CC=C(C)C)C(OC)=C(O)C=C1O2; COC1=CC2=C(C(O)=C1CC=C(C)C)C(=O)C1=C(CC(O)C(C)=C)C(OC)=C(O)C=C1O2</t>
  </si>
  <si>
    <t xml:space="preserve">QXRLQTRFEMAPRP-MDZDMXLPSA-N; IJQRCAZPGFDXPF-UHFFFAOYSA-N; OHGAQNFIUCKPAY-UHFFFAOYSA-N</t>
  </si>
  <si>
    <t xml:space="preserve">441.24558</t>
  </si>
  <si>
    <t xml:space="preserve">C28H31FN4O</t>
  </si>
  <si>
    <t xml:space="preserve">Astemizole</t>
  </si>
  <si>
    <t xml:space="preserve">52956</t>
  </si>
  <si>
    <t xml:space="preserve">HMDB0014775</t>
  </si>
  <si>
    <t xml:space="preserve">1122</t>
  </si>
  <si>
    <t xml:space="preserve">C06832</t>
  </si>
  <si>
    <t xml:space="preserve">2896</t>
  </si>
  <si>
    <t xml:space="preserve">2247</t>
  </si>
  <si>
    <t xml:space="preserve">68844-77-9</t>
  </si>
  <si>
    <t xml:space="preserve">COC1=CC=C(CCN2CCC(CC2)NC2=NC3=CC=CC=C3N2CC2=CC=C(F)C=C2)C=C1</t>
  </si>
  <si>
    <t xml:space="preserve">GXDALQBWZGODGZ-UHFFFAOYSA-N</t>
  </si>
  <si>
    <t xml:space="preserve">442.24572</t>
  </si>
  <si>
    <t xml:space="preserve">C23H33N5O5</t>
  </si>
  <si>
    <t xml:space="preserve">Apstatin</t>
  </si>
  <si>
    <t xml:space="preserve">203615</t>
  </si>
  <si>
    <t xml:space="preserve">HMDB0248539</t>
  </si>
  <si>
    <t xml:space="preserve">23644067</t>
  </si>
  <si>
    <t xml:space="preserve">CC(NC(=O)C1CCCN1C(=O)C1CCCN1C(=O)C(O)C(N)CC1=CC=CC=C1)C(N)=O</t>
  </si>
  <si>
    <t xml:space="preserve">YVUUZAPYLPWFHE-UHFFFAOYSA-N</t>
  </si>
  <si>
    <t xml:space="preserve">443.25325</t>
  </si>
  <si>
    <t xml:space="preserve">C21H41O6P</t>
  </si>
  <si>
    <t xml:space="preserve">CPA(18:0)</t>
  </si>
  <si>
    <t xml:space="preserve">48976</t>
  </si>
  <si>
    <t xml:space="preserve">HMDB0007004</t>
  </si>
  <si>
    <t xml:space="preserve">58639</t>
  </si>
  <si>
    <t xml:space="preserve">51040919</t>
  </si>
  <si>
    <t xml:space="preserve">CCCCCCCCCCCCCCCCCC(=O)OCC1COP(O)(=O)O1</t>
  </si>
  <si>
    <t xml:space="preserve">BAAJXXGEGGUMMX-UHFFFAOYSA-N</t>
  </si>
  <si>
    <t xml:space="preserve">445.12531</t>
  </si>
  <si>
    <t xml:space="preserve">C25H18N4O3</t>
  </si>
  <si>
    <t xml:space="preserve">N-Cyclopropyl-1-(3-((1-oxidopyridin-3-yl)ethynyl)phenyl)-1,4-dihydro(1,8)naphthyridin-4-one-3-carboxamide</t>
  </si>
  <si>
    <t xml:space="preserve">208854</t>
  </si>
  <si>
    <t xml:space="preserve">HMDB0254781</t>
  </si>
  <si>
    <t xml:space="preserve">9919680</t>
  </si>
  <si>
    <t xml:space="preserve">[O-][N+]1=CC(=CC=C1)C#CC1=CC(=CC=C1)N1C=C(C(=O)NC2CC2)C(=O)C2=CC=CN=C12</t>
  </si>
  <si>
    <t xml:space="preserve">JJWKQXNHYDJXKF-UHFFFAOYSA-N</t>
  </si>
  <si>
    <t xml:space="preserve">445.27095</t>
  </si>
  <si>
    <t xml:space="preserve">C23H43O7P</t>
  </si>
  <si>
    <t xml:space="preserve">LPA(20:2); 1-(11Z,14Z-eicosadienoyl)-glycero-3-phosphate</t>
  </si>
  <si>
    <t xml:space="preserve">134861; 83525</t>
  </si>
  <si>
    <t xml:space="preserve">HMDB0114758; HMDB0062303</t>
  </si>
  <si>
    <t xml:space="preserve">87977098; </t>
  </si>
  <si>
    <t xml:space="preserve">CCCCC\C=C/C\C=C/CCCCCCCCCC(=O)OCC(O)COP(O)(O)=O; [H]C(CCCCC)=C([H])C\C([H])=C(\[H])CCCCCCCCCC(=O)OC[C@@]([H])(O)COP(O)(O)=O</t>
  </si>
  <si>
    <t xml:space="preserve">PIWSAHYRIXOITD-HZJYTTRNSA-N; PIWSAHYRIXOITD-MNZXDXIFSA-N</t>
  </si>
  <si>
    <t xml:space="preserve">Glycerophosphates; Glycerophosphates</t>
  </si>
  <si>
    <t xml:space="preserve">446.12143</t>
  </si>
  <si>
    <t xml:space="preserve">C20H25NO8</t>
  </si>
  <si>
    <t xml:space="preserve">N-(7-((2R,3R,4S,5R)-3,4-Dihydroxy-5-methoxy-6,6-dimethyl-tetrahydro-2H-pyran-2-yloxy)-8-methyl-2-oxo-2H-chromen-3-yl)acetamide</t>
  </si>
  <si>
    <t xml:space="preserve">208112</t>
  </si>
  <si>
    <t xml:space="preserve">HMDB0253830</t>
  </si>
  <si>
    <t xml:space="preserve">74926876</t>
  </si>
  <si>
    <t xml:space="preserve">COC1C(O)C(O)C(OC2=C(C)C3=C(C=C2)C=C(NC(C)=O)C(=O)O3)OC1(C)C</t>
  </si>
  <si>
    <t xml:space="preserve">KJAWXHNSLFJNTM-UHFFFAOYSA-N</t>
  </si>
  <si>
    <t xml:space="preserve">Coumarin glycosides</t>
  </si>
  <si>
    <t xml:space="preserve">447.11901</t>
  </si>
  <si>
    <t xml:space="preserve">C24H18N2O7</t>
  </si>
  <si>
    <t xml:space="preserve">(6'-Acetyloxy-4,5-diamino-3-oxospiro[2-benzofuran-1,9'-xanthene]-3'-yl) acetate; 4,5-Diaminofluorescein diacetate</t>
  </si>
  <si>
    <t xml:space="preserve">211370; 205524</t>
  </si>
  <si>
    <t xml:space="preserve">HMDB0257726; HMDB0250827</t>
  </si>
  <si>
    <t xml:space="preserve">; 64884</t>
  </si>
  <si>
    <t xml:space="preserve">54506944; 6603693</t>
  </si>
  <si>
    <t xml:space="preserve">; 205391-02-2</t>
  </si>
  <si>
    <t xml:space="preserve">CC(=O)OC1=CC2=C(C=C1)C1(OC(=O)C3=C1C=CC(N)=C3N)C1=C(O2)C=C(OC(C)=O)C=C1; CC(=O)OC1=CC2=C(C=C1)C1(OC(=O)C3=CC(N)=C(N)C=C13)C1=C(O2)C=C(OC(C)=O)C=C1</t>
  </si>
  <si>
    <t xml:space="preserve">YGJVYOVACXXQMB-UHFFFAOYSA-N; PTSUYDXEEKDBQU-UHFFFAOYSA-N</t>
  </si>
  <si>
    <t xml:space="preserve">Benzopyrans; Benzopyrans</t>
  </si>
  <si>
    <t xml:space="preserve">1-benzopyrans; 1-benzopyrans</t>
  </si>
  <si>
    <t xml:space="preserve">453.21346</t>
  </si>
  <si>
    <t xml:space="preserve">C23H32O9</t>
  </si>
  <si>
    <t xml:space="preserve">8-Butanoylneosolaniol; 8-Isobutanoylneosolaniol</t>
  </si>
  <si>
    <t xml:space="preserve">61931; 61932</t>
  </si>
  <si>
    <t xml:space="preserve">HMDB0038560; HMDB0038561</t>
  </si>
  <si>
    <t xml:space="preserve">93231; </t>
  </si>
  <si>
    <t xml:space="preserve">61184; 91809166</t>
  </si>
  <si>
    <t xml:space="preserve">98813-18-4; 111112-48-2</t>
  </si>
  <si>
    <t xml:space="preserve">[H][C@@]12O[C@]3([H])C=C(C)[C@H](C[C@]3(COC(C)=O)[C@@](C)([C@H](OC(C)=O)[C@H]1O)[C@]21CO1)OC(=O)CCC; [H][C@@]12O[C@]3([H])C=C(C)[C@H](C[C@]3(COC(C)=O)[C@@](C)([C@H](OC(C)=O)[C@H]1O)[C@]21CO1)OC(=O)C(C)C</t>
  </si>
  <si>
    <t xml:space="preserve">QAZLVSRKBUTUHB-MXINJKJASA-N; CZZOBJORBLRBLT-DSCHAYMESA-N</t>
  </si>
  <si>
    <t xml:space="preserve">456.79211</t>
  </si>
  <si>
    <t xml:space="preserve">C2H4Cl3O4P</t>
  </si>
  <si>
    <t xml:space="preserve">triclofos</t>
  </si>
  <si>
    <t xml:space="preserve">212587</t>
  </si>
  <si>
    <t xml:space="preserve">HMDB0259185</t>
  </si>
  <si>
    <t xml:space="preserve">66600</t>
  </si>
  <si>
    <t xml:space="preserve">C07165</t>
  </si>
  <si>
    <t xml:space="preserve">5563</t>
  </si>
  <si>
    <t xml:space="preserve">306-52-5</t>
  </si>
  <si>
    <t xml:space="preserve">OP(O)(=O)OCC(Cl)(Cl)Cl</t>
  </si>
  <si>
    <t xml:space="preserve">YYQRGCZGSFRBAM-UHFFFAOYSA-N</t>
  </si>
  <si>
    <t xml:space="preserve">457.27563</t>
  </si>
  <si>
    <t xml:space="preserve">C28H39FO5</t>
  </si>
  <si>
    <t xml:space="preserve">Fluocortolone caproate</t>
  </si>
  <si>
    <t xml:space="preserve">206845</t>
  </si>
  <si>
    <t xml:space="preserve">HMDB0252352</t>
  </si>
  <si>
    <t xml:space="preserve">631364</t>
  </si>
  <si>
    <t xml:space="preserve">CCCCCC(=O)OCC(=O)C1C(C)CC2C3CC(F)C4=CC(=O)C=CC4(C)C3C(O)CC12C</t>
  </si>
  <si>
    <t xml:space="preserve">WHZRCUIISKRTJL-UHFFFAOYSA-N</t>
  </si>
  <si>
    <t xml:space="preserve">458.26683</t>
  </si>
  <si>
    <t xml:space="preserve">C25H41NO4</t>
  </si>
  <si>
    <t xml:space="preserve">Stearidonyl carnitine</t>
  </si>
  <si>
    <t xml:space="preserve">8388</t>
  </si>
  <si>
    <t xml:space="preserve">HMDB0006463</t>
  </si>
  <si>
    <t xml:space="preserve">58414</t>
  </si>
  <si>
    <t xml:space="preserve">LMFA07070106</t>
  </si>
  <si>
    <t xml:space="preserve">53477835</t>
  </si>
  <si>
    <t xml:space="preserve">C(=O)([O-])CC(OC(CC/C=C\CC/C=C\CC/C=C\C/C=C\CC)=O)C[N+](C)(C)C</t>
  </si>
  <si>
    <t xml:space="preserve">UQCYGYDOQKYSDD-IIWKRHCOSA-N</t>
  </si>
  <si>
    <t xml:space="preserve">459.28505</t>
  </si>
  <si>
    <t xml:space="preserve">C26H44O4</t>
  </si>
  <si>
    <t xml:space="preserve">6-Ethylchenodeoxycholic acid</t>
  </si>
  <si>
    <t xml:space="preserve">202335</t>
  </si>
  <si>
    <t xml:space="preserve">HMDB0247056</t>
  </si>
  <si>
    <t xml:space="preserve">21882238</t>
  </si>
  <si>
    <t xml:space="preserve">CCC1C(O)C2C3CCC(C(C)CCC(O)=O)C3(C)CCC2C2(C)CCC(O)CC12</t>
  </si>
  <si>
    <t xml:space="preserve">ZXERDUOLZKYMJM-UHFFFAOYSA-N</t>
  </si>
  <si>
    <t xml:space="preserve">462.14526</t>
  </si>
  <si>
    <t xml:space="preserve">C20H23N5O6S</t>
  </si>
  <si>
    <t xml:space="preserve">Azlocillin</t>
  </si>
  <si>
    <t xml:space="preserve">53296</t>
  </si>
  <si>
    <t xml:space="preserve">HMDB0015194</t>
  </si>
  <si>
    <t xml:space="preserve">1213</t>
  </si>
  <si>
    <t xml:space="preserve">C06839</t>
  </si>
  <si>
    <t xml:space="preserve">2956</t>
  </si>
  <si>
    <t xml:space="preserve">6479523</t>
  </si>
  <si>
    <t xml:space="preserve">37091-66-0</t>
  </si>
  <si>
    <t xml:space="preserve">[H][C@](NC(=O)N1CCNC1=O)(C(=O)N[C@@H]1C(=O)N2[C@@H](C(O)=O)C(C)(C)S[C@]12[H])C1=CC=CC=C1</t>
  </si>
  <si>
    <t xml:space="preserve">JTWOMNBEOCYFNV-NFFDBFGFSA-N</t>
  </si>
  <si>
    <t xml:space="preserve">463.14069</t>
  </si>
  <si>
    <t xml:space="preserve">C22H24N4O4S</t>
  </si>
  <si>
    <t xml:space="preserve">Azobilirubin</t>
  </si>
  <si>
    <t xml:space="preserve">203852</t>
  </si>
  <si>
    <t xml:space="preserve">HMDB0248814</t>
  </si>
  <si>
    <t xml:space="preserve">137178910</t>
  </si>
  <si>
    <t xml:space="preserve">CCCC1=C(NC(C=C2NC(=O)C(C)=C2C=C)=C1C)N=NC1=CC=C(C=C1)S(O)(=O)=O</t>
  </si>
  <si>
    <t xml:space="preserve">KWUVBOWGSGQACE-UHFFFAOYSA-N</t>
  </si>
  <si>
    <t xml:space="preserve">467.09822</t>
  </si>
  <si>
    <t xml:space="preserve">C24H18O10</t>
  </si>
  <si>
    <t xml:space="preserve">BL IV</t>
  </si>
  <si>
    <t xml:space="preserve">58698</t>
  </si>
  <si>
    <t xml:space="preserve">HMDB0034709</t>
  </si>
  <si>
    <t xml:space="preserve">628742</t>
  </si>
  <si>
    <t xml:space="preserve">112209-53-7</t>
  </si>
  <si>
    <t xml:space="preserve">CC(=O)OC1=C2OC3=C(C=C(O)C(O)=C3)C2=C(OC(C)=O)C(OC(C)=O)=C1C1=CC=C(O)C=C1</t>
  </si>
  <si>
    <t xml:space="preserve">DTOIFOOSMQSUBD-UHFFFAOYSA-N</t>
  </si>
  <si>
    <t xml:space="preserve">Phenylbenzofurans</t>
  </si>
  <si>
    <t xml:space="preserve">469.31208</t>
  </si>
  <si>
    <t xml:space="preserve">C18H38N12O4</t>
  </si>
  <si>
    <t xml:space="preserve">(2S)-2-[[(2S)-2-[[(2S)-2-Amino-5-(diaminomethylideneamino)pentanoyl]amino]-5-(diaminomethylideneamino)pentanoyl]amino]-5-(diaminomethylideneamino)pentanoic acid</t>
  </si>
  <si>
    <t xml:space="preserve">213299</t>
  </si>
  <si>
    <t xml:space="preserve">HMDB0260139</t>
  </si>
  <si>
    <t xml:space="preserve">4631411</t>
  </si>
  <si>
    <t xml:space="preserve">NC(CCCNC(N)=N)C(O)=NC(CCCNC(N)=N)C(O)=NC(CCCNC(N)=N)C(O)=O</t>
  </si>
  <si>
    <t xml:space="preserve">XPSGESXVBSQZPL-UHFFFAOYSA-N</t>
  </si>
  <si>
    <t xml:space="preserve">470.80998</t>
  </si>
  <si>
    <t xml:space="preserve">C4H8S5</t>
  </si>
  <si>
    <t xml:space="preserve">Methyl 2-propenyl pentasulfide</t>
  </si>
  <si>
    <t xml:space="preserve">60112</t>
  </si>
  <si>
    <t xml:space="preserve">HMDB0036351</t>
  </si>
  <si>
    <t xml:space="preserve">91495</t>
  </si>
  <si>
    <t xml:space="preserve">528713</t>
  </si>
  <si>
    <t xml:space="preserve">118023-99-7</t>
  </si>
  <si>
    <t xml:space="preserve">CSSSSSCC=C</t>
  </si>
  <si>
    <t xml:space="preserve">BFVOYECMMKLFQJ-UHFFFAOYSA-N</t>
  </si>
  <si>
    <t xml:space="preserve">471.29856</t>
  </si>
  <si>
    <t xml:space="preserve">C26H38N4O4</t>
  </si>
  <si>
    <t xml:space="preserve">Ceanothine C</t>
  </si>
  <si>
    <t xml:space="preserve">54309</t>
  </si>
  <si>
    <t xml:space="preserve">HMDB0029340</t>
  </si>
  <si>
    <t xml:space="preserve">171986</t>
  </si>
  <si>
    <t xml:space="preserve">131750853</t>
  </si>
  <si>
    <t xml:space="preserve">18658-42-9</t>
  </si>
  <si>
    <t xml:space="preserve">CC(C)CC1NC(=O)C(NC(=O)C2CCCN2C)C(OC2=CC=C(C=C2)\C=C/NC1=O)C(C)C</t>
  </si>
  <si>
    <t xml:space="preserve">VAPUILOXKWGXSJ-SEYXRHQNSA-N</t>
  </si>
  <si>
    <t xml:space="preserve">478.33425</t>
  </si>
  <si>
    <t xml:space="preserve">C24H47NO8</t>
  </si>
  <si>
    <t xml:space="preserve">Hexosylsphingosine</t>
  </si>
  <si>
    <t xml:space="preserve">207539</t>
  </si>
  <si>
    <t xml:space="preserve">HMDB0253164</t>
  </si>
  <si>
    <t xml:space="preserve">CCCCCCCCCCCCCC=CC(O)C(N)C(O)C1(O)OC(CO)C(O)C(O)C1O</t>
  </si>
  <si>
    <t xml:space="preserve">DHFHTNWDXYUZBB-UHFFFAOYSA-N</t>
  </si>
  <si>
    <t xml:space="preserve">479.33822</t>
  </si>
  <si>
    <t xml:space="preserve">C28H46O6</t>
  </si>
  <si>
    <t xml:space="preserve">Polyporusterone A; Dolicholide</t>
  </si>
  <si>
    <t xml:space="preserve">61872; 58190</t>
  </si>
  <si>
    <t xml:space="preserve">HMDB0038495; HMDB0034086</t>
  </si>
  <si>
    <t xml:space="preserve">85041613; </t>
  </si>
  <si>
    <t xml:space="preserve">141360-88-5; 85228-11-1</t>
  </si>
  <si>
    <t xml:space="preserve">CC(C)C(C)CC(O)C(C)(O)C1CCC2(O)C3=CC(=O)C4CC(O)C(O)CC4(C)C3CCC12C; CC(C)C(=C)C(O)C(O)C(C)C1CCC2C3COC(=O)C4CC(O)C(O)CC4(C)C3CCC12C</t>
  </si>
  <si>
    <t xml:space="preserve">KQBCIGPPRFLKLS-UHFFFAOYSA-N; PPFRJNLKWADOTL-UHFFFAOYSA-N</t>
  </si>
  <si>
    <t xml:space="preserve">Bile acids, alcohols and derivatives; Steroid lactones</t>
  </si>
  <si>
    <t xml:space="preserve">481.14667</t>
  </si>
  <si>
    <t xml:space="preserve">C21H30O10</t>
  </si>
  <si>
    <t xml:space="preserve">Lusitanicoside</t>
  </si>
  <si>
    <t xml:space="preserve">58219</t>
  </si>
  <si>
    <t xml:space="preserve">HMDB0034120</t>
  </si>
  <si>
    <t xml:space="preserve">C10474</t>
  </si>
  <si>
    <t xml:space="preserve">4484591</t>
  </si>
  <si>
    <t xml:space="preserve">CC1OC(OCC2OC(OC3=CC=C(CC=C)C=C3)C(O)C(O)C2O)C(O)C(O)C1O</t>
  </si>
  <si>
    <t xml:space="preserve">DAELTTGCCPRYTP-UHFFFAOYSA-N</t>
  </si>
  <si>
    <t xml:space="preserve">483.07699</t>
  </si>
  <si>
    <t xml:space="preserve">C21H20N2O9</t>
  </si>
  <si>
    <t xml:space="preserve">4-Hydroxyphenytoin glucuronide</t>
  </si>
  <si>
    <t xml:space="preserve">82632</t>
  </si>
  <si>
    <t xml:space="preserve">HMDB0060769</t>
  </si>
  <si>
    <t xml:space="preserve">1851</t>
  </si>
  <si>
    <t xml:space="preserve">135250</t>
  </si>
  <si>
    <t xml:space="preserve">53819-79-7</t>
  </si>
  <si>
    <t xml:space="preserve">O[C@@H]1[C@@H](O)C(OC2=CC=C(C=C2)C2(NC(=O)NC2=O)C2=CC=CC=C2)O[C@@H]([C@H]1O)C(O)=O</t>
  </si>
  <si>
    <t xml:space="preserve">RCYKZSJKDMUDIE-MXYJCWFVSA-N</t>
  </si>
  <si>
    <t xml:space="preserve">484.07727</t>
  </si>
  <si>
    <t xml:space="preserve">C22H21Cl2N3O4</t>
  </si>
  <si>
    <t xml:space="preserve">2,5-Dioxopyrrolidin-1-yl 4-(bis(4-chlorophenyl)methyl)piperazine-1-carboxylate</t>
  </si>
  <si>
    <t xml:space="preserve">208845</t>
  </si>
  <si>
    <t xml:space="preserve">HMDB0254772</t>
  </si>
  <si>
    <t xml:space="preserve">ClC1=CC=C(C=C1)C(N1CCN(CC1)C(=O)ON1C(=O)CCC1=O)C1=CC=C(Cl)C=C1</t>
  </si>
  <si>
    <t xml:space="preserve">BEADRWVIFHOSGN-UHFFFAOYSA-N</t>
  </si>
  <si>
    <t xml:space="preserve">485.07356</t>
  </si>
  <si>
    <t xml:space="preserve">C21H19ClN2O8</t>
  </si>
  <si>
    <t xml:space="preserve">Oxazepam glucuronide</t>
  </si>
  <si>
    <t xml:space="preserve">64972</t>
  </si>
  <si>
    <t xml:space="preserve">HMDB0041969</t>
  </si>
  <si>
    <t xml:space="preserve">898</t>
  </si>
  <si>
    <t xml:space="preserve">168654</t>
  </si>
  <si>
    <t xml:space="preserve">160870</t>
  </si>
  <si>
    <t xml:space="preserve">6801-81-6</t>
  </si>
  <si>
    <t xml:space="preserve">O[C@@H]1[C@@H](O)[C@H](OC2N=C(C3=CC=CC=C3)C3=C(C=CC(Cl)=C3)N=C2O)O[C@@H]([C@H]1O)C(O)=O</t>
  </si>
  <si>
    <t xml:space="preserve">FIKQKGFUBZQEBL-IFBJMGMISA-N</t>
  </si>
  <si>
    <t xml:space="preserve">485.29421</t>
  </si>
  <si>
    <t xml:space="preserve">C15H18N2O</t>
  </si>
  <si>
    <t xml:space="preserve">(-)-Huperzine A (HupA)</t>
  </si>
  <si>
    <t xml:space="preserve">198694</t>
  </si>
  <si>
    <t xml:space="preserve">HMDB0242212</t>
  </si>
  <si>
    <t xml:space="preserve">1253</t>
  </si>
  <si>
    <t xml:space="preserve">CC=C1C2CC3=C(C=CC(=O)N3)C1(N)CC(C)=C2</t>
  </si>
  <si>
    <t xml:space="preserve">ZRJBHWIHUMBLCN-UHFFFAOYSA-N</t>
  </si>
  <si>
    <t xml:space="preserve">486.07472</t>
  </si>
  <si>
    <t xml:space="preserve">C20H21N3O7S</t>
  </si>
  <si>
    <t xml:space="preserve">Ampiroxicam</t>
  </si>
  <si>
    <t xml:space="preserve">203469</t>
  </si>
  <si>
    <t xml:space="preserve">HMDB0248361</t>
  </si>
  <si>
    <t xml:space="preserve">315120</t>
  </si>
  <si>
    <t xml:space="preserve">31210</t>
  </si>
  <si>
    <t xml:space="preserve">2176</t>
  </si>
  <si>
    <t xml:space="preserve">CCOC(=O)OC(C)OC1=C(N(C)S(=O)(=O)C2=CC=CC=C12)C(O)=NC1=CC=CC=N1</t>
  </si>
  <si>
    <t xml:space="preserve">LSNWBKACGXCGAJ-UHFFFAOYSA-N</t>
  </si>
  <si>
    <t xml:space="preserve">486.29611</t>
  </si>
  <si>
    <t xml:space="preserve">C23H46NO6P</t>
  </si>
  <si>
    <t xml:space="preserve">GPE(18:2)</t>
  </si>
  <si>
    <t xml:space="preserve">197243</t>
  </si>
  <si>
    <t xml:space="preserve">HMDB0240599</t>
  </si>
  <si>
    <t xml:space="preserve">1425046-04-3</t>
  </si>
  <si>
    <t xml:space="preserve">CCCCCCCC\C=C/CCCCCC\C=C/OC[C@@H](O)COP(O)(=O)OCCN</t>
  </si>
  <si>
    <t xml:space="preserve">URGVIWXYPWWBQO-UWEYSURVSA-N</t>
  </si>
  <si>
    <t xml:space="preserve">489.31831</t>
  </si>
  <si>
    <t xml:space="preserve">C27H46O6</t>
  </si>
  <si>
    <t xml:space="preserve">TetraHCA</t>
  </si>
  <si>
    <t xml:space="preserve">83643</t>
  </si>
  <si>
    <t xml:space="preserve">HMDB0062534</t>
  </si>
  <si>
    <t xml:space="preserve">13991770</t>
  </si>
  <si>
    <t xml:space="preserve">CC(CCC(O)C(C)C(O)=O)C1CCC2C3C(O)CC4CC(O)CCC4(C)C3CC(O)C12C</t>
  </si>
  <si>
    <t xml:space="preserve">FAYYTQMQTAKHRM-UHFFFAOYSA-N</t>
  </si>
  <si>
    <t xml:space="preserve">496.34276</t>
  </si>
  <si>
    <t xml:space="preserve">C29H47NO4</t>
  </si>
  <si>
    <t xml:space="preserve">Docosa-4,7,10,13,16-pentaenoyl carnitine; Clupanodonyl carnitine; 23-Acetoxysoladulcidine</t>
  </si>
  <si>
    <t xml:space="preserve">8343; 8340; 55976</t>
  </si>
  <si>
    <t xml:space="preserve">HMDB0006321; HMDB0006496; HMDB0031402</t>
  </si>
  <si>
    <t xml:space="preserve">58392; 58428; </t>
  </si>
  <si>
    <t xml:space="preserve">LMFA07070061; LMFA07070058; </t>
  </si>
  <si>
    <t xml:space="preserve">134423; 134424; </t>
  </si>
  <si>
    <t xml:space="preserve">53477825; 53477839; 131751167</t>
  </si>
  <si>
    <t xml:space="preserve">; ; 152128-85-3</t>
  </si>
  <si>
    <t xml:space="preserve">O(C(=O)CC/C=C/C/C=C/C/C=C/C/C=C/C/C=C/CCCCC)C(C[N+](C)(C)C)CC(=O)[O-]; C(=O)([O-])CC(OC(=O)CC/C=C/CC/C=C/CC/C=C/C/C=C/CC/C=C/CC)C[N+](C)(C)C; CC1C2C(CC3C4CCC5CC(O)CCC5(C)C4CCC23C)OC11NCC(C)CC1OC(C)=O</t>
  </si>
  <si>
    <t xml:space="preserve">KRXOUZZWQXTUIB-IDERWEGCSA-N; AOSDFVDGMYPTHD-NQXOOMTHSA-N; HQJSCXYJQVACQR-UHFFFAOYSA-N</t>
  </si>
  <si>
    <t xml:space="preserve">Fatty acid esters; Fatty acid esters; Steroidal alkaloids</t>
  </si>
  <si>
    <t xml:space="preserve">497.23685</t>
  </si>
  <si>
    <t xml:space="preserve">C25H30N8O2</t>
  </si>
  <si>
    <t xml:space="preserve">mTOR-IN-1</t>
  </si>
  <si>
    <t xml:space="preserve">208991</t>
  </si>
  <si>
    <t xml:space="preserve">HMDB0254939</t>
  </si>
  <si>
    <t xml:space="preserve">67177778</t>
  </si>
  <si>
    <t xml:space="preserve">CCNC(=O)NC1=CC=C(C=C1)C1=NC2=C(CCN(C2)C2=NC=CC=N2)C(=N1)N1CCOCC1C</t>
  </si>
  <si>
    <t xml:space="preserve">WQBAZXIQANTUOY-UHFFFAOYSA-N</t>
  </si>
  <si>
    <t xml:space="preserve">Pyridopyrimidines</t>
  </si>
  <si>
    <t xml:space="preserve">497.34476</t>
  </si>
  <si>
    <t xml:space="preserve">C28H50O8</t>
  </si>
  <si>
    <t xml:space="preserve">Butyryl trihexyl citrate</t>
  </si>
  <si>
    <t xml:space="preserve">202719</t>
  </si>
  <si>
    <t xml:space="preserve">HMDB0247498</t>
  </si>
  <si>
    <t xml:space="preserve">318431</t>
  </si>
  <si>
    <t xml:space="preserve">133914</t>
  </si>
  <si>
    <t xml:space="preserve">CCCCCCOC(=O)CC(CC(=O)OCCCCCC)(OC(=O)CCC)C(=O)OCCCCCC</t>
  </si>
  <si>
    <t xml:space="preserve">GWVUTNGDMGTPFE-UHFFFAOYSA-N</t>
  </si>
  <si>
    <t xml:space="preserve">503.10799</t>
  </si>
  <si>
    <t xml:space="preserve">C22H28N2O5S2</t>
  </si>
  <si>
    <t xml:space="preserve">Sibenadet</t>
  </si>
  <si>
    <t xml:space="preserve">211837</t>
  </si>
  <si>
    <t xml:space="preserve">HMDB0258285</t>
  </si>
  <si>
    <t xml:space="preserve">433659</t>
  </si>
  <si>
    <t xml:space="preserve">183812</t>
  </si>
  <si>
    <t xml:space="preserve">OC1=C2NC(=O)SC2=C(CCNCCS(=O)(=O)CCCOCCC2=CC=CC=C2)C=C1</t>
  </si>
  <si>
    <t xml:space="preserve">DBCKRBGYGMVSTI-UHFFFAOYSA-N</t>
  </si>
  <si>
    <t xml:space="preserve">503.32448</t>
  </si>
  <si>
    <t xml:space="preserve">C16H24O</t>
  </si>
  <si>
    <t xml:space="preserve">1-(2,6,6-Trimethyl-2-cyclohexen-1-yl)-1,6-heptadien-3-one</t>
  </si>
  <si>
    <t xml:space="preserve">54605</t>
  </si>
  <si>
    <t xml:space="preserve">HMDB0029704</t>
  </si>
  <si>
    <t xml:space="preserve">86435</t>
  </si>
  <si>
    <t xml:space="preserve">5365976</t>
  </si>
  <si>
    <t xml:space="preserve">79-78-7</t>
  </si>
  <si>
    <t xml:space="preserve">CC1=CCCC(C)(C)C1\C=C\C(=O)CCC=C</t>
  </si>
  <si>
    <t xml:space="preserve">FXCYGAGBPZQRJE-ZHACJKMWSA-N</t>
  </si>
  <si>
    <t xml:space="preserve">506.36377</t>
  </si>
  <si>
    <t xml:space="preserve">C28H53NO4</t>
  </si>
  <si>
    <t xml:space="preserve">N-Nervonoyl Threonine</t>
  </si>
  <si>
    <t xml:space="preserve">198606</t>
  </si>
  <si>
    <t xml:space="preserve">HMDB0242100</t>
  </si>
  <si>
    <t xml:space="preserve">73880342</t>
  </si>
  <si>
    <t xml:space="preserve">CCCCCCCCC=CCCCCCCCCCCCCCC(=O)NC(C(C)O)C(O)=O</t>
  </si>
  <si>
    <t xml:space="preserve">YSPPTOGYPYJLPS-UHFFFAOYSA-N</t>
  </si>
  <si>
    <t xml:space="preserve">507.36522</t>
  </si>
  <si>
    <t xml:space="preserve">C30H50O6</t>
  </si>
  <si>
    <t xml:space="preserve">Theasapogenol A</t>
  </si>
  <si>
    <t xml:space="preserve">HMDB0034519</t>
  </si>
  <si>
    <t xml:space="preserve">89990</t>
  </si>
  <si>
    <t xml:space="preserve">167962</t>
  </si>
  <si>
    <t xml:space="preserve">612009</t>
  </si>
  <si>
    <t xml:space="preserve">13844-22-9</t>
  </si>
  <si>
    <t xml:space="preserve">CC1(C)CC2C3=CCC4C5(C)CCC(O)C(C)(CO)C5CCC4(C)C3(C)CC(O)C2(CO)C(O)C1O</t>
  </si>
  <si>
    <t xml:space="preserve">VKJLHZZPVLQJKG-UHFFFAOYSA-N</t>
  </si>
  <si>
    <t xml:space="preserve">517.33047</t>
  </si>
  <si>
    <t xml:space="preserve">C29H50O5</t>
  </si>
  <si>
    <t xml:space="preserve">Homocastasterone; (24S)-24-Ethylbrassinone; 24-Ethylbrassinone</t>
  </si>
  <si>
    <t xml:space="preserve">207573; 255356; 255357</t>
  </si>
  <si>
    <t xml:space="preserve">HMDB0253202; HMDB0302393; HMDB0302394</t>
  </si>
  <si>
    <t xml:space="preserve">13037422; ; </t>
  </si>
  <si>
    <t xml:space="preserve">CCC(C(C)C)C(O)C(O)C(C)C1CCC2C3CC(=O)C4CC(O)C(O)CC4(C)C3CCC12C; [H][C@@]12CC(=O)[C@@]3([H])C[C@H](O)[C@H](O)C[C@]3(C)C1CC[C@]1(C)C(CCC21)C(C)[C@@H](O)[C@H](O)[C@@H](CC)C(C)C; [H][C@@]12CC(=O)[C@@]3([H])C[C@H](O)[C@H](O)C[C@]3(C)C1CC[C@]1(C)C(CCC21)C(C)[C@@H](O)[C@H](O)C(CC)C(C)C</t>
  </si>
  <si>
    <t xml:space="preserve">WADMTJKRYLAHQV-UHFFFAOYSA-N; WADMTJKRYLAHQV-CVNRPTOBSA-N; WADMTJKRYLAHQV-BRGOLETBSA-N</t>
  </si>
  <si>
    <t xml:space="preserve">Stigmastanes and derivatives; Stigmastanes and derivatives; Stigmastanes and derivatives</t>
  </si>
  <si>
    <t xml:space="preserve">518.32440</t>
  </si>
  <si>
    <t xml:space="preserve">C26H48NO7P</t>
  </si>
  <si>
    <t xml:space="preserve">LPC(18:3)</t>
  </si>
  <si>
    <t xml:space="preserve">19878</t>
  </si>
  <si>
    <t xml:space="preserve">HMDB0010387</t>
  </si>
  <si>
    <t xml:space="preserve">61697</t>
  </si>
  <si>
    <t xml:space="preserve">LMGP01050128</t>
  </si>
  <si>
    <t xml:space="preserve">88698</t>
  </si>
  <si>
    <t xml:space="preserve">52924045</t>
  </si>
  <si>
    <t xml:space="preserve">[C@](COP(=O)([O-])OCC[N+](C)(C)C)([H])(O)COC(CCCC/C=C\C/C=C\C/C=C\CCCCC)=O</t>
  </si>
  <si>
    <t xml:space="preserve">MRTUWVDDQVMUCR-ACHCNROVSA-N</t>
  </si>
  <si>
    <t xml:space="preserve">520.14116</t>
  </si>
  <si>
    <t xml:space="preserve">C27H23N5O4</t>
  </si>
  <si>
    <t xml:space="preserve">Pranlukast</t>
  </si>
  <si>
    <t xml:space="preserve">53538</t>
  </si>
  <si>
    <t xml:space="preserve">HMDB0015481</t>
  </si>
  <si>
    <t xml:space="preserve">730485</t>
  </si>
  <si>
    <t xml:space="preserve">115100</t>
  </si>
  <si>
    <t xml:space="preserve">103177-37-3</t>
  </si>
  <si>
    <t xml:space="preserve">O=C(NC1=CC2=C(C=C1)C(=O)C=C(O2)C1=NNN=N1)C1=CC=C(OCCCCC2=CC=CC=C2)C=C1</t>
  </si>
  <si>
    <t xml:space="preserve">UAJUXJSXCLUTNU-UHFFFAOYSA-N</t>
  </si>
  <si>
    <t xml:space="preserve">521.13513</t>
  </si>
  <si>
    <t xml:space="preserve">C26H28N4O3</t>
  </si>
  <si>
    <t xml:space="preserve">VIBEGRON</t>
  </si>
  <si>
    <t xml:space="preserve">213041</t>
  </si>
  <si>
    <t xml:space="preserve">HMDB0259801</t>
  </si>
  <si>
    <t xml:space="preserve">123315041</t>
  </si>
  <si>
    <t xml:space="preserve">OC(C1CCC(CC2=CC=C(NC(=O)C3CCC4=NC=CC(=O)N34)C=C2)N1)C1=CC=CC=C1</t>
  </si>
  <si>
    <t xml:space="preserve">DJXRIQMCROIRCZ-UHFFFAOYSA-N</t>
  </si>
  <si>
    <t xml:space="preserve">522.35968</t>
  </si>
  <si>
    <t xml:space="preserve">C33H49NO5</t>
  </si>
  <si>
    <t xml:space="preserve">Deoxycholylphenylalanine; Chenodeoxycholylphenylalanine</t>
  </si>
  <si>
    <t xml:space="preserve">198866; 198844</t>
  </si>
  <si>
    <t xml:space="preserve">HMDB0242413; HMDB0242391</t>
  </si>
  <si>
    <t xml:space="preserve">; 137628355</t>
  </si>
  <si>
    <t xml:space="preserve">CC(CCC(=O)NC(CC1=CC=CC=C1)C(O)=O)C1CCC2C3CCC4CC(O)CCC4(C)C3CC(O)C12C; CC(CCC(=O)NC(CC1=CC=CC=C1)C(O)=O)C1CCC2C3C(O)CC4CC(O)CCC4(C)C3CCC12C</t>
  </si>
  <si>
    <t xml:space="preserve">RFRCQJKUNLZBAM-UHFFFAOYSA-N; CEMZGPKUKMFNNF-UHFFFAOYSA-N</t>
  </si>
  <si>
    <t xml:space="preserve">524.37598</t>
  </si>
  <si>
    <t xml:space="preserve">C31H51NO4</t>
  </si>
  <si>
    <t xml:space="preserve">(9Z,12Z,15Z,18Z,21Z)-Tetracosa-9,12,15,18,21-pentaenoylcarnitine</t>
  </si>
  <si>
    <t xml:space="preserve">198171</t>
  </si>
  <si>
    <t xml:space="preserve">HMDB0241635</t>
  </si>
  <si>
    <t xml:space="preserve">CCC=CCC=CCC=CCC=CCC=CCCCCCCCC(=O)OC(CC([O-])=O)C[N+](C)(C)C</t>
  </si>
  <si>
    <t xml:space="preserve">AQYQJMYFFSCGBI-UHFFFAOYSA-N</t>
  </si>
  <si>
    <t xml:space="preserve">533.34818</t>
  </si>
  <si>
    <t xml:space="preserve">C26H54O8</t>
  </si>
  <si>
    <t xml:space="preserve">Heptaethylene glycol monododecyl ether</t>
  </si>
  <si>
    <t xml:space="preserve">206187</t>
  </si>
  <si>
    <t xml:space="preserve">HMDB0251574</t>
  </si>
  <si>
    <t xml:space="preserve">347359</t>
  </si>
  <si>
    <t xml:space="preserve">76459</t>
  </si>
  <si>
    <t xml:space="preserve">CCCCCCCCCCCCOCCOCCOCCOCCOCCOCCOCCO</t>
  </si>
  <si>
    <t xml:space="preserve">DWHIUNMOTRUVPG-UHFFFAOYSA-N</t>
  </si>
  <si>
    <t xml:space="preserve">535.30105</t>
  </si>
  <si>
    <t xml:space="preserve">C24H49O9P</t>
  </si>
  <si>
    <t xml:space="preserve">1-Stearoylglycerophosphoglycerol</t>
  </si>
  <si>
    <t xml:space="preserve">83279</t>
  </si>
  <si>
    <t xml:space="preserve">HMDB0061697</t>
  </si>
  <si>
    <t xml:space="preserve">10029397</t>
  </si>
  <si>
    <t xml:space="preserve">CCCCCCCCCCCCCCCCCC(=O)OCC(O)COP(O)(=O)OCC(O)CO</t>
  </si>
  <si>
    <t xml:space="preserve">HFJVKBVEKQHVTO-UHFFFAOYSA-N</t>
  </si>
  <si>
    <t xml:space="preserve">536.16944</t>
  </si>
  <si>
    <t xml:space="preserve">C26H29N5O3S</t>
  </si>
  <si>
    <t xml:space="preserve">Grapiprant</t>
  </si>
  <si>
    <t xml:space="preserve">207347</t>
  </si>
  <si>
    <t xml:space="preserve">HMDB0252937</t>
  </si>
  <si>
    <t xml:space="preserve">CCC1=NC2=C(C)N=C(C)C=C2N1C1=CC=C(CCNC(=O)NS(=O)(=O)C2=CC=C(C)C=C2)C=C1</t>
  </si>
  <si>
    <t xml:space="preserve">HZVLFTCYCLXTGV-UHFFFAOYSA-N</t>
  </si>
  <si>
    <t xml:space="preserve">536.29810</t>
  </si>
  <si>
    <t xml:space="preserve">C27H47NO7</t>
  </si>
  <si>
    <t xml:space="preserve">7-[(1R,2R,5S)-5-Hydroxy-2-[(1E,3S)-3-Hydroxyoct-1-en-1-yl]-3-oxocyclopentyl]heptanoylcarnitine; (5Z,8Z,13E,15S)-11,12,15-Trihydroxyicosa-5,8,13-trienoylcarnitine; 7-[(1R,2R,3R)-3-Hydroxy-2-[(1E,3S)-3-Hydroxyoct-1-en-1-yl]-5-oxocyclopentyl]heptanoylcarnitine</t>
  </si>
  <si>
    <t xml:space="preserve">198409; 198120; 198392</t>
  </si>
  <si>
    <t xml:space="preserve">HMDB0241888; HMDB0241583; HMDB0241871</t>
  </si>
  <si>
    <t xml:space="preserve">CCCCCC(O)C=CC1C(CCCCCCC(=O)OC(CC([O-])=O)C[N+](C)(C)C)C(O)CC1=O; CCCCCC(O)C=CC(O)C(O)CC=CCC=CCCCC(=O)OC(CC([O-])=O)C[N+](C)(C)C; CCCCCC(O)C=CC1C(O)CC(=O)C1CCCCCCC(=O)OC(CC([O-])=O)C[N+](C)(C)C</t>
  </si>
  <si>
    <t xml:space="preserve">KUXKCGFRIKNJJD-UHFFFAOYSA-N; FYSRHTXDKAIONW-UHFFFAOYSA-N; OFXFMEGAKISSEH-UHFFFAOYSA-N</t>
  </si>
  <si>
    <t xml:space="preserve">Eicosanoids; Fatty acid esters; Eicosanoids</t>
  </si>
  <si>
    <t xml:space="preserve">540.24881</t>
  </si>
  <si>
    <t xml:space="preserve">C25H44NO7P</t>
  </si>
  <si>
    <t xml:space="preserve">LPE(20:4)</t>
  </si>
  <si>
    <t xml:space="preserve">21212</t>
  </si>
  <si>
    <t xml:space="preserve">HMDB0011487</t>
  </si>
  <si>
    <t xml:space="preserve">62275</t>
  </si>
  <si>
    <t xml:space="preserve">LMGP02050051</t>
  </si>
  <si>
    <t xml:space="preserve">72741</t>
  </si>
  <si>
    <t xml:space="preserve">53480936</t>
  </si>
  <si>
    <t xml:space="preserve">C(OP(OCCN)(O)=O)[C@]([H])(OC(=O)CCC/C=C\C/C=C\C/C=C\C/C=C\CCCCC)CO</t>
  </si>
  <si>
    <t xml:space="preserve">YWOCITMXHHTBAW-XSQXPFHXSA-N</t>
  </si>
  <si>
    <t xml:space="preserve">541.25953</t>
  </si>
  <si>
    <t xml:space="preserve">C25H42O11</t>
  </si>
  <si>
    <t xml:space="preserve">Blumenol C O-[rhamnosyl-(1-&gt;6)-glucoside]</t>
  </si>
  <si>
    <t xml:space="preserve">56397</t>
  </si>
  <si>
    <t xml:space="preserve">HMDB0031935</t>
  </si>
  <si>
    <t xml:space="preserve">88048</t>
  </si>
  <si>
    <t xml:space="preserve">138796</t>
  </si>
  <si>
    <t xml:space="preserve">85183002</t>
  </si>
  <si>
    <t xml:space="preserve">177261-67-5</t>
  </si>
  <si>
    <t xml:space="preserve">CC(CCC1C(C)=CC(=O)CC1(C)C)OC1OC(COC2OC(C)C(O)C(O)C2O)C(O)C(O)C1O</t>
  </si>
  <si>
    <t xml:space="preserve">XTPQCRPHXZBRMP-UHFFFAOYSA-N</t>
  </si>
  <si>
    <t xml:space="preserve">542.32638</t>
  </si>
  <si>
    <t xml:space="preserve">C28H48NO7P</t>
  </si>
  <si>
    <t xml:space="preserve">LPC(20:5)</t>
  </si>
  <si>
    <t xml:space="preserve">19847</t>
  </si>
  <si>
    <t xml:space="preserve">HMDB0010397</t>
  </si>
  <si>
    <t xml:space="preserve">40316</t>
  </si>
  <si>
    <t xml:space="preserve">LMGP01050050</t>
  </si>
  <si>
    <t xml:space="preserve">11757087</t>
  </si>
  <si>
    <t xml:space="preserve">[C@](COP(=O)([O-])OCC[N+](C)(C)C)([H])(O)COC(CCC/C=C\C/C=C\C/C=C\C/C=C\C/C=C\CC)=O</t>
  </si>
  <si>
    <t xml:space="preserve">PDIGSOAOQOXRDU-WJPZTBRDSA-N</t>
  </si>
  <si>
    <t xml:space="preserve">543.12544</t>
  </si>
  <si>
    <t xml:space="preserve">C25H27IN4O2</t>
  </si>
  <si>
    <t xml:space="preserve">p-MPPI</t>
  </si>
  <si>
    <t xml:space="preserve">209947</t>
  </si>
  <si>
    <t xml:space="preserve">HMDB0256051</t>
  </si>
  <si>
    <t xml:space="preserve">434222</t>
  </si>
  <si>
    <t xml:space="preserve">4658</t>
  </si>
  <si>
    <t xml:space="preserve">COC1=CC=CC=C1N1CCN(CCN(C(=O)C2=CC=C(I)C=C2)C2=CC=CC=N2)CC1</t>
  </si>
  <si>
    <t xml:space="preserve">DHMLNZRDVQLQBB-UHFFFAOYSA-N</t>
  </si>
  <si>
    <t xml:space="preserve">544.34128</t>
  </si>
  <si>
    <t xml:space="preserve">C26H52NO7P</t>
  </si>
  <si>
    <t xml:space="preserve">LPC(18:1)</t>
  </si>
  <si>
    <t xml:space="preserve">19837</t>
  </si>
  <si>
    <t xml:space="preserve">HMDB0002815</t>
  </si>
  <si>
    <t xml:space="preserve">40298</t>
  </si>
  <si>
    <t xml:space="preserve">LMGP01050032</t>
  </si>
  <si>
    <t xml:space="preserve">28610</t>
  </si>
  <si>
    <t xml:space="preserve">16081932</t>
  </si>
  <si>
    <t xml:space="preserve">19420-56-5</t>
  </si>
  <si>
    <t xml:space="preserve">[C@](COP(=O)([O-])OCC[N+](C)(C)C)([H])(O)COC(CCCCCCC/C=C\CCCCCCCC)=O</t>
  </si>
  <si>
    <t xml:space="preserve">YAMUFBLWGFFICM-PTGWMXDISA-N</t>
  </si>
  <si>
    <t xml:space="preserve">545.33587</t>
  </si>
  <si>
    <t xml:space="preserve">C30H42N8O3</t>
  </si>
  <si>
    <t xml:space="preserve">Pinometostat</t>
  </si>
  <si>
    <t xml:space="preserve">210398</t>
  </si>
  <si>
    <t xml:space="preserve">HMDB0256563</t>
  </si>
  <si>
    <t xml:space="preserve">76518457</t>
  </si>
  <si>
    <t xml:space="preserve">CC(C)N(CC1OC(C(O)C1O)N1C=NC2=C1N=CN=C2N)C1CC(CCC2=NC3=C(N2)C=C(C=C3)C(C)(C)C)C1</t>
  </si>
  <si>
    <t xml:space="preserve">LXFOLMYKSYSZQS-UHFFFAOYSA-N</t>
  </si>
  <si>
    <t xml:space="preserve">546.35184</t>
  </si>
  <si>
    <t xml:space="preserve">C26H54NO7P</t>
  </si>
  <si>
    <t xml:space="preserve">LPC(18:0)</t>
  </si>
  <si>
    <t xml:space="preserve">19834</t>
  </si>
  <si>
    <t xml:space="preserve">HMDB0010384</t>
  </si>
  <si>
    <t xml:space="preserve">40292</t>
  </si>
  <si>
    <t xml:space="preserve">LMGP01050026</t>
  </si>
  <si>
    <t xml:space="preserve">73858</t>
  </si>
  <si>
    <t xml:space="preserve">497299</t>
  </si>
  <si>
    <t xml:space="preserve">19420-57-6</t>
  </si>
  <si>
    <t xml:space="preserve">[C@](COP(=O)([O-])OCC[N+](C)(C)C)([H])(O)COC(CCCCCCCCCCCCCCCCC)=O</t>
  </si>
  <si>
    <t xml:space="preserve">IHNKQIMGVNPMTC-RUZDIDTESA-N</t>
  </si>
  <si>
    <t xml:space="preserve">547.35651</t>
  </si>
  <si>
    <t xml:space="preserve">C29H44F2N6O2</t>
  </si>
  <si>
    <t xml:space="preserve">2-(4,4-Difluoro-1-piperidinyl)-6-methoxy-N-[1-(1-methylethyl)-4-piperidinyl]-7-[3-(1-pyrrolidinyl)propoxy]-4-quinazolinamine</t>
  </si>
  <si>
    <t xml:space="preserve">212767</t>
  </si>
  <si>
    <t xml:space="preserve">HMDB0259403</t>
  </si>
  <si>
    <t xml:space="preserve">COC1=C(OCCCN2CCCC2)C=C2N=C(N=C(NC3CCN(CC3)C(C)C)C2=C1)N1CCC(F)(F)CC1</t>
  </si>
  <si>
    <t xml:space="preserve">RNAMYOYQYRYFQY-UHFFFAOYSA-N</t>
  </si>
  <si>
    <t xml:space="preserve">551.21495</t>
  </si>
  <si>
    <t xml:space="preserve">C27H45IO</t>
  </si>
  <si>
    <t xml:space="preserve">(8S,9S,10R,13R,14S,17R)-3-Iodo-10,13-dimethyl-17-[(2R)-6-methylheptan-2-yl]-1,2,4,7,8,9,11,12,14,15,16,17-dodecahydrocyclopenta[a]phenanthren-3-ol; Iodocholesterol; Adosterol (incomplete stereochemistry)</t>
  </si>
  <si>
    <t xml:space="preserve">213336; 207849; 203184</t>
  </si>
  <si>
    <t xml:space="preserve">HMDB0260188; HMDB0253523; HMDB0248022</t>
  </si>
  <si>
    <t xml:space="preserve">; 20358984; 20358988</t>
  </si>
  <si>
    <t xml:space="preserve">CC(C)CCCC(C)C1CCC2C3CC=C4CC(O)(I)CCC4(C)C3CCC12C; CC(C)CCCC(C)C1CCC2C3CC=C4CC(O)CCC4(CI)C3CCC12C; CC(C)CCCC(C)C1CCC2C3CC(CI)C4=C(CCC(O)C4)C3CCC12C</t>
  </si>
  <si>
    <t xml:space="preserve">UJLZKNBDGWWXPJ-UHFFFAOYSA-N; FIOAEFCJGZJUPW-UHFFFAOYSA-N; QJHZPCLORSPENH-UHFFFAOYSA-N</t>
  </si>
  <si>
    <t xml:space="preserve">Cholestane steroids; Cholestane steroids; Cholestane steroids</t>
  </si>
  <si>
    <t xml:space="preserve">552.21221</t>
  </si>
  <si>
    <t xml:space="preserve">C24H33N5O8S</t>
  </si>
  <si>
    <t xml:space="preserve">(p-SCN-Bn)-dota</t>
  </si>
  <si>
    <t xml:space="preserve">199265</t>
  </si>
  <si>
    <t xml:space="preserve">HMDB0243654</t>
  </si>
  <si>
    <t xml:space="preserve">OC(=O)CN1CCN(CC(O)=O)CCN(CC(O)=O)C(CC2=CC=C(C=C2)N=C=S)CN(CC(O)=O)CC1</t>
  </si>
  <si>
    <t xml:space="preserve">UDOPJKHABYSVIX-UHFFFAOYSA-N</t>
  </si>
  <si>
    <t xml:space="preserve">556.28044</t>
  </si>
  <si>
    <t xml:space="preserve">C21H41N5O12</t>
  </si>
  <si>
    <t xml:space="preserve">Butirosina</t>
  </si>
  <si>
    <t xml:space="preserve">203392</t>
  </si>
  <si>
    <t xml:space="preserve">HMDB0248282</t>
  </si>
  <si>
    <t xml:space="preserve">2485</t>
  </si>
  <si>
    <t xml:space="preserve">NCCC(O)C(=O)NC1CC(N)C(OC2OC(CN)C(O)C(O)C2N)C(OC2OC(CO)C(O)C2O)C1O</t>
  </si>
  <si>
    <t xml:space="preserve">XEQLFNPSYWZPOW-UHFFFAOYSA-N</t>
  </si>
  <si>
    <t xml:space="preserve">557.09859</t>
  </si>
  <si>
    <t xml:space="preserve">C20H22N8O6S2</t>
  </si>
  <si>
    <t xml:space="preserve">Ceftobiprole</t>
  </si>
  <si>
    <t xml:space="preserve">204673</t>
  </si>
  <si>
    <t xml:space="preserve">HMDB0249783</t>
  </si>
  <si>
    <t xml:space="preserve">139595999</t>
  </si>
  <si>
    <t xml:space="preserve">NC1=NC(=NS1)C(=NO)C(=O)NC1C2SCC(C=C3CCN(C4CCNC4)C3=O)=C(N2C1=O)C(O)=O</t>
  </si>
  <si>
    <t xml:space="preserve">VOAZJEPQLGBXGO-UHFFFAOYSA-N</t>
  </si>
  <si>
    <t xml:space="preserve">558.09949</t>
  </si>
  <si>
    <t xml:space="preserve">C29H19NO11</t>
  </si>
  <si>
    <t xml:space="preserve">6-CFDA N-succinimidyl ester</t>
  </si>
  <si>
    <t xml:space="preserve">200160</t>
  </si>
  <si>
    <t xml:space="preserve">HMDB0244679</t>
  </si>
  <si>
    <t xml:space="preserve">5048409</t>
  </si>
  <si>
    <t xml:space="preserve">CC(=O)OC1=CC2=C(C=C1)C1(OC(=O)C3=C1C=C(C=C3)C(=O)ON1C(=O)CCC1=O)C1=C(O2)C=C(OC(C)=O)C=C1</t>
  </si>
  <si>
    <t xml:space="preserve">JGPOSNWWINVNFV-UHFFFAOYSA-N</t>
  </si>
  <si>
    <t xml:space="preserve">559.09686</t>
  </si>
  <si>
    <t xml:space="preserve">C9H17O5PS</t>
  </si>
  <si>
    <t xml:space="preserve">Methyl 3-[(diethoxyphosphorothioyl)oxy]but-2-enoate</t>
  </si>
  <si>
    <t xml:space="preserve">205321</t>
  </si>
  <si>
    <t xml:space="preserve">HMDB0250562</t>
  </si>
  <si>
    <t xml:space="preserve">984237</t>
  </si>
  <si>
    <t xml:space="preserve">124964</t>
  </si>
  <si>
    <t xml:space="preserve">CCOP(=S)(OCC)OC(C)=CC(=O)OC</t>
  </si>
  <si>
    <t xml:space="preserve">IPDDIRXDRFQIQW-UHFFFAOYSA-N</t>
  </si>
  <si>
    <t xml:space="preserve">559.29585</t>
  </si>
  <si>
    <t xml:space="preserve">C12H20N4O3</t>
  </si>
  <si>
    <t xml:space="preserve">Histidylleucine</t>
  </si>
  <si>
    <t xml:space="preserve">53913</t>
  </si>
  <si>
    <t xml:space="preserve">HMDB0028889</t>
  </si>
  <si>
    <t xml:space="preserve">66283</t>
  </si>
  <si>
    <t xml:space="preserve">C05010</t>
  </si>
  <si>
    <t xml:space="preserve">5729</t>
  </si>
  <si>
    <t xml:space="preserve">189008</t>
  </si>
  <si>
    <t xml:space="preserve">7763-65-7</t>
  </si>
  <si>
    <t xml:space="preserve">CC(C)C[C@H](NC(=O)[C@@H](N)CC1=CNC=N1)C(O)=O</t>
  </si>
  <si>
    <t xml:space="preserve">MMFKFJORZBJVNF-UWVGGRQHSA-N</t>
  </si>
  <si>
    <t xml:space="preserve">560.09609</t>
  </si>
  <si>
    <t xml:space="preserve">C26H24F3N3O3</t>
  </si>
  <si>
    <t xml:space="preserve">(E)-(4R,9As)-7-[3-Methoxy-4-(4-methyl-1H-imidazol-1-yl)benzylidene]-4-(3,4,5-trifluorophenyl)hexahydropyrido[2,1-c][1,4]oxazin-6-one</t>
  </si>
  <si>
    <t xml:space="preserve">207081</t>
  </si>
  <si>
    <t xml:space="preserve">HMDB0252624</t>
  </si>
  <si>
    <t xml:space="preserve">91981564</t>
  </si>
  <si>
    <t xml:space="preserve">COC1=C(C=CC(C=C2CCC3COCC(N3C2=O)C2=CC(F)=C(F)C(F)=C2)=C1)N1C=NC(C)=C1</t>
  </si>
  <si>
    <t xml:space="preserve">VHNYOQKVZQVBLC-UHFFFAOYSA-N</t>
  </si>
  <si>
    <t xml:space="preserve">Oxazinanes</t>
  </si>
  <si>
    <t xml:space="preserve">Morpholines</t>
  </si>
  <si>
    <t xml:space="preserve">560.31042</t>
  </si>
  <si>
    <t xml:space="preserve">C33H43N3O6</t>
  </si>
  <si>
    <t xml:space="preserve">Aplaviroc</t>
  </si>
  <si>
    <t xml:space="preserve">203596</t>
  </si>
  <si>
    <t xml:space="preserve">HMDB0248516</t>
  </si>
  <si>
    <t xml:space="preserve">9938121</t>
  </si>
  <si>
    <t xml:space="preserve">CCCCN1C(=O)C(NC(=O)C11CCN(CC2=CC=C(OC3=CC=C(C=C3)C(O)=O)C=C2)CC1)C(O)C1CCCCC1</t>
  </si>
  <si>
    <t xml:space="preserve">GWNOTCOIYUNTQP-UHFFFAOYSA-N</t>
  </si>
  <si>
    <t xml:space="preserve">561.09475</t>
  </si>
  <si>
    <t xml:space="preserve">C27H22O12</t>
  </si>
  <si>
    <t xml:space="preserve">(+)-Lithospermic acid; Melitric acid A; Isomelitric acid A</t>
  </si>
  <si>
    <t xml:space="preserve">198726; 63821; 62797</t>
  </si>
  <si>
    <t xml:space="preserve">HMDB0242255; HMDB0040681; HMDB0039523</t>
  </si>
  <si>
    <t xml:space="preserve">; 95156; 94090</t>
  </si>
  <si>
    <t xml:space="preserve">4482010; 10459878; 21582559</t>
  </si>
  <si>
    <t xml:space="preserve">; 153765-45-8; </t>
  </si>
  <si>
    <t xml:space="preserve">OC(=O)C(CC1=CC=C(O)C(O)=C1)OC(=O)C=CC1=CC=C(O)C2=C1C(C(O2)C1=CC=C(O)C(O)=C1)C(O)=O; OC(=O)C(CC1=CC(O)=C(O)C=C1)OC(=O)\C=C\C1=CC(O)=C(O\C(=C/C2=CC(O)=C(O)C=C2)C(O)=O)C=C1; OC(=O)C(CC1=CC(O)=C(O)C=C1)OC(=O)\C=C\C1=CC(O\C(=C/C2=CC(O)=C(O)C=C2)C(O)=O)=C(O)C=C1</t>
  </si>
  <si>
    <t xml:space="preserve">UJZQBMQZMKFSRV-UHFFFAOYSA-N; MZSGWZGPESCJAN-JKXXRSRDSA-N; HFTLCJIFEZUOCR-JKXXRSRDSA-N</t>
  </si>
  <si>
    <t xml:space="preserve">2-arylbenzofuran flavonoids; Benzene and substituted derivatives; Benzene and substituted derivatives</t>
  </si>
  <si>
    <t xml:space="preserve">Unclassified; Phenylpyruvic acid derivatives; Phenylpyruvic acid derivatives</t>
  </si>
  <si>
    <t xml:space="preserve">561.31303</t>
  </si>
  <si>
    <t xml:space="preserve">C13H20N4O3</t>
  </si>
  <si>
    <t xml:space="preserve">Albifylline; Lisofylline</t>
  </si>
  <si>
    <t xml:space="preserve">203265; 199179</t>
  </si>
  <si>
    <t xml:space="preserve">HMDB0248117; HMDB0243557</t>
  </si>
  <si>
    <t xml:space="preserve">; 314755</t>
  </si>
  <si>
    <t xml:space="preserve">; 143565</t>
  </si>
  <si>
    <t xml:space="preserve">115359; 57782</t>
  </si>
  <si>
    <t xml:space="preserve">CN1C2=C(NC=N2)C(=O)N(CCCCC(C)(C)O)C1=O; CC(O)CCCCN1C(=O)N(C)C2=C(N(C)C=N2)C1=O</t>
  </si>
  <si>
    <t xml:space="preserve">NWXULHNEYYFVMF-UHFFFAOYSA-N; NSMXQKNUPPXBRG-UHFFFAOYSA-N</t>
  </si>
  <si>
    <t xml:space="preserve">562.09316</t>
  </si>
  <si>
    <t xml:space="preserve">C15H31N3O13P2</t>
  </si>
  <si>
    <t xml:space="preserve">Deoxyribonucleic acid</t>
  </si>
  <si>
    <t xml:space="preserve">202838</t>
  </si>
  <si>
    <t xml:space="preserve">HMDB0247632</t>
  </si>
  <si>
    <t xml:space="preserve">44135672</t>
  </si>
  <si>
    <t xml:space="preserve">NC1CC(O)C(COP(O)(=O)OC2CC(N)OC2COP(O)(=O)OC2CC(N)OC2CO)O1</t>
  </si>
  <si>
    <t xml:space="preserve">AWBASQCACWFTGD-UHFFFAOYSA-N</t>
  </si>
  <si>
    <t xml:space="preserve">563.33216</t>
  </si>
  <si>
    <t xml:space="preserve">C33H48O6</t>
  </si>
  <si>
    <t xml:space="preserve">Leptomycin B</t>
  </si>
  <si>
    <t xml:space="preserve">208237</t>
  </si>
  <si>
    <t xml:space="preserve">HMDB0254018</t>
  </si>
  <si>
    <t xml:space="preserve">435143</t>
  </si>
  <si>
    <t xml:space="preserve">CCC(C=CC1OC(=O)C=CC1C)=CC(C)CC=CC(C)=CC(C)C(=O)C(C)C(O)C(C)CC(C)=CC(O)=O</t>
  </si>
  <si>
    <t xml:space="preserve">YACHGFWEQXFSBS-UHFFFAOYSA-N</t>
  </si>
  <si>
    <t xml:space="preserve">564.33543</t>
  </si>
  <si>
    <t xml:space="preserve">C26H47N5O7</t>
  </si>
  <si>
    <t xml:space="preserve">Poststatin</t>
  </si>
  <si>
    <t xml:space="preserve">210524</t>
  </si>
  <si>
    <t xml:space="preserve">HMDB0256711</t>
  </si>
  <si>
    <t xml:space="preserve">CCC(N)C(=O)C(=O)NC(CC(C)C)C(=O)N(C(C(C)C)C(O)=O)C(=O)C(N)C(C)CC(=O)C(N)C(C)C</t>
  </si>
  <si>
    <t xml:space="preserve">UNPBSZUDTFBULK-UHFFFAOYSA-N</t>
  </si>
  <si>
    <t xml:space="preserve">566.32430</t>
  </si>
  <si>
    <t xml:space="preserve">C32H49NO5</t>
  </si>
  <si>
    <t xml:space="preserve">Daphniphylline</t>
  </si>
  <si>
    <t xml:space="preserve">55113</t>
  </si>
  <si>
    <t xml:space="preserve">HMDB0030291</t>
  </si>
  <si>
    <t xml:space="preserve">12309037</t>
  </si>
  <si>
    <t xml:space="preserve">15007-67-7</t>
  </si>
  <si>
    <t xml:space="preserve">CC(C)C1CCC2(C)C3CCC45CCCC4C2(CC(OC(C)=O)C(=O)C2(C)COC4(C)CCC2O4)C1N5C3</t>
  </si>
  <si>
    <t xml:space="preserve">LFLWRPZTBUUBEQ-UHFFFAOYSA-N</t>
  </si>
  <si>
    <t xml:space="preserve">Daphniphylline-type alkaloids</t>
  </si>
  <si>
    <t xml:space="preserve">567.32553</t>
  </si>
  <si>
    <t xml:space="preserve">C32H48O7</t>
  </si>
  <si>
    <t xml:space="preserve">Hovenidulcigenin A</t>
  </si>
  <si>
    <t xml:space="preserve">64138</t>
  </si>
  <si>
    <t xml:space="preserve">HMDB0041027</t>
  </si>
  <si>
    <t xml:space="preserve">95461</t>
  </si>
  <si>
    <t xml:space="preserve">168836</t>
  </si>
  <si>
    <t xml:space="preserve">85155136</t>
  </si>
  <si>
    <t xml:space="preserve">171499-81-3</t>
  </si>
  <si>
    <t xml:space="preserve">CC(C(CC1OC(=O)C(C)=C1)OC(C)=O)C1CCC2C3(C)CCC(O)C(C)(C)C3CCC2(C)C11COC(=O)C1</t>
  </si>
  <si>
    <t xml:space="preserve">CMKWUYXJKXGQMH-UHFFFAOYSA-N</t>
  </si>
  <si>
    <t xml:space="preserve">568.33617</t>
  </si>
  <si>
    <t xml:space="preserve">C32H51NO5</t>
  </si>
  <si>
    <t xml:space="preserve">Cholesterol glutamate</t>
  </si>
  <si>
    <t xml:space="preserve">205000</t>
  </si>
  <si>
    <t xml:space="preserve">HMDB0250171</t>
  </si>
  <si>
    <t xml:space="preserve">CC(C)CCCC(C)C1CCC2C3CC=C4CC(O)CC5(OC(=O)CCC(N)C(=O)O5)C4(C)C3CCC12C</t>
  </si>
  <si>
    <t xml:space="preserve">DHLDVFSMPHJGAD-UHFFFAOYSA-N</t>
  </si>
  <si>
    <t xml:space="preserve">569.34852</t>
  </si>
  <si>
    <t xml:space="preserve">C27H50N6O6S</t>
  </si>
  <si>
    <t xml:space="preserve">Bax inhibitor peptide V5</t>
  </si>
  <si>
    <t xml:space="preserve">203918</t>
  </si>
  <si>
    <t xml:space="preserve">HMDB0248888</t>
  </si>
  <si>
    <t xml:space="preserve">85854989</t>
  </si>
  <si>
    <t xml:space="preserve">CSCCC(NC(=O)C1CCCN1C(=O)C(N)C(C)C)C(=O)NC(CC(C)C)C(=O)NC(CCCCN)C(O)=O</t>
  </si>
  <si>
    <t xml:space="preserve">NHMUTADCTDDWPV-UHFFFAOYSA-N</t>
  </si>
  <si>
    <t xml:space="preserve">571.14825</t>
  </si>
  <si>
    <t xml:space="preserve">C19H32O18</t>
  </si>
  <si>
    <t xml:space="preserve">Carboxydextran</t>
  </si>
  <si>
    <t xml:space="preserve">204566</t>
  </si>
  <si>
    <t xml:space="preserve">HMDB0249656</t>
  </si>
  <si>
    <t xml:space="preserve">OCC1OC(OCC2OC(OCC(O)C(O)C(O)C(O)C(=O)C(O)=O)C(O)C(O)C2O)C(O)C(O)C1O</t>
  </si>
  <si>
    <t xml:space="preserve">HRAUDGDCDVYEMN-UHFFFAOYSA-N</t>
  </si>
  <si>
    <t xml:space="preserve">572.14981</t>
  </si>
  <si>
    <t xml:space="preserve">C21H31N3O12S</t>
  </si>
  <si>
    <t xml:space="preserve">N-(S-Nitroso-N-acetyl-D,L-penicillamine)-2-amino-2-deoxy-1,3,4,6-tetra-O-acetyl-beta-D-glucopyranose</t>
  </si>
  <si>
    <t xml:space="preserve">201001</t>
  </si>
  <si>
    <t xml:space="preserve">HMDB0245580</t>
  </si>
  <si>
    <t xml:space="preserve">4988604</t>
  </si>
  <si>
    <t xml:space="preserve">CC(=O)NC(C(=O)NC1C(OC(C)=O)OC(COC(C)=O)C(OC(C)=O)C1OC(C)=O)C(C)(C)SN=O</t>
  </si>
  <si>
    <t xml:space="preserve">VISYVRBZWPNIOD-UHFFFAOYSA-N</t>
  </si>
  <si>
    <t xml:space="preserve">573.14298</t>
  </si>
  <si>
    <t xml:space="preserve">C16H13NO3</t>
  </si>
  <si>
    <t xml:space="preserve">2-(2-Amino-3-methoxyphenyl)-4H-1-benzopyran-4-one</t>
  </si>
  <si>
    <t xml:space="preserve">200225</t>
  </si>
  <si>
    <t xml:space="preserve">HMDB0244751</t>
  </si>
  <si>
    <t xml:space="preserve">64632</t>
  </si>
  <si>
    <t xml:space="preserve">77954</t>
  </si>
  <si>
    <t xml:space="preserve">4713</t>
  </si>
  <si>
    <t xml:space="preserve">167869-21-8</t>
  </si>
  <si>
    <t xml:space="preserve">COC1=CC=CC(=C1N)C1=CC(=O)C2=CC=CC=C2O1</t>
  </si>
  <si>
    <t xml:space="preserve">QFWCYNPOPKQOKV-UHFFFAOYSA-N</t>
  </si>
  <si>
    <t xml:space="preserve">O-methylated flavonoids</t>
  </si>
  <si>
    <t xml:space="preserve">575.24972</t>
  </si>
  <si>
    <t xml:space="preserve">C30H38O11</t>
  </si>
  <si>
    <t xml:space="preserve">Toosendanin; Austalide C</t>
  </si>
  <si>
    <t xml:space="preserve">212519; 58180</t>
  </si>
  <si>
    <t xml:space="preserve">HMDB0259107; HMDB0034075</t>
  </si>
  <si>
    <t xml:space="preserve">22556220; 131751523</t>
  </si>
  <si>
    <t xml:space="preserve">; 81543-03-5</t>
  </si>
  <si>
    <t xml:space="preserve">CC(=O)OC1CC(O)C23COC(O)C1(C)C2CC(O)C1(C)C3C(=O)C(OC(C)=O)C2(C)C(CC3OC123)C1=COC=C1; COC1=C2C(=O)OCC2=C(C)C2=C1CC1C(C)(CC(OC(C)=O)C34OC(CC(OC(C)=O)C13C)(OC)OC4(C)C)O2</t>
  </si>
  <si>
    <t xml:space="preserve">NAHTXVIXCMUDLF-UHFFFAOYSA-N; CSYWTGORJHMPOT-UHFFFAOYSA-N</t>
  </si>
  <si>
    <t xml:space="preserve">Prenol lipids; Benzopyrans</t>
  </si>
  <si>
    <t xml:space="preserve">Triterpenoids; 1-benzopyrans</t>
  </si>
  <si>
    <t xml:space="preserve">577.36936</t>
  </si>
  <si>
    <t xml:space="preserve">C40H50O4</t>
  </si>
  <si>
    <t xml:space="preserve">7,8-Dehydroastaxanthianthin</t>
  </si>
  <si>
    <t xml:space="preserve">60541</t>
  </si>
  <si>
    <t xml:space="preserve">HMDB0036872</t>
  </si>
  <si>
    <t xml:space="preserve">91872</t>
  </si>
  <si>
    <t xml:space="preserve">172765</t>
  </si>
  <si>
    <t xml:space="preserve">131752072</t>
  </si>
  <si>
    <t xml:space="preserve">19866-02-5</t>
  </si>
  <si>
    <t xml:space="preserve">C\C(\C=C\C=C(/C)\C=C\C1=C(C)C(=O)C(O)CC1(C)C)=C\C=C\C=C(/C)\C=C\C=C(\C)C#CC1=C(C)C(=O)C(O)CC1(C)C</t>
  </si>
  <si>
    <t xml:space="preserve">BZQRJBLJDFPOBX-FOERLQQGSA-N</t>
  </si>
  <si>
    <t xml:space="preserve">582.29890</t>
  </si>
  <si>
    <t xml:space="preserve">C28H50NO7P</t>
  </si>
  <si>
    <t xml:space="preserve">LPC(20:4)</t>
  </si>
  <si>
    <t xml:space="preserve">19846</t>
  </si>
  <si>
    <t xml:space="preserve">HMDB0010395</t>
  </si>
  <si>
    <t xml:space="preserve">40314</t>
  </si>
  <si>
    <t xml:space="preserve">LMGP01050048</t>
  </si>
  <si>
    <t xml:space="preserve">74344</t>
  </si>
  <si>
    <t xml:space="preserve">24779476</t>
  </si>
  <si>
    <t xml:space="preserve">60701-99-7</t>
  </si>
  <si>
    <t xml:space="preserve">[C@](COP(=O)([O-])OCC[N+](C)(C)C)([H])(O)COC(CCC/C=C\C/C=C\C/C=C\C/C=C\CCCCC)=O</t>
  </si>
  <si>
    <t xml:space="preserve">LAXQYRRMGGEGOH-JXRLJXCWSA-N</t>
  </si>
  <si>
    <t xml:space="preserve">583.29957</t>
  </si>
  <si>
    <t xml:space="preserve">C36H44N2O4S</t>
  </si>
  <si>
    <t xml:space="preserve">Benzoic acid, 4-(4-((2R,5R)-5-((bis(phenylmethyl)amino)carbonyl)-2-heptyl-4-oxo-3-thiazolidinyl)butyl)-, rel-</t>
  </si>
  <si>
    <t xml:space="preserve">201514</t>
  </si>
  <si>
    <t xml:space="preserve">HMDB0246150</t>
  </si>
  <si>
    <t xml:space="preserve">85066768</t>
  </si>
  <si>
    <t xml:space="preserve">CCCCCCCC1SC(C(=O)N(CC2=CC=CC=C2)CC2=CC=CC=C2)C(=O)N1CCCCC1=CC=C(C=C1)C(O)=O</t>
  </si>
  <si>
    <t xml:space="preserve">SVIBTUGLPUCOKI-UHFFFAOYSA-N</t>
  </si>
  <si>
    <t xml:space="preserve">584.30193</t>
  </si>
  <si>
    <t xml:space="preserve">C29H49NO6S</t>
  </si>
  <si>
    <t xml:space="preserve">Cholylmethionine</t>
  </si>
  <si>
    <t xml:space="preserve">198835</t>
  </si>
  <si>
    <t xml:space="preserve">HMDB0242382</t>
  </si>
  <si>
    <t xml:space="preserve">145997943</t>
  </si>
  <si>
    <t xml:space="preserve">CSCCC(NC(=O)CCC(C)C1CCC2C3C(O)CC4CC(O)CCC4(C)C3CC(O)C12C)C(O)=O</t>
  </si>
  <si>
    <t xml:space="preserve">VNBNDOGLQFEJKP-UHFFFAOYSA-N</t>
  </si>
  <si>
    <t xml:space="preserve">585.29573</t>
  </si>
  <si>
    <t xml:space="preserve">C31H42N6O3</t>
  </si>
  <si>
    <t xml:space="preserve">Anamorelin</t>
  </si>
  <si>
    <t xml:space="preserve">203488</t>
  </si>
  <si>
    <t xml:space="preserve">HMDB0248383</t>
  </si>
  <si>
    <t xml:space="preserve">18518455</t>
  </si>
  <si>
    <t xml:space="preserve">CN(C)N(C)C(=O)C1(CC2=CC=CC=C2)CCCN(C1)C(=O)C(CC1=CNC2=CC=CC=C12)NC(=O)C(C)(C)N</t>
  </si>
  <si>
    <t xml:space="preserve">VQPFSIRUEPQQPP-UHFFFAOYSA-N</t>
  </si>
  <si>
    <t xml:space="preserve">590.32234</t>
  </si>
  <si>
    <t xml:space="preserve">C30H50NO7P</t>
  </si>
  <si>
    <t xml:space="preserve">LPC(22:6)</t>
  </si>
  <si>
    <t xml:space="preserve">19850</t>
  </si>
  <si>
    <t xml:space="preserve">HMDB0010404</t>
  </si>
  <si>
    <t xml:space="preserve">40322</t>
  </si>
  <si>
    <t xml:space="preserve">LMGP01050056</t>
  </si>
  <si>
    <t xml:space="preserve">73873</t>
  </si>
  <si>
    <t xml:space="preserve">10415542</t>
  </si>
  <si>
    <t xml:space="preserve">162440-05-3</t>
  </si>
  <si>
    <t xml:space="preserve">[C@](COP(=O)([O-])OCC[N+](C)(C)C)([H])(O)COC(CC/C=C\C/C=C\C/C=C\C/C=C\C/C=C\C/C=C\CC)=O</t>
  </si>
  <si>
    <t xml:space="preserve">LSOWKZULVQWMLY-APPDJCNMSA-N</t>
  </si>
  <si>
    <t xml:space="preserve">591.38741</t>
  </si>
  <si>
    <t xml:space="preserve">C34H54O8</t>
  </si>
  <si>
    <t xml:space="preserve">lasalocid; (24R)-5b,8b-Epidioxyergosta-6,22E-dien-3b-ol 3-glucoside</t>
  </si>
  <si>
    <t xml:space="preserve">208207; 61429</t>
  </si>
  <si>
    <t xml:space="preserve">HMDB0253985; HMDB0037956</t>
  </si>
  <si>
    <t xml:space="preserve">; 92748</t>
  </si>
  <si>
    <t xml:space="preserve">3888; 56673984</t>
  </si>
  <si>
    <t xml:space="preserve">; 348144-81-0</t>
  </si>
  <si>
    <t xml:space="preserve">CCC(C1OC(CC)(CC1C)C1CCC(O)(CC)C(C)O1)C(=O)C(C)C(O)C(C)CCC1=CC=C(C)C(O)=C1C(O)=O; CC(C)C(C)\C=C\C(C)C1CCC2C1(C)CCC1C3(C)CCC(CC33OOC21C=C3)OC1OC(CO)C(O)C(O)C1O</t>
  </si>
  <si>
    <t xml:space="preserve">BBMULGJBVDDDNI-UHFFFAOYSA-N; CKJZKFPVVUQBMB-BQYQJAHWSA-N</t>
  </si>
  <si>
    <t xml:space="preserve">Terpene glycosides; Steroidal glycosides</t>
  </si>
  <si>
    <t xml:space="preserve">592.21519</t>
  </si>
  <si>
    <t xml:space="preserve">C30H37N2O8</t>
  </si>
  <si>
    <t xml:space="preserve">4-(2,2,6,6-Tetramethyl-1-oxylpiperidin-4-ylamino)-4'-demethylepipodophyllotoxin</t>
  </si>
  <si>
    <t xml:space="preserve">207333</t>
  </si>
  <si>
    <t xml:space="preserve">HMDB0252920</t>
  </si>
  <si>
    <t xml:space="preserve">10076333</t>
  </si>
  <si>
    <t xml:space="preserve">COC1=CC(=CC(OC)=C1O)C1C2C(COC2=O)C(NC2CC(C)(C)N([O])C(C)(C)C2)C2=CC3=C(OCO3)C=C12</t>
  </si>
  <si>
    <t xml:space="preserve">MNYFRPDQBQTHSV-UHFFFAOYSA-N</t>
  </si>
  <si>
    <t xml:space="preserve">Lignan lactones</t>
  </si>
  <si>
    <t xml:space="preserve">596.23838</t>
  </si>
  <si>
    <t xml:space="preserve">C29H45NO7</t>
  </si>
  <si>
    <t xml:space="preserve">(4Z,7R,8E,10Z,12E,14E,17S,19Z)-7,16,17-Trihydroxydocosa-4,8,10,12,14,19-hexaenoylcarnitine; (4Z,7S,9E,11E,13Z,15E,17S,19Z)-7,8,17-Trihydroxydocosa-4,9,11,13,15,19-hexaenoylcarnitine; (4Z,7Z,10S,11E)-10-Hydroxy-12-[(1S,2R,5S)-5-hydroxy-3-oxo-2-[(2Z)-pent-2-en-1-yl]cyclopentyl]dodeca-4,7,11-trienoylcarnitine</t>
  </si>
  <si>
    <t xml:space="preserve">198150; 198151; 198335</t>
  </si>
  <si>
    <t xml:space="preserve">HMDB0241614; HMDB0241615; HMDB0241813</t>
  </si>
  <si>
    <t xml:space="preserve">CCC=CCC(O)C(O)C=CC=CC=CC=CC(O)CC=CCCC(=O)OC(CC([O-])=O)C[N+](C)(C)C; CCC=CCC(O)C=CC=CC=CC=CC(O)C(O)CC=CCCC(=O)OC(CC([O-])=O)C[N+](C)(C)C; CCC=CCC1C(C=CC(O)CC=CCC=CCCC(=O)OC(CC([O-])=O)C[N+](C)(C)C)C(O)CC1=O</t>
  </si>
  <si>
    <t xml:space="preserve">WFNNVNHJKZFVBH-UHFFFAOYSA-N; UNSQDOWJGWHLPV-UHFFFAOYSA-N; YPKGWXVJAWQRPF-UHFFFAOYSA-N</t>
  </si>
  <si>
    <t xml:space="preserve">597.24064</t>
  </si>
  <si>
    <t xml:space="preserve">C33H35FN2O6</t>
  </si>
  <si>
    <t xml:space="preserve">&lt;i&gt;para&lt;/i&gt;-hydroxyatorvastatin; &lt;i&gt;ortho&lt;/i&gt;-hydroxyatorvastatin</t>
  </si>
  <si>
    <t xml:space="preserve">82851; 82852</t>
  </si>
  <si>
    <t xml:space="preserve">HMDB0061014; HMDB0061015</t>
  </si>
  <si>
    <t xml:space="preserve">168285; 169599</t>
  </si>
  <si>
    <t xml:space="preserve">3364535; 3364534</t>
  </si>
  <si>
    <t xml:space="preserve">CC(C)C1=C(C(=O)NC2=CC=C(O)C=C2)C(=C(N1CCC(O)CC(O)CC(O)=O)C1=CC=C(F)C=C1)C1=CC=CC=C1; CC(C)C1=C(C(O)=NC2=CC=CC=C2O)C(=C(N1CCC(O)CC(O)CC(O)=O)C1=CC=C(F)C=C1)C1=CC=CC=C1</t>
  </si>
  <si>
    <t xml:space="preserve">SOZOATLLFFVAPM-UHFFFAOYSA-N; CZBPKFICAYVHHM-UHFFFAOYSA-N</t>
  </si>
  <si>
    <t xml:space="preserve">Pyrroles; Pyrroles</t>
  </si>
  <si>
    <t xml:space="preserve">Substituted pyrroles; Substituted pyrroles</t>
  </si>
  <si>
    <t xml:space="preserve">598.23331</t>
  </si>
  <si>
    <t xml:space="preserve">C26H45N3O6S2</t>
  </si>
  <si>
    <t xml:space="preserve">(2S)-2-[[2-[(2S,3S)-2-[[(2R)-2-Amino-3-mercaptopropyl]amino]-3-methylpentoxy]-1-oxo-3-phenylpropyl]amino]-4-methylsulfonylbutanoic acid propan-2-yl ester</t>
  </si>
  <si>
    <t xml:space="preserve">208136</t>
  </si>
  <si>
    <t xml:space="preserve">HMDB0253859</t>
  </si>
  <si>
    <t xml:space="preserve">3852</t>
  </si>
  <si>
    <t xml:space="preserve">CCC(C)C(COC(CC1=CC=CC=C1)C(=O)NC(CCS(C)(=O)=O)C(=O)OC(C)C)NCC(N)CS</t>
  </si>
  <si>
    <t xml:space="preserve">PGOKBMWPBDRDGN-UHFFFAOYSA-N</t>
  </si>
  <si>
    <t xml:space="preserve">603.44000</t>
  </si>
  <si>
    <t xml:space="preserve">C40H58O4</t>
  </si>
  <si>
    <t xml:space="preserve">Oryzanol A</t>
  </si>
  <si>
    <t xml:space="preserve">59712</t>
  </si>
  <si>
    <t xml:space="preserve">HMDB0035891</t>
  </si>
  <si>
    <t xml:space="preserve">91095</t>
  </si>
  <si>
    <t xml:space="preserve">C17489</t>
  </si>
  <si>
    <t xml:space="preserve">13922652</t>
  </si>
  <si>
    <t xml:space="preserve">COC1=CC(\C=C\C(=O)OC2CCC34CC33CCC5(C)C(CCC5(C)C3CCC4C2(C)C)C(C)CCC=C(C)C)=CC=C1O</t>
  </si>
  <si>
    <t xml:space="preserve">FODTZLFLDFKIQH-GHRIWEEISA-N</t>
  </si>
  <si>
    <t xml:space="preserve">604.21211</t>
  </si>
  <si>
    <t xml:space="preserve">C29H35N5O7</t>
  </si>
  <si>
    <t xml:space="preserve">Hemorphin-4</t>
  </si>
  <si>
    <t xml:space="preserve">81828</t>
  </si>
  <si>
    <t xml:space="preserve">HMDB0059788</t>
  </si>
  <si>
    <t xml:space="preserve">128444</t>
  </si>
  <si>
    <t xml:space="preserve">[H][C@](N)(CC1=CC=C(O)C=C1)C(=O)N1CCC[C@@]1([H])C(O)=N[C@@]([H])(CC1=CNC2=CC=CC=C12)C(O)=N[C@]([H])(C(O)=O)[C@@]([H])(C)O</t>
  </si>
  <si>
    <t xml:space="preserve">WEGGKZQIJMQCGR-RECQUVTISA-N</t>
  </si>
  <si>
    <t xml:space="preserve">605.21759</t>
  </si>
  <si>
    <t xml:space="preserve">C28H38O13</t>
  </si>
  <si>
    <t xml:space="preserve">(7'R)-(+)-Lyoniresinol 9'-glucoside; (+)-Lyoniresinol 9-glucoside</t>
  </si>
  <si>
    <t xml:space="preserve">62246; 64254</t>
  </si>
  <si>
    <t xml:space="preserve">HMDB0038922; HMDB0041148</t>
  </si>
  <si>
    <t xml:space="preserve">93535; 95576</t>
  </si>
  <si>
    <t xml:space="preserve">14521083; 74256819</t>
  </si>
  <si>
    <t xml:space="preserve">87585-32-8; </t>
  </si>
  <si>
    <t xml:space="preserve">COC1=CC2=C(C(C(COC3OC(CO)C(O)C(O)C3O)C(CO)C2)C2=CC(OC)=C(O)C(OC)=C2)C(OC)=C1O; COC1=CC(=CC(OC)=C1O)C1C(CO)C(COC2OC(CO)C(O)C(O)C2O)CC2=CC(OC)=C(O)C(OC)=C12</t>
  </si>
  <si>
    <t xml:space="preserve">PQQRNPDHSJDAGV-UHFFFAOYSA-N; PACBNJFGEWTGCE-UHFFFAOYSA-N</t>
  </si>
  <si>
    <t xml:space="preserve">Lignans, neolignans and related compounds; Lignans, neolignans and related compounds</t>
  </si>
  <si>
    <t xml:space="preserve">Lignan glycosides; Lignan glycosides</t>
  </si>
  <si>
    <t xml:space="preserve">605.45270</t>
  </si>
  <si>
    <t xml:space="preserve">C35H66O5</t>
  </si>
  <si>
    <t xml:space="preserve">DG(32:1)</t>
  </si>
  <si>
    <t xml:space="preserve">48982</t>
  </si>
  <si>
    <t xml:space="preserve">HMDB0007014</t>
  </si>
  <si>
    <t xml:space="preserve">58649</t>
  </si>
  <si>
    <t xml:space="preserve">53477952</t>
  </si>
  <si>
    <t xml:space="preserve">[H][C@](CO)(COC(=O)CCCCCCCCCCCCC)OC(=O)CCCCCCCCC\C=C/CCCCCC</t>
  </si>
  <si>
    <t xml:space="preserve">XITYIRJXXQNQKT-ZWOXTJJBSA-N</t>
  </si>
  <si>
    <t xml:space="preserve">606.29889</t>
  </si>
  <si>
    <t xml:space="preserve">C32H45N3O5S</t>
  </si>
  <si>
    <t xml:space="preserve">M8-Nelfinavir</t>
  </si>
  <si>
    <t xml:space="preserve">209491</t>
  </si>
  <si>
    <t xml:space="preserve">HMDB0255505</t>
  </si>
  <si>
    <t xml:space="preserve">75213036</t>
  </si>
  <si>
    <t xml:space="preserve">CC1=C(C=CC=C1O)C(=O)NC(CSC1=CC=CC=C1)C(O)CN1CC2CCCCC2CC1C(=O)NC(C)(C)CO</t>
  </si>
  <si>
    <t xml:space="preserve">SLEPDNKZXLVSOH-UHFFFAOYSA-N</t>
  </si>
  <si>
    <t xml:space="preserve">607.29926</t>
  </si>
  <si>
    <t xml:space="preserve">C34H48O7</t>
  </si>
  <si>
    <t xml:space="preserve">(24E)-3alpha,15alpha-Diacetoxy-23-oxo-7,9(11),24-lanostatrien-26-oic acid</t>
  </si>
  <si>
    <t xml:space="preserve">59267</t>
  </si>
  <si>
    <t xml:space="preserve">HMDB0035388</t>
  </si>
  <si>
    <t xml:space="preserve">90684</t>
  </si>
  <si>
    <t xml:space="preserve">131751735</t>
  </si>
  <si>
    <t xml:space="preserve">117383-36-5</t>
  </si>
  <si>
    <t xml:space="preserve">CC(CC(=O)\C=C(\C)C(O)=O)C1CC(OC(C)=O)C2(C)C3=CCC4C(C)(C)C(CCC4(C)C3=CCC12C)OC(C)=O</t>
  </si>
  <si>
    <t xml:space="preserve">RUEBMBLFAJUSGD-JZJYNLBNSA-N</t>
  </si>
  <si>
    <t xml:space="preserve">608.31005</t>
  </si>
  <si>
    <t xml:space="preserve">C30H52NO7P</t>
  </si>
  <si>
    <t xml:space="preserve">LPC(22:5)</t>
  </si>
  <si>
    <t xml:space="preserve">19891</t>
  </si>
  <si>
    <t xml:space="preserve">HMDB0010402</t>
  </si>
  <si>
    <t xml:space="preserve">61711</t>
  </si>
  <si>
    <t xml:space="preserve">LMGP01050142</t>
  </si>
  <si>
    <t xml:space="preserve">74348</t>
  </si>
  <si>
    <t xml:space="preserve">53480473</t>
  </si>
  <si>
    <t xml:space="preserve">C(OP(OCC[N+](C)(C)C)(=O)[O-])[C@]([H])(O)COC(=O)CC/C=C\C/C=C\C/C=C\C/C=C\C/C=C\CCCCC</t>
  </si>
  <si>
    <t xml:space="preserve">YBUXFQUGNPBZPS-YNBHEIDWSA-N</t>
  </si>
  <si>
    <t xml:space="preserve">610.18887</t>
  </si>
  <si>
    <t xml:space="preserve">C31H36ClN3O3S</t>
  </si>
  <si>
    <t xml:space="preserve">(2-Amino-3-methylphenyl)-[4-[4-[[2-(3-chlorophenyl)sulfonylphenyl]methyl]piperidin-1-yl]piperidin-1-yl]methanone</t>
  </si>
  <si>
    <t xml:space="preserve">198907</t>
  </si>
  <si>
    <t xml:space="preserve">HMDB0242463</t>
  </si>
  <si>
    <t xml:space="preserve">91218880</t>
  </si>
  <si>
    <t xml:space="preserve">CC1=CC=CC(C(=O)N2CCC(CC2)N2CCC(CC3=CC=CC=C3S(=O)(=O)C3=CC(Cl)=CC=C3)CC2)=C1N</t>
  </si>
  <si>
    <t xml:space="preserve">HFDBXOCDLVLRPL-UHFFFAOYSA-N</t>
  </si>
  <si>
    <t xml:space="preserve">611.18932</t>
  </si>
  <si>
    <t xml:space="preserve">C30H36O11</t>
  </si>
  <si>
    <t xml:space="preserve">5alpha-Ethoxy-6beta-hydroxy-5,6-dihydrophysalin B</t>
  </si>
  <si>
    <t xml:space="preserve">54538</t>
  </si>
  <si>
    <t xml:space="preserve">HMDB0029626</t>
  </si>
  <si>
    <t xml:space="preserve">86386</t>
  </si>
  <si>
    <t xml:space="preserve">131750889</t>
  </si>
  <si>
    <t xml:space="preserve">CCOC12CC=CC(=O)C1(C)C1CCC3(O)C(=O)OC4(C)C5CC6(C)C7C(=O)C(OC347)(OCC6C(=O)O5)C1CC2O</t>
  </si>
  <si>
    <t xml:space="preserve">GCRPDPKXRPYCEV-UHFFFAOYSA-N</t>
  </si>
  <si>
    <t xml:space="preserve">Physalins and derivatives</t>
  </si>
  <si>
    <t xml:space="preserve">612.19229</t>
  </si>
  <si>
    <t xml:space="preserve">C35H31N3O5</t>
  </si>
  <si>
    <t xml:space="preserve">7-(3-((3-Formylphenoxy)methyl)-1,5-dimethyl-1H-pyrazol-4-yl)-3-(3-(naphthalen-1-yloxy)propyl)-1H-indole-2-carboxylic acid</t>
  </si>
  <si>
    <t xml:space="preserve">202483</t>
  </si>
  <si>
    <t xml:space="preserve">HMDB0247223</t>
  </si>
  <si>
    <t xml:space="preserve">121487974</t>
  </si>
  <si>
    <t xml:space="preserve">CN1N=C(COC2=CC=CC(C=O)=C2)C(=C1C)C1=CC=CC2=C1NC(C(O)=O)=C2CCCOC1=CC=CC2=CC=CC=C12</t>
  </si>
  <si>
    <t xml:space="preserve">XEIVCDDCSGGZSG-UHFFFAOYSA-N</t>
  </si>
  <si>
    <t xml:space="preserve">613.48314</t>
  </si>
  <si>
    <t xml:space="preserve">C37H66O5</t>
  </si>
  <si>
    <t xml:space="preserve">DG(34:3)</t>
  </si>
  <si>
    <t xml:space="preserve">48985</t>
  </si>
  <si>
    <t xml:space="preserve">HMDB0007023</t>
  </si>
  <si>
    <t xml:space="preserve">58658</t>
  </si>
  <si>
    <t xml:space="preserve">88794</t>
  </si>
  <si>
    <t xml:space="preserve">53477958</t>
  </si>
  <si>
    <t xml:space="preserve">[H][C@](CO)(COC(=O)CCCCCCCCCCCCC)OC(=O)CCC\C=C/C\C=C/C\C=C/CCCCCCCC</t>
  </si>
  <si>
    <t xml:space="preserve">LOWZJYQDLAZBBH-CJLHORADSA-N</t>
  </si>
  <si>
    <t xml:space="preserve">615.14341</t>
  </si>
  <si>
    <t xml:space="preserve">C28H32O13</t>
  </si>
  <si>
    <t xml:space="preserve">Negletein 6-[rhamnosyl-(1-&gt;2)-fucoside]</t>
  </si>
  <si>
    <t xml:space="preserve">56451</t>
  </si>
  <si>
    <t xml:space="preserve">HMDB0031991</t>
  </si>
  <si>
    <t xml:space="preserve">C10023</t>
  </si>
  <si>
    <t xml:space="preserve">2979</t>
  </si>
  <si>
    <t xml:space="preserve">85202062</t>
  </si>
  <si>
    <t xml:space="preserve">192224-98-9</t>
  </si>
  <si>
    <t xml:space="preserve">COC1=C(OC2OC(C)C(O)C(O)C2OC2OC(C)C(O)C(O)C2O)C(O)=C2C(=O)C=C(OC2=C1)C1=CC=CC=C1</t>
  </si>
  <si>
    <t xml:space="preserve">HKKXKZVCSZYRHK-UHFFFAOYSA-N</t>
  </si>
  <si>
    <t xml:space="preserve">615.49707</t>
  </si>
  <si>
    <t xml:space="preserve">C39H66O5</t>
  </si>
  <si>
    <t xml:space="preserve">DG(36:5)</t>
  </si>
  <si>
    <t xml:space="preserve">48988</t>
  </si>
  <si>
    <t xml:space="preserve">HMDB0007032</t>
  </si>
  <si>
    <t xml:space="preserve">58667</t>
  </si>
  <si>
    <t xml:space="preserve">53477967</t>
  </si>
  <si>
    <t xml:space="preserve">[H][C@](CO)(COC(=O)CCCCCCCCCCCCC)OC(=O)CC\C=C/C\C=C/C\C=C/C\C=C/C\C=C/CCCCC</t>
  </si>
  <si>
    <t xml:space="preserve">ILUYFTWKNLJHOS-BJTCJBOMSA-N</t>
  </si>
  <si>
    <t xml:space="preserve">617.22088</t>
  </si>
  <si>
    <t xml:space="preserve">C30H42O9S</t>
  </si>
  <si>
    <t xml:space="preserve">Withaperuvin H</t>
  </si>
  <si>
    <t xml:space="preserve">58167</t>
  </si>
  <si>
    <t xml:space="preserve">HMDB0034061</t>
  </si>
  <si>
    <t xml:space="preserve">131751518</t>
  </si>
  <si>
    <t xml:space="preserve">CC1=C(C)C(=O)OC(C1)C(C)(O)C1(O)CCC2(O)C3CC4SCC(O)OC5C=CC(=O)C(C)(C3CCC12C)C45O</t>
  </si>
  <si>
    <t xml:space="preserve">RALUHIBMVXYCHB-UHFFFAOYSA-N</t>
  </si>
  <si>
    <t xml:space="preserve">617.51664</t>
  </si>
  <si>
    <t xml:space="preserve">C39H68O5</t>
  </si>
  <si>
    <t xml:space="preserve">DG(36:4)</t>
  </si>
  <si>
    <t xml:space="preserve">10912</t>
  </si>
  <si>
    <t xml:space="preserve">HMDB0007031</t>
  </si>
  <si>
    <t xml:space="preserve">58666</t>
  </si>
  <si>
    <t xml:space="preserve">LMGL02010399</t>
  </si>
  <si>
    <t xml:space="preserve">88790</t>
  </si>
  <si>
    <t xml:space="preserve">53477966</t>
  </si>
  <si>
    <t xml:space="preserve">OC[C@]([H])(OC(CCCCC/C=C\C/C=C\C/C=C\C/C=C\CCCCC)=O)COC(CCCCCCCCCCCCC)=O</t>
  </si>
  <si>
    <t xml:space="preserve">RJWUOCNQTGXKIH-QILILDRISA-N</t>
  </si>
  <si>
    <t xml:space="preserve">618.22011</t>
  </si>
  <si>
    <t xml:space="preserve">C26H45NO9S2</t>
  </si>
  <si>
    <t xml:space="preserve">Taurochenodeoxycholate-3-sulfate; Taurochenodeoxycholate-7-sulfate</t>
  </si>
  <si>
    <t xml:space="preserve">47950; 46692</t>
  </si>
  <si>
    <t xml:space="preserve">HMDB0002486; HMDB0002498</t>
  </si>
  <si>
    <t xml:space="preserve">6697; 57981</t>
  </si>
  <si>
    <t xml:space="preserve">; LMST05020030</t>
  </si>
  <si>
    <t xml:space="preserve">44263374; 20842013</t>
  </si>
  <si>
    <t xml:space="preserve">67030-59-5; 66874-12-2</t>
  </si>
  <si>
    <t xml:space="preserve">[H][C@@]1(CC[C@@]2([H])[C@]3([H])[C@H](O)C[C@]4([H])C[C@@H](CC[C@]4(C)[C@@]3([H])C[C@@H](O)[C@]12C)S(O)(=O)=O)[C@H](C)CCC(=O)NCCS(O)(=O)=O; [C@]12([C@H](OS(=O)(O)=O)C[C@]3([H])C[C@H](O)CC[C@]3(C)[C@@]1([H])CC[C@]1(C)[C@@]([H])([C@@](C)([H])CCC(=O)NCCS(=O)(O)=O)CC[C@@]21[H])[H]</t>
  </si>
  <si>
    <t xml:space="preserve">IJHJZQKOSUFQCX-WZJRQFJBSA-N; WTKQKSAFONWCMW-BJLOMENOSA-N</t>
  </si>
  <si>
    <t xml:space="preserve">621.39821</t>
  </si>
  <si>
    <t xml:space="preserve">C30H62O10</t>
  </si>
  <si>
    <t xml:space="preserve">Polidocanol</t>
  </si>
  <si>
    <t xml:space="preserve">210487</t>
  </si>
  <si>
    <t xml:space="preserve">HMDB0256665</t>
  </si>
  <si>
    <t xml:space="preserve">69582</t>
  </si>
  <si>
    <t xml:space="preserve">C13493</t>
  </si>
  <si>
    <t xml:space="preserve">46859</t>
  </si>
  <si>
    <t xml:space="preserve">656641</t>
  </si>
  <si>
    <t xml:space="preserve">3055-99-0</t>
  </si>
  <si>
    <t xml:space="preserve">CCCCCCCCCCCCOCCOCCOCCOCCOCCOCCOCCOCCOCCO</t>
  </si>
  <si>
    <t xml:space="preserve">ONJQDTZCDSESIW-UHFFFAOYSA-N</t>
  </si>
  <si>
    <t xml:space="preserve">625.23323</t>
  </si>
  <si>
    <t xml:space="preserve">C35H34N6O3</t>
  </si>
  <si>
    <t xml:space="preserve">N-[1-[4-[(2,4-Dimethoxyphenyl)methyl]-5-(2-phenylethyl)-1,2,4-triazol-3-yl]-2-(1H-indol-3-yl)ethyl]pyridine-2-carboxamide</t>
  </si>
  <si>
    <t xml:space="preserve">208037</t>
  </si>
  <si>
    <t xml:space="preserve">HMDB0253735</t>
  </si>
  <si>
    <t xml:space="preserve">45361</t>
  </si>
  <si>
    <t xml:space="preserve">53394052</t>
  </si>
  <si>
    <t xml:space="preserve">925239-03-8</t>
  </si>
  <si>
    <t xml:space="preserve">COC1=CC(OC)=C(CN2C(CCC3=CC=CC=C3)=NN=C2C(CC2=CNC3=CC=CC=C23)NC(=O)C2=CC=CC=N2)C=C1</t>
  </si>
  <si>
    <t xml:space="preserve">UMGBPWZCCHVQAY-UHFFFAOYSA-N</t>
  </si>
  <si>
    <t xml:space="preserve">626.23222</t>
  </si>
  <si>
    <t xml:space="preserve">C22H37N9O10</t>
  </si>
  <si>
    <t xml:space="preserve">H-Gly-Arg-Gly-Asp-D-Ser-Pro-OH</t>
  </si>
  <si>
    <t xml:space="preserve">207414</t>
  </si>
  <si>
    <t xml:space="preserve">HMDB0253013</t>
  </si>
  <si>
    <t xml:space="preserve">14796482</t>
  </si>
  <si>
    <t xml:space="preserve">NCC(=O)NC(CCCN=C(N)N)C(=O)NCC(=O)NC(CC(O)=O)C(=O)NC(CO)C(=O)N1CCCC1C(O)=O</t>
  </si>
  <si>
    <t xml:space="preserve">NTEDOEBWPRVVSG-UHFFFAOYSA-N</t>
  </si>
  <si>
    <t xml:space="preserve">629.32080</t>
  </si>
  <si>
    <t xml:space="preserve">C16H25NO4</t>
  </si>
  <si>
    <t xml:space="preserve">Esmolol</t>
  </si>
  <si>
    <t xml:space="preserve">52592</t>
  </si>
  <si>
    <t xml:space="preserve">HMDB0014333</t>
  </si>
  <si>
    <t xml:space="preserve">2576</t>
  </si>
  <si>
    <t xml:space="preserve">C06980</t>
  </si>
  <si>
    <t xml:space="preserve">88206</t>
  </si>
  <si>
    <t xml:space="preserve">59768</t>
  </si>
  <si>
    <t xml:space="preserve">103598-03-4</t>
  </si>
  <si>
    <t xml:space="preserve">COC(=O)CCC1=CC=C(OCC(O)CNC(C)C)C=C1</t>
  </si>
  <si>
    <t xml:space="preserve">AQNDDEOPVVGCPG-UHFFFAOYSA-N</t>
  </si>
  <si>
    <t xml:space="preserve">629.45453</t>
  </si>
  <si>
    <t xml:space="preserve">C40H62O4</t>
  </si>
  <si>
    <t xml:space="preserve">FAHFA(22:6(4Z,7Z,10Z,13Z,16Z,19Z)/13-O-18:2(9Z,11E))</t>
  </si>
  <si>
    <t xml:space="preserve">8497</t>
  </si>
  <si>
    <t xml:space="preserve">HMDB0112170</t>
  </si>
  <si>
    <t xml:space="preserve">LMFA07090101</t>
  </si>
  <si>
    <t xml:space="preserve">131819631</t>
  </si>
  <si>
    <t xml:space="preserve">C(=C/C=C\CCCCCCCC(=O)O)\C(OC(CC/C=C\C/C=C\C/C=C\C/C=C\C/C=C\C/C=C\CC)=O)CCCCC</t>
  </si>
  <si>
    <t xml:space="preserve">LNYAZDYWZJMASB-DHOIVBRASA-N</t>
  </si>
  <si>
    <t xml:space="preserve">631.11779</t>
  </si>
  <si>
    <t xml:space="preserve">C31H28O12</t>
  </si>
  <si>
    <t xml:space="preserve">Aurasperone C</t>
  </si>
  <si>
    <t xml:space="preserve">55581</t>
  </si>
  <si>
    <t xml:space="preserve">HMDB0030856</t>
  </si>
  <si>
    <t xml:space="preserve">87233</t>
  </si>
  <si>
    <t xml:space="preserve">133815</t>
  </si>
  <si>
    <t xml:space="preserve">179521</t>
  </si>
  <si>
    <t xml:space="preserve">41689-66-1</t>
  </si>
  <si>
    <t xml:space="preserve">COC1=CC2=C(C3=C(C(=O)CC(C)(O)O3)C(O)=C2C(OC)=C1)C1=C(OC)C2=C(C=C1O)C=C1OC(C)(O)CC(=O)C1=C2O</t>
  </si>
  <si>
    <t xml:space="preserve">BAIJEJFONPISHA-UHFFFAOYSA-N</t>
  </si>
  <si>
    <t xml:space="preserve">631.47271</t>
  </si>
  <si>
    <t xml:space="preserve">C38H58N6O2</t>
  </si>
  <si>
    <t xml:space="preserve">trans-1,4-Bis[[1-cyclohexyl-3-(4-dimethylamino phenyl)ureido]methyl]cyclohexane</t>
  </si>
  <si>
    <t xml:space="preserve">209744</t>
  </si>
  <si>
    <t xml:space="preserve">HMDB0255813</t>
  </si>
  <si>
    <t xml:space="preserve">9830692</t>
  </si>
  <si>
    <t xml:space="preserve">CN(C)C1=CC=C(NC(=O)N(CC2CCC(CN(C3CCCCC3)C(=O)NC3=CC=C(C=C3)N(C)C)CC2)C2CCCCC2)C=C1</t>
  </si>
  <si>
    <t xml:space="preserve">SIHFCVXQGXGQQO-UHFFFAOYSA-N</t>
  </si>
  <si>
    <t xml:space="preserve">632.11613</t>
  </si>
  <si>
    <t xml:space="preserve">C26H37NO8S2</t>
  </si>
  <si>
    <t xml:space="preserve">Tiapamil</t>
  </si>
  <si>
    <t xml:space="preserve">212488</t>
  </si>
  <si>
    <t xml:space="preserve">HMDB0259069</t>
  </si>
  <si>
    <t xml:space="preserve">69693</t>
  </si>
  <si>
    <t xml:space="preserve">C13765</t>
  </si>
  <si>
    <t xml:space="preserve">42107</t>
  </si>
  <si>
    <t xml:space="preserve">57010-31-8</t>
  </si>
  <si>
    <t xml:space="preserve">COC1=C(OC)C=C(CCN(C)CCCC2(C3=CC(OC)=C(OC)C=C3)S(=O)(=O)CCCS2(=O)=O)C=C1</t>
  </si>
  <si>
    <t xml:space="preserve">ZROUQTNYPCANTN-UHFFFAOYSA-N</t>
  </si>
  <si>
    <t xml:space="preserve">632.19180</t>
  </si>
  <si>
    <t xml:space="preserve">C32H31N3O12</t>
  </si>
  <si>
    <t xml:space="preserve">2-(4-(Bis(carboxymethyl)amino)-3-(2-(2-(bis(carboxymethyl)amino)-5-methylphenoxy)ethoxy)phenyl)-1H-indole-6-carboxylic acid</t>
  </si>
  <si>
    <t xml:space="preserve">207799</t>
  </si>
  <si>
    <t xml:space="preserve">HMDB0253463</t>
  </si>
  <si>
    <t xml:space="preserve">52084</t>
  </si>
  <si>
    <t xml:space="preserve">105060</t>
  </si>
  <si>
    <t xml:space="preserve">CC1=CC(OCCOC2=C(C=CC(=C2)C2=CC3=C(N2)C=C(C=C3)C(O)=O)N(CC(O)=O)CC(O)=O)=C(C=C1)N(CC(O)=O)CC(O)=O</t>
  </si>
  <si>
    <t xml:space="preserve">AMHAQOBUZCQMHN-UHFFFAOYSA-N</t>
  </si>
  <si>
    <t xml:space="preserve">632.33133</t>
  </si>
  <si>
    <t xml:space="preserve">C29H56NO9P</t>
  </si>
  <si>
    <t xml:space="preserve">Povpc</t>
  </si>
  <si>
    <t xml:space="preserve">210525</t>
  </si>
  <si>
    <t xml:space="preserve">HMDB0256712</t>
  </si>
  <si>
    <t xml:space="preserve">9985914</t>
  </si>
  <si>
    <t xml:space="preserve">CCCCCCCCCCCCCCCC(=O)OCC(COP([O-])(=O)OCC[N+](C)(C)C)OC(=O)CCCC=O</t>
  </si>
  <si>
    <t xml:space="preserve">RKIDALSACBQVTN-UHFFFAOYSA-N</t>
  </si>
  <si>
    <t xml:space="preserve">633.11662</t>
  </si>
  <si>
    <t xml:space="preserve">C34H26O10</t>
  </si>
  <si>
    <t xml:space="preserve">Kuwanon Z</t>
  </si>
  <si>
    <t xml:space="preserve">57543</t>
  </si>
  <si>
    <t xml:space="preserve">HMDB0033297</t>
  </si>
  <si>
    <t xml:space="preserve">117945222</t>
  </si>
  <si>
    <t xml:space="preserve">104931-21-7</t>
  </si>
  <si>
    <t xml:space="preserve">CC12CC(C3=C(O1)C=C(O)C=C3)C13OC1(OC1=CC(\C=C/C4=C(O)C=C(O)C=C4)=CC(O)=C1C3C2=O)C1=C(O)C=C(O)C=C1</t>
  </si>
  <si>
    <t xml:space="preserve">HEAKAXOVOXEHND-IHWYPQMZSA-N</t>
  </si>
  <si>
    <t xml:space="preserve">635.11203</t>
  </si>
  <si>
    <t xml:space="preserve">C25H24N8O7S2</t>
  </si>
  <si>
    <t xml:space="preserve">Cefpiramide</t>
  </si>
  <si>
    <t xml:space="preserve">52788</t>
  </si>
  <si>
    <t xml:space="preserve">HMDB0014574</t>
  </si>
  <si>
    <t xml:space="preserve">3956</t>
  </si>
  <si>
    <t xml:space="preserve">C13376</t>
  </si>
  <si>
    <t xml:space="preserve">59213</t>
  </si>
  <si>
    <t xml:space="preserve">636405</t>
  </si>
  <si>
    <t xml:space="preserve">70797-11-4</t>
  </si>
  <si>
    <t xml:space="preserve">[H][C@]12SCC(CSC3=NN=NN3C)=C(N1C(=O)[C@@]2([H])NC(=O)[C@H](NC(=O)C1=C(O)C=C(C)N=C1)C1=CC=C(O)C=C1)C(O)=O</t>
  </si>
  <si>
    <t xml:space="preserve">PWAUCHMQEXVFJR-PMAPCBKXSA-N</t>
  </si>
  <si>
    <t xml:space="preserve">635.19344</t>
  </si>
  <si>
    <t xml:space="preserve">C28H36O15</t>
  </si>
  <si>
    <t xml:space="preserve">Sinensal-alpha; Neohesperidin dihydrochalcone</t>
  </si>
  <si>
    <t xml:space="preserve">257498; 55342</t>
  </si>
  <si>
    <t xml:space="preserve">HMDB0304733; HMDB0030542</t>
  </si>
  <si>
    <t xml:space="preserve">; 4453</t>
  </si>
  <si>
    <t xml:space="preserve">; 20702-77-6</t>
  </si>
  <si>
    <t xml:space="preserve">OC[C@H]1OC[C@H](O)[C@@H](O)[C@@H]1O.COC1=CC=C(C=C1)[C@H]1CC(=O)C2=C(O1)C=C(O)C=C2O[C@@H]1O[C@@H](CO)[C@@H](O)[C@H](O)[C@H]1O; COC1=C(O)C=C(CCC(=O)C2=C(O)C=C(OC3OC(CO)C(O)C(O)C3OC3OC(C)C(O)C(O)C3O)C=C2O)C=C1</t>
  </si>
  <si>
    <t xml:space="preserve">HTUYMKDNLBAKCJ-RWWNSMJISA-N; ITVGXXMINPYUHD-UHFFFAOYSA-N</t>
  </si>
  <si>
    <t xml:space="preserve">Flavonoid glycosides; Flavonoid glycosides</t>
  </si>
  <si>
    <t xml:space="preserve">635.40750</t>
  </si>
  <si>
    <t xml:space="preserve">C21H26N2</t>
  </si>
  <si>
    <t xml:space="preserve">SIMes</t>
  </si>
  <si>
    <t xml:space="preserve">211848</t>
  </si>
  <si>
    <t xml:space="preserve">HMDB0258297</t>
  </si>
  <si>
    <t xml:space="preserve">CC1=CC(C)=C(N2CC[N+](=[C-]2)C2=C(C)C=C(C)C=C2C)C(C)=C1</t>
  </si>
  <si>
    <t xml:space="preserve">LSMWOQFDLBIYPM-UHFFFAOYSA-N</t>
  </si>
  <si>
    <t xml:space="preserve">639.49735</t>
  </si>
  <si>
    <t xml:space="preserve">C41H66O5</t>
  </si>
  <si>
    <t xml:space="preserve">DG(38:7)</t>
  </si>
  <si>
    <t xml:space="preserve">10687</t>
  </si>
  <si>
    <t xml:space="preserve">HMDB0007150</t>
  </si>
  <si>
    <t xml:space="preserve">4516</t>
  </si>
  <si>
    <t xml:space="preserve">LMGL02010174</t>
  </si>
  <si>
    <t xml:space="preserve">9543839</t>
  </si>
  <si>
    <t xml:space="preserve">OC[C@]([H])(OC(CC/C=C\C/C=C\C/C=C\C/C=C\C/C=C\C/C=C\CC)=O)COC(CCCCCCC/C=C\CCCCCC)=O</t>
  </si>
  <si>
    <t xml:space="preserve">HVNZXEWOOPDEBR-DWOBMRGOSA-N</t>
  </si>
  <si>
    <t xml:space="preserve">641.51427</t>
  </si>
  <si>
    <t xml:space="preserve">C41H68O5</t>
  </si>
  <si>
    <t xml:space="preserve">DG(38:6)</t>
  </si>
  <si>
    <t xml:space="preserve">10675</t>
  </si>
  <si>
    <t xml:space="preserve">HMDB0007121</t>
  </si>
  <si>
    <t xml:space="preserve">4504</t>
  </si>
  <si>
    <t xml:space="preserve">LMGL02010162</t>
  </si>
  <si>
    <t xml:space="preserve">82949</t>
  </si>
  <si>
    <t xml:space="preserve">9543827</t>
  </si>
  <si>
    <t xml:space="preserve">OC[C@]([H])(OC(CC/C=C\C/C=C\C/C=C\C/C=C\C/C=C\C/C=C\CC)=O)COC(CCCCCCCCCCCCCCC)=O</t>
  </si>
  <si>
    <t xml:space="preserve">BXVYQJJBMVVALQ-VVSMSMGFSA-N</t>
  </si>
  <si>
    <t xml:space="preserve">643.53006</t>
  </si>
  <si>
    <t xml:space="preserve">C41H70O5</t>
  </si>
  <si>
    <t xml:space="preserve">DG(38:5)</t>
  </si>
  <si>
    <t xml:space="preserve">49020</t>
  </si>
  <si>
    <t xml:space="preserve">HMDB0007119</t>
  </si>
  <si>
    <t xml:space="preserve">58737</t>
  </si>
  <si>
    <t xml:space="preserve">88478</t>
  </si>
  <si>
    <t xml:space="preserve">53478030</t>
  </si>
  <si>
    <t xml:space="preserve">[H][C@](CO)(COC(=O)CCCCCCCCCCCCCCC)OC(=O)CC\C=C/C\C=C/C\C=C/C\C=C/C\C=C/CCCCC</t>
  </si>
  <si>
    <t xml:space="preserve">GHFNDQGKMZNZOE-OKDYJUGASA-N</t>
  </si>
  <si>
    <t xml:space="preserve">645.16660</t>
  </si>
  <si>
    <t xml:space="preserve">C15H14FN3O3</t>
  </si>
  <si>
    <t xml:space="preserve">Flumazenil</t>
  </si>
  <si>
    <t xml:space="preserve">53419</t>
  </si>
  <si>
    <t xml:space="preserve">HMDB0015336</t>
  </si>
  <si>
    <t xml:space="preserve">2724</t>
  </si>
  <si>
    <t xml:space="preserve">C07825</t>
  </si>
  <si>
    <t xml:space="preserve">5103</t>
  </si>
  <si>
    <t xml:space="preserve">3373</t>
  </si>
  <si>
    <t xml:space="preserve">78755-81-4</t>
  </si>
  <si>
    <t xml:space="preserve">CCOC(=O)C1=C2CN(C)C(=O)C3=C(C=CC(F)=C3)N2C=N1</t>
  </si>
  <si>
    <t xml:space="preserve">OFBIFZUFASYYRE-UHFFFAOYSA-N</t>
  </si>
  <si>
    <t xml:space="preserve">646.16601</t>
  </si>
  <si>
    <t xml:space="preserve">C29H27F2N7O5S</t>
  </si>
  <si>
    <t xml:space="preserve">Relugolix</t>
  </si>
  <si>
    <t xml:space="preserve">257605</t>
  </si>
  <si>
    <t xml:space="preserve">HMDB0304861</t>
  </si>
  <si>
    <t xml:space="preserve">CONC(=O)NC1=CC=C(C=C1)C1=C(CN(C)C)C2=C(S1)N(CC1=C(F)C=CC=C1F)C(=O)N(C2=O)C1=CC=C(OC)N=N1</t>
  </si>
  <si>
    <t xml:space="preserve">AOMXMOCNKJTRQP-UHFFFAOYSA-N</t>
  </si>
  <si>
    <t xml:space="preserve">647.16517</t>
  </si>
  <si>
    <t xml:space="preserve">C12H21N2O3PS</t>
  </si>
  <si>
    <t xml:space="preserve">Diazinon</t>
  </si>
  <si>
    <t xml:space="preserve">57206</t>
  </si>
  <si>
    <t xml:space="preserve">HMDB0032943</t>
  </si>
  <si>
    <t xml:space="preserve">44239</t>
  </si>
  <si>
    <t xml:space="preserve">C14324</t>
  </si>
  <si>
    <t xml:space="preserve">34682</t>
  </si>
  <si>
    <t xml:space="preserve">333-41-5</t>
  </si>
  <si>
    <t xml:space="preserve">CCOP(=S)(OCC)OC1=NC(=NC(C)=C1)C(C)C</t>
  </si>
  <si>
    <t xml:space="preserve">FHIVAFMUCKRCQO-UHFFFAOYSA-N</t>
  </si>
  <si>
    <t xml:space="preserve">648.16670</t>
  </si>
  <si>
    <t xml:space="preserve">C30H33Cl2F2N5O2</t>
  </si>
  <si>
    <t xml:space="preserve">Draflazine</t>
  </si>
  <si>
    <t xml:space="preserve">206223</t>
  </si>
  <si>
    <t xml:space="preserve">HMDB0251618</t>
  </si>
  <si>
    <t xml:space="preserve">60849</t>
  </si>
  <si>
    <t xml:space="preserve">NC(=O)C1CN(CCCCC(C2=CC=C(F)C=C2)C2=CC=C(F)C=C2)CCN1CC(=O)NC1=C(Cl)C=C(N)C=C1Cl</t>
  </si>
  <si>
    <t xml:space="preserve">IWMYIWLIESDFRZ-UHFFFAOYSA-N</t>
  </si>
  <si>
    <t xml:space="preserve">650.15844</t>
  </si>
  <si>
    <t xml:space="preserve">C34H31N5O4</t>
  </si>
  <si>
    <t xml:space="preserve">6-(Diethylamino)-N-[2-[(1R)-3-methyl-7-oxo-5,10-diazatetracyclo[7.4.0.01,12.02,6]trideca-2(6),3,8-triene-10-carbonyl]-1H-indol-5-yl]-1-benzofuran-2-carboxamide</t>
  </si>
  <si>
    <t xml:space="preserve">213436</t>
  </si>
  <si>
    <t xml:space="preserve">HMDB0260307</t>
  </si>
  <si>
    <t xml:space="preserve">78171526</t>
  </si>
  <si>
    <t xml:space="preserve">CCN(CC)C1=CC2=C(C=C(O2)C(=O)NC2=CC3=C(NC(=C3)C(=O)N3CC4CC44C3=CC(=O)C3=C4C(C)=CN3)C=C2)C=C1</t>
  </si>
  <si>
    <t xml:space="preserve">XHPVXGJAGWHKNR-UHFFFAOYSA-N</t>
  </si>
  <si>
    <t xml:space="preserve">655.47255</t>
  </si>
  <si>
    <t xml:space="preserve">C21H32O2</t>
  </si>
  <si>
    <t xml:space="preserve">Bolasterone; Pregnenolone</t>
  </si>
  <si>
    <t xml:space="preserve">44900; 44983</t>
  </si>
  <si>
    <t xml:space="preserve">HMDB0006048; HMDB0000253</t>
  </si>
  <si>
    <t xml:space="preserve">41841; 24078</t>
  </si>
  <si>
    <t xml:space="preserve">LMST02020017; LMST02030088</t>
  </si>
  <si>
    <t xml:space="preserve">C14475; C01953</t>
  </si>
  <si>
    <t xml:space="preserve">529021; 16581</t>
  </si>
  <si>
    <t xml:space="preserve">102146; 8955</t>
  </si>
  <si>
    <t xml:space="preserve">1605-89-6; 145-13-1</t>
  </si>
  <si>
    <t xml:space="preserve">C1[C@]2(C)[C@@]3([H])CC[C@]4(C)[C@@](C)(O)CC[C@@]4([H])[C@]3([H])[C@H](C)CC2=CC(=O)C1; [C@]12(CC=C3C[C@@H](O)CC[C@]3(C)[C@@]1([H])CC[C@]1(C)[C@@H](C(=O)C)CC[C@@]21[H])[H]</t>
  </si>
  <si>
    <t xml:space="preserve">IVFYLRMMHVYGJH-VLOLGRDOSA-N; ORNBQBCIOKFOEO-QGVNFLHTSA-N</t>
  </si>
  <si>
    <t xml:space="preserve">Androstane steroids; Pregnane steroids</t>
  </si>
  <si>
    <t xml:space="preserve">657.48648</t>
  </si>
  <si>
    <t xml:space="preserve">C37H69O7P</t>
  </si>
  <si>
    <t xml:space="preserve">PA(34:3)</t>
  </si>
  <si>
    <t xml:space="preserve">26063</t>
  </si>
  <si>
    <t xml:space="preserve">HMDB0011155</t>
  </si>
  <si>
    <t xml:space="preserve">82328</t>
  </si>
  <si>
    <t xml:space="preserve">LMGP10030088</t>
  </si>
  <si>
    <t xml:space="preserve">C15647</t>
  </si>
  <si>
    <t xml:space="preserve">52929743</t>
  </si>
  <si>
    <t xml:space="preserve">937723-92-7</t>
  </si>
  <si>
    <t xml:space="preserve">[C@](COP(=O)(O)O)([H])(OC(CCCCCCC/C=C\C/C=C\CCCCC)=O)CO/C=C\CCCCCCCCCCCCCC</t>
  </si>
  <si>
    <t xml:space="preserve">OLCTYLMZTXKGKH-BBNWHMLASA-N</t>
  </si>
  <si>
    <t xml:space="preserve">660.36365</t>
  </si>
  <si>
    <t xml:space="preserve">C28H53N7O8</t>
  </si>
  <si>
    <t xml:space="preserve">Ser-Leu-Ile-Gly-Lys-Val</t>
  </si>
  <si>
    <t xml:space="preserve">204863</t>
  </si>
  <si>
    <t xml:space="preserve">HMDB0250013</t>
  </si>
  <si>
    <t xml:space="preserve">21864151</t>
  </si>
  <si>
    <t xml:space="preserve">CCC(C)C(NC(=O)C(CC(C)C)NC(=O)C(N)CO)C(=O)NCC(=O)NC(CCCCN)C(=O)NC(C(C)C)C(O)=O</t>
  </si>
  <si>
    <t xml:space="preserve">NTQVODZUQIATFS-UHFFFAOYSA-N</t>
  </si>
  <si>
    <t xml:space="preserve">661.51002</t>
  </si>
  <si>
    <t xml:space="preserve">C19H33N3O</t>
  </si>
  <si>
    <t xml:space="preserve">Pentisomide</t>
  </si>
  <si>
    <t xml:space="preserve">210158</t>
  </si>
  <si>
    <t xml:space="preserve">HMDB0256288</t>
  </si>
  <si>
    <t xml:space="preserve">65847</t>
  </si>
  <si>
    <t xml:space="preserve">CC(C)CC(CCN(C(C)C)C(C)C)(C(N)=O)C1=CC=CC=N1</t>
  </si>
  <si>
    <t xml:space="preserve">ZZOZYGHXNQPIPS-UHFFFAOYSA-N</t>
  </si>
  <si>
    <t xml:space="preserve">662.50775</t>
  </si>
  <si>
    <t xml:space="preserve">C36H72NO7P</t>
  </si>
  <si>
    <t xml:space="preserve">PE(15:0)</t>
  </si>
  <si>
    <t xml:space="preserve">49959</t>
  </si>
  <si>
    <t xml:space="preserve">HMDB0008916</t>
  </si>
  <si>
    <t xml:space="preserve">60359</t>
  </si>
  <si>
    <t xml:space="preserve">53479583</t>
  </si>
  <si>
    <t xml:space="preserve">[H][C@@](COC(=O)CCCCCCCCCCCCCC)(COP(O)(=O)OCCN)O\C=C/CCCCCCCCCCCCCC</t>
  </si>
  <si>
    <t xml:space="preserve">UBSQUFRHLMOAJH-HWZZGRHZSA-N</t>
  </si>
  <si>
    <t xml:space="preserve">663.45933</t>
  </si>
  <si>
    <t xml:space="preserve">C35H69O10P</t>
  </si>
  <si>
    <t xml:space="preserve">PG(29:0)</t>
  </si>
  <si>
    <t xml:space="preserve">136301</t>
  </si>
  <si>
    <t xml:space="preserve">HMDB0116646</t>
  </si>
  <si>
    <t xml:space="preserve">131823279</t>
  </si>
  <si>
    <t xml:space="preserve">[H][C@](O)(CO)COP(O)(=O)OC[C@@]([H])(COC(=O)CCCCCCCCC(C)CC)OC(=O)CCCCCCCCCCCCC(C)C</t>
  </si>
  <si>
    <t xml:space="preserve">WVHZSAJVYKEYON-ADIDXWPESA-N</t>
  </si>
  <si>
    <t xml:space="preserve">664.45859</t>
  </si>
  <si>
    <t xml:space="preserve">C36H63N3O9</t>
  </si>
  <si>
    <t xml:space="preserve">Enniatin A; Enniatin C</t>
  </si>
  <si>
    <t xml:space="preserve">206389; 206391</t>
  </si>
  <si>
    <t xml:space="preserve">HMDB0251812; HMDB0251814</t>
  </si>
  <si>
    <t xml:space="preserve">12309474; 177091</t>
  </si>
  <si>
    <t xml:space="preserve">CCC(C)C1N(C)C(=O)C(OC(=O)C(C(C)CC)N(C)C(=O)C(OC(=O)C(C(C)CC)N(C)C(=O)C(OC1=O)C(C)C)C(C)C)C(C)C; CC(C)CC1N(C)C(=O)C(OC(=O)C(CC(C)C)N(C)C(=O)C(OC(=O)C(CC(C)C)N(C)C(=O)C(OC1=O)C(C)C)C(C)C)C(C)C</t>
  </si>
  <si>
    <t xml:space="preserve">TWHBYJSVDCWICV-UHFFFAOYSA-N; WICJNWLMJRLFKQ-UHFFFAOYSA-N</t>
  </si>
  <si>
    <t xml:space="preserve">Peptidomimetics; Peptidomimetics</t>
  </si>
  <si>
    <t xml:space="preserve">Depsipeptides; Depsipeptides</t>
  </si>
  <si>
    <t xml:space="preserve">665.44326</t>
  </si>
  <si>
    <t xml:space="preserve">C39H57FN4O4</t>
  </si>
  <si>
    <t xml:space="preserve">Paliperidone Palmitate</t>
  </si>
  <si>
    <t xml:space="preserve">209973</t>
  </si>
  <si>
    <t xml:space="preserve">HMDB0256085</t>
  </si>
  <si>
    <t xml:space="preserve">83808</t>
  </si>
  <si>
    <t xml:space="preserve">CCCCCCCCCCCCCCCC(=O)OC1CCCN2C(=O)C(CCN3CCC(CC3)C3=NOC4=CC(F)=CC=C34)=C(C)N=C12</t>
  </si>
  <si>
    <t xml:space="preserve">VOMKSBFLAZZBOW-UHFFFAOYSA-N</t>
  </si>
  <si>
    <t xml:space="preserve">670.15297</t>
  </si>
  <si>
    <t xml:space="preserve">C30H27N3O15</t>
  </si>
  <si>
    <t xml:space="preserve">Chymosin preparation, escherichia coli k-12</t>
  </si>
  <si>
    <t xml:space="preserve">56618</t>
  </si>
  <si>
    <t xml:space="preserve">HMDB0032199</t>
  </si>
  <si>
    <t xml:space="preserve">66338</t>
  </si>
  <si>
    <t xml:space="preserve">C05821</t>
  </si>
  <si>
    <t xml:space="preserve">28855</t>
  </si>
  <si>
    <t xml:space="preserve">34231</t>
  </si>
  <si>
    <t xml:space="preserve">9001-98-3</t>
  </si>
  <si>
    <t xml:space="preserve">OC1=CC=CC(C(=O)N[C@H]2COC(=O)[C@H](COC(=O)[C@H](COC2=O)NC(=O)C2=CC=CC(O)=C2O)NC(=O)C2=CC=CC(O)=C2O)=C1O</t>
  </si>
  <si>
    <t xml:space="preserve">SERBHKJMVBATSJ-BZSNNMDCSA-N</t>
  </si>
  <si>
    <t xml:space="preserve">673.35362</t>
  </si>
  <si>
    <t xml:space="preserve">C35H54O11</t>
  </si>
  <si>
    <t xml:space="preserve">Digoxigenin bisdigitoxoside; Esculentoside E</t>
  </si>
  <si>
    <t xml:space="preserve">82676; 58629</t>
  </si>
  <si>
    <t xml:space="preserve">HMDB0060818; HMDB0034635</t>
  </si>
  <si>
    <t xml:space="preserve">; 90098</t>
  </si>
  <si>
    <t xml:space="preserve">5255791; 53462068</t>
  </si>
  <si>
    <t xml:space="preserve">; 65649-36-7</t>
  </si>
  <si>
    <t xml:space="preserve">CC1OC(CC(O)C1O)OC1C(O)CC(OC2CCC3(C)C(CCC4C3CC(O)C3(C)C(CCC43O)C3=CC(=O)OC3)C2)OC1C; CC1(CCC2(CCC3(C)C(=CCC4C5(C)CC(O)C(OC6OCC(O)C(O)C6O)C(C)(CO)C5CCC34C)C2C1)C(O)=O)C(O)=O</t>
  </si>
  <si>
    <t xml:space="preserve">NTSBMKIZRSBFTA-UHFFFAOYSA-N; UERRXLUEVHKNBY-UHFFFAOYSA-N</t>
  </si>
  <si>
    <t xml:space="preserve">Steroid lactones; Triterpenoids</t>
  </si>
  <si>
    <t xml:space="preserve">674.35566</t>
  </si>
  <si>
    <t xml:space="preserve">C36H51NO11</t>
  </si>
  <si>
    <t xml:space="preserve">(1,10,11,12,14,23-Hexahydroxy-6,10,19-trimethyl-24-oxa-4-azaheptacyclo[12.12.0.02,11.04,9.015,25.018,23.019,25]hexacosan-22-yl) 3,4-dimethoxybenzoate</t>
  </si>
  <si>
    <t xml:space="preserve">198755</t>
  </si>
  <si>
    <t xml:space="preserve">HMDB0242290</t>
  </si>
  <si>
    <t xml:space="preserve">5657</t>
  </si>
  <si>
    <t xml:space="preserve">COC1=CC=C(C=C1OC)C(=O)OC1CCC2(C)C3CCC4C5(O)CC(O)C6(O)C(CN7CC(C)CCC7C6(C)O)C5(O)CC24OC13O</t>
  </si>
  <si>
    <t xml:space="preserve">FVECELJHCSPHKY-UHFFFAOYSA-N</t>
  </si>
  <si>
    <t xml:space="preserve">677.43267</t>
  </si>
  <si>
    <t xml:space="preserve">C37H66O8</t>
  </si>
  <si>
    <t xml:space="preserve">Bullatanocin</t>
  </si>
  <si>
    <t xml:space="preserve">58721</t>
  </si>
  <si>
    <t xml:space="preserve">HMDB0034739</t>
  </si>
  <si>
    <t xml:space="preserve">67027</t>
  </si>
  <si>
    <t xml:space="preserve">C08505</t>
  </si>
  <si>
    <t xml:space="preserve">8643</t>
  </si>
  <si>
    <t xml:space="preserve">132942</t>
  </si>
  <si>
    <t xml:space="preserve">150134-21-7</t>
  </si>
  <si>
    <t xml:space="preserve">CCCCCCCCCCC(O)C1CCC(O1)C(O)CCC(O)C1CCC(CCCCCCCC(O)CC2=CC(C)OC2=O)O1</t>
  </si>
  <si>
    <t xml:space="preserve">HKMBLJVHVBJAIH-UHFFFAOYSA-N</t>
  </si>
  <si>
    <t xml:space="preserve">683.50250</t>
  </si>
  <si>
    <t xml:space="preserve">C39H73O8P</t>
  </si>
  <si>
    <t xml:space="preserve">PA(36:2)</t>
  </si>
  <si>
    <t xml:space="preserve">24935</t>
  </si>
  <si>
    <t xml:space="preserve">HMDB0007861</t>
  </si>
  <si>
    <t xml:space="preserve">40932</t>
  </si>
  <si>
    <t xml:space="preserve">LMGP10010036</t>
  </si>
  <si>
    <t xml:space="preserve">77248</t>
  </si>
  <si>
    <t xml:space="preserve">24779559</t>
  </si>
  <si>
    <t xml:space="preserve">[C@](COP(=O)(O)O)([H])(OC(CCCCCCC/C=C\C/C=C\CCCCC)=O)COC(CCCCCCCCCCCCCCCCC)=O</t>
  </si>
  <si>
    <t xml:space="preserve">QYYWMYCDFOLKKH-DAKWMOBOSA-N</t>
  </si>
  <si>
    <t xml:space="preserve">684.20688</t>
  </si>
  <si>
    <t xml:space="preserve">C25H43NO18</t>
  </si>
  <si>
    <t xml:space="preserve">Acarbose</t>
  </si>
  <si>
    <t xml:space="preserve">52674</t>
  </si>
  <si>
    <t xml:space="preserve">HMDB0014429</t>
  </si>
  <si>
    <t xml:space="preserve">C06802</t>
  </si>
  <si>
    <t xml:space="preserve">2376</t>
  </si>
  <si>
    <t xml:space="preserve">441184</t>
  </si>
  <si>
    <t xml:space="preserve">56180-94-0</t>
  </si>
  <si>
    <t xml:space="preserve">C[C@H]1O[C@H](O[C@@H]2[C@@H](CO)O[C@H](O[C@@H]3[C@@H](CO)O[C@@H](O)[C@H](O)[C@H]3O)[C@H](O)[C@H]2O)[C@H](O)[C@@H](O)[C@@H]1N[C@H]1C=C(CO)[C@H](O)[C@H](O)[C@H]1O</t>
  </si>
  <si>
    <t xml:space="preserve">XUFXOAAUWZOOIT-JMPDRRIHSA-N</t>
  </si>
  <si>
    <t xml:space="preserve">686.27721</t>
  </si>
  <si>
    <t xml:space="preserve">C29H56NO10P</t>
  </si>
  <si>
    <t xml:space="preserve">2-O-Glutaroyl-1-O-palmitoyl-sn-glycero-3-phosphocholine</t>
  </si>
  <si>
    <t xml:space="preserve">210241</t>
  </si>
  <si>
    <t xml:space="preserve">HMDB0256378</t>
  </si>
  <si>
    <t xml:space="preserve">11365502</t>
  </si>
  <si>
    <t xml:space="preserve">CCCCCCCCCCCCCCCC(=O)OCC(COP([O-])(=O)OCC[N+](C)(C)C)OC(=O)CCCC(O)=O</t>
  </si>
  <si>
    <t xml:space="preserve">CDZVJFRXJAUXPP-UHFFFAOYSA-N</t>
  </si>
  <si>
    <t xml:space="preserve">687.20898</t>
  </si>
  <si>
    <t xml:space="preserve">C34H37FO15</t>
  </si>
  <si>
    <t xml:space="preserve">7-O-(2,6-Dideoxy-2-fluoro-alpha-L-talopyranosyl)adriamycinone-14-O-hemipimelate</t>
  </si>
  <si>
    <t xml:space="preserve">208511</t>
  </si>
  <si>
    <t xml:space="preserve">HMDB0254387</t>
  </si>
  <si>
    <t xml:space="preserve">14137503</t>
  </si>
  <si>
    <t xml:space="preserve">COC1=CC=CC2=C1C(=O)C1=C(C(O)=C3CC(O)(CC(OC4OC(C)C(O)C(O)C4F)C3=C1O)C(=O)COC(=O)CCCCCC(O)=O)C2=O</t>
  </si>
  <si>
    <t xml:space="preserve">PQMIPLRIRFVQJZ-UHFFFAOYSA-N</t>
  </si>
  <si>
    <t xml:space="preserve">687.53515</t>
  </si>
  <si>
    <t xml:space="preserve">C39H77O8P</t>
  </si>
  <si>
    <t xml:space="preserve">PA(36:0)</t>
  </si>
  <si>
    <t xml:space="preserve">25822</t>
  </si>
  <si>
    <t xml:space="preserve">HMDB0114788</t>
  </si>
  <si>
    <t xml:space="preserve">82089</t>
  </si>
  <si>
    <t xml:space="preserve">LMGP10010923</t>
  </si>
  <si>
    <t xml:space="preserve">52929512</t>
  </si>
  <si>
    <t xml:space="preserve">[C@](COP(=O)(O)O)([H])(OC(CCCCCCCCCCCCCCCCCCCCC)=O)COC(CCCCCCCCCCCCC)=O</t>
  </si>
  <si>
    <t xml:space="preserve">RVRKTELVIZPMGA-DIPNUNPCSA-N</t>
  </si>
  <si>
    <t xml:space="preserve">688.39281</t>
  </si>
  <si>
    <t xml:space="preserve">C34H59NO14</t>
  </si>
  <si>
    <t xml:space="preserve">Fumonisin B2; Fumonisin B3</t>
  </si>
  <si>
    <t xml:space="preserve">58692; 64083</t>
  </si>
  <si>
    <t xml:space="preserve">HMDB0034703; HMDB0040967</t>
  </si>
  <si>
    <t xml:space="preserve">38225; </t>
  </si>
  <si>
    <t xml:space="preserve">3432; 15817722</t>
  </si>
  <si>
    <t xml:space="preserve">116355-84-1; 136379-59-4</t>
  </si>
  <si>
    <t xml:space="preserve">CCCCC(C)C(OC(=O)CC(CC(O)=O)C(O)=O)C(CC(C)CCCCCCC(O)CC(O)C(C)N)OC(=O)CC(CC(O)=O)C(O)=O; CCCCC(C)C(OC(=O)CC(CC(O)=O)C(O)=O)C(CC(C)CC(O)CCCCCCC(O)C(C)N)OC(=O)CC(CC(O)=O)C(O)=O</t>
  </si>
  <si>
    <t xml:space="preserve">UXDPXZQHTDAXOZ-UHFFFAOYSA-N; CPCRJSQNWHCGOP-UHFFFAOYSA-N</t>
  </si>
  <si>
    <t xml:space="preserve">Fumonisins; Fumonisins</t>
  </si>
  <si>
    <t xml:space="preserve">689.39861</t>
  </si>
  <si>
    <t xml:space="preserve">C42H56O8</t>
  </si>
  <si>
    <t xml:space="preserve">12-O-Retinoylphorbol-13-acetate</t>
  </si>
  <si>
    <t xml:space="preserve">204623</t>
  </si>
  <si>
    <t xml:space="preserve">HMDB0249729</t>
  </si>
  <si>
    <t xml:space="preserve">4558605</t>
  </si>
  <si>
    <t xml:space="preserve">CC1C(OC(=O)C=C(C)C=CC=C(C)C=CC2=C(C)CCCC2(C)C)C2(OC(C)=O)C(C3C=C(CO)CC4(O)C(C=C(C)C4=O)C13O)C2(C)C</t>
  </si>
  <si>
    <t xml:space="preserve">GTNCUWBKHZZECN-UHFFFAOYSA-N</t>
  </si>
  <si>
    <t xml:space="preserve">689.51060</t>
  </si>
  <si>
    <t xml:space="preserve">C38H73O8P</t>
  </si>
  <si>
    <t xml:space="preserve">PA(35:1)</t>
  </si>
  <si>
    <t xml:space="preserve">25429</t>
  </si>
  <si>
    <t xml:space="preserve">HMDB0115093</t>
  </si>
  <si>
    <t xml:space="preserve">81696</t>
  </si>
  <si>
    <t xml:space="preserve">LMGP10010530</t>
  </si>
  <si>
    <t xml:space="preserve">52929123</t>
  </si>
  <si>
    <t xml:space="preserve">[C@](COP(=O)(O)O)([H])(OC(CCCCCCCCCCCCCC)=O)COC(CCCCCCCCC/C=C\CCCCCCCC)=O</t>
  </si>
  <si>
    <t xml:space="preserve">LZQMNELCKSAETL-UVCQAILXSA-N</t>
  </si>
  <si>
    <t xml:space="preserve">690.15209</t>
  </si>
  <si>
    <t xml:space="preserve">C35H35NO9</t>
  </si>
  <si>
    <t xml:space="preserve">Neoacrimarine E</t>
  </si>
  <si>
    <t xml:space="preserve">63899</t>
  </si>
  <si>
    <t xml:space="preserve">HMDB0040767</t>
  </si>
  <si>
    <t xml:space="preserve">95232</t>
  </si>
  <si>
    <t xml:space="preserve">102149716</t>
  </si>
  <si>
    <t xml:space="preserve">158182-13-9</t>
  </si>
  <si>
    <t xml:space="preserve">COC1=C(OC)C2=C(C=C1)C(=O)C1=C(N2)C(C2CC(C)(C)OC3=C2C(O)=C2C=CC(=O)OC2=C3C(C)(C)C=C)=C(OC)C=C1O</t>
  </si>
  <si>
    <t xml:space="preserve">XFTQVQSYVLDGDM-UHFFFAOYSA-N</t>
  </si>
  <si>
    <t xml:space="preserve">690.68594</t>
  </si>
  <si>
    <t xml:space="preserve">C11H9I3N2O4</t>
  </si>
  <si>
    <t xml:space="preserve">Diatrizoate</t>
  </si>
  <si>
    <t xml:space="preserve">52664</t>
  </si>
  <si>
    <t xml:space="preserve">HMDB0014416</t>
  </si>
  <si>
    <t xml:space="preserve">1990</t>
  </si>
  <si>
    <t xml:space="preserve">C08216</t>
  </si>
  <si>
    <t xml:space="preserve">53691</t>
  </si>
  <si>
    <t xml:space="preserve">2140</t>
  </si>
  <si>
    <t xml:space="preserve">117-96-4</t>
  </si>
  <si>
    <t xml:space="preserve">CC(=O)NC1=C(I)C(C(O)=O)=C(I)C(NC(C)=O)=C1I</t>
  </si>
  <si>
    <t xml:space="preserve">YVPYQUNUQOZFHG-UHFFFAOYSA-N</t>
  </si>
  <si>
    <t xml:space="preserve">691.01195</t>
  </si>
  <si>
    <t xml:space="preserve">C15H10O7S</t>
  </si>
  <si>
    <t xml:space="preserve">Daidzein 4'-sulfate</t>
  </si>
  <si>
    <t xml:space="preserve">197298</t>
  </si>
  <si>
    <t xml:space="preserve">HMDB0240698</t>
  </si>
  <si>
    <t xml:space="preserve">12114463</t>
  </si>
  <si>
    <t xml:space="preserve">OC1=CC2=C(C=C1)C(=O)C(=CO2)C1=CC=C(OS(O)(=O)=O)C=C1</t>
  </si>
  <si>
    <t xml:space="preserve">CQRHJEVIKOKQMO-UHFFFAOYSA-N</t>
  </si>
  <si>
    <t xml:space="preserve">698.24682</t>
  </si>
  <si>
    <t xml:space="preserve">C26H45NO19</t>
  </si>
  <si>
    <t xml:space="preserve">Lewis y Tetrasaccharide; Lewis b</t>
  </si>
  <si>
    <t xml:space="preserve">208273; 208272</t>
  </si>
  <si>
    <t xml:space="preserve">HMDB0254068; HMDB0254067</t>
  </si>
  <si>
    <t xml:space="preserve">4110340; </t>
  </si>
  <si>
    <t xml:space="preserve">CC1OC(OC2C(O)C(O)C(CO)OC2OC2C(CO)OC(O)C(NC(C)=O)C2OC2OC(C)C(O)C(O)C2O)C(O)C(O)C1O; CC1OC(OC2C(O)C(O)C(CO)OC2OC2C(NC(C)=O)C(O)OC(CO)C2OC2OC(C)C(O)C(O)C2O)C(O)C(O)C1O</t>
  </si>
  <si>
    <t xml:space="preserve">SRHNADOZAAWYLV-UHFFFAOYSA-N; OXNGKCPRVRBHPO-UHFFFAOYSA-N</t>
  </si>
  <si>
    <t xml:space="preserve">699.25093</t>
  </si>
  <si>
    <t xml:space="preserve">C23H15N3O</t>
  </si>
  <si>
    <t xml:space="preserve">Perampanel</t>
  </si>
  <si>
    <t xml:space="preserve">210172</t>
  </si>
  <si>
    <t xml:space="preserve">HMDB0256305</t>
  </si>
  <si>
    <t xml:space="preserve">71013</t>
  </si>
  <si>
    <t xml:space="preserve">O=C1N(C=C(C=C1C1=CC=CC=C1C#N)C1=NC=CC=C1)C1=CC=CC=C1</t>
  </si>
  <si>
    <t xml:space="preserve">PRMWGUBFXWROHD-UHFFFAOYSA-N</t>
  </si>
  <si>
    <t xml:space="preserve">Bipyridines and oligopyridines</t>
  </si>
  <si>
    <t xml:space="preserve">701.41318</t>
  </si>
  <si>
    <t xml:space="preserve">C36H65O8P</t>
  </si>
  <si>
    <t xml:space="preserve">Phosphatidate(33:3)</t>
  </si>
  <si>
    <t xml:space="preserve">25043</t>
  </si>
  <si>
    <t xml:space="preserve">HMDB0114816</t>
  </si>
  <si>
    <t xml:space="preserve">81310</t>
  </si>
  <si>
    <t xml:space="preserve">LMGP10010144</t>
  </si>
  <si>
    <t xml:space="preserve">52928737</t>
  </si>
  <si>
    <t xml:space="preserve">[C@](COP(=O)(O)O)([H])(OC(CCCC/C=C\C/C=C\C/C=C\CCCCC)=O)COC(CCCCCCCCCCCCCC)=O</t>
  </si>
  <si>
    <t xml:space="preserve">LTYYAYLMBQALJQ-RUJVDBHHSA-N</t>
  </si>
  <si>
    <t xml:space="preserve">702.91438</t>
  </si>
  <si>
    <t xml:space="preserve">C13HF25O2</t>
  </si>
  <si>
    <t xml:space="preserve">Perfluorotridecanoic acid</t>
  </si>
  <si>
    <t xml:space="preserve">210202</t>
  </si>
  <si>
    <t xml:space="preserve">HMDB0256336</t>
  </si>
  <si>
    <t xml:space="preserve">OC(=O)C(F)(F)C(F)(F)C(F)(F)C(F)(F)C(F)(F)C(F)(F)C(F)(F)C(F)(F)C(F)(F)C(F)(F)C(F)(F)C(F)(F)F</t>
  </si>
  <si>
    <t xml:space="preserve">LVDGGZAZAYHXEY-UHFFFAOYSA-N</t>
  </si>
  <si>
    <t xml:space="preserve">703.57663</t>
  </si>
  <si>
    <t xml:space="preserve">C39H79N2O6P</t>
  </si>
  <si>
    <t xml:space="preserve">SM(34:1)</t>
  </si>
  <si>
    <t xml:space="preserve">39593</t>
  </si>
  <si>
    <t xml:space="preserve">HMDB0010169</t>
  </si>
  <si>
    <t xml:space="preserve">41586</t>
  </si>
  <si>
    <t xml:space="preserve">LMSP03010003</t>
  </si>
  <si>
    <t xml:space="preserve">78646</t>
  </si>
  <si>
    <t xml:space="preserve">9939941</t>
  </si>
  <si>
    <t xml:space="preserve">6254-89-3</t>
  </si>
  <si>
    <t xml:space="preserve">[C@](COP(=O)([O-])OCC[N+](C)(C)C)([H])(NC(CCCCCCCCCCCCCCC)=O)[C@]([H])(O)/C=C/CCCCCCCCCCCCC</t>
  </si>
  <si>
    <t xml:space="preserve">RWKUXQNLWDTSLO-GWQJGLRPSA-N</t>
  </si>
  <si>
    <t xml:space="preserve">704.40435</t>
  </si>
  <si>
    <t xml:space="preserve">C39H53N5O7</t>
  </si>
  <si>
    <t xml:space="preserve">1-(4-Biphenylyl)-4(S)-hydroxy-5(S)-2,5-bis((N-(methoxycarbonyl-)-L-tert-leucinyl)amino)-6-phenyl-2-azahexane</t>
  </si>
  <si>
    <t xml:space="preserve">212810</t>
  </si>
  <si>
    <t xml:space="preserve">HMDB0259463</t>
  </si>
  <si>
    <t xml:space="preserve">22000537</t>
  </si>
  <si>
    <t xml:space="preserve">COC(=O)NC(C(=O)NC(CC1=CC=CC=C1)C(O)CN(CC1=CC=C(C=C1)C1=CC=CC=C1)NC(=O)C(NC(=O)OC)C(C)(C)C)C(C)(C)C</t>
  </si>
  <si>
    <t xml:space="preserve">UZZKRELETVORAI-UHFFFAOYSA-N</t>
  </si>
  <si>
    <t xml:space="preserve">705.13700</t>
  </si>
  <si>
    <t xml:space="preserve">C23H30N12O8S2</t>
  </si>
  <si>
    <t xml:space="preserve">Ceftolozane</t>
  </si>
  <si>
    <t xml:space="preserve">204675</t>
  </si>
  <si>
    <t xml:space="preserve">HMDB0249785</t>
  </si>
  <si>
    <t xml:space="preserve">75984602</t>
  </si>
  <si>
    <t xml:space="preserve">CN1C(N)=C(NC(=O)NCCN)C=[N+]1CC1=C(N2C(SC1)C(NC(=O)C(=NOC(C)(C)C([O-])=O)C1=NSC(N)=N1)C2=O)C(O)=O</t>
  </si>
  <si>
    <t xml:space="preserve">JHFNIHVVXRKLEF-UHFFFAOYSA-N</t>
  </si>
  <si>
    <t xml:space="preserve">705.48489</t>
  </si>
  <si>
    <t xml:space="preserve">C43H70O5</t>
  </si>
  <si>
    <t xml:space="preserve">DG(40:7)</t>
  </si>
  <si>
    <t xml:space="preserve">49073</t>
  </si>
  <si>
    <t xml:space="preserve">HMDB0007208</t>
  </si>
  <si>
    <t xml:space="preserve">58790</t>
  </si>
  <si>
    <t xml:space="preserve">88551</t>
  </si>
  <si>
    <t xml:space="preserve">53478083</t>
  </si>
  <si>
    <t xml:space="preserve">[H][C@](CO)(COC(=O)CCCCCCCCC\C=C/CCCCCC)OC(=O)CC\C=C/C\C=C/C\C=C/C\C=C/C\C=C/C\C=C/CC</t>
  </si>
  <si>
    <t xml:space="preserve">CVSMXWVJFQUQJK-YMCYZELXSA-N</t>
  </si>
  <si>
    <t xml:space="preserve">707.13154</t>
  </si>
  <si>
    <t xml:space="preserve">C20H14O5</t>
  </si>
  <si>
    <t xml:space="preserve">Fluorescin</t>
  </si>
  <si>
    <t xml:space="preserve">206857</t>
  </si>
  <si>
    <t xml:space="preserve">HMDB0252365</t>
  </si>
  <si>
    <t xml:space="preserve">42492</t>
  </si>
  <si>
    <t xml:space="preserve">OC(=O)C1=CC=CC=C1C1C2=CC=C(O)C=C2OC2=C1C=CC(O)=C2</t>
  </si>
  <si>
    <t xml:space="preserve">MURGITYSBWUQTI-UHFFFAOYSA-N</t>
  </si>
  <si>
    <t xml:space="preserve">708.12947</t>
  </si>
  <si>
    <t xml:space="preserve">C32H30F5N3O5</t>
  </si>
  <si>
    <t xml:space="preserve">Elagolix Sodium; Elagolix</t>
  </si>
  <si>
    <t xml:space="preserve">257633; 206325</t>
  </si>
  <si>
    <t xml:space="preserve">HMDB0304892; HMDB0251731</t>
  </si>
  <si>
    <t xml:space="preserve">; 22064497</t>
  </si>
  <si>
    <t xml:space="preserve">COC1=C(F)C(=CC=C1)C1=C(C)N(CC2=C(C=CC=C2F)C(F)(F)F)C(=O)N(C[C@H](NCCCC(O)=O)C2=CC=CC=C2)C1=O; COC1=CC=CC(=C1F)C1=C(C)N(CC2=C(C=CC=C2F)C(F)(F)F)C(=O)N(CC(NCCCC(O)=O)C2=CC=CC=C2)C1=O</t>
  </si>
  <si>
    <t xml:space="preserve">HEAUOKZIVMZVQL-VWLOTQADSA-N; HEAUOKZIVMZVQL-UHFFFAOYSA-N</t>
  </si>
  <si>
    <t xml:space="preserve">Carboxylic acids and derivatives; Diazines</t>
  </si>
  <si>
    <t xml:space="preserve">Amino acids, peptides, and analogues; Pyrimidines and pyrimidine derivatives</t>
  </si>
  <si>
    <t xml:space="preserve">708.50753</t>
  </si>
  <si>
    <t xml:space="preserve">C38H71NO9</t>
  </si>
  <si>
    <t xml:space="preserve">AS 1-1</t>
  </si>
  <si>
    <t xml:space="preserve">57065</t>
  </si>
  <si>
    <t xml:space="preserve">HMDB0032794</t>
  </si>
  <si>
    <t xml:space="preserve">88717</t>
  </si>
  <si>
    <t xml:space="preserve">172800</t>
  </si>
  <si>
    <t xml:space="preserve">131751310</t>
  </si>
  <si>
    <t xml:space="preserve">CCCCCCCCCCCCC(O)C(=O)NC(COC1OC(CO)C(O)C(O)C1O)C(O)\C=C/CC\C=C/CCCCCCCCC</t>
  </si>
  <si>
    <t xml:space="preserve">DSCPFMRUDHIMNW-RBIAQBDQSA-N</t>
  </si>
  <si>
    <t xml:space="preserve">709.51809</t>
  </si>
  <si>
    <t xml:space="preserve">C41H75O8P</t>
  </si>
  <si>
    <t xml:space="preserve">PA(38:3); Phosphatidate(38:3)</t>
  </si>
  <si>
    <t xml:space="preserve">25784; 25121</t>
  </si>
  <si>
    <t xml:space="preserve">HMDB0115515; HMDB0114866</t>
  </si>
  <si>
    <t xml:space="preserve">82051; 81388</t>
  </si>
  <si>
    <t xml:space="preserve">LMGP10010885; LMGP10010222</t>
  </si>
  <si>
    <t xml:space="preserve">52929477; 52928815</t>
  </si>
  <si>
    <t xml:space="preserve">[C@](COP(=O)(O)O)([H])(OC(CCCCCC/C=C\C/C=C\C/C=C\CCCCC)=O)COC(CCCCCCCCCCCCCCCCC)=O; [C@](COP(=O)(O)O)([H])(OC(CCCCCCCCCCC/C=C\C/C=C\CCCCC)=O)COC(CCCCCCC/C=C\CCCCCC)=O</t>
  </si>
  <si>
    <t xml:space="preserve">ZHYGTYSUJUQQBH-KHLJEIKVSA-N; JSJLXZCSGITPLR-XKDWLADFSA-N</t>
  </si>
  <si>
    <t xml:space="preserve">710.51913</t>
  </si>
  <si>
    <t xml:space="preserve">C40H74NO8P</t>
  </si>
  <si>
    <t xml:space="preserve">PC(32:3); PE(35:3)</t>
  </si>
  <si>
    <t xml:space="preserve">18628; 49952</t>
  </si>
  <si>
    <t xml:space="preserve">HMDB0007875; HMDB0008902</t>
  </si>
  <si>
    <t xml:space="preserve">59325; 60345</t>
  </si>
  <si>
    <t xml:space="preserve">LMGP01011369; </t>
  </si>
  <si>
    <t xml:space="preserve">89521; </t>
  </si>
  <si>
    <t xml:space="preserve">52922220; 53479576</t>
  </si>
  <si>
    <t xml:space="preserve">[C@](COP(=O)([O-])OCC[N+](C)(C)C)([H])(OC(CCCC/C=C\C/C=C\C/C=C\CCCCC)=O)COC(CCCCCCCCCCCCC)=O; [H][C@@](COC(=O)CCCCCCCCCCCCCC)(COP(O)(=O)OCCN)OC(=O)CCC\C=C/C\C=C/C\C=C/CCCCCCCC</t>
  </si>
  <si>
    <t xml:space="preserve">VZQRMZUULSWEHB-XCFXQIAYSA-N; BJCCSJNXSAXALV-ATCWMZAXSA-N</t>
  </si>
  <si>
    <t xml:space="preserve">711.31336</t>
  </si>
  <si>
    <t xml:space="preserve">C20H24O5</t>
  </si>
  <si>
    <t xml:space="preserve">Isoachifolidiene; 2-(4-Allyl-2-methoxyphenoxy)-1-(4-hydroxy-3-methoxyphenyl)-1-propanol</t>
  </si>
  <si>
    <t xml:space="preserve">62053; 56227</t>
  </si>
  <si>
    <t xml:space="preserve">HMDB0038690; HMDB0031753</t>
  </si>
  <si>
    <t xml:space="preserve">; 87919</t>
  </si>
  <si>
    <t xml:space="preserve">; 168785</t>
  </si>
  <si>
    <t xml:space="preserve">131752430; 14015408</t>
  </si>
  <si>
    <t xml:space="preserve">; 108907-55-7</t>
  </si>
  <si>
    <t xml:space="preserve">C\C=C(/C)C(=O)OC1CC2C(OC(=O)C2=C)C2C(C)=CC=C2C1(C)O; COC1=C(O)C=CC(=C1)C(O)C(C)OC1=C(OC)C=C(CC=C)C=C1</t>
  </si>
  <si>
    <t xml:space="preserve">ITEVGBFEXWVGSM-UXBLZVDNSA-N; PDALBPBLFWHDRD-UHFFFAOYSA-N</t>
  </si>
  <si>
    <t xml:space="preserve">Lipids and lipid-like molecules; Lignans, neolignans and related compounds</t>
  </si>
  <si>
    <t xml:space="preserve">Fatty Acyls; Unclassified</t>
  </si>
  <si>
    <t xml:space="preserve">Fatty acid esters; Unclassified</t>
  </si>
  <si>
    <t xml:space="preserve">714.19349</t>
  </si>
  <si>
    <t xml:space="preserve">C29H53INO4P</t>
  </si>
  <si>
    <t xml:space="preserve">18-(p-Iodophenyl)octadecyl phosphocholine</t>
  </si>
  <si>
    <t xml:space="preserve">212837</t>
  </si>
  <si>
    <t xml:space="preserve">HMDB0259506</t>
  </si>
  <si>
    <t xml:space="preserve">C[N+](C)(C)CCOP([O-])(=O)OCCCCCCCCCCCCCCCCCCC1=CC=C(I)C=C1</t>
  </si>
  <si>
    <t xml:space="preserve">ZOAIEFWMQLYMTF-UHFFFAOYSA-N</t>
  </si>
  <si>
    <t xml:space="preserve">719.18015</t>
  </si>
  <si>
    <t xml:space="preserve">C31H36O18</t>
  </si>
  <si>
    <t xml:space="preserve">Apigenin 6-C-arabinosyl-8-C-glucoside</t>
  </si>
  <si>
    <t xml:space="preserve">255569</t>
  </si>
  <si>
    <t xml:space="preserve">HMDB0302629</t>
  </si>
  <si>
    <t xml:space="preserve">OC[C@H]1O[C@@H](OC2=CC=C(C=C2)C2=CC(=O)C3=C(O2)C(C2O[C@H](CO)[C@@H](O)[C@H](O)[C@H]2O)=C(O)C(C2O[C@H](CO)[C@@H](O)[C@@H]2O)=C3O)[C@@H](O)[C@@H]1O</t>
  </si>
  <si>
    <t xml:space="preserve">UNUHPRIQUMNECB-AJWCUTEPSA-N</t>
  </si>
  <si>
    <t xml:space="preserve">720.18910</t>
  </si>
  <si>
    <t xml:space="preserve">C27H39NO20</t>
  </si>
  <si>
    <t xml:space="preserve">HMBOA dihexose</t>
  </si>
  <si>
    <t xml:space="preserve">257360</t>
  </si>
  <si>
    <t xml:space="preserve">HMDB0304551</t>
  </si>
  <si>
    <t xml:space="preserve">COC1=CC2=C(C=C1)N(O)C(=O)[C@@H](O[C@@H]1O[C@H](CO)[C@@H](O)[C@H](OC3OC(CO)C(OC4OC(CO)C(O)C(O)C4O)C(O)C3O)[C@H]1O)O2</t>
  </si>
  <si>
    <t xml:space="preserve">HZZBJPDCIZYCHA-GOEQCPIOSA-N</t>
  </si>
  <si>
    <t xml:space="preserve">721.18391</t>
  </si>
  <si>
    <t xml:space="preserve">C36H33O16</t>
  </si>
  <si>
    <t xml:space="preserve">Catechin-(4alpha-&gt;8)-pelargonidin 3'-glucoside</t>
  </si>
  <si>
    <t xml:space="preserve">255002</t>
  </si>
  <si>
    <t xml:space="preserve">HMDB0302008</t>
  </si>
  <si>
    <t xml:space="preserve">21579191</t>
  </si>
  <si>
    <t xml:space="preserve">OC[C@H]1O[C@@H](OC2=CC3=C([O+]=C2C2=CC=C(O)C=C2)C([C@H]2[C@@H](O)[C@H](OC4=C2C(O)=CC(O)=C4)C2=CC(O)=C(O)C=C2)=C(O)C=C3O)[C@H](O)[C@@H](O)[C@@H]1O</t>
  </si>
  <si>
    <t xml:space="preserve">GYFCZBFMXPYBAY-KRNRNQEZSA-O</t>
  </si>
  <si>
    <t xml:space="preserve">Biflavonoids and polyflavonoids</t>
  </si>
  <si>
    <t xml:space="preserve">723.46542</t>
  </si>
  <si>
    <t xml:space="preserve">C18H34N2O4</t>
  </si>
  <si>
    <t xml:space="preserve">N-Myristoyl Asparagine</t>
  </si>
  <si>
    <t xml:space="preserve">198553</t>
  </si>
  <si>
    <t xml:space="preserve">HMDB0242047</t>
  </si>
  <si>
    <t xml:space="preserve">18318642</t>
  </si>
  <si>
    <t xml:space="preserve">CCCCCCCCCCCCCC(=O)NC(CC(N)=O)C(O)=O</t>
  </si>
  <si>
    <t xml:space="preserve">XCYGCBVZSVXYON-UHFFFAOYSA-N</t>
  </si>
  <si>
    <t xml:space="preserve">730.52951</t>
  </si>
  <si>
    <t xml:space="preserve">C44H67N5O4</t>
  </si>
  <si>
    <t xml:space="preserve">Ibrexafungerp; Ibrexafungerp </t>
  </si>
  <si>
    <t xml:space="preserve">208856; 257583</t>
  </si>
  <si>
    <t xml:space="preserve">HMDB0254784; HMDB0304839</t>
  </si>
  <si>
    <t xml:space="preserve">75163792; </t>
  </si>
  <si>
    <t xml:space="preserve">CC(C)C(C)C1(C)CCC2(C)C3CCC4C5(C)COCC4(CC(C5OCC(C)(N)C(C)(C)C)N4N=CN=C4C4=CC=NC=C4)C3=CCC2(C)C1C(O)=O; CC(C)[C@@H](C)[C@@]1(C)CC[C@]2(C)[C@H]3CC[C@H]4[C@@]5(C)COC[C@@]4(C[C@H]([C@@H]5OC[C@](C)(N)C(C)(C)C)N4N=CN=C4C4=CC=NC=C4)C3=CC[C@@]2(C)[C@@H]1C(O)=O</t>
  </si>
  <si>
    <t xml:space="preserve">BODYFEUFKHPRCK-UHFFFAOYSA-N; BODYFEUFKHPRCK-ZCZMVWJSSA-N</t>
  </si>
  <si>
    <t xml:space="preserve">731.52173</t>
  </si>
  <si>
    <t xml:space="preserve">C40H77O10P</t>
  </si>
  <si>
    <t xml:space="preserve">PG(34:1)</t>
  </si>
  <si>
    <t xml:space="preserve">22505</t>
  </si>
  <si>
    <t xml:space="preserve">HMDB0010573</t>
  </si>
  <si>
    <t xml:space="preserve">LMGP04010008</t>
  </si>
  <si>
    <t xml:space="preserve">44946</t>
  </si>
  <si>
    <t xml:space="preserve">5289145</t>
  </si>
  <si>
    <t xml:space="preserve">1177673-26-5</t>
  </si>
  <si>
    <t xml:space="preserve">[C@]([H])(OC(CCCCCCCCC/C=C\CCCCCC)=O)(COP(=O)(O)OC[C@@]([H])(O)CO)COC(CCCCCCCCCCCCCCC)=O</t>
  </si>
  <si>
    <t xml:space="preserve">ADYWCMPUNIVOEA-GPJPVTGXSA-N</t>
  </si>
  <si>
    <t xml:space="preserve">733.54793</t>
  </si>
  <si>
    <t xml:space="preserve">C47H76O3</t>
  </si>
  <si>
    <t xml:space="preserve">CE(DiMe(11,3:1)); CE(DiMe(11:1,3))</t>
  </si>
  <si>
    <t xml:space="preserve">132618; 132615</t>
  </si>
  <si>
    <t xml:space="preserve">HMDB0112200; HMDB0112197</t>
  </si>
  <si>
    <t xml:space="preserve">131819643; 131819640</t>
  </si>
  <si>
    <t xml:space="preserve">[H]\C(C)=C(\[H])C1=C(C)C(C)=C(CCCCCCCCCCC(=O)OC2CCC3(C)C4CCC5(C)C(CCC5C4CC=C3C2)C(C)CCCC(C)C)O1; [H]\C(CCCCCCCCC(=O)OC1CCC2(C)C3CCC4(C)C(CCC4C3CC=C2C1)C(C)CCCC(C)C)=C(\[H])C1=C(C)C(C)=C(CCC)O1</t>
  </si>
  <si>
    <t xml:space="preserve">WKJZJZLUHKTVSL-DJKKODMXSA-N; WCBDUQUDBQTXPU-CJLVFECKSA-N</t>
  </si>
  <si>
    <t xml:space="preserve">735.56135</t>
  </si>
  <si>
    <t xml:space="preserve">C47H78O3</t>
  </si>
  <si>
    <t xml:space="preserve">CE(dime); CE(7D7); CE(9M6)</t>
  </si>
  <si>
    <t xml:space="preserve">83255; 132638; 132652</t>
  </si>
  <si>
    <t xml:space="preserve">HMDB0061667; HMDB0112220; HMDB0112234</t>
  </si>
  <si>
    <t xml:space="preserve">131770396; 131819663; 131819677</t>
  </si>
  <si>
    <t xml:space="preserve">CCCC1=C(C)C(C)=C(CCCCCCCCCCC(=O)OC2CCC3(C)C4CCC5(C)C(CCC5C4CC=C3C2)C(C)CCCC(C)C)O1; CCCCCCCC1=C(C)C(C)=C(CCCCCCC(=O)OC2CCC3(C)C4CCC5(C)C(CCC5C4CC=C3C2)C(C)CCCC(C)C)O1; CCCCCCC1=CC(C)=C(CCCCCCCCC(=O)OC2CCC3(C)C4CCC5(C)C(CCC5C4CC=C3C2)C(C)CCCC(C)C)O1</t>
  </si>
  <si>
    <t xml:space="preserve">GWPOWQHYFOHQNJ-UHFFFAOYSA-N; BORLSVYTEDMFSB-UHFFFAOYSA-N; UAFWFKIDYHORIC-UHFFFAOYSA-N</t>
  </si>
  <si>
    <t xml:space="preserve">737.45437</t>
  </si>
  <si>
    <t xml:space="preserve">C39H71O8P</t>
  </si>
  <si>
    <t xml:space="preserve">PA(36:3); Phosphatidate(36:3)</t>
  </si>
  <si>
    <t xml:space="preserve">25804; 25033</t>
  </si>
  <si>
    <t xml:space="preserve">HMDB0115511; HMDB0114805</t>
  </si>
  <si>
    <t xml:space="preserve">82071; 81300</t>
  </si>
  <si>
    <t xml:space="preserve">LMGP10010905; LMGP10010134</t>
  </si>
  <si>
    <t xml:space="preserve">52929495; 52928727</t>
  </si>
  <si>
    <t xml:space="preserve">[C@](COP(=O)(O)O)([H])(OC(CCCCCC/C=C\C/C=C\C/C=C\CCCCC)=O)COC(CCCCCCCCCCCCCCC)=O; [C@](COP(=O)(O)O)([H])(OC(CCCCCCCCCCC/C=C\C/C=C\CCCCC)=O)COC(CCCCCCC/C=C\CCCC)=O</t>
  </si>
  <si>
    <t xml:space="preserve">CGADDCLTVOZDQQ-QNKWBPIESA-N; URUVXHGRYHVJHP-RGWCGLOOSA-N</t>
  </si>
  <si>
    <t xml:space="preserve">741.23495</t>
  </si>
  <si>
    <t xml:space="preserve">C40H38N4O8</t>
  </si>
  <si>
    <t xml:space="preserve">4,4''-bis(N-feruloyl)serotonin</t>
  </si>
  <si>
    <t xml:space="preserve">64522</t>
  </si>
  <si>
    <t xml:space="preserve">HMDB0041433</t>
  </si>
  <si>
    <t xml:space="preserve">95829</t>
  </si>
  <si>
    <t xml:space="preserve">10484893</t>
  </si>
  <si>
    <t xml:space="preserve">175702-03-1</t>
  </si>
  <si>
    <t xml:space="preserve">COC1=C(O)C=CC(\C=C\C(=O)NCCC2=CNC3=C2C(=C(O)C=C3)C2=C(O)C=CC3=C2C(CCNC(=O)\C=C\C2=CC(OC)=C(O)C=C2)=CN3)=C1</t>
  </si>
  <si>
    <t xml:space="preserve">URHRFQQPWDNDQE-ACFHMISVSA-N</t>
  </si>
  <si>
    <t xml:space="preserve">741.52976</t>
  </si>
  <si>
    <t xml:space="preserve">C19H37NO5</t>
  </si>
  <si>
    <t xml:space="preserve">2-Hydroxylauroylcarnitine; 3-hydroxydodecanoyl carnitine</t>
  </si>
  <si>
    <t xml:space="preserve">8314; 8321</t>
  </si>
  <si>
    <t xml:space="preserve">HMDB0013164; HMDB0061638</t>
  </si>
  <si>
    <t xml:space="preserve">LMFA07070032; LMFA07070039</t>
  </si>
  <si>
    <t xml:space="preserve">; 73056</t>
  </si>
  <si>
    <t xml:space="preserve">53481640; 71464535</t>
  </si>
  <si>
    <t xml:space="preserve">C(CCC)CCCCCCC(O)C(OC(C[N+](C)(C)C)CC(=O)[O-])=O; O(C(CC(O)CCCCCCCCC)=O)C(CC([O-])=O)C[N+](C)(C)C</t>
  </si>
  <si>
    <t xml:space="preserve">PBBJEGGNZPXIGJ-UHFFFAOYSA-N; ULWDPUHFMOBGFJ-UHFFFAOYSA-N</t>
  </si>
  <si>
    <t xml:space="preserve">742.53529</t>
  </si>
  <si>
    <t xml:space="preserve">C39H78NO8P</t>
  </si>
  <si>
    <t xml:space="preserve">PC(31:0)</t>
  </si>
  <si>
    <t xml:space="preserve">18229</t>
  </si>
  <si>
    <t xml:space="preserve">HMDB0007935</t>
  </si>
  <si>
    <t xml:space="preserve">59385</t>
  </si>
  <si>
    <t xml:space="preserve">LMGP01010532</t>
  </si>
  <si>
    <t xml:space="preserve">134583</t>
  </si>
  <si>
    <t xml:space="preserve">24778655</t>
  </si>
  <si>
    <t xml:space="preserve">[C@](COP(=O)([O-])OCC[N+](C)(C)C)([H])(OC(CCCCCCCCCCCCCCC)=O)COC(CCCCCCCCCCCCCC)=O</t>
  </si>
  <si>
    <t xml:space="preserve">LLHISNQVRRYJGL-DIPNUNPCSA-N</t>
  </si>
  <si>
    <t xml:space="preserve">752.13854</t>
  </si>
  <si>
    <t xml:space="preserve">C32H31N3O16</t>
  </si>
  <si>
    <t xml:space="preserve">Fura-2 acetoxymethyl</t>
  </si>
  <si>
    <t xml:space="preserve">207004</t>
  </si>
  <si>
    <t xml:space="preserve">HMDB0252526</t>
  </si>
  <si>
    <t xml:space="preserve">101593719</t>
  </si>
  <si>
    <t xml:space="preserve">CC(=O)OCOC(=O)C1=CN=C(O1)C1=CC2=CC(OCCOC3=C(C=CC(C)=C3)N(CC(O)=O)CC(O)=O)=C(C=C2O1)N(CC(O)=O)CC(O)=O</t>
  </si>
  <si>
    <t xml:space="preserve">UXRFVKKXSIOVLP-UHFFFAOYSA-N</t>
  </si>
  <si>
    <t xml:space="preserve">752.50765</t>
  </si>
  <si>
    <t xml:space="preserve">C40H75NO9</t>
  </si>
  <si>
    <t xml:space="preserve">Soyacerebroside I</t>
  </si>
  <si>
    <t xml:space="preserve">56958</t>
  </si>
  <si>
    <t xml:space="preserve">HMDB0032677</t>
  </si>
  <si>
    <t xml:space="preserve">131751281</t>
  </si>
  <si>
    <t xml:space="preserve">114297-20-0</t>
  </si>
  <si>
    <t xml:space="preserve">CCCCCCCCCCCCCCC(O)C(=O)NC(COC1OC(CO)C(O)C(O)C1O)C(O)\C=C/CC\C=C/CCCCCCCCC</t>
  </si>
  <si>
    <t xml:space="preserve">HOMYIYLRRDTKAA-UYIJODJPSA-N</t>
  </si>
  <si>
    <t xml:space="preserve">753.51393</t>
  </si>
  <si>
    <t xml:space="preserve">C43H80O5</t>
  </si>
  <si>
    <t xml:space="preserve">DG(40:2)</t>
  </si>
  <si>
    <t xml:space="preserve">49034</t>
  </si>
  <si>
    <t xml:space="preserve">HMDB0007152</t>
  </si>
  <si>
    <t xml:space="preserve">58751</t>
  </si>
  <si>
    <t xml:space="preserve">53478044</t>
  </si>
  <si>
    <t xml:space="preserve">[H][C@](CO)(COC(=O)CCCCCCC\C=C/CCCCCC)OC(=O)CCCCCCCCCCCCC\C=C/CCCCCCCC</t>
  </si>
  <si>
    <t xml:space="preserve">NXKIVNNEJIFCSI-XQGOLSDZSA-N</t>
  </si>
  <si>
    <t xml:space="preserve">755.50951</t>
  </si>
  <si>
    <t xml:space="preserve">C39H77N2O7P</t>
  </si>
  <si>
    <t xml:space="preserve">SM(d18:0/16:1(9Z)(OH))</t>
  </si>
  <si>
    <t xml:space="preserve">52278</t>
  </si>
  <si>
    <t xml:space="preserve">HMDB0013463</t>
  </si>
  <si>
    <t xml:space="preserve">90007</t>
  </si>
  <si>
    <t xml:space="preserve">53481779</t>
  </si>
  <si>
    <t xml:space="preserve">CCCCCCCCCCCCC\C=C\[C@@H](O)[C@H](COP([O-])(=O)OCC[N+](C)(C)C)NC(=O)CC(O)CCCCC\C=C/CCCCCC</t>
  </si>
  <si>
    <t xml:space="preserve">LPHMSPONPQCKTL-FKUNDBCPSA-N</t>
  </si>
  <si>
    <t xml:space="preserve">756.55688</t>
  </si>
  <si>
    <t xml:space="preserve">C42H78NO8P</t>
  </si>
  <si>
    <t xml:space="preserve">PC(34:3)</t>
  </si>
  <si>
    <t xml:space="preserve">19386</t>
  </si>
  <si>
    <t xml:space="preserve">HMDB0007881</t>
  </si>
  <si>
    <t xml:space="preserve">59331</t>
  </si>
  <si>
    <t xml:space="preserve">LMGP01012127</t>
  </si>
  <si>
    <t xml:space="preserve">89517</t>
  </si>
  <si>
    <t xml:space="preserve">53478605</t>
  </si>
  <si>
    <t xml:space="preserve">[C@](COP(=O)([O-])OCC[N+](C)(C)C)([H])(OC(CCC/C=C\C/C=C\C/C=C\CCCCCCCC)=O)COC(CCCCCCCCCCCCC)=O</t>
  </si>
  <si>
    <t xml:space="preserve">XWHIBISICRMDDW-ZLBNXBDKSA-N</t>
  </si>
  <si>
    <t xml:space="preserve">757.20425</t>
  </si>
  <si>
    <t xml:space="preserve">C36H37O18</t>
  </si>
  <si>
    <t xml:space="preserve">Perillanin</t>
  </si>
  <si>
    <t xml:space="preserve">55369</t>
  </si>
  <si>
    <t xml:space="preserve">HMDB0030581</t>
  </si>
  <si>
    <t xml:space="preserve">14409074</t>
  </si>
  <si>
    <t xml:space="preserve">23410-80-2</t>
  </si>
  <si>
    <t xml:space="preserve">OCC1OC(OC2=CC(O)=CC3=[O+]C(=C(OC4OC(COC(=O)\C=C\C5=CC=C(O)C=C5)C(O)C(O)C4O)C=C23)C2=CC(O)=C(O)C=C2)C(O)C(O)C1O</t>
  </si>
  <si>
    <t xml:space="preserve">YPXWWSJGANMFFQ-UHFFFAOYSA-O</t>
  </si>
  <si>
    <t xml:space="preserve">757.55924</t>
  </si>
  <si>
    <t xml:space="preserve">C23H38O4</t>
  </si>
  <si>
    <t xml:space="preserve">MG(20:4)</t>
  </si>
  <si>
    <t xml:space="preserve">10440</t>
  </si>
  <si>
    <t xml:space="preserve">HMDB0004666</t>
  </si>
  <si>
    <t xml:space="preserve">43423</t>
  </si>
  <si>
    <t xml:space="preserve">LMGL01010023</t>
  </si>
  <si>
    <t xml:space="preserve">C13856</t>
  </si>
  <si>
    <t xml:space="preserve">52392</t>
  </si>
  <si>
    <t xml:space="preserve">5282280</t>
  </si>
  <si>
    <t xml:space="preserve">53847-30-6</t>
  </si>
  <si>
    <t xml:space="preserve">OC[C@]([H])(OC(CCC/C=C\C/C=C\C/C=C\C/C=C\CCCCC)=O)CO</t>
  </si>
  <si>
    <t xml:space="preserve">RCRCTBLIHCHWDZ-DOFZRALJSA-N</t>
  </si>
  <si>
    <t xml:space="preserve">758.57333</t>
  </si>
  <si>
    <t xml:space="preserve">C42H80NO8P</t>
  </si>
  <si>
    <t xml:space="preserve">PC(34:2)</t>
  </si>
  <si>
    <t xml:space="preserve">18632</t>
  </si>
  <si>
    <t xml:space="preserve">HMDB0007880</t>
  </si>
  <si>
    <t xml:space="preserve">59330</t>
  </si>
  <si>
    <t xml:space="preserve">LMGP01011373</t>
  </si>
  <si>
    <t xml:space="preserve">89518</t>
  </si>
  <si>
    <t xml:space="preserve">52922228</t>
  </si>
  <si>
    <t xml:space="preserve">[C@](COP(=O)([O-])OCC[N+](C)(C)C)([H])(OC(CCCCCCCCC/C=C\C/C=C\CCCCC)=O)COC(CCCCCCCCCCCCC)=O</t>
  </si>
  <si>
    <t xml:space="preserve">IRYMXEVDAKMFIF-YBLKGUNISA-N</t>
  </si>
  <si>
    <t xml:space="preserve">759.21772</t>
  </si>
  <si>
    <t xml:space="preserve">C13H21N3O8S</t>
  </si>
  <si>
    <t xml:space="preserve">S-Lactoylglutathione</t>
  </si>
  <si>
    <t xml:space="preserve">47376</t>
  </si>
  <si>
    <t xml:space="preserve">HMDB0001066</t>
  </si>
  <si>
    <t xml:space="preserve">5979</t>
  </si>
  <si>
    <t xml:space="preserve">C03451</t>
  </si>
  <si>
    <t xml:space="preserve">15694</t>
  </si>
  <si>
    <t xml:space="preserve">440018</t>
  </si>
  <si>
    <t xml:space="preserve">25138-66-3</t>
  </si>
  <si>
    <t xml:space="preserve">C[C@@H](O)C(=O)SC[C@H](NC(=O)CC[C@H](N)C(O)=O)C(=O)NCC(O)=O</t>
  </si>
  <si>
    <t xml:space="preserve">VDYDCVUWILIYQF-CSMHCCOUSA-N</t>
  </si>
  <si>
    <t xml:space="preserve">760.58838</t>
  </si>
  <si>
    <t xml:space="preserve">C42H82NO8P</t>
  </si>
  <si>
    <t xml:space="preserve">PE(37:1); PC(34:1)</t>
  </si>
  <si>
    <t xml:space="preserve">49954; 18631</t>
  </si>
  <si>
    <t xml:space="preserve">HMDB0008908; HMDB0007879</t>
  </si>
  <si>
    <t xml:space="preserve">60351; 59329</t>
  </si>
  <si>
    <t xml:space="preserve">; LMGP01011372</t>
  </si>
  <si>
    <t xml:space="preserve">; 89520</t>
  </si>
  <si>
    <t xml:space="preserve">53479578; 52922226</t>
  </si>
  <si>
    <t xml:space="preserve">[H][C@@](COC(=O)CCCCCCCCCCCCCC)(COP(O)(=O)OCCN)OC(=O)CCCCCCCCCCC\C=C/CCCCCCCC; [C@](COP(=O)([O-])OCC[N+](C)(C)C)([H])(OC(CCCCCCCCC/C=C\CCCCCCCC)=O)COC(CCCCCCCCCCCCC)=O</t>
  </si>
  <si>
    <t xml:space="preserve">MUWFEEOSXPAQIY-LQOXNGKESA-N; DMEBDXIQFIKNQR-OIJJMQLXSA-N</t>
  </si>
  <si>
    <t xml:space="preserve">761.45642</t>
  </si>
  <si>
    <t xml:space="preserve">C41H71O8P</t>
  </si>
  <si>
    <t xml:space="preserve">PA(38:5)</t>
  </si>
  <si>
    <t xml:space="preserve">25256</t>
  </si>
  <si>
    <t xml:space="preserve">HMDB0115521</t>
  </si>
  <si>
    <t xml:space="preserve">81523</t>
  </si>
  <si>
    <t xml:space="preserve">LMGP10010357</t>
  </si>
  <si>
    <t xml:space="preserve">52928950</t>
  </si>
  <si>
    <t xml:space="preserve">[C@](COP(=O)(O)O)([H])(OC(CCCCCC/C=C\C/C=C\C/C=C\CCCCC)=O)COC(CCCCCCC/C=C\C/C=C\CCCCC)=O</t>
  </si>
  <si>
    <t xml:space="preserve">UAUWLTNBXLEFAY-PDPVKKCJSA-N</t>
  </si>
  <si>
    <t xml:space="preserve">762.59654</t>
  </si>
  <si>
    <t xml:space="preserve">C42H84NO8P</t>
  </si>
  <si>
    <t xml:space="preserve">PE(37:0); PC(34:0)</t>
  </si>
  <si>
    <t xml:space="preserve">20158; 18217</t>
  </si>
  <si>
    <t xml:space="preserve">HMDB0008907; HMDB0007878</t>
  </si>
  <si>
    <t xml:space="preserve">60350; 59328</t>
  </si>
  <si>
    <t xml:space="preserve">LMGP02010469; LMGP01010505</t>
  </si>
  <si>
    <t xml:space="preserve">134232; </t>
  </si>
  <si>
    <t xml:space="preserve">52924172; 24778633</t>
  </si>
  <si>
    <t xml:space="preserve">[C@](COP(=O)(O)OCCN)([H])(OC(CCCCCCCCCCCCCCCCCCCCC)=O)COC(CCCCCCCCCCCCCC)=O; [C@](COP(=O)([O-])OCC[N+](C)(C)C)([H])(OC(CCCCCCCCCCCCCCCCCCC)=O)COC(CCCCCCCCCCCCC)=O</t>
  </si>
  <si>
    <t xml:space="preserve">IXKGMCOCPZEZER-RRHRGVEJSA-N; VELOKQJUJJVGMB-RRHRGVEJSA-N</t>
  </si>
  <si>
    <t xml:space="preserve">765.51676</t>
  </si>
  <si>
    <t xml:space="preserve">C22H37NO3</t>
  </si>
  <si>
    <t xml:space="preserve">20-HETE ethanolamide</t>
  </si>
  <si>
    <t xml:space="preserve">9048</t>
  </si>
  <si>
    <t xml:space="preserve">HMDB0013630</t>
  </si>
  <si>
    <t xml:space="preserve">45132</t>
  </si>
  <si>
    <t xml:space="preserve">LMFA08040039</t>
  </si>
  <si>
    <t xml:space="preserve">136992</t>
  </si>
  <si>
    <t xml:space="preserve">35027640</t>
  </si>
  <si>
    <t xml:space="preserve">942069-11-6</t>
  </si>
  <si>
    <t xml:space="preserve">C(NCCO)(=O)CCC/C=C\C/C=C\C/C=C\C/C=C\CCCCCO</t>
  </si>
  <si>
    <t xml:space="preserve">QRMZDMUHHZLRMH-DTLRTWKJSA-N</t>
  </si>
  <si>
    <t xml:space="preserve">766.52375</t>
  </si>
  <si>
    <t xml:space="preserve">C41H77NO9</t>
  </si>
  <si>
    <t xml:space="preserve">Cerebroside B</t>
  </si>
  <si>
    <t xml:space="preserve">59799</t>
  </si>
  <si>
    <t xml:space="preserve">HMDB0035990</t>
  </si>
  <si>
    <t xml:space="preserve">91175</t>
  </si>
  <si>
    <t xml:space="preserve">10010147</t>
  </si>
  <si>
    <t xml:space="preserve">88642-46-0</t>
  </si>
  <si>
    <t xml:space="preserve">CCCCCCCCCCCCCCC(O)C(=O)NC(COC1OC(CO)C(O)C(O)C1O)C(O)\C=C\CC\C=C(/C)CCCCCCCCC</t>
  </si>
  <si>
    <t xml:space="preserve">YBSQGNFRWZKFMJ-BOLNYJQLSA-N</t>
  </si>
  <si>
    <t xml:space="preserve">767.51935</t>
  </si>
  <si>
    <t xml:space="preserve">C41H77O9P</t>
  </si>
  <si>
    <t xml:space="preserve">Lipofectin</t>
  </si>
  <si>
    <t xml:space="preserve">208314</t>
  </si>
  <si>
    <t xml:space="preserve">HMDB0254118</t>
  </si>
  <si>
    <t xml:space="preserve">105038</t>
  </si>
  <si>
    <t xml:space="preserve">CCCCCCCCC=CCCCCCCCC(=O)OCC(COP(O)(=O)OCCO)OC(=O)CCCCCCCC=CCCCCCCCC</t>
  </si>
  <si>
    <t xml:space="preserve">HMNZFMSWFCAGGW-UHFFFAOYSA-N</t>
  </si>
  <si>
    <t xml:space="preserve">768.49924</t>
  </si>
  <si>
    <t xml:space="preserve">C44H67N5O5</t>
  </si>
  <si>
    <t xml:space="preserve">2-[[2-[[(6Z,9Z,12Z)-Octadeca-6,9,12-trienoyl]amino]-6-oxo-3H-purin-9-yl]methoxy]ethyl (6Z,9Z,12Z)-octadeca-6,9,12-trienoate</t>
  </si>
  <si>
    <t xml:space="preserve">203228</t>
  </si>
  <si>
    <t xml:space="preserve">HMDB0248076</t>
  </si>
  <si>
    <t xml:space="preserve">CCCCCC=CCC=CCC=CCCCCC(=O)NC1=NC2=C(N=CN2COCCOC(=O)CCCCC=CCC=CCC=CCCCCC)C(=O)N1</t>
  </si>
  <si>
    <t xml:space="preserve">ZADXXOXCDHZDIX-UHFFFAOYSA-N</t>
  </si>
  <si>
    <t xml:space="preserve">768.55994</t>
  </si>
  <si>
    <t xml:space="preserve">C42H84NO6P</t>
  </si>
  <si>
    <t xml:space="preserve">CerP(d42:1)</t>
  </si>
  <si>
    <t xml:space="preserve">39584</t>
  </si>
  <si>
    <t xml:space="preserve">HMDB0010704</t>
  </si>
  <si>
    <t xml:space="preserve">41581</t>
  </si>
  <si>
    <t xml:space="preserve">LMSP02050008</t>
  </si>
  <si>
    <t xml:space="preserve">73137</t>
  </si>
  <si>
    <t xml:space="preserve">5283587</t>
  </si>
  <si>
    <t xml:space="preserve">[C@](COP(=O)(O)O)([H])(NC(CCCCCCCCCCCCCCCCCCCCCCC)=O)[C@]([H])(O)/C=C/CCCCCCCCCCCCC</t>
  </si>
  <si>
    <t xml:space="preserve">SEEJZRCEDNOVGA-AUTSUKAISA-N</t>
  </si>
  <si>
    <t xml:space="preserve">769.48833</t>
  </si>
  <si>
    <t xml:space="preserve">C23H32N2O3</t>
  </si>
  <si>
    <t xml:space="preserve">(-)-Pyrifolidine</t>
  </si>
  <si>
    <t xml:space="preserve">57744</t>
  </si>
  <si>
    <t xml:space="preserve">HMDB0033523</t>
  </si>
  <si>
    <t xml:space="preserve">89335</t>
  </si>
  <si>
    <t xml:space="preserve">579923</t>
  </si>
  <si>
    <t xml:space="preserve">CCC12CCCN3CCC4(C(CC1)N(C(C)=O)C1=C4C=CC(OC)=C1OC)C23</t>
  </si>
  <si>
    <t xml:space="preserve">BTDUGGGJFMJNOB-UHFFFAOYSA-N</t>
  </si>
  <si>
    <t xml:space="preserve">Aspidospermatan-type alkaloids</t>
  </si>
  <si>
    <t xml:space="preserve">770.51000</t>
  </si>
  <si>
    <t xml:space="preserve">C43H74NO7P</t>
  </si>
  <si>
    <t xml:space="preserve">PE(38:7); PE(20:6)</t>
  </si>
  <si>
    <t xml:space="preserve">21062; 50219</t>
  </si>
  <si>
    <t xml:space="preserve">HMDB0005780; HMDB0009479</t>
  </si>
  <si>
    <t xml:space="preserve">3869; 60874</t>
  </si>
  <si>
    <t xml:space="preserve">LMGP02030001; </t>
  </si>
  <si>
    <t xml:space="preserve">C00350; C00350</t>
  </si>
  <si>
    <t xml:space="preserve">90479; </t>
  </si>
  <si>
    <t xml:space="preserve">5283497; 53479841</t>
  </si>
  <si>
    <t xml:space="preserve">206059-97-4; </t>
  </si>
  <si>
    <t xml:space="preserve">[C@](COP(=O)(O)OCCN)([H])(OC(CC/C=C\C/C=C\C/C=C\C/C=C\C/C=C\C/C=C\CC)=O)CO/C=C\CCCCCCCCCCCCCC; [H][C@@](COC(=O)CCC\C=C/C\C=C/C\C=C/C\C=C/C\C=C/CC)(COP(O)(=O)OCCN)O\C=C/CCCCCCCC\C=C/CCCCCC</t>
  </si>
  <si>
    <t xml:space="preserve">WVGALBKSWOUIEZ-XNHMFJFDSA-N; SBDGZMPEYDBDCB-FSOAWXQVSA-N</t>
  </si>
  <si>
    <t xml:space="preserve">Glycerophosphoethanolamines; Glycerophosphoethanolamines</t>
  </si>
  <si>
    <t xml:space="preserve">771.51671</t>
  </si>
  <si>
    <t xml:space="preserve">C42H75O10P</t>
  </si>
  <si>
    <t xml:space="preserve">PG(36:4)</t>
  </si>
  <si>
    <t xml:space="preserve">22515</t>
  </si>
  <si>
    <t xml:space="preserve">HMDB0010580</t>
  </si>
  <si>
    <t xml:space="preserve">40867</t>
  </si>
  <si>
    <t xml:space="preserve">LMGP04010036</t>
  </si>
  <si>
    <t xml:space="preserve">84526</t>
  </si>
  <si>
    <t xml:space="preserve">24779550</t>
  </si>
  <si>
    <t xml:space="preserve">[C@]([H])(OC(CCC/C=C\C/C=C\C/C=C\C/C=C\CCCCC)=O)(COP(=O)(O)OC[C@@]([H])(O)CO)COC(CCCCCCCCCCCCCCC)=O</t>
  </si>
  <si>
    <t xml:space="preserve">FBAPNCMXWMGHJY-NYWCEQGFSA-N</t>
  </si>
  <si>
    <t xml:space="preserve">772.52606</t>
  </si>
  <si>
    <t xml:space="preserve">C40H80NO8P</t>
  </si>
  <si>
    <t xml:space="preserve">PC(32:0)</t>
  </si>
  <si>
    <t xml:space="preserve">18240</t>
  </si>
  <si>
    <t xml:space="preserve">HMDB0000564</t>
  </si>
  <si>
    <t xml:space="preserve">39306</t>
  </si>
  <si>
    <t xml:space="preserve">LMGP01010564</t>
  </si>
  <si>
    <t xml:space="preserve">72999</t>
  </si>
  <si>
    <t xml:space="preserve">452110</t>
  </si>
  <si>
    <t xml:space="preserve">63-89-8</t>
  </si>
  <si>
    <t xml:space="preserve">[C@](COP(=O)([O-])OCC[N+](C)(C)C)([H])(OC(CCCCCCCCCCCCCCC)=O)COC(CCCCCCCCCCCCCCC)=O</t>
  </si>
  <si>
    <t xml:space="preserve">KILNVBDSWZSGLL-KXQOOQHDSA-N</t>
  </si>
  <si>
    <t xml:space="preserve">774.53342</t>
  </si>
  <si>
    <t xml:space="preserve">C41H76NO10P</t>
  </si>
  <si>
    <t xml:space="preserve">PS(35:2)</t>
  </si>
  <si>
    <t xml:space="preserve">21413</t>
  </si>
  <si>
    <t xml:space="preserve">HMDB0112328</t>
  </si>
  <si>
    <t xml:space="preserve">77816</t>
  </si>
  <si>
    <t xml:space="preserve">LMGP03010152</t>
  </si>
  <si>
    <t xml:space="preserve">52925262</t>
  </si>
  <si>
    <t xml:space="preserve">C(O)(=O)[C@@]([H])(N)COP(OC[C@]([H])(OC(CCCCCCCCC/C=C\C/C=C\CCCCC)=O)COC(CCCCCCCCCCCCCC)=O)(=O)O</t>
  </si>
  <si>
    <t xml:space="preserve">XPBBWSROBWCHFF-CAWRKHGTSA-N</t>
  </si>
  <si>
    <t xml:space="preserve">775.29079</t>
  </si>
  <si>
    <t xml:space="preserve">C20H21FN4O2</t>
  </si>
  <si>
    <t xml:space="preserve">Cyclohexanol, 4-(4-(4-fluorophenyl)-5-(2-methoxy-4-pyrimidinyl)-1H-imidazol-1-yl)-, trans-; AB-Fubinaca</t>
  </si>
  <si>
    <t xml:space="preserve">211190; 202939</t>
  </si>
  <si>
    <t xml:space="preserve">HMDB0257516; HMDB0247739</t>
  </si>
  <si>
    <t xml:space="preserve">; 86567357</t>
  </si>
  <si>
    <t xml:space="preserve">COC1=NC=CC(=N1)C1=C(N=CN1C1CCC(O)CC1)C1=CC=C(F)C=C1; CC(C)C(NC(=O)C1=NN(CC2=CC=C(F)C=C2)C2=CC=CC=C12)C(N)=O</t>
  </si>
  <si>
    <t xml:space="preserve">ZQUSFAUAYSEREK-UHFFFAOYSA-N; AKOOIMKXADOPDA-UHFFFAOYSA-N</t>
  </si>
  <si>
    <t xml:space="preserve">Azoles; Carboxylic acids and derivatives</t>
  </si>
  <si>
    <t xml:space="preserve">Imidazoles; Amino acids, peptides, and analogues</t>
  </si>
  <si>
    <t xml:space="preserve">776.53058</t>
  </si>
  <si>
    <t xml:space="preserve">C40H77NO10</t>
  </si>
  <si>
    <t xml:space="preserve">Araliacerebroside</t>
  </si>
  <si>
    <t xml:space="preserve">57833</t>
  </si>
  <si>
    <t xml:space="preserve">HMDB0033621</t>
  </si>
  <si>
    <t xml:space="preserve">89421</t>
  </si>
  <si>
    <t xml:space="preserve">131751463</t>
  </si>
  <si>
    <t xml:space="preserve">CCCCCCCCCCCCCCC(O)C(=O)NC(COC1OC(CO)C(O)C(O)C1O)C(O)C(O)CCC\C=C\CCCCCCCCC</t>
  </si>
  <si>
    <t xml:space="preserve">AYBHLNMQTQBJBX-XUTLUUPISA-N</t>
  </si>
  <si>
    <t xml:space="preserve">777.53261</t>
  </si>
  <si>
    <t xml:space="preserve">C49H80O2</t>
  </si>
  <si>
    <t xml:space="preserve">CE(22:4)</t>
  </si>
  <si>
    <t xml:space="preserve">48852</t>
  </si>
  <si>
    <t xml:space="preserve">HMDB0006729</t>
  </si>
  <si>
    <t xml:space="preserve">16061341</t>
  </si>
  <si>
    <t xml:space="preserve">14940-92-2</t>
  </si>
  <si>
    <t xml:space="preserve">CCCCC\C=C/C\C=C/C\C=C/C\C=C/CCCCCC(=O)O[C@H]1CC[C@]2(C)C3CC[C@]4(C)C(CCC4C3CC=C2C1)[C@H](C)CCCC(C)C</t>
  </si>
  <si>
    <t xml:space="preserve">ITGTXSFLBABXQA-IRNBNDQXSA-N</t>
  </si>
  <si>
    <t xml:space="preserve">778.48422</t>
  </si>
  <si>
    <t xml:space="preserve">C40H80NO6P</t>
  </si>
  <si>
    <t xml:space="preserve">CerP(d40:1); PC(P-16:0/P-16:0)</t>
  </si>
  <si>
    <t xml:space="preserve">39582; 51214</t>
  </si>
  <si>
    <t xml:space="preserve">HMDB0010703; HMDB0011232</t>
  </si>
  <si>
    <t xml:space="preserve">41579; </t>
  </si>
  <si>
    <t xml:space="preserve">LMSP02050006; </t>
  </si>
  <si>
    <t xml:space="preserve">73138; </t>
  </si>
  <si>
    <t xml:space="preserve">5283585; 131801660</t>
  </si>
  <si>
    <t xml:space="preserve">[C@](COP(=O)(O)O)([H])(NC(CCCCCCCCCCCCCCCCCCCCC)=O)[C@]([H])(O)/C=C/CCCCCCCCCCCCC; [H][C@@](CO\C=C/CCCCCCCCCCCCCC)(COP([O-])(=O)OCC[N+](C)(C)C)O\C=C/CCCCCCCCCCCCCC</t>
  </si>
  <si>
    <t xml:space="preserve">ZRTZYMMYLZPKEQ-GLQCRSEXSA-N; VKQPPRFFLYKMPX-JIRBQVQQSA-N</t>
  </si>
  <si>
    <t xml:space="preserve">Sphingolipids; Glycerophospholipids</t>
  </si>
  <si>
    <t xml:space="preserve">Phosphosphingolipids; Glycerophosphocholines</t>
  </si>
  <si>
    <t xml:space="preserve">778.54565</t>
  </si>
  <si>
    <t xml:space="preserve">C44H76NO8P</t>
  </si>
  <si>
    <t xml:space="preserve">PC(36:6)</t>
  </si>
  <si>
    <t xml:space="preserve">18221</t>
  </si>
  <si>
    <t xml:space="preserve">HMDB0007892</t>
  </si>
  <si>
    <t xml:space="preserve">59342</t>
  </si>
  <si>
    <t xml:space="preserve">LMGP01010512</t>
  </si>
  <si>
    <t xml:space="preserve">86162</t>
  </si>
  <si>
    <t xml:space="preserve">24778639</t>
  </si>
  <si>
    <t xml:space="preserve">[C@](COP(=O)([O-])OCC[N+](C)(C)C)([H])(OC(CC/C=C\C/C=C\C/C=C\C/C=C\C/C=C\C/C=C\CC)=O)COC(CCCCCCCCCCCCC)=O</t>
  </si>
  <si>
    <t xml:space="preserve">HAIPHKFLSXSDAN-BLOCXYQCSA-N</t>
  </si>
  <si>
    <t xml:space="preserve">779.16135</t>
  </si>
  <si>
    <t xml:space="preserve">C36H36O17</t>
  </si>
  <si>
    <t xml:space="preserve">Isovitexin 2''-(6'''-(E)-p-coumaroylglucoside); Isovitexin 7-(6'''-(E)-p-coumaroylglucoside); Menthoside</t>
  </si>
  <si>
    <t xml:space="preserve">30364; 30420; 60927</t>
  </si>
  <si>
    <t xml:space="preserve">HMDB0301977; HMDB0301975; HMDB0037350</t>
  </si>
  <si>
    <t xml:space="preserve">; ; 92282</t>
  </si>
  <si>
    <t xml:space="preserve">LMPK12110271; LMPK12110327; </t>
  </si>
  <si>
    <t xml:space="preserve">100952216; 101227525; 131752174</t>
  </si>
  <si>
    <t xml:space="preserve">; ; 14637-28-6</t>
  </si>
  <si>
    <t xml:space="preserve">C1(C2C=CC(O)=CC=2)=CC(=O)C2C(O)=C([C@H]3[C@H](O[C@H]4[C@H](O)[C@@H](O)[C@H](O)[C@@H](COC(=O)/C=C/C5C=CC(O)=CC=5)O4)[C@@H](O)[C@H](O)[C@@H](CO)O3)C(O)=CC=2O1; C1(C2C=CC(O)=CC=2)=CC(=O)C2C(O)=C([C@H]3[C@H](O)[C@@H](O)[C@H](O)[C@@H](CO)O3)C(O[C@H]3[C@H](O)[C@@H](O)[C@H](O)[C@@H](COC(/C=C/C4C=CC(O)=CC=4)=O)O3)=CC=2O1; CC1OC(OCC2OC(OC3=CC(O)=C4C(=O)C=C(OC4=C3)C3=CC=C(OC(=O)\C=C\C4=CC(O)=C(O)C=C4)C=C3)C(O)C(O)C2O)C(O)C(O)C1O</t>
  </si>
  <si>
    <t xml:space="preserve">RECLDAGWBWVMCW-FLVHHGMVSA-N; NUFCZKSATPHTRO-RPWCKPLOSA-N; VFFCBWDFYBEZAX-YCRREMRBSA-N</t>
  </si>
  <si>
    <t xml:space="preserve">Flavonoids; Flavonoids; Flavonoids</t>
  </si>
  <si>
    <t xml:space="preserve">Flavonoid glycosides; Flavonoid glycosides; Flavonoid glycosides</t>
  </si>
  <si>
    <t xml:space="preserve">779.47487</t>
  </si>
  <si>
    <t xml:space="preserve">C22H34O5</t>
  </si>
  <si>
    <t xml:space="preserve">Annoglabasin F</t>
  </si>
  <si>
    <t xml:space="preserve">59373</t>
  </si>
  <si>
    <t xml:space="preserve">HMDB0035508</t>
  </si>
  <si>
    <t xml:space="preserve">85267262</t>
  </si>
  <si>
    <t xml:space="preserve">288627-12-3</t>
  </si>
  <si>
    <t xml:space="preserve">COC(=O)C1(CC23CC1CCC2C1(C)CCCC(C)(O)C1CC3)OC(C)=O</t>
  </si>
  <si>
    <t xml:space="preserve">XLXLWRGGUYSHOH-UHFFFAOYSA-N</t>
  </si>
  <si>
    <t xml:space="preserve">779.54734</t>
  </si>
  <si>
    <t xml:space="preserve">C48H74O8</t>
  </si>
  <si>
    <t xml:space="preserve">1,28-Octacosanediol diferulate</t>
  </si>
  <si>
    <t xml:space="preserve">61522</t>
  </si>
  <si>
    <t xml:space="preserve">HMDB0038065</t>
  </si>
  <si>
    <t xml:space="preserve">92836</t>
  </si>
  <si>
    <t xml:space="preserve">176317</t>
  </si>
  <si>
    <t xml:space="preserve">131752291</t>
  </si>
  <si>
    <t xml:space="preserve">COC1=C(O)C=C(\C=C\C(=O)OCCCCCCCCCCCCCCCCCCCCCCCCCCCCOC(=O)\C=C\C2=CC(O)=C(OC)C=C2)C=C1</t>
  </si>
  <si>
    <t xml:space="preserve">BNCYSRWQCKLMQU-QUTRQNJUSA-N</t>
  </si>
  <si>
    <t xml:space="preserve">780.16055</t>
  </si>
  <si>
    <t xml:space="preserve">C37H33N7O8</t>
  </si>
  <si>
    <t xml:space="preserve">Antibiotic CC 1065</t>
  </si>
  <si>
    <t xml:space="preserve">203563</t>
  </si>
  <si>
    <t xml:space="preserve">HMDB0248478</t>
  </si>
  <si>
    <t xml:space="preserve">136855990</t>
  </si>
  <si>
    <t xml:space="preserve">COC1=C2NC(=CC2=C2CCN(C(N)=O)C2=C1O)C(=O)N1CCC2=C3C=C(NC3=C(OC)C(O)=C12)C(=O)N1CC2CC22C1=CC(=O)C1=C2C(C)=CN1</t>
  </si>
  <si>
    <t xml:space="preserve">UOWVMDUEMSNCAV-UHFFFAOYSA-N</t>
  </si>
  <si>
    <t xml:space="preserve">780.55554</t>
  </si>
  <si>
    <t xml:space="preserve">C44H78NO8P</t>
  </si>
  <si>
    <t xml:space="preserve">DMPE(37:5); MMPE(38:5)</t>
  </si>
  <si>
    <t xml:space="preserve">134038; 133159</t>
  </si>
  <si>
    <t xml:space="preserve">HMDB0113935; HMDB0113056</t>
  </si>
  <si>
    <t xml:space="preserve">131821045; 131820171</t>
  </si>
  <si>
    <t xml:space="preserve">[H]C(COC(=O)CCCCCCCCCCCCCC)(COP(O)(=O)OCCN(C)C)OC(=O)CC\C=C/C\C=C/C\C=C/C\C=C/C\C=C/CCCCC; [H]C(COC(=O)CCCCCCCCCCCCCCC)(COP(O)(=O)OCCNC)OC(=O)CC\C=C/C\C=C/C\C=C/C\C=C/C\C=C/CCCCC</t>
  </si>
  <si>
    <t xml:space="preserve">DVVABFYQJDOWQT-NJSXSMRBSA-N; BQYSFFVQHVEQKA-WWNHDLEVSA-N</t>
  </si>
  <si>
    <t xml:space="preserve">781.15515</t>
  </si>
  <si>
    <t xml:space="preserve">C32H38O20</t>
  </si>
  <si>
    <t xml:space="preserve">Quercetin 3-O-xylosyl-rutinoside; Quercetin 3-(2Gal-apiosylrobinobioside)</t>
  </si>
  <si>
    <t xml:space="preserve">254785; 64501</t>
  </si>
  <si>
    <t xml:space="preserve">HMDB0301695; HMDB0041412</t>
  </si>
  <si>
    <t xml:space="preserve">; 74332620</t>
  </si>
  <si>
    <t xml:space="preserve">129235-39-8; 165880-62-6</t>
  </si>
  <si>
    <t xml:space="preserve">C[C@@H]1O[C@@H](OC[C@H]2O[C@@H](OC3=C(OC4=CC(O)=CC(O)=C4C3=O)C3=CC(O)=C(O)C=C3)[C@H](O)[C@@H](O)[C@@H]2O)[C@H](O)[C@H](O[C@@H]2O[C@H](CO)[C@H](O)[C@H]2O)[C@H]1O; CC1OC(OCC2OC(OC3=C(OC4=CC(O)=CC(O)=C4C3=O)C3=CC(O)=C(O)C=C3)C(OC3OCC(O)(CO)C3O)C(O)C2O)C(O)C(O)C1O</t>
  </si>
  <si>
    <t xml:space="preserve">OTJNWGOABNCTOZ-JKVIJXOGSA-N; UPVDFUGORYNXMW-UHFFFAOYSA-N</t>
  </si>
  <si>
    <t xml:space="preserve">782.57231</t>
  </si>
  <si>
    <t xml:space="preserve">C44H80NO8P</t>
  </si>
  <si>
    <t xml:space="preserve">PC(36:4)</t>
  </si>
  <si>
    <t xml:space="preserve">18637</t>
  </si>
  <si>
    <t xml:space="preserve">HMDB0007889</t>
  </si>
  <si>
    <t xml:space="preserve">59339</t>
  </si>
  <si>
    <t xml:space="preserve">LMGP01011378</t>
  </si>
  <si>
    <t xml:space="preserve">89514</t>
  </si>
  <si>
    <t xml:space="preserve">52922238</t>
  </si>
  <si>
    <t xml:space="preserve">[C@](COP(=O)([O-])OCC[N+](C)(C)C)([H])(OC(CCCCC/C=C\C/C=C\C/C=C\C/C=C\CCCCC)=O)COC(CCCCCCCCCCCCC)=O</t>
  </si>
  <si>
    <t xml:space="preserve">UDOCLKXJVMJFLD-CCHOKCMJSA-N</t>
  </si>
  <si>
    <t xml:space="preserve">785.46306</t>
  </si>
  <si>
    <t xml:space="preserve">C41H68O14</t>
  </si>
  <si>
    <t xml:space="preserve">Astragaloside A; Astragaloside III; Hoduloside VI</t>
  </si>
  <si>
    <t xml:space="preserve">198969; 203723; 63801</t>
  </si>
  <si>
    <t xml:space="preserve">HMDB0242537; HMDB0248674; HMDB0040658</t>
  </si>
  <si>
    <t xml:space="preserve">; ; 95136</t>
  </si>
  <si>
    <t xml:space="preserve">500122; 4483250; 131752892</t>
  </si>
  <si>
    <t xml:space="preserve">; ; 154971-10-5</t>
  </si>
  <si>
    <t xml:space="preserve">CC(C)(O)C1CCC(C)(O1)C1C(O)CC2(C)C3CC(OC4OC(CO)C(O)C(O)C4O)C4C5(CC35CCC12C)CCC(OC1OCC(O)C(O)C1O)C4(C)C; CC(C)(O)C1CCC(C)(O1)C1C(O)CC2(C)C3CC(O)C4C5(CC35CCC12C)CCC(OC1OCC(O)C(O)C1OC1OC(CO)C(O)C(O)C1O)C4(C)C; CC(C)(O)\C=C\CC(C)(O)C1C2CCC3C4(C)CCC(OC5OCC(O)C(O)C5O)C(C)(C)C4CCC3(C)C2(COC2OC(CO)C(O)C(O)C2O)CC1=O</t>
  </si>
  <si>
    <t xml:space="preserve">QMNWISYXSJWHRY-UHFFFAOYSA-N; FVFSMBDVZVUETN-UHFFFAOYSA-N; VBKOGDDRGMIPNJ-MDWZMJQESA-N</t>
  </si>
  <si>
    <t xml:space="preserve">Steroids and steroid derivatives; Steroids and steroid derivatives; Prenol lipids</t>
  </si>
  <si>
    <t xml:space="preserve">Steroidal glycosides; Steroidal glycosides; Triterpenoids</t>
  </si>
  <si>
    <t xml:space="preserve">785.58247</t>
  </si>
  <si>
    <t xml:space="preserve">C45H88O5</t>
  </si>
  <si>
    <t xml:space="preserve">DG(42:0)</t>
  </si>
  <si>
    <t xml:space="preserve">49045</t>
  </si>
  <si>
    <t xml:space="preserve">HMDB0007180</t>
  </si>
  <si>
    <t xml:space="preserve">58762</t>
  </si>
  <si>
    <t xml:space="preserve">53478055</t>
  </si>
  <si>
    <t xml:space="preserve">[H][C@](CO)(COC(=O)CCCCCCCCCCCCCCCCC)OC(=O)CCCCCCCCCCCCCCCCCCCCCCC</t>
  </si>
  <si>
    <t xml:space="preserve">VUCBBMHKAJGVCH-QLKFWGTOSA-N</t>
  </si>
  <si>
    <t xml:space="preserve">786.50373</t>
  </si>
  <si>
    <t xml:space="preserve">C45H72NO8P</t>
  </si>
  <si>
    <t xml:space="preserve">PE(40:9)</t>
  </si>
  <si>
    <t xml:space="preserve">20398</t>
  </si>
  <si>
    <t xml:space="preserve">HMDB0009144</t>
  </si>
  <si>
    <t xml:space="preserve">60551</t>
  </si>
  <si>
    <t xml:space="preserve">LMGP02010709</t>
  </si>
  <si>
    <t xml:space="preserve">52924410</t>
  </si>
  <si>
    <t xml:space="preserve">[C@](COP(=O)(O)OCCN)([H])(OC(CC/C=C\C/C=C\C/C=C\C/C=C\C/C=C\C/C=C\CC)=O)COC(CCCC/C=C\C/C=C\C/C=C\CCCCC)=O</t>
  </si>
  <si>
    <t xml:space="preserve">ONSVAFNPEAEPSP-CPUBONDHSA-N</t>
  </si>
  <si>
    <t xml:space="preserve">787.50405</t>
  </si>
  <si>
    <t xml:space="preserve">C43H72O11</t>
  </si>
  <si>
    <t xml:space="preserve">Narasin</t>
  </si>
  <si>
    <t xml:space="preserve">55263</t>
  </si>
  <si>
    <t xml:space="preserve">HMDB0030448</t>
  </si>
  <si>
    <t xml:space="preserve">852738</t>
  </si>
  <si>
    <t xml:space="preserve">4264204</t>
  </si>
  <si>
    <t xml:space="preserve">55134-13-9</t>
  </si>
  <si>
    <t xml:space="preserve">CCC(C1OC(C(C)C(O)C(C)C(=O)C(CC)C2OC3(OC4(CCC(C)(O4)C4CCC(O)(CC)C(C)O4)C(O)C=C3)C(C)CC2C)C(C)CC1C)C(O)=O</t>
  </si>
  <si>
    <t xml:space="preserve">VHKXXVVRRDYCIK-UHFFFAOYSA-N</t>
  </si>
  <si>
    <t xml:space="preserve">788.61735</t>
  </si>
  <si>
    <t xml:space="preserve">C44H86NO8P</t>
  </si>
  <si>
    <t xml:space="preserve">PE(39:1)</t>
  </si>
  <si>
    <t xml:space="preserve">49958</t>
  </si>
  <si>
    <t xml:space="preserve">HMDB0008915</t>
  </si>
  <si>
    <t xml:space="preserve">60358</t>
  </si>
  <si>
    <t xml:space="preserve">53479582</t>
  </si>
  <si>
    <t xml:space="preserve">[H][C@@](COC(=O)CCCCCCCCCCCCCC)(COP(O)(=O)OCCN)OC(=O)CCCCCCCCCCCCC\C=C/CCCCCCCC</t>
  </si>
  <si>
    <t xml:space="preserve">BKEXQZFCWMPQBK-IVWGLPAOSA-N</t>
  </si>
  <si>
    <t xml:space="preserve">789.53931</t>
  </si>
  <si>
    <t xml:space="preserve">C44H70N8O6</t>
  </si>
  <si>
    <t xml:space="preserve">Inhibitor CC</t>
  </si>
  <si>
    <t xml:space="preserve">213475</t>
  </si>
  <si>
    <t xml:space="preserve">HMDB0260354</t>
  </si>
  <si>
    <t xml:space="preserve">CC(C)C(NC(=O)N(C)CC1=CC=CC=N1)C(=O)NC(CC1CCCCC1)C(O)C(O)C(CC1CCCCC1)NC(=O)C(NC(=O)N(C)CC1=CC=CC=N1)C(C)C</t>
  </si>
  <si>
    <t xml:space="preserve">GOFBMDJZIXCQGV-UHFFFAOYSA-N</t>
  </si>
  <si>
    <t xml:space="preserve">789.62160</t>
  </si>
  <si>
    <t xml:space="preserve">C24H42O4</t>
  </si>
  <si>
    <t xml:space="preserve">Methyl-[12]-gingerdiol</t>
  </si>
  <si>
    <t xml:space="preserve">255996</t>
  </si>
  <si>
    <t xml:space="preserve">HMDB0303110</t>
  </si>
  <si>
    <t xml:space="preserve">86196543</t>
  </si>
  <si>
    <t xml:space="preserve">CCCCCCCCCCCC(O)CC(O)CCC1=CC(OC)=C(OC)C=C1</t>
  </si>
  <si>
    <t xml:space="preserve">JPTWXRLYILAXIR-UHFFFAOYSA-N</t>
  </si>
  <si>
    <t xml:space="preserve">791.53059</t>
  </si>
  <si>
    <t xml:space="preserve">C45H74O11</t>
  </si>
  <si>
    <t xml:space="preserve">Oligomycin</t>
  </si>
  <si>
    <t xml:space="preserve">209858</t>
  </si>
  <si>
    <t xml:space="preserve">HMDB0255952</t>
  </si>
  <si>
    <t xml:space="preserve">4591</t>
  </si>
  <si>
    <t xml:space="preserve">CCC1CCC2OC3(CCC(C)C(CC(C)O)O3)C(C)C(OC(=O)C=CC(C)C(O)C(C)C(=O)C(C)C(O)C(C)C(=O)C(C)(O)C(O)C(C)CC=CC=C1)C2C</t>
  </si>
  <si>
    <t xml:space="preserve">MNULEGDCPYONBU-UHFFFAOYSA-N</t>
  </si>
  <si>
    <t xml:space="preserve">792.49587</t>
  </si>
  <si>
    <t xml:space="preserve">C38H65N9O9</t>
  </si>
  <si>
    <t xml:space="preserve">Conglutinin</t>
  </si>
  <si>
    <t xml:space="preserve">256269</t>
  </si>
  <si>
    <t xml:space="preserve">HMDB0303395</t>
  </si>
  <si>
    <t xml:space="preserve">197287</t>
  </si>
  <si>
    <t xml:space="preserve">CCC(C)C(NC=O)C(=O)NC1C(C)OC(=O)C2CCCNN2C(=O)C(CC(C)C)NC(=O)C2CCCNN2C(=O)C(NC(=O)C(CC(C)C)NC1=O)C(C)C</t>
  </si>
  <si>
    <t xml:space="preserve">QCUFYOBGGZSFHY-UHFFFAOYSA-N</t>
  </si>
  <si>
    <t xml:space="preserve">793.50098</t>
  </si>
  <si>
    <t xml:space="preserve">C44H73O10P</t>
  </si>
  <si>
    <t xml:space="preserve">PG(38:7)</t>
  </si>
  <si>
    <t xml:space="preserve">23376</t>
  </si>
  <si>
    <t xml:space="preserve">HMDB0010599</t>
  </si>
  <si>
    <t xml:space="preserve">61874</t>
  </si>
  <si>
    <t xml:space="preserve">LMGP04010898</t>
  </si>
  <si>
    <t xml:space="preserve">52927163</t>
  </si>
  <si>
    <t xml:space="preserve">[H][C@](O)(CO)COP(OC[C@]([H])(OC(CC/C=C\C/C=C\C/C=C\C/C=C\C/C=C\C/C=C\CC)=O)COC(CCCCCCC/C=C\CCCCCC)=O)(=O)O</t>
  </si>
  <si>
    <t xml:space="preserve">BRJYLBKRWAAAEC-BHJRESQJSA-N</t>
  </si>
  <si>
    <t xml:space="preserve">794.51443</t>
  </si>
  <si>
    <t xml:space="preserve">C47H74NO8P</t>
  </si>
  <si>
    <t xml:space="preserve">PE(42:10)</t>
  </si>
  <si>
    <t xml:space="preserve">20650</t>
  </si>
  <si>
    <t xml:space="preserve">HMDB0009408</t>
  </si>
  <si>
    <t xml:space="preserve">60804</t>
  </si>
  <si>
    <t xml:space="preserve">LMGP02010961</t>
  </si>
  <si>
    <t xml:space="preserve">52924662</t>
  </si>
  <si>
    <t xml:space="preserve">[C@](COP(=O)(O)OCCN)([H])(OC(CC/C=C\C/C=C\C/C=C\C/C=C\C/C=C\C/C=C\CC)=O)COC(CCC/C=C\C/C=C\C/C=C\C/C=C\CCCCC)=O</t>
  </si>
  <si>
    <t xml:space="preserve">KXAGMEXWNHUIQR-OOPACUNWSA-N</t>
  </si>
  <si>
    <t xml:space="preserve">795.51198</t>
  </si>
  <si>
    <t xml:space="preserve">C42H77O10P</t>
  </si>
  <si>
    <t xml:space="preserve">PG(36:3)</t>
  </si>
  <si>
    <t xml:space="preserve">51087</t>
  </si>
  <si>
    <t xml:space="preserve">HMDB0010578</t>
  </si>
  <si>
    <t xml:space="preserve">61854</t>
  </si>
  <si>
    <t xml:space="preserve">89227</t>
  </si>
  <si>
    <t xml:space="preserve">53480603</t>
  </si>
  <si>
    <t xml:space="preserve">[H][C@](O)(CO)COP(O)(=O)OC[C@@]([H])(COC(=O)CCCCCCCCCCCCCCC)OC(=O)CCC\C=C/C\C=C/C\C=C/CCCCCCCC</t>
  </si>
  <si>
    <t xml:space="preserve">NDGDVGUDTIGKCF-PSQQFKKASA-N</t>
  </si>
  <si>
    <t xml:space="preserve">796.53216</t>
  </si>
  <si>
    <t xml:space="preserve">C45H76NO7P</t>
  </si>
  <si>
    <t xml:space="preserve">PE(22:7)</t>
  </si>
  <si>
    <t xml:space="preserve">50363</t>
  </si>
  <si>
    <t xml:space="preserve">HMDB0009710</t>
  </si>
  <si>
    <t xml:space="preserve">61098</t>
  </si>
  <si>
    <t xml:space="preserve">53479985</t>
  </si>
  <si>
    <t xml:space="preserve">[H][C@@](COC(=O)CC\C=C/C\C=C/C\C=C/C\C=C/C\C=C/C\C=C/CC)(COP(O)(=O)OCCN)O\C=C/CCCCCCCC\C=C/CCCCCC</t>
  </si>
  <si>
    <t xml:space="preserve">VMCLUUPLLQFCRY-VJIHGULMSA-N</t>
  </si>
  <si>
    <t xml:space="preserve">801.04482</t>
  </si>
  <si>
    <t xml:space="preserve">C14H16ClN3O4S2</t>
  </si>
  <si>
    <t xml:space="preserve">Cyclothiazide</t>
  </si>
  <si>
    <t xml:space="preserve">52930</t>
  </si>
  <si>
    <t xml:space="preserve">HMDB0014744</t>
  </si>
  <si>
    <t xml:space="preserve">69471</t>
  </si>
  <si>
    <t xml:space="preserve">C12685</t>
  </si>
  <si>
    <t xml:space="preserve">31448</t>
  </si>
  <si>
    <t xml:space="preserve">2259-96-3</t>
  </si>
  <si>
    <t xml:space="preserve">NS(=O)(=O)C1=C(Cl)C=C2NC(NS(=O)(=O)C2=C1)C1CC2CC1C=C2</t>
  </si>
  <si>
    <t xml:space="preserve">BOCUKUHCLICSIY-UHFFFAOYSA-N</t>
  </si>
  <si>
    <t xml:space="preserve">Thiadiazines</t>
  </si>
  <si>
    <t xml:space="preserve">Benzothiadiazines</t>
  </si>
  <si>
    <t xml:space="preserve">802.48235</t>
  </si>
  <si>
    <t xml:space="preserve">C43H74NO8P</t>
  </si>
  <si>
    <t xml:space="preserve">PE(38:6)</t>
  </si>
  <si>
    <t xml:space="preserve">19955</t>
  </si>
  <si>
    <t xml:space="preserve">HMDB0008946</t>
  </si>
  <si>
    <t xml:space="preserve">40494</t>
  </si>
  <si>
    <t xml:space="preserve">LMGP02010095</t>
  </si>
  <si>
    <t xml:space="preserve">78261</t>
  </si>
  <si>
    <t xml:space="preserve">9546799</t>
  </si>
  <si>
    <t xml:space="preserve">[C@](COP(=O)(O)OCCN)([H])(OC(CC/C=C\C/C=C\C/C=C\C/C=C\C/C=C\C/C=C\CC)=O)COC(CCCCCCCCCCCCCCC)=O</t>
  </si>
  <si>
    <t xml:space="preserve">MPWUZHVZZKSTPV-MADBQMNMSA-N</t>
  </si>
  <si>
    <t xml:space="preserve">803.05370</t>
  </si>
  <si>
    <t xml:space="preserve">C10H11N6O9P</t>
  </si>
  <si>
    <t xml:space="preserve">8-Nitro-cGMP</t>
  </si>
  <si>
    <t xml:space="preserve">202683</t>
  </si>
  <si>
    <t xml:space="preserve">HMDB0247452</t>
  </si>
  <si>
    <t xml:space="preserve">11854256</t>
  </si>
  <si>
    <t xml:space="preserve">NC1=NC2=C(N=C(N2C2OC3COP(O)(=O)OC3C2O)[N+]([O-])=O)C(=O)N1</t>
  </si>
  <si>
    <t xml:space="preserve">XRKODJJSPSPDGM-UHFFFAOYSA-N</t>
  </si>
  <si>
    <t xml:space="preserve">803.48668</t>
  </si>
  <si>
    <t xml:space="preserve">C38H76O13P2</t>
  </si>
  <si>
    <t xml:space="preserve">PGP(32:0)</t>
  </si>
  <si>
    <t xml:space="preserve">52287</t>
  </si>
  <si>
    <t xml:space="preserve">HMDB0013472</t>
  </si>
  <si>
    <t xml:space="preserve">136773</t>
  </si>
  <si>
    <t xml:space="preserve">49859598</t>
  </si>
  <si>
    <t xml:space="preserve">[H][C@](O)(COP(O)(O)=O)COP(O)(=O)OC[C@@]([H])(COC(=O)CCCCCCCCCCCCCCC)OC(=O)CCCCCCCCCCCCCCC</t>
  </si>
  <si>
    <t xml:space="preserve">ONJBJMDJKLHMEK-MPQUPPDSSA-N</t>
  </si>
  <si>
    <t xml:space="preserve">805.05390</t>
  </si>
  <si>
    <t xml:space="preserve">C34H22O22</t>
  </si>
  <si>
    <t xml:space="preserve">Emblicanin A</t>
  </si>
  <si>
    <t xml:space="preserve">55252</t>
  </si>
  <si>
    <t xml:space="preserve">HMDB0030437</t>
  </si>
  <si>
    <t xml:space="preserve">86978</t>
  </si>
  <si>
    <t xml:space="preserve">9810915</t>
  </si>
  <si>
    <t xml:space="preserve">180465-44-5</t>
  </si>
  <si>
    <t xml:space="preserve">OC1=CC(=CC(O)=C1O)C(=O)OC1=C(OC(=O)C2=CC(O)=C(O)C(O)=C2)C(=O)OC2COC(=O)C3=C(C(O)=C(O)C(O)=C3)C3=C(O)C(O)=C(O)C=C3C(=O)OC12</t>
  </si>
  <si>
    <t xml:space="preserve">UEHSSTYZXFBDNL-UHFFFAOYSA-N</t>
  </si>
  <si>
    <t xml:space="preserve">Hydrolyzable tannins</t>
  </si>
  <si>
    <t xml:space="preserve">807.06537</t>
  </si>
  <si>
    <t xml:space="preserve">C34H24O22</t>
  </si>
  <si>
    <t xml:space="preserve">Pedunculagin; Castanin; Granatin A</t>
  </si>
  <si>
    <t xml:space="preserve">210072; 62532; 62558</t>
  </si>
  <si>
    <t xml:space="preserve">HMDB0256194; HMDB0039245; HMDB0039271</t>
  </si>
  <si>
    <t xml:space="preserve">; ; 93860</t>
  </si>
  <si>
    <t xml:space="preserve">492391; 131752587; 131752596</t>
  </si>
  <si>
    <t xml:space="preserve">; 115406-24-1; 73683-70-2</t>
  </si>
  <si>
    <t xml:space="preserve">OC1OC2COC(=O)C3=C(C(O)=C(O)C(O)=C3)C3=C(C=C(O)C(O)=C3O)C(=O)OC2C2OC(=O)C3=CC(O)=C(O)C(O)=C3C3=C(O)C(O)=C(O)C=C3C(=O)OC12; OC1C2OC(=O)C3=C1C(O)=C(O)C(O)=C3C1=C(O)C(O)=C(O)C=C1C(=O)OC2C1OC(=O)C2=CC(O)=C(O)C(O)=C2C2=C(O)C(O)=C(O)C(=C2)C(=O)OCC1O; OC1C2OC(=O)C3=CC(O)=C(O)C4=C3C3C(=CC(=O)C(O)(O4)C3(O)O)C(=O)OC1C1OC2COC(=O)C2=C(C(O)=C(O)C(O)=C2)C2=C(O)C(O)=C(O)C=C2C1=O</t>
  </si>
  <si>
    <t xml:space="preserve">IYMHVUYNBVWXKH-UHFFFAOYSA-N; ULOZLJUAARUDHM-UHFFFAOYSA-N; BEAQEKRAXFQCBO-UHFFFAOYSA-N</t>
  </si>
  <si>
    <t xml:space="preserve">Tannins; Tannins; Tannins</t>
  </si>
  <si>
    <t xml:space="preserve">Hydrolyzable tannins; Hydrolyzable tannins; Hydrolyzable tannins</t>
  </si>
  <si>
    <t xml:space="preserve">809.59214</t>
  </si>
  <si>
    <t xml:space="preserve">C44H87N2O6P</t>
  </si>
  <si>
    <t xml:space="preserve">SM(d16:2(4E,8Z)/23:0)</t>
  </si>
  <si>
    <t xml:space="preserve">197286</t>
  </si>
  <si>
    <t xml:space="preserve">HMDB0240676</t>
  </si>
  <si>
    <t xml:space="preserve">[H][C@@](COP([O-])(=O)OCC[N+](C)(C)C)(NC(=O)CCCCCCCCCCCCCCCCCCCCCC)[C@H](O)\C=C\CC\C=C/CCCCCCC</t>
  </si>
  <si>
    <t xml:space="preserve">JYPZVCRIOLDTRS-IRHSJSGNSA-N</t>
  </si>
  <si>
    <t xml:space="preserve">810.40757</t>
  </si>
  <si>
    <t xml:space="preserve">C39H65NO14</t>
  </si>
  <si>
    <t xml:space="preserve">Leucomycin a5</t>
  </si>
  <si>
    <t xml:space="preserve">208254</t>
  </si>
  <si>
    <t xml:space="preserve">HMDB0254036</t>
  </si>
  <si>
    <t xml:space="preserve">73981762</t>
  </si>
  <si>
    <t xml:space="preserve">CCCC(=O)OC1C(C)OC(CC1(C)O)OC1C(C)OC(OC2C(CC=O)CC(C)C(O)C=CC=CCC(C)OC(=O)CC(O)C2OC)C(O)C1N(C)C</t>
  </si>
  <si>
    <t xml:space="preserve">JZVYPSLDMXOITF-UHFFFAOYSA-N</t>
  </si>
  <si>
    <t xml:space="preserve">811.61081</t>
  </si>
  <si>
    <t xml:space="preserve">C44H89N2O6P</t>
  </si>
  <si>
    <t xml:space="preserve">SM(d17:1/22:0); SM(d39:1)</t>
  </si>
  <si>
    <t xml:space="preserve">39644; 39645</t>
  </si>
  <si>
    <t xml:space="preserve">HMDB0240621; HMDB0240611</t>
  </si>
  <si>
    <t xml:space="preserve">83766; 83767</t>
  </si>
  <si>
    <t xml:space="preserve">LMSP03010066; LMSP03010067</t>
  </si>
  <si>
    <t xml:space="preserve">136275; 84484</t>
  </si>
  <si>
    <t xml:space="preserve">52931191; 52931193</t>
  </si>
  <si>
    <t xml:space="preserve">121999-70-0; 121999-71-1</t>
  </si>
  <si>
    <t xml:space="preserve">[C@](COP(=O)([O-])OCC[N+](C)(C)C)([H])(NC(CCCCCCCCCCCCCCCCCCCCC)=O)[C@]([H])(O)/C=C/CCCCCCCCCCCC; [C@](COP(=O)([O-])OCC[N+](C)(C)C)([H])(NC(CCCCCCCCCCCCCCCCCCCC)=O)[C@]([H])(O)/C=C/CCCCCCCCCCCCC</t>
  </si>
  <si>
    <t xml:space="preserve">BEHLQMQPYDCEFC-QVDCKBILSA-N; YXSZOBWVQJIWNE-QVDCKBILSA-N</t>
  </si>
  <si>
    <t xml:space="preserve">Organic nitrogen compounds; Lipids and lipid-like molecules</t>
  </si>
  <si>
    <t xml:space="preserve">Organonitrogen compounds; Sphingolipids</t>
  </si>
  <si>
    <t xml:space="preserve">Quaternary ammonium salts; Phosphosphingolipids</t>
  </si>
  <si>
    <t xml:space="preserve">813.04313</t>
  </si>
  <si>
    <t xml:space="preserve">C10H17N3O9S2</t>
  </si>
  <si>
    <t xml:space="preserve">2-Amino-5-[[1-[carboxymethyl(sulfo)amino]-1-oxo-3-sulfanylpropan-2-yl]amino]-5-oxopentanoic acid</t>
  </si>
  <si>
    <t xml:space="preserve">211316</t>
  </si>
  <si>
    <t xml:space="preserve">HMDB0257661</t>
  </si>
  <si>
    <t xml:space="preserve">54398503</t>
  </si>
  <si>
    <t xml:space="preserve">NC(CCC(=O)NC(CS)C(=O)N(CC(O)=O)S(O)(=O)=O)C(O)=O</t>
  </si>
  <si>
    <t xml:space="preserve">VLSLPWKXPMKTLB-UHFFFAOYSA-N</t>
  </si>
  <si>
    <t xml:space="preserve">813.53534</t>
  </si>
  <si>
    <t xml:space="preserve">C52H80O2</t>
  </si>
  <si>
    <t xml:space="preserve">2-methyl-6-solanyl-1,4-benzoquinol</t>
  </si>
  <si>
    <t xml:space="preserve">256904</t>
  </si>
  <si>
    <t xml:space="preserve">HMDB0304078</t>
  </si>
  <si>
    <t xml:space="preserve">64000</t>
  </si>
  <si>
    <t xml:space="preserve">C17570</t>
  </si>
  <si>
    <t xml:space="preserve">75402</t>
  </si>
  <si>
    <t xml:space="preserve">44237185</t>
  </si>
  <si>
    <t xml:space="preserve">CC(C)=CCC\C(C)=C\CC\C(C)=C\CC\C(C)=C\CC\C(C)=C\CC\C(C)=C\CC\C(C)=C\CC\C(C)=C\CC\C(C)=C\CC1=CC(O)=CC(C)=C1O</t>
  </si>
  <si>
    <t xml:space="preserve">SWKACZQJGXABCN-JSGWLJPKSA-N</t>
  </si>
  <si>
    <t xml:space="preserve">813.62781</t>
  </si>
  <si>
    <t xml:space="preserve">C27H41NO</t>
  </si>
  <si>
    <t xml:space="preserve">Solasodiene</t>
  </si>
  <si>
    <t xml:space="preserve">255878</t>
  </si>
  <si>
    <t xml:space="preserve">HMDB0302982</t>
  </si>
  <si>
    <t xml:space="preserve">495009</t>
  </si>
  <si>
    <t xml:space="preserve">CC1C2C(CC3C4CC=C5C=CCCC5(C)C4CCC23C)OC11CCC(C)CN1</t>
  </si>
  <si>
    <t xml:space="preserve">OYNIUJOJEWHJPN-UHFFFAOYSA-N</t>
  </si>
  <si>
    <t xml:space="preserve">814.54007</t>
  </si>
  <si>
    <t xml:space="preserve">C47H76NO8P</t>
  </si>
  <si>
    <t xml:space="preserve">PE(42:9)</t>
  </si>
  <si>
    <t xml:space="preserve">50146</t>
  </si>
  <si>
    <t xml:space="preserve">HMDB0009342</t>
  </si>
  <si>
    <t xml:space="preserve">60738</t>
  </si>
  <si>
    <t xml:space="preserve">53479768</t>
  </si>
  <si>
    <t xml:space="preserve">[H][C@@](COC(=O)CCC\C=C/C\C=C/C\C=C/CCCCCCCC)(COP(O)(=O)OCCN)OC(=O)CC\C=C/C\C=C/C\C=C/C\C=C/C\C=C/C\C=C/CC</t>
  </si>
  <si>
    <t xml:space="preserve">UODILDGVDBUDJO-MJSTXWNFSA-N</t>
  </si>
  <si>
    <t xml:space="preserve">814.63620</t>
  </si>
  <si>
    <t xml:space="preserve">C46H88NO8P</t>
  </si>
  <si>
    <t xml:space="preserve">PC(38:2)</t>
  </si>
  <si>
    <t xml:space="preserve">49573</t>
  </si>
  <si>
    <t xml:space="preserve">HMDB0007927</t>
  </si>
  <si>
    <t xml:space="preserve">59377</t>
  </si>
  <si>
    <t xml:space="preserve">53478637</t>
  </si>
  <si>
    <t xml:space="preserve">CCCCCCCC\C=C/CCCCCCCCCCCCCC(=O)O[C@]([H])(COC(=O)CCCCCCC\C=C/CCCC)COP([O-])(=O)OCC[N+](C)(C)C</t>
  </si>
  <si>
    <t xml:space="preserve">ODKRDLFMXDISEG-BERHWORVSA-N</t>
  </si>
  <si>
    <t xml:space="preserve">815.05523</t>
  </si>
  <si>
    <t xml:space="preserve">C35H30O18</t>
  </si>
  <si>
    <t xml:space="preserve">Prunin 4'',6''-di-O-gallate</t>
  </si>
  <si>
    <t xml:space="preserve">57862</t>
  </si>
  <si>
    <t xml:space="preserve">HMDB0033652</t>
  </si>
  <si>
    <t xml:space="preserve">89451</t>
  </si>
  <si>
    <t xml:space="preserve">74819374</t>
  </si>
  <si>
    <t xml:space="preserve">OC1C(O)C(OC(=O)C2=CC(O)=C(O)C(O)=C2)C(COC(=O)C2=CC(O)=C(O)C(O)=C2)OC1OC1=CC(O)=C2C(=O)CC(OC2=C1)C1=CC=C(O)C=C1</t>
  </si>
  <si>
    <t xml:space="preserve">ZSOGABTVFMGBCT-UHFFFAOYSA-N</t>
  </si>
  <si>
    <t xml:space="preserve">815.54230</t>
  </si>
  <si>
    <t xml:space="preserve">C23H38ClN3O</t>
  </si>
  <si>
    <t xml:space="preserve">Disobutamide</t>
  </si>
  <si>
    <t xml:space="preserve">206100</t>
  </si>
  <si>
    <t xml:space="preserve">HMDB0251478</t>
  </si>
  <si>
    <t xml:space="preserve">68566</t>
  </si>
  <si>
    <t xml:space="preserve">CC(C)N(CCC(CCN1CCCCC1)(C(N)=O)C1=CC=CC=C1Cl)C(C)C</t>
  </si>
  <si>
    <t xml:space="preserve">YKFWMDHZMQLWBO-UHFFFAOYSA-N</t>
  </si>
  <si>
    <t xml:space="preserve">816.57052</t>
  </si>
  <si>
    <t xml:space="preserve">C44H82NO10P</t>
  </si>
  <si>
    <t xml:space="preserve">PS(38:2)</t>
  </si>
  <si>
    <t xml:space="preserve">132682</t>
  </si>
  <si>
    <t xml:space="preserve">HMDB0112292</t>
  </si>
  <si>
    <t xml:space="preserve">131819702</t>
  </si>
  <si>
    <t xml:space="preserve">[H][C@](N)(COP(O)(=O)OC[C@@]([H])(COC(=O)CCCCCCC\C=C/CCCC)OC(=O)CCCCCCCCCCCCC\C=C/CCCCCCCC)C(O)=O</t>
  </si>
  <si>
    <t xml:space="preserve">UOIREORWDLQXSA-PNWDAASZSA-N</t>
  </si>
  <si>
    <t xml:space="preserve">817.05439</t>
  </si>
  <si>
    <t xml:space="preserve">C11H19NO10S2</t>
  </si>
  <si>
    <t xml:space="preserve">Progoitrin</t>
  </si>
  <si>
    <t xml:space="preserve">58177</t>
  </si>
  <si>
    <t xml:space="preserve">HMDB0034071</t>
  </si>
  <si>
    <t xml:space="preserve">C08425</t>
  </si>
  <si>
    <t xml:space="preserve">8454</t>
  </si>
  <si>
    <t xml:space="preserve">12309644</t>
  </si>
  <si>
    <t xml:space="preserve">585-95-5</t>
  </si>
  <si>
    <t xml:space="preserve">OCC1OC(S\C(CC(O)C=C)=N\OS(O)(=O)=O)C(O)C(O)C1O</t>
  </si>
  <si>
    <t xml:space="preserve">MYHSVHWQEVDFQT-KPKJPENVSA-N</t>
  </si>
  <si>
    <t xml:space="preserve">817.48124</t>
  </si>
  <si>
    <t xml:space="preserve">C20H39NO4S</t>
  </si>
  <si>
    <t xml:space="preserve">Oleoyltaurine</t>
  </si>
  <si>
    <t xml:space="preserve">8658</t>
  </si>
  <si>
    <t xml:space="preserve">HMDB0242113</t>
  </si>
  <si>
    <t xml:space="preserve">44908</t>
  </si>
  <si>
    <t xml:space="preserve">LMFA08020081</t>
  </si>
  <si>
    <t xml:space="preserve">146206</t>
  </si>
  <si>
    <t xml:space="preserve">6437033</t>
  </si>
  <si>
    <t xml:space="preserve">52514-04-2</t>
  </si>
  <si>
    <t xml:space="preserve">N(CCS(O)(=O)=O)C(CCCCCCC/C=C\CCCCCCCC)=O</t>
  </si>
  <si>
    <t xml:space="preserve">KOGRJTUIKPMZEJ-KTKRTIGZSA-N</t>
  </si>
  <si>
    <t xml:space="preserve">820.53030</t>
  </si>
  <si>
    <t xml:space="preserve">C45H78NO7P</t>
  </si>
  <si>
    <t xml:space="preserve">PE(22:6)</t>
  </si>
  <si>
    <t xml:space="preserve">50318</t>
  </si>
  <si>
    <t xml:space="preserve">HMDB0009644</t>
  </si>
  <si>
    <t xml:space="preserve">61033</t>
  </si>
  <si>
    <t xml:space="preserve">53479940</t>
  </si>
  <si>
    <t xml:space="preserve">[H][C@@](COC(=O)CC\C=C/C\C=C/C\C=C/C\C=C/C\C=C/CCCCC)(COP(O)(=O)OCCN)O\C=C/CCCCCCCC\C=C/CCCCCC</t>
  </si>
  <si>
    <t xml:space="preserve">CDUOVOWUHCCKIY-RCWWZEBWSA-N</t>
  </si>
  <si>
    <t xml:space="preserve">822.53750</t>
  </si>
  <si>
    <t xml:space="preserve">C44H82NO8P</t>
  </si>
  <si>
    <t xml:space="preserve">PC(36:3)</t>
  </si>
  <si>
    <t xml:space="preserve">18665</t>
  </si>
  <si>
    <t xml:space="preserve">HMDB0007921</t>
  </si>
  <si>
    <t xml:space="preserve">59371</t>
  </si>
  <si>
    <t xml:space="preserve">LMGP01011406</t>
  </si>
  <si>
    <t xml:space="preserve">52922294</t>
  </si>
  <si>
    <t xml:space="preserve">[C@](COP(=O)([O-])OCC[N+](C)(C)C)([H])(OC(CCCCCCCCCCC/C=C\C/C=C\CCCCC)=O)COC(CCCCCCC/C=C\CCCC)=O</t>
  </si>
  <si>
    <t xml:space="preserve">LMYYUVAVNWPEPG-GXAHKNHCSA-N</t>
  </si>
  <si>
    <t xml:space="preserve">824.56051</t>
  </si>
  <si>
    <t xml:space="preserve">C44H84NO8P</t>
  </si>
  <si>
    <t xml:space="preserve">PC(36:2)</t>
  </si>
  <si>
    <t xml:space="preserve">18403</t>
  </si>
  <si>
    <t xml:space="preserve">HMDB0000593</t>
  </si>
  <si>
    <t xml:space="preserve">102731</t>
  </si>
  <si>
    <t xml:space="preserve">LMGP01010890</t>
  </si>
  <si>
    <t xml:space="preserve">74669</t>
  </si>
  <si>
    <t xml:space="preserve">10350317</t>
  </si>
  <si>
    <t xml:space="preserve">4235-95-4</t>
  </si>
  <si>
    <t xml:space="preserve">[C@](COP(=O)([O-])OCC[N+](C)(C)C)([H])(OC(CCCCCCC/C=C\CCCCCCCC)=O)COC(CCCCCCC/C=C\CCCCCCCC)=O</t>
  </si>
  <si>
    <t xml:space="preserve">SNKAWJBJQDLSFF-NVKMUCNASA-N</t>
  </si>
  <si>
    <t xml:space="preserve">825.02868</t>
  </si>
  <si>
    <t xml:space="preserve">C16H11ClF3N3O2S</t>
  </si>
  <si>
    <t xml:space="preserve">4-(5-(4-Chlorophenyl)-3-(trifluoromethyl)-1H-pyrazol-1-yl)benzenesulfonamide</t>
  </si>
  <si>
    <t xml:space="preserve">200251</t>
  </si>
  <si>
    <t xml:space="preserve">HMDB0244782</t>
  </si>
  <si>
    <t xml:space="preserve">9865808</t>
  </si>
  <si>
    <t xml:space="preserve">NS(=O)(=O)C1=CC=C(C=C1)N1N=C(C=C1C1=CC=C(Cl)C=C1)C(F)(F)F</t>
  </si>
  <si>
    <t xml:space="preserve">NSQNZEUFHPTJME-UHFFFAOYSA-N</t>
  </si>
  <si>
    <t xml:space="preserve">826.56457</t>
  </si>
  <si>
    <t xml:space="preserve">C43H82NO10P</t>
  </si>
  <si>
    <t xml:space="preserve">PS(37:1)</t>
  </si>
  <si>
    <t xml:space="preserve">132698</t>
  </si>
  <si>
    <t xml:space="preserve">HMDB0112335</t>
  </si>
  <si>
    <t xml:space="preserve">131819718</t>
  </si>
  <si>
    <t xml:space="preserve">[H][C@](N)(COP(O)(=O)OC[C@@]([H])(COC(=O)CCCCCCCCCCCCCC)OC(=O)CCCCCCCCCCC\C=C/CCCCCCCC)C(O)=O</t>
  </si>
  <si>
    <t xml:space="preserve">CMYXIUIAXHLISA-WMWCSSQDSA-N</t>
  </si>
  <si>
    <t xml:space="preserve">827.03841</t>
  </si>
  <si>
    <t xml:space="preserve">C20H27N10O18P3</t>
  </si>
  <si>
    <t xml:space="preserve">Diguanosine triphosphate</t>
  </si>
  <si>
    <t xml:space="preserve">47549</t>
  </si>
  <si>
    <t xml:space="preserve">HMDB0001379</t>
  </si>
  <si>
    <t xml:space="preserve">58040</t>
  </si>
  <si>
    <t xml:space="preserve">444841</t>
  </si>
  <si>
    <t xml:space="preserve">6674-45-9</t>
  </si>
  <si>
    <t xml:space="preserve">NC1=NC(=O)C2=C(N1)N(C=N2)[C@@H]1O[C@H](COP(O)(=O)OP(O)(=O)OP(O)(=O)OC[C@H]2O[C@H]([C@H](O)[C@@H]2O)N2C=NC3=C2NC(N)=NC3=O)[C@@H](O)[C@H]1O</t>
  </si>
  <si>
    <t xml:space="preserve">AAXYAFFKOSNMEB-MHARETSRSA-N</t>
  </si>
  <si>
    <t xml:space="preserve">828.05191</t>
  </si>
  <si>
    <t xml:space="preserve">C24H31N7O17P2</t>
  </si>
  <si>
    <t xml:space="preserve">NADH pyruvate</t>
  </si>
  <si>
    <t xml:space="preserve">209411</t>
  </si>
  <si>
    <t xml:space="preserve">HMDB0255416</t>
  </si>
  <si>
    <t xml:space="preserve">CC(=O)C(=O)OC1(COP(O)(=O)OP(O)(=O)OCC2OC(C(O)C2O)N2C=CCC(=C2)C(N)=O)OC(C(O)C1O)N1C=NC2=C1N=CN=C2N</t>
  </si>
  <si>
    <t xml:space="preserve">UZAVWFWNXUXPSK-UHFFFAOYSA-N</t>
  </si>
  <si>
    <t xml:space="preserve">Purine nucleotide sugars</t>
  </si>
  <si>
    <t xml:space="preserve">829.55417</t>
  </si>
  <si>
    <t xml:space="preserve">C49H84O5</t>
  </si>
  <si>
    <t xml:space="preserve">DG(46:6)</t>
  </si>
  <si>
    <t xml:space="preserve">49442</t>
  </si>
  <si>
    <t xml:space="preserve">HMDB0007732</t>
  </si>
  <si>
    <t xml:space="preserve">59195</t>
  </si>
  <si>
    <t xml:space="preserve">53478485</t>
  </si>
  <si>
    <t xml:space="preserve">[H][C@](CO)(COC(=O)CC\C=C/C\C=C/C\C=C/C\C=C/C\C=C/CCCCC)OC(=O)CCCCCCCCCCCCC\C=C/CCCCCCCC</t>
  </si>
  <si>
    <t xml:space="preserve">FMDLZWZDFBHHDO-XZLMQPKDSA-N</t>
  </si>
  <si>
    <t xml:space="preserve">831.55659</t>
  </si>
  <si>
    <t xml:space="preserve">C43H85O10P</t>
  </si>
  <si>
    <t xml:space="preserve">PG(37:0)</t>
  </si>
  <si>
    <t xml:space="preserve">136308</t>
  </si>
  <si>
    <t xml:space="preserve">HMDB0116653</t>
  </si>
  <si>
    <t xml:space="preserve">131823286</t>
  </si>
  <si>
    <t xml:space="preserve">[H][C@](O)(CO)COP(O)(=O)OC[C@@]([H])(COC(=O)CCCCCCCCC(C)CC)OC(=O)CCCCCCCCCCCCCCCCCCCCC(C)C</t>
  </si>
  <si>
    <t xml:space="preserve">WKCLUXOKPWQYPS-XRCKYFATSA-N</t>
  </si>
  <si>
    <t xml:space="preserve">833.58616</t>
  </si>
  <si>
    <t xml:space="preserve">C54H82O4</t>
  </si>
  <si>
    <t xml:space="preserve">Coenzyme Q9</t>
  </si>
  <si>
    <t xml:space="preserve">37427</t>
  </si>
  <si>
    <t xml:space="preserve">HMDB0006707</t>
  </si>
  <si>
    <t xml:space="preserve">3695</t>
  </si>
  <si>
    <t xml:space="preserve">LMPR02010004</t>
  </si>
  <si>
    <t xml:space="preserve">C01967</t>
  </si>
  <si>
    <t xml:space="preserve">18160</t>
  </si>
  <si>
    <t xml:space="preserve">5280473</t>
  </si>
  <si>
    <t xml:space="preserve">303-97-9</t>
  </si>
  <si>
    <t xml:space="preserve">C1(OC)C(=O)C(C)=C(C/C=C(\C)/CC/C=C(\C)/CC/C=C(\C)/CC/C=C(\C)/CC/C=C(\C)/CC/C=C(\C)/CC/C=C(\C)/CC/C=C(\C)/CC/C=C(\C)/C)C(=O)C=1OC</t>
  </si>
  <si>
    <t xml:space="preserve">UUGXJSBPSRROMU-WJNLUYJISA-N</t>
  </si>
  <si>
    <t xml:space="preserve">834.59235</t>
  </si>
  <si>
    <t xml:space="preserve">C46H86NO8P</t>
  </si>
  <si>
    <t xml:space="preserve">PC(38:3)</t>
  </si>
  <si>
    <t xml:space="preserve">18755</t>
  </si>
  <si>
    <t xml:space="preserve">HMDB0008020</t>
  </si>
  <si>
    <t xml:space="preserve">59468</t>
  </si>
  <si>
    <t xml:space="preserve">LMGP01011496</t>
  </si>
  <si>
    <t xml:space="preserve">74479</t>
  </si>
  <si>
    <t xml:space="preserve">52922473</t>
  </si>
  <si>
    <t xml:space="preserve">[C@](COP(=O)([O-])OCC[N+](C)(C)C)([H])(OC(CCCCCCCCCCC/C=C\C/C=C\CCCCC)=O)COC(CCCCCCC/C=C\CCCCCC)=O</t>
  </si>
  <si>
    <t xml:space="preserve">IHEXWEKEFCKFEL-UTIGHQPQSA-N</t>
  </si>
  <si>
    <t xml:space="preserve">836.53082</t>
  </si>
  <si>
    <t xml:space="preserve">C49H74NO8P</t>
  </si>
  <si>
    <t xml:space="preserve">PE(44:12)</t>
  </si>
  <si>
    <t xml:space="preserve">19953</t>
  </si>
  <si>
    <t xml:space="preserve">HMDB0009705</t>
  </si>
  <si>
    <t xml:space="preserve">40492</t>
  </si>
  <si>
    <t xml:space="preserve">LMGP02010093</t>
  </si>
  <si>
    <t xml:space="preserve">84538</t>
  </si>
  <si>
    <t xml:space="preserve">9546797</t>
  </si>
  <si>
    <t xml:space="preserve">[C@](COP(=O)(O)OCCN)([H])(OC(CC/C=C\C/C=C\C/C=C\C/C=C\C/C=C\C/C=C\CC)=O)COC(CC/C=C\C/C=C\C/C=C\C/C=C\C/C=C\C/C=C\CC)=O</t>
  </si>
  <si>
    <t xml:space="preserve">RBDNSJMXMWTPCS-NYUVKXDYSA-N</t>
  </si>
  <si>
    <t xml:space="preserve">836.61806</t>
  </si>
  <si>
    <t xml:space="preserve">C48H86NO8P</t>
  </si>
  <si>
    <t xml:space="preserve">MMPE(42:5)</t>
  </si>
  <si>
    <t xml:space="preserve">133381</t>
  </si>
  <si>
    <t xml:space="preserve">HMDB0113278</t>
  </si>
  <si>
    <t xml:space="preserve">131820391</t>
  </si>
  <si>
    <t xml:space="preserve">[H]C(COC(=O)CCCC\C=C/C\C=C/C\C=C/C\C=C/CC)(COP(O)(=O)OCCNC)OC(=O)CCCCCCCCCCCCC\C=C/CCCCCCCC</t>
  </si>
  <si>
    <t xml:space="preserve">AAHNDKCQBPXODI-SFBLQBSESA-N</t>
  </si>
  <si>
    <t xml:space="preserve">837.53132</t>
  </si>
  <si>
    <t xml:space="preserve">C41H76N2O15</t>
  </si>
  <si>
    <t xml:space="preserve">Roxithromycin</t>
  </si>
  <si>
    <t xml:space="preserve">53065</t>
  </si>
  <si>
    <t xml:space="preserve">HMDB0014916</t>
  </si>
  <si>
    <t xml:space="preserve">C13173</t>
  </si>
  <si>
    <t xml:space="preserve">48844</t>
  </si>
  <si>
    <t xml:space="preserve">6915744</t>
  </si>
  <si>
    <t xml:space="preserve">80214-83-1</t>
  </si>
  <si>
    <t xml:space="preserve">CC[C@H]1OC(=O)[C@H](C)[C@@H](O[C@H]2C[C@@](C)(OC)[C@@H](O)[C@H](C)O2)[C@H](C)[C@@H](O[C@@H]2O[C@H](C)C[C@@H]([C@H]2O)N(C)C)[C@](C)(O)C[C@@H](C)C(=NOCOCCOC)[C@H](C)[C@@H](O)[C@]1(C)O</t>
  </si>
  <si>
    <t xml:space="preserve">RXZBMPWDPOLZGW-HITVVWEBSA-N</t>
  </si>
  <si>
    <t xml:space="preserve">837.62281</t>
  </si>
  <si>
    <t xml:space="preserve">C21H46NO4P</t>
  </si>
  <si>
    <t xml:space="preserve">Miltefosine</t>
  </si>
  <si>
    <t xml:space="preserve">208812</t>
  </si>
  <si>
    <t xml:space="preserve">HMDB0254735</t>
  </si>
  <si>
    <t xml:space="preserve">43997</t>
  </si>
  <si>
    <t xml:space="preserve">75283</t>
  </si>
  <si>
    <t xml:space="preserve">3599</t>
  </si>
  <si>
    <t xml:space="preserve">58066-85-6</t>
  </si>
  <si>
    <t xml:space="preserve">CCCCCCCCCCCCCCCCOP([O-])(=O)OCC[N+](C)(C)C</t>
  </si>
  <si>
    <t xml:space="preserve">PQLXHQMOHUQAKB-UHFFFAOYSA-N</t>
  </si>
  <si>
    <t xml:space="preserve">838.54542</t>
  </si>
  <si>
    <t xml:space="preserve">C49H76NO8P</t>
  </si>
  <si>
    <t xml:space="preserve">PE(44:11)</t>
  </si>
  <si>
    <t xml:space="preserve">50313</t>
  </si>
  <si>
    <t xml:space="preserve">HMDB0009639</t>
  </si>
  <si>
    <t xml:space="preserve">61028</t>
  </si>
  <si>
    <t xml:space="preserve">53479935</t>
  </si>
  <si>
    <t xml:space="preserve">[H][C@@](COC(=O)CC\C=C/C\C=C/C\C=C/C\C=C/C\C=C/CCCCC)(COP(O)(=O)OCCN)OC(=O)CC\C=C/C\C=C/C\C=C/C\C=C/C\C=C/C\C=C/CC</t>
  </si>
  <si>
    <t xml:space="preserve">IWZCRDQSSLJDNV-CXJUXISASA-N</t>
  </si>
  <si>
    <t xml:space="preserve">838.63381</t>
  </si>
  <si>
    <t xml:space="preserve">C48H88NO8P</t>
  </si>
  <si>
    <t xml:space="preserve">PC(40:4)</t>
  </si>
  <si>
    <t xml:space="preserve">18363</t>
  </si>
  <si>
    <t xml:space="preserve">HMDB0008054</t>
  </si>
  <si>
    <t xml:space="preserve">59501</t>
  </si>
  <si>
    <t xml:space="preserve">LMGP01010813</t>
  </si>
  <si>
    <t xml:space="preserve">84565</t>
  </si>
  <si>
    <t xml:space="preserve">24778868</t>
  </si>
  <si>
    <t xml:space="preserve">[C@](COP(=O)([O-])OCC[N+](C)(C)C)([H])(OC(CCCCC/C=C\C/C=C\C/C=C\C/C=C\CCCCC)=O)COC(CCCCCCCCCCCCCCCCC)=O</t>
  </si>
  <si>
    <t xml:space="preserve">AXZGUCXCTZMPTR-UVGACIQRSA-N</t>
  </si>
  <si>
    <t xml:space="preserve">839.04613</t>
  </si>
  <si>
    <t xml:space="preserve">C14H17IN4O2</t>
  </si>
  <si>
    <t xml:space="preserve">5-(5-Iodo-4-methoxy-2-propan-2-ylphenoxy)pyrimidine-2,4-diamine</t>
  </si>
  <si>
    <t xml:space="preserve">202752</t>
  </si>
  <si>
    <t xml:space="preserve">HMDB0247533</t>
  </si>
  <si>
    <t xml:space="preserve">15953802</t>
  </si>
  <si>
    <t xml:space="preserve">COC1=C(I)C=C(OC2=CN=C(N)N=C2N)C(=C1)C(C)C</t>
  </si>
  <si>
    <t xml:space="preserve">AATPYXMXFBBKFO-UHFFFAOYSA-N</t>
  </si>
  <si>
    <t xml:space="preserve">839.54856</t>
  </si>
  <si>
    <t xml:space="preserve">C24H37NO5</t>
  </si>
  <si>
    <t xml:space="preserve">N-Arachidonoyl Aspartic acid</t>
  </si>
  <si>
    <t xml:space="preserve">198498</t>
  </si>
  <si>
    <t xml:space="preserve">HMDB0241992</t>
  </si>
  <si>
    <t xml:space="preserve">73024090</t>
  </si>
  <si>
    <t xml:space="preserve">CCCCCC=CCC=CCC=CCC=CCCCC(=O)NC(CC(O)=O)C(O)=O</t>
  </si>
  <si>
    <t xml:space="preserve">VAYGDIFQLRQKDG-UHFFFAOYSA-N</t>
  </si>
  <si>
    <t xml:space="preserve">839.64216</t>
  </si>
  <si>
    <t xml:space="preserve">C15H11I4NO7S</t>
  </si>
  <si>
    <t xml:space="preserve">Thyroxine sulfate</t>
  </si>
  <si>
    <t xml:space="preserve">47982</t>
  </si>
  <si>
    <t xml:space="preserve">HMDB0002728</t>
  </si>
  <si>
    <t xml:space="preserve">988</t>
  </si>
  <si>
    <t xml:space="preserve">131742</t>
  </si>
  <si>
    <t xml:space="preserve">77074-49-8</t>
  </si>
  <si>
    <t xml:space="preserve">N[C@@H](CC1=CC(I)=C(OC2=CC(I)=C(OS(O)(=O)=O)C(I)=C2)C(I)=C1)C(O)=O</t>
  </si>
  <si>
    <t xml:space="preserve">QYXIJUZWSSQICT-LBPRGKRZSA-N</t>
  </si>
  <si>
    <t xml:space="preserve">840.56524</t>
  </si>
  <si>
    <t xml:space="preserve">C44H84NO10P</t>
  </si>
  <si>
    <t xml:space="preserve">PS(38:1)</t>
  </si>
  <si>
    <t xml:space="preserve">132689</t>
  </si>
  <si>
    <t xml:space="preserve">HMDB0112307</t>
  </si>
  <si>
    <t xml:space="preserve">131819709</t>
  </si>
  <si>
    <t xml:space="preserve">[H][C@](N)(COP(O)(=O)OC[C@@]([H])(COC(=O)CCCCCCCCCCCCC)OC(=O)CCCCCCCCCCCCC\C=C/CCCCCCCC)C(O)=O</t>
  </si>
  <si>
    <t xml:space="preserve">YATWWORSTFWFGZ-ALFANBORSA-N</t>
  </si>
  <si>
    <t xml:space="preserve">841.55518</t>
  </si>
  <si>
    <t xml:space="preserve">C23H39NO5</t>
  </si>
  <si>
    <t xml:space="preserve">5-(3,4-Dimethyl-5-pentylfuran-2-yl)pentanoylcarnitine; 6-(5-Hexylfuran-2-yl)hexanoylcarnitine; 7-(3,4-Dimethyl-5-propylfuran-2-yl)heptanoylcarnitine</t>
  </si>
  <si>
    <t xml:space="preserve">198367; 198370; 198371</t>
  </si>
  <si>
    <t xml:space="preserve">HMDB0241845; HMDB0241848; HMDB0241849</t>
  </si>
  <si>
    <t xml:space="preserve">CCCCCC1=C(C)C(C)=C(CCCCC(=O)OC(CC([O-])=O)C[N+](C)(C)C)O1; CCCCCCC1=CC=C(CCCCCC(=O)OC(CC([O-])=O)C[N+](C)(C)C)O1; CCCC1=C(C)C(C)=C(CCCCCCC(=O)OC(CC([O-])=O)C[N+](C)(C)C)O1</t>
  </si>
  <si>
    <t xml:space="preserve">WRRXGVCJQHRUIW-UHFFFAOYSA-N; PMKWXVYIIIGJAV-UHFFFAOYSA-N; ARBRWHXTRUCFTM-UHFFFAOYSA-N</t>
  </si>
  <si>
    <t xml:space="preserve">842.51977</t>
  </si>
  <si>
    <t xml:space="preserve">C45H71N5O10</t>
  </si>
  <si>
    <t xml:space="preserve">Mycobactin J</t>
  </si>
  <si>
    <t xml:space="preserve">209015</t>
  </si>
  <si>
    <t xml:space="preserve">HMDB0254967</t>
  </si>
  <si>
    <t xml:space="preserve">CCCCCCCCCCCCCC=CC(=O)N(O)CCCCC(NC(=O)C1N=C(OC1C)C1=CC=CC=C1O)C(=O)OC(CC)C(C)C(=O)NC1CCCCN(O)C1=O</t>
  </si>
  <si>
    <t xml:space="preserve">HWPGTWGCGXNKHI-UHFFFAOYSA-N</t>
  </si>
  <si>
    <t xml:space="preserve">843.50667</t>
  </si>
  <si>
    <t xml:space="preserve">C44H74O15</t>
  </si>
  <si>
    <t xml:space="preserve">Vinaginsenoside R1</t>
  </si>
  <si>
    <t xml:space="preserve">58618</t>
  </si>
  <si>
    <t xml:space="preserve">HMDB0034624</t>
  </si>
  <si>
    <t xml:space="preserve">90087</t>
  </si>
  <si>
    <t xml:space="preserve">74933433</t>
  </si>
  <si>
    <t xml:space="preserve">156980-41-5</t>
  </si>
  <si>
    <t xml:space="preserve">CC1OC(OC2C(O)C(O)C(COC(C)=O)OC2OC2CC3(C)C(CC(O)C4C(CCC34C)C3(C)CCC(O3)C(C)(C)O)C3(C)CCC(O)C(C)(C)C23)C(O)C(O)C1O</t>
  </si>
  <si>
    <t xml:space="preserve">VTZDPCBUMTUOMY-UHFFFAOYSA-N</t>
  </si>
  <si>
    <t xml:space="preserve">844.53042</t>
  </si>
  <si>
    <t xml:space="preserve">C41H79N3O12</t>
  </si>
  <si>
    <t xml:space="preserve">Tulathromycin A</t>
  </si>
  <si>
    <t xml:space="preserve">212716</t>
  </si>
  <si>
    <t xml:space="preserve">HMDB0259324</t>
  </si>
  <si>
    <t xml:space="preserve">23558714</t>
  </si>
  <si>
    <t xml:space="preserve">CCCNCC1(O)C(C)OC(CC1(C)OC)OC1C(C)C(OC2OC(C)CC(C2O)N(C)C)C(C)(O)CC(C)CNC(C)C(O)C(C)(O)C(CC)OC(=O)C1C</t>
  </si>
  <si>
    <t xml:space="preserve">GUARTUJKFNAVIK-UHFFFAOYSA-N</t>
  </si>
  <si>
    <t xml:space="preserve">846.54311</t>
  </si>
  <si>
    <t xml:space="preserve">C46H82NO8P</t>
  </si>
  <si>
    <t xml:space="preserve">PC(38:5)</t>
  </si>
  <si>
    <t xml:space="preserve">18276</t>
  </si>
  <si>
    <t xml:space="preserve">HMDB0007989</t>
  </si>
  <si>
    <t xml:space="preserve">59437</t>
  </si>
  <si>
    <t xml:space="preserve">LMGP01010645</t>
  </si>
  <si>
    <t xml:space="preserve">84795</t>
  </si>
  <si>
    <t xml:space="preserve">24778735</t>
  </si>
  <si>
    <t xml:space="preserve">[C@](COP(=O)([O-])OCC[N+](C)(C)C)([H])(OC(CC/C=C\C/C=C\C/C=C\C/C=C\C/C=C\CCCCC)=O)COC(CCCCCCCCCCCCCCC)=O</t>
  </si>
  <si>
    <t xml:space="preserve">MWXAIAMSOXOQJK-JIXVGTEKSA-N</t>
  </si>
  <si>
    <t xml:space="preserve">848.55990</t>
  </si>
  <si>
    <t xml:space="preserve">C46H84NO8P</t>
  </si>
  <si>
    <t xml:space="preserve">PC(38:4)</t>
  </si>
  <si>
    <t xml:space="preserve">18275</t>
  </si>
  <si>
    <t xml:space="preserve">HMDB0007988</t>
  </si>
  <si>
    <t xml:space="preserve">59436</t>
  </si>
  <si>
    <t xml:space="preserve">LMGP01010642</t>
  </si>
  <si>
    <t xml:space="preserve">84573</t>
  </si>
  <si>
    <t xml:space="preserve">24778732</t>
  </si>
  <si>
    <t xml:space="preserve">[C@](COP(=O)([O-])OCC[N+](C)(C)C)([H])(OC(CCCCC/C=C\C/C=C\C/C=C\C/C=C\CCCCC)=O)COC(CCCCCCCCCCCCCCC)=O</t>
  </si>
  <si>
    <t xml:space="preserve">IRWRFKUTKSUFST-MDYGELLQSA-N</t>
  </si>
  <si>
    <t xml:space="preserve">852.55219</t>
  </si>
  <si>
    <t xml:space="preserve">C50H78NO8P</t>
  </si>
  <si>
    <t xml:space="preserve">PC(42:11)</t>
  </si>
  <si>
    <t xml:space="preserve">18494</t>
  </si>
  <si>
    <t xml:space="preserve">HMDB0008518</t>
  </si>
  <si>
    <t xml:space="preserve">59964</t>
  </si>
  <si>
    <t xml:space="preserve">LMGP01011059</t>
  </si>
  <si>
    <t xml:space="preserve">24779082</t>
  </si>
  <si>
    <t xml:space="preserve">[C@](COP(=O)([O-])OCC[N+](C)(C)C)([H])(OC(CC/C=C\C/C=C\C/C=C\C/C=C\C/C=C\C/C=C\CC)=O)COC(CCC/C=C\C/C=C\C/C=C\C/C=C\C/C=C\CC)=O</t>
  </si>
  <si>
    <t xml:space="preserve">PRAHGYJIPXTSPA-OWXGTRINSA-N</t>
  </si>
  <si>
    <t xml:space="preserve">853.55195</t>
  </si>
  <si>
    <t xml:space="preserve">C19H37N5O5</t>
  </si>
  <si>
    <t xml:space="preserve">N-(R)-[2-(Hydroxyaminocarbonyl)methyl]-4-methylpentanoyl-L-t-butyl-alanyl-L-alanine, 2-aminoethyl Amide</t>
  </si>
  <si>
    <t xml:space="preserve">212179</t>
  </si>
  <si>
    <t xml:space="preserve">HMDB0258720</t>
  </si>
  <si>
    <t xml:space="preserve">CC(C)CC(CC(=O)NO)C(=O)NC(C(=O)NC(C)C(=O)NCCN)C(C)(C)C</t>
  </si>
  <si>
    <t xml:space="preserve">LMIQCBIEAHJAMZ-UHFFFAOYSA-N</t>
  </si>
  <si>
    <t xml:space="preserve">854.55099</t>
  </si>
  <si>
    <t xml:space="preserve">C48H82NO7P</t>
  </si>
  <si>
    <t xml:space="preserve">PC(22:7)</t>
  </si>
  <si>
    <t xml:space="preserve">49874</t>
  </si>
  <si>
    <t xml:space="preserve">HMDB0008753</t>
  </si>
  <si>
    <t xml:space="preserve">60199</t>
  </si>
  <si>
    <t xml:space="preserve">53479427</t>
  </si>
  <si>
    <t xml:space="preserve">CCCCCC\C=C/CCCCCCCC\C=C/OC(COC(=O)CC\C=C/C\C=C/C\C=C/C\C=C/C\C=C/C\C=C/CC)COP([O-])(=O)OCC[N+](C)(C)C</t>
  </si>
  <si>
    <t xml:space="preserve">AWXYEASCHABQDU-LHDLUKIPSA-N</t>
  </si>
  <si>
    <t xml:space="preserve">855.55160</t>
  </si>
  <si>
    <t xml:space="preserve">C43H86O13P2</t>
  </si>
  <si>
    <t xml:space="preserve">PGP(37:0)</t>
  </si>
  <si>
    <t xml:space="preserve">136206</t>
  </si>
  <si>
    <t xml:space="preserve">HMDB0116529</t>
  </si>
  <si>
    <t xml:space="preserve">131823184</t>
  </si>
  <si>
    <t xml:space="preserve">[H][C@](O)(COP(O)(O)=O)COP(O)(=O)OC[C@@]([H])(COC(=O)CCCCCCCCC(C)CC)OC(=O)CCCCCCCCCCCCCCCCCCCCC(C)C</t>
  </si>
  <si>
    <t xml:space="preserve">DMYHJZLEBCGJRF-XRCKYFATSA-N</t>
  </si>
  <si>
    <t xml:space="preserve">858.57220</t>
  </si>
  <si>
    <t xml:space="preserve">C44H85NO11S</t>
  </si>
  <si>
    <t xml:space="preserve">3-Sulfogalactosylceramide (O-d38:1)</t>
  </si>
  <si>
    <t xml:space="preserve">51991</t>
  </si>
  <si>
    <t xml:space="preserve">HMDB0012315</t>
  </si>
  <si>
    <t xml:space="preserve">41628</t>
  </si>
  <si>
    <t xml:space="preserve">24779583</t>
  </si>
  <si>
    <t xml:space="preserve">265096-81-9</t>
  </si>
  <si>
    <t xml:space="preserve">CCCCCCCCCCCCCCCCCCCC(=O)N[C@@]([H])(CO[C@@H]1O[C@H](CO)[C@H](O)C(OS(=O)(O)=O)C1O)[C@@](O)([H])\C=C\CCCCCCCCCCCCC</t>
  </si>
  <si>
    <t xml:space="preserve">AURCBSWGPREGRQ-VGNRXBDKSA-N</t>
  </si>
  <si>
    <t xml:space="preserve">859.57179</t>
  </si>
  <si>
    <t xml:space="preserve">C24H42O5</t>
  </si>
  <si>
    <t xml:space="preserve">Arlacel A</t>
  </si>
  <si>
    <t xml:space="preserve">203670</t>
  </si>
  <si>
    <t xml:space="preserve">HMDB0248604</t>
  </si>
  <si>
    <t xml:space="preserve">91412</t>
  </si>
  <si>
    <t xml:space="preserve">CCCCCCCCC=CCCCCCCCC(=O)OC1COC2C(O)COC12</t>
  </si>
  <si>
    <t xml:space="preserve">JDRAOGVAQOVDEB-UHFFFAOYSA-N</t>
  </si>
  <si>
    <t xml:space="preserve">Furofurans</t>
  </si>
  <si>
    <t xml:space="preserve">Isosorbides</t>
  </si>
  <si>
    <t xml:space="preserve">860.56686</t>
  </si>
  <si>
    <t xml:space="preserve">C52H80NO8P</t>
  </si>
  <si>
    <t xml:space="preserve">PC(44:12)</t>
  </si>
  <si>
    <t xml:space="preserve">18523</t>
  </si>
  <si>
    <t xml:space="preserve">HMDB0008748</t>
  </si>
  <si>
    <t xml:space="preserve">60194</t>
  </si>
  <si>
    <t xml:space="preserve">LMGP01011119</t>
  </si>
  <si>
    <t xml:space="preserve">24779134</t>
  </si>
  <si>
    <t xml:space="preserve">[C@](COP(=O)([O-])OCC[N+](C)(C)C)([H])(OC(CC/C=C\C/C=C\C/C=C\C/C=C\C/C=C\C/C=C\CC)=O)COC(CC/C=C\C/C=C\C/C=C\C/C=C\C/C=C\C/C=C\CC)=O</t>
  </si>
  <si>
    <t xml:space="preserve">XLKQWAMTMYIQMG-SVUPRYTISA-N</t>
  </si>
  <si>
    <t xml:space="preserve">861.54474</t>
  </si>
  <si>
    <t xml:space="preserve">C45H81O13P</t>
  </si>
  <si>
    <t xml:space="preserve">PI(36:3)</t>
  </si>
  <si>
    <t xml:space="preserve">50435</t>
  </si>
  <si>
    <t xml:space="preserve">HMDB0009787</t>
  </si>
  <si>
    <t xml:space="preserve">88391</t>
  </si>
  <si>
    <t xml:space="preserve">[H][C@@](COC(=O)CCCCCCCCCCCCCCC)(COP(O)(=O)O[C@H]1C(O)C(O)C(O)[C@@H](O)C1O)OC(=O)CCC\C=C/C\C=C/C\C=C/CCCCCCCC</t>
  </si>
  <si>
    <t xml:space="preserve">QQCJRPYWJFBHNN-DAXZNSEHSA-N</t>
  </si>
  <si>
    <t xml:space="preserve">862.55878</t>
  </si>
  <si>
    <t xml:space="preserve">C48H80NO10P</t>
  </si>
  <si>
    <t xml:space="preserve">PS(42:7)</t>
  </si>
  <si>
    <t xml:space="preserve">21818</t>
  </si>
  <si>
    <t xml:space="preserve">HMDB0112564</t>
  </si>
  <si>
    <t xml:space="preserve">78221</t>
  </si>
  <si>
    <t xml:space="preserve">LMGP03010557</t>
  </si>
  <si>
    <t xml:space="preserve">52925667</t>
  </si>
  <si>
    <t xml:space="preserve">C(O)(=O)[C@@]([H])(N)COP(OC[C@]([H])(OC(CC/C=C\C/C=C\C/C=C\C/C=C\C/C=C\C/C=C\CC)=O)COC(CCCCCCCCC/C=C\CCCCCCCC)=O)(=O)O</t>
  </si>
  <si>
    <t xml:space="preserve">MUZCZBHSMGVMMH-JIHIPKGJSA-N</t>
  </si>
  <si>
    <t xml:space="preserve">863.54985</t>
  </si>
  <si>
    <t xml:space="preserve">C25H37NO5</t>
  </si>
  <si>
    <t xml:space="preserve">alpha-hydroxysalmeterol</t>
  </si>
  <si>
    <t xml:space="preserve">82880</t>
  </si>
  <si>
    <t xml:space="preserve">HMDB0061045</t>
  </si>
  <si>
    <t xml:space="preserve">197627</t>
  </si>
  <si>
    <t xml:space="preserve">OCC1=C(O)C=CC(=C1)C(O)CNCCCCCCOCCCC(O)C1=CC=CC=C1</t>
  </si>
  <si>
    <t xml:space="preserve">PGRMEHUQIPZHKM-UHFFFAOYSA-N</t>
  </si>
  <si>
    <t xml:space="preserve">Benzyl alcohols</t>
  </si>
  <si>
    <t xml:space="preserve">866.52660</t>
  </si>
  <si>
    <t xml:space="preserve">C46H75NO14</t>
  </si>
  <si>
    <t xml:space="preserve">concanamycin a</t>
  </si>
  <si>
    <t xml:space="preserve">205214</t>
  </si>
  <si>
    <t xml:space="preserve">HMDB0250430</t>
  </si>
  <si>
    <t xml:space="preserve">3649143</t>
  </si>
  <si>
    <t xml:space="preserve">CCC1C(O)C(C)CC(C)=CC=CC(OC)C(OC(=O)C(OC)=CC(C)=CC(C)C1O)C(C)C(O)C(C)C1(O)CC(OC2CC(O)C(OC(N)=O)C(C)O2)C(C)C(O1)C=CC</t>
  </si>
  <si>
    <t xml:space="preserve">DJZCTUVALDDONK-UHFFFAOYSA-N</t>
  </si>
  <si>
    <t xml:space="preserve">868.52435</t>
  </si>
  <si>
    <t xml:space="preserve">C48H80NO8P</t>
  </si>
  <si>
    <t xml:space="preserve">PC(40:8)</t>
  </si>
  <si>
    <t xml:space="preserve">18429</t>
  </si>
  <si>
    <t xml:space="preserve">HMDB0008156</t>
  </si>
  <si>
    <t xml:space="preserve">59602</t>
  </si>
  <si>
    <t xml:space="preserve">LMGP01010947</t>
  </si>
  <si>
    <t xml:space="preserve">24778983</t>
  </si>
  <si>
    <t xml:space="preserve">[C@](COP(=O)([O-])OCC[N+](C)(C)C)([H])(OC(CC/C=C\C/C=C\C/C=C\C/C=C\C/C=C\C/C=C\CC)=O)COC(CCCCCCC/C=C\C/C=C\CCCCC)=O</t>
  </si>
  <si>
    <t xml:space="preserve">FCTKCFNDGVBOBD-YZXVGOFNSA-N</t>
  </si>
  <si>
    <t xml:space="preserve">869.52628</t>
  </si>
  <si>
    <t xml:space="preserve">C46H76O15</t>
  </si>
  <si>
    <t xml:space="preserve">Koryoginsenoside R1</t>
  </si>
  <si>
    <t xml:space="preserve">64443</t>
  </si>
  <si>
    <t xml:space="preserve">HMDB0041351</t>
  </si>
  <si>
    <t xml:space="preserve">95757</t>
  </si>
  <si>
    <t xml:space="preserve">131753115</t>
  </si>
  <si>
    <t xml:space="preserve">171674-97-8</t>
  </si>
  <si>
    <t xml:space="preserve">C\C=C\C(=O)OCC1OC(OC2CC3(C)C(CC(O)C4C(CCC34C)C(C)(CCC=C(C)C)OC3OC(CO)C(O)C(O)C3O)C3(C)CCC(O)C(C)(C)C23)C(O)C(O)C1O</t>
  </si>
  <si>
    <t xml:space="preserve">HMPXCABYJUUDEV-ZRDIBKRKSA-N</t>
  </si>
  <si>
    <t xml:space="preserve">869.69873</t>
  </si>
  <si>
    <t xml:space="preserve">C51H97O8P</t>
  </si>
  <si>
    <t xml:space="preserve">Phosphatidate(48:2)</t>
  </si>
  <si>
    <t xml:space="preserve">135238</t>
  </si>
  <si>
    <t xml:space="preserve">HMDB0115481</t>
  </si>
  <si>
    <t xml:space="preserve">131822218</t>
  </si>
  <si>
    <t xml:space="preserve">[H][C@@](COC(=O)CCCCCCCCCCCCC\C=C/CCCCCCCC)(COP(O)(O)=O)OC(=O)CCCCCCCCCCCCC\C=C/CCCCCCCC</t>
  </si>
  <si>
    <t xml:space="preserve">MMQDSDQTZYMFST-CGACMRCQSA-N</t>
  </si>
  <si>
    <t xml:space="preserve">870.54016</t>
  </si>
  <si>
    <t xml:space="preserve">C48H82NO8P</t>
  </si>
  <si>
    <t xml:space="preserve">PC(40:7)</t>
  </si>
  <si>
    <t xml:space="preserve">18382</t>
  </si>
  <si>
    <t xml:space="preserve">HMDB0008090</t>
  </si>
  <si>
    <t xml:space="preserve">59537</t>
  </si>
  <si>
    <t xml:space="preserve">LMGP01010847</t>
  </si>
  <si>
    <t xml:space="preserve">84812</t>
  </si>
  <si>
    <t xml:space="preserve">24778901</t>
  </si>
  <si>
    <t xml:space="preserve">[C@](COP(=O)([O-])OCC[N+](C)(C)C)([H])(OC(CC/C=C\C/C=C\C/C=C\C/C=C\C/C=C\C/C=C\CC)=O)COC(CCCCCCCCC/C=C\CCCCCC)=O</t>
  </si>
  <si>
    <t xml:space="preserve">ZEAKXAXFIRHBSN-WDYLLCCDSA-N</t>
  </si>
  <si>
    <t xml:space="preserve">872.56131</t>
  </si>
  <si>
    <t xml:space="preserve">C48H84NO8P</t>
  </si>
  <si>
    <t xml:space="preserve">PC(40:6)</t>
  </si>
  <si>
    <t xml:space="preserve">18366</t>
  </si>
  <si>
    <t xml:space="preserve">HMDB0008057</t>
  </si>
  <si>
    <t xml:space="preserve">59504</t>
  </si>
  <si>
    <t xml:space="preserve">LMGP01010821</t>
  </si>
  <si>
    <t xml:space="preserve">84829</t>
  </si>
  <si>
    <t xml:space="preserve">24778876</t>
  </si>
  <si>
    <t xml:space="preserve">[C@](COP(=O)([O-])OCC[N+](C)(C)C)([H])(OC(CC/C=C\C/C=C\C/C=C\C/C=C\C/C=C\C/C=C\CC)=O)COC(CCCCCCCCCCCCCCCCC)=O</t>
  </si>
  <si>
    <t xml:space="preserve">FAUYAENFVCNTAL-PFFNLMTBSA-N</t>
  </si>
  <si>
    <t xml:space="preserve">875.57163</t>
  </si>
  <si>
    <t xml:space="preserve">C26H42O4</t>
  </si>
  <si>
    <t xml:space="preserve">11'-Carboxy-alpha-chromanol</t>
  </si>
  <si>
    <t xml:space="preserve">52034</t>
  </si>
  <si>
    <t xml:space="preserve">HMDB0012515</t>
  </si>
  <si>
    <t xml:space="preserve">172659</t>
  </si>
  <si>
    <t xml:space="preserve">53481451</t>
  </si>
  <si>
    <t xml:space="preserve">C[C@@H](CCC[C@@H](C)CCC(O)=O)CCC[C@]1(C)CCC2=C(O1)C(C)=C(C)C(O)=C2C</t>
  </si>
  <si>
    <t xml:space="preserve">FKTCHXAVPYGOSM-CUAXAMRHSA-N</t>
  </si>
  <si>
    <t xml:space="preserve">876.56191</t>
  </si>
  <si>
    <t xml:space="preserve">C46H90NO7P</t>
  </si>
  <si>
    <t xml:space="preserve">PC(20:1)</t>
  </si>
  <si>
    <t xml:space="preserve">49654</t>
  </si>
  <si>
    <t xml:space="preserve">HMDB0008293</t>
  </si>
  <si>
    <t xml:space="preserve">59739</t>
  </si>
  <si>
    <t xml:space="preserve">53478891</t>
  </si>
  <si>
    <t xml:space="preserve">CCCCCCCCCCCCCCCCCCCC(=O)OCC(COP([O-])(=O)OCC[N+](C)(C)C)O\C=C/CCCCCCCC\C=C/CCCCCC</t>
  </si>
  <si>
    <t xml:space="preserve">IPQVMJPVAWGSJA-AFQYYBNPSA-N</t>
  </si>
  <si>
    <t xml:space="preserve">877.55544</t>
  </si>
  <si>
    <t xml:space="preserve">C21H43O7P</t>
  </si>
  <si>
    <t xml:space="preserve">LPA(18:0)</t>
  </si>
  <si>
    <t xml:space="preserve">49557</t>
  </si>
  <si>
    <t xml:space="preserve">HMDB0007850</t>
  </si>
  <si>
    <t xml:space="preserve">76041074</t>
  </si>
  <si>
    <t xml:space="preserve">CCCCCCCCCCCCCCCCCC(=O)OC(CO)COP(O)(O)=O</t>
  </si>
  <si>
    <t xml:space="preserve">RPAOEHFOGLEBTJ-UHFFFAOYSA-N</t>
  </si>
  <si>
    <t xml:space="preserve">878.53768</t>
  </si>
  <si>
    <t xml:space="preserve">C46H82NO10P</t>
  </si>
  <si>
    <t xml:space="preserve">PS(40:4)</t>
  </si>
  <si>
    <t xml:space="preserve">22144</t>
  </si>
  <si>
    <t xml:space="preserve">HMDB0112382</t>
  </si>
  <si>
    <t xml:space="preserve">78547</t>
  </si>
  <si>
    <t xml:space="preserve">LMGP03010883</t>
  </si>
  <si>
    <t xml:space="preserve">84506</t>
  </si>
  <si>
    <t xml:space="preserve">52925992</t>
  </si>
  <si>
    <t xml:space="preserve">C(O)(=O)[C@@]([H])(N)COP(OC[C@]([H])(OC(CCCCC/C=C\C/C=C\C/C=C\C/C=C\CCCCC)=O)COC(CCCCCCCCCCCCCCCCC)=O)(=O)O</t>
  </si>
  <si>
    <t xml:space="preserve">UZBGQAUYCOMBMI-FBAMSMPZSA-N</t>
  </si>
  <si>
    <t xml:space="preserve">879.53281</t>
  </si>
  <si>
    <t xml:space="preserve">C21H43NO5P</t>
  </si>
  <si>
    <t xml:space="preserve">1-Piperidinyloxy, 4-(((dodecyloxy)hydroxyphosphinyl)oxy)-2,2,6,6-tetramethyl-</t>
  </si>
  <si>
    <t xml:space="preserve">203479</t>
  </si>
  <si>
    <t xml:space="preserve">HMDB0248372</t>
  </si>
  <si>
    <t xml:space="preserve">411237</t>
  </si>
  <si>
    <t xml:space="preserve">3035926</t>
  </si>
  <si>
    <t xml:space="preserve">CCCCCCCCCCCCOP(O)(=O)OC1CC(C)(C)N([O])C(C)(C)C1</t>
  </si>
  <si>
    <t xml:space="preserve">VNPFSLNALGAUGL-UHFFFAOYSA-N</t>
  </si>
  <si>
    <t xml:space="preserve">881.54258</t>
  </si>
  <si>
    <t xml:space="preserve">C26H36N2O4</t>
  </si>
  <si>
    <t xml:space="preserve">O-Desmethylverapamil (D-702); O-Desmethylverapamil (D-703); Norverapamil</t>
  </si>
  <si>
    <t xml:space="preserve">52533; 52572; 82429</t>
  </si>
  <si>
    <t xml:space="preserve">HMDB0013961; HMDB0014246; HMDB0060540</t>
  </si>
  <si>
    <t xml:space="preserve">; ; 3010</t>
  </si>
  <si>
    <t xml:space="preserve">; ; 134080</t>
  </si>
  <si>
    <t xml:space="preserve">131750721; 625729; 104972</t>
  </si>
  <si>
    <t xml:space="preserve">; ; 67018-85-3</t>
  </si>
  <si>
    <t xml:space="preserve">COC1=C(O)C=C(CCN(C)CCCC(C#N)(C(C)C)C2=CC(OC)=C(OC)C=C2)C=C1; COC1=C(O)C=CC(=C1)C(CCCN(C)CCC1=CC(OC)=C(OC)C=C1)(C#N)C(C)C; COC1=C(OC)C=C(CCNCCCC(C#N)(C(C)C)C2=CC(OC)=C(OC)C=C2)C=C1</t>
  </si>
  <si>
    <t xml:space="preserve">OAAPYTCHFIIVON-UHFFFAOYSA-N; WLKVZSXOMGNZLB-UHFFFAOYSA-N; UPKQNCPKPOLASS-UHFFFAOYSA-N</t>
  </si>
  <si>
    <t xml:space="preserve">Phenylbutylamines; Phenylbutylamines; Phenylbutylamines</t>
  </si>
  <si>
    <t xml:space="preserve">882.54434</t>
  </si>
  <si>
    <t xml:space="preserve">C47H80NO12P</t>
  </si>
  <si>
    <t xml:space="preserve">PS(DiMe(11,3)/MonoMe(11,5)); PS(DiMe(11,5)/MonoMe(11,3)); PS(DiMe(11,5)/MonoMe(9,5))</t>
  </si>
  <si>
    <t xml:space="preserve">83168; 83176; 83179</t>
  </si>
  <si>
    <t xml:space="preserve">HMDB0061558; HMDB0061566; HMDB0061569</t>
  </si>
  <si>
    <t xml:space="preserve">CCCCCC1=CC(C)=C(CCCCCCCCCCC(=O)OC(COC(=O)CCCCCCCCCCC2=C(C)C(C)=C(CCC)O2)COP(O)(=O)OCC(N)C(O)=O)O1; CCCCCC1=C(C)C(C)=C(CCCCCCCCCCC(=O)OCC(COP(O)(=O)OCC(N)C(O)=O)OC(=O)CCCCCCCCCCC2=C(C)C=C(CCC)O2)O1; CCCCCC1=CC(C)=C(CCCCCCCCC(=O)OC(COC(=O)CCCCCCCCCCC2=C(C)C(C)=C(CCCCC)O2)COP(O)(=O)OCC(N)C(O)=O)O1</t>
  </si>
  <si>
    <t xml:space="preserve">RRKUINPIOUMQGR-UHFFFAOYSA-N; RRAYFVZXQUJIPM-UHFFFAOYSA-N; FDVDPNLOTWQGOH-UHFFFAOYSA-N</t>
  </si>
  <si>
    <t xml:space="preserve">884.49861</t>
  </si>
  <si>
    <t xml:space="preserve">C45H73NO16</t>
  </si>
  <si>
    <t xml:space="preserve">alpha-Solamarine</t>
  </si>
  <si>
    <t xml:space="preserve">58396</t>
  </si>
  <si>
    <t xml:space="preserve">HMDB0034356</t>
  </si>
  <si>
    <t xml:space="preserve">14428446</t>
  </si>
  <si>
    <t xml:space="preserve">20318-30-3</t>
  </si>
  <si>
    <t xml:space="preserve">CC1C2C(CC3C4CC=C5CC(CCC5(C)C4CCC23C)OC2OC(CO)C(O)C(OC3OC(CO)C(O)C(O)C3OC3OC(C)C(O)C(O)C3O)C2O)OC11CCC(C)CN1</t>
  </si>
  <si>
    <t xml:space="preserve">RCTKRNCKOYYRIO-UHFFFAOYSA-N</t>
  </si>
  <si>
    <t xml:space="preserve">888.56005</t>
  </si>
  <si>
    <t xml:space="preserve">C51H80NO8P</t>
  </si>
  <si>
    <t xml:space="preserve">DMPE(44:11)</t>
  </si>
  <si>
    <t xml:space="preserve">134649</t>
  </si>
  <si>
    <t xml:space="preserve">HMDB0114546</t>
  </si>
  <si>
    <t xml:space="preserve">131821653</t>
  </si>
  <si>
    <t xml:space="preserve">[H]C(COC(=O)CC\C=C/C\C=C/C\C=C/C\C=C/C\C=C/CCCCC)(COP(O)(=O)OCCN(C)C)OC(=O)CC\C=C/C\C=C/C\C=C/C\C=C/C\C=C/C\C=C/CC</t>
  </si>
  <si>
    <t xml:space="preserve">FIHUSQPJLZPMRK-XJTOTAQUSA-N</t>
  </si>
  <si>
    <t xml:space="preserve">892.51544</t>
  </si>
  <si>
    <t xml:space="preserve">C43H71N11O7</t>
  </si>
  <si>
    <t xml:space="preserve">Malptll</t>
  </si>
  <si>
    <t xml:space="preserve">208459</t>
  </si>
  <si>
    <t xml:space="preserve">HMDB0254317</t>
  </si>
  <si>
    <t xml:space="preserve">44216440</t>
  </si>
  <si>
    <t xml:space="preserve">CCOC(=O)C(CC(C)C)NC(=O)C(NC(=O)C(CC1=CNC2=CC=CC=C12)NC(=O)C1CCCN1C(=O)C(CCCCN)NC(=O)C(CCCN=C(N)N)NC)C(C)(C)C</t>
  </si>
  <si>
    <t xml:space="preserve">BLWANJSERJECRU-UHFFFAOYSA-N</t>
  </si>
  <si>
    <t xml:space="preserve">893.51572</t>
  </si>
  <si>
    <t xml:space="preserve">C24H30N8O</t>
  </si>
  <si>
    <t xml:space="preserve">Trilaciclib</t>
  </si>
  <si>
    <t xml:space="preserve">257640</t>
  </si>
  <si>
    <t xml:space="preserve">HMDB0304899</t>
  </si>
  <si>
    <t xml:space="preserve">CN1CCN(CC1)C1=CN=C(NC2=NC3=C(C=C4N3C3(CCCCC3)CNC4=O)C=N2)C=C1</t>
  </si>
  <si>
    <t xml:space="preserve">PDGKHKMBHVFCMG-UHFFFAOYSA-N</t>
  </si>
  <si>
    <t xml:space="preserve">893.70057</t>
  </si>
  <si>
    <t xml:space="preserve">C55H98O6</t>
  </si>
  <si>
    <t xml:space="preserve">Glycerol 1,3-di-(9Z,12Z-octadecadienoate) 2-hexadecanoate; Glycerol 1,2-di-(9Z,12Z-octadecadienoate) 3-hexadecanoate</t>
  </si>
  <si>
    <t xml:space="preserve">55734; 55733</t>
  </si>
  <si>
    <t xml:space="preserve">HMDB0031118; HMDB0031117</t>
  </si>
  <si>
    <t xml:space="preserve">87421; 87420</t>
  </si>
  <si>
    <t xml:space="preserve">15607289; 5883927</t>
  </si>
  <si>
    <t xml:space="preserve">2190-16-1; 26836-36-2</t>
  </si>
  <si>
    <t xml:space="preserve">CCCCCCCCCCCCCCCC(=O)OC(COC(=O)CCCCCCC\C=C\C\C=C\CCCCC)COC(=O)CCCCCCC\C=C\C\C=C\CCCCC; CCCCCCCCCCCCCCCC(=O)OCC(COC(=O)CCCCCCC\C=C\C\C=C\CCCCC)OC(=O)CCCCCCC\C=C\C\C=C\CCCCC</t>
  </si>
  <si>
    <t xml:space="preserve">KRVYYALDCAWYEF-OZBINYCYSA-N; LXAWUIOWWNQCQA-OZBINYCYSA-N</t>
  </si>
  <si>
    <t xml:space="preserve">894.52100</t>
  </si>
  <si>
    <t xml:space="preserve">C50H67N7O8</t>
  </si>
  <si>
    <t xml:space="preserve">Ombitasvir</t>
  </si>
  <si>
    <t xml:space="preserve">209869</t>
  </si>
  <si>
    <t xml:space="preserve">HMDB0255965</t>
  </si>
  <si>
    <t xml:space="preserve">76192587</t>
  </si>
  <si>
    <t xml:space="preserve">COC(=O)NC(C(C)C)C(=O)N1CCCC1C(=O)NC1=CC=C(C=C1)C1CCC(N1C1=CC=C(C=C1)C(C)(C)C)C1=CC=C(NC(=O)C2CCCN2C(=O)C(NC(=O)OC)C(C)C)C=C1</t>
  </si>
  <si>
    <t xml:space="preserve">PIDFDZJZLOTZTM-UHFFFAOYSA-N</t>
  </si>
  <si>
    <t xml:space="preserve">894.70125</t>
  </si>
  <si>
    <t xml:space="preserve">C52H96NO8P</t>
  </si>
  <si>
    <t xml:space="preserve">PC(44:4)</t>
  </si>
  <si>
    <t xml:space="preserve">49689</t>
  </si>
  <si>
    <t xml:space="preserve">HMDB0008389</t>
  </si>
  <si>
    <t xml:space="preserve">59835</t>
  </si>
  <si>
    <t xml:space="preserve">53478999</t>
  </si>
  <si>
    <t xml:space="preserve">CCCCCCCC\C=C/CCCCCCCCCCCCCC(=O)O[C@]([H])(COC(=O)CCC\C=C/C\C=C/C\C=C/CCCCCCCC)COP([O-])(=O)OCC[N+](C)(C)C</t>
  </si>
  <si>
    <t xml:space="preserve">ZQLMRIPQQLYBPX-MJNRMCEJSA-N</t>
  </si>
  <si>
    <t xml:space="preserve">895.51888</t>
  </si>
  <si>
    <t xml:space="preserve">C21H40O9</t>
  </si>
  <si>
    <t xml:space="preserve">(R)-1-O-[b-D-Apiofuranosyl-(1-&gt;2)-b-D-glucopyranoside]-1,3-octanediol</t>
  </si>
  <si>
    <t xml:space="preserve">57068</t>
  </si>
  <si>
    <t xml:space="preserve">HMDB0032798</t>
  </si>
  <si>
    <t xml:space="preserve">88720</t>
  </si>
  <si>
    <t xml:space="preserve">173292</t>
  </si>
  <si>
    <t xml:space="preserve">131751312</t>
  </si>
  <si>
    <t xml:space="preserve">CCCCCC(O)CCOC1OC(CO)C(C)C(O)C1OC1OCC(C)(CO)C1O</t>
  </si>
  <si>
    <t xml:space="preserve">WKMBZTIVAJAWBA-UHFFFAOYSA-N</t>
  </si>
  <si>
    <t xml:space="preserve">895.71814</t>
  </si>
  <si>
    <t xml:space="preserve">C60H96O6</t>
  </si>
  <si>
    <t xml:space="preserve">TG(57:10)</t>
  </si>
  <si>
    <t xml:space="preserve">66483</t>
  </si>
  <si>
    <t xml:space="preserve">HMDB0043538</t>
  </si>
  <si>
    <t xml:space="preserve">131754658</t>
  </si>
  <si>
    <t xml:space="preserve">[H][C@](COC(=O)CCCCCCCCCCCCCC)(COC(=O)CC\C=C/C\C=C/C\C=C/C\C=C/C\C=C/C\C=C/CC)OC(=O)CCC\C=C/C\C=C/C\C=C/C\C=C/CCCCC</t>
  </si>
  <si>
    <t xml:space="preserve">GSFXTLKEIOKHOV-QHAAEIBJSA-N</t>
  </si>
  <si>
    <t xml:space="preserve">896.55318</t>
  </si>
  <si>
    <t xml:space="preserve">C51H79NO13</t>
  </si>
  <si>
    <t xml:space="preserve">Sirolimus</t>
  </si>
  <si>
    <t xml:space="preserve">53147</t>
  </si>
  <si>
    <t xml:space="preserve">HMDB0015015</t>
  </si>
  <si>
    <t xml:space="preserve">C07909</t>
  </si>
  <si>
    <t xml:space="preserve">9168</t>
  </si>
  <si>
    <t xml:space="preserve">5284616</t>
  </si>
  <si>
    <t xml:space="preserve">53123-88-9</t>
  </si>
  <si>
    <t xml:space="preserve">[H][C@@]12CC[C@@H](C)[C@@](O)(O1)C(=O)C(=O)N1CCCC[C@@]1([H])C(=O)O[C@@]([H])(CC(=O)[C@H](C)\C=C(C)\[C@@H](O)[C@@H](OC)C(=O)[C@H](C)C[C@H](C)\C=C\C=C\C=C(C)\[C@H](C2)OC)[C@H](C)C[C@@H]1CC[C@@H](O)[C@@H](C1)OC</t>
  </si>
  <si>
    <t xml:space="preserve">QFJCIRLUMZQUOT-HPLJOQBZSA-N</t>
  </si>
  <si>
    <t xml:space="preserve">Macrolide lactams</t>
  </si>
  <si>
    <t xml:space="preserve">896.71870</t>
  </si>
  <si>
    <t xml:space="preserve">C52H98NO8P</t>
  </si>
  <si>
    <t xml:space="preserve">PC(44:3)</t>
  </si>
  <si>
    <t xml:space="preserve">49670</t>
  </si>
  <si>
    <t xml:space="preserve">HMDB0008356</t>
  </si>
  <si>
    <t xml:space="preserve">59802</t>
  </si>
  <si>
    <t xml:space="preserve">53478933</t>
  </si>
  <si>
    <t xml:space="preserve">CCCCCCCC\C=C/CCCCCCCCCCCCCC(=O)O[C@]([H])(COC(=O)CCCCCCCCC\C=C/C\C=C/CCCCC)COP([O-])(=O)OCC[N+](C)(C)C</t>
  </si>
  <si>
    <t xml:space="preserve">NIODVPKQYQPBHO-OSGOGHEWSA-N</t>
  </si>
  <si>
    <t xml:space="preserve">897.73119</t>
  </si>
  <si>
    <t xml:space="preserve">C55H102O6</t>
  </si>
  <si>
    <t xml:space="preserve">TG(52:2)</t>
  </si>
  <si>
    <t xml:space="preserve">48495</t>
  </si>
  <si>
    <t xml:space="preserve">HMDB0005369</t>
  </si>
  <si>
    <t xml:space="preserve">9544069</t>
  </si>
  <si>
    <t xml:space="preserve">[H][C@](COC(=O)CCCCCCCCCCCCCCC)(COC(=O)CCCCCCC\C=C/C\C=C/CCCCC)OC(=O)CCCCCCCCCCCCCCCCC</t>
  </si>
  <si>
    <t xml:space="preserve">MDCUASFVKLEFPW-NXNLMSDJSA-N</t>
  </si>
  <si>
    <t xml:space="preserve">899.54518</t>
  </si>
  <si>
    <t xml:space="preserve">C27H35N3O3</t>
  </si>
  <si>
    <t xml:space="preserve">6-(3-(Pyrrolidin-1-yl)propoxy)-2-(4-(3-(pyrrolidin-1-yl)propoxy)phenyl)benzo[d]oxazole</t>
  </si>
  <si>
    <t xml:space="preserve">206270</t>
  </si>
  <si>
    <t xml:space="preserve">HMDB0251669</t>
  </si>
  <si>
    <t xml:space="preserve">45102599</t>
  </si>
  <si>
    <t xml:space="preserve">C(COC1=CC=C(C=C1)C1=NC2=C(O1)C=C(OCCCN1CCCC1)C=C2)CN1CCCC1</t>
  </si>
  <si>
    <t xml:space="preserve">YMYJXFUPMPMETB-UHFFFAOYSA-N</t>
  </si>
  <si>
    <t xml:space="preserve">905.57503</t>
  </si>
  <si>
    <t xml:space="preserve">C31H36N2O</t>
  </si>
  <si>
    <t xml:space="preserve">1-Cycloheptyl-1-(9H-fluoren-2-ylmethyl)-3-(2,4,6-trimethylphenyl)urea</t>
  </si>
  <si>
    <t xml:space="preserve">213166</t>
  </si>
  <si>
    <t xml:space="preserve">HMDB0259952</t>
  </si>
  <si>
    <t xml:space="preserve">CC1=CC(C)=C(NC(=O)N(CC2=CC3=C(C=C2)C2=CC=CC=C2C3)C2CCCCCC2)C(C)=C1</t>
  </si>
  <si>
    <t xml:space="preserve">FMLJREWZCZHGGW-UHFFFAOYSA-N</t>
  </si>
  <si>
    <t xml:space="preserve">908.51553</t>
  </si>
  <si>
    <t xml:space="preserve">C49H75NO13</t>
  </si>
  <si>
    <t xml:space="preserve">Emamectin</t>
  </si>
  <si>
    <t xml:space="preserve">206353</t>
  </si>
  <si>
    <t xml:space="preserve">HMDB0251763</t>
  </si>
  <si>
    <t xml:space="preserve">53394848</t>
  </si>
  <si>
    <t xml:space="preserve">CCC(C)C1OC2(CC3CC(CC=C(C)C(OC4CC(OC)C(OC5CC(OC)C(NC)C(C)O5)C(C)O4)C(C)C=CC=C4COC5C(O)C(C)=CC(C(=O)O3)C45O)O2)C=CC1C</t>
  </si>
  <si>
    <t xml:space="preserve">CXEGAUYXQAKHKJ-UHFFFAOYSA-N</t>
  </si>
  <si>
    <t xml:space="preserve">909.52872</t>
  </si>
  <si>
    <t xml:space="preserve">C48H78O17</t>
  </si>
  <si>
    <t xml:space="preserve">Saponin D; Oleanolic acid 3-[rhamnosyl-(1-&gt;4)-glucosyl-(1-&gt;6)-glucoside]</t>
  </si>
  <si>
    <t xml:space="preserve">63632; 63985</t>
  </si>
  <si>
    <t xml:space="preserve">HMDB0040468; HMDB0040860</t>
  </si>
  <si>
    <t xml:space="preserve">94968; 95317</t>
  </si>
  <si>
    <t xml:space="preserve">11788398; 131752957</t>
  </si>
  <si>
    <t xml:space="preserve">79190-14-0; 160845-07-8</t>
  </si>
  <si>
    <t xml:space="preserve">CC1OC(OC2C(O)C(O)C(CO)OC2OC2CCC3(C)C(CCC4(C)C3CCC3C5C6(CC43CO6)OC(CC5(C)OC3OC(C)C(O)C(O)C3O)C=C(C)C)C2(C)C)C(O)C(O)C1O; CC1OC(OC2C(O)C(O)C(OCC3OC(OC4CCC5(C)C(CCC6(C)C5CC=C5C7CC(C)(C)CCC7(CCC65C)C(O)=O)C4(C)C)C(O)C(O)C3O)OC2CO)C(O)C(O)C1O</t>
  </si>
  <si>
    <t xml:space="preserve">FJESIUXDUUJRCG-UHFFFAOYSA-N; NOVVFAYZUXDXOX-UHFFFAOYSA-N</t>
  </si>
  <si>
    <t xml:space="preserve">Triterpenoids; Terpene glycosides</t>
  </si>
  <si>
    <t xml:space="preserve">910.54244</t>
  </si>
  <si>
    <t xml:space="preserve">C45H88NO10P</t>
  </si>
  <si>
    <t xml:space="preserve">PS(39:0)</t>
  </si>
  <si>
    <t xml:space="preserve">132701</t>
  </si>
  <si>
    <t xml:space="preserve">HMDB0112340</t>
  </si>
  <si>
    <t xml:space="preserve">131819721</t>
  </si>
  <si>
    <t xml:space="preserve">[H][C@](N)(COP(O)(=O)OC[C@@]([H])(COC(=O)CCCCCCCCCCCCCC)OC(=O)CCCCCCCCCCCCCCCCCCCCCCC)C(O)=O</t>
  </si>
  <si>
    <t xml:space="preserve">LUGOCDWFRORKQE-HLFYWILQSA-N</t>
  </si>
  <si>
    <t xml:space="preserve">912.55261</t>
  </si>
  <si>
    <t xml:space="preserve">C51H79NO14</t>
  </si>
  <si>
    <t xml:space="preserve">(1R,16Z,24Z,29Z)-1,18-dihydroxy-12-[1-(4-hydroxy-3-methoxycyclohexyl)propan-2-yl]-19,31-dimethoxy-15,17,21,23,30,36-hexamethyl-11,27,37-trioxa-4-azatetracyclo[31.3.1.0⁴,⁹.0²⁶,²⁸]heptatriaconta-16,24,29-triene-2,3,10,14,20-pentone</t>
  </si>
  <si>
    <t xml:space="preserve">144394</t>
  </si>
  <si>
    <t xml:space="preserve">HMDB0127639</t>
  </si>
  <si>
    <t xml:space="preserve">131833975</t>
  </si>
  <si>
    <t xml:space="preserve">[H]\C1=C([H])\C([H])(C)CC([H])(C)C(=O)C([H])(OC)C([H])(O)\C(C)=C([H])/C([H])(C)C(=O)CC([H])(OC(=O)C2([H])CCCCN2C(=O)C(=O)[C@]2(O)OC([H])(CCC2([H])C)CC([H])(OC)\C(C)=C([H])/C2([H])OC12[H])C([H])(C)CC1([H])CCC([H])(O)C([H])(C1)OC</t>
  </si>
  <si>
    <t xml:space="preserve">BVWYFFNZCOYQSA-RVTOTPHVSA-N</t>
  </si>
  <si>
    <t xml:space="preserve">913.56172</t>
  </si>
  <si>
    <t xml:space="preserve">C20H39N5O6</t>
  </si>
  <si>
    <t xml:space="preserve">Dynorphin B (10-13)</t>
  </si>
  <si>
    <t xml:space="preserve">52111</t>
  </si>
  <si>
    <t xml:space="preserve">HMDB0012936</t>
  </si>
  <si>
    <t xml:space="preserve">169592</t>
  </si>
  <si>
    <t xml:space="preserve">53481556</t>
  </si>
  <si>
    <t xml:space="preserve">CC(C)[C@H](NC(=O)[C@H](N)CCCCN)C(=O)N[C@H](C(C)C)C(=O)N[C@@H]([C@H](C)O)C(O)=O</t>
  </si>
  <si>
    <t xml:space="preserve">VSLCIGXQLCYQTD-NPJQDHAYSA-N</t>
  </si>
  <si>
    <t xml:space="preserve">917.69841</t>
  </si>
  <si>
    <t xml:space="preserve">C57H98O6</t>
  </si>
  <si>
    <t xml:space="preserve">TG(54:6)</t>
  </si>
  <si>
    <t xml:space="preserve">48517</t>
  </si>
  <si>
    <t xml:space="preserve">HMDB0005391</t>
  </si>
  <si>
    <t xml:space="preserve">9544362</t>
  </si>
  <si>
    <t xml:space="preserve">[H][C@](COC(=O)CCCCCCCCCCCCCCC)(COC(=O)CCC\C=C/C\C=C/C\C=C/C\C=C/CCCCC)OC(=O)CCCCCCC\C=C/C\C=C/CCCCC</t>
  </si>
  <si>
    <t xml:space="preserve">NIQCHCDUIPSWDJ-NMAMUASOSA-N</t>
  </si>
  <si>
    <t xml:space="preserve">919.71369</t>
  </si>
  <si>
    <t xml:space="preserve">C57H100O6</t>
  </si>
  <si>
    <t xml:space="preserve">TG(54:5)</t>
  </si>
  <si>
    <t xml:space="preserve">48511</t>
  </si>
  <si>
    <t xml:space="preserve">HMDB0005385</t>
  </si>
  <si>
    <t xml:space="preserve">9544319</t>
  </si>
  <si>
    <t xml:space="preserve">[H][C@](COC(=O)CCCCCCCCCCCCCCC)(COC(=O)CCC\C=C/C\C=C/C\C=C/C\C=C/CCCCC)OC(=O)CCCCCCC\C=C/CCCCCCCC</t>
  </si>
  <si>
    <t xml:space="preserve">KKABVOCYVJCRKP-LFLUISAQSA-N</t>
  </si>
  <si>
    <t xml:space="preserve">920.55108</t>
  </si>
  <si>
    <t xml:space="preserve">C52H84NO8P</t>
  </si>
  <si>
    <t xml:space="preserve">PC(44:10)</t>
  </si>
  <si>
    <t xml:space="preserve">19355</t>
  </si>
  <si>
    <t xml:space="preserve">HMDB0008649</t>
  </si>
  <si>
    <t xml:space="preserve">60095</t>
  </si>
  <si>
    <t xml:space="preserve">LMGP01012096</t>
  </si>
  <si>
    <t xml:space="preserve">52923669</t>
  </si>
  <si>
    <t xml:space="preserve">[C@](COP(=O)([O-])OCC[N+](C)(C)C)([H])(OC(CC/C=C\C/C=C\C/C=C\C/C=C\C/C=C\C/C=C\CC)=O)COC(CCCCC/C=C\C/C=C\C/C=C\C/C=C\CCCCC)=O</t>
  </si>
  <si>
    <t xml:space="preserve">YDFZMLWRHJTSBW-LTFZHXBASA-N</t>
  </si>
  <si>
    <t xml:space="preserve">920.71837</t>
  </si>
  <si>
    <t xml:space="preserve">C54H98NO8P</t>
  </si>
  <si>
    <t xml:space="preserve">PC(46:5)</t>
  </si>
  <si>
    <t xml:space="preserve">49797</t>
  </si>
  <si>
    <t xml:space="preserve">HMDB0008651</t>
  </si>
  <si>
    <t xml:space="preserve">60097</t>
  </si>
  <si>
    <t xml:space="preserve">53479265</t>
  </si>
  <si>
    <t xml:space="preserve">CCCCCCCC\C=C/CCCCCCCCCCCCCC(=O)O[C@]([H])(COC(=O)CCCCC\C=C/C\C=C/C\C=C/C\C=C/CCCCC)COP([O-])(=O)OCC[N+](C)(C)C</t>
  </si>
  <si>
    <t xml:space="preserve">RDVPCWQGFINSTH-DOHKHGPWSA-N</t>
  </si>
  <si>
    <t xml:space="preserve">921.55559</t>
  </si>
  <si>
    <t xml:space="preserve">C19H39N5O7</t>
  </si>
  <si>
    <t xml:space="preserve">Gentamicin C</t>
  </si>
  <si>
    <t xml:space="preserve">207137</t>
  </si>
  <si>
    <t xml:space="preserve">HMDB0252688</t>
  </si>
  <si>
    <t xml:space="preserve">582362</t>
  </si>
  <si>
    <t xml:space="preserve">CNC1C(O)C(OC2C(N)CC(N)C(OC3OC(CN)CCC3N)C2O)OCC1(C)O</t>
  </si>
  <si>
    <t xml:space="preserve">VEGXETMJINRLTH-UHFFFAOYSA-N</t>
  </si>
  <si>
    <t xml:space="preserve">921.73310</t>
  </si>
  <si>
    <t xml:space="preserve">C62H98O6</t>
  </si>
  <si>
    <t xml:space="preserve">TG(59:11)</t>
  </si>
  <si>
    <t xml:space="preserve">HMDB0043625</t>
  </si>
  <si>
    <t xml:space="preserve">[H][C@](COC(=O)CCCCCCCCCCCCCC)(COC(=O)CC\C=C/C\C=C/C\C=C/C\C=C/C\C=C/C\C=C/CC)OC(=O)CC\C=C/C\C=C/C\C=C/C\C=C/C\C=C/CCCCC</t>
  </si>
  <si>
    <t xml:space="preserve">ULCPUHXPBWZORF-DTFHYMKRSA-N</t>
  </si>
  <si>
    <t xml:space="preserve">922.56449</t>
  </si>
  <si>
    <t xml:space="preserve">C52H86NO8P</t>
  </si>
  <si>
    <t xml:space="preserve">PC(44:9)</t>
  </si>
  <si>
    <t xml:space="preserve">49794</t>
  </si>
  <si>
    <t xml:space="preserve">HMDB0008647</t>
  </si>
  <si>
    <t xml:space="preserve">53479259</t>
  </si>
  <si>
    <t xml:space="preserve">CCCCC\C=C/C\C=C/C\C=C/C\C=C/CCCCCC(=O)OC[C@]([H])(COP([O-])(=O)OCC[N+](C)(C)C)OC(=O)CC\C=C/C\C=C/C\C=C/C\C=C/C\C=C/CCCCC</t>
  </si>
  <si>
    <t xml:space="preserve">SFSBFLYKKKQXNO-LLQBBXEXSA-N</t>
  </si>
  <si>
    <t xml:space="preserve">924.50128</t>
  </si>
  <si>
    <t xml:space="preserve">C47H73NO17</t>
  </si>
  <si>
    <t xml:space="preserve">Amphotericin B</t>
  </si>
  <si>
    <t xml:space="preserve">28290</t>
  </si>
  <si>
    <t xml:space="preserve">HMDB0014819</t>
  </si>
  <si>
    <t xml:space="preserve">1029</t>
  </si>
  <si>
    <t xml:space="preserve">LMPK06000002</t>
  </si>
  <si>
    <t xml:space="preserve">C06573</t>
  </si>
  <si>
    <t xml:space="preserve">5280965</t>
  </si>
  <si>
    <t xml:space="preserve">1397-89-3</t>
  </si>
  <si>
    <t xml:space="preserve">[C@]12([H])C[C@H](C=CC=CC=CC=CC=CC=CC=C[C@@H]([C@@H](O)[C@@H](C)[C@H](C)OC(=O)C[C@H](O)C[C@H](O)CC[C@@H](O)[C@H](O)C[C@H](O)C[C@@](C[C@H](O)[C@H]1C(=O)O)(O)O2)C)O[C@@H]1O[C@@H]([C@@H](O)[C@H](N)[C@@H]1O)C</t>
  </si>
  <si>
    <t xml:space="preserve">APKFDSVGJQXUKY-INPOYWNPSA-N</t>
  </si>
  <si>
    <t xml:space="preserve">925.50877</t>
  </si>
  <si>
    <t xml:space="preserve">C48H78O18</t>
  </si>
  <si>
    <t xml:space="preserve">Soyasaponin I; Arvensoside D</t>
  </si>
  <si>
    <t xml:space="preserve">58643; 62683</t>
  </si>
  <si>
    <t xml:space="preserve">HMDB0034649; HMDB0039406</t>
  </si>
  <si>
    <t xml:space="preserve">67309; 325536</t>
  </si>
  <si>
    <t xml:space="preserve">C08983; C08923</t>
  </si>
  <si>
    <t xml:space="preserve">9211; </t>
  </si>
  <si>
    <t xml:space="preserve">122097; 434120</t>
  </si>
  <si>
    <t xml:space="preserve">51330-27-9; 58231-97-3</t>
  </si>
  <si>
    <t xml:space="preserve">[H][C@@]1(O[C@@H]2[C@@H](O)[C@@H](O)[C@@H](CO)O[C@@]2([H])O[C@@H]2[C@@H](O)[C@H](O)[C@H](O[C@@]2([H])O[C@H]2CC[C@@]3(C)[C@@]([H])(CC[C@]4(C)[C@]3([H])CC=C3[C@]5([H])CC(C)(C)C[C@@H](O)[C@]5(C)CC[C@@]43C)[C@@]2(C)CO)C(O)=O)O[C@@H](C)[C@H](O)[C@@H](O)[C@H]1O; CC1(C)CCC2(CCC3(C)C(=CCC4C5(C)CCC(OC6OC(CO)C(O)C(OC7OC(CO)C(O)C(O)C7O)C6OC6OC(CO)C(O)C(O)C6O)C(C)(C)C5CCC34C)C2C1)C(O)=O</t>
  </si>
  <si>
    <t xml:space="preserve">PTDAHAWQAGSZDD-IOVCITQVSA-N; OGKRHYLZKFTGGO-UHFFFAOYSA-N</t>
  </si>
  <si>
    <t xml:space="preserve">Terpene glycosides; Terpene glycosides</t>
  </si>
  <si>
    <t xml:space="preserve">926.50375</t>
  </si>
  <si>
    <t xml:space="preserve">C47H75NO17</t>
  </si>
  <si>
    <t xml:space="preserve">Nystatin</t>
  </si>
  <si>
    <t xml:space="preserve">28289</t>
  </si>
  <si>
    <t xml:space="preserve">HMDB0014784</t>
  </si>
  <si>
    <t xml:space="preserve">LMPK06000001</t>
  </si>
  <si>
    <t xml:space="preserve">C06572</t>
  </si>
  <si>
    <t xml:space="preserve">7660</t>
  </si>
  <si>
    <t xml:space="preserve">11953884</t>
  </si>
  <si>
    <t xml:space="preserve">1400-61-9</t>
  </si>
  <si>
    <t xml:space="preserve">C1(O[C@@H]([C@@H](O)[C@H](N)[C@@H]1O)C)OC1C=CC=CC=CC=CCCC=CC=CC(C)C(O)C(C)C(OC(=O)CC(O)CC(O)CC(O)CCC(O)C(O)CC(=O)CC(O)C(C(=O)O)C(O)C1)C</t>
  </si>
  <si>
    <t xml:space="preserve">ZDFDJJJGIRGMBE-AFARJNEBSA-N</t>
  </si>
  <si>
    <t xml:space="preserve">928.51189</t>
  </si>
  <si>
    <t xml:space="preserve">C50H77NO12</t>
  </si>
  <si>
    <t xml:space="preserve">Demethoxyrapamycin</t>
  </si>
  <si>
    <t xml:space="preserve">205664</t>
  </si>
  <si>
    <t xml:space="preserve">HMDB0250990</t>
  </si>
  <si>
    <t xml:space="preserve">174313</t>
  </si>
  <si>
    <t xml:space="preserve">COC1CC(CC(C)C2CC(=O)C(C)C=C(C)C(O)CC(=O)C(C)CC(C)C=CC=CC=C(C)C(CC3CCC(C)C(O)(O3)C(=O)C(=O)N3CCCCC3C(=O)O2)OC)CCC1O</t>
  </si>
  <si>
    <t xml:space="preserve">SRIDGLJAFSFWOP-UHFFFAOYSA-N</t>
  </si>
  <si>
    <t xml:space="preserve">941.69072</t>
  </si>
  <si>
    <t xml:space="preserve">C59H98O6</t>
  </si>
  <si>
    <t xml:space="preserve">TG(56:8)</t>
  </si>
  <si>
    <t xml:space="preserve">48518</t>
  </si>
  <si>
    <t xml:space="preserve">HMDB0005392</t>
  </si>
  <si>
    <t xml:space="preserve">9544762</t>
  </si>
  <si>
    <t xml:space="preserve">[H][C@](COC(=O)CCCCCCCCCCCCCCC)(COC(=O)CCC\C=C/C\C=C/C\C=C/C\C=C/CCCCC)OC(=O)CCC\C=C/C\C=C/C\C=C/C\C=C/CCCCC</t>
  </si>
  <si>
    <t xml:space="preserve">UBGUHMDKBGQUND-XBKPWYIYSA-N</t>
  </si>
  <si>
    <t xml:space="preserve">943.71606</t>
  </si>
  <si>
    <t xml:space="preserve">C59H100O6</t>
  </si>
  <si>
    <t xml:space="preserve">TG(56:7)</t>
  </si>
  <si>
    <t xml:space="preserve">48583</t>
  </si>
  <si>
    <t xml:space="preserve">HMDB0005462</t>
  </si>
  <si>
    <t xml:space="preserve">9544702</t>
  </si>
  <si>
    <t xml:space="preserve">[H][C@](COC(=O)CCCCCCC\C=C/CCCCCCCC)(COC(=O)CCC\C=C/C\C=C/C\C=C/C\C=C/CCCCC)OC(=O)CCCCCCC\C=C/C\C=C/CCCCC</t>
  </si>
  <si>
    <t xml:space="preserve">BERVBMBIJSJYRR-XXSFXJEDSA-N</t>
  </si>
  <si>
    <t xml:space="preserve">945.72933</t>
  </si>
  <si>
    <t xml:space="preserve">C59H102O6</t>
  </si>
  <si>
    <t xml:space="preserve">TG(56:6)</t>
  </si>
  <si>
    <t xml:space="preserve">48537</t>
  </si>
  <si>
    <t xml:space="preserve">HMDB0005412</t>
  </si>
  <si>
    <t xml:space="preserve">9544638</t>
  </si>
  <si>
    <t xml:space="preserve">[H][C@](COC(=O)CCCCCCCCCCCCCCCCC)(COC(=O)CCC\C=C/C\C=C/C\C=C/C\C=C/CCCCC)OC(=O)CCCCCCC\C=C/C\C=C/CCCCC</t>
  </si>
  <si>
    <t xml:space="preserve">CKEOSPBKHRUVTN-WDVRSESKSA-N</t>
  </si>
  <si>
    <t xml:space="preserve">947.50858</t>
  </si>
  <si>
    <t xml:space="preserve">C47H82O16P2</t>
  </si>
  <si>
    <t xml:space="preserve">PIP(38:5)</t>
  </si>
  <si>
    <t xml:space="preserve">50578</t>
  </si>
  <si>
    <t xml:space="preserve">HMDB0009937</t>
  </si>
  <si>
    <t xml:space="preserve">61319</t>
  </si>
  <si>
    <t xml:space="preserve">53480132</t>
  </si>
  <si>
    <t xml:space="preserve">CCCCCCCCCCCCCCCC(=O)OC[C@]([H])(COP(O)(=O)O[C@H]1C(O)C(O)C(O)[C@@H](OP(=O)(O)O)C1O)OC(=O)CC\C=C/C\C=C/C\C=C/C\C=C/C\C=C/CCCCC</t>
  </si>
  <si>
    <t xml:space="preserve">JGFYAFZFSQXQIQ-QIVMTMOMSA-N</t>
  </si>
  <si>
    <t xml:space="preserve">950.51115</t>
  </si>
  <si>
    <t xml:space="preserve">C52H67N7O10</t>
  </si>
  <si>
    <t xml:space="preserve">Ac-(5H-Dibenzyl(a,d)cycloheptene-10,11-dihydroglycine-leu-asp-ile-ile-trp)</t>
  </si>
  <si>
    <t xml:space="preserve">210054</t>
  </si>
  <si>
    <t xml:space="preserve">HMDB0256174</t>
  </si>
  <si>
    <t xml:space="preserve">22004768</t>
  </si>
  <si>
    <t xml:space="preserve">CCC(C)C(NC(=O)C(NC(=O)C(CC(O)=O)NC(=O)C(CC(C)C)NC(=O)C(NC(C)=O)C1C2=CC=CC=C2CCC2=CC=CC=C12)C(C)CC)C(=O)NC(CC1=CNC2=CC=CC=C12)C(O)=O</t>
  </si>
  <si>
    <t xml:space="preserve">HRAQSWKGRRUBDJ-UHFFFAOYSA-N</t>
  </si>
  <si>
    <t xml:space="preserve">964.48166</t>
  </si>
  <si>
    <t xml:space="preserve">C50H82NO10P</t>
  </si>
  <si>
    <t xml:space="preserve">PS(44:8)</t>
  </si>
  <si>
    <t xml:space="preserve">22047</t>
  </si>
  <si>
    <t xml:space="preserve">HMDB0112785</t>
  </si>
  <si>
    <t xml:space="preserve">78450</t>
  </si>
  <si>
    <t xml:space="preserve">LMGP03010786</t>
  </si>
  <si>
    <t xml:space="preserve">52925896</t>
  </si>
  <si>
    <t xml:space="preserve">C(O)(=O)[C@@]([H])(N)COP(OC[C@]([H])(OC(CC/C=C\C/C=C\C/C=C\C/C=C\C/C=C\C/C=C\CC)=O)COC(CCCCCCCCCCC/C=C\C/C=C\CCCCC)=O)(=O)O</t>
  </si>
  <si>
    <t xml:space="preserve">AAEHIVYIVPNEDF-MKJHNSTASA-N</t>
  </si>
  <si>
    <t xml:space="preserve">967.69153</t>
  </si>
  <si>
    <t xml:space="preserve">C30H48O4</t>
  </si>
  <si>
    <t xml:space="preserve">27-Hydroxyisomangiferolic acid; Maslinic acid</t>
  </si>
  <si>
    <t xml:space="preserve">59868; 36351</t>
  </si>
  <si>
    <t xml:space="preserve">HMDB0036064; HMDB0002392</t>
  </si>
  <si>
    <t xml:space="preserve">91240; 44861</t>
  </si>
  <si>
    <t xml:space="preserve">; LMPR0106180014</t>
  </si>
  <si>
    <t xml:space="preserve">C17568; C16939</t>
  </si>
  <si>
    <t xml:space="preserve">52971; 66682</t>
  </si>
  <si>
    <t xml:space="preserve">5283544; 73659</t>
  </si>
  <si>
    <t xml:space="preserve">123563-64-4; 4373-41-5</t>
  </si>
  <si>
    <t xml:space="preserve">CC(CC\C=C(\CO)C(O)=O)C1CCC2(C)C3CCC4C5(CC35CCC12C)CCC(O)C4(C)C; CC1([C@@H](O)[C@@H](C[C@]2(C)[C@]3(CC=C4[C@]5([H])CC(C)(CC[C@]5(C(=O)O)CC[C@]4([C@]3(C)CC[C@@]12[H])C)C)[H])O)C</t>
  </si>
  <si>
    <t xml:space="preserve">YWPLTMNXKKXXII-ZBKNUEDVSA-N; MDZKJHQSJHYOHJ-LLICELPBSA-N</t>
  </si>
  <si>
    <t xml:space="preserve">Cycloartanols and derivatives; Triterpenoids</t>
  </si>
  <si>
    <t xml:space="preserve">972.51038</t>
  </si>
  <si>
    <t xml:space="preserve">C20H4Cl4I4O5</t>
  </si>
  <si>
    <t xml:space="preserve">Rose bengal</t>
  </si>
  <si>
    <t xml:space="preserve">60302</t>
  </si>
  <si>
    <t xml:space="preserve">HMDB0036613</t>
  </si>
  <si>
    <t xml:space="preserve">87202</t>
  </si>
  <si>
    <t xml:space="preserve">25474</t>
  </si>
  <si>
    <t xml:space="preserve">4159-77-7</t>
  </si>
  <si>
    <t xml:space="preserve">OC(=O)C1=C(C(Cl)=C(Cl)C(Cl)=C1Cl)C1=C2C=C(I)C(=O)C(I)=C2OC2=C(I)C(O)=C(I)C=C12</t>
  </si>
  <si>
    <t xml:space="preserve">VDNLFJGJEQUWRB-UHFFFAOYSA-N</t>
  </si>
  <si>
    <t xml:space="preserve">973.55019</t>
  </si>
  <si>
    <t xml:space="preserve">C25H43O7P</t>
  </si>
  <si>
    <t xml:space="preserve">1-(7Z,10Z,13Z,16Z-docosatetraenoyl)-glycero-3-phosphate; LPA(22:4)</t>
  </si>
  <si>
    <t xml:space="preserve">26084; 134855</t>
  </si>
  <si>
    <t xml:space="preserve">HMDB0062310; HMDB0114752</t>
  </si>
  <si>
    <t xml:space="preserve">82339; </t>
  </si>
  <si>
    <t xml:space="preserve">LMGP10050020; </t>
  </si>
  <si>
    <t xml:space="preserve">52929754; 87978099</t>
  </si>
  <si>
    <t xml:space="preserve">[C@](COP(=O)(O)O)([H])(O)COC(CCCCC/C=C\C/C=C\C/C=C\C/C=C\CCCCC)=O; CCCCC\C=C/C\C=C/C\C=C/C\C=C/CCCCCC(=O)OCC(O)COP(O)(O)=O</t>
  </si>
  <si>
    <t xml:space="preserve">KSDVXYAHZXLGDS-XSQXPFHXSA-N; KSDVXYAHZXLGDS-DOFZRALJSA-N</t>
  </si>
  <si>
    <t xml:space="preserve">979.56063</t>
  </si>
  <si>
    <t xml:space="preserve">C29H42O5</t>
  </si>
  <si>
    <t xml:space="preserve">19alpha-19-Hydroxy-3,11-dioxo-12-ursen-28-oic acid; 17,23-Epoxy-29-hydroxy-27-norlanost-8-ene-3,15,24-trione; (3beta,17alpha,23S)-17,23-Epoxy-3,29-dihydroxy-27-norlanosta-7,9(11)-diene-15,24-dione</t>
  </si>
  <si>
    <t xml:space="preserve">62047; 59018; 59779</t>
  </si>
  <si>
    <t xml:space="preserve">HMDB0038683; HMDB0035113; HMDB0035970</t>
  </si>
  <si>
    <t xml:space="preserve">; 90452; 91156</t>
  </si>
  <si>
    <t xml:space="preserve">; 131751668; 131751891</t>
  </si>
  <si>
    <t xml:space="preserve">C[C@@H]1CC[C@@]2(CCC3C(=CC(=O)C4[C@@]3(C)CCC3C(C)(C)C(=O)CC[C@]43C)C2C1(C)O)C(O)=O; CCC(=O)C1CC(C)C2(CC(=O)C3(C)C4=C(CCC23C)C2(C)CCC(=O)C(C)(CO)C2CC4)O1; CCC(=O)C1CC(C)C2(CC(=O)C3(C)C4=CCC5C(C)(CO)C(O)CCC5(C)C4=CCC23C)O1</t>
  </si>
  <si>
    <t xml:space="preserve">LEDUTIHVUWXGHW-FNJHRCSHSA-N; DVXXYXKKUSGEIB-UHFFFAOYSA-N; AZFKWPDLOCRQKE-UHFFFAOYSA-N</t>
  </si>
  <si>
    <t xml:space="preserve">Organic oxygen compounds; Lipids and lipid-like molecules; Lipids and lipid-like molecules</t>
  </si>
  <si>
    <t xml:space="preserve">Organooxygen compounds; Prenol lipids; Steroids and steroid derivatives</t>
  </si>
  <si>
    <t xml:space="preserve">Carbonyl compounds; Triterpenoids; Oxosteroids</t>
  </si>
  <si>
    <t xml:space="preserve">1038.55506</t>
  </si>
  <si>
    <t xml:space="preserve">C52H87N3O15P2</t>
  </si>
  <si>
    <t xml:space="preserve">CDdiacylglycerol(P-40:5)</t>
  </si>
  <si>
    <t xml:space="preserve">135634</t>
  </si>
  <si>
    <t xml:space="preserve">HMDB0115957</t>
  </si>
  <si>
    <t xml:space="preserve">131822613</t>
  </si>
  <si>
    <t xml:space="preserve">[H][C@@](COC(=O)CCCCCCCCCCCCCCCCC)(COP(O)(=O)OP(O)(=O)OC[C@H]1O[C@H](C(O)[C@H]1O)N1C=CC(N)=NC1=O)OC(=O)CC\C=C/C\C=C/C\C=C/C\C=C/C\C=C/CCCCC</t>
  </si>
  <si>
    <t xml:space="preserve">URTBJUOVHSNCRE-QXGVXNGESA-N</t>
  </si>
  <si>
    <t xml:space="preserve">1149.50586</t>
  </si>
  <si>
    <t xml:space="preserve">C53H84O24</t>
  </si>
  <si>
    <t xml:space="preserve">Camellidin II</t>
  </si>
  <si>
    <t xml:space="preserve">58855</t>
  </si>
  <si>
    <t xml:space="preserve">HMDB0034925</t>
  </si>
  <si>
    <t xml:space="preserve">C08934</t>
  </si>
  <si>
    <t xml:space="preserve">131751638</t>
  </si>
  <si>
    <t xml:space="preserve">96827-23-5</t>
  </si>
  <si>
    <t xml:space="preserve">CC1(C)CCC2(O)C(C1)C1=CCC3C4(C)CCC(OC5OC(C(OC6OC(CO)C(O)C(O)C6OC6OC(CO)C(O)C(O)C6O)C(O)C5OC5OC(CO)C(O)C(O)C5O)C(O)=O)C(C)(C)C4CCC3(C)C1(C)CC2=O</t>
  </si>
  <si>
    <t xml:space="preserve">KRGPAORQCGZPGJ-UHFFFAOYSA-N</t>
  </si>
  <si>
    <t xml:space="preserve">Isopentanol</t>
  </si>
  <si>
    <t xml:space="preserve">HMDB0006007</t>
  </si>
  <si>
    <t xml:space="preserve">46062</t>
  </si>
  <si>
    <t xml:space="preserve">LMFA05000108</t>
  </si>
  <si>
    <t xml:space="preserve">C07328</t>
  </si>
  <si>
    <t xml:space="preserve">15837</t>
  </si>
  <si>
    <t xml:space="preserve">31260</t>
  </si>
  <si>
    <t xml:space="preserve">123-51-3</t>
  </si>
  <si>
    <t xml:space="preserve">OCCC(C)C</t>
  </si>
  <si>
    <t xml:space="preserve">PHTQWCKDNZKARW-UHFFFAOYSA-N</t>
  </si>
  <si>
    <t xml:space="preserve">1-2</t>
  </si>
  <si>
    <t xml:space="preserve">1-Pentanol</t>
  </si>
  <si>
    <t xml:space="preserve">HMDB0013036</t>
  </si>
  <si>
    <t xml:space="preserve">46065</t>
  </si>
  <si>
    <t xml:space="preserve">LMFA05000112</t>
  </si>
  <si>
    <t xml:space="preserve">C16834</t>
  </si>
  <si>
    <t xml:space="preserve">44884</t>
  </si>
  <si>
    <t xml:space="preserve">6276</t>
  </si>
  <si>
    <t xml:space="preserve">71-41-0</t>
  </si>
  <si>
    <t xml:space="preserve">OCCCCC</t>
  </si>
  <si>
    <t xml:space="preserve">AMQJEAYHLZJPGS-UHFFFAOYSA-N</t>
  </si>
  <si>
    <t xml:space="preserve">1-3</t>
  </si>
  <si>
    <t xml:space="preserve">Methyl-tert-butyl ether</t>
  </si>
  <si>
    <t xml:space="preserve">HMDB0061749</t>
  </si>
  <si>
    <t xml:space="preserve">69006</t>
  </si>
  <si>
    <t xml:space="preserve">C11344</t>
  </si>
  <si>
    <t xml:space="preserve">27642</t>
  </si>
  <si>
    <t xml:space="preserve">15413</t>
  </si>
  <si>
    <t xml:space="preserve">1634-04-4</t>
  </si>
  <si>
    <t xml:space="preserve">COC(C)(C)C</t>
  </si>
  <si>
    <t xml:space="preserve">BZLVMXJERCGZMT-UHFFFAOYSA-N</t>
  </si>
  <si>
    <t xml:space="preserve">1,3-Butanediol</t>
  </si>
  <si>
    <t xml:space="preserve">HMDB0031320</t>
  </si>
  <si>
    <t xml:space="preserve">87583</t>
  </si>
  <si>
    <t xml:space="preserve">C20335</t>
  </si>
  <si>
    <t xml:space="preserve">52683</t>
  </si>
  <si>
    <t xml:space="preserve">7896</t>
  </si>
  <si>
    <t xml:space="preserve">107-88-0</t>
  </si>
  <si>
    <t xml:space="preserve">CC(O)CCO</t>
  </si>
  <si>
    <t xml:space="preserve">PUPZLCDOIYMWBV-UHFFFAOYSA-N</t>
  </si>
  <si>
    <t xml:space="preserve">3-2</t>
  </si>
  <si>
    <t xml:space="preserve">2,3-Butanediol</t>
  </si>
  <si>
    <t xml:space="preserve">HMDB0003156</t>
  </si>
  <si>
    <t xml:space="preserve">104</t>
  </si>
  <si>
    <t xml:space="preserve">C03044</t>
  </si>
  <si>
    <t xml:space="preserve">62064</t>
  </si>
  <si>
    <t xml:space="preserve">262</t>
  </si>
  <si>
    <t xml:space="preserve">513-85-9</t>
  </si>
  <si>
    <t xml:space="preserve">CC(O)C(C)O</t>
  </si>
  <si>
    <t xml:space="preserve">OWBTYPJTUOEWEK-UHFFFAOYSA-N</t>
  </si>
  <si>
    <t xml:space="preserve">3-3</t>
  </si>
  <si>
    <t xml:space="preserve">2-Ethoxyethanol</t>
  </si>
  <si>
    <t xml:space="preserve">HMDB0031213</t>
  </si>
  <si>
    <t xml:space="preserve">70261</t>
  </si>
  <si>
    <t xml:space="preserve">C14687</t>
  </si>
  <si>
    <t xml:space="preserve">46788</t>
  </si>
  <si>
    <t xml:space="preserve">8076</t>
  </si>
  <si>
    <t xml:space="preserve">110-80-5</t>
  </si>
  <si>
    <t xml:space="preserve">CCOCCO</t>
  </si>
  <si>
    <t xml:space="preserve">ZNQVEEAIQZEUHB-UHFFFAOYSA-N</t>
  </si>
  <si>
    <t xml:space="preserve">(Z)-3-Hexenal</t>
  </si>
  <si>
    <t xml:space="preserve">HMDB0031498</t>
  </si>
  <si>
    <t xml:space="preserve">36628</t>
  </si>
  <si>
    <t xml:space="preserve">LMFA06000110</t>
  </si>
  <si>
    <t xml:space="preserve">C16310</t>
  </si>
  <si>
    <t xml:space="preserve">23292</t>
  </si>
  <si>
    <t xml:space="preserve">643941</t>
  </si>
  <si>
    <t xml:space="preserve">6789-80-6</t>
  </si>
  <si>
    <t xml:space="preserve">C(C/C=C\CC)=O</t>
  </si>
  <si>
    <t xml:space="preserve">GXANMBISFKBPEX-ARJAWSKDSA-N</t>
  </si>
  <si>
    <t xml:space="preserve">4-2</t>
  </si>
  <si>
    <t xml:space="preserve">2-Hexenal</t>
  </si>
  <si>
    <t xml:space="preserve">HMDB0031496</t>
  </si>
  <si>
    <t xml:space="preserve">36524</t>
  </si>
  <si>
    <t xml:space="preserve">LMFA06000002</t>
  </si>
  <si>
    <t xml:space="preserve">C08497</t>
  </si>
  <si>
    <t xml:space="preserve">28913</t>
  </si>
  <si>
    <t xml:space="preserve">5281168</t>
  </si>
  <si>
    <t xml:space="preserve">6728-26-3</t>
  </si>
  <si>
    <t xml:space="preserve">CCC/C=C/C([H])=O</t>
  </si>
  <si>
    <t xml:space="preserve">MBDOYVRWFFCFHM-SNAWJCMRSA-N</t>
  </si>
  <si>
    <t xml:space="preserve">4-3</t>
  </si>
  <si>
    <t xml:space="preserve">Cyclohexanone</t>
  </si>
  <si>
    <t xml:space="preserve">HMDB0003315</t>
  </si>
  <si>
    <t xml:space="preserve">58147</t>
  </si>
  <si>
    <t xml:space="preserve">C00414</t>
  </si>
  <si>
    <t xml:space="preserve">17854</t>
  </si>
  <si>
    <t xml:space="preserve">7967</t>
  </si>
  <si>
    <t xml:space="preserve">108-94-1</t>
  </si>
  <si>
    <t xml:space="preserve">O=C1CCCCC1</t>
  </si>
  <si>
    <t xml:space="preserve">JHIVVAPYMSGYDF-UHFFFAOYSA-N</t>
  </si>
  <si>
    <t xml:space="preserve">Hexanal</t>
  </si>
  <si>
    <t xml:space="preserve">HMDB0005994</t>
  </si>
  <si>
    <t xml:space="preserve">36627</t>
  </si>
  <si>
    <t xml:space="preserve">LMFA06000109</t>
  </si>
  <si>
    <t xml:space="preserve">C02373</t>
  </si>
  <si>
    <t xml:space="preserve">6184</t>
  </si>
  <si>
    <t xml:space="preserve">66-25-1</t>
  </si>
  <si>
    <t xml:space="preserve">CCCCCC([H])=O</t>
  </si>
  <si>
    <t xml:space="preserve">JARKCYVAAOWBJS-UHFFFAOYSA-N</t>
  </si>
  <si>
    <t xml:space="preserve">Methyl isobutyl ketone</t>
  </si>
  <si>
    <t xml:space="preserve">HMDB0002939</t>
  </si>
  <si>
    <t xml:space="preserve">58138</t>
  </si>
  <si>
    <t xml:space="preserve">LMFA12000033</t>
  </si>
  <si>
    <t xml:space="preserve">C19263</t>
  </si>
  <si>
    <t xml:space="preserve">142806</t>
  </si>
  <si>
    <t xml:space="preserve">7909</t>
  </si>
  <si>
    <t xml:space="preserve">108-10-1</t>
  </si>
  <si>
    <t xml:space="preserve">CC(=O)CC(C)C</t>
  </si>
  <si>
    <t xml:space="preserve">NTIZESTWPVYFNL-UHFFFAOYSA-N</t>
  </si>
  <si>
    <t xml:space="preserve">5-3</t>
  </si>
  <si>
    <t xml:space="preserve">4-Methylpentanal</t>
  </si>
  <si>
    <t xml:space="preserve">HMDB0001318</t>
  </si>
  <si>
    <t xml:space="preserve">6155</t>
  </si>
  <si>
    <t xml:space="preserve">17998</t>
  </si>
  <si>
    <t xml:space="preserve">1119-16-0</t>
  </si>
  <si>
    <t xml:space="preserve">CC(C)CCC=O</t>
  </si>
  <si>
    <t xml:space="preserve">JGEGJYXHCFUMJF-UHFFFAOYSA-N</t>
  </si>
  <si>
    <t xml:space="preserve">L-3-Aminodihydro-2(3H)-furanone</t>
  </si>
  <si>
    <t xml:space="preserve">HMDB0029387</t>
  </si>
  <si>
    <t xml:space="preserve">65863</t>
  </si>
  <si>
    <t xml:space="preserve">C02926</t>
  </si>
  <si>
    <t xml:space="preserve">17289</t>
  </si>
  <si>
    <t xml:space="preserve">73509</t>
  </si>
  <si>
    <t xml:space="preserve">1192-20-7</t>
  </si>
  <si>
    <t xml:space="preserve">NC1CCOC1=O</t>
  </si>
  <si>
    <t xml:space="preserve">QJPWUUJVYOJNMH-UHFFFAOYSA-N</t>
  </si>
  <si>
    <t xml:space="preserve">6-2</t>
  </si>
  <si>
    <t xml:space="preserve">1-Aminocyclopropanecarboxylic acid</t>
  </si>
  <si>
    <t xml:space="preserve">HMDB0036458</t>
  </si>
  <si>
    <t xml:space="preserve">C01234</t>
  </si>
  <si>
    <t xml:space="preserve">18053</t>
  </si>
  <si>
    <t xml:space="preserve">535</t>
  </si>
  <si>
    <t xml:space="preserve">22059-21-8</t>
  </si>
  <si>
    <t xml:space="preserve">NC1(CC1)C(O)=O</t>
  </si>
  <si>
    <t xml:space="preserve">PAJPWUMXBYXFCZ-UHFFFAOYSA-N</t>
  </si>
  <si>
    <t xml:space="preserve">3-Hepten-2-one</t>
  </si>
  <si>
    <t xml:space="preserve">HMDB0031486</t>
  </si>
  <si>
    <t xml:space="preserve">87713</t>
  </si>
  <si>
    <t xml:space="preserve">LMFA12000103</t>
  </si>
  <si>
    <t xml:space="preserve">5364578</t>
  </si>
  <si>
    <t xml:space="preserve">1119-44-4</t>
  </si>
  <si>
    <t xml:space="preserve">CC(=O)/C=C/CCC</t>
  </si>
  <si>
    <t xml:space="preserve">JHHZQADGLDKIPM-AATRIKPKSA-N</t>
  </si>
  <si>
    <t xml:space="preserve">13-2</t>
  </si>
  <si>
    <t xml:space="preserve">(Z)-4-Heptenal</t>
  </si>
  <si>
    <t xml:space="preserve">HMDB0031483</t>
  </si>
  <si>
    <t xml:space="preserve">87711</t>
  </si>
  <si>
    <t xml:space="preserve">5362814</t>
  </si>
  <si>
    <t xml:space="preserve">6728-31-0</t>
  </si>
  <si>
    <t xml:space="preserve">CC\C=C/CCC=O</t>
  </si>
  <si>
    <t xml:space="preserve">VVGOCOMZRGWHPI-ARJAWSKDSA-N</t>
  </si>
  <si>
    <t xml:space="preserve">13-3</t>
  </si>
  <si>
    <t xml:space="preserve">2-Hepten-4-one</t>
  </si>
  <si>
    <t xml:space="preserve">HMDB0031488</t>
  </si>
  <si>
    <t xml:space="preserve">87715</t>
  </si>
  <si>
    <t xml:space="preserve">5463238</t>
  </si>
  <si>
    <t xml:space="preserve">4643-25-8</t>
  </si>
  <si>
    <t xml:space="preserve">CCCC(=O)\C=C\C</t>
  </si>
  <si>
    <t xml:space="preserve">TXVAOITYBBWKMG-HWKANZROSA-N</t>
  </si>
  <si>
    <t xml:space="preserve">1-Butylamine</t>
  </si>
  <si>
    <t xml:space="preserve">HMDB0031321</t>
  </si>
  <si>
    <t xml:space="preserve">72484</t>
  </si>
  <si>
    <t xml:space="preserve">C18706</t>
  </si>
  <si>
    <t xml:space="preserve">43799</t>
  </si>
  <si>
    <t xml:space="preserve">8007</t>
  </si>
  <si>
    <t xml:space="preserve">109-73-9</t>
  </si>
  <si>
    <t xml:space="preserve">CCCCN</t>
  </si>
  <si>
    <t xml:space="preserve">HQABUPZFAYXKJW-UHFFFAOYSA-N</t>
  </si>
  <si>
    <t xml:space="preserve">14-2</t>
  </si>
  <si>
    <t xml:space="preserve">sec-Butylamine</t>
  </si>
  <si>
    <t xml:space="preserve">HMDB0032179</t>
  </si>
  <si>
    <t xml:space="preserve">74526</t>
  </si>
  <si>
    <t xml:space="preserve">24874</t>
  </si>
  <si>
    <t xml:space="preserve">13952-84-6</t>
  </si>
  <si>
    <t xml:space="preserve">CCC(C)N</t>
  </si>
  <si>
    <t xml:space="preserve">BHRZNVHARXXAHW-UHFFFAOYSA-N</t>
  </si>
  <si>
    <t xml:space="preserve">14-3</t>
  </si>
  <si>
    <t xml:space="preserve">2-Methyl-1-propylamine</t>
  </si>
  <si>
    <t xml:space="preserve">HMDB0034198</t>
  </si>
  <si>
    <t xml:space="preserve">C02787</t>
  </si>
  <si>
    <t xml:space="preserve">15997</t>
  </si>
  <si>
    <t xml:space="preserve">6558</t>
  </si>
  <si>
    <t xml:space="preserve">78-81-9</t>
  </si>
  <si>
    <t xml:space="preserve">CC(C)CN</t>
  </si>
  <si>
    <t xml:space="preserve">KDSNLYIMUZNERS-UHFFFAOYSA-N</t>
  </si>
  <si>
    <t xml:space="preserve">1,2-Dichloroethane</t>
  </si>
  <si>
    <t xml:space="preserve">HMDB0029571</t>
  </si>
  <si>
    <t xml:space="preserve">66520</t>
  </si>
  <si>
    <t xml:space="preserve">C06752</t>
  </si>
  <si>
    <t xml:space="preserve">27789</t>
  </si>
  <si>
    <t xml:space="preserve">107-06-2</t>
  </si>
  <si>
    <t xml:space="preserve">ClCCCl</t>
  </si>
  <si>
    <t xml:space="preserve">WSLDOOZREJYCGB-UHFFFAOYSA-N</t>
  </si>
  <si>
    <t xml:space="preserve">15-2</t>
  </si>
  <si>
    <t xml:space="preserve">1,1-Dichloroethane</t>
  </si>
  <si>
    <t xml:space="preserve">HMDB0244020</t>
  </si>
  <si>
    <t xml:space="preserve">72092</t>
  </si>
  <si>
    <t xml:space="preserve">C18247</t>
  </si>
  <si>
    <t xml:space="preserve">6365</t>
  </si>
  <si>
    <t xml:space="preserve">75-34-3</t>
  </si>
  <si>
    <t xml:space="preserve">CC(Cl)Cl</t>
  </si>
  <si>
    <t xml:space="preserve">SCYULBFZEHDVBN-UHFFFAOYSA-N</t>
  </si>
  <si>
    <t xml:space="preserve">N-Methylputrescine</t>
  </si>
  <si>
    <t xml:space="preserve">HMDB0003661</t>
  </si>
  <si>
    <t xml:space="preserve">58172</t>
  </si>
  <si>
    <t xml:space="preserve">C02723</t>
  </si>
  <si>
    <t xml:space="preserve">17166</t>
  </si>
  <si>
    <t xml:space="preserve">439791</t>
  </si>
  <si>
    <t xml:space="preserve">14475-60-6</t>
  </si>
  <si>
    <t xml:space="preserve">CNCCCCN</t>
  </si>
  <si>
    <t xml:space="preserve">RMIVMBYMDISYFZ-UHFFFAOYSA-N</t>
  </si>
  <si>
    <t xml:space="preserve">Cadaverine</t>
  </si>
  <si>
    <t xml:space="preserve">HMDB0002322</t>
  </si>
  <si>
    <t xml:space="preserve">3236</t>
  </si>
  <si>
    <t xml:space="preserve">C01672</t>
  </si>
  <si>
    <t xml:space="preserve">18127</t>
  </si>
  <si>
    <t xml:space="preserve">273</t>
  </si>
  <si>
    <t xml:space="preserve">462-94-2</t>
  </si>
  <si>
    <t xml:space="preserve">NCCCCCN</t>
  </si>
  <si>
    <t xml:space="preserve">VHRGRCVQAFMJIZ-UHFFFAOYSA-N</t>
  </si>
  <si>
    <t xml:space="preserve">1-Phenylethanol</t>
  </si>
  <si>
    <t xml:space="preserve">HMDB0032619</t>
  </si>
  <si>
    <t xml:space="preserve">66591</t>
  </si>
  <si>
    <t xml:space="preserve">C07112</t>
  </si>
  <si>
    <t xml:space="preserve">669</t>
  </si>
  <si>
    <t xml:space="preserve">7409</t>
  </si>
  <si>
    <t xml:space="preserve">98-85-1</t>
  </si>
  <si>
    <t xml:space="preserve">CC(O)C1=CC=CC=C1</t>
  </si>
  <si>
    <t xml:space="preserve">WAPNOHKVXSQRPX-UHFFFAOYSA-N</t>
  </si>
  <si>
    <t xml:space="preserve">25-2</t>
  </si>
  <si>
    <t xml:space="preserve">4-Ethylphenol</t>
  </si>
  <si>
    <t xml:space="preserve">HMDB0029306</t>
  </si>
  <si>
    <t xml:space="preserve">69612</t>
  </si>
  <si>
    <t xml:space="preserve">C13637</t>
  </si>
  <si>
    <t xml:space="preserve">49584</t>
  </si>
  <si>
    <t xml:space="preserve">31242</t>
  </si>
  <si>
    <t xml:space="preserve">123-07-9</t>
  </si>
  <si>
    <t xml:space="preserve">CCC1=CC=C(O)C=C1</t>
  </si>
  <si>
    <t xml:space="preserve">HXDOZKJGKXYMEW-UHFFFAOYSA-N</t>
  </si>
  <si>
    <t xml:space="preserve">25-3</t>
  </si>
  <si>
    <t xml:space="preserve">2-Phenylethanol</t>
  </si>
  <si>
    <t xml:space="preserve">HMDB0033944</t>
  </si>
  <si>
    <t xml:space="preserve">64740</t>
  </si>
  <si>
    <t xml:space="preserve">C05853</t>
  </si>
  <si>
    <t xml:space="preserve">49000</t>
  </si>
  <si>
    <t xml:space="preserve">6054</t>
  </si>
  <si>
    <t xml:space="preserve">60-12-8</t>
  </si>
  <si>
    <t xml:space="preserve">OCCC1=CC=CC=C1</t>
  </si>
  <si>
    <t xml:space="preserve">WRMNZCZEMHIOCP-UHFFFAOYSA-N</t>
  </si>
  <si>
    <t xml:space="preserve">(E,E)-2,4-Octadienal</t>
  </si>
  <si>
    <t xml:space="preserve">HMDB0031686</t>
  </si>
  <si>
    <t xml:space="preserve">36554</t>
  </si>
  <si>
    <t xml:space="preserve">LMFA06000034</t>
  </si>
  <si>
    <t xml:space="preserve">5283329</t>
  </si>
  <si>
    <t xml:space="preserve">30361-28-5</t>
  </si>
  <si>
    <t xml:space="preserve">CCC/C=C/C=C/C([H])=O</t>
  </si>
  <si>
    <t xml:space="preserve">DVVATNQISMINCX-YTXTXJHMSA-N</t>
  </si>
  <si>
    <t xml:space="preserve">trans, trans-3,5-Octadien-2-one</t>
  </si>
  <si>
    <t xml:space="preserve">HMDB0032446</t>
  </si>
  <si>
    <t xml:space="preserve">88467</t>
  </si>
  <si>
    <t xml:space="preserve">LMFA12000017</t>
  </si>
  <si>
    <t xml:space="preserve">5352876</t>
  </si>
  <si>
    <t xml:space="preserve">30086-02-3</t>
  </si>
  <si>
    <t xml:space="preserve">CC(=O)/C=C/C=C/CC</t>
  </si>
  <si>
    <t xml:space="preserve">LWRKMRFJEUFXIB-YTXTXJHMSA-N</t>
  </si>
  <si>
    <t xml:space="preserve">2,3-Dimethyl-2-cyclohexen-1-one</t>
  </si>
  <si>
    <t xml:space="preserve">HMDB0031414</t>
  </si>
  <si>
    <t xml:space="preserve">87665</t>
  </si>
  <si>
    <t xml:space="preserve">10887898</t>
  </si>
  <si>
    <t xml:space="preserve">1122-20-9</t>
  </si>
  <si>
    <t xml:space="preserve">CC1=C(C)C(=O)CCC1</t>
  </si>
  <si>
    <t xml:space="preserve">FRJKTQQNQDTORT-UHFFFAOYSA-N</t>
  </si>
  <si>
    <t xml:space="preserve">2-Hydrazinopyridine</t>
  </si>
  <si>
    <t xml:space="preserve">HMDB0245139</t>
  </si>
  <si>
    <t xml:space="preserve">350391</t>
  </si>
  <si>
    <t xml:space="preserve">78645</t>
  </si>
  <si>
    <t xml:space="preserve">NNC1=CC=CC=N1</t>
  </si>
  <si>
    <t xml:space="preserve">NWELCUKYUCBVKK-UHFFFAOYSA-N</t>
  </si>
  <si>
    <t xml:space="preserve">3,4-Diaminopyridine</t>
  </si>
  <si>
    <t xml:space="preserve">HMDB0246022</t>
  </si>
  <si>
    <t xml:space="preserve">315851</t>
  </si>
  <si>
    <t xml:space="preserve">5918</t>
  </si>
  <si>
    <t xml:space="preserve">NC1=CNC=CC1=N</t>
  </si>
  <si>
    <t xml:space="preserve">OYTKINVCDFNREN-UHFFFAOYSA-N</t>
  </si>
  <si>
    <t xml:space="preserve">(R)-1-Octen-3-ol</t>
  </si>
  <si>
    <t xml:space="preserve">HMDB0031299</t>
  </si>
  <si>
    <t xml:space="preserve">46045</t>
  </si>
  <si>
    <t xml:space="preserve">LMFA05000090</t>
  </si>
  <si>
    <t xml:space="preserve">C14272</t>
  </si>
  <si>
    <t xml:space="preserve">34118</t>
  </si>
  <si>
    <t xml:space="preserve">18827</t>
  </si>
  <si>
    <t xml:space="preserve">C(C(CCCCC)O)=C</t>
  </si>
  <si>
    <t xml:space="preserve">VSMOENVRRABVKN-UHFFFAOYSA-N</t>
  </si>
  <si>
    <t xml:space="preserve">30-2</t>
  </si>
  <si>
    <t xml:space="preserve">(R)-Sulcatol</t>
  </si>
  <si>
    <t xml:space="preserve">HMDB0030030</t>
  </si>
  <si>
    <t xml:space="preserve">44731</t>
  </si>
  <si>
    <t xml:space="preserve">LMFA05000566</t>
  </si>
  <si>
    <t xml:space="preserve">C07288</t>
  </si>
  <si>
    <t xml:space="preserve">15833</t>
  </si>
  <si>
    <t xml:space="preserve">20745</t>
  </si>
  <si>
    <t xml:space="preserve">4630-06-2</t>
  </si>
  <si>
    <t xml:space="preserve">C/C(/C)=C/CCC(C)O</t>
  </si>
  <si>
    <t xml:space="preserve">OHEFFKYYKJVVOX-UHFFFAOYSA-N</t>
  </si>
  <si>
    <t xml:space="preserve">L-Isoleucine</t>
  </si>
  <si>
    <t xml:space="preserve">HMDB0000172</t>
  </si>
  <si>
    <t xml:space="preserve">23</t>
  </si>
  <si>
    <t xml:space="preserve">LMFA01100047</t>
  </si>
  <si>
    <t xml:space="preserve">C00407</t>
  </si>
  <si>
    <t xml:space="preserve">17191</t>
  </si>
  <si>
    <t xml:space="preserve">6306</t>
  </si>
  <si>
    <t xml:space="preserve">73-32-5</t>
  </si>
  <si>
    <t xml:space="preserve">C([C@@H](N)[C@@H](C)CC)(=O)O</t>
  </si>
  <si>
    <t xml:space="preserve">AGPKZVBTJJNPAG-WHFBIAKZSA-N</t>
  </si>
  <si>
    <t xml:space="preserve">35-2</t>
  </si>
  <si>
    <t xml:space="preserve">L-Leucine</t>
  </si>
  <si>
    <t xml:space="preserve">HMDB0000687</t>
  </si>
  <si>
    <t xml:space="preserve">24</t>
  </si>
  <si>
    <t xml:space="preserve">C00123</t>
  </si>
  <si>
    <t xml:space="preserve">15603</t>
  </si>
  <si>
    <t xml:space="preserve">6106</t>
  </si>
  <si>
    <t xml:space="preserve">61-90-5</t>
  </si>
  <si>
    <t xml:space="preserve">CC(C)C[C@H](N)C(O)=O</t>
  </si>
  <si>
    <t xml:space="preserve">ROHFNLRQFUQHCH-YFKPBYRVSA-N</t>
  </si>
  <si>
    <t xml:space="preserve">3-Amino-2-piperidone</t>
  </si>
  <si>
    <t xml:space="preserve">HMDB0000323</t>
  </si>
  <si>
    <t xml:space="preserve">5312</t>
  </si>
  <si>
    <t xml:space="preserve">76341</t>
  </si>
  <si>
    <t xml:space="preserve">5200225</t>
  </si>
  <si>
    <t xml:space="preserve">1892-22-4</t>
  </si>
  <si>
    <t xml:space="preserve">NC1CCCNC1=O</t>
  </si>
  <si>
    <t xml:space="preserve">YCCMTCQQDULIFE-UHFFFAOYSA-N</t>
  </si>
  <si>
    <t xml:space="preserve">36-2</t>
  </si>
  <si>
    <t xml:space="preserve">N-Mononitrosopiperazine</t>
  </si>
  <si>
    <t xml:space="preserve">HMDB0061162</t>
  </si>
  <si>
    <t xml:space="preserve">53864161</t>
  </si>
  <si>
    <t xml:space="preserve">O=NC1CCNCC1</t>
  </si>
  <si>
    <t xml:space="preserve">GYOBZYGGVLLHBK-UHFFFAOYSA-N</t>
  </si>
  <si>
    <t xml:space="preserve">Nitrosopiperidines</t>
  </si>
  <si>
    <t xml:space="preserve">Tyramine</t>
  </si>
  <si>
    <t xml:space="preserve">HMDB0000306</t>
  </si>
  <si>
    <t xml:space="preserve">60</t>
  </si>
  <si>
    <t xml:space="preserve">C00483</t>
  </si>
  <si>
    <t xml:space="preserve">15760</t>
  </si>
  <si>
    <t xml:space="preserve">5610</t>
  </si>
  <si>
    <t xml:space="preserve">51-67-2</t>
  </si>
  <si>
    <t xml:space="preserve">NCCC1=CC=C(O)C=C1</t>
  </si>
  <si>
    <t xml:space="preserve">DZGWFCGJZKJUFP-UHFFFAOYSA-N</t>
  </si>
  <si>
    <t xml:space="preserve">40-2</t>
  </si>
  <si>
    <t xml:space="preserve">2-Hydroxyphenethylamine</t>
  </si>
  <si>
    <t xml:space="preserve">HMDB0001065</t>
  </si>
  <si>
    <t xml:space="preserve">59</t>
  </si>
  <si>
    <t xml:space="preserve">C02735</t>
  </si>
  <si>
    <t xml:space="preserve">16343</t>
  </si>
  <si>
    <t xml:space="preserve">1000</t>
  </si>
  <si>
    <t xml:space="preserve">7568-93-6</t>
  </si>
  <si>
    <t xml:space="preserve">NCC(O)C1=CC=CC=C1</t>
  </si>
  <si>
    <t xml:space="preserve">ULSIYEODSMZIPX-UHFFFAOYSA-N</t>
  </si>
  <si>
    <t xml:space="preserve">40-3</t>
  </si>
  <si>
    <t xml:space="preserve">4-Hydroxy-2,6-dimethylaniline</t>
  </si>
  <si>
    <t xml:space="preserve">HMDB0060681</t>
  </si>
  <si>
    <t xml:space="preserve">C16570</t>
  </si>
  <si>
    <t xml:space="preserve">55545</t>
  </si>
  <si>
    <t xml:space="preserve">76543</t>
  </si>
  <si>
    <t xml:space="preserve">3096-70-6</t>
  </si>
  <si>
    <t xml:space="preserve">CC1=CC(O)=CC(C)=C1N</t>
  </si>
  <si>
    <t xml:space="preserve">GCWYXRHXGLFVFE-UHFFFAOYSA-N</t>
  </si>
  <si>
    <t xml:space="preserve">4-Hydroxybenzoic acid</t>
  </si>
  <si>
    <t xml:space="preserve">HMDB0000500</t>
  </si>
  <si>
    <t xml:space="preserve">C00156</t>
  </si>
  <si>
    <t xml:space="preserve">30763</t>
  </si>
  <si>
    <t xml:space="preserve">135</t>
  </si>
  <si>
    <t xml:space="preserve">99-96-7</t>
  </si>
  <si>
    <t xml:space="preserve">OC(=O)C1=CC=C(O)C=C1</t>
  </si>
  <si>
    <t xml:space="preserve">FJKROLUGYXJWQN-UHFFFAOYSA-N</t>
  </si>
  <si>
    <t xml:space="preserve">Salicylic acid</t>
  </si>
  <si>
    <t xml:space="preserve">HMDB0001895</t>
  </si>
  <si>
    <t xml:space="preserve">616</t>
  </si>
  <si>
    <t xml:space="preserve">C00805</t>
  </si>
  <si>
    <t xml:space="preserve">16914</t>
  </si>
  <si>
    <t xml:space="preserve">338</t>
  </si>
  <si>
    <t xml:space="preserve">69-72-7</t>
  </si>
  <si>
    <t xml:space="preserve">OC(=O)C1=C(O)C=CC=C1</t>
  </si>
  <si>
    <t xml:space="preserve">YGSDEFSMJLZEOE-UHFFFAOYSA-N</t>
  </si>
  <si>
    <t xml:space="preserve">Violet-leaf aldehyde</t>
  </si>
  <si>
    <t xml:space="preserve">HMDB0033857</t>
  </si>
  <si>
    <t xml:space="preserve">46414</t>
  </si>
  <si>
    <t xml:space="preserve">LMFA06000117</t>
  </si>
  <si>
    <t xml:space="preserve">C08499</t>
  </si>
  <si>
    <t xml:space="preserve">7610</t>
  </si>
  <si>
    <t xml:space="preserve">643731</t>
  </si>
  <si>
    <t xml:space="preserve">557-48-2</t>
  </si>
  <si>
    <t xml:space="preserve">C(=O)/C=C/CC/C=C\CC</t>
  </si>
  <si>
    <t xml:space="preserve">HZYHMHHBBBSGHB-ODYTWBPASA-N</t>
  </si>
  <si>
    <t xml:space="preserve">43-2</t>
  </si>
  <si>
    <t xml:space="preserve">3,5,5-Trimethyl-2-cyclohexen-1-one</t>
  </si>
  <si>
    <t xml:space="preserve">HMDB0031195</t>
  </si>
  <si>
    <t xml:space="preserve">70300</t>
  </si>
  <si>
    <t xml:space="preserve">C14743</t>
  </si>
  <si>
    <t xml:space="preserve">34800</t>
  </si>
  <si>
    <t xml:space="preserve">6544</t>
  </si>
  <si>
    <t xml:space="preserve">78-59-1</t>
  </si>
  <si>
    <t xml:space="preserve">CC1=CC(=O)CC(C)(C)C1</t>
  </si>
  <si>
    <t xml:space="preserve">HJOVHMDZYOCNQW-UHFFFAOYSA-N</t>
  </si>
  <si>
    <t xml:space="preserve">43-3</t>
  </si>
  <si>
    <t xml:space="preserve">(3Z,6Z)-3,6-Nonadienal</t>
  </si>
  <si>
    <t xml:space="preserve">HMDB0031152</t>
  </si>
  <si>
    <t xml:space="preserve">63363</t>
  </si>
  <si>
    <t xml:space="preserve">C16323</t>
  </si>
  <si>
    <t xml:space="preserve">80444</t>
  </si>
  <si>
    <t xml:space="preserve">5352808</t>
  </si>
  <si>
    <t xml:space="preserve">21944-83-2</t>
  </si>
  <si>
    <t xml:space="preserve">CC\C=C/C\C=C/CC=O</t>
  </si>
  <si>
    <t xml:space="preserve">FIDBXHOCOXRPRO-CWWKMNTPSA-N</t>
  </si>
  <si>
    <t xml:space="preserve">(3Z,6Z)-3,6-Nonadien-1-ol</t>
  </si>
  <si>
    <t xml:space="preserve">HMDB0030957</t>
  </si>
  <si>
    <t xml:space="preserve">46088</t>
  </si>
  <si>
    <t xml:space="preserve">LMFA05000136</t>
  </si>
  <si>
    <t xml:space="preserve">6434541</t>
  </si>
  <si>
    <t xml:space="preserve">53046-97-2</t>
  </si>
  <si>
    <t xml:space="preserve">OCC/C=C\C/C=C\CC</t>
  </si>
  <si>
    <t xml:space="preserve">PICGPEBVZGCYBV-CWWKMNTPSA-N</t>
  </si>
  <si>
    <t xml:space="preserve">47-2</t>
  </si>
  <si>
    <t xml:space="preserve">(3E,6Z)-3,6-Nonadien-1-ol</t>
  </si>
  <si>
    <t xml:space="preserve">HMDB0038067</t>
  </si>
  <si>
    <t xml:space="preserve">92838</t>
  </si>
  <si>
    <t xml:space="preserve">LMFA05000555</t>
  </si>
  <si>
    <t xml:space="preserve">44630408</t>
  </si>
  <si>
    <t xml:space="preserve">56805-23-3</t>
  </si>
  <si>
    <t xml:space="preserve">OCC/C=C/C/C=C\CC</t>
  </si>
  <si>
    <t xml:space="preserve">PICGPEBVZGCYBV-WWVFNRLHSA-N</t>
  </si>
  <si>
    <t xml:space="preserve">47-3</t>
  </si>
  <si>
    <t xml:space="preserve">(2E,4E)-2,4-Nonadien-1-ol</t>
  </si>
  <si>
    <t xml:space="preserve">HMDB0034845</t>
  </si>
  <si>
    <t xml:space="preserve">90242</t>
  </si>
  <si>
    <t xml:space="preserve">LMFA05000608</t>
  </si>
  <si>
    <t xml:space="preserve">5364586</t>
  </si>
  <si>
    <t xml:space="preserve">64576-90-5</t>
  </si>
  <si>
    <t xml:space="preserve">C(/CCCC)=C\C=C\CO</t>
  </si>
  <si>
    <t xml:space="preserve">NCPWFIVLKCFWSP-BSWSSELBSA-N</t>
  </si>
  <si>
    <t xml:space="preserve">(3Z)-2-Propylpent-3-enoic acid</t>
  </si>
  <si>
    <t xml:space="preserve">HMDB0013903</t>
  </si>
  <si>
    <t xml:space="preserve">LMFA01030946</t>
  </si>
  <si>
    <t xml:space="preserve">C16654</t>
  </si>
  <si>
    <t xml:space="preserve">80640</t>
  </si>
  <si>
    <t xml:space="preserve">24892812</t>
  </si>
  <si>
    <t xml:space="preserve">C(/C)=C/C(C(=O)O)CCC</t>
  </si>
  <si>
    <t xml:space="preserve">WTMAHJABDOHPDJ-HYXAFXHYSA-N</t>
  </si>
  <si>
    <t xml:space="preserve">4-ene-Valproic acid</t>
  </si>
  <si>
    <t xml:space="preserve">HMDB0013897</t>
  </si>
  <si>
    <t xml:space="preserve">2996</t>
  </si>
  <si>
    <t xml:space="preserve">LMFA01030982</t>
  </si>
  <si>
    <t xml:space="preserve">C16648</t>
  </si>
  <si>
    <t xml:space="preserve">410867</t>
  </si>
  <si>
    <t xml:space="preserve">104896</t>
  </si>
  <si>
    <t xml:space="preserve">1575-72-0</t>
  </si>
  <si>
    <t xml:space="preserve">C=CCC(C(=O)O)CCC</t>
  </si>
  <si>
    <t xml:space="preserve">UMYDNZXEHYSVFY-UHFFFAOYSA-N</t>
  </si>
  <si>
    <t xml:space="preserve">(3E)-2-Propylpent-3-enoic acid</t>
  </si>
  <si>
    <t xml:space="preserve">HMDB0013904</t>
  </si>
  <si>
    <t xml:space="preserve">2993</t>
  </si>
  <si>
    <t xml:space="preserve">LMFA01030945</t>
  </si>
  <si>
    <t xml:space="preserve">6439747</t>
  </si>
  <si>
    <t xml:space="preserve">72010-19-6</t>
  </si>
  <si>
    <t xml:space="preserve">C/C=C/C(C(=O)O)CCC</t>
  </si>
  <si>
    <t xml:space="preserve">WTMAHJABDOHPDJ-HWKANZROSA-N</t>
  </si>
  <si>
    <t xml:space="preserve">Carbamimidothioic acid, methyl ester</t>
  </si>
  <si>
    <t xml:space="preserve">HMDB0257408</t>
  </si>
  <si>
    <t xml:space="preserve">64870</t>
  </si>
  <si>
    <t xml:space="preserve">5142</t>
  </si>
  <si>
    <t xml:space="preserve">867-44-7</t>
  </si>
  <si>
    <t xml:space="preserve">CSC(N)=N</t>
  </si>
  <si>
    <t xml:space="preserve">SDDKIZNHOCEXTF-UHFFFAOYSA-N</t>
  </si>
  <si>
    <t xml:space="preserve">Isothioureas</t>
  </si>
  <si>
    <t xml:space="preserve">N-METHYLTHIOUREA</t>
  </si>
  <si>
    <t xml:space="preserve">HMDB0255194</t>
  </si>
  <si>
    <t xml:space="preserve">319538</t>
  </si>
  <si>
    <t xml:space="preserve">11720</t>
  </si>
  <si>
    <t xml:space="preserve">CNC(N)=S</t>
  </si>
  <si>
    <t xml:space="preserve">KQJQICVXLJTWQD-UHFFFAOYSA-N</t>
  </si>
  <si>
    <t xml:space="preserve">Vanillylamine</t>
  </si>
  <si>
    <t xml:space="preserve">HMDB0012309</t>
  </si>
  <si>
    <t xml:space="preserve">62928</t>
  </si>
  <si>
    <t xml:space="preserve">C16666</t>
  </si>
  <si>
    <t xml:space="preserve">46958</t>
  </si>
  <si>
    <t xml:space="preserve">70966</t>
  </si>
  <si>
    <t xml:space="preserve">1196-92-5</t>
  </si>
  <si>
    <t xml:space="preserve">COC1=CC(CN)=CC=C1O</t>
  </si>
  <si>
    <t xml:space="preserve">WRPWWVNUCXQDQV-UHFFFAOYSA-N</t>
  </si>
  <si>
    <t xml:space="preserve">65-2</t>
  </si>
  <si>
    <t xml:space="preserve">p-Octopamine</t>
  </si>
  <si>
    <t xml:space="preserve">HMDB0004825</t>
  </si>
  <si>
    <t xml:space="preserve">7087</t>
  </si>
  <si>
    <t xml:space="preserve">C04227</t>
  </si>
  <si>
    <t xml:space="preserve">44715</t>
  </si>
  <si>
    <t xml:space="preserve">440266</t>
  </si>
  <si>
    <t xml:space="preserve">104-14-3</t>
  </si>
  <si>
    <t xml:space="preserve">NC[C@H](O)C1=CC=C(O)C=C1</t>
  </si>
  <si>
    <t xml:space="preserve">QHGUCRYDKWKLMG-QMMMGPOBSA-N</t>
  </si>
  <si>
    <t xml:space="preserve">65-3</t>
  </si>
  <si>
    <t xml:space="preserve">Dopamine</t>
  </si>
  <si>
    <t xml:space="preserve">HMDB0000073</t>
  </si>
  <si>
    <t xml:space="preserve">C03758</t>
  </si>
  <si>
    <t xml:space="preserve">18243</t>
  </si>
  <si>
    <t xml:space="preserve">681</t>
  </si>
  <si>
    <t xml:space="preserve">62-31-7</t>
  </si>
  <si>
    <t xml:space="preserve">NCCC1=CC(O)=C(O)C=C1</t>
  </si>
  <si>
    <t xml:space="preserve">VYFYYTLLBUKUHU-UHFFFAOYSA-N</t>
  </si>
  <si>
    <t xml:space="preserve">1-Chloro-3-nitrobenzene</t>
  </si>
  <si>
    <t xml:space="preserve">HMDB0243845</t>
  </si>
  <si>
    <t xml:space="preserve">73068</t>
  </si>
  <si>
    <t xml:space="preserve">C19364</t>
  </si>
  <si>
    <t xml:space="preserve">82420</t>
  </si>
  <si>
    <t xml:space="preserve">8489</t>
  </si>
  <si>
    <t xml:space="preserve">121-73-3</t>
  </si>
  <si>
    <t xml:space="preserve">ClC1=CC(=CC=C1)N(=O)=O</t>
  </si>
  <si>
    <t xml:space="preserve">KMAQZIILEGKYQZ-UHFFFAOYSA-N</t>
  </si>
  <si>
    <t xml:space="preserve">70-2</t>
  </si>
  <si>
    <t xml:space="preserve">1-Chloro-2-nitrobenzene</t>
  </si>
  <si>
    <t xml:space="preserve">HMDB0245074</t>
  </si>
  <si>
    <t xml:space="preserve">70036</t>
  </si>
  <si>
    <t xml:space="preserve">C14407</t>
  </si>
  <si>
    <t xml:space="preserve">34270</t>
  </si>
  <si>
    <t xml:space="preserve">6945</t>
  </si>
  <si>
    <t xml:space="preserve">88-73-3</t>
  </si>
  <si>
    <t xml:space="preserve">[O-][N+](=O)C1=CC=CC=C1Cl</t>
  </si>
  <si>
    <t xml:space="preserve">BFCFYVKQTRLZHA-UHFFFAOYSA-N</t>
  </si>
  <si>
    <t xml:space="preserve">70-3</t>
  </si>
  <si>
    <t xml:space="preserve">1-Chloro-4-nitrobenzene</t>
  </si>
  <si>
    <t xml:space="preserve">HMDB0246397</t>
  </si>
  <si>
    <t xml:space="preserve">70076</t>
  </si>
  <si>
    <t xml:space="preserve">C14456</t>
  </si>
  <si>
    <t xml:space="preserve">7474</t>
  </si>
  <si>
    <t xml:space="preserve">100-00-5</t>
  </si>
  <si>
    <t xml:space="preserve">ClC1=CC=C(C=C1)N(=O)=O</t>
  </si>
  <si>
    <t xml:space="preserve">CZGCEKJOLUNIFY-UHFFFAOYSA-N</t>
  </si>
  <si>
    <t xml:space="preserve">Diisopropyl sulfide</t>
  </si>
  <si>
    <t xml:space="preserve">HMDB0029579</t>
  </si>
  <si>
    <t xml:space="preserve">86360</t>
  </si>
  <si>
    <t xml:space="preserve">12264</t>
  </si>
  <si>
    <t xml:space="preserve">625-80-9</t>
  </si>
  <si>
    <t xml:space="preserve">CC(C)SC(C)C</t>
  </si>
  <si>
    <t xml:space="preserve">XYWDPYKBIRQXQS-UHFFFAOYSA-N</t>
  </si>
  <si>
    <t xml:space="preserve">Dialkylthioethers</t>
  </si>
  <si>
    <t xml:space="preserve">Dipropyl sulfide</t>
  </si>
  <si>
    <t xml:space="preserve">HMDB0031431</t>
  </si>
  <si>
    <t xml:space="preserve">87679</t>
  </si>
  <si>
    <t xml:space="preserve">8118</t>
  </si>
  <si>
    <t xml:space="preserve">111-47-7</t>
  </si>
  <si>
    <t xml:space="preserve">CCCSCCC</t>
  </si>
  <si>
    <t xml:space="preserve">ZERULLAPCVRMCO-UHFFFAOYSA-N</t>
  </si>
  <si>
    <t xml:space="preserve">N-(2-Hydroxyethyl)valine</t>
  </si>
  <si>
    <t xml:space="preserve">HMDB0254990</t>
  </si>
  <si>
    <t xml:space="preserve">107912</t>
  </si>
  <si>
    <t xml:space="preserve">CC(C)C(NCCO)C(O)=O</t>
  </si>
  <si>
    <t xml:space="preserve">AJNYQRXDVGKEIT-UHFFFAOYSA-N</t>
  </si>
  <si>
    <t xml:space="preserve">74-2</t>
  </si>
  <si>
    <t xml:space="preserve">beta-Hydroxy-gamma-trimethylaminobutyric acid</t>
  </si>
  <si>
    <t xml:space="preserve">HMDB0244982</t>
  </si>
  <si>
    <t xml:space="preserve">5148875</t>
  </si>
  <si>
    <t xml:space="preserve">CC(C)(C)C(O)C(N)C(O)=O</t>
  </si>
  <si>
    <t xml:space="preserve">DREONSBNBZFXLW-UHFFFAOYSA-N</t>
  </si>
  <si>
    <t xml:space="preserve">1-Phenyl-1-pentanone</t>
  </si>
  <si>
    <t xml:space="preserve">HMDB0031208</t>
  </si>
  <si>
    <t xml:space="preserve">87496</t>
  </si>
  <si>
    <t xml:space="preserve">36812</t>
  </si>
  <si>
    <t xml:space="preserve">66093</t>
  </si>
  <si>
    <t xml:space="preserve">1009-14-9</t>
  </si>
  <si>
    <t xml:space="preserve">CCCCC(=O)C1=CC=CC=C1</t>
  </si>
  <si>
    <t xml:space="preserve">XKGLSKVNOSHTAD-UHFFFAOYSA-N</t>
  </si>
  <si>
    <t xml:space="preserve">76-2</t>
  </si>
  <si>
    <t xml:space="preserve">(±)-2-Methyl-3-(4-methylphenyl)propanal</t>
  </si>
  <si>
    <t xml:space="preserve">HMDB0031856</t>
  </si>
  <si>
    <t xml:space="preserve">87976</t>
  </si>
  <si>
    <t xml:space="preserve">95594</t>
  </si>
  <si>
    <t xml:space="preserve">CC(CC1=CC=C(C)C=C1)C=O</t>
  </si>
  <si>
    <t xml:space="preserve">SGVBCLGVIOFAFT-UHFFFAOYSA-N</t>
  </si>
  <si>
    <t xml:space="preserve">76-3</t>
  </si>
  <si>
    <t xml:space="preserve">4'-Isopropylacetophenone</t>
  </si>
  <si>
    <t xml:space="preserve">HMDB0032025</t>
  </si>
  <si>
    <t xml:space="preserve">88127</t>
  </si>
  <si>
    <t xml:space="preserve">12578</t>
  </si>
  <si>
    <t xml:space="preserve">645-13-6</t>
  </si>
  <si>
    <t xml:space="preserve">CC(C)C1=CC=C(C=C1)C(C)=O</t>
  </si>
  <si>
    <t xml:space="preserve">PDLCCNYKIIUWHA-UHFFFAOYSA-N</t>
  </si>
  <si>
    <t xml:space="preserve">n-Pentyl</t>
  </si>
  <si>
    <t xml:space="preserve">HMDB0256294</t>
  </si>
  <si>
    <t xml:space="preserve">[CH2]CCCC</t>
  </si>
  <si>
    <t xml:space="preserve">BFKVXNPJXXJUGQ-UHFFFAOYSA-N</t>
  </si>
  <si>
    <t xml:space="preserve">79-2</t>
  </si>
  <si>
    <t xml:space="preserve">isoamyl</t>
  </si>
  <si>
    <t xml:space="preserve">HMDB0253600</t>
  </si>
  <si>
    <t xml:space="preserve">12421370</t>
  </si>
  <si>
    <t xml:space="preserve">[CH2]CC(C)C</t>
  </si>
  <si>
    <t xml:space="preserve">TXFXGCPVIYCUIT-UHFFFAOYSA-N</t>
  </si>
  <si>
    <t xml:space="preserve">1-Ethyl-3-(dimethyl-aminopropyl)-carbodiimide</t>
  </si>
  <si>
    <t xml:space="preserve">HMDB0258121</t>
  </si>
  <si>
    <t xml:space="preserve">53787393</t>
  </si>
  <si>
    <t xml:space="preserve">CCN=C=NCCC(C)(C)N</t>
  </si>
  <si>
    <t xml:space="preserve">DZMACVLKIPJSDJ-UHFFFAOYSA-N</t>
  </si>
  <si>
    <t xml:space="preserve">Carbodiimides</t>
  </si>
  <si>
    <t xml:space="preserve">89-2</t>
  </si>
  <si>
    <t xml:space="preserve">1-Ethyl-3-(3-dimethylaminopropyl)carbodiimide</t>
  </si>
  <si>
    <t xml:space="preserve">HMDB0244825</t>
  </si>
  <si>
    <t xml:space="preserve">24064</t>
  </si>
  <si>
    <t xml:space="preserve">15908</t>
  </si>
  <si>
    <t xml:space="preserve">25952-53-8</t>
  </si>
  <si>
    <t xml:space="preserve">CCN=C=NCCCN(C)C</t>
  </si>
  <si>
    <t xml:space="preserve">LMDZBCPBFSXMTL-UHFFFAOYSA-N</t>
  </si>
  <si>
    <t xml:space="preserve">4,8-Dimethylquinoline</t>
  </si>
  <si>
    <t xml:space="preserve">HMDB0302402</t>
  </si>
  <si>
    <t xml:space="preserve">34222</t>
  </si>
  <si>
    <t xml:space="preserve">CC1=CC=CC2=C(C)C=CN=C12</t>
  </si>
  <si>
    <t xml:space="preserve">DULGUAMZWACUFO-UHFFFAOYSA-N</t>
  </si>
  <si>
    <t xml:space="preserve">91-2</t>
  </si>
  <si>
    <t xml:space="preserve">2,4-Dimethylquinoline</t>
  </si>
  <si>
    <t xml:space="preserve">HMDB0302385</t>
  </si>
  <si>
    <t xml:space="preserve">343066</t>
  </si>
  <si>
    <t xml:space="preserve">14536</t>
  </si>
  <si>
    <t xml:space="preserve">CC1=NC2=CC=CC=C2C(C)=C1</t>
  </si>
  <si>
    <t xml:space="preserve">ZTNANFDSJRRZRJ-UHFFFAOYSA-N</t>
  </si>
  <si>
    <t xml:space="preserve">91-3</t>
  </si>
  <si>
    <t xml:space="preserve">2,6-Dimethylquinoline</t>
  </si>
  <si>
    <t xml:space="preserve">HMDB0302388</t>
  </si>
  <si>
    <t xml:space="preserve">CC1=CC2=CC=C(C)N=C2C=C1</t>
  </si>
  <si>
    <t xml:space="preserve">JJPSZKIOGBRMHK-UHFFFAOYSA-N</t>
  </si>
  <si>
    <t xml:space="preserve">N-(3-Hydroxypropyl)valine</t>
  </si>
  <si>
    <t xml:space="preserve">HMDB0255001</t>
  </si>
  <si>
    <t xml:space="preserve">43468391</t>
  </si>
  <si>
    <t xml:space="preserve">CC(C)C(NCCCO)C(O)=O</t>
  </si>
  <si>
    <t xml:space="preserve">LPXDRBWCBNPDTJ-UHFFFAOYSA-N</t>
  </si>
  <si>
    <t xml:space="preserve">N-(2-Hydroxypropyl)valine</t>
  </si>
  <si>
    <t xml:space="preserve">HMDB0254992</t>
  </si>
  <si>
    <t xml:space="preserve">21121256</t>
  </si>
  <si>
    <t xml:space="preserve">CC(C)C(NCC(C)O)C(O)=O</t>
  </si>
  <si>
    <t xml:space="preserve">LQFKABMWUHITQU-UHFFFAOYSA-N</t>
  </si>
  <si>
    <t xml:space="preserve">92-3</t>
  </si>
  <si>
    <t xml:space="preserve">Statine</t>
  </si>
  <si>
    <t xml:space="preserve">HMDB0258487</t>
  </si>
  <si>
    <t xml:space="preserve">3387569</t>
  </si>
  <si>
    <t xml:space="preserve">CC(C)CC(N)C(O)CC(O)=O</t>
  </si>
  <si>
    <t xml:space="preserve">DFVFTMTWCUHJBL-UHFFFAOYSA-N</t>
  </si>
  <si>
    <t xml:space="preserve">2,2,6,6-Tetramethyl-4-piperidinol</t>
  </si>
  <si>
    <t xml:space="preserve">HMDB0245344</t>
  </si>
  <si>
    <t xml:space="preserve">CC1(C)CC(O)CC(C)(C)N1</t>
  </si>
  <si>
    <t xml:space="preserve">VDVUCLWJZJHFAV-UHFFFAOYSA-N</t>
  </si>
  <si>
    <t xml:space="preserve">93-2</t>
  </si>
  <si>
    <t xml:space="preserve">2,2,6,6-Tetramethylpiperidin-1-ol</t>
  </si>
  <si>
    <t xml:space="preserve">HMDB0245345</t>
  </si>
  <si>
    <t xml:space="preserve">357057</t>
  </si>
  <si>
    <t xml:space="preserve">549976</t>
  </si>
  <si>
    <t xml:space="preserve">CC1(C)CCCC(C)(C)N1O</t>
  </si>
  <si>
    <t xml:space="preserve">VUZNLSBZRVZGIK-UHFFFAOYSA-N</t>
  </si>
  <si>
    <t xml:space="preserve">93-3</t>
  </si>
  <si>
    <t xml:space="preserve">Isovaleryl diethylamide</t>
  </si>
  <si>
    <t xml:space="preserve">HMDB0253703</t>
  </si>
  <si>
    <t xml:space="preserve">CCN(CC)C(=O)CC(C)C</t>
  </si>
  <si>
    <t xml:space="preserve">QZMQDHNCNUGQSO-UHFFFAOYSA-N</t>
  </si>
  <si>
    <t xml:space="preserve">4-Hydroxyphenylpyruvic acid</t>
  </si>
  <si>
    <t xml:space="preserve">HMDB0000707</t>
  </si>
  <si>
    <t xml:space="preserve">3315</t>
  </si>
  <si>
    <t xml:space="preserve">C01179</t>
  </si>
  <si>
    <t xml:space="preserve">15999</t>
  </si>
  <si>
    <t xml:space="preserve">979</t>
  </si>
  <si>
    <t xml:space="preserve">156-39-8</t>
  </si>
  <si>
    <t xml:space="preserve">OC(=O)C(=O)CC1=CC=C(O)C=C1</t>
  </si>
  <si>
    <t xml:space="preserve">KKADPXVIOXHVKN-UHFFFAOYSA-N</t>
  </si>
  <si>
    <t xml:space="preserve">Phenylpyruvic acid derivatives</t>
  </si>
  <si>
    <t xml:space="preserve">Caffeic acid</t>
  </si>
  <si>
    <t xml:space="preserve">HMDB0001964</t>
  </si>
  <si>
    <t xml:space="preserve">3316</t>
  </si>
  <si>
    <t xml:space="preserve">C01481</t>
  </si>
  <si>
    <t xml:space="preserve">16433</t>
  </si>
  <si>
    <t xml:space="preserve">689043</t>
  </si>
  <si>
    <t xml:space="preserve">501-16-6</t>
  </si>
  <si>
    <t xml:space="preserve">OC(=O)\C=C\C1=CC(O)=C(O)C=C1</t>
  </si>
  <si>
    <t xml:space="preserve">QAIPRVGONGVQAS-DUXPYHPUSA-N</t>
  </si>
  <si>
    <t xml:space="preserve">100-3</t>
  </si>
  <si>
    <t xml:space="preserve">2-Hydroxy-3-(4-hydroxyphenyl)propenoic acid</t>
  </si>
  <si>
    <t xml:space="preserve">HMDB0006915</t>
  </si>
  <si>
    <t xml:space="preserve">58595</t>
  </si>
  <si>
    <t xml:space="preserve">C05350</t>
  </si>
  <si>
    <t xml:space="preserve">27683</t>
  </si>
  <si>
    <t xml:space="preserve">636708</t>
  </si>
  <si>
    <t xml:space="preserve">OC(=O)C(\O)=C\C1=CC=C(O)C=C1</t>
  </si>
  <si>
    <t xml:space="preserve">GQYBCIHRWMPOOF-YVMONPNESA-N</t>
  </si>
  <si>
    <t xml:space="preserve">2-Hydroxyfluorene</t>
  </si>
  <si>
    <t xml:space="preserve">HMDB0013163</t>
  </si>
  <si>
    <t xml:space="preserve">64933</t>
  </si>
  <si>
    <t xml:space="preserve">C14460</t>
  </si>
  <si>
    <t xml:space="preserve">75547</t>
  </si>
  <si>
    <t xml:space="preserve">2443-58-5</t>
  </si>
  <si>
    <t xml:space="preserve">OC1=CC2=C(C=C1)C1=CC=CC=C1C2</t>
  </si>
  <si>
    <t xml:space="preserve">ZDOIAPGLORMKTR-UHFFFAOYSA-N</t>
  </si>
  <si>
    <t xml:space="preserve">102-2</t>
  </si>
  <si>
    <t xml:space="preserve">Benzophenone</t>
  </si>
  <si>
    <t xml:space="preserve">HMDB0032049</t>
  </si>
  <si>
    <t xml:space="preserve">66382</t>
  </si>
  <si>
    <t xml:space="preserve">C06354</t>
  </si>
  <si>
    <t xml:space="preserve">41308</t>
  </si>
  <si>
    <t xml:space="preserve">3102</t>
  </si>
  <si>
    <t xml:space="preserve">119-61-9</t>
  </si>
  <si>
    <t xml:space="preserve">O=C(C1=CC=CC=C1)C1=CC=CC=C1</t>
  </si>
  <si>
    <t xml:space="preserve">RWCCWEUUXYIKHB-UHFFFAOYSA-N</t>
  </si>
  <si>
    <t xml:space="preserve">Furfuryl pentanoate</t>
  </si>
  <si>
    <t xml:space="preserve">HMDB0037727</t>
  </si>
  <si>
    <t xml:space="preserve">92550</t>
  </si>
  <si>
    <t xml:space="preserve">LMFA07010892</t>
  </si>
  <si>
    <t xml:space="preserve">61955</t>
  </si>
  <si>
    <t xml:space="preserve">36701-01-6</t>
  </si>
  <si>
    <t xml:space="preserve">O(C(=O)CCCC)CC1OC=CC=1</t>
  </si>
  <si>
    <t xml:space="preserve">HRYAVTBTUKVHBU-UHFFFAOYSA-N</t>
  </si>
  <si>
    <t xml:space="preserve">103-2</t>
  </si>
  <si>
    <t xml:space="preserve">Amyl 2-furoate</t>
  </si>
  <si>
    <t xml:space="preserve">HMDB0029456</t>
  </si>
  <si>
    <t xml:space="preserve">86282</t>
  </si>
  <si>
    <t xml:space="preserve">74008</t>
  </si>
  <si>
    <t xml:space="preserve">4996-48-9</t>
  </si>
  <si>
    <t xml:space="preserve">CCCCCOC(=O)C1=CC=CO1</t>
  </si>
  <si>
    <t xml:space="preserve">BGJZMKPSRLHMME-UHFFFAOYSA-N</t>
  </si>
  <si>
    <t xml:space="preserve">103-3</t>
  </si>
  <si>
    <t xml:space="preserve">Furfuryl isovalerate</t>
  </si>
  <si>
    <t xml:space="preserve">HMDB0039874</t>
  </si>
  <si>
    <t xml:space="preserve">94420</t>
  </si>
  <si>
    <t xml:space="preserve">LMFA07010890</t>
  </si>
  <si>
    <t xml:space="preserve">61658</t>
  </si>
  <si>
    <t xml:space="preserve">13678-60-9</t>
  </si>
  <si>
    <t xml:space="preserve">O(C(=O)CC(C)C)CC1OC=CC=1</t>
  </si>
  <si>
    <t xml:space="preserve">FKGUIBCHHSHJNQ-UHFFFAOYSA-N</t>
  </si>
  <si>
    <t xml:space="preserve">2-Thiophenemethanethiol</t>
  </si>
  <si>
    <t xml:space="preserve">HMDB0031853</t>
  </si>
  <si>
    <t xml:space="preserve">87973</t>
  </si>
  <si>
    <t xml:space="preserve">80408</t>
  </si>
  <si>
    <t xml:space="preserve">6258-63-5</t>
  </si>
  <si>
    <t xml:space="preserve">SCC1=CC=CS1</t>
  </si>
  <si>
    <t xml:space="preserve">GCZQHDFWKVMZOE-UHFFFAOYSA-N</t>
  </si>
  <si>
    <t xml:space="preserve">107-2</t>
  </si>
  <si>
    <t xml:space="preserve">3-(Methylthio)thiophene</t>
  </si>
  <si>
    <t xml:space="preserve">HMDB0032939</t>
  </si>
  <si>
    <t xml:space="preserve">88842</t>
  </si>
  <si>
    <t xml:space="preserve">519806</t>
  </si>
  <si>
    <t xml:space="preserve">20731-74-2</t>
  </si>
  <si>
    <t xml:space="preserve">CSC1=CSC=C1</t>
  </si>
  <si>
    <t xml:space="preserve">OTYBVBDWIKXFDO-UHFFFAOYSA-N</t>
  </si>
  <si>
    <t xml:space="preserve">107-3</t>
  </si>
  <si>
    <t xml:space="preserve">2-Methyl-3-thiophenethiol</t>
  </si>
  <si>
    <t xml:space="preserve">HMDB0039787</t>
  </si>
  <si>
    <t xml:space="preserve">75664</t>
  </si>
  <si>
    <t xml:space="preserve">2527-76-6</t>
  </si>
  <si>
    <t xml:space="preserve">CC1=C(S)C=CS1</t>
  </si>
  <si>
    <t xml:space="preserve">AQXLMAYNBMTBHD-UHFFFAOYSA-N</t>
  </si>
  <si>
    <t xml:space="preserve">2-Furanylmethyl butanoate</t>
  </si>
  <si>
    <t xml:space="preserve">HMDB0037729</t>
  </si>
  <si>
    <t xml:space="preserve">92552</t>
  </si>
  <si>
    <t xml:space="preserve">LMFA07010714</t>
  </si>
  <si>
    <t xml:space="preserve">61167</t>
  </si>
  <si>
    <t xml:space="preserve">623-21-2</t>
  </si>
  <si>
    <t xml:space="preserve">O(C(=O)CCC)CC1OC=CC=1</t>
  </si>
  <si>
    <t xml:space="preserve">IXISGRHWGVGCAK-UHFFFAOYSA-N</t>
  </si>
  <si>
    <t xml:space="preserve">109-2</t>
  </si>
  <si>
    <t xml:space="preserve">4-Ipomeanol</t>
  </si>
  <si>
    <t xml:space="preserve">HMDB0030472</t>
  </si>
  <si>
    <t xml:space="preserve">96319</t>
  </si>
  <si>
    <t xml:space="preserve">1222143</t>
  </si>
  <si>
    <t xml:space="preserve">36284</t>
  </si>
  <si>
    <t xml:space="preserve">32954-58-8</t>
  </si>
  <si>
    <t xml:space="preserve">CC(O)CCC(=O)C1=COC=C1</t>
  </si>
  <si>
    <t xml:space="preserve">RJYQLMILDVERHH-UHFFFAOYSA-N</t>
  </si>
  <si>
    <t xml:space="preserve">109-3</t>
  </si>
  <si>
    <t xml:space="preserve">1-Ipomeanol</t>
  </si>
  <si>
    <t xml:space="preserve">HMDB0030473</t>
  </si>
  <si>
    <t xml:space="preserve">87002</t>
  </si>
  <si>
    <t xml:space="preserve">173765</t>
  </si>
  <si>
    <t xml:space="preserve">161819</t>
  </si>
  <si>
    <t xml:space="preserve">34435-70-6</t>
  </si>
  <si>
    <t xml:space="preserve">CC(=O)CCC(O)C1=COC=C1</t>
  </si>
  <si>
    <t xml:space="preserve">IGGLYMZTLQKWGT-UHFFFAOYSA-N</t>
  </si>
  <si>
    <t xml:space="preserve">3-Oxodecanoic acid</t>
  </si>
  <si>
    <t xml:space="preserve">HMDB0010724</t>
  </si>
  <si>
    <t xml:space="preserve">35722</t>
  </si>
  <si>
    <t xml:space="preserve">LMFA01060028</t>
  </si>
  <si>
    <t xml:space="preserve">37157</t>
  </si>
  <si>
    <t xml:space="preserve">5282982</t>
  </si>
  <si>
    <t xml:space="preserve">C(CCCCC)CC(=O)CC(=O)O</t>
  </si>
  <si>
    <t xml:space="preserve">YXTHWTPUTHTODU-UHFFFAOYSA-N</t>
  </si>
  <si>
    <t xml:space="preserve">110-2</t>
  </si>
  <si>
    <t xml:space="preserve">Ethyl (3R,5Z)-3-hydroxy-5-octenoate</t>
  </si>
  <si>
    <t xml:space="preserve">HMDB0030367</t>
  </si>
  <si>
    <t xml:space="preserve">86919</t>
  </si>
  <si>
    <t xml:space="preserve">171969</t>
  </si>
  <si>
    <t xml:space="preserve">101998819</t>
  </si>
  <si>
    <t xml:space="preserve">182510-22-1</t>
  </si>
  <si>
    <t xml:space="preserve">CCOC(=O)CC(O)C\C=C/CC</t>
  </si>
  <si>
    <t xml:space="preserve">UIWVSNIRNXLEKC-WAYWQWQTSA-N</t>
  </si>
  <si>
    <t xml:space="preserve">110-3</t>
  </si>
  <si>
    <t xml:space="preserve">3-Hydroxy-5Z-octenyl acetate</t>
  </si>
  <si>
    <t xml:space="preserve">HMDB0030369</t>
  </si>
  <si>
    <t xml:space="preserve">86921</t>
  </si>
  <si>
    <t xml:space="preserve">171977</t>
  </si>
  <si>
    <t xml:space="preserve">92034372</t>
  </si>
  <si>
    <t xml:space="preserve">CC\C=C/CC(O)CCOC(C)=O</t>
  </si>
  <si>
    <t xml:space="preserve">WWZCBOHSNDHUER-PLNGDYQASA-N</t>
  </si>
  <si>
    <t xml:space="preserve">1h-[1,2,4]Oxadiazolo[4,3-a]quinoxalin-1-one</t>
  </si>
  <si>
    <t xml:space="preserve">HMDB0244864</t>
  </si>
  <si>
    <t xml:space="preserve">62975</t>
  </si>
  <si>
    <t xml:space="preserve">91215</t>
  </si>
  <si>
    <t xml:space="preserve">1456</t>
  </si>
  <si>
    <t xml:space="preserve">41443-28-1</t>
  </si>
  <si>
    <t xml:space="preserve">O=C1ON=C2C=NC3=CC=CC=C3N12</t>
  </si>
  <si>
    <t xml:space="preserve">LZMHWZHOZLVYDL-UHFFFAOYSA-N</t>
  </si>
  <si>
    <t xml:space="preserve">112-2</t>
  </si>
  <si>
    <t xml:space="preserve">4-Phenyl-3-furoxancarbonitrile</t>
  </si>
  <si>
    <t xml:space="preserve">HMDB0246569</t>
  </si>
  <si>
    <t xml:space="preserve">1756</t>
  </si>
  <si>
    <t xml:space="preserve">[O-][N+]1=C(C#N)C(=NO1)C1=CC=CC=C1</t>
  </si>
  <si>
    <t xml:space="preserve">PMYJGTWUVVVOFO-UHFFFAOYSA-N</t>
  </si>
  <si>
    <t xml:space="preserve">Trigonelline</t>
  </si>
  <si>
    <t xml:space="preserve">HMDB0000875</t>
  </si>
  <si>
    <t xml:space="preserve">C01004</t>
  </si>
  <si>
    <t xml:space="preserve">18123</t>
  </si>
  <si>
    <t xml:space="preserve">5570</t>
  </si>
  <si>
    <t xml:space="preserve">535-83-1</t>
  </si>
  <si>
    <t xml:space="preserve">C[N+]1=CC=CC(=C1)C([O-])=O</t>
  </si>
  <si>
    <t xml:space="preserve">WWNNZCOKKKDOPX-UHFFFAOYSA-N</t>
  </si>
  <si>
    <t xml:space="preserve">121-2</t>
  </si>
  <si>
    <t xml:space="preserve">2-Aminobenzoic acid</t>
  </si>
  <si>
    <t xml:space="preserve">HMDB0001123</t>
  </si>
  <si>
    <t xml:space="preserve">317</t>
  </si>
  <si>
    <t xml:space="preserve">C00108</t>
  </si>
  <si>
    <t xml:space="preserve">30754</t>
  </si>
  <si>
    <t xml:space="preserve">227</t>
  </si>
  <si>
    <t xml:space="preserve">118-92-3</t>
  </si>
  <si>
    <t xml:space="preserve">NC1=CC=CC=C1C(O)=O</t>
  </si>
  <si>
    <t xml:space="preserve">RWZYAGGXGHYGMB-UHFFFAOYSA-N</t>
  </si>
  <si>
    <t xml:space="preserve">121-3</t>
  </si>
  <si>
    <t xml:space="preserve">p-Aminobenzoic acid</t>
  </si>
  <si>
    <t xml:space="preserve">HMDB0001392</t>
  </si>
  <si>
    <t xml:space="preserve">3261</t>
  </si>
  <si>
    <t xml:space="preserve">C00568</t>
  </si>
  <si>
    <t xml:space="preserve">30753</t>
  </si>
  <si>
    <t xml:space="preserve">978</t>
  </si>
  <si>
    <t xml:space="preserve">150-13-0</t>
  </si>
  <si>
    <t xml:space="preserve">NC1=CC=C(C=C1)C(O)=O</t>
  </si>
  <si>
    <t xml:space="preserve">ALYNCZNDIQEVRV-UHFFFAOYSA-N</t>
  </si>
  <si>
    <t xml:space="preserve">9-Azabicyclo[3.3.1]nonan-3-one</t>
  </si>
  <si>
    <t xml:space="preserve">HMDB0029613</t>
  </si>
  <si>
    <t xml:space="preserve">86376</t>
  </si>
  <si>
    <t xml:space="preserve">145745</t>
  </si>
  <si>
    <t xml:space="preserve">4390-39-0</t>
  </si>
  <si>
    <t xml:space="preserve">O=C1CC2CCCC(C1)N2</t>
  </si>
  <si>
    <t xml:space="preserve">JIYPUEZSSJAXBO-UHFFFAOYSA-N</t>
  </si>
  <si>
    <t xml:space="preserve">2,4-Dimethyl-5-propyloxazole</t>
  </si>
  <si>
    <t xml:space="preserve">HMDB0037868</t>
  </si>
  <si>
    <t xml:space="preserve">92674</t>
  </si>
  <si>
    <t xml:space="preserve">525774</t>
  </si>
  <si>
    <t xml:space="preserve">84027-86-1</t>
  </si>
  <si>
    <t xml:space="preserve">CCCC1=C(C)N=C(C)O1</t>
  </si>
  <si>
    <t xml:space="preserve">PSGAPKDEFJWSNU-UHFFFAOYSA-N</t>
  </si>
  <si>
    <t xml:space="preserve">11-Dodecenoic acid</t>
  </si>
  <si>
    <t xml:space="preserve">HMDB0032248</t>
  </si>
  <si>
    <t xml:space="preserve">34732</t>
  </si>
  <si>
    <t xml:space="preserve">LMFA01030043</t>
  </si>
  <si>
    <t xml:space="preserve">38381</t>
  </si>
  <si>
    <t xml:space="preserve">125207</t>
  </si>
  <si>
    <t xml:space="preserve">65423-25-8</t>
  </si>
  <si>
    <t xml:space="preserve">C(C=C)CCCCCCCCC(=O)O</t>
  </si>
  <si>
    <t xml:space="preserve">GZZPOFFXKUVNSW-UHFFFAOYSA-N</t>
  </si>
  <si>
    <t xml:space="preserve">128-2</t>
  </si>
  <si>
    <t xml:space="preserve">FA(12:1)</t>
  </si>
  <si>
    <t xml:space="preserve">HMDB0000529</t>
  </si>
  <si>
    <t xml:space="preserve">34891</t>
  </si>
  <si>
    <t xml:space="preserve">LMFA01030226</t>
  </si>
  <si>
    <t xml:space="preserve">86595</t>
  </si>
  <si>
    <t xml:space="preserve">5312378</t>
  </si>
  <si>
    <t xml:space="preserve">2430-94-6</t>
  </si>
  <si>
    <t xml:space="preserve">C(CCC/C=C\CCCCCC)(=O)O</t>
  </si>
  <si>
    <t xml:space="preserve">IJBFSOLHRKELLR-FPLPWBNLSA-N</t>
  </si>
  <si>
    <t xml:space="preserve">128-3</t>
  </si>
  <si>
    <t xml:space="preserve">trans-Dodec-2-enoic acid</t>
  </si>
  <si>
    <t xml:space="preserve">HMDB0010729</t>
  </si>
  <si>
    <t xml:space="preserve">74351</t>
  </si>
  <si>
    <t xml:space="preserve">LMFA01030788</t>
  </si>
  <si>
    <t xml:space="preserve">5282729</t>
  </si>
  <si>
    <t xml:space="preserve">C(/C=C/CCCCCCCCC)(=O)O</t>
  </si>
  <si>
    <t xml:space="preserve">PAWGRNGPMLVJQH-ZHACJKMWSA-N</t>
  </si>
  <si>
    <t xml:space="preserve">cis-4-Decenedioic acid</t>
  </si>
  <si>
    <t xml:space="preserve">HMDB0000603</t>
  </si>
  <si>
    <t xml:space="preserve">74921</t>
  </si>
  <si>
    <t xml:space="preserve">LMFA01170045</t>
  </si>
  <si>
    <t xml:space="preserve">89730</t>
  </si>
  <si>
    <t xml:space="preserve">9543671</t>
  </si>
  <si>
    <t xml:space="preserve">72879-22-2</t>
  </si>
  <si>
    <t xml:space="preserve">C(CC/C=C\CCCCC(=O)O)(=O)O</t>
  </si>
  <si>
    <t xml:space="preserve">CXGDCGIPEJKSCK-IWQZZHSRSA-N</t>
  </si>
  <si>
    <t xml:space="preserve">cis-5-Decenedioic acid</t>
  </si>
  <si>
    <t xml:space="preserve">HMDB0013227</t>
  </si>
  <si>
    <t xml:space="preserve">172075</t>
  </si>
  <si>
    <t xml:space="preserve">7563148</t>
  </si>
  <si>
    <t xml:space="preserve">OC(=O)CCC\C=C/CCCC(O)=O</t>
  </si>
  <si>
    <t xml:space="preserve">WAGQZQAZCIOEDU-UPHRSURJSA-N</t>
  </si>
  <si>
    <t xml:space="preserve">132-3</t>
  </si>
  <si>
    <t xml:space="preserve">5-Pentyltetrahydro-2-oxo-3-furancarboxylic acid</t>
  </si>
  <si>
    <t xml:space="preserve">HMDB0030989</t>
  </si>
  <si>
    <t xml:space="preserve">87333</t>
  </si>
  <si>
    <t xml:space="preserve">172077</t>
  </si>
  <si>
    <t xml:space="preserve">131751115</t>
  </si>
  <si>
    <t xml:space="preserve">CCCCCC1CC(C(O)=O)C(=O)O1</t>
  </si>
  <si>
    <t xml:space="preserve">RXLCOVRNIXYZMX-UHFFFAOYSA-N</t>
  </si>
  <si>
    <t xml:space="preserve">(E)-10-Oxo-8-decenoic acid</t>
  </si>
  <si>
    <t xml:space="preserve">HMDB0040883</t>
  </si>
  <si>
    <t xml:space="preserve">95336</t>
  </si>
  <si>
    <t xml:space="preserve">LMFA01030949</t>
  </si>
  <si>
    <t xml:space="preserve">12431569</t>
  </si>
  <si>
    <t xml:space="preserve">69152-89-2</t>
  </si>
  <si>
    <t xml:space="preserve">O=C/C=C/CCCCCCC(=O)O</t>
  </si>
  <si>
    <t xml:space="preserve">YUAQBOMIASXPQW-FNORWQNLSA-N</t>
  </si>
  <si>
    <t xml:space="preserve">136-2</t>
  </si>
  <si>
    <t xml:space="preserve">(1'R)-Nepetalic acid</t>
  </si>
  <si>
    <t xml:space="preserve">HMDB0036117</t>
  </si>
  <si>
    <t xml:space="preserve">91274</t>
  </si>
  <si>
    <t xml:space="preserve">173886</t>
  </si>
  <si>
    <t xml:space="preserve">12313272</t>
  </si>
  <si>
    <t xml:space="preserve">21651-54-7</t>
  </si>
  <si>
    <t xml:space="preserve">CC(C=O)C1CCC(C)C1C(O)=O</t>
  </si>
  <si>
    <t xml:space="preserve">RGTMAXSVLBZNEL-UHFFFAOYSA-N</t>
  </si>
  <si>
    <t xml:space="preserve">Dodecylamine</t>
  </si>
  <si>
    <t xml:space="preserve">HMDB0251571</t>
  </si>
  <si>
    <t xml:space="preserve">CCCCCCCCCCCCN</t>
  </si>
  <si>
    <t xml:space="preserve">JRBPAEWTRLWTQC-UHFFFAOYSA-N</t>
  </si>
  <si>
    <t xml:space="preserve">TRIBUTYLAMINE</t>
  </si>
  <si>
    <t xml:space="preserve">HMDB0259165</t>
  </si>
  <si>
    <t xml:space="preserve">38905</t>
  </si>
  <si>
    <t xml:space="preserve">CCCCN(CCCC)CCCC</t>
  </si>
  <si>
    <t xml:space="preserve">IMFACGCPASFAPR-UHFFFAOYSA-N</t>
  </si>
  <si>
    <t xml:space="preserve">Eutypine</t>
  </si>
  <si>
    <t xml:space="preserve">HMDB0301834</t>
  </si>
  <si>
    <t xml:space="preserve">66984</t>
  </si>
  <si>
    <t xml:space="preserve">C08448</t>
  </si>
  <si>
    <t xml:space="preserve">129326</t>
  </si>
  <si>
    <t xml:space="preserve">121007-17-8</t>
  </si>
  <si>
    <t xml:space="preserve">CC(=C)C#CC1=CC(C=O)=CC=C1O</t>
  </si>
  <si>
    <t xml:space="preserve">SFCYVTIQMNZUCZ-UHFFFAOYSA-N</t>
  </si>
  <si>
    <t xml:space="preserve">139-2</t>
  </si>
  <si>
    <t xml:space="preserve">1-Naphthaleneacetic acid</t>
  </si>
  <si>
    <t xml:space="preserve">HMDB0032708</t>
  </si>
  <si>
    <t xml:space="preserve">69522</t>
  </si>
  <si>
    <t xml:space="preserve">C13014</t>
  </si>
  <si>
    <t xml:space="preserve">32918</t>
  </si>
  <si>
    <t xml:space="preserve">6862</t>
  </si>
  <si>
    <t xml:space="preserve">86-87-3</t>
  </si>
  <si>
    <t xml:space="preserve">OC(=O)CC1=C2C=CC=CC2=CC=C1</t>
  </si>
  <si>
    <t xml:space="preserve">PRPINYUDVPFIRX-UHFFFAOYSA-N</t>
  </si>
  <si>
    <t xml:space="preserve">Neryl propionate</t>
  </si>
  <si>
    <t xml:space="preserve">HMDB0038258</t>
  </si>
  <si>
    <t xml:space="preserve">92983</t>
  </si>
  <si>
    <t xml:space="preserve">LMFA07010976</t>
  </si>
  <si>
    <t xml:space="preserve">5365982</t>
  </si>
  <si>
    <t xml:space="preserve">105-91-9</t>
  </si>
  <si>
    <t xml:space="preserve">C/C(=C\CC/C(=C\COC(CC)=O)/C)/C</t>
  </si>
  <si>
    <t xml:space="preserve">BYCHQEILESTMQU-XFXZXTDPSA-N</t>
  </si>
  <si>
    <t xml:space="preserve">147-2</t>
  </si>
  <si>
    <t xml:space="preserve">Propyl 2,4-decadienoate</t>
  </si>
  <si>
    <t xml:space="preserve">HMDB0037307</t>
  </si>
  <si>
    <t xml:space="preserve">92256</t>
  </si>
  <si>
    <t xml:space="preserve">LMFA07011001</t>
  </si>
  <si>
    <t xml:space="preserve">5362592</t>
  </si>
  <si>
    <t xml:space="preserve">O(CCC)C(/C=C/C=C/CCCCC)=O</t>
  </si>
  <si>
    <t xml:space="preserve">RKDOXCGYGLYOBV-BNFZFUHLSA-N</t>
  </si>
  <si>
    <t xml:space="preserve">147-3</t>
  </si>
  <si>
    <t xml:space="preserve">alpha-Terpineol propanoate</t>
  </si>
  <si>
    <t xml:space="preserve">HMDB0032052</t>
  </si>
  <si>
    <t xml:space="preserve">88148</t>
  </si>
  <si>
    <t xml:space="preserve">62328</t>
  </si>
  <si>
    <t xml:space="preserve">80-27-3</t>
  </si>
  <si>
    <t xml:space="preserve">CCC(=O)OC(C)(C)C1CCC(C)=CC1</t>
  </si>
  <si>
    <t xml:space="preserve">CMKQOKAXUWQAHG-UHFFFAOYSA-N</t>
  </si>
  <si>
    <t xml:space="preserve">1-Amino-3-hydroxymethyl-5-methyl-adamantane</t>
  </si>
  <si>
    <t xml:space="preserve">HMDB0060703</t>
  </si>
  <si>
    <t xml:space="preserve">2850520</t>
  </si>
  <si>
    <t xml:space="preserve">CC12CC3CC(N)(C1)CC(CO)(C3)C2</t>
  </si>
  <si>
    <t xml:space="preserve">YANGLOGEEOBUMT-UHFFFAOYSA-N</t>
  </si>
  <si>
    <t xml:space="preserve">150-2</t>
  </si>
  <si>
    <t xml:space="preserve">3-Amino-1-hydroxy-5,7-dimethyl-adamantane</t>
  </si>
  <si>
    <t xml:space="preserve">HMDB0060738</t>
  </si>
  <si>
    <t xml:space="preserve">3382167</t>
  </si>
  <si>
    <t xml:space="preserve">CC12CC3(C)CC(N)(C1)CC(O)(C2)C3</t>
  </si>
  <si>
    <t xml:space="preserve">HSRBAOBUCHCHTQ-UHFFFAOYSA-N</t>
  </si>
  <si>
    <t xml:space="preserve">5-Hydroxytryptophol</t>
  </si>
  <si>
    <t xml:space="preserve">HMDB0001855</t>
  </si>
  <si>
    <t xml:space="preserve">433576</t>
  </si>
  <si>
    <t xml:space="preserve">9061</t>
  </si>
  <si>
    <t xml:space="preserve">154-02-9</t>
  </si>
  <si>
    <t xml:space="preserve">OCCC1=CNC2=CC=C(O)C=C12</t>
  </si>
  <si>
    <t xml:space="preserve">KQROHCSYOGBQGJ-UHFFFAOYSA-N</t>
  </si>
  <si>
    <t xml:space="preserve">Hydroxyindoles</t>
  </si>
  <si>
    <t xml:space="preserve">155-2</t>
  </si>
  <si>
    <t xml:space="preserve">1,2-Dehydrosalsolinol</t>
  </si>
  <si>
    <t xml:space="preserve">HMDB0012490</t>
  </si>
  <si>
    <t xml:space="preserve">193796</t>
  </si>
  <si>
    <t xml:space="preserve">20844</t>
  </si>
  <si>
    <t xml:space="preserve">4602-81-7</t>
  </si>
  <si>
    <t xml:space="preserve">CC1=NCCC2=C1C=C(O)C(O)=C2</t>
  </si>
  <si>
    <t xml:space="preserve">DWHSGRLKLUGKOU-UHFFFAOYSA-N</t>
  </si>
  <si>
    <t xml:space="preserve">Dihydroisoquinolines</t>
  </si>
  <si>
    <t xml:space="preserve">Valerenal</t>
  </si>
  <si>
    <t xml:space="preserve">HMDB0035786</t>
  </si>
  <si>
    <t xml:space="preserve">12444654</t>
  </si>
  <si>
    <t xml:space="preserve">4176-16-3</t>
  </si>
  <si>
    <t xml:space="preserve">CC1CCC(\C=C(/C)C=O)C2=C(C)CCC12</t>
  </si>
  <si>
    <t xml:space="preserve">RJZWGDPBGWGJNU-CSKARUKUSA-N</t>
  </si>
  <si>
    <t xml:space="preserve">1,3,5-Bisabolatrien-10-one</t>
  </si>
  <si>
    <t xml:space="preserve">HMDB0036109</t>
  </si>
  <si>
    <t xml:space="preserve">91269</t>
  </si>
  <si>
    <t xml:space="preserve">71360448</t>
  </si>
  <si>
    <t xml:space="preserve">76760-40-2</t>
  </si>
  <si>
    <t xml:space="preserve">CC(C)C(=O)CCC(C)C1=CC=C(C)C=C1</t>
  </si>
  <si>
    <t xml:space="preserve">UWAKTEDKARQVDV-UHFFFAOYSA-N</t>
  </si>
  <si>
    <t xml:space="preserve">157-3</t>
  </si>
  <si>
    <t xml:space="preserve">(+)-4,11-Eudesmadien-3-one</t>
  </si>
  <si>
    <t xml:space="preserve">HMDB0037061</t>
  </si>
  <si>
    <t xml:space="preserve">92039</t>
  </si>
  <si>
    <t xml:space="preserve">273568</t>
  </si>
  <si>
    <t xml:space="preserve">473-08-5</t>
  </si>
  <si>
    <t xml:space="preserve">CC(=C)C1CCC2(C)CCC(=O)C(C)=C2C1</t>
  </si>
  <si>
    <t xml:space="preserve">KUFXJZXMWHNCEH-UHFFFAOYSA-N</t>
  </si>
  <si>
    <t xml:space="preserve">1,4,8,11-Tetraazacyclotetradecane</t>
  </si>
  <si>
    <t xml:space="preserve">HMDB0244225</t>
  </si>
  <si>
    <t xml:space="preserve">37401</t>
  </si>
  <si>
    <t xml:space="preserve">C1CNCCNCCCNCCNC1</t>
  </si>
  <si>
    <t xml:space="preserve">MDAXKAUIABOHTD-UHFFFAOYSA-N</t>
  </si>
  <si>
    <t xml:space="preserve">158-2</t>
  </si>
  <si>
    <t xml:space="preserve">1,4-Bis(3-aminopropyl)piperazine</t>
  </si>
  <si>
    <t xml:space="preserve">HMDB0247321</t>
  </si>
  <si>
    <t xml:space="preserve">81629</t>
  </si>
  <si>
    <t xml:space="preserve">NCCCN1CCN(CCCN)CC1</t>
  </si>
  <si>
    <t xml:space="preserve">XUSNPFGLKGCWGN-UHFFFAOYSA-N</t>
  </si>
  <si>
    <t xml:space="preserve">Succinylacetoacetate</t>
  </si>
  <si>
    <t xml:space="preserve">HMDB0240258</t>
  </si>
  <si>
    <t xml:space="preserve">352772</t>
  </si>
  <si>
    <t xml:space="preserve">87999</t>
  </si>
  <si>
    <t xml:space="preserve">125181</t>
  </si>
  <si>
    <t xml:space="preserve">65115-74-4</t>
  </si>
  <si>
    <t xml:space="preserve">OC(=O)CCC(=O)CC(=O)CC(O)=O</t>
  </si>
  <si>
    <t xml:space="preserve">OMFWHSRZHVVVAL-UHFFFAOYSA-N</t>
  </si>
  <si>
    <t xml:space="preserve">162-2</t>
  </si>
  <si>
    <t xml:space="preserve">Ethyl aconitate</t>
  </si>
  <si>
    <t xml:space="preserve">HMDB0040275</t>
  </si>
  <si>
    <t xml:space="preserve">405567</t>
  </si>
  <si>
    <t xml:space="preserve">25088425</t>
  </si>
  <si>
    <t xml:space="preserve">1321-30-8</t>
  </si>
  <si>
    <t xml:space="preserve">CCOC(=O)\C=C(\CC(O)=O)C(O)=O</t>
  </si>
  <si>
    <t xml:space="preserve">ANIDMCPGEUWERH-PLNGDYQASA-N</t>
  </si>
  <si>
    <t xml:space="preserve">(R)-Boschniakine</t>
  </si>
  <si>
    <t xml:space="preserve">HMDB0030267</t>
  </si>
  <si>
    <t xml:space="preserve">C09915</t>
  </si>
  <si>
    <t xml:space="preserve">3157</t>
  </si>
  <si>
    <t xml:space="preserve">3530565</t>
  </si>
  <si>
    <t xml:space="preserve">18070-40-1</t>
  </si>
  <si>
    <t xml:space="preserve">CC1CCC2=C(C=O)C=NC=C12</t>
  </si>
  <si>
    <t xml:space="preserve">OPRAONAUWNNOOV-UHFFFAOYSA-N</t>
  </si>
  <si>
    <t xml:space="preserve">168-2</t>
  </si>
  <si>
    <t xml:space="preserve">Tryptophol</t>
  </si>
  <si>
    <t xml:space="preserve">HMDB0003447</t>
  </si>
  <si>
    <t xml:space="preserve">6932</t>
  </si>
  <si>
    <t xml:space="preserve">C00955</t>
  </si>
  <si>
    <t xml:space="preserve">17890</t>
  </si>
  <si>
    <t xml:space="preserve">10685</t>
  </si>
  <si>
    <t xml:space="preserve">526-55-6</t>
  </si>
  <si>
    <t xml:space="preserve">OCCC1=CNC2=C1C=CC=C2</t>
  </si>
  <si>
    <t xml:space="preserve">MBBOMCVGYCRMEA-UHFFFAOYSA-N</t>
  </si>
  <si>
    <t xml:space="preserve">(Z)-3-Oxo-2-(2-pentenyl)-1-cyclopenteneacetic acid</t>
  </si>
  <si>
    <t xml:space="preserve">HMDB0030197</t>
  </si>
  <si>
    <t xml:space="preserve">86789</t>
  </si>
  <si>
    <t xml:space="preserve">168229</t>
  </si>
  <si>
    <t xml:space="preserve">14262444</t>
  </si>
  <si>
    <t xml:space="preserve">120282-76-0</t>
  </si>
  <si>
    <t xml:space="preserve">CC\C=C\CC1=C(CC(O)=O)CCC1=O</t>
  </si>
  <si>
    <t xml:space="preserve">QAAHGFINENUHAR-ONEGZZNKSA-N</t>
  </si>
  <si>
    <t xml:space="preserve">173-2</t>
  </si>
  <si>
    <t xml:space="preserve">5-Deoxydiplosporin</t>
  </si>
  <si>
    <t xml:space="preserve">HMDB0030681</t>
  </si>
  <si>
    <t xml:space="preserve">87138</t>
  </si>
  <si>
    <t xml:space="preserve">173595</t>
  </si>
  <si>
    <t xml:space="preserve">131751070</t>
  </si>
  <si>
    <t xml:space="preserve">CCC1CCC2=C(C1)C(=O)C(CO)=CO2</t>
  </si>
  <si>
    <t xml:space="preserve">CVHITWPBDVBDIQ-UHFFFAOYSA-N</t>
  </si>
  <si>
    <t xml:space="preserve">173-3</t>
  </si>
  <si>
    <t xml:space="preserve">Jasmine ketolactone</t>
  </si>
  <si>
    <t xml:space="preserve">HMDB0030150</t>
  </si>
  <si>
    <t xml:space="preserve">86758</t>
  </si>
  <si>
    <t xml:space="preserve">173593</t>
  </si>
  <si>
    <t xml:space="preserve">21134279</t>
  </si>
  <si>
    <t xml:space="preserve">70981-24-7</t>
  </si>
  <si>
    <t xml:space="preserve">O=C1CCC2CC(=O)OCC\C=C/CC12</t>
  </si>
  <si>
    <t xml:space="preserve">DINQMNROFIPFOH-UPHRSURJSA-N</t>
  </si>
  <si>
    <t xml:space="preserve">Oxocins</t>
  </si>
  <si>
    <t xml:space="preserve">11-Hydroxy-9-tridecenoic acid</t>
  </si>
  <si>
    <t xml:space="preserve">HMDB0035881</t>
  </si>
  <si>
    <t xml:space="preserve">91087</t>
  </si>
  <si>
    <t xml:space="preserve">LMFA01050437</t>
  </si>
  <si>
    <t xml:space="preserve">5318367</t>
  </si>
  <si>
    <t xml:space="preserve">105798-56-9</t>
  </si>
  <si>
    <t xml:space="preserve">CCC(O)/C=C/CCCCCCCC(O)=O</t>
  </si>
  <si>
    <t xml:space="preserve">NSVPCFNUUARRKL-CSKARUKUSA-N</t>
  </si>
  <si>
    <t xml:space="preserve">178-2</t>
  </si>
  <si>
    <t xml:space="preserve">Menthone 1,2-glyceryl ketal</t>
  </si>
  <si>
    <t xml:space="preserve">HMDB0036139</t>
  </si>
  <si>
    <t xml:space="preserve">91295</t>
  </si>
  <si>
    <t xml:space="preserve">162184</t>
  </si>
  <si>
    <t xml:space="preserve">63187-91-7</t>
  </si>
  <si>
    <t xml:space="preserve">CC(C)C1CCC(C)CC11OCC(CO)O1</t>
  </si>
  <si>
    <t xml:space="preserve">ZBJCYZPANVLBRK-UHFFFAOYSA-N</t>
  </si>
  <si>
    <t xml:space="preserve">178-3</t>
  </si>
  <si>
    <t xml:space="preserve">Menthyl lactate</t>
  </si>
  <si>
    <t xml:space="preserve">HMDB0037212</t>
  </si>
  <si>
    <t xml:space="preserve">92179</t>
  </si>
  <si>
    <t xml:space="preserve">62151</t>
  </si>
  <si>
    <t xml:space="preserve">59259-38-0</t>
  </si>
  <si>
    <t xml:space="preserve">CC(C)[C@@H]1CC[C@@H](C)C[C@H]1OC(=O)C(C)O</t>
  </si>
  <si>
    <t xml:space="preserve">UJNOLBSYLSYIBM-SGUBAKSOSA-N</t>
  </si>
  <si>
    <t xml:space="preserve">2,6-Dinitrotoluene</t>
  </si>
  <si>
    <t xml:space="preserve">HMDB0245521</t>
  </si>
  <si>
    <t xml:space="preserve">68767</t>
  </si>
  <si>
    <t xml:space="preserve">C11008</t>
  </si>
  <si>
    <t xml:space="preserve">957</t>
  </si>
  <si>
    <t xml:space="preserve">11813</t>
  </si>
  <si>
    <t xml:space="preserve">606-20-2</t>
  </si>
  <si>
    <t xml:space="preserve">CC1=C(C=CC=C1[N+]([O-])=O)[N+]([O-])=O</t>
  </si>
  <si>
    <t xml:space="preserve">XTRDKALNCIHHNI-UHFFFAOYSA-N</t>
  </si>
  <si>
    <t xml:space="preserve">2,4-Dinitrotoluene</t>
  </si>
  <si>
    <t xml:space="preserve">HMDB0245464</t>
  </si>
  <si>
    <t xml:space="preserve">68765</t>
  </si>
  <si>
    <t xml:space="preserve">C11006</t>
  </si>
  <si>
    <t xml:space="preserve">920</t>
  </si>
  <si>
    <t xml:space="preserve">8461</t>
  </si>
  <si>
    <t xml:space="preserve">121-14-2</t>
  </si>
  <si>
    <t xml:space="preserve">CC1=CC=C(C=C1[N+]([O-])=O)[N+]([O-])=O</t>
  </si>
  <si>
    <t xml:space="preserve">RMBFBMJGBANMMK-UHFFFAOYSA-N</t>
  </si>
  <si>
    <t xml:space="preserve">Phenoxazine</t>
  </si>
  <si>
    <t xml:space="preserve">HMDB0256415</t>
  </si>
  <si>
    <t xml:space="preserve">421828</t>
  </si>
  <si>
    <t xml:space="preserve">94057</t>
  </si>
  <si>
    <t xml:space="preserve">67278</t>
  </si>
  <si>
    <t xml:space="preserve">N1C2=CC=CC=C2OC2=CC=CC=C12</t>
  </si>
  <si>
    <t xml:space="preserve">TZMSYXZUNZXBOL-UHFFFAOYSA-N</t>
  </si>
  <si>
    <t xml:space="preserve">191-2</t>
  </si>
  <si>
    <t xml:space="preserve">3H-Phenoxazine</t>
  </si>
  <si>
    <t xml:space="preserve">HMDB0246271</t>
  </si>
  <si>
    <t xml:space="preserve">23120633</t>
  </si>
  <si>
    <t xml:space="preserve">C1C=CC2=NC3=CC=CC=C3OC2=C1</t>
  </si>
  <si>
    <t xml:space="preserve">MOLUAYHPIDORGD-UHFFFAOYSA-N</t>
  </si>
  <si>
    <t xml:space="preserve">9H-Purin-6-ol, 2-((phenylmethyl)amino)-</t>
  </si>
  <si>
    <t xml:space="preserve">HMDB0246978</t>
  </si>
  <si>
    <t xml:space="preserve">5271885</t>
  </si>
  <si>
    <t xml:space="preserve">O=C1NC(NCC2=CC=CC=C2)=NC2=C1NC=N2</t>
  </si>
  <si>
    <t xml:space="preserve">XWNJMSJGJFSGRY-UHFFFAOYSA-N</t>
  </si>
  <si>
    <t xml:space="preserve">195-2</t>
  </si>
  <si>
    <t xml:space="preserve">o6-Benzylguanine</t>
  </si>
  <si>
    <t xml:space="preserve">HMDB0255878</t>
  </si>
  <si>
    <t xml:space="preserve">448971</t>
  </si>
  <si>
    <t xml:space="preserve">N=C1NC2=C(N=CN2)C(OCC2=CC=CC=C2)=N1</t>
  </si>
  <si>
    <t xml:space="preserve">KRWMERLEINMZFT-UHFFFAOYSA-N</t>
  </si>
  <si>
    <t xml:space="preserve">195-3</t>
  </si>
  <si>
    <t xml:space="preserve">Peldesine</t>
  </si>
  <si>
    <t xml:space="preserve">HMDB0256208</t>
  </si>
  <si>
    <t xml:space="preserve">419846</t>
  </si>
  <si>
    <t xml:space="preserve">135413525</t>
  </si>
  <si>
    <t xml:space="preserve">NC1=NC(=O)C2=C(N1)C(CC1=CN=CC=C1)=CN2</t>
  </si>
  <si>
    <t xml:space="preserve">DOHVAKFYAHLCJP-UHFFFAOYSA-N</t>
  </si>
  <si>
    <t xml:space="preserve">[(2R,3S,4R,5R)-3,4,5,6-Tetrahydroxy-1-oxohexan-2-yl] 2-hydroxypropanoate</t>
  </si>
  <si>
    <t xml:space="preserve">HMDB0258037</t>
  </si>
  <si>
    <t xml:space="preserve">CC(O)C(=O)OC(C=O)C(O)C(O)C(O)CO</t>
  </si>
  <si>
    <t xml:space="preserve">GGTVXTGXRPOKPC-UHFFFAOYSA-N</t>
  </si>
  <si>
    <t xml:space="preserve">209-2</t>
  </si>
  <si>
    <t xml:space="preserve">Glucose propionate</t>
  </si>
  <si>
    <t xml:space="preserve">HMDB0252785</t>
  </si>
  <si>
    <t xml:space="preserve">CCC(=O)OC1(O)OC(CO)C(O)C(O)C1O</t>
  </si>
  <si>
    <t xml:space="preserve">PCFIAZZAJNYGGV-UHFFFAOYSA-N</t>
  </si>
  <si>
    <t xml:space="preserve">Pinocembrin</t>
  </si>
  <si>
    <t xml:space="preserve">HMDB0030808</t>
  </si>
  <si>
    <t xml:space="preserve">44418</t>
  </si>
  <si>
    <t xml:space="preserve">LMPK12140214</t>
  </si>
  <si>
    <t xml:space="preserve">C09827</t>
  </si>
  <si>
    <t xml:space="preserve">28157</t>
  </si>
  <si>
    <t xml:space="preserve">68071</t>
  </si>
  <si>
    <t xml:space="preserve">480-39-7</t>
  </si>
  <si>
    <t xml:space="preserve">C1(O)C=C2O[C@]([H])(C3C=CC=CC=3)CC(=O)C2=C(O)C=1</t>
  </si>
  <si>
    <t xml:space="preserve">URFCJEUYXNAHFI-ZDUSSCGKSA-N</t>
  </si>
  <si>
    <t xml:space="preserve">Liquiritigenin</t>
  </si>
  <si>
    <t xml:space="preserve">HMDB0029519</t>
  </si>
  <si>
    <t xml:space="preserve">52551</t>
  </si>
  <si>
    <t xml:space="preserve">LMPK12140061</t>
  </si>
  <si>
    <t xml:space="preserve">C09762</t>
  </si>
  <si>
    <t xml:space="preserve">28777</t>
  </si>
  <si>
    <t xml:space="preserve">114829</t>
  </si>
  <si>
    <t xml:space="preserve">578-86-9</t>
  </si>
  <si>
    <t xml:space="preserve">C1(O)C=C2O[C@]([H])(C3C=CC(O)=CC=3)CC(=O)C2=CC=1</t>
  </si>
  <si>
    <t xml:space="preserve">FURUXTVZLHCCNA-AWEZNQCLSA-N</t>
  </si>
  <si>
    <t xml:space="preserve">Dioctylamine</t>
  </si>
  <si>
    <t xml:space="preserve">HMDB0251428</t>
  </si>
  <si>
    <t xml:space="preserve">342738</t>
  </si>
  <si>
    <t xml:space="preserve">132284</t>
  </si>
  <si>
    <t xml:space="preserve">3094</t>
  </si>
  <si>
    <t xml:space="preserve">CCCCCCCCNCCCCCCCC</t>
  </si>
  <si>
    <t xml:space="preserve">LAWOZCWGWDVVSG-UHFFFAOYSA-N</t>
  </si>
  <si>
    <t xml:space="preserve">218-2</t>
  </si>
  <si>
    <t xml:space="preserve">Hexadecylamine</t>
  </si>
  <si>
    <t xml:space="preserve">HMDB0243891</t>
  </si>
  <si>
    <t xml:space="preserve">4110</t>
  </si>
  <si>
    <t xml:space="preserve">8926</t>
  </si>
  <si>
    <t xml:space="preserve">143-27-1</t>
  </si>
  <si>
    <t xml:space="preserve">CCCCCCCCCCCCCCCCN</t>
  </si>
  <si>
    <t xml:space="preserve">FJLUATLTXUNBOT-UHFFFAOYSA-N</t>
  </si>
  <si>
    <t xml:space="preserve">Rapalexin B</t>
  </si>
  <si>
    <t xml:space="preserve">HMDB0302105</t>
  </si>
  <si>
    <t xml:space="preserve">16102149</t>
  </si>
  <si>
    <t xml:space="preserve">COC1=C2C(NC=C2N=C=S)=CC=C1O</t>
  </si>
  <si>
    <t xml:space="preserve">RIANPHYYVJUMIF-UHFFFAOYSA-N</t>
  </si>
  <si>
    <t xml:space="preserve">Tyrphostin 47</t>
  </si>
  <si>
    <t xml:space="preserve">HMDB0259355</t>
  </si>
  <si>
    <t xml:space="preserve">3034797</t>
  </si>
  <si>
    <t xml:space="preserve">NC(=S)C(=CC1=CC(O)=C(O)C=C1)C#N</t>
  </si>
  <si>
    <t xml:space="preserve">ZGHQGWOETPXKLY-UHFFFAOYSA-N</t>
  </si>
  <si>
    <t xml:space="preserve">Cytidine</t>
  </si>
  <si>
    <t xml:space="preserve">HMDB0000089</t>
  </si>
  <si>
    <t xml:space="preserve">3376</t>
  </si>
  <si>
    <t xml:space="preserve">C00475</t>
  </si>
  <si>
    <t xml:space="preserve">17562</t>
  </si>
  <si>
    <t xml:space="preserve">6175</t>
  </si>
  <si>
    <t xml:space="preserve">65-46-3</t>
  </si>
  <si>
    <t xml:space="preserve">NC1=NC(=O)N(C=C1)[C@@H]1O[C@H](CO)[C@@H](O)[C@H]1O</t>
  </si>
  <si>
    <t xml:space="preserve">UHDGCWIWMRVCDJ-XVFCMESISA-N</t>
  </si>
  <si>
    <t xml:space="preserve">221-2</t>
  </si>
  <si>
    <t xml:space="preserve">Cytarabine</t>
  </si>
  <si>
    <t xml:space="preserve">HMDB0015122</t>
  </si>
  <si>
    <t xml:space="preserve">567</t>
  </si>
  <si>
    <t xml:space="preserve">C02961</t>
  </si>
  <si>
    <t xml:space="preserve">28680</t>
  </si>
  <si>
    <t xml:space="preserve">6253</t>
  </si>
  <si>
    <t xml:space="preserve">147-94-4</t>
  </si>
  <si>
    <t xml:space="preserve">NC1=NC(=O)N(C=C1)[C@@H]1O[C@H](CO)[C@@H](O)[C@@H]1O</t>
  </si>
  <si>
    <t xml:space="preserve">UHDGCWIWMRVCDJ-CCXZUQQUSA-N</t>
  </si>
  <si>
    <t xml:space="preserve">Chalcone</t>
  </si>
  <si>
    <t xml:space="preserve">HMDB0003066</t>
  </si>
  <si>
    <t xml:space="preserve">3342</t>
  </si>
  <si>
    <t xml:space="preserve">C15589</t>
  </si>
  <si>
    <t xml:space="preserve">48965</t>
  </si>
  <si>
    <t xml:space="preserve">637760</t>
  </si>
  <si>
    <t xml:space="preserve">94-41-7</t>
  </si>
  <si>
    <t xml:space="preserve">O=C(\C=C\C1=CC=CC=C1)C1=CC=CC=C1</t>
  </si>
  <si>
    <t xml:space="preserve">DQFBYFPFKXHELB-VAWYXSNFSA-N</t>
  </si>
  <si>
    <t xml:space="preserve">228-2</t>
  </si>
  <si>
    <t xml:space="preserve">1-Methoxyphenanthrene</t>
  </si>
  <si>
    <t xml:space="preserve">HMDB0060323</t>
  </si>
  <si>
    <t xml:space="preserve">69037</t>
  </si>
  <si>
    <t xml:space="preserve">C11433</t>
  </si>
  <si>
    <t xml:space="preserve">27753</t>
  </si>
  <si>
    <t xml:space="preserve">43547</t>
  </si>
  <si>
    <t xml:space="preserve">834-99-1</t>
  </si>
  <si>
    <t xml:space="preserve">COC1=CC=CC2=C1C=CC1=CC=CC=C21</t>
  </si>
  <si>
    <t xml:space="preserve">ONMKCYMMGBIVPT-UHFFFAOYSA-N</t>
  </si>
  <si>
    <t xml:space="preserve">Aspartylhydroxyproline</t>
  </si>
  <si>
    <t xml:space="preserve">HMDB0011160</t>
  </si>
  <si>
    <t xml:space="preserve">62009</t>
  </si>
  <si>
    <t xml:space="preserve">132990981</t>
  </si>
  <si>
    <t xml:space="preserve">106414-01-1</t>
  </si>
  <si>
    <t xml:space="preserve">N[C@@H](CC(O)=O)C(=O)N1C[C@H](O)C[C@H]1C(O)=O</t>
  </si>
  <si>
    <t xml:space="preserve">WJDUWENBTQEKDZ-SRQIZXRXSA-N</t>
  </si>
  <si>
    <t xml:space="preserve">5,6-Dihydrouridine</t>
  </si>
  <si>
    <t xml:space="preserve">HMDB0000497</t>
  </si>
  <si>
    <t xml:space="preserve">5483</t>
  </si>
  <si>
    <t xml:space="preserve">23774</t>
  </si>
  <si>
    <t xml:space="preserve">94312</t>
  </si>
  <si>
    <t xml:space="preserve">5627-05-4</t>
  </si>
  <si>
    <t xml:space="preserve">OC[C@H]1O[C@H]([C@H](O)[C@@H]1O)N1CCC(=O)NC1=O</t>
  </si>
  <si>
    <t xml:space="preserve">ZPTBLXKRQACLCR-XVFCMESISA-N</t>
  </si>
  <si>
    <t xml:space="preserve">Pentobarbital</t>
  </si>
  <si>
    <t xml:space="preserve">HMDB0014457</t>
  </si>
  <si>
    <t xml:space="preserve">494</t>
  </si>
  <si>
    <t xml:space="preserve">C07422</t>
  </si>
  <si>
    <t xml:space="preserve">7983</t>
  </si>
  <si>
    <t xml:space="preserve">4737</t>
  </si>
  <si>
    <t xml:space="preserve">76-74-4</t>
  </si>
  <si>
    <t xml:space="preserve">CCCC(C)C1(CC)C(=O)NC(=O)NC1=O</t>
  </si>
  <si>
    <t xml:space="preserve">WEXRUCMBJFQVBZ-UHFFFAOYSA-N</t>
  </si>
  <si>
    <t xml:space="preserve">233-2</t>
  </si>
  <si>
    <t xml:space="preserve">Amobarbital</t>
  </si>
  <si>
    <t xml:space="preserve">HMDB0015440</t>
  </si>
  <si>
    <t xml:space="preserve">496</t>
  </si>
  <si>
    <t xml:space="preserve">C07536</t>
  </si>
  <si>
    <t xml:space="preserve">2673</t>
  </si>
  <si>
    <t xml:space="preserve">57-43-2</t>
  </si>
  <si>
    <t xml:space="preserve">CCC1(CCC(C)C)C(=O)NC(=O)NC1=O</t>
  </si>
  <si>
    <t xml:space="preserve">VIROVYVQCGLCII-UHFFFAOYSA-N</t>
  </si>
  <si>
    <t xml:space="preserve">Arginylglycine</t>
  </si>
  <si>
    <t xml:space="preserve">HMDB0028709</t>
  </si>
  <si>
    <t xml:space="preserve">458830</t>
  </si>
  <si>
    <t xml:space="preserve">142765</t>
  </si>
  <si>
    <t xml:space="preserve">2418-67-9</t>
  </si>
  <si>
    <t xml:space="preserve">N[C@@H](CCCNC(N)=N)C(=O)NCC(O)=O</t>
  </si>
  <si>
    <t xml:space="preserve">XUUXCWCKKCZEAW-YFKPBYRVSA-N</t>
  </si>
  <si>
    <t xml:space="preserve">Glycyl-Arginine</t>
  </si>
  <si>
    <t xml:space="preserve">HMDB0028835</t>
  </si>
  <si>
    <t xml:space="preserve">333414</t>
  </si>
  <si>
    <t xml:space="preserve">NCC(O)=NC(CCCNC(N)=N)C(O)=O</t>
  </si>
  <si>
    <t xml:space="preserve">JLXVRFDTDUGQEE-UHFFFAOYSA-N</t>
  </si>
  <si>
    <t xml:space="preserve">2,6-Dimethyl-3-[(2-methyl-3-furanyl)thio]-4-heptanone</t>
  </si>
  <si>
    <t xml:space="preserve">HMDB0037154</t>
  </si>
  <si>
    <t xml:space="preserve">92122</t>
  </si>
  <si>
    <t xml:space="preserve">62183</t>
  </si>
  <si>
    <t xml:space="preserve">61295-51-0</t>
  </si>
  <si>
    <t xml:space="preserve">CC(C)CC(=O)C(SC1=C(C)OC=C1)C(C)C</t>
  </si>
  <si>
    <t xml:space="preserve">PFFLSEMCPNTWOY-UHFFFAOYSA-N</t>
  </si>
  <si>
    <t xml:space="preserve">246-2</t>
  </si>
  <si>
    <t xml:space="preserve">4-[(2-Methyl-3-furanyl)thio]-5-nonanone</t>
  </si>
  <si>
    <t xml:space="preserve">HMDB0037141</t>
  </si>
  <si>
    <t xml:space="preserve">92109</t>
  </si>
  <si>
    <t xml:space="preserve">168976</t>
  </si>
  <si>
    <t xml:space="preserve">62182</t>
  </si>
  <si>
    <t xml:space="preserve">61295-50-9</t>
  </si>
  <si>
    <t xml:space="preserve">CCCCC(=O)C(CCC)SC1=C(C)OC=C1</t>
  </si>
  <si>
    <t xml:space="preserve">PEYZZTQOVLTVHN-UHFFFAOYSA-N</t>
  </si>
  <si>
    <t xml:space="preserve">Paraxanthine</t>
  </si>
  <si>
    <t xml:space="preserve">HMDB0001860</t>
  </si>
  <si>
    <t xml:space="preserve">1457</t>
  </si>
  <si>
    <t xml:space="preserve">C13747</t>
  </si>
  <si>
    <t xml:space="preserve">25858</t>
  </si>
  <si>
    <t xml:space="preserve">4687</t>
  </si>
  <si>
    <t xml:space="preserve">611-59-6</t>
  </si>
  <si>
    <t xml:space="preserve">CN1C=NC2=C1C(=O)N(C)C(=O)N2</t>
  </si>
  <si>
    <t xml:space="preserve">QUNWUDVFRNGTCO-UHFFFAOYSA-N</t>
  </si>
  <si>
    <t xml:space="preserve">250-2</t>
  </si>
  <si>
    <t xml:space="preserve">Theobromine</t>
  </si>
  <si>
    <t xml:space="preserve">HMDB0002825</t>
  </si>
  <si>
    <t xml:space="preserve">C07480</t>
  </si>
  <si>
    <t xml:space="preserve">28946</t>
  </si>
  <si>
    <t xml:space="preserve">5429</t>
  </si>
  <si>
    <t xml:space="preserve">83-67-0</t>
  </si>
  <si>
    <t xml:space="preserve">CN1C=NC2=C1C(O)=NC(=O)N2C</t>
  </si>
  <si>
    <t xml:space="preserve">YAPQBXQYLJRXSA-UHFFFAOYSA-N</t>
  </si>
  <si>
    <t xml:space="preserve">250-3</t>
  </si>
  <si>
    <t xml:space="preserve">Theophylline</t>
  </si>
  <si>
    <t xml:space="preserve">HMDB0001889</t>
  </si>
  <si>
    <t xml:space="preserve">1458</t>
  </si>
  <si>
    <t xml:space="preserve">C07130</t>
  </si>
  <si>
    <t xml:space="preserve">28177</t>
  </si>
  <si>
    <t xml:space="preserve">58-55-9</t>
  </si>
  <si>
    <t xml:space="preserve">CN1C2=C(NC=N2)C(=O)N(C)C1=O</t>
  </si>
  <si>
    <t xml:space="preserve">ZFXYFBGIUFBOJW-UHFFFAOYSA-N</t>
  </si>
  <si>
    <t xml:space="preserve">(-)-Epiafzelechin</t>
  </si>
  <si>
    <t xml:space="preserve">HMDB0030822</t>
  </si>
  <si>
    <t xml:space="preserve">44474</t>
  </si>
  <si>
    <t xml:space="preserve">LMPK12020036</t>
  </si>
  <si>
    <t xml:space="preserve">C12128</t>
  </si>
  <si>
    <t xml:space="preserve">31028</t>
  </si>
  <si>
    <t xml:space="preserve">443639</t>
  </si>
  <si>
    <t xml:space="preserve">24808-04-6</t>
  </si>
  <si>
    <t xml:space="preserve">C1(O)C=C2O[C@H](C3C=CC(O)=CC=3)[C@H](O)CC2=C(O)C=1</t>
  </si>
  <si>
    <t xml:space="preserve">RSYUFYQTACJFML-UKRRQHHQSA-N</t>
  </si>
  <si>
    <t xml:space="preserve">251-2</t>
  </si>
  <si>
    <t xml:space="preserve">Phloretin</t>
  </si>
  <si>
    <t xml:space="preserve">HMDB0003306</t>
  </si>
  <si>
    <t xml:space="preserve">3405</t>
  </si>
  <si>
    <t xml:space="preserve">LMPK12120525</t>
  </si>
  <si>
    <t xml:space="preserve">C00774</t>
  </si>
  <si>
    <t xml:space="preserve">17276</t>
  </si>
  <si>
    <t xml:space="preserve">60-82-2</t>
  </si>
  <si>
    <t xml:space="preserve">C1(O)C=C(O)C(C(=O)CCC2C=CC(O)=CC=2)=C(O)C=1</t>
  </si>
  <si>
    <t xml:space="preserve">VGEREEWJJVICBM-UHFFFAOYSA-N</t>
  </si>
  <si>
    <t xml:space="preserve">Citronellyl propionate</t>
  </si>
  <si>
    <t xml:space="preserve">HMDB0037226</t>
  </si>
  <si>
    <t xml:space="preserve">92191</t>
  </si>
  <si>
    <t xml:space="preserve">LMFA07010820</t>
  </si>
  <si>
    <t xml:space="preserve">8834</t>
  </si>
  <si>
    <t xml:space="preserve">141-14-0</t>
  </si>
  <si>
    <t xml:space="preserve">C/C(=C\CCC(C)CCOC(CC)=O)/C</t>
  </si>
  <si>
    <t xml:space="preserve">POPNTVRHTZDEBW-UHFFFAOYSA-N</t>
  </si>
  <si>
    <t xml:space="preserve">Ethyl 10-undecenoate</t>
  </si>
  <si>
    <t xml:space="preserve">HMDB0034286</t>
  </si>
  <si>
    <t xml:space="preserve">89823</t>
  </si>
  <si>
    <t xml:space="preserve">LMFA07010850</t>
  </si>
  <si>
    <t xml:space="preserve">12729</t>
  </si>
  <si>
    <t xml:space="preserve">692-86-4</t>
  </si>
  <si>
    <t xml:space="preserve">CCOC(=O)CCCCCCCCC=C</t>
  </si>
  <si>
    <t xml:space="preserve">FXNFFCMITPHEIT-UHFFFAOYSA-N</t>
  </si>
  <si>
    <t xml:space="preserve">Methyl (E)-2-dodecenoate</t>
  </si>
  <si>
    <t xml:space="preserve">HMDB0031028</t>
  </si>
  <si>
    <t xml:space="preserve">87359</t>
  </si>
  <si>
    <t xml:space="preserve">LMFA07010931</t>
  </si>
  <si>
    <t xml:space="preserve">637723</t>
  </si>
  <si>
    <t xml:space="preserve">6208-91-9</t>
  </si>
  <si>
    <t xml:space="preserve">COC(=O)/C=C/CCCCCCCCC</t>
  </si>
  <si>
    <t xml:space="preserve">YWSDDOFJTUOVMX-VAWYXSNFSA-N</t>
  </si>
  <si>
    <t xml:space="preserve">Cysteinyl-Histidine</t>
  </si>
  <si>
    <t xml:space="preserve">HMDB0028777</t>
  </si>
  <si>
    <t xml:space="preserve">18218196</t>
  </si>
  <si>
    <t xml:space="preserve">NC(CS)C(=O)NC(CC1=CN=CN1)C(O)=O</t>
  </si>
  <si>
    <t xml:space="preserve">LVNMAAGSAUGNIC-UHFFFAOYSA-N</t>
  </si>
  <si>
    <t xml:space="preserve">253-2</t>
  </si>
  <si>
    <t xml:space="preserve">Histidylcysteine</t>
  </si>
  <si>
    <t xml:space="preserve">HMDB0028882</t>
  </si>
  <si>
    <t xml:space="preserve">23651</t>
  </si>
  <si>
    <t xml:space="preserve">15294281</t>
  </si>
  <si>
    <t xml:space="preserve">116833-93-3</t>
  </si>
  <si>
    <t xml:space="preserve">N[C@@H](CC1=CNC=N1)C(=O)N[C@@H](CS)C(O)=O</t>
  </si>
  <si>
    <t xml:space="preserve">MAJYPBAJPNUFPV-BQBZGAKWSA-N</t>
  </si>
  <si>
    <t xml:space="preserve">N-(3,5-Dichlorophenyl)-2-hydroxysuccinimide</t>
  </si>
  <si>
    <t xml:space="preserve">HMDB0244438</t>
  </si>
  <si>
    <t xml:space="preserve">114902</t>
  </si>
  <si>
    <t xml:space="preserve">OC1CC(=O)N(C1=O)C1=CC(Cl)=CC(Cl)=C1</t>
  </si>
  <si>
    <t xml:space="preserve">AAGBZCCQCVOKKA-UHFFFAOYSA-N</t>
  </si>
  <si>
    <t xml:space="preserve">Phenylpyrrolidines</t>
  </si>
  <si>
    <t xml:space="preserve">254-2</t>
  </si>
  <si>
    <t xml:space="preserve">1-(3,5-Dichlorophenyl)pyrrole-2,3,5-triol</t>
  </si>
  <si>
    <t xml:space="preserve">HMDB0260232</t>
  </si>
  <si>
    <t xml:space="preserve">54414721</t>
  </si>
  <si>
    <t xml:space="preserve">OC1=CC(O)=C(O)N1C1=CC(Cl)=CC(Cl)=C1</t>
  </si>
  <si>
    <t xml:space="preserve">VWPFTDCSDUFHPE-UHFFFAOYSA-N</t>
  </si>
  <si>
    <t xml:space="preserve">DL-O-Phosphoserine</t>
  </si>
  <si>
    <t xml:space="preserve">HMDB0001721</t>
  </si>
  <si>
    <t xml:space="preserve">6338</t>
  </si>
  <si>
    <t xml:space="preserve">C01005</t>
  </si>
  <si>
    <t xml:space="preserve">37712</t>
  </si>
  <si>
    <t xml:space="preserve">106</t>
  </si>
  <si>
    <t xml:space="preserve">17885-08-4</t>
  </si>
  <si>
    <t xml:space="preserve">NC(COP(O)(O)=O)C(O)=O</t>
  </si>
  <si>
    <t xml:space="preserve">BZQFBWGGLXLEPQ-UHFFFAOYSA-N</t>
  </si>
  <si>
    <t xml:space="preserve">Phosphoserine</t>
  </si>
  <si>
    <t xml:space="preserve">HMDB0000272</t>
  </si>
  <si>
    <t xml:space="preserve">297</t>
  </si>
  <si>
    <t xml:space="preserve">15811</t>
  </si>
  <si>
    <t xml:space="preserve">68841</t>
  </si>
  <si>
    <t xml:space="preserve">407-41-0</t>
  </si>
  <si>
    <t xml:space="preserve">N[C@@H](COP(O)(O)=O)C(O)=O</t>
  </si>
  <si>
    <t xml:space="preserve">BZQFBWGGLXLEPQ-REOHCLBHSA-N</t>
  </si>
  <si>
    <t xml:space="preserve">2-Methoxyxanthone</t>
  </si>
  <si>
    <t xml:space="preserve">HMDB0032998</t>
  </si>
  <si>
    <t xml:space="preserve">43829</t>
  </si>
  <si>
    <t xml:space="preserve">71034</t>
  </si>
  <si>
    <t xml:space="preserve">1214-20-6</t>
  </si>
  <si>
    <t xml:space="preserve">COC1=CC2=C(OC3=CC=CC=C3C2=O)C=C1</t>
  </si>
  <si>
    <t xml:space="preserve">DVZCOQQFPCMIPO-UHFFFAOYSA-N</t>
  </si>
  <si>
    <t xml:space="preserve">265-2</t>
  </si>
  <si>
    <t xml:space="preserve">Oroselone</t>
  </si>
  <si>
    <t xml:space="preserve">HMDB0033925</t>
  </si>
  <si>
    <t xml:space="preserve">89622</t>
  </si>
  <si>
    <t xml:space="preserve">74477</t>
  </si>
  <si>
    <t xml:space="preserve">1760-27-6</t>
  </si>
  <si>
    <t xml:space="preserve">CC(=C)C1=CC2=C(O1)C=CC1=C2OC(=O)C=C1</t>
  </si>
  <si>
    <t xml:space="preserve">FQCPXIJRWHRHIP-UHFFFAOYSA-N</t>
  </si>
  <si>
    <t xml:space="preserve">Zidovudine</t>
  </si>
  <si>
    <t xml:space="preserve">HMDB0014638</t>
  </si>
  <si>
    <t xml:space="preserve">3066</t>
  </si>
  <si>
    <t xml:space="preserve">C07210</t>
  </si>
  <si>
    <t xml:space="preserve">35370</t>
  </si>
  <si>
    <t xml:space="preserve">30516-87-1</t>
  </si>
  <si>
    <t xml:space="preserve">CC1=CN([C@H]2C[C@H](N=[N+]=[N-])[C@@H](CO)O2)C(=O)NC1=O</t>
  </si>
  <si>
    <t xml:space="preserve">HBOMLICNUCNMMY-XLPZGREQSA-N</t>
  </si>
  <si>
    <t xml:space="preserve">Adenosine</t>
  </si>
  <si>
    <t xml:space="preserve">HMDB0000050</t>
  </si>
  <si>
    <t xml:space="preserve">86</t>
  </si>
  <si>
    <t xml:space="preserve">C00212</t>
  </si>
  <si>
    <t xml:space="preserve">16335</t>
  </si>
  <si>
    <t xml:space="preserve">60961</t>
  </si>
  <si>
    <t xml:space="preserve">58-61-7</t>
  </si>
  <si>
    <t xml:space="preserve">NC1=C2N=CN([C@@H]3O[C@H](CO)[C@@H](O)[C@H]3O)C2=NC=N1</t>
  </si>
  <si>
    <t xml:space="preserve">OIRDTQYFTABQOQ-KQYNXXCUSA-N</t>
  </si>
  <si>
    <t xml:space="preserve">gamma-Glutamylvaline</t>
  </si>
  <si>
    <t xml:space="preserve">HMDB0011172</t>
  </si>
  <si>
    <t xml:space="preserve">62020</t>
  </si>
  <si>
    <t xml:space="preserve">68848</t>
  </si>
  <si>
    <t xml:space="preserve">7015683</t>
  </si>
  <si>
    <t xml:space="preserve">2746-34-1</t>
  </si>
  <si>
    <t xml:space="preserve">CC(C)[C@H](NC(=O)CC[C@H](N)C(O)=O)C(O)=O</t>
  </si>
  <si>
    <t xml:space="preserve">AQAKHZVPOOGUCK-XPUUQOCRSA-N</t>
  </si>
  <si>
    <t xml:space="preserve">Aspartyl-Isoleucine</t>
  </si>
  <si>
    <t xml:space="preserve">HMDB0028756</t>
  </si>
  <si>
    <t xml:space="preserve">21845165</t>
  </si>
  <si>
    <t xml:space="preserve">CCC(C)C(NC(=O)C(N)CC(O)=O)C(O)=O</t>
  </si>
  <si>
    <t xml:space="preserve">BSWHERGFUNMWGS-UHFFFAOYSA-N</t>
  </si>
  <si>
    <t xml:space="preserve">271-3</t>
  </si>
  <si>
    <t xml:space="preserve">Aspartyl-Leucine</t>
  </si>
  <si>
    <t xml:space="preserve">HMDB0028757</t>
  </si>
  <si>
    <t xml:space="preserve">332962</t>
  </si>
  <si>
    <t xml:space="preserve">CC(C)CC(NC(=O)C(N)CC(O)=O)C(O)=O</t>
  </si>
  <si>
    <t xml:space="preserve">ZVDPYSVOZFINEE-UHFFFAOYSA-N</t>
  </si>
  <si>
    <t xml:space="preserve">(E)-3,5,4'-Trimethoxystilbene</t>
  </si>
  <si>
    <t xml:space="preserve">HMDB0245633</t>
  </si>
  <si>
    <t xml:space="preserve">364707</t>
  </si>
  <si>
    <t xml:space="preserve">COC1=CC=C(C=CC2=CC(OC)=CC(OC)=C2)C=C1</t>
  </si>
  <si>
    <t xml:space="preserve">GDHNBPHYVRHYCC-UHFFFAOYSA-N</t>
  </si>
  <si>
    <t xml:space="preserve">273-2</t>
  </si>
  <si>
    <t xml:space="preserve">4-tert-Butylphenyl salicylate</t>
  </si>
  <si>
    <t xml:space="preserve">HMDB0041314</t>
  </si>
  <si>
    <t xml:space="preserve">95726</t>
  </si>
  <si>
    <t xml:space="preserve">66597</t>
  </si>
  <si>
    <t xml:space="preserve">87-18-3</t>
  </si>
  <si>
    <t xml:space="preserve">CC(C)(C)C1=CC=C(OC(=O)C2=CC=CC=C2O)C=C1</t>
  </si>
  <si>
    <t xml:space="preserve">DBOSBRHMHBENLP-UHFFFAOYSA-N</t>
  </si>
  <si>
    <t xml:space="preserve">5-Hydroxyheptanoylcarnitine</t>
  </si>
  <si>
    <t xml:space="preserve">HMDB0241678</t>
  </si>
  <si>
    <t xml:space="preserve">CCC(O)CCCC(=O)OC(CC([O-])=O)C[N+](C)(C)C</t>
  </si>
  <si>
    <t xml:space="preserve">JGYMSEVETFVRSO-UHFFFAOYSA-N</t>
  </si>
  <si>
    <t xml:space="preserve">274-2</t>
  </si>
  <si>
    <t xml:space="preserve">4-Hydroxyheptanoylcarnitine</t>
  </si>
  <si>
    <t xml:space="preserve">HMDB0241679</t>
  </si>
  <si>
    <t xml:space="preserve">CCCC(O)CCC(=O)OC(CC([O-])=O)C[N+](C)(C)C</t>
  </si>
  <si>
    <t xml:space="preserve">ZOSNARZUKAOCMY-UHFFFAOYSA-N</t>
  </si>
  <si>
    <t xml:space="preserve">274-3</t>
  </si>
  <si>
    <t xml:space="preserve">3-Hydroxyheptanoylcarnitine</t>
  </si>
  <si>
    <t xml:space="preserve">HMDB0241677</t>
  </si>
  <si>
    <t xml:space="preserve">174063</t>
  </si>
  <si>
    <t xml:space="preserve">131770386</t>
  </si>
  <si>
    <t xml:space="preserve">CCCCC(O)CC(=O)OC(CC([O-])=O)C[N+](C)(C)C</t>
  </si>
  <si>
    <t xml:space="preserve">YWSDGPGKVSDFES-UHFFFAOYSA-N</t>
  </si>
  <si>
    <t xml:space="preserve">Iodobenzylguanidine</t>
  </si>
  <si>
    <t xml:space="preserve">HMDB0253522</t>
  </si>
  <si>
    <t xml:space="preserve">19830541</t>
  </si>
  <si>
    <t xml:space="preserve">NC(=N)N(I)CC1=CC=CC=C1</t>
  </si>
  <si>
    <t xml:space="preserve">AJXDZTRQWPEVQU-UHFFFAOYSA-N</t>
  </si>
  <si>
    <t xml:space="preserve">280-2</t>
  </si>
  <si>
    <t xml:space="preserve">Iobenguane</t>
  </si>
  <si>
    <t xml:space="preserve">HMDB0253507</t>
  </si>
  <si>
    <t xml:space="preserve">321013</t>
  </si>
  <si>
    <t xml:space="preserve">60860</t>
  </si>
  <si>
    <t xml:space="preserve">NC(N)=NCC1=CC(I)=CC=C1</t>
  </si>
  <si>
    <t xml:space="preserve">PDWUPXJEEYOOTR-UHFFFAOYSA-N</t>
  </si>
  <si>
    <t xml:space="preserve">Lactucin</t>
  </si>
  <si>
    <t xml:space="preserve">HMDB0035814</t>
  </si>
  <si>
    <t xml:space="preserve">C09489</t>
  </si>
  <si>
    <t xml:space="preserve">3756497</t>
  </si>
  <si>
    <t xml:space="preserve">1891-29-8</t>
  </si>
  <si>
    <t xml:space="preserve">CC1=C2C(C3OC(=O)C(=C)C3C(O)C1)C(CO)=CC2=O</t>
  </si>
  <si>
    <t xml:space="preserve">VJQAFLAZRVKAKM-UHFFFAOYSA-N</t>
  </si>
  <si>
    <t xml:space="preserve">Dihydromethysticin</t>
  </si>
  <si>
    <t xml:space="preserve">HMDB0030791</t>
  </si>
  <si>
    <t xml:space="preserve">C09926</t>
  </si>
  <si>
    <t xml:space="preserve">1034670</t>
  </si>
  <si>
    <t xml:space="preserve">229852</t>
  </si>
  <si>
    <t xml:space="preserve">19902-91-1</t>
  </si>
  <si>
    <t xml:space="preserve">COC1=CC(=O)OC(CCC2=CC3=C(OCO3)C=C2)C1</t>
  </si>
  <si>
    <t xml:space="preserve">RSIWXFIBHXYNFM-UHFFFAOYSA-N</t>
  </si>
  <si>
    <t xml:space="preserve">(2S,2'S)-Pyrosaccharopine</t>
  </si>
  <si>
    <t xml:space="preserve">HMDB0038676</t>
  </si>
  <si>
    <t xml:space="preserve">93331</t>
  </si>
  <si>
    <t xml:space="preserve">173839</t>
  </si>
  <si>
    <t xml:space="preserve">131752421</t>
  </si>
  <si>
    <t xml:space="preserve">38495-84-0</t>
  </si>
  <si>
    <t xml:space="preserve">NC(CCCCN1C(CCC1=O)C(O)=O)C(O)=O</t>
  </si>
  <si>
    <t xml:space="preserve">KZGLERZNBKMMPP-UHFFFAOYSA-N</t>
  </si>
  <si>
    <t xml:space="preserve">287-2</t>
  </si>
  <si>
    <t xml:space="preserve">gamma-L-Glutamyl-L-pipecolic acid</t>
  </si>
  <si>
    <t xml:space="preserve">HMDB0038614</t>
  </si>
  <si>
    <t xml:space="preserve">93275</t>
  </si>
  <si>
    <t xml:space="preserve">173838</t>
  </si>
  <si>
    <t xml:space="preserve">69247902</t>
  </si>
  <si>
    <t xml:space="preserve">NC(CCC(=O)N1CCCCC1C(O)=O)C(O)=O</t>
  </si>
  <si>
    <t xml:space="preserve">MNEBDCWSYIPUDZ-UHFFFAOYSA-N</t>
  </si>
  <si>
    <t xml:space="preserve">Neopine</t>
  </si>
  <si>
    <t xml:space="preserve">HMDB0030248</t>
  </si>
  <si>
    <t xml:space="preserve">C09594</t>
  </si>
  <si>
    <t xml:space="preserve">101685</t>
  </si>
  <si>
    <t xml:space="preserve">467-14-1</t>
  </si>
  <si>
    <t xml:space="preserve">COC1=C2OC3C(O)CC=C4C5CC(C=C1)=C2C34CCN5C</t>
  </si>
  <si>
    <t xml:space="preserve">NNDKZTBFZTWKLA-UHFFFAOYSA-N</t>
  </si>
  <si>
    <t xml:space="preserve">289-2</t>
  </si>
  <si>
    <t xml:space="preserve">Codeine</t>
  </si>
  <si>
    <t xml:space="preserve">HMDB0004995</t>
  </si>
  <si>
    <t xml:space="preserve">498</t>
  </si>
  <si>
    <t xml:space="preserve">C06174</t>
  </si>
  <si>
    <t xml:space="preserve">16714</t>
  </si>
  <si>
    <t xml:space="preserve">5284371</t>
  </si>
  <si>
    <t xml:space="preserve">76-57-3</t>
  </si>
  <si>
    <t xml:space="preserve">[H][C@@]12OC3=C(OC)C=CC4=C3[C@@]11CCN(C)[C@]([H])(C4)[C@]1([H])C=C[C@@H]2O</t>
  </si>
  <si>
    <t xml:space="preserve">OROGSEYTTFOCAN-DNJOTXNNSA-N</t>
  </si>
  <si>
    <t xml:space="preserve">Alternariol</t>
  </si>
  <si>
    <t xml:space="preserve">HMDB0030831</t>
  </si>
  <si>
    <t xml:space="preserve">71377</t>
  </si>
  <si>
    <t xml:space="preserve">C16838</t>
  </si>
  <si>
    <t xml:space="preserve">64983</t>
  </si>
  <si>
    <t xml:space="preserve">5359485</t>
  </si>
  <si>
    <t xml:space="preserve">641-38-3</t>
  </si>
  <si>
    <t xml:space="preserve">CC1=CC(O)=CC2=C1C1=C(C(=O)O2)C(O)=CC(O)=C1</t>
  </si>
  <si>
    <t xml:space="preserve">CEBXXEKPIIDJHL-UHFFFAOYSA-N</t>
  </si>
  <si>
    <t xml:space="preserve">312-2</t>
  </si>
  <si>
    <t xml:space="preserve">Gentisin</t>
  </si>
  <si>
    <t xml:space="preserve">HMDB0031760</t>
  </si>
  <si>
    <t xml:space="preserve">68108</t>
  </si>
  <si>
    <t xml:space="preserve">C10066</t>
  </si>
  <si>
    <t xml:space="preserve">5324</t>
  </si>
  <si>
    <t xml:space="preserve">5281636</t>
  </si>
  <si>
    <t xml:space="preserve">437-50-3</t>
  </si>
  <si>
    <t xml:space="preserve">COC1=CC(O)=C2C(=O)C3=CC(O)=CC=C3OC2=C1</t>
  </si>
  <si>
    <t xml:space="preserve">XOXYHGOIRWABTC-UHFFFAOYSA-N</t>
  </si>
  <si>
    <t xml:space="preserve">312-3</t>
  </si>
  <si>
    <t xml:space="preserve">Isogentisin</t>
  </si>
  <si>
    <t xml:space="preserve">HMDB0030871</t>
  </si>
  <si>
    <t xml:space="preserve">68111</t>
  </si>
  <si>
    <t xml:space="preserve">C10070</t>
  </si>
  <si>
    <t xml:space="preserve">5281640</t>
  </si>
  <si>
    <t xml:space="preserve">491-64-5</t>
  </si>
  <si>
    <t xml:space="preserve">COC1=CC2=C(OC3=CC(O)=CC(O)=C3C2=O)C=C1</t>
  </si>
  <si>
    <t xml:space="preserve">FVIYCYAHKMJVJK-UHFFFAOYSA-N</t>
  </si>
  <si>
    <t xml:space="preserve">Norchalciporyl propionate</t>
  </si>
  <si>
    <t xml:space="preserve">HMDB0029829</t>
  </si>
  <si>
    <t xml:space="preserve">131750914</t>
  </si>
  <si>
    <t xml:space="preserve">112448-75-6</t>
  </si>
  <si>
    <t xml:space="preserve">CCC(=O)OCC\C=C\C=C/C1=NC(C)C=CC=C1</t>
  </si>
  <si>
    <t xml:space="preserve">AWLYBJONQDYQAK-QTJNYWJXSA-N</t>
  </si>
  <si>
    <t xml:space="preserve">Azepines</t>
  </si>
  <si>
    <t xml:space="preserve">Norbutorphanol</t>
  </si>
  <si>
    <t xml:space="preserve">HMDB0041954</t>
  </si>
  <si>
    <t xml:space="preserve">96191</t>
  </si>
  <si>
    <t xml:space="preserve">29230</t>
  </si>
  <si>
    <t xml:space="preserve">3792-68-5</t>
  </si>
  <si>
    <t xml:space="preserve">[H][C@@]12CC3=C(C=C(O)C=C3)[C@]3(CCCC[C@@]13O)CCN2</t>
  </si>
  <si>
    <t xml:space="preserve">GJOVVPXDEXUSTC-OWCLPIDISA-N</t>
  </si>
  <si>
    <t xml:space="preserve">6-Thioinosinic acid</t>
  </si>
  <si>
    <t xml:space="preserve">HMDB0060791</t>
  </si>
  <si>
    <t xml:space="preserve">313872</t>
  </si>
  <si>
    <t xml:space="preserve">676166</t>
  </si>
  <si>
    <t xml:space="preserve">OC[C@H]1O[C@H]([C@H](O)[C@@H]1O)N1C=NC2=C1N=CN=C2S</t>
  </si>
  <si>
    <t xml:space="preserve">NKGPJODWTZCHGF-KQYNXXCUSA-N</t>
  </si>
  <si>
    <t xml:space="preserve">323-2</t>
  </si>
  <si>
    <t xml:space="preserve">6-Thioinosine</t>
  </si>
  <si>
    <t xml:space="preserve">HMDB0255798</t>
  </si>
  <si>
    <t xml:space="preserve">2861016</t>
  </si>
  <si>
    <t xml:space="preserve">OCC1OC(C(O)C1O)N1C=NC2=C1NC=NC2=S</t>
  </si>
  <si>
    <t xml:space="preserve">NKGPJODWTZCHGF-UHFFFAOYSA-N</t>
  </si>
  <si>
    <t xml:space="preserve">L-Proline, 1-(1-L-leucyl-L-prolyl)-</t>
  </si>
  <si>
    <t xml:space="preserve">HMDB0253022</t>
  </si>
  <si>
    <t xml:space="preserve">18222233</t>
  </si>
  <si>
    <t xml:space="preserve">CC(C)CC(N)C(=O)N1CCCC1C(=O)N1CCCC1C(O)=O</t>
  </si>
  <si>
    <t xml:space="preserve">DPURXCQCHSQPAN-UHFFFAOYSA-N</t>
  </si>
  <si>
    <t xml:space="preserve">Isoleucyl-prolyl-proline</t>
  </si>
  <si>
    <t xml:space="preserve">HMDB0253021</t>
  </si>
  <si>
    <t xml:space="preserve">21566</t>
  </si>
  <si>
    <t xml:space="preserve">20155153</t>
  </si>
  <si>
    <t xml:space="preserve">CCC(C)C(N)C(=O)N1CCCC1C(=O)N1CCCC1C(O)=O</t>
  </si>
  <si>
    <t xml:space="preserve">FQYQMFCIJNWDQZ-UHFFFAOYSA-N</t>
  </si>
  <si>
    <t xml:space="preserve">Glutaminyltyrosine</t>
  </si>
  <si>
    <t xml:space="preserve">HMDB0028809</t>
  </si>
  <si>
    <t xml:space="preserve">23670</t>
  </si>
  <si>
    <t xml:space="preserve">141432</t>
  </si>
  <si>
    <t xml:space="preserve">9972600</t>
  </si>
  <si>
    <t xml:space="preserve">457662-02-1</t>
  </si>
  <si>
    <t xml:space="preserve">N[C@@H](CCC(N)=O)C(=O)N[C@@H](CC1=CC=C(O)C=C1)C(O)=O</t>
  </si>
  <si>
    <t xml:space="preserve">KGNSGRRALVIRGR-QWRGUYRKSA-N</t>
  </si>
  <si>
    <t xml:space="preserve">329-2</t>
  </si>
  <si>
    <t xml:space="preserve">Tyrosyl-Glutamine</t>
  </si>
  <si>
    <t xml:space="preserve">HMDB0029103</t>
  </si>
  <si>
    <t xml:space="preserve">19421321</t>
  </si>
  <si>
    <t xml:space="preserve">NC(CC1=CC=C(O)C=C1)C(=O)NC(CCC(N)=O)C(O)=O</t>
  </si>
  <si>
    <t xml:space="preserve">UBAQSAUDKMIEQZ-UHFFFAOYSA-N</t>
  </si>
  <si>
    <t xml:space="preserve">329-3</t>
  </si>
  <si>
    <t xml:space="preserve">Tyrosyl-Gamma-glutamate</t>
  </si>
  <si>
    <t xml:space="preserve">HMDB0029119</t>
  </si>
  <si>
    <t xml:space="preserve">86011</t>
  </si>
  <si>
    <t xml:space="preserve">174962</t>
  </si>
  <si>
    <t xml:space="preserve">131750790</t>
  </si>
  <si>
    <t xml:space="preserve">NC(CCC(=O)NC(=O)C(N)CC1=CC=C(O)C=C1)C(O)=O</t>
  </si>
  <si>
    <t xml:space="preserve">NHXCEHCKISFORA-UHFFFAOYSA-N</t>
  </si>
  <si>
    <t xml:space="preserve">Dihydroresveratrol 4'-sulfate</t>
  </si>
  <si>
    <t xml:space="preserve">HMDB0240502</t>
  </si>
  <si>
    <t xml:space="preserve">122185058</t>
  </si>
  <si>
    <t xml:space="preserve">OC1=CC(CCC2=CC=C(OS(O)(=O)=O)C=C2)=CC(O)=C1</t>
  </si>
  <si>
    <t xml:space="preserve">VPKVLRCNQRSXLW-UHFFFAOYSA-N</t>
  </si>
  <si>
    <t xml:space="preserve">330-2</t>
  </si>
  <si>
    <t xml:space="preserve">Dihydroresveratrol 3-sulfate</t>
  </si>
  <si>
    <t xml:space="preserve">HMDB0240500</t>
  </si>
  <si>
    <t xml:space="preserve">84038</t>
  </si>
  <si>
    <t xml:space="preserve">OC1=CC=C(CCC2=CC(O)=CC(OS(O)(=O)=O)=C2)C=C1</t>
  </si>
  <si>
    <t xml:space="preserve">KAVKAZLSONPCRU-UHFFFAOYSA-N</t>
  </si>
  <si>
    <t xml:space="preserve">MG(0:0)</t>
  </si>
  <si>
    <t xml:space="preserve">HMDB0072844</t>
  </si>
  <si>
    <t xml:space="preserve">51416799</t>
  </si>
  <si>
    <t xml:space="preserve">[H][C@@](O)(CO)COC(=O)CCCCCCCCCCCCC(C)C</t>
  </si>
  <si>
    <t xml:space="preserve">UJXZLNLZBUWQKD-GOSISDBHSA-N</t>
  </si>
  <si>
    <t xml:space="preserve">MG(16:0)</t>
  </si>
  <si>
    <t xml:space="preserve">HMDB0011533</t>
  </si>
  <si>
    <t xml:space="preserve">62317</t>
  </si>
  <si>
    <t xml:space="preserve">LMGL01010025</t>
  </si>
  <si>
    <t xml:space="preserve">75455</t>
  </si>
  <si>
    <t xml:space="preserve">123409</t>
  </si>
  <si>
    <t xml:space="preserve">OC[C@]([H])(OC(CCCCCCCCCCCCCCC)=O)CO</t>
  </si>
  <si>
    <t xml:space="preserve">BBNYCLAREVXOSG-UHFFFAOYSA-N</t>
  </si>
  <si>
    <t xml:space="preserve">Aspartyl-Tryptophan</t>
  </si>
  <si>
    <t xml:space="preserve">HMDB0028764</t>
  </si>
  <si>
    <t xml:space="preserve">9948926</t>
  </si>
  <si>
    <t xml:space="preserve">NC(CC(O)=O)C(=O)NC(CC1=CNC2=CC=CC=C12)C(O)=O</t>
  </si>
  <si>
    <t xml:space="preserve">ZARXTZFGQZBYFO-UHFFFAOYSA-N</t>
  </si>
  <si>
    <t xml:space="preserve">338-2</t>
  </si>
  <si>
    <t xml:space="preserve">Tryptophyl-Aspartate</t>
  </si>
  <si>
    <t xml:space="preserve">HMDB0029079</t>
  </si>
  <si>
    <t xml:space="preserve">14717801</t>
  </si>
  <si>
    <t xml:space="preserve">NC(CC1=CNC2=C1C=CC=C2)C(=O)NC(CC(O)=O)C(O)=O</t>
  </si>
  <si>
    <t xml:space="preserve">PEEAINPHPNDNGE-UHFFFAOYSA-N</t>
  </si>
  <si>
    <t xml:space="preserve">Santalyl phenylacetate</t>
  </si>
  <si>
    <t xml:space="preserve">HMDB0032502</t>
  </si>
  <si>
    <t xml:space="preserve">18401</t>
  </si>
  <si>
    <t xml:space="preserve">131751268</t>
  </si>
  <si>
    <t xml:space="preserve">1323-75-7</t>
  </si>
  <si>
    <t xml:space="preserve">C\C(COC(=O)CC1=CC=CC=C1)=C\CCC1(C)C2CCC(C2)C1=C</t>
  </si>
  <si>
    <t xml:space="preserve">FIZFZQIBGCHOJY-IUXPMGMMSA-N</t>
  </si>
  <si>
    <t xml:space="preserve">341-2</t>
  </si>
  <si>
    <t xml:space="preserve">alpha-Santalyl phenylacetate</t>
  </si>
  <si>
    <t xml:space="preserve">HMDB0037210</t>
  </si>
  <si>
    <t xml:space="preserve">141531</t>
  </si>
  <si>
    <t xml:space="preserve">131752163</t>
  </si>
  <si>
    <t xml:space="preserve">C\C(COC(=O)CC1=CC=CC=C1)=C\CCC1(C)C2CC3C(C2)C13C</t>
  </si>
  <si>
    <t xml:space="preserve">ISBNMFLPVWHCIH-PXNMLYILSA-N</t>
  </si>
  <si>
    <t xml:space="preserve">S-6-Hydroxywarfarin</t>
  </si>
  <si>
    <t xml:space="preserve">HMDB0013880</t>
  </si>
  <si>
    <t xml:space="preserve">13427218</t>
  </si>
  <si>
    <t xml:space="preserve">[H][C@](CC(C)=O)(C1=CC=CC=C1)C1=C(O)OC2=CC=C(O)C=C2C1=O</t>
  </si>
  <si>
    <t xml:space="preserve">JFCOGWFGPAUYNK-AWEZNQCLSA-N</t>
  </si>
  <si>
    <t xml:space="preserve">Homoisoflavonoids</t>
  </si>
  <si>
    <t xml:space="preserve">Homoisoflavones</t>
  </si>
  <si>
    <t xml:space="preserve">347-2</t>
  </si>
  <si>
    <t xml:space="preserve">S-4'-Hydroxywarfarin</t>
  </si>
  <si>
    <t xml:space="preserve">HMDB0013881</t>
  </si>
  <si>
    <t xml:space="preserve">6935999</t>
  </si>
  <si>
    <t xml:space="preserve">[H][C@](CC(C)=O)(C1=CC=C(O)C=C1)C1=C(O)OC2=CC=CC=C2C1=O</t>
  </si>
  <si>
    <t xml:space="preserve">UNTPHJKCRGFOFJ-HNNXBMFYSA-N</t>
  </si>
  <si>
    <t xml:space="preserve">347-3</t>
  </si>
  <si>
    <t xml:space="preserve">R-4'-Hydroxywarfarin</t>
  </si>
  <si>
    <t xml:space="preserve">HMDB0013882</t>
  </si>
  <si>
    <t xml:space="preserve">6936000</t>
  </si>
  <si>
    <t xml:space="preserve">[H][C@@](CC(C)=O)(C1=CC=C(O)C=C1)C1=C(O)OC2=CC=CC=C2C1=O</t>
  </si>
  <si>
    <t xml:space="preserve">UNTPHJKCRGFOFJ-OAHLLOKOSA-N</t>
  </si>
  <si>
    <t xml:space="preserve">Glucose lactate acetate</t>
  </si>
  <si>
    <t xml:space="preserve">HMDB0252779</t>
  </si>
  <si>
    <t xml:space="preserve">CC(O)C(=O)OOC(=O)CC1(O)OC(CO)C(O)C(O)C1O</t>
  </si>
  <si>
    <t xml:space="preserve">JUXWBTIKZQUSST-UHFFFAOYSA-N</t>
  </si>
  <si>
    <t xml:space="preserve">352-2</t>
  </si>
  <si>
    <t xml:space="preserve">3-O-alpha-D-Glucopyranuronosyl-D-xylose</t>
  </si>
  <si>
    <t xml:space="preserve">HMDB0039723</t>
  </si>
  <si>
    <t xml:space="preserve">167922</t>
  </si>
  <si>
    <t xml:space="preserve">131752710</t>
  </si>
  <si>
    <t xml:space="preserve">85269-45-0</t>
  </si>
  <si>
    <t xml:space="preserve">OCC1OC(O)C(O)C1OC1OC(C(O)C(O)C1O)C(O)=O</t>
  </si>
  <si>
    <t xml:space="preserve">CWFMVLQLLUZBPE-UHFFFAOYSA-N</t>
  </si>
  <si>
    <t xml:space="preserve">352-3</t>
  </si>
  <si>
    <t xml:space="preserve">Aldobiouronic acid D3</t>
  </si>
  <si>
    <t xml:space="preserve">HMDB0040737</t>
  </si>
  <si>
    <t xml:space="preserve">168914</t>
  </si>
  <si>
    <t xml:space="preserve">131752919</t>
  </si>
  <si>
    <t xml:space="preserve">17676-51-6</t>
  </si>
  <si>
    <t xml:space="preserve">OC1COC(O)C(OC2OC(C(O)C(O)C2O)C(O)=O)C1O</t>
  </si>
  <si>
    <t xml:space="preserve">KPPOIQPQTVLBFD-UHFFFAOYSA-N</t>
  </si>
  <si>
    <t xml:space="preserve">5alpha-Pregnane</t>
  </si>
  <si>
    <t xml:space="preserve">HMDB0247017</t>
  </si>
  <si>
    <t xml:space="preserve">61313</t>
  </si>
  <si>
    <t xml:space="preserve">CCC1CCC2C3CCC4CCCCC4(C)C3CCC12C</t>
  </si>
  <si>
    <t xml:space="preserve">JWMFYGXQPXQEEM-UHFFFAOYSA-N</t>
  </si>
  <si>
    <t xml:space="preserve">355-2</t>
  </si>
  <si>
    <t xml:space="preserve">Pentadecylbenzene</t>
  </si>
  <si>
    <t xml:space="preserve">HMDB0040180</t>
  </si>
  <si>
    <t xml:space="preserve">94715</t>
  </si>
  <si>
    <t xml:space="preserve">16476</t>
  </si>
  <si>
    <t xml:space="preserve">2131-18-2</t>
  </si>
  <si>
    <t xml:space="preserve">CCCCCCCCCCCCCCCC1=CC=CC=C1</t>
  </si>
  <si>
    <t xml:space="preserve">JIRNEODMTPGRGV-UHFFFAOYSA-N</t>
  </si>
  <si>
    <t xml:space="preserve">Nonyl acridine</t>
  </si>
  <si>
    <t xml:space="preserve">HMDB0255711</t>
  </si>
  <si>
    <t xml:space="preserve">22239671</t>
  </si>
  <si>
    <t xml:space="preserve">CCCCCCCCCC1=CC=CC2=NC3=CC=CC=C3C=C12</t>
  </si>
  <si>
    <t xml:space="preserve">VAXNMTMRMVMKLU-UHFFFAOYSA-N</t>
  </si>
  <si>
    <t xml:space="preserve">356-2</t>
  </si>
  <si>
    <t xml:space="preserve">Indenopyridine</t>
  </si>
  <si>
    <t xml:space="preserve">HMDB0253454</t>
  </si>
  <si>
    <t xml:space="preserve">10086446</t>
  </si>
  <si>
    <t xml:space="preserve">CCN1CCC2C(C1)C1=C(C=C(C)C=C1)C2C1=CC=C(C)C=C1</t>
  </si>
  <si>
    <t xml:space="preserve">AYJJTPLDSZAGGA-UHFFFAOYSA-N</t>
  </si>
  <si>
    <t xml:space="preserve">3-(2-Methylpropanoyloxy)-8-(3-methylbutanoyloxy)-9,10-epoxy-p-mentha-1,3,5-triene</t>
  </si>
  <si>
    <t xml:space="preserve">HMDB0032700</t>
  </si>
  <si>
    <t xml:space="preserve">88637</t>
  </si>
  <si>
    <t xml:space="preserve">173268</t>
  </si>
  <si>
    <t xml:space="preserve">13819150</t>
  </si>
  <si>
    <t xml:space="preserve">71939-56-5</t>
  </si>
  <si>
    <t xml:space="preserve">CC(C)CC(=O)OCC1(CO1)C1=C(OC(=O)C(C)C)C=C(C)C=C1</t>
  </si>
  <si>
    <t xml:space="preserve">QVGMYLIEMRLBGN-UHFFFAOYSA-N</t>
  </si>
  <si>
    <t xml:space="preserve">369-2</t>
  </si>
  <si>
    <t xml:space="preserve">3-(2-Methylpropanoyloxy)-8-(2-methylbutanoyloxy)-9,10-epoxy-p-mentha-1,3,5-triene</t>
  </si>
  <si>
    <t xml:space="preserve">HMDB0032699</t>
  </si>
  <si>
    <t xml:space="preserve">88636</t>
  </si>
  <si>
    <t xml:space="preserve">354159</t>
  </si>
  <si>
    <t xml:space="preserve">22518-07-6</t>
  </si>
  <si>
    <t xml:space="preserve">CCC(C)C(=O)OCC1(CO1)C1=C(OC(=O)C(C)C)C=C(C)C=C1</t>
  </si>
  <si>
    <t xml:space="preserve">DBEFONQGRSUFQO-UHFFFAOYSA-N</t>
  </si>
  <si>
    <t xml:space="preserve">Haloxyfop-P</t>
  </si>
  <si>
    <t xml:space="preserve">HMDB0253047</t>
  </si>
  <si>
    <t xml:space="preserve">66271</t>
  </si>
  <si>
    <t xml:space="preserve">C04871</t>
  </si>
  <si>
    <t xml:space="preserve">136694</t>
  </si>
  <si>
    <t xml:space="preserve">50895</t>
  </si>
  <si>
    <t xml:space="preserve">69806-34-4</t>
  </si>
  <si>
    <t xml:space="preserve">CC(OC1=CC=C(OC2=C(Cl)C=C(C=N2)C(F)(F)F)C=C1)C(O)=O</t>
  </si>
  <si>
    <t xml:space="preserve">GOCUAJYOYBLQRH-UHFFFAOYSA-N</t>
  </si>
  <si>
    <t xml:space="preserve">2-phenoxypropionic acids</t>
  </si>
  <si>
    <t xml:space="preserve">381-2</t>
  </si>
  <si>
    <t xml:space="preserve">Oxyfluorfen</t>
  </si>
  <si>
    <t xml:space="preserve">HMDB0256013</t>
  </si>
  <si>
    <t xml:space="preserve">72642</t>
  </si>
  <si>
    <t xml:space="preserve">C18881</t>
  </si>
  <si>
    <t xml:space="preserve">39327</t>
  </si>
  <si>
    <t xml:space="preserve">42874-03-3</t>
  </si>
  <si>
    <t xml:space="preserve">CCOC1=C(C=CC(OC2=C(Cl)C=C(C=C2)C(F)(F)F)=C1)[N+]([O-])=O</t>
  </si>
  <si>
    <t xml:space="preserve">OQMBBFQZGJFLBU-UHFFFAOYSA-N</t>
  </si>
  <si>
    <t xml:space="preserve">Gibberellin A37</t>
  </si>
  <si>
    <t xml:space="preserve">HMDB0035047</t>
  </si>
  <si>
    <t xml:space="preserve">53645</t>
  </si>
  <si>
    <t xml:space="preserve">C14161</t>
  </si>
  <si>
    <t xml:space="preserve">29596</t>
  </si>
  <si>
    <t xml:space="preserve">14605568</t>
  </si>
  <si>
    <t xml:space="preserve">38231-54-8</t>
  </si>
  <si>
    <t xml:space="preserve">[H][C@@]12CC[C@@H]3C[C@]1(CC3=C)[C@@H](C(O)=O)[C@@]1([H])[C@@]22CC[C@H](O)[C@@]1(C)C(=O)OC2</t>
  </si>
  <si>
    <t xml:space="preserve">QYXZQZMPZUEEML-SQLMURCQSA-N</t>
  </si>
  <si>
    <t xml:space="preserve">387-2</t>
  </si>
  <si>
    <t xml:space="preserve">Gibberellin A44</t>
  </si>
  <si>
    <t xml:space="preserve">HMDB0036901</t>
  </si>
  <si>
    <t xml:space="preserve">53651</t>
  </si>
  <si>
    <t xml:space="preserve">C12308</t>
  </si>
  <si>
    <t xml:space="preserve">28211</t>
  </si>
  <si>
    <t xml:space="preserve">5460372</t>
  </si>
  <si>
    <t xml:space="preserve">36434-15-8</t>
  </si>
  <si>
    <t xml:space="preserve">[H][C@@]12CC[C@]3(O)C[C@]1(CC3=C)[C@@H](C(O)=O)[C@@]1([H])[C@@]22CCC[C@@]1(C)C(=O)OC2</t>
  </si>
  <si>
    <t xml:space="preserve">KSBJAONOPKRVRR-YTJHIPEWSA-N</t>
  </si>
  <si>
    <t xml:space="preserve">2-Ethylpropanedioylcarnitine</t>
  </si>
  <si>
    <t xml:space="preserve">HMDB0241868</t>
  </si>
  <si>
    <t xml:space="preserve">CCC(C(O)=O)C(=O)OC(CC([O-])=O)C[N+](C)(C)C</t>
  </si>
  <si>
    <t xml:space="preserve">HWVVDTFMNSFBTH-UHFFFAOYSA-N</t>
  </si>
  <si>
    <t xml:space="preserve">393-2</t>
  </si>
  <si>
    <t xml:space="preserve">O-Glutarylcarnitine</t>
  </si>
  <si>
    <t xml:space="preserve">HMDB0240779</t>
  </si>
  <si>
    <t xml:space="preserve">LMFA07070091</t>
  </si>
  <si>
    <t xml:space="preserve">73040</t>
  </si>
  <si>
    <t xml:space="preserve">71464488</t>
  </si>
  <si>
    <t xml:space="preserve">C(C[N+](C)(C)C)(OC(=O)CCCC(=O)O)CC(=O)[O-]</t>
  </si>
  <si>
    <t xml:space="preserve">NXJAXUYOQLTISD-UHFFFAOYSA-N</t>
  </si>
  <si>
    <t xml:space="preserve">Tetomilast</t>
  </si>
  <si>
    <t xml:space="preserve">HMDB0258864</t>
  </si>
  <si>
    <t xml:space="preserve">429208</t>
  </si>
  <si>
    <t xml:space="preserve">3025803</t>
  </si>
  <si>
    <t xml:space="preserve">CCOC1=C(OCC)C=C(C=C1)C1=NC(=CS1)C1=NC(=CC=C1)C(O)=O</t>
  </si>
  <si>
    <t xml:space="preserve">XDBHURGONHZNJF-UHFFFAOYSA-N</t>
  </si>
  <si>
    <t xml:space="preserve">394-2</t>
  </si>
  <si>
    <t xml:space="preserve">Parecoxib</t>
  </si>
  <si>
    <t xml:space="preserve">HMDB0256127</t>
  </si>
  <si>
    <t xml:space="preserve">73038</t>
  </si>
  <si>
    <t xml:space="preserve">119828</t>
  </si>
  <si>
    <t xml:space="preserve">CCC(=O)NS(=O)(=O)C1=CC=C(C=C1)C1=C(C)ON=C1C1=CC=CC=C1</t>
  </si>
  <si>
    <t xml:space="preserve">TZRHLKRLEZJVIJ-UHFFFAOYSA-N</t>
  </si>
  <si>
    <t xml:space="preserve">394-3</t>
  </si>
  <si>
    <t xml:space="preserve">n-[[(5-Methyl-3-phenylisoxazol-4-yl)-phenyl]sulfonyl]propanamide</t>
  </si>
  <si>
    <t xml:space="preserve">HMDB0257987</t>
  </si>
  <si>
    <t xml:space="preserve">21982135</t>
  </si>
  <si>
    <t xml:space="preserve">CCC(=O)NS(=O)(=O)C1=CC=CC=C1C1=C(C)ON=C1C1=CC=CC=C1</t>
  </si>
  <si>
    <t xml:space="preserve">UAIKDILVTTVJDN-UHFFFAOYSA-N</t>
  </si>
  <si>
    <t xml:space="preserve">Cyproteron</t>
  </si>
  <si>
    <t xml:space="preserve">HMDB0250698</t>
  </si>
  <si>
    <t xml:space="preserve">CC(=O)C1(O)CCC2C3C=C(Cl)C4=CC(=O)C5CC5C4(C)C3CCC12C</t>
  </si>
  <si>
    <t xml:space="preserve">DUSHUSLJJMDGTE-UHFFFAOYSA-N</t>
  </si>
  <si>
    <t xml:space="preserve">397-2</t>
  </si>
  <si>
    <t xml:space="preserve">Cyproterone</t>
  </si>
  <si>
    <t xml:space="preserve">HMDB0015587</t>
  </si>
  <si>
    <t xml:space="preserve">556</t>
  </si>
  <si>
    <t xml:space="preserve">50742</t>
  </si>
  <si>
    <t xml:space="preserve">5284537</t>
  </si>
  <si>
    <t xml:space="preserve">2098-66-0</t>
  </si>
  <si>
    <t xml:space="preserve">[H][C@@]12C[C@]1([H])[C@@]1(C)C(=CC2=O)C(Cl)=C[C@@]2([H])[C@]3([H])CC[C@](O)(C(C)=O)[C@@]3(C)CC[C@]12[H]</t>
  </si>
  <si>
    <t xml:space="preserve">DUSHUSLJJMDGTE-ZJPMUUANSA-N</t>
  </si>
  <si>
    <t xml:space="preserve">(7Z,9E)-Dodeca-7,9-dienoylcarnitine</t>
  </si>
  <si>
    <t xml:space="preserve">HMDB0241240</t>
  </si>
  <si>
    <t xml:space="preserve">CCC=CC=CCCCCCC(=O)OC(CC([O-])=O)C[N+](C)(C)C</t>
  </si>
  <si>
    <t xml:space="preserve">CEFGCPSVFBVQLE-UHFFFAOYSA-N</t>
  </si>
  <si>
    <t xml:space="preserve">399-2</t>
  </si>
  <si>
    <t xml:space="preserve">(5E,7E)-Dodeca-5,7-dienoylcarnitine</t>
  </si>
  <si>
    <t xml:space="preserve">HMDB0241241</t>
  </si>
  <si>
    <t xml:space="preserve">CCCCC=CC=CCCCC(=O)OC(CC([O-])=O)C[N+](C)(C)C</t>
  </si>
  <si>
    <t xml:space="preserve">ICZRAPCDYIZBSB-UHFFFAOYSA-N</t>
  </si>
  <si>
    <t xml:space="preserve">399-3</t>
  </si>
  <si>
    <t xml:space="preserve">(2E,8Z)-Dodeca-2,8-dienoylcarnitine</t>
  </si>
  <si>
    <t xml:space="preserve">HMDB0241242</t>
  </si>
  <si>
    <t xml:space="preserve">CCCC=CCCCCC=CC(=O)OC(CC([O-])=O)C[N+](C)(C)C</t>
  </si>
  <si>
    <t xml:space="preserve">JJVABRWGVULIQW-UHFFFAOYSA-N</t>
  </si>
  <si>
    <t xml:space="preserve">Se-Methylselenocysteine</t>
  </si>
  <si>
    <t xml:space="preserve">HMDB0004113</t>
  </si>
  <si>
    <t xml:space="preserve">7019</t>
  </si>
  <si>
    <t xml:space="preserve">C05689</t>
  </si>
  <si>
    <t xml:space="preserve">27812</t>
  </si>
  <si>
    <t xml:space="preserve">147004</t>
  </si>
  <si>
    <t xml:space="preserve">26046-90-2</t>
  </si>
  <si>
    <t xml:space="preserve">C[Se]C[C@H](N)C(O)=O</t>
  </si>
  <si>
    <t xml:space="preserve">XDSSPSLGNGIIHP-VKHMYHEASA-N</t>
  </si>
  <si>
    <t xml:space="preserve">Selenohomocysteine</t>
  </si>
  <si>
    <t xml:space="preserve">HMDB0004119</t>
  </si>
  <si>
    <t xml:space="preserve">C05698</t>
  </si>
  <si>
    <t xml:space="preserve">9096</t>
  </si>
  <si>
    <t xml:space="preserve">49787004</t>
  </si>
  <si>
    <t xml:space="preserve">29475-60-3</t>
  </si>
  <si>
    <t xml:space="preserve">N[C@@H](CC[SeH])C(O)=O</t>
  </si>
  <si>
    <t xml:space="preserve">RCWCGLALNCIQNM-VKHMYHEASA-N</t>
  </si>
  <si>
    <t xml:space="preserve">17-HDoHE</t>
  </si>
  <si>
    <t xml:space="preserve">HMDB0010213</t>
  </si>
  <si>
    <t xml:space="preserve">LMFA04000032</t>
  </si>
  <si>
    <t xml:space="preserve">72637</t>
  </si>
  <si>
    <t xml:space="preserve">6439179</t>
  </si>
  <si>
    <t xml:space="preserve">90780-52-2</t>
  </si>
  <si>
    <t xml:space="preserve">C(CC/C=C\C/C=C\C/C=C\C/C=C\C=C\C(O)C/C=C\CC)(=O)O</t>
  </si>
  <si>
    <t xml:space="preserve">SWTYBBUBEPPYCX-VIIQGJSXSA-N</t>
  </si>
  <si>
    <t xml:space="preserve">409-2</t>
  </si>
  <si>
    <t xml:space="preserve">10-HDoHE</t>
  </si>
  <si>
    <t xml:space="preserve">HMDB0060037</t>
  </si>
  <si>
    <t xml:space="preserve">88553636</t>
  </si>
  <si>
    <t xml:space="preserve">CC\C=C/C\C=C/C\C=C/C=C\C(O)C\C=C/C\C=C/CCC(O)=O</t>
  </si>
  <si>
    <t xml:space="preserve">DDCYKEYDTGCKAS-PMYRRKJZSA-N</t>
  </si>
  <si>
    <t xml:space="preserve">409-3</t>
  </si>
  <si>
    <t xml:space="preserve">11-HDoHE</t>
  </si>
  <si>
    <t xml:space="preserve">HMDB0060040</t>
  </si>
  <si>
    <t xml:space="preserve">131769802</t>
  </si>
  <si>
    <t xml:space="preserve">CC\C=C/C\C=C/C\C=C/CC(O)\C=C\C=C\C\C=C/CCC(O)=O</t>
  </si>
  <si>
    <t xml:space="preserve">LTERDCBCHFKFRI-KEFMQFBKSA-N</t>
  </si>
  <si>
    <t xml:space="preserve">1,1-Dimethoxyoctane</t>
  </si>
  <si>
    <t xml:space="preserve">HMDB0040267</t>
  </si>
  <si>
    <t xml:space="preserve">94795</t>
  </si>
  <si>
    <t xml:space="preserve">61431</t>
  </si>
  <si>
    <t xml:space="preserve">10022-28-3</t>
  </si>
  <si>
    <t xml:space="preserve">CCCCCCCC(OC)OC</t>
  </si>
  <si>
    <t xml:space="preserve">BZOOCKAFKVYAOZ-UHFFFAOYSA-N</t>
  </si>
  <si>
    <t xml:space="preserve">418-2</t>
  </si>
  <si>
    <t xml:space="preserve">(±)-Hydroxycitronellol</t>
  </si>
  <si>
    <t xml:space="preserve">HMDB0030083</t>
  </si>
  <si>
    <t xml:space="preserve">86715</t>
  </si>
  <si>
    <t xml:space="preserve">LMFA05000666</t>
  </si>
  <si>
    <t xml:space="preserve">249494</t>
  </si>
  <si>
    <t xml:space="preserve">C(CO)C(C)CCCC(O)(C)C</t>
  </si>
  <si>
    <t xml:space="preserve">FPCCDPXRNNVUOM-UHFFFAOYSA-N</t>
  </si>
  <si>
    <t xml:space="preserve">Almokalant</t>
  </si>
  <si>
    <t xml:space="preserve">HMDB0248171</t>
  </si>
  <si>
    <t xml:space="preserve">3033962</t>
  </si>
  <si>
    <t xml:space="preserve">CCCS(=O)CCCN(CC)CC(O)COC1=CC=C(C=C1)C#N</t>
  </si>
  <si>
    <t xml:space="preserve">ZMHOBBKJBYLXFR-UHFFFAOYSA-N</t>
  </si>
  <si>
    <t xml:space="preserve">(R)-3-((2-(2-(4-Methylpiperidin-1-yl)ethyl)pyrrolidin-1-yl)sulfonyl)phenol</t>
  </si>
  <si>
    <t xml:space="preserve">HMDB0245575</t>
  </si>
  <si>
    <t xml:space="preserve">4184551</t>
  </si>
  <si>
    <t xml:space="preserve">CC1CCN(CCC2CCCN2S(=O)(=O)C2=CC=CC(O)=C2)CC1</t>
  </si>
  <si>
    <t xml:space="preserve">HWKROQUZSKPIKQ-UHFFFAOYSA-N</t>
  </si>
  <si>
    <t xml:space="preserve">3-(2-Heptenyloxy)-2-hydroxypropyl undecanoate</t>
  </si>
  <si>
    <t xml:space="preserve">HMDB0034031</t>
  </si>
  <si>
    <t xml:space="preserve">89668</t>
  </si>
  <si>
    <t xml:space="preserve">175593</t>
  </si>
  <si>
    <t xml:space="preserve">101942511</t>
  </si>
  <si>
    <t xml:space="preserve">CCCCCCCCCCC(=O)OCC(O)COC\C=C\CCCC</t>
  </si>
  <si>
    <t xml:space="preserve">AQZFORIMCWMRNP-FYWRMAATSA-N</t>
  </si>
  <si>
    <t xml:space="preserve">426-2</t>
  </si>
  <si>
    <t xml:space="preserve">Stearoyllactic acid</t>
  </si>
  <si>
    <t xml:space="preserve">HMDB0033372</t>
  </si>
  <si>
    <t xml:space="preserve">89215</t>
  </si>
  <si>
    <t xml:space="preserve">LMFA07011021</t>
  </si>
  <si>
    <t xml:space="preserve">86677</t>
  </si>
  <si>
    <t xml:space="preserve">4253-64-9</t>
  </si>
  <si>
    <t xml:space="preserve">O=C(C(OC(=O)CCCCCCCCCCCCCCCCC)C)O</t>
  </si>
  <si>
    <t xml:space="preserve">QMGGUIASDZZMHS-UHFFFAOYSA-N</t>
  </si>
  <si>
    <t xml:space="preserve">Trehalose</t>
  </si>
  <si>
    <t xml:space="preserve">HMDB0000975</t>
  </si>
  <si>
    <t xml:space="preserve">5913</t>
  </si>
  <si>
    <t xml:space="preserve">C01083</t>
  </si>
  <si>
    <t xml:space="preserve">16551</t>
  </si>
  <si>
    <t xml:space="preserve">7427</t>
  </si>
  <si>
    <t xml:space="preserve">99-20-7</t>
  </si>
  <si>
    <t xml:space="preserve">OC[C@H]1O[C@H](O[C@H]2O[C@H](CO)[C@@H](O)[C@H](O)[C@H]2O)[C@H](O)[C@@H](O)[C@@H]1O</t>
  </si>
  <si>
    <t xml:space="preserve">HDTRYLNUVZCQOY-LIZSDCNHSA-N</t>
  </si>
  <si>
    <t xml:space="preserve">Alpha-Lactose</t>
  </si>
  <si>
    <t xml:space="preserve">HMDB0000186</t>
  </si>
  <si>
    <t xml:space="preserve">984806</t>
  </si>
  <si>
    <t xml:space="preserve">C00243</t>
  </si>
  <si>
    <t xml:space="preserve">36219</t>
  </si>
  <si>
    <t xml:space="preserve">84571</t>
  </si>
  <si>
    <t xml:space="preserve">14641-93-1</t>
  </si>
  <si>
    <t xml:space="preserve">OC[C@H]1O[C@@H](O[C@H]2[C@H](O)[C@@H](O)[C@@H](O)O[C@@H]2CO)[C@H](O)[C@@H](O)[C@H]1O</t>
  </si>
  <si>
    <t xml:space="preserve">GUBGYTABKSRVRQ-XLOQQCSPSA-N</t>
  </si>
  <si>
    <t xml:space="preserve">N-[Diaminophosphoryloxy-[di(propan-2-yl)amino]phosphoryl]-N-propan-2-ylpropan-2-amine</t>
  </si>
  <si>
    <t xml:space="preserve">HMDB0257590</t>
  </si>
  <si>
    <t xml:space="preserve">22034046</t>
  </si>
  <si>
    <t xml:space="preserve">CC(C)N(C(C)C)P(=O)(OP(N)(N)=O)N(C(C)C)C(C)C</t>
  </si>
  <si>
    <t xml:space="preserve">INMCMKYHPLDLLX-UHFFFAOYSA-N</t>
  </si>
  <si>
    <t xml:space="preserve">iso-OMPA</t>
  </si>
  <si>
    <t xml:space="preserve">HMDB0253598</t>
  </si>
  <si>
    <t xml:space="preserve">5420</t>
  </si>
  <si>
    <t xml:space="preserve">CC(C)NP(=O)(NC(C)C)OP(=O)(NC(C)C)NC(C)C</t>
  </si>
  <si>
    <t xml:space="preserve">IOIMDJXKIMCMIG-UHFFFAOYSA-N</t>
  </si>
  <si>
    <t xml:space="preserve">4-(4-Fluorophenyl)piperidin-4-ol</t>
  </si>
  <si>
    <t xml:space="preserve">HMDB0246291</t>
  </si>
  <si>
    <t xml:space="preserve">77497</t>
  </si>
  <si>
    <t xml:space="preserve">OC1(CCNCC1)C1=CC=C(F)C=C1</t>
  </si>
  <si>
    <t xml:space="preserve">QXWRXWPNHLIZBV-UHFFFAOYSA-N</t>
  </si>
  <si>
    <t xml:space="preserve">435-2</t>
  </si>
  <si>
    <t xml:space="preserve">3-Fluorophenmetrazine</t>
  </si>
  <si>
    <t xml:space="preserve">HMDB0244559</t>
  </si>
  <si>
    <t xml:space="preserve">CC1NCCOC1C1=CC(F)=CC=C1</t>
  </si>
  <si>
    <t xml:space="preserve">VHYVKJAQSJCYCK-UHFFFAOYSA-N</t>
  </si>
  <si>
    <t xml:space="preserve">N-(3,5-Dihydroxy-4-azatetracyclo[5.3.2.02,6.08,10]dodeca-2,5,11-trien-4-yl)-4-(trifluoromethyl)benzamide</t>
  </si>
  <si>
    <t xml:space="preserve">HMDB0260430</t>
  </si>
  <si>
    <t xml:space="preserve">91572954</t>
  </si>
  <si>
    <t xml:space="preserve">OC1=C2C3C=CC(C4CC34)C2=C(O)N1NC(=O)C1=CC=C(C=C1)C(F)(F)F</t>
  </si>
  <si>
    <t xml:space="preserve">PFTCYSLXMGONAY-UHFFFAOYSA-N</t>
  </si>
  <si>
    <t xml:space="preserve">442-2</t>
  </si>
  <si>
    <t xml:space="preserve">4-Trifluoromethyl-N-(3,3a,4,4a,5,5a,6,6a-octahydro-1,3-dioxo-4,6-ethenocycloprop(f)isoindol-2(1H)-yl)-benzamide</t>
  </si>
  <si>
    <t xml:space="preserve">HMDB0258473</t>
  </si>
  <si>
    <t xml:space="preserve">25101755</t>
  </si>
  <si>
    <t xml:space="preserve">FC(F)(F)C1=CC=C(C=C1)C(=O)NN1C(=O)C2C(C3C=CC2C2CC32)C1=O</t>
  </si>
  <si>
    <t xml:space="preserve">CSKDFZIMJXRJGH-UHFFFAOYSA-N</t>
  </si>
  <si>
    <t xml:space="preserve">N-[(3R)-2,3-Dihydro-1-methyl-2-oxo-5-phenyl-1H-1,4-benzodiazepin-3-yl]-N'-(3-methylphenyl)urea</t>
  </si>
  <si>
    <t xml:space="preserve">HMDB0244429</t>
  </si>
  <si>
    <t xml:space="preserve">104929</t>
  </si>
  <si>
    <t xml:space="preserve">CN1C2=CC=CC=C2C(=NC(NC(=O)NC2=CC=CC(C)=C2)C1=O)C1=CC=CC=C1</t>
  </si>
  <si>
    <t xml:space="preserve">KDFQABSFVYLGPM-UHFFFAOYSA-N</t>
  </si>
  <si>
    <t xml:space="preserve">443-2</t>
  </si>
  <si>
    <t xml:space="preserve">3-[1-(3-Aminopropyl)-1H-indol-3-YL]-4-(1-methyl-1H-indol-3-YL)-1H-pyrrole-2,5-dione</t>
  </si>
  <si>
    <t xml:space="preserve">HMDB0257261</t>
  </si>
  <si>
    <t xml:space="preserve">45539</t>
  </si>
  <si>
    <t xml:space="preserve">2403</t>
  </si>
  <si>
    <t xml:space="preserve">138516-31-1</t>
  </si>
  <si>
    <t xml:space="preserve">CN1C=C(C2=CC=CC=C12)C1=C(C(=O)NC1=O)C1=CN(CCCN)C2=C1C=CC=C2</t>
  </si>
  <si>
    <t xml:space="preserve">UQHKJRCFSLMWIA-UHFFFAOYSA-N</t>
  </si>
  <si>
    <t xml:space="preserve">Apo-12'-zeaxanthinal</t>
  </si>
  <si>
    <t xml:space="preserve">HMDB0302023</t>
  </si>
  <si>
    <t xml:space="preserve">53161</t>
  </si>
  <si>
    <t xml:space="preserve">[H]/C(=C(/[H])\C(\[H])=C(/C)\C(\[H])=C(/[H])\C(\[H])=C(/C)\C(\[H])=C(/[H])C1=C(C)C[C@@]([H])(O)CC1(C)C)/C(/[H])=C(\C)C=O</t>
  </si>
  <si>
    <t xml:space="preserve">PAUIQDPAEDELMC-HEZGKBSMSA-N</t>
  </si>
  <si>
    <t xml:space="preserve">448-2</t>
  </si>
  <si>
    <t xml:space="preserve">QUINGESTANOL</t>
  </si>
  <si>
    <t xml:space="preserve">HMDB0257039</t>
  </si>
  <si>
    <t xml:space="preserve">25414</t>
  </si>
  <si>
    <t xml:space="preserve">CC12CCC3C(CC=C4C=C(CCC34)OC3CCCC3)C1CCC2(O)C#C</t>
  </si>
  <si>
    <t xml:space="preserve">PCJFRMOEZQQSAX-UHFFFAOYSA-N</t>
  </si>
  <si>
    <t xml:space="preserve">2-Arachidonyl Glycerol ether</t>
  </si>
  <si>
    <t xml:space="preserve">HMDB0013657</t>
  </si>
  <si>
    <t xml:space="preserve">64848</t>
  </si>
  <si>
    <t xml:space="preserve">LMGL01020034</t>
  </si>
  <si>
    <t xml:space="preserve">75913</t>
  </si>
  <si>
    <t xml:space="preserve">6483057</t>
  </si>
  <si>
    <t xml:space="preserve">222723-55-9</t>
  </si>
  <si>
    <t xml:space="preserve">O([C@@](CO)(CO)[H])CCCC/C=C\C/C=C\C/C=C\C/C=C\CCCCC</t>
  </si>
  <si>
    <t xml:space="preserve">CUJUUWXZAQHCNC-DOFZRALJSA-N</t>
  </si>
  <si>
    <t xml:space="preserve">4-Hydroxy-3-(16-methylheptadecyl)-2H-pyran-2-one</t>
  </si>
  <si>
    <t xml:space="preserve">HMDB0032093</t>
  </si>
  <si>
    <t xml:space="preserve">88177</t>
  </si>
  <si>
    <t xml:space="preserve">86187765</t>
  </si>
  <si>
    <t xml:space="preserve">203300-23-6</t>
  </si>
  <si>
    <t xml:space="preserve">CC(C)CCCCCCCCCCCCCCCC1=C(O)C=COC1=O</t>
  </si>
  <si>
    <t xml:space="preserve">XEKYYIHOWASTHE-UHFFFAOYSA-N</t>
  </si>
  <si>
    <t xml:space="preserve">3-Methyl-5-pentyl-2-furantridecanoic acid</t>
  </si>
  <si>
    <t xml:space="preserve">HMDB0061648</t>
  </si>
  <si>
    <t xml:space="preserve">978192</t>
  </si>
  <si>
    <t xml:space="preserve">LMFA01150014</t>
  </si>
  <si>
    <t xml:space="preserve">71443943</t>
  </si>
  <si>
    <t xml:space="preserve">57818-42-5</t>
  </si>
  <si>
    <t xml:space="preserve">C(CC)CCC1=CC(C)=C(CCCCCCCCCCCCC(=O)O)O1</t>
  </si>
  <si>
    <t xml:space="preserve">JXBLMIJDQFTVIE-UHFFFAOYSA-N</t>
  </si>
  <si>
    <t xml:space="preserve">1-Phenyl-1,3-nonadecanedione</t>
  </si>
  <si>
    <t xml:space="preserve">HMDB0035584</t>
  </si>
  <si>
    <t xml:space="preserve">90864</t>
  </si>
  <si>
    <t xml:space="preserve">67738066</t>
  </si>
  <si>
    <t xml:space="preserve">CCCCCCCCCCCCCCCCC(=O)CC(=O)C1=CC=CC=C1</t>
  </si>
  <si>
    <t xml:space="preserve">MVJPWTFBRAZGDC-UHFFFAOYSA-N</t>
  </si>
  <si>
    <t xml:space="preserve">457-2</t>
  </si>
  <si>
    <t xml:space="preserve">5-(10,13-Nonadecadienyl)-1,3-benzenediol</t>
  </si>
  <si>
    <t xml:space="preserve">HMDB0039867</t>
  </si>
  <si>
    <t xml:space="preserve">94413</t>
  </si>
  <si>
    <t xml:space="preserve">131752737</t>
  </si>
  <si>
    <t xml:space="preserve">189562-02-5</t>
  </si>
  <si>
    <t xml:space="preserve">CCCCC\C=C\C\C=C\CCCCCCCCCC1=CC(O)=CC(O)=C1</t>
  </si>
  <si>
    <t xml:space="preserve">QEMSHYYBCNAAQA-AVQMFFATSA-N</t>
  </si>
  <si>
    <t xml:space="preserve">2',4,4'-Trihydroxy-6'-methoxy-3',5'-diprenylchalcone</t>
  </si>
  <si>
    <t xml:space="preserve">HMDB0035066</t>
  </si>
  <si>
    <t xml:space="preserve">52099</t>
  </si>
  <si>
    <t xml:space="preserve">LMPK12120296</t>
  </si>
  <si>
    <t xml:space="preserve">23250008</t>
  </si>
  <si>
    <t xml:space="preserve">189299-04-5</t>
  </si>
  <si>
    <t xml:space="preserve">C1(C/C=C(/C)\C)C(OC)=C(C(=O)/C=C/C2C=CC(O)=CC=2)C(O)=C(C/C=C(\C)/C)C=1O</t>
  </si>
  <si>
    <t xml:space="preserve">HOTYOZVURUOVTK-XNTDXEJSSA-N</t>
  </si>
  <si>
    <t xml:space="preserve">464-2</t>
  </si>
  <si>
    <t xml:space="preserve">Kanzonol J</t>
  </si>
  <si>
    <t xml:space="preserve">HMDB0040605</t>
  </si>
  <si>
    <t xml:space="preserve">95085</t>
  </si>
  <si>
    <t xml:space="preserve">131752862</t>
  </si>
  <si>
    <t xml:space="preserve">152511-47-2</t>
  </si>
  <si>
    <t xml:space="preserve">COC1=C2CC(COC2=CC2=C1CCC(C)(C)O2)C1=C2OC(C)(C)C=CC2=C(O)C=C1</t>
  </si>
  <si>
    <t xml:space="preserve">POHNDGZXXXCXFF-UHFFFAOYSA-N</t>
  </si>
  <si>
    <t xml:space="preserve">464-3</t>
  </si>
  <si>
    <t xml:space="preserve">1-Methoxyficifolinol</t>
  </si>
  <si>
    <t xml:space="preserve">HMDB0038109</t>
  </si>
  <si>
    <t xml:space="preserve">131752306</t>
  </si>
  <si>
    <t xml:space="preserve">129280-35-9</t>
  </si>
  <si>
    <t xml:space="preserve">COC1=CC2=C(C=C1CC=C(C)C)C1COC3=C(C1O2)C(O)=C(CC=C(C)C)C(O)=C3</t>
  </si>
  <si>
    <t xml:space="preserve">YCYLVHIWXLJVIC-UHFFFAOYSA-N</t>
  </si>
  <si>
    <t xml:space="preserve">Furanoisoflavonoids</t>
  </si>
  <si>
    <t xml:space="preserve">alpha-Ionone</t>
  </si>
  <si>
    <t xml:space="preserve">HMDB0059883</t>
  </si>
  <si>
    <t xml:space="preserve">69412</t>
  </si>
  <si>
    <t xml:space="preserve">C12286</t>
  </si>
  <si>
    <t xml:space="preserve">32319</t>
  </si>
  <si>
    <t xml:space="preserve">5282108</t>
  </si>
  <si>
    <t xml:space="preserve">127-41-3</t>
  </si>
  <si>
    <t xml:space="preserve">CC(=O)\C=C\C1C(C)=CCCC1(C)C</t>
  </si>
  <si>
    <t xml:space="preserve">UZFLPKAIBPNNCA-BQYQJAHWSA-N</t>
  </si>
  <si>
    <t xml:space="preserve">465-2</t>
  </si>
  <si>
    <t xml:space="preserve">beta-Ionone</t>
  </si>
  <si>
    <t xml:space="preserve">HMDB0036565</t>
  </si>
  <si>
    <t xml:space="preserve">69413</t>
  </si>
  <si>
    <t xml:space="preserve">C12287</t>
  </si>
  <si>
    <t xml:space="preserve">32325</t>
  </si>
  <si>
    <t xml:space="preserve">638014</t>
  </si>
  <si>
    <t xml:space="preserve">79-77-6</t>
  </si>
  <si>
    <t xml:space="preserve">CC(=O)\C=C\C1=C(C)CCCC1(C)C</t>
  </si>
  <si>
    <t xml:space="preserve">PSQYTAPXSHCGMF-BQYQJAHWSA-N</t>
  </si>
  <si>
    <t xml:space="preserve">Artocarpin</t>
  </si>
  <si>
    <t xml:space="preserve">HMDB0030849</t>
  </si>
  <si>
    <t xml:space="preserve">49326</t>
  </si>
  <si>
    <t xml:space="preserve">65439</t>
  </si>
  <si>
    <t xml:space="preserve">5458461</t>
  </si>
  <si>
    <t xml:space="preserve">7608-44-8</t>
  </si>
  <si>
    <t xml:space="preserve">COC1=CC2=C(C(O)=C1\C=C\C(C)C)C(=O)C(CC=C(C)C)=C(O2)C1=C(O)C=C(O)C=C1</t>
  </si>
  <si>
    <t xml:space="preserve">KRGDFVQWQJIMEK-RMKNXTFCSA-N</t>
  </si>
  <si>
    <t xml:space="preserve">478-2</t>
  </si>
  <si>
    <t xml:space="preserve">Kanzonol K</t>
  </si>
  <si>
    <t xml:space="preserve">HMDB0041212</t>
  </si>
  <si>
    <t xml:space="preserve">95632</t>
  </si>
  <si>
    <t xml:space="preserve">175519</t>
  </si>
  <si>
    <t xml:space="preserve">131753069</t>
  </si>
  <si>
    <t xml:space="preserve">156281-30-0</t>
  </si>
  <si>
    <t xml:space="preserve">COC1=CC2=C(C(O)=C1CC=C(C)C)C(=O)C(=CO2)C1=C(O)C(CC=C(C)C)=C(O)C=C1</t>
  </si>
  <si>
    <t xml:space="preserve">UWUOGPWSIVRQNM-UHFFFAOYSA-N</t>
  </si>
  <si>
    <t xml:space="preserve">478-3</t>
  </si>
  <si>
    <t xml:space="preserve">2'-O-Methylcajanone</t>
  </si>
  <si>
    <t xml:space="preserve">HMDB0033806</t>
  </si>
  <si>
    <t xml:space="preserve">LMPK12050497</t>
  </si>
  <si>
    <t xml:space="preserve">634867</t>
  </si>
  <si>
    <t xml:space="preserve">71765-79-2</t>
  </si>
  <si>
    <t xml:space="preserve">C12OC(C)(C)C=CC1=C(O)C1C(=O)C(C3=CC(C/C=C(/C)\C)=C(O)C=C3OC)COC=1C=2</t>
  </si>
  <si>
    <t xml:space="preserve">REBVXJPVOISSEO-UHFFFAOYSA-N</t>
  </si>
  <si>
    <t xml:space="preserve">1,6-Dihydroxy-3,7-dimethoxy-2-(3-methyl-2-butenyl)-8-(3-hydroxy-3-methyl-1E-butenyl)-xanthone</t>
  </si>
  <si>
    <t xml:space="preserve">HMDB0039914</t>
  </si>
  <si>
    <t xml:space="preserve">94457</t>
  </si>
  <si>
    <t xml:space="preserve">5319262</t>
  </si>
  <si>
    <t xml:space="preserve">COC1=CC2=C(C(O)=C1CC=C(C)C)C(=O)C1=C(\C=C\C(C)(C)O)C(OC)=C(O)C=C1O2</t>
  </si>
  <si>
    <t xml:space="preserve">QXRLQTRFEMAPRP-MDZDMXLPSA-N</t>
  </si>
  <si>
    <t xml:space="preserve">1,6-Dihydroxy-3,7-dimethoxy-2-(2-hydroxy-3-methyl-3-butenyl)-8-(3-methyl-2-butenyl)-xanthone</t>
  </si>
  <si>
    <t xml:space="preserve">HMDB0039915</t>
  </si>
  <si>
    <t xml:space="preserve">94458</t>
  </si>
  <si>
    <t xml:space="preserve">101193827</t>
  </si>
  <si>
    <t xml:space="preserve">COC1=CC2=C(C(O)=C1CC(O)C(C)=C)C(=O)C1=C(CC=C(C)C)C(OC)=C(O)C=C1O2</t>
  </si>
  <si>
    <t xml:space="preserve">IJQRCAZPGFDXPF-UHFFFAOYSA-N</t>
  </si>
  <si>
    <t xml:space="preserve">479-3</t>
  </si>
  <si>
    <t xml:space="preserve">1,6-Dihydroxy-3,7-dimethoxy-2-(3-methyl-2-butenyl)-8-(2-hydroxy-3-methyl-3-butenyl)-xanthone</t>
  </si>
  <si>
    <t xml:space="preserve">HMDB0039916</t>
  </si>
  <si>
    <t xml:space="preserve">94459</t>
  </si>
  <si>
    <t xml:space="preserve">101193826</t>
  </si>
  <si>
    <t xml:space="preserve">COC1=CC2=C(C(O)=C1CC=C(C)C)C(=O)C1=C(CC(O)C(C)=C)C(OC)=C(O)C=C1O2</t>
  </si>
  <si>
    <t xml:space="preserve">OHGAQNFIUCKPAY-UHFFFAOYSA-N</t>
  </si>
  <si>
    <t xml:space="preserve">LPA(20:2)</t>
  </si>
  <si>
    <t xml:space="preserve">HMDB0114758</t>
  </si>
  <si>
    <t xml:space="preserve">87977098</t>
  </si>
  <si>
    <t xml:space="preserve">CCCCC\C=C/C\C=C/CCCCCCCCCC(=O)OCC(O)COP(O)(O)=O</t>
  </si>
  <si>
    <t xml:space="preserve">PIWSAHYRIXOITD-HZJYTTRNSA-N</t>
  </si>
  <si>
    <t xml:space="preserve">484-2</t>
  </si>
  <si>
    <t xml:space="preserve">1-(11Z,14Z-eicosadienoyl)-glycero-3-phosphate</t>
  </si>
  <si>
    <t xml:space="preserve">HMDB0062303</t>
  </si>
  <si>
    <t xml:space="preserve">[H]C(CCCCC)=C([H])C\C([H])=C(\[H])CCCCCCCCCC(=O)OC[C@@]([H])(O)COP(O)(O)=O</t>
  </si>
  <si>
    <t xml:space="preserve">PIWSAHYRIXOITD-MNZXDXIFSA-N</t>
  </si>
  <si>
    <t xml:space="preserve">(6'-Acetyloxy-4,5-diamino-3-oxospiro[2-benzofuran-1,9'-xanthene]-3'-yl) acetate</t>
  </si>
  <si>
    <t xml:space="preserve">HMDB0257726</t>
  </si>
  <si>
    <t xml:space="preserve">54506944</t>
  </si>
  <si>
    <t xml:space="preserve">CC(=O)OC1=CC2=C(C=C1)C1(OC(=O)C3=C1C=CC(N)=C3N)C1=C(O2)C=C(OC(C)=O)C=C1</t>
  </si>
  <si>
    <t xml:space="preserve">YGJVYOVACXXQMB-UHFFFAOYSA-N</t>
  </si>
  <si>
    <t xml:space="preserve">486-2</t>
  </si>
  <si>
    <t xml:space="preserve">4,5-Diaminofluorescein diacetate</t>
  </si>
  <si>
    <t xml:space="preserve">HMDB0250827</t>
  </si>
  <si>
    <t xml:space="preserve">64884</t>
  </si>
  <si>
    <t xml:space="preserve">6603693</t>
  </si>
  <si>
    <t xml:space="preserve">205391-02-2</t>
  </si>
  <si>
    <t xml:space="preserve">CC(=O)OC1=CC2=C(C=C1)C1(OC(=O)C3=CC(N)=C(N)C=C13)C1=C(O2)C=C(OC(C)=O)C=C1</t>
  </si>
  <si>
    <t xml:space="preserve">PTSUYDXEEKDBQU-UHFFFAOYSA-N</t>
  </si>
  <si>
    <t xml:space="preserve">8-Butanoylneosolaniol</t>
  </si>
  <si>
    <t xml:space="preserve">HMDB0038560</t>
  </si>
  <si>
    <t xml:space="preserve">93231</t>
  </si>
  <si>
    <t xml:space="preserve">61184</t>
  </si>
  <si>
    <t xml:space="preserve">98813-18-4</t>
  </si>
  <si>
    <t xml:space="preserve">[H][C@@]12O[C@]3([H])C=C(C)[C@H](C[C@]3(COC(C)=O)[C@@](C)([C@H](OC(C)=O)[C@H]1O)[C@]21CO1)OC(=O)CCC</t>
  </si>
  <si>
    <t xml:space="preserve">QAZLVSRKBUTUHB-MXINJKJASA-N</t>
  </si>
  <si>
    <t xml:space="preserve">8-Isobutanoylneosolaniol</t>
  </si>
  <si>
    <t xml:space="preserve">HMDB0038561</t>
  </si>
  <si>
    <t xml:space="preserve">91809166</t>
  </si>
  <si>
    <t xml:space="preserve">111112-48-2</t>
  </si>
  <si>
    <t xml:space="preserve">[H][C@@]12O[C@]3([H])C=C(C)[C@H](C[C@]3(COC(C)=O)[C@@](C)([C@H](OC(C)=O)[C@H]1O)[C@]21CO1)OC(=O)C(C)C</t>
  </si>
  <si>
    <t xml:space="preserve">CZZOBJORBLRBLT-DSCHAYMESA-N</t>
  </si>
  <si>
    <t xml:space="preserve">Polyporusterone A</t>
  </si>
  <si>
    <t xml:space="preserve">HMDB0038495</t>
  </si>
  <si>
    <t xml:space="preserve">85041613</t>
  </si>
  <si>
    <t xml:space="preserve">141360-88-5</t>
  </si>
  <si>
    <t xml:space="preserve">CC(C)C(C)CC(O)C(C)(O)C1CCC2(O)C3=CC(=O)C4CC(O)C(O)CC4(C)C3CCC12C</t>
  </si>
  <si>
    <t xml:space="preserve">KQBCIGPPRFLKLS-UHFFFAOYSA-N</t>
  </si>
  <si>
    <t xml:space="preserve">499-2</t>
  </si>
  <si>
    <t xml:space="preserve">Dolicholide</t>
  </si>
  <si>
    <t xml:space="preserve">HMDB0034086</t>
  </si>
  <si>
    <t xml:space="preserve">85228-11-1</t>
  </si>
  <si>
    <t xml:space="preserve">CC(C)C(=C)C(O)C(O)C(C)C1CCC2C3COC(=O)C4CC(O)C(O)CC4(C)C3CCC12C</t>
  </si>
  <si>
    <t xml:space="preserve">PPFRJNLKWADOTL-UHFFFAOYSA-N</t>
  </si>
  <si>
    <t xml:space="preserve">Docosa-4,7,10,13,16-pentaenoyl carnitine</t>
  </si>
  <si>
    <t xml:space="preserve">HMDB0006321</t>
  </si>
  <si>
    <t xml:space="preserve">58392</t>
  </si>
  <si>
    <t xml:space="preserve">LMFA07070061</t>
  </si>
  <si>
    <t xml:space="preserve">134423</t>
  </si>
  <si>
    <t xml:space="preserve">53477825</t>
  </si>
  <si>
    <t xml:space="preserve">O(C(=O)CC/C=C/C/C=C/C/C=C/C/C=C/C/C=C/CCCCC)C(C[N+](C)(C)C)CC(=O)[O-]</t>
  </si>
  <si>
    <t xml:space="preserve">KRXOUZZWQXTUIB-IDERWEGCSA-N</t>
  </si>
  <si>
    <t xml:space="preserve">508-2</t>
  </si>
  <si>
    <t xml:space="preserve">Clupanodonyl carnitine</t>
  </si>
  <si>
    <t xml:space="preserve">HMDB0006496</t>
  </si>
  <si>
    <t xml:space="preserve">58428</t>
  </si>
  <si>
    <t xml:space="preserve">LMFA07070058</t>
  </si>
  <si>
    <t xml:space="preserve">134424</t>
  </si>
  <si>
    <t xml:space="preserve">53477839</t>
  </si>
  <si>
    <t xml:space="preserve">C(=O)([O-])CC(OC(=O)CC/C=C/CC/C=C/CC/C=C/C/C=C/CC/C=C/CC)C[N+](C)(C)C</t>
  </si>
  <si>
    <t xml:space="preserve">AOSDFVDGMYPTHD-NQXOOMTHSA-N</t>
  </si>
  <si>
    <t xml:space="preserve">508-3</t>
  </si>
  <si>
    <t xml:space="preserve">23-Acetoxysoladulcidine</t>
  </si>
  <si>
    <t xml:space="preserve">HMDB0031402</t>
  </si>
  <si>
    <t xml:space="preserve">131751167</t>
  </si>
  <si>
    <t xml:space="preserve">152128-85-3</t>
  </si>
  <si>
    <t xml:space="preserve">CC1C2C(CC3C4CCC5CC(O)CCC5(C)C4CCC23C)OC11NCC(C)CC1OC(C)=O</t>
  </si>
  <si>
    <t xml:space="preserve">HQJSCXYJQVACQR-UHFFFAOYSA-N</t>
  </si>
  <si>
    <t xml:space="preserve">Homocastasterone</t>
  </si>
  <si>
    <t xml:space="preserve">HMDB0253202</t>
  </si>
  <si>
    <t xml:space="preserve">13037422</t>
  </si>
  <si>
    <t xml:space="preserve">CCC(C(C)C)C(O)C(O)C(C)C1CCC2C3CC(=O)C4CC(O)C(O)CC4(C)C3CCC12C</t>
  </si>
  <si>
    <t xml:space="preserve">WADMTJKRYLAHQV-UHFFFAOYSA-N</t>
  </si>
  <si>
    <t xml:space="preserve">515-2</t>
  </si>
  <si>
    <t xml:space="preserve">(24S)-24-Ethylbrassinone</t>
  </si>
  <si>
    <t xml:space="preserve">HMDB0302393</t>
  </si>
  <si>
    <t xml:space="preserve">[H][C@@]12CC(=O)[C@@]3([H])C[C@H](O)[C@H](O)C[C@]3(C)C1CC[C@]1(C)C(CCC21)C(C)[C@@H](O)[C@H](O)[C@@H](CC)C(C)C</t>
  </si>
  <si>
    <t xml:space="preserve">WADMTJKRYLAHQV-CVNRPTOBSA-N</t>
  </si>
  <si>
    <t xml:space="preserve">515-3</t>
  </si>
  <si>
    <t xml:space="preserve">24-Ethylbrassinone</t>
  </si>
  <si>
    <t xml:space="preserve">HMDB0302394</t>
  </si>
  <si>
    <t xml:space="preserve">[H][C@@]12CC(=O)[C@@]3([H])C[C@H](O)[C@H](O)C[C@]3(C)C1CC[C@]1(C)C(CCC21)C(C)[C@@H](O)[C@H](O)C(CC)C(C)C</t>
  </si>
  <si>
    <t xml:space="preserve">WADMTJKRYLAHQV-BRGOLETBSA-N</t>
  </si>
  <si>
    <t xml:space="preserve">Deoxycholylphenylalanine</t>
  </si>
  <si>
    <t xml:space="preserve">HMDB0242413</t>
  </si>
  <si>
    <t xml:space="preserve">CC(CCC(=O)NC(CC1=CC=CC=C1)C(O)=O)C1CCC2C3CCC4CC(O)CCC4(C)C3CC(O)C12C</t>
  </si>
  <si>
    <t xml:space="preserve">RFRCQJKUNLZBAM-UHFFFAOYSA-N</t>
  </si>
  <si>
    <t xml:space="preserve">519-2</t>
  </si>
  <si>
    <t xml:space="preserve">Chenodeoxycholylphenylalanine</t>
  </si>
  <si>
    <t xml:space="preserve">HMDB0242391</t>
  </si>
  <si>
    <t xml:space="preserve">137628355</t>
  </si>
  <si>
    <t xml:space="preserve">CC(CCC(=O)NC(CC1=CC=CC=C1)C(O)=O)C1CCC2C3C(O)CC4CC(O)CCC4(C)C3CCC12C</t>
  </si>
  <si>
    <t xml:space="preserve">CEMZGPKUKMFNNF-UHFFFAOYSA-N</t>
  </si>
  <si>
    <t xml:space="preserve">7-[(1R,2R,5S)-5-Hydroxy-2-[(1E,3S)-3-Hydroxyoct-1-en-1-yl]-3-oxocyclopentyl]heptanoylcarnitine</t>
  </si>
  <si>
    <t xml:space="preserve">HMDB0241888</t>
  </si>
  <si>
    <t xml:space="preserve">CCCCCC(O)C=CC1C(CCCCCCC(=O)OC(CC([O-])=O)C[N+](C)(C)C)C(O)CC1=O</t>
  </si>
  <si>
    <t xml:space="preserve">KUXKCGFRIKNJJD-UHFFFAOYSA-N</t>
  </si>
  <si>
    <t xml:space="preserve">524-2</t>
  </si>
  <si>
    <t xml:space="preserve">(5Z,8Z,13E,15S)-11,12,15-Trihydroxyicosa-5,8,13-trienoylcarnitine</t>
  </si>
  <si>
    <t xml:space="preserve">HMDB0241583</t>
  </si>
  <si>
    <t xml:space="preserve">CCCCCC(O)C=CC(O)C(O)CC=CCC=CCCCC(=O)OC(CC([O-])=O)C[N+](C)(C)C</t>
  </si>
  <si>
    <t xml:space="preserve">FYSRHTXDKAIONW-UHFFFAOYSA-N</t>
  </si>
  <si>
    <t xml:space="preserve">524-3</t>
  </si>
  <si>
    <t xml:space="preserve">7-[(1R,2R,3R)-3-Hydroxy-2-[(1E,3S)-3-Hydroxyoct-1-en-1-yl]-5-oxocyclopentyl]heptanoylcarnitine</t>
  </si>
  <si>
    <t xml:space="preserve">HMDB0241871</t>
  </si>
  <si>
    <t xml:space="preserve">CCCCCC(O)C=CC1C(O)CC(=O)C1CCCCCCC(=O)OC(CC([O-])=O)C[N+](C)(C)C</t>
  </si>
  <si>
    <t xml:space="preserve">OFXFMEGAKISSEH-UHFFFAOYSA-N</t>
  </si>
  <si>
    <t xml:space="preserve">(8S,9S,10R,13R,14S,17R)-3-Iodo-10,13-dimethyl-17-[(2R)-6-methylheptan-2-yl]-1,2,4,7,8,9,11,12,14,15,16,17-dodecahydrocyclopenta[a]phenanthren-3-ol</t>
  </si>
  <si>
    <t xml:space="preserve">HMDB0260188</t>
  </si>
  <si>
    <t xml:space="preserve">CC(C)CCCC(C)C1CCC2C3CC=C4CC(O)(I)CCC4(C)C3CCC12C</t>
  </si>
  <si>
    <t xml:space="preserve">UJLZKNBDGWWXPJ-UHFFFAOYSA-N</t>
  </si>
  <si>
    <t xml:space="preserve">533-2</t>
  </si>
  <si>
    <t xml:space="preserve">Iodocholesterol</t>
  </si>
  <si>
    <t xml:space="preserve">HMDB0253523</t>
  </si>
  <si>
    <t xml:space="preserve">20358984</t>
  </si>
  <si>
    <t xml:space="preserve">CC(C)CCCC(C)C1CCC2C3CC=C4CC(O)CCC4(CI)C3CCC12C</t>
  </si>
  <si>
    <t xml:space="preserve">FIOAEFCJGZJUPW-UHFFFAOYSA-N</t>
  </si>
  <si>
    <t xml:space="preserve">533-3</t>
  </si>
  <si>
    <t xml:space="preserve">Adosterol (incomplete stereochemistry)</t>
  </si>
  <si>
    <t xml:space="preserve">HMDB0248022</t>
  </si>
  <si>
    <t xml:space="preserve">20358988</t>
  </si>
  <si>
    <t xml:space="preserve">CC(C)CCCC(C)C1CCC2C3CC(CI)C4=C(CCC(O)C4)C3CCC12C</t>
  </si>
  <si>
    <t xml:space="preserve">QJHZPCLORSPENH-UHFFFAOYSA-N</t>
  </si>
  <si>
    <t xml:space="preserve">(+)-Lithospermic acid</t>
  </si>
  <si>
    <t xml:space="preserve">HMDB0242255</t>
  </si>
  <si>
    <t xml:space="preserve">4482010</t>
  </si>
  <si>
    <t xml:space="preserve">OC(=O)C(CC1=CC=C(O)C(O)=C1)OC(=O)C=CC1=CC=C(O)C2=C1C(C(O2)C1=CC=C(O)C(O)=C1)C(O)=O</t>
  </si>
  <si>
    <t xml:space="preserve">UJZQBMQZMKFSRV-UHFFFAOYSA-N</t>
  </si>
  <si>
    <t xml:space="preserve">2-arylbenzofuran flavonoids</t>
  </si>
  <si>
    <t xml:space="preserve">542-2</t>
  </si>
  <si>
    <t xml:space="preserve">Melitric acid A</t>
  </si>
  <si>
    <t xml:space="preserve">HMDB0040681</t>
  </si>
  <si>
    <t xml:space="preserve">95156</t>
  </si>
  <si>
    <t xml:space="preserve">10459878</t>
  </si>
  <si>
    <t xml:space="preserve">153765-45-8</t>
  </si>
  <si>
    <t xml:space="preserve">OC(=O)C(CC1=CC(O)=C(O)C=C1)OC(=O)\C=C\C1=CC(O)=C(O\C(=C/C2=CC(O)=C(O)C=C2)C(O)=O)C=C1</t>
  </si>
  <si>
    <t xml:space="preserve">MZSGWZGPESCJAN-JKXXRSRDSA-N</t>
  </si>
  <si>
    <t xml:space="preserve">542-3</t>
  </si>
  <si>
    <t xml:space="preserve">Isomelitric acid A</t>
  </si>
  <si>
    <t xml:space="preserve">HMDB0039523</t>
  </si>
  <si>
    <t xml:space="preserve">94090</t>
  </si>
  <si>
    <t xml:space="preserve">21582559</t>
  </si>
  <si>
    <t xml:space="preserve">OC(=O)C(CC1=CC(O)=C(O)C=C1)OC(=O)\C=C\C1=CC(O\C(=C/C2=CC(O)=C(O)C=C2)C(O)=O)=C(O)C=C1</t>
  </si>
  <si>
    <t xml:space="preserve">HFTLCJIFEZUOCR-JKXXRSRDSA-N</t>
  </si>
  <si>
    <t xml:space="preserve">Albifylline</t>
  </si>
  <si>
    <t xml:space="preserve">HMDB0248117</t>
  </si>
  <si>
    <t xml:space="preserve">115359</t>
  </si>
  <si>
    <t xml:space="preserve">CN1C2=C(NC=N2)C(=O)N(CCCCC(C)(C)O)C1=O</t>
  </si>
  <si>
    <t xml:space="preserve">NWXULHNEYYFVMF-UHFFFAOYSA-N</t>
  </si>
  <si>
    <t xml:space="preserve">Lisofylline</t>
  </si>
  <si>
    <t xml:space="preserve">HMDB0243557</t>
  </si>
  <si>
    <t xml:space="preserve">314755</t>
  </si>
  <si>
    <t xml:space="preserve">143565</t>
  </si>
  <si>
    <t xml:space="preserve">57782</t>
  </si>
  <si>
    <t xml:space="preserve">CC(O)CCCCN1C(=O)N(C)C2=C(N(C)C=N2)C1=O</t>
  </si>
  <si>
    <t xml:space="preserve">NSMXQKNUPPXBRG-UHFFFAOYSA-N</t>
  </si>
  <si>
    <t xml:space="preserve">Toosendanin</t>
  </si>
  <si>
    <t xml:space="preserve">HMDB0259107</t>
  </si>
  <si>
    <t xml:space="preserve">22556220</t>
  </si>
  <si>
    <t xml:space="preserve">CC(=O)OC1CC(O)C23COC(O)C1(C)C2CC(O)C1(C)C3C(=O)C(OC(C)=O)C2(C)C(CC3OC123)C1=COC=C1</t>
  </si>
  <si>
    <t xml:space="preserve">NAHTXVIXCMUDLF-UHFFFAOYSA-N</t>
  </si>
  <si>
    <t xml:space="preserve">Austalide C</t>
  </si>
  <si>
    <t xml:space="preserve">HMDB0034075</t>
  </si>
  <si>
    <t xml:space="preserve">131751523</t>
  </si>
  <si>
    <t xml:space="preserve">81543-03-5</t>
  </si>
  <si>
    <t xml:space="preserve">COC1=C2C(=O)OCC2=C(C)C2=C1CC1C(C)(CC(OC(C)=O)C34OC(CC(OC(C)=O)C13C)(OC)OC4(C)C)O2</t>
  </si>
  <si>
    <t xml:space="preserve">CSYWTGORJHMPOT-UHFFFAOYSA-N</t>
  </si>
  <si>
    <t xml:space="preserve">lasalocid</t>
  </si>
  <si>
    <t xml:space="preserve">HMDB0253985</t>
  </si>
  <si>
    <t xml:space="preserve">3888</t>
  </si>
  <si>
    <t xml:space="preserve">CCC(C1OC(CC)(CC1C)C1CCC(O)(CC)C(C)O1)C(=O)C(C)C(O)C(C)CCC1=CC=C(C)C(O)=C1C(O)=O</t>
  </si>
  <si>
    <t xml:space="preserve">BBMULGJBVDDDNI-UHFFFAOYSA-N</t>
  </si>
  <si>
    <t xml:space="preserve">(24R)-5b,8b-Epidioxyergosta-6,22E-dien-3b-ol 3-glucoside</t>
  </si>
  <si>
    <t xml:space="preserve">HMDB0037956</t>
  </si>
  <si>
    <t xml:space="preserve">92748</t>
  </si>
  <si>
    <t xml:space="preserve">56673984</t>
  </si>
  <si>
    <t xml:space="preserve">348144-81-0</t>
  </si>
  <si>
    <t xml:space="preserve">CC(C)C(C)\C=C\C(C)C1CCC2C1(C)CCC1C3(C)CCC(CC33OOC21C=C3)OC1OC(CO)C(O)C(O)C1O</t>
  </si>
  <si>
    <t xml:space="preserve">CKJZKFPVVUQBMB-BQYQJAHWSA-N</t>
  </si>
  <si>
    <t xml:space="preserve">(4Z,7R,8E,10Z,12E,14E,17S,19Z)-7,16,17-Trihydroxydocosa-4,8,10,12,14,19-hexaenoylcarnitine</t>
  </si>
  <si>
    <t xml:space="preserve">HMDB0241614</t>
  </si>
  <si>
    <t xml:space="preserve">CCC=CCC(O)C(O)C=CC=CC=CC=CC(O)CC=CCCC(=O)OC(CC([O-])=O)C[N+](C)(C)C</t>
  </si>
  <si>
    <t xml:space="preserve">WFNNVNHJKZFVBH-UHFFFAOYSA-N</t>
  </si>
  <si>
    <t xml:space="preserve">563-2</t>
  </si>
  <si>
    <t xml:space="preserve">(4Z,7S,9E,11E,13Z,15E,17S,19Z)-7,8,17-Trihydroxydocosa-4,9,11,13,15,19-hexaenoylcarnitine</t>
  </si>
  <si>
    <t xml:space="preserve">HMDB0241615</t>
  </si>
  <si>
    <t xml:space="preserve">CCC=CCC(O)C=CC=CC=CC=CC(O)C(O)CC=CCCC(=O)OC(CC([O-])=O)C[N+](C)(C)C</t>
  </si>
  <si>
    <t xml:space="preserve">UNSQDOWJGWHLPV-UHFFFAOYSA-N</t>
  </si>
  <si>
    <t xml:space="preserve">563-3</t>
  </si>
  <si>
    <t xml:space="preserve">(4Z,7Z,10S,11E)-10-Hydroxy-12-[(1S,2R,5S)-5-hydroxy-3-oxo-2-[(2Z)-pent-2-en-1-yl]cyclopentyl]dodeca-4,7,11-trienoylcarnitine</t>
  </si>
  <si>
    <t xml:space="preserve">HMDB0241813</t>
  </si>
  <si>
    <t xml:space="preserve">CCC=CCC1C(C=CC(O)CC=CCC=CCCC(=O)OC(CC([O-])=O)C[N+](C)(C)C)C(O)CC1=O</t>
  </si>
  <si>
    <t xml:space="preserve">YPKGWXVJAWQRPF-UHFFFAOYSA-N</t>
  </si>
  <si>
    <t xml:space="preserve">&lt;i&gt;para&lt;/i&gt;-hydroxyatorvastatin</t>
  </si>
  <si>
    <t xml:space="preserve">HMDB0061014</t>
  </si>
  <si>
    <t xml:space="preserve">168285</t>
  </si>
  <si>
    <t xml:space="preserve">3364535</t>
  </si>
  <si>
    <t xml:space="preserve">CC(C)C1=C(C(=O)NC2=CC=C(O)C=C2)C(=C(N1CCC(O)CC(O)CC(O)=O)C1=CC=C(F)C=C1)C1=CC=CC=C1</t>
  </si>
  <si>
    <t xml:space="preserve">SOZOATLLFFVAPM-UHFFFAOYSA-N</t>
  </si>
  <si>
    <t xml:space="preserve">564-2</t>
  </si>
  <si>
    <t xml:space="preserve">&lt;i&gt;ortho&lt;/i&gt;-hydroxyatorvastatin</t>
  </si>
  <si>
    <t xml:space="preserve">HMDB0061015</t>
  </si>
  <si>
    <t xml:space="preserve">169599</t>
  </si>
  <si>
    <t xml:space="preserve">3364534</t>
  </si>
  <si>
    <t xml:space="preserve">CC(C)C1=C(C(O)=NC2=CC=CC=C2O)C(=C(N1CCC(O)CC(O)CC(O)=O)C1=CC=C(F)C=C1)C1=CC=CC=C1</t>
  </si>
  <si>
    <t xml:space="preserve">CZBPKFICAYVHHM-UHFFFAOYSA-N</t>
  </si>
  <si>
    <t xml:space="preserve">(7'R)-(+)-Lyoniresinol 9'-glucoside</t>
  </si>
  <si>
    <t xml:space="preserve">HMDB0038922</t>
  </si>
  <si>
    <t xml:space="preserve">93535</t>
  </si>
  <si>
    <t xml:space="preserve">14521083</t>
  </si>
  <si>
    <t xml:space="preserve">87585-32-8</t>
  </si>
  <si>
    <t xml:space="preserve">COC1=CC2=C(C(C(COC3OC(CO)C(O)C(O)C3O)C(CO)C2)C2=CC(OC)=C(O)C(OC)=C2)C(OC)=C1O</t>
  </si>
  <si>
    <t xml:space="preserve">PQQRNPDHSJDAGV-UHFFFAOYSA-N</t>
  </si>
  <si>
    <t xml:space="preserve">Lignan glycosides</t>
  </si>
  <si>
    <t xml:space="preserve">568-2</t>
  </si>
  <si>
    <t xml:space="preserve">(+)-Lyoniresinol 9-glucoside</t>
  </si>
  <si>
    <t xml:space="preserve">HMDB0041148</t>
  </si>
  <si>
    <t xml:space="preserve">95576</t>
  </si>
  <si>
    <t xml:space="preserve">74256819</t>
  </si>
  <si>
    <t xml:space="preserve">COC1=CC(=CC(OC)=C1O)C1C(CO)C(COC2OC(CO)C(O)C(O)C2O)CC2=CC(OC)=C(O)C(OC)=C12</t>
  </si>
  <si>
    <t xml:space="preserve">PACBNJFGEWTGCE-UHFFFAOYSA-N</t>
  </si>
  <si>
    <t xml:space="preserve">Taurochenodeoxycholate-3-sulfate</t>
  </si>
  <si>
    <t xml:space="preserve">HMDB0002486</t>
  </si>
  <si>
    <t xml:space="preserve">6697</t>
  </si>
  <si>
    <t xml:space="preserve">44263374</t>
  </si>
  <si>
    <t xml:space="preserve">67030-59-5</t>
  </si>
  <si>
    <t xml:space="preserve">[H][C@@]1(CC[C@@]2([H])[C@]3([H])[C@H](O)C[C@]4([H])C[C@@H](CC[C@]4(C)[C@@]3([H])C[C@@H](O)[C@]12C)S(O)(=O)=O)[C@H](C)CCC(=O)NCCS(O)(=O)=O</t>
  </si>
  <si>
    <t xml:space="preserve">IJHJZQKOSUFQCX-WZJRQFJBSA-N</t>
  </si>
  <si>
    <t xml:space="preserve">581-2</t>
  </si>
  <si>
    <t xml:space="preserve">Taurochenodeoxycholate-7-sulfate</t>
  </si>
  <si>
    <t xml:space="preserve">HMDB0002498</t>
  </si>
  <si>
    <t xml:space="preserve">57981</t>
  </si>
  <si>
    <t xml:space="preserve">LMST05020030</t>
  </si>
  <si>
    <t xml:space="preserve">20842013</t>
  </si>
  <si>
    <t xml:space="preserve">66874-12-2</t>
  </si>
  <si>
    <t xml:space="preserve">[C@]12([C@H](OS(=O)(O)=O)C[C@]3([H])C[C@H](O)CC[C@]3(C)[C@@]1([H])CC[C@]1(C)[C@@]([H])([C@@](C)([H])CCC(=O)NCCS(=O)(O)=O)CC[C@@]21[H])[H]</t>
  </si>
  <si>
    <t xml:space="preserve">WTKQKSAFONWCMW-BJLOMENOSA-N</t>
  </si>
  <si>
    <t xml:space="preserve">Sinensal-alpha</t>
  </si>
  <si>
    <t xml:space="preserve">HMDB0304733</t>
  </si>
  <si>
    <t xml:space="preserve">OC[C@H]1OC[C@H](O)[C@@H](O)[C@@H]1O.COC1=CC=C(C=C1)[C@H]1CC(=O)C2=C(O1)C=C(O)C=C2O[C@@H]1O[C@@H](CO)[C@@H](O)[C@H](O)[C@H]1O</t>
  </si>
  <si>
    <t xml:space="preserve">HTUYMKDNLBAKCJ-RWWNSMJISA-N</t>
  </si>
  <si>
    <t xml:space="preserve">594-2</t>
  </si>
  <si>
    <t xml:space="preserve">Neohesperidin dihydrochalcone</t>
  </si>
  <si>
    <t xml:space="preserve">HMDB0030542</t>
  </si>
  <si>
    <t xml:space="preserve">4453</t>
  </si>
  <si>
    <t xml:space="preserve">20702-77-6</t>
  </si>
  <si>
    <t xml:space="preserve">COC1=C(O)C=C(CCC(=O)C2=C(O)C=C(OC3OC(CO)C(O)C(O)C3OC3OC(C)C(O)C(O)C3O)C=C2O)C=C1</t>
  </si>
  <si>
    <t xml:space="preserve">ITVGXXMINPYUHD-UHFFFAOYSA-N</t>
  </si>
  <si>
    <t xml:space="preserve">Bolasterone</t>
  </si>
  <si>
    <t xml:space="preserve">HMDB0006048</t>
  </si>
  <si>
    <t xml:space="preserve">41841</t>
  </si>
  <si>
    <t xml:space="preserve">LMST02020017</t>
  </si>
  <si>
    <t xml:space="preserve">C14475</t>
  </si>
  <si>
    <t xml:space="preserve">529021</t>
  </si>
  <si>
    <t xml:space="preserve">102146</t>
  </si>
  <si>
    <t xml:space="preserve">1605-89-6</t>
  </si>
  <si>
    <t xml:space="preserve">C1[C@]2(C)[C@@]3([H])CC[C@]4(C)[C@@](C)(O)CC[C@@]4([H])[C@]3([H])[C@H](C)CC2=CC(=O)C1</t>
  </si>
  <si>
    <t xml:space="preserve">IVFYLRMMHVYGJH-VLOLGRDOSA-N</t>
  </si>
  <si>
    <t xml:space="preserve">604-2</t>
  </si>
  <si>
    <t xml:space="preserve">Pregnenolone</t>
  </si>
  <si>
    <t xml:space="preserve">HMDB0000253</t>
  </si>
  <si>
    <t xml:space="preserve">24078</t>
  </si>
  <si>
    <t xml:space="preserve">LMST02030088</t>
  </si>
  <si>
    <t xml:space="preserve">C01953</t>
  </si>
  <si>
    <t xml:space="preserve">16581</t>
  </si>
  <si>
    <t xml:space="preserve">8955</t>
  </si>
  <si>
    <t xml:space="preserve">145-13-1</t>
  </si>
  <si>
    <t xml:space="preserve">[C@]12(CC=C3C[C@@H](O)CC[C@]3(C)[C@@]1([H])CC[C@]1(C)[C@@H](C(=O)C)CC[C@@]21[H])[H]</t>
  </si>
  <si>
    <t xml:space="preserve">ORNBQBCIOKFOEO-QGVNFLHTSA-N</t>
  </si>
  <si>
    <t xml:space="preserve">Enniatin A</t>
  </si>
  <si>
    <t xml:space="preserve">HMDB0251812</t>
  </si>
  <si>
    <t xml:space="preserve">12309474</t>
  </si>
  <si>
    <t xml:space="preserve">CCC(C)C1N(C)C(=O)C(OC(=O)C(C(C)CC)N(C)C(=O)C(OC(=O)C(C(C)CC)N(C)C(=O)C(OC1=O)C(C)C)C(C)C)C(C)C</t>
  </si>
  <si>
    <t xml:space="preserve">TWHBYJSVDCWICV-UHFFFAOYSA-N</t>
  </si>
  <si>
    <t xml:space="preserve">610-2</t>
  </si>
  <si>
    <t xml:space="preserve">Enniatin C</t>
  </si>
  <si>
    <t xml:space="preserve">HMDB0251814</t>
  </si>
  <si>
    <t xml:space="preserve">177091</t>
  </si>
  <si>
    <t xml:space="preserve">CC(C)CC1N(C)C(=O)C(OC(=O)C(CC(C)C)N(C)C(=O)C(OC(=O)C(CC(C)C)N(C)C(=O)C(OC1=O)C(C)C)C(C)C)C(C)C</t>
  </si>
  <si>
    <t xml:space="preserve">WICJNWLMJRLFKQ-UHFFFAOYSA-N</t>
  </si>
  <si>
    <t xml:space="preserve">Digoxigenin bisdigitoxoside</t>
  </si>
  <si>
    <t xml:space="preserve">HMDB0060818</t>
  </si>
  <si>
    <t xml:space="preserve">5255791</t>
  </si>
  <si>
    <t xml:space="preserve">CC1OC(CC(O)C1O)OC1C(O)CC(OC2CCC3(C)C(CCC4C3CC(O)C3(C)C(CCC43O)C3=CC(=O)OC3)C2)OC1C</t>
  </si>
  <si>
    <t xml:space="preserve">NTSBMKIZRSBFTA-UHFFFAOYSA-N</t>
  </si>
  <si>
    <t xml:space="preserve">613-2</t>
  </si>
  <si>
    <t xml:space="preserve">Esculentoside E</t>
  </si>
  <si>
    <t xml:space="preserve">HMDB0034635</t>
  </si>
  <si>
    <t xml:space="preserve">90098</t>
  </si>
  <si>
    <t xml:space="preserve">53462068</t>
  </si>
  <si>
    <t xml:space="preserve">65649-36-7</t>
  </si>
  <si>
    <t xml:space="preserve">CC1(CCC2(CCC3(C)C(=CCC4C5(C)CC(O)C(OC6OCC(O)C(O)C6O)C(C)(CO)C5CCC34C)C2C1)C(O)=O)C(O)=O</t>
  </si>
  <si>
    <t xml:space="preserve">UERRXLUEVHKNBY-UHFFFAOYSA-N</t>
  </si>
  <si>
    <t xml:space="preserve">Fumonisin B2</t>
  </si>
  <si>
    <t xml:space="preserve">HMDB0034703</t>
  </si>
  <si>
    <t xml:space="preserve">38225</t>
  </si>
  <si>
    <t xml:space="preserve">3432</t>
  </si>
  <si>
    <t xml:space="preserve">116355-84-1</t>
  </si>
  <si>
    <t xml:space="preserve">CCCCC(C)C(OC(=O)CC(CC(O)=O)C(O)=O)C(CC(C)CCCCCCC(O)CC(O)C(C)N)OC(=O)CC(CC(O)=O)C(O)=O</t>
  </si>
  <si>
    <t xml:space="preserve">UXDPXZQHTDAXOZ-UHFFFAOYSA-N</t>
  </si>
  <si>
    <t xml:space="preserve">Fumonisins</t>
  </si>
  <si>
    <t xml:space="preserve">Fumonisin B3</t>
  </si>
  <si>
    <t xml:space="preserve">HMDB0040967</t>
  </si>
  <si>
    <t xml:space="preserve">15817722</t>
  </si>
  <si>
    <t xml:space="preserve">136379-59-4</t>
  </si>
  <si>
    <t xml:space="preserve">CCCCC(C)C(OC(=O)CC(CC(O)=O)C(O)=O)C(CC(C)CC(O)CCCCCCC(O)C(C)N)OC(=O)CC(CC(O)=O)C(O)=O</t>
  </si>
  <si>
    <t xml:space="preserve">CPCRJSQNWHCGOP-UHFFFAOYSA-N</t>
  </si>
  <si>
    <t xml:space="preserve">Lewis y Tetrasaccharide</t>
  </si>
  <si>
    <t xml:space="preserve">HMDB0254068</t>
  </si>
  <si>
    <t xml:space="preserve">4110340</t>
  </si>
  <si>
    <t xml:space="preserve">CC1OC(OC2C(O)C(O)C(CO)OC2OC2C(CO)OC(O)C(NC(C)=O)C2OC2OC(C)C(O)C(O)C2O)C(O)C(O)C1O</t>
  </si>
  <si>
    <t xml:space="preserve">SRHNADOZAAWYLV-UHFFFAOYSA-N</t>
  </si>
  <si>
    <t xml:space="preserve">627-2</t>
  </si>
  <si>
    <t xml:space="preserve">Lewis b</t>
  </si>
  <si>
    <t xml:space="preserve">HMDB0254067</t>
  </si>
  <si>
    <t xml:space="preserve">CC1OC(OC2C(O)C(O)C(CO)OC2OC2C(NC(C)=O)C(O)OC(CO)C2OC2OC(C)C(O)C(O)C2O)C(O)C(O)C1O</t>
  </si>
  <si>
    <t xml:space="preserve">OXNGKCPRVRBHPO-UHFFFAOYSA-N</t>
  </si>
  <si>
    <t xml:space="preserve">Elagolix Sodium</t>
  </si>
  <si>
    <t xml:space="preserve">HMDB0304892</t>
  </si>
  <si>
    <t xml:space="preserve">COC1=C(F)C(=CC=C1)C1=C(C)N(CC2=C(C=CC=C2F)C(F)(F)F)C(=O)N(C[C@H](NCCCC(O)=O)C2=CC=CC=C2)C1=O</t>
  </si>
  <si>
    <t xml:space="preserve">HEAUOKZIVMZVQL-VWLOTQADSA-N</t>
  </si>
  <si>
    <t xml:space="preserve">636-2</t>
  </si>
  <si>
    <t xml:space="preserve">Elagolix</t>
  </si>
  <si>
    <t xml:space="preserve">HMDB0251731</t>
  </si>
  <si>
    <t xml:space="preserve">22064497</t>
  </si>
  <si>
    <t xml:space="preserve">COC1=CC=CC(=C1F)C1=C(C)N(CC2=C(C=CC=C2F)C(F)(F)F)C(=O)N(CC(NCCCC(O)=O)C2=CC=CC=C2)C1=O</t>
  </si>
  <si>
    <t xml:space="preserve">HEAUOKZIVMZVQL-UHFFFAOYSA-N</t>
  </si>
  <si>
    <t xml:space="preserve">PA(38:3)</t>
  </si>
  <si>
    <t xml:space="preserve">HMDB0115515</t>
  </si>
  <si>
    <t xml:space="preserve">82051</t>
  </si>
  <si>
    <t xml:space="preserve">LMGP10010885</t>
  </si>
  <si>
    <t xml:space="preserve">52929477</t>
  </si>
  <si>
    <t xml:space="preserve">[C@](COP(=O)(O)O)([H])(OC(CCCCCC/C=C\C/C=C\C/C=C\CCCCC)=O)COC(CCCCCCCCCCCCCCCCC)=O</t>
  </si>
  <si>
    <t xml:space="preserve">ZHYGTYSUJUQQBH-KHLJEIKVSA-N</t>
  </si>
  <si>
    <t xml:space="preserve">638-2</t>
  </si>
  <si>
    <t xml:space="preserve">Phosphatidate(38:3)</t>
  </si>
  <si>
    <t xml:space="preserve">HMDB0114866</t>
  </si>
  <si>
    <t xml:space="preserve">81388</t>
  </si>
  <si>
    <t xml:space="preserve">LMGP10010222</t>
  </si>
  <si>
    <t xml:space="preserve">52928815</t>
  </si>
  <si>
    <t xml:space="preserve">[C@](COP(=O)(O)O)([H])(OC(CCCCCCCCCCC/C=C\C/C=C\CCCCC)=O)COC(CCCCCCC/C=C\CCCCCC)=O</t>
  </si>
  <si>
    <t xml:space="preserve">JSJLXZCSGITPLR-XKDWLADFSA-N</t>
  </si>
  <si>
    <t xml:space="preserve">PC(32:3)</t>
  </si>
  <si>
    <t xml:space="preserve">HMDB0007875</t>
  </si>
  <si>
    <t xml:space="preserve">59325</t>
  </si>
  <si>
    <t xml:space="preserve">LMGP01011369</t>
  </si>
  <si>
    <t xml:space="preserve">89521</t>
  </si>
  <si>
    <t xml:space="preserve">52922220</t>
  </si>
  <si>
    <t xml:space="preserve">[C@](COP(=O)([O-])OCC[N+](C)(C)C)([H])(OC(CCCC/C=C\C/C=C\C/C=C\CCCCC)=O)COC(CCCCCCCCCCCCC)=O</t>
  </si>
  <si>
    <t xml:space="preserve">VZQRMZUULSWEHB-XCFXQIAYSA-N</t>
  </si>
  <si>
    <t xml:space="preserve">PE(35:3)</t>
  </si>
  <si>
    <t xml:space="preserve">HMDB0008902</t>
  </si>
  <si>
    <t xml:space="preserve">60345</t>
  </si>
  <si>
    <t xml:space="preserve">53479576</t>
  </si>
  <si>
    <t xml:space="preserve">[H][C@@](COC(=O)CCCCCCCCCCCCCC)(COP(O)(=O)OCCN)OC(=O)CCC\C=C/C\C=C/C\C=C/CCCCCCCC</t>
  </si>
  <si>
    <t xml:space="preserve">BJCCSJNXSAXALV-ATCWMZAXSA-N</t>
  </si>
  <si>
    <t xml:space="preserve">Isoachifolidiene</t>
  </si>
  <si>
    <t xml:space="preserve">HMDB0038690</t>
  </si>
  <si>
    <t xml:space="preserve">131752430</t>
  </si>
  <si>
    <t xml:space="preserve">C\C=C(/C)C(=O)OC1CC2C(OC(=O)C2=C)C2C(C)=CC=C2C1(C)O</t>
  </si>
  <si>
    <t xml:space="preserve">ITEVGBFEXWVGSM-UXBLZVDNSA-N</t>
  </si>
  <si>
    <t xml:space="preserve">640-2</t>
  </si>
  <si>
    <t xml:space="preserve">2-(4-Allyl-2-methoxyphenoxy)-1-(4-hydroxy-3-methoxyphenyl)-1-propanol</t>
  </si>
  <si>
    <t xml:space="preserve">HMDB0031753</t>
  </si>
  <si>
    <t xml:space="preserve">87919</t>
  </si>
  <si>
    <t xml:space="preserve">168785</t>
  </si>
  <si>
    <t xml:space="preserve">14015408</t>
  </si>
  <si>
    <t xml:space="preserve">108907-55-7</t>
  </si>
  <si>
    <t xml:space="preserve">COC1=C(O)C=CC(=C1)C(O)C(C)OC1=C(OC)C=C(CC=C)C=C1</t>
  </si>
  <si>
    <t xml:space="preserve">PDALBPBLFWHDRD-UHFFFAOYSA-N</t>
  </si>
  <si>
    <t xml:space="preserve">Ibrexafungerp</t>
  </si>
  <si>
    <t xml:space="preserve">HMDB0254784</t>
  </si>
  <si>
    <t xml:space="preserve">75163792</t>
  </si>
  <si>
    <t xml:space="preserve">CC(C)C(C)C1(C)CCC2(C)C3CCC4C5(C)COCC4(CC(C5OCC(C)(N)C(C)(C)C)N4N=CN=C4C4=CC=NC=C4)C3=CCC2(C)C1C(O)=O</t>
  </si>
  <si>
    <t xml:space="preserve">BODYFEUFKHPRCK-UHFFFAOYSA-N</t>
  </si>
  <si>
    <t xml:space="preserve">646-2</t>
  </si>
  <si>
    <t xml:space="preserve">Ibrexafungerp </t>
  </si>
  <si>
    <t xml:space="preserve">HMDB0304839</t>
  </si>
  <si>
    <t xml:space="preserve">CC(C)[C@@H](C)[C@@]1(C)CC[C@]2(C)[C@H]3CC[C@H]4[C@@]5(C)COC[C@@]4(C[C@H]([C@@H]5OC[C@](C)(N)C(C)(C)C)N4N=CN=C4C4=CC=NC=C4)C3=CC[C@@]2(C)[C@@H]1C(O)=O</t>
  </si>
  <si>
    <t xml:space="preserve">BODYFEUFKHPRCK-ZCZMVWJSSA-N</t>
  </si>
  <si>
    <t xml:space="preserve">CE(DiMe(11,3:1))</t>
  </si>
  <si>
    <t xml:space="preserve">HMDB0112200</t>
  </si>
  <si>
    <t xml:space="preserve">131819643</t>
  </si>
  <si>
    <t xml:space="preserve">[H]\C(C)=C(\[H])C1=C(C)C(C)=C(CCCCCCCCCCC(=O)OC2CCC3(C)C4CCC5(C)C(CCC5C4CC=C3C2)C(C)CCCC(C)C)O1</t>
  </si>
  <si>
    <t xml:space="preserve">WKJZJZLUHKTVSL-DJKKODMXSA-N</t>
  </si>
  <si>
    <t xml:space="preserve">648-2</t>
  </si>
  <si>
    <t xml:space="preserve">CE(DiMe(11:1,3))</t>
  </si>
  <si>
    <t xml:space="preserve">HMDB0112197</t>
  </si>
  <si>
    <t xml:space="preserve">131819640</t>
  </si>
  <si>
    <t xml:space="preserve">[H]\C(CCCCCCCCC(=O)OC1CCC2(C)C3CCC4(C)C(CCC4C3CC=C2C1)C(C)CCCC(C)C)=C(\[H])C1=C(C)C(C)=C(CCC)O1</t>
  </si>
  <si>
    <t xml:space="preserve">WCBDUQUDBQTXPU-CJLVFECKSA-N</t>
  </si>
  <si>
    <t xml:space="preserve">CE(dime)</t>
  </si>
  <si>
    <t xml:space="preserve">HMDB0061667</t>
  </si>
  <si>
    <t xml:space="preserve">131770396</t>
  </si>
  <si>
    <t xml:space="preserve">CCCC1=C(C)C(C)=C(CCCCCCCCCCC(=O)OC2CCC3(C)C4CCC5(C)C(CCC5C4CC=C3C2)C(C)CCCC(C)C)O1</t>
  </si>
  <si>
    <t xml:space="preserve">GWPOWQHYFOHQNJ-UHFFFAOYSA-N</t>
  </si>
  <si>
    <t xml:space="preserve">649-2</t>
  </si>
  <si>
    <t xml:space="preserve">CE(7D7)</t>
  </si>
  <si>
    <t xml:space="preserve">HMDB0112220</t>
  </si>
  <si>
    <t xml:space="preserve">131819663</t>
  </si>
  <si>
    <t xml:space="preserve">CCCCCCCC1=C(C)C(C)=C(CCCCCCC(=O)OC2CCC3(C)C4CCC5(C)C(CCC5C4CC=C3C2)C(C)CCCC(C)C)O1</t>
  </si>
  <si>
    <t xml:space="preserve">BORLSVYTEDMFSB-UHFFFAOYSA-N</t>
  </si>
  <si>
    <t xml:space="preserve">649-3</t>
  </si>
  <si>
    <t xml:space="preserve">CE(9M6)</t>
  </si>
  <si>
    <t xml:space="preserve">HMDB0112234</t>
  </si>
  <si>
    <t xml:space="preserve">131819677</t>
  </si>
  <si>
    <t xml:space="preserve">CCCCCCC1=CC(C)=C(CCCCCCCCC(=O)OC2CCC3(C)C4CCC5(C)C(CCC5C4CC=C3C2)C(C)CCCC(C)C)O1</t>
  </si>
  <si>
    <t xml:space="preserve">UAFWFKIDYHORIC-UHFFFAOYSA-N</t>
  </si>
  <si>
    <t xml:space="preserve">PA(36:3)</t>
  </si>
  <si>
    <t xml:space="preserve">HMDB0115511</t>
  </si>
  <si>
    <t xml:space="preserve">82071</t>
  </si>
  <si>
    <t xml:space="preserve">LMGP10010905</t>
  </si>
  <si>
    <t xml:space="preserve">52929495</t>
  </si>
  <si>
    <t xml:space="preserve">[C@](COP(=O)(O)O)([H])(OC(CCCCCC/C=C\C/C=C\C/C=C\CCCCC)=O)COC(CCCCCCCCCCCCCCC)=O</t>
  </si>
  <si>
    <t xml:space="preserve">CGADDCLTVOZDQQ-QNKWBPIESA-N</t>
  </si>
  <si>
    <t xml:space="preserve">650-2</t>
  </si>
  <si>
    <t xml:space="preserve">Phosphatidate(36:3)</t>
  </si>
  <si>
    <t xml:space="preserve">HMDB0114805</t>
  </si>
  <si>
    <t xml:space="preserve">81300</t>
  </si>
  <si>
    <t xml:space="preserve">LMGP10010134</t>
  </si>
  <si>
    <t xml:space="preserve">52928727</t>
  </si>
  <si>
    <t xml:space="preserve">[C@](COP(=O)(O)O)([H])(OC(CCCCCCCCCCC/C=C\C/C=C\CCCCC)=O)COC(CCCCCCC/C=C\CCCC)=O</t>
  </si>
  <si>
    <t xml:space="preserve">URUVXHGRYHVJHP-RGWCGLOOSA-N</t>
  </si>
  <si>
    <t xml:space="preserve">2-Hydroxylauroylcarnitine</t>
  </si>
  <si>
    <t xml:space="preserve">HMDB0013164</t>
  </si>
  <si>
    <t xml:space="preserve">LMFA07070032</t>
  </si>
  <si>
    <t xml:space="preserve">53481640</t>
  </si>
  <si>
    <t xml:space="preserve">C(CCC)CCCCCCC(O)C(OC(C[N+](C)(C)C)CC(=O)[O-])=O</t>
  </si>
  <si>
    <t xml:space="preserve">PBBJEGGNZPXIGJ-UHFFFAOYSA-N</t>
  </si>
  <si>
    <t xml:space="preserve">652-2</t>
  </si>
  <si>
    <t xml:space="preserve">3-hydroxydodecanoyl carnitine</t>
  </si>
  <si>
    <t xml:space="preserve">HMDB0061638</t>
  </si>
  <si>
    <t xml:space="preserve">LMFA07070039</t>
  </si>
  <si>
    <t xml:space="preserve">73056</t>
  </si>
  <si>
    <t xml:space="preserve">71464535</t>
  </si>
  <si>
    <t xml:space="preserve">O(C(CC(O)CCCCCCCCC)=O)C(CC([O-])=O)C[N+](C)(C)C</t>
  </si>
  <si>
    <t xml:space="preserve">ULWDPUHFMOBGFJ-UHFFFAOYSA-N</t>
  </si>
  <si>
    <t xml:space="preserve">PE(37:1)</t>
  </si>
  <si>
    <t xml:space="preserve">HMDB0008908</t>
  </si>
  <si>
    <t xml:space="preserve">60351</t>
  </si>
  <si>
    <t xml:space="preserve">53479578</t>
  </si>
  <si>
    <t xml:space="preserve">[H][C@@](COC(=O)CCCCCCCCCCCCCC)(COP(O)(=O)OCCN)OC(=O)CCCCCCCCCCC\C=C/CCCCCCCC</t>
  </si>
  <si>
    <t xml:space="preserve">MUWFEEOSXPAQIY-LQOXNGKESA-N</t>
  </si>
  <si>
    <t xml:space="preserve">663-2</t>
  </si>
  <si>
    <t xml:space="preserve">PC(34:1)</t>
  </si>
  <si>
    <t xml:space="preserve">HMDB0007879</t>
  </si>
  <si>
    <t xml:space="preserve">59329</t>
  </si>
  <si>
    <t xml:space="preserve">LMGP01011372</t>
  </si>
  <si>
    <t xml:space="preserve">89520</t>
  </si>
  <si>
    <t xml:space="preserve">52922226</t>
  </si>
  <si>
    <t xml:space="preserve">[C@](COP(=O)([O-])OCC[N+](C)(C)C)([H])(OC(CCCCCCCCC/C=C\CCCCCCCC)=O)COC(CCCCCCCCCCCCC)=O</t>
  </si>
  <si>
    <t xml:space="preserve">DMEBDXIQFIKNQR-OIJJMQLXSA-N</t>
  </si>
  <si>
    <t xml:space="preserve">PE(37:0)</t>
  </si>
  <si>
    <t xml:space="preserve">HMDB0008907</t>
  </si>
  <si>
    <t xml:space="preserve">60350</t>
  </si>
  <si>
    <t xml:space="preserve">LMGP02010469</t>
  </si>
  <si>
    <t xml:space="preserve">134232</t>
  </si>
  <si>
    <t xml:space="preserve">52924172</t>
  </si>
  <si>
    <t xml:space="preserve">[C@](COP(=O)(O)OCCN)([H])(OC(CCCCCCCCCCCCCCCCCCCCC)=O)COC(CCCCCCCCCCCCCC)=O</t>
  </si>
  <si>
    <t xml:space="preserve">IXKGMCOCPZEZER-RRHRGVEJSA-N</t>
  </si>
  <si>
    <t xml:space="preserve">665-2</t>
  </si>
  <si>
    <t xml:space="preserve">PC(34:0)</t>
  </si>
  <si>
    <t xml:space="preserve">HMDB0007878</t>
  </si>
  <si>
    <t xml:space="preserve">59328</t>
  </si>
  <si>
    <t xml:space="preserve">LMGP01010505</t>
  </si>
  <si>
    <t xml:space="preserve">24778633</t>
  </si>
  <si>
    <t xml:space="preserve">[C@](COP(=O)([O-])OCC[N+](C)(C)C)([H])(OC(CCCCCCCCCCCCCCCCCCC)=O)COC(CCCCCCCCCCCCC)=O</t>
  </si>
  <si>
    <t xml:space="preserve">VELOKQJUJJVGMB-RRHRGVEJSA-N</t>
  </si>
  <si>
    <t xml:space="preserve">PE(38:7)</t>
  </si>
  <si>
    <t xml:space="preserve">HMDB0005780</t>
  </si>
  <si>
    <t xml:space="preserve">3869</t>
  </si>
  <si>
    <t xml:space="preserve">LMGP02030001</t>
  </si>
  <si>
    <t xml:space="preserve">90479</t>
  </si>
  <si>
    <t xml:space="preserve">5283497</t>
  </si>
  <si>
    <t xml:space="preserve">206059-97-4</t>
  </si>
  <si>
    <t xml:space="preserve">[C@](COP(=O)(O)OCCN)([H])(OC(CC/C=C\C/C=C\C/C=C\C/C=C\C/C=C\C/C=C\CC)=O)CO/C=C\CCCCCCCCCCCCCC</t>
  </si>
  <si>
    <t xml:space="preserve">WVGALBKSWOUIEZ-XNHMFJFDSA-N</t>
  </si>
  <si>
    <t xml:space="preserve">PE(20:6)</t>
  </si>
  <si>
    <t xml:space="preserve">HMDB0009479</t>
  </si>
  <si>
    <t xml:space="preserve">60874</t>
  </si>
  <si>
    <t xml:space="preserve">53479841</t>
  </si>
  <si>
    <t xml:space="preserve">[H][C@@](COC(=O)CCC\C=C/C\C=C/C\C=C/C\C=C/C\C=C/CC)(COP(O)(=O)OCCN)O\C=C/CCCCCCCC\C=C/CCCCCC</t>
  </si>
  <si>
    <t xml:space="preserve">SBDGZMPEYDBDCB-FSOAWXQVSA-N</t>
  </si>
  <si>
    <t xml:space="preserve">Cyclohexanol, 4-(4-(4-fluorophenyl)-5-(2-methoxy-4-pyrimidinyl)-1H-imidazol-1-yl)-, trans-</t>
  </si>
  <si>
    <t xml:space="preserve">HMDB0257516</t>
  </si>
  <si>
    <t xml:space="preserve">COC1=NC=CC(=N1)C1=C(N=CN1C1CCC(O)CC1)C1=CC=C(F)C=C1</t>
  </si>
  <si>
    <t xml:space="preserve">ZQUSFAUAYSEREK-UHFFFAOYSA-N</t>
  </si>
  <si>
    <t xml:space="preserve">676-2</t>
  </si>
  <si>
    <t xml:space="preserve">AB-Fubinaca</t>
  </si>
  <si>
    <t xml:space="preserve">HMDB0247739</t>
  </si>
  <si>
    <t xml:space="preserve">86567357</t>
  </si>
  <si>
    <t xml:space="preserve">CC(C)C(NC(=O)C1=NN(CC2=CC=C(F)C=C2)C2=CC=CC=C12)C(N)=O</t>
  </si>
  <si>
    <t xml:space="preserve">AKOOIMKXADOPDA-UHFFFAOYSA-N</t>
  </si>
  <si>
    <t xml:space="preserve">CerP(d40:1)</t>
  </si>
  <si>
    <t xml:space="preserve">HMDB0010703</t>
  </si>
  <si>
    <t xml:space="preserve">41579</t>
  </si>
  <si>
    <t xml:space="preserve">LMSP02050006</t>
  </si>
  <si>
    <t xml:space="preserve">73138</t>
  </si>
  <si>
    <t xml:space="preserve">5283585</t>
  </si>
  <si>
    <t xml:space="preserve">[C@](COP(=O)(O)O)([H])(NC(CCCCCCCCCCCCCCCCCCCCC)=O)[C@]([H])(O)/C=C/CCCCCCCCCCCCC</t>
  </si>
  <si>
    <t xml:space="preserve">ZRTZYMMYLZPKEQ-GLQCRSEXSA-N</t>
  </si>
  <si>
    <t xml:space="preserve">679-2</t>
  </si>
  <si>
    <t xml:space="preserve">PC(P-16:0/P-16:0)</t>
  </si>
  <si>
    <t xml:space="preserve">HMDB0011232</t>
  </si>
  <si>
    <t xml:space="preserve">131801660</t>
  </si>
  <si>
    <t xml:space="preserve">[H][C@@](CO\C=C/CCCCCCCCCCCCCC)(COP([O-])(=O)OCC[N+](C)(C)C)O\C=C/CCCCCCCCCCCCCC</t>
  </si>
  <si>
    <t xml:space="preserve">VKQPPRFFLYKMPX-JIRBQVQQSA-N</t>
  </si>
  <si>
    <t xml:space="preserve">Isovitexin 2''-(6'''-(E)-p-coumaroylglucoside)</t>
  </si>
  <si>
    <t xml:space="preserve">HMDB0301977</t>
  </si>
  <si>
    <t xml:space="preserve">LMPK12110271</t>
  </si>
  <si>
    <t xml:space="preserve">100952216</t>
  </si>
  <si>
    <t xml:space="preserve">C1(C2C=CC(O)=CC=2)=CC(=O)C2C(O)=C([C@H]3[C@H](O[C@H]4[C@H](O)[C@@H](O)[C@H](O)[C@@H](COC(=O)/C=C/C5C=CC(O)=CC=5)O4)[C@@H](O)[C@H](O)[C@@H](CO)O3)C(O)=CC=2O1</t>
  </si>
  <si>
    <t xml:space="preserve">RECLDAGWBWVMCW-FLVHHGMVSA-N</t>
  </si>
  <si>
    <t xml:space="preserve">681-2</t>
  </si>
  <si>
    <t xml:space="preserve">Isovitexin 7-(6'''-(E)-p-coumaroylglucoside)</t>
  </si>
  <si>
    <t xml:space="preserve">HMDB0301975</t>
  </si>
  <si>
    <t xml:space="preserve">LMPK12110327</t>
  </si>
  <si>
    <t xml:space="preserve">101227525</t>
  </si>
  <si>
    <t xml:space="preserve">C1(C2C=CC(O)=CC=2)=CC(=O)C2C(O)=C([C@H]3[C@H](O)[C@@H](O)[C@H](O)[C@@H](CO)O3)C(O[C@H]3[C@H](O)[C@@H](O)[C@H](O)[C@@H](COC(/C=C/C4C=CC(O)=CC=4)=O)O3)=CC=2O1</t>
  </si>
  <si>
    <t xml:space="preserve">NUFCZKSATPHTRO-RPWCKPLOSA-N</t>
  </si>
  <si>
    <t xml:space="preserve">681-3</t>
  </si>
  <si>
    <t xml:space="preserve">Menthoside</t>
  </si>
  <si>
    <t xml:space="preserve">HMDB0037350</t>
  </si>
  <si>
    <t xml:space="preserve">92282</t>
  </si>
  <si>
    <t xml:space="preserve">131752174</t>
  </si>
  <si>
    <t xml:space="preserve">14637-28-6</t>
  </si>
  <si>
    <t xml:space="preserve">CC1OC(OCC2OC(OC3=CC(O)=C4C(=O)C=C(OC4=C3)C3=CC=C(OC(=O)\C=C\C4=CC(O)=C(O)C=C4)C=C3)C(O)C(O)C2O)C(O)C(O)C1O</t>
  </si>
  <si>
    <t xml:space="preserve">VFFCBWDFYBEZAX-YCRREMRBSA-N</t>
  </si>
  <si>
    <t xml:space="preserve">DMPE(37:5)</t>
  </si>
  <si>
    <t xml:space="preserve">HMDB0113935</t>
  </si>
  <si>
    <t xml:space="preserve">131821045</t>
  </si>
  <si>
    <t xml:space="preserve">[H]C(COC(=O)CCCCCCCCCCCCCC)(COP(O)(=O)OCCN(C)C)OC(=O)CC\C=C/C\C=C/C\C=C/C\C=C/C\C=C/CCCCC</t>
  </si>
  <si>
    <t xml:space="preserve">DVVABFYQJDOWQT-NJSXSMRBSA-N</t>
  </si>
  <si>
    <t xml:space="preserve">685-2</t>
  </si>
  <si>
    <t xml:space="preserve">MMPE(38:5)</t>
  </si>
  <si>
    <t xml:space="preserve">HMDB0113056</t>
  </si>
  <si>
    <t xml:space="preserve">131820171</t>
  </si>
  <si>
    <t xml:space="preserve">[H]C(COC(=O)CCCCCCCCCCCCCCC)(COP(O)(=O)OCCNC)OC(=O)CC\C=C/C\C=C/C\C=C/C\C=C/C\C=C/CCCCC</t>
  </si>
  <si>
    <t xml:space="preserve">BQYSFFVQHVEQKA-WWNHDLEVSA-N</t>
  </si>
  <si>
    <t xml:space="preserve">Quercetin 3-O-xylosyl-rutinoside</t>
  </si>
  <si>
    <t xml:space="preserve">HMDB0301695</t>
  </si>
  <si>
    <t xml:space="preserve">129235-39-8</t>
  </si>
  <si>
    <t xml:space="preserve">C[C@@H]1O[C@@H](OC[C@H]2O[C@@H](OC3=C(OC4=CC(O)=CC(O)=C4C3=O)C3=CC(O)=C(O)C=C3)[C@H](O)[C@@H](O)[C@@H]2O)[C@H](O)[C@H](O[C@@H]2O[C@H](CO)[C@H](O)[C@H]2O)[C@H]1O</t>
  </si>
  <si>
    <t xml:space="preserve">OTJNWGOABNCTOZ-JKVIJXOGSA-N</t>
  </si>
  <si>
    <t xml:space="preserve">686-2</t>
  </si>
  <si>
    <t xml:space="preserve">Quercetin 3-(2Gal-apiosylrobinobioside)</t>
  </si>
  <si>
    <t xml:space="preserve">HMDB0041412</t>
  </si>
  <si>
    <t xml:space="preserve">74332620</t>
  </si>
  <si>
    <t xml:space="preserve">165880-62-6</t>
  </si>
  <si>
    <t xml:space="preserve">CC1OC(OCC2OC(OC3=C(OC4=CC(O)=CC(O)=C4C3=O)C3=CC(O)=C(O)C=C3)C(OC3OCC(O)(CO)C3O)C(O)C2O)C(O)C(O)C1O</t>
  </si>
  <si>
    <t xml:space="preserve">UPVDFUGORYNXMW-UHFFFAOYSA-N</t>
  </si>
  <si>
    <t xml:space="preserve">Astragaloside A</t>
  </si>
  <si>
    <t xml:space="preserve">HMDB0242537</t>
  </si>
  <si>
    <t xml:space="preserve">500122</t>
  </si>
  <si>
    <t xml:space="preserve">CC(C)(O)C1CCC(C)(O1)C1C(O)CC2(C)C3CC(OC4OC(CO)C(O)C(O)C4O)C4C5(CC35CCC12C)CCC(OC1OCC(O)C(O)C1O)C4(C)C</t>
  </si>
  <si>
    <t xml:space="preserve">QMNWISYXSJWHRY-UHFFFAOYSA-N</t>
  </si>
  <si>
    <t xml:space="preserve">688-2</t>
  </si>
  <si>
    <t xml:space="preserve">Astragaloside III</t>
  </si>
  <si>
    <t xml:space="preserve">HMDB0248674</t>
  </si>
  <si>
    <t xml:space="preserve">4483250</t>
  </si>
  <si>
    <t xml:space="preserve">CC(C)(O)C1CCC(C)(O1)C1C(O)CC2(C)C3CC(O)C4C5(CC35CCC12C)CCC(OC1OCC(O)C(O)C1OC1OC(CO)C(O)C(O)C1O)C4(C)C</t>
  </si>
  <si>
    <t xml:space="preserve">FVFSMBDVZVUETN-UHFFFAOYSA-N</t>
  </si>
  <si>
    <t xml:space="preserve">688-3</t>
  </si>
  <si>
    <t xml:space="preserve">Hoduloside VI</t>
  </si>
  <si>
    <t xml:space="preserve">HMDB0040658</t>
  </si>
  <si>
    <t xml:space="preserve">95136</t>
  </si>
  <si>
    <t xml:space="preserve">131752892</t>
  </si>
  <si>
    <t xml:space="preserve">154971-10-5</t>
  </si>
  <si>
    <t xml:space="preserve">CC(C)(O)\C=C\CC(C)(O)C1C2CCC3C4(C)CCC(OC5OCC(O)C(O)C5O)C(C)(C)C4CCC3(C)C2(COC2OC(CO)C(O)C(O)C2O)CC1=O</t>
  </si>
  <si>
    <t xml:space="preserve">VBKOGDDRGMIPNJ-MDWZMJQESA-N</t>
  </si>
  <si>
    <t xml:space="preserve">Pedunculagin</t>
  </si>
  <si>
    <t xml:space="preserve">HMDB0256194</t>
  </si>
  <si>
    <t xml:space="preserve">492391</t>
  </si>
  <si>
    <t xml:space="preserve">OC1OC2COC(=O)C3=C(C(O)=C(O)C(O)=C3)C3=C(C=C(O)C(O)=C3O)C(=O)OC2C2OC(=O)C3=CC(O)=C(O)C(O)=C3C3=C(O)C(O)=C(O)C=C3C(=O)OC12</t>
  </si>
  <si>
    <t xml:space="preserve">IYMHVUYNBVWXKH-UHFFFAOYSA-N</t>
  </si>
  <si>
    <t xml:space="preserve">706-2</t>
  </si>
  <si>
    <t xml:space="preserve">Castanin</t>
  </si>
  <si>
    <t xml:space="preserve">HMDB0039245</t>
  </si>
  <si>
    <t xml:space="preserve">131752587</t>
  </si>
  <si>
    <t xml:space="preserve">115406-24-1</t>
  </si>
  <si>
    <t xml:space="preserve">OC1C2OC(=O)C3=C1C(O)=C(O)C(O)=C3C1=C(O)C(O)=C(O)C=C1C(=O)OC2C1OC(=O)C2=CC(O)=C(O)C(O)=C2C2=C(O)C(O)=C(O)C(=C2)C(=O)OCC1O</t>
  </si>
  <si>
    <t xml:space="preserve">ULOZLJUAARUDHM-UHFFFAOYSA-N</t>
  </si>
  <si>
    <t xml:space="preserve">706-3</t>
  </si>
  <si>
    <t xml:space="preserve">Granatin A</t>
  </si>
  <si>
    <t xml:space="preserve">HMDB0039271</t>
  </si>
  <si>
    <t xml:space="preserve">93860</t>
  </si>
  <si>
    <t xml:space="preserve">131752596</t>
  </si>
  <si>
    <t xml:space="preserve">73683-70-2</t>
  </si>
  <si>
    <t xml:space="preserve">OC1C2OC(=O)C3=CC(O)=C(O)C4=C3C3C(=CC(=O)C(O)(O4)C3(O)O)C(=O)OC1C1OC2COC(=O)C2=C(C(O)=C(O)C(O)=C2)C2=C(O)C(O)=C(O)C=C2C1=O</t>
  </si>
  <si>
    <t xml:space="preserve">BEAQEKRAXFQCBO-UHFFFAOYSA-N</t>
  </si>
  <si>
    <t xml:space="preserve">SM(d17:1/22:0)</t>
  </si>
  <si>
    <t xml:space="preserve">HMDB0240621</t>
  </si>
  <si>
    <t xml:space="preserve">83766</t>
  </si>
  <si>
    <t xml:space="preserve">LMSP03010066</t>
  </si>
  <si>
    <t xml:space="preserve">136275</t>
  </si>
  <si>
    <t xml:space="preserve">52931191</t>
  </si>
  <si>
    <t xml:space="preserve">121999-70-0</t>
  </si>
  <si>
    <t xml:space="preserve">[C@](COP(=O)([O-])OCC[N+](C)(C)C)([H])(NC(CCCCCCCCCCCCCCCCCCCCC)=O)[C@]([H])(O)/C=C/CCCCCCCCCCCC</t>
  </si>
  <si>
    <t xml:space="preserve">BEHLQMQPYDCEFC-QVDCKBILSA-N</t>
  </si>
  <si>
    <t xml:space="preserve">709-2</t>
  </si>
  <si>
    <t xml:space="preserve">SM(d39:1)</t>
  </si>
  <si>
    <t xml:space="preserve">HMDB0240611</t>
  </si>
  <si>
    <t xml:space="preserve">83767</t>
  </si>
  <si>
    <t xml:space="preserve">LMSP03010067</t>
  </si>
  <si>
    <t xml:space="preserve">84484</t>
  </si>
  <si>
    <t xml:space="preserve">52931193</t>
  </si>
  <si>
    <t xml:space="preserve">121999-71-1</t>
  </si>
  <si>
    <t xml:space="preserve">[C@](COP(=O)([O-])OCC[N+](C)(C)C)([H])(NC(CCCCCCCCCCCCCCCCCCCC)=O)[C@]([H])(O)/C=C/CCCCCCCCCCCCC</t>
  </si>
  <si>
    <t xml:space="preserve">YXSZOBWVQJIWNE-QVDCKBILSA-N</t>
  </si>
  <si>
    <t xml:space="preserve">5-(3,4-Dimethyl-5-pentylfuran-2-yl)pentanoylcarnitine</t>
  </si>
  <si>
    <t xml:space="preserve">HMDB0241845</t>
  </si>
  <si>
    <t xml:space="preserve">CCCCCC1=C(C)C(C)=C(CCCCC(=O)OC(CC([O-])=O)C[N+](C)(C)C)O1</t>
  </si>
  <si>
    <t xml:space="preserve">WRRXGVCJQHRUIW-UHFFFAOYSA-N</t>
  </si>
  <si>
    <t xml:space="preserve">741-2</t>
  </si>
  <si>
    <t xml:space="preserve">6-(5-Hexylfuran-2-yl)hexanoylcarnitine</t>
  </si>
  <si>
    <t xml:space="preserve">HMDB0241848</t>
  </si>
  <si>
    <t xml:space="preserve">CCCCCCC1=CC=C(CCCCCC(=O)OC(CC([O-])=O)C[N+](C)(C)C)O1</t>
  </si>
  <si>
    <t xml:space="preserve">PMKWXVYIIIGJAV-UHFFFAOYSA-N</t>
  </si>
  <si>
    <t xml:space="preserve">741-3</t>
  </si>
  <si>
    <t xml:space="preserve">7-(3,4-Dimethyl-5-propylfuran-2-yl)heptanoylcarnitine</t>
  </si>
  <si>
    <t xml:space="preserve">HMDB0241849</t>
  </si>
  <si>
    <t xml:space="preserve">CCCC1=C(C)C(C)=C(CCCCCCC(=O)OC(CC([O-])=O)C[N+](C)(C)C)O1</t>
  </si>
  <si>
    <t xml:space="preserve">ARBRWHXTRUCFTM-UHFFFAOYSA-N</t>
  </si>
  <si>
    <t xml:space="preserve">O-Desmethylverapamil (D-702)</t>
  </si>
  <si>
    <t xml:space="preserve">HMDB0013961</t>
  </si>
  <si>
    <t xml:space="preserve">131750721</t>
  </si>
  <si>
    <t xml:space="preserve">COC1=C(O)C=C(CCN(C)CCCC(C#N)(C(C)C)C2=CC(OC)=C(OC)C=C2)C=C1</t>
  </si>
  <si>
    <t xml:space="preserve">OAAPYTCHFIIVON-UHFFFAOYSA-N</t>
  </si>
  <si>
    <t xml:space="preserve">768-2</t>
  </si>
  <si>
    <t xml:space="preserve">O-Desmethylverapamil (D-703)</t>
  </si>
  <si>
    <t xml:space="preserve">HMDB0014246</t>
  </si>
  <si>
    <t xml:space="preserve">625729</t>
  </si>
  <si>
    <t xml:space="preserve">COC1=C(O)C=CC(=C1)C(CCCN(C)CCC1=CC(OC)=C(OC)C=C1)(C#N)C(C)C</t>
  </si>
  <si>
    <t xml:space="preserve">WLKVZSXOMGNZLB-UHFFFAOYSA-N</t>
  </si>
  <si>
    <t xml:space="preserve">768-3</t>
  </si>
  <si>
    <t xml:space="preserve">Norverapamil</t>
  </si>
  <si>
    <t xml:space="preserve">HMDB0060540</t>
  </si>
  <si>
    <t xml:space="preserve">3010</t>
  </si>
  <si>
    <t xml:space="preserve">134080</t>
  </si>
  <si>
    <t xml:space="preserve">104972</t>
  </si>
  <si>
    <t xml:space="preserve">67018-85-3</t>
  </si>
  <si>
    <t xml:space="preserve">COC1=C(OC)C=C(CCNCCCC(C#N)(C(C)C)C2=CC(OC)=C(OC)C=C2)C=C1</t>
  </si>
  <si>
    <t xml:space="preserve">UPKQNCPKPOLASS-UHFFFAOYSA-N</t>
  </si>
  <si>
    <t xml:space="preserve">PS(DiMe(11,3)/MonoMe(11,5))</t>
  </si>
  <si>
    <t xml:space="preserve">HMDB0061558</t>
  </si>
  <si>
    <t xml:space="preserve">CCCCCC1=CC(C)=C(CCCCCCCCCCC(=O)OC(COC(=O)CCCCCCCCCCC2=C(C)C(C)=C(CCC)O2)COP(O)(=O)OCC(N)C(O)=O)O1</t>
  </si>
  <si>
    <t xml:space="preserve">RRKUINPIOUMQGR-UHFFFAOYSA-N</t>
  </si>
  <si>
    <t xml:space="preserve">769-2</t>
  </si>
  <si>
    <t xml:space="preserve">PS(DiMe(11,5)/MonoMe(11,3))</t>
  </si>
  <si>
    <t xml:space="preserve">HMDB0061566</t>
  </si>
  <si>
    <t xml:space="preserve">CCCCCC1=C(C)C(C)=C(CCCCCCCCCCC(=O)OCC(COP(O)(=O)OCC(N)C(O)=O)OC(=O)CCCCCCCCCCC2=C(C)C=C(CCC)O2)O1</t>
  </si>
  <si>
    <t xml:space="preserve">RRAYFVZXQUJIPM-UHFFFAOYSA-N</t>
  </si>
  <si>
    <t xml:space="preserve">769-3</t>
  </si>
  <si>
    <t xml:space="preserve">PS(DiMe(11,5)/MonoMe(9,5))</t>
  </si>
  <si>
    <t xml:space="preserve">HMDB0061569</t>
  </si>
  <si>
    <t xml:space="preserve">CCCCCC1=CC(C)=C(CCCCCCCCC(=O)OC(COC(=O)CCCCCCCCCCC2=C(C)C(C)=C(CCCCC)O2)COP(O)(=O)OCC(N)C(O)=O)O1</t>
  </si>
  <si>
    <t xml:space="preserve">FDVDPNLOTWQGOH-UHFFFAOYSA-N</t>
  </si>
  <si>
    <t xml:space="preserve">Glycerol 1,3-di-(9Z,12Z-octadecadienoate) 2-hexadecanoate</t>
  </si>
  <si>
    <t xml:space="preserve">HMDB0031118</t>
  </si>
  <si>
    <t xml:space="preserve">87421</t>
  </si>
  <si>
    <t xml:space="preserve">15607289</t>
  </si>
  <si>
    <t xml:space="preserve">2190-16-1</t>
  </si>
  <si>
    <t xml:space="preserve">CCCCCCCCCCCCCCCC(=O)OC(COC(=O)CCCCCCC\C=C\C\C=C\CCCCC)COC(=O)CCCCCCC\C=C\C\C=C\CCCCC</t>
  </si>
  <si>
    <t xml:space="preserve">KRVYYALDCAWYEF-OZBINYCYSA-N</t>
  </si>
  <si>
    <t xml:space="preserve">774-2</t>
  </si>
  <si>
    <t xml:space="preserve">Glycerol 1,2-di-(9Z,12Z-octadecadienoate) 3-hexadecanoate</t>
  </si>
  <si>
    <t xml:space="preserve">HMDB0031117</t>
  </si>
  <si>
    <t xml:space="preserve">87420</t>
  </si>
  <si>
    <t xml:space="preserve">5883927</t>
  </si>
  <si>
    <t xml:space="preserve">26836-36-2</t>
  </si>
  <si>
    <t xml:space="preserve">CCCCCCCCCCCCCCCC(=O)OCC(COC(=O)CCCCCCC\C=C\C\C=C\CCCCC)OC(=O)CCCCCCC\C=C\C\C=C\CCCCC</t>
  </si>
  <si>
    <t xml:space="preserve">LXAWUIOWWNQCQA-OZBINYCYSA-N</t>
  </si>
  <si>
    <t xml:space="preserve">Saponin D</t>
  </si>
  <si>
    <t xml:space="preserve">HMDB0040468</t>
  </si>
  <si>
    <t xml:space="preserve">94968</t>
  </si>
  <si>
    <t xml:space="preserve">11788398</t>
  </si>
  <si>
    <t xml:space="preserve">79190-14-0</t>
  </si>
  <si>
    <t xml:space="preserve">CC1OC(OC2C(O)C(O)C(CO)OC2OC2CCC3(C)C(CCC4(C)C3CCC3C5C6(CC43CO6)OC(CC5(C)OC3OC(C)C(O)C(O)C3O)C=C(C)C)C2(C)C)C(O)C(O)C1O</t>
  </si>
  <si>
    <t xml:space="preserve">FJESIUXDUUJRCG-UHFFFAOYSA-N</t>
  </si>
  <si>
    <t xml:space="preserve">Oleanolic acid 3-[rhamnosyl-(1-&gt;4)-glucosyl-(1-&gt;6)-glucoside]</t>
  </si>
  <si>
    <t xml:space="preserve">HMDB0040860</t>
  </si>
  <si>
    <t xml:space="preserve">95317</t>
  </si>
  <si>
    <t xml:space="preserve">131752957</t>
  </si>
  <si>
    <t xml:space="preserve">160845-07-8</t>
  </si>
  <si>
    <t xml:space="preserve">CC1OC(OC2C(O)C(O)C(OCC3OC(OC4CCC5(C)C(CCC6(C)C5CC=C5C7CC(C)(C)CCC7(CCC65C)C(O)=O)C4(C)C)C(O)C(O)C3O)OC2CO)C(O)C(O)C1O</t>
  </si>
  <si>
    <t xml:space="preserve">NOVVFAYZUXDXOX-UHFFFAOYSA-N</t>
  </si>
  <si>
    <t xml:space="preserve">Soyasaponin I</t>
  </si>
  <si>
    <t xml:space="preserve">HMDB0034649</t>
  </si>
  <si>
    <t xml:space="preserve">67309</t>
  </si>
  <si>
    <t xml:space="preserve">C08983</t>
  </si>
  <si>
    <t xml:space="preserve">9211</t>
  </si>
  <si>
    <t xml:space="preserve">122097</t>
  </si>
  <si>
    <t xml:space="preserve">51330-27-9</t>
  </si>
  <si>
    <t xml:space="preserve">[H][C@@]1(O[C@@H]2[C@@H](O)[C@@H](O)[C@@H](CO)O[C@@]2([H])O[C@@H]2[C@@H](O)[C@H](O)[C@H](O[C@@]2([H])O[C@H]2CC[C@@]3(C)[C@@]([H])(CC[C@]4(C)[C@]3([H])CC=C3[C@]5([H])CC(C)(C)C[C@@H](O)[C@]5(C)CC[C@@]43C)[C@@]2(C)CO)C(O)=O)O[C@@H](C)[C@H](O)[C@@H](O)[C@H]1O</t>
  </si>
  <si>
    <t xml:space="preserve">PTDAHAWQAGSZDD-IOVCITQVSA-N</t>
  </si>
  <si>
    <t xml:space="preserve">797-2</t>
  </si>
  <si>
    <t xml:space="preserve">Arvensoside D</t>
  </si>
  <si>
    <t xml:space="preserve">HMDB0039406</t>
  </si>
  <si>
    <t xml:space="preserve">325536</t>
  </si>
  <si>
    <t xml:space="preserve">C08923</t>
  </si>
  <si>
    <t xml:space="preserve">434120</t>
  </si>
  <si>
    <t xml:space="preserve">58231-97-3</t>
  </si>
  <si>
    <t xml:space="preserve">CC1(C)CCC2(CCC3(C)C(=CCC4C5(C)CCC(OC6OC(CO)C(O)C(OC7OC(CO)C(O)C(O)C7O)C6OC6OC(CO)C(O)C(O)C6O)C(C)(C)C5CCC34C)C2C1)C(O)=O</t>
  </si>
  <si>
    <t xml:space="preserve">OGKRHYLZKFTGGO-UHFFFAOYSA-N</t>
  </si>
  <si>
    <t xml:space="preserve">27-Hydroxyisomangiferolic acid</t>
  </si>
  <si>
    <t xml:space="preserve">HMDB0036064</t>
  </si>
  <si>
    <t xml:space="preserve">91240</t>
  </si>
  <si>
    <t xml:space="preserve">C17568</t>
  </si>
  <si>
    <t xml:space="preserve">52971</t>
  </si>
  <si>
    <t xml:space="preserve">5283544</t>
  </si>
  <si>
    <t xml:space="preserve">123563-64-4</t>
  </si>
  <si>
    <t xml:space="preserve">CC(CC\C=C(\CO)C(O)=O)C1CCC2(C)C3CCC4C5(CC35CCC12C)CCC(O)C4(C)C</t>
  </si>
  <si>
    <t xml:space="preserve">YWPLTMNXKKXXII-ZBKNUEDVSA-N</t>
  </si>
  <si>
    <t xml:space="preserve">806-2</t>
  </si>
  <si>
    <t xml:space="preserve">Maslinic acid</t>
  </si>
  <si>
    <t xml:space="preserve">HMDB0002392</t>
  </si>
  <si>
    <t xml:space="preserve">44861</t>
  </si>
  <si>
    <t xml:space="preserve">LMPR0106180014</t>
  </si>
  <si>
    <t xml:space="preserve">C16939</t>
  </si>
  <si>
    <t xml:space="preserve">66682</t>
  </si>
  <si>
    <t xml:space="preserve">73659</t>
  </si>
  <si>
    <t xml:space="preserve">4373-41-5</t>
  </si>
  <si>
    <t xml:space="preserve">CC1([C@@H](O)[C@@H](C[C@]2(C)[C@]3(CC=C4[C@]5([H])CC(C)(CC[C@]5(C(=O)O)CC[C@]4([C@]3(C)CC[C@@]12[H])C)C)[H])O)C</t>
  </si>
  <si>
    <t xml:space="preserve">MDZKJHQSJHYOHJ-LLICELPBSA-N</t>
  </si>
  <si>
    <t xml:space="preserve">1-(7Z,10Z,13Z,16Z-docosatetraenoyl)-glycero-3-phosphate</t>
  </si>
  <si>
    <t xml:space="preserve">HMDB0062310</t>
  </si>
  <si>
    <t xml:space="preserve">82339</t>
  </si>
  <si>
    <t xml:space="preserve">LMGP10050020</t>
  </si>
  <si>
    <t xml:space="preserve">52929754</t>
  </si>
  <si>
    <t xml:space="preserve">[C@](COP(=O)(O)O)([H])(O)COC(CCCCC/C=C\C/C=C\C/C=C\C/C=C\CCCCC)=O</t>
  </si>
  <si>
    <t xml:space="preserve">KSDVXYAHZXLGDS-XSQXPFHXSA-N</t>
  </si>
  <si>
    <t xml:space="preserve">808-2</t>
  </si>
  <si>
    <t xml:space="preserve">LPA(22:4)</t>
  </si>
  <si>
    <t xml:space="preserve">HMDB0114752</t>
  </si>
  <si>
    <t xml:space="preserve">87978099</t>
  </si>
  <si>
    <t xml:space="preserve">CCCCC\C=C/C\C=C/C\C=C/C\C=C/CCCCCC(=O)OCC(O)COP(O)(O)=O</t>
  </si>
  <si>
    <t xml:space="preserve">KSDVXYAHZXLGDS-DOFZRALJSA-N</t>
  </si>
  <si>
    <t xml:space="preserve">19alpha-19-Hydroxy-3,11-dioxo-12-ursen-28-oic acid</t>
  </si>
  <si>
    <t xml:space="preserve">HMDB0038683</t>
  </si>
  <si>
    <t xml:space="preserve">C[C@@H]1CC[C@@]2(CCC3C(=CC(=O)C4[C@@]3(C)CCC3C(C)(C)C(=O)CC[C@]43C)C2C1(C)O)C(O)=O</t>
  </si>
  <si>
    <t xml:space="preserve">LEDUTIHVUWXGHW-FNJHRCSHSA-N</t>
  </si>
  <si>
    <t xml:space="preserve">809-2</t>
  </si>
  <si>
    <t xml:space="preserve">17,23-Epoxy-29-hydroxy-27-norlanost-8-ene-3,15,24-trione</t>
  </si>
  <si>
    <t xml:space="preserve">HMDB0035113</t>
  </si>
  <si>
    <t xml:space="preserve">90452</t>
  </si>
  <si>
    <t xml:space="preserve">131751668</t>
  </si>
  <si>
    <t xml:space="preserve">CCC(=O)C1CC(C)C2(CC(=O)C3(C)C4=C(CCC23C)C2(C)CCC(=O)C(C)(CO)C2CC4)O1</t>
  </si>
  <si>
    <t xml:space="preserve">DVXXYXKKUSGEIB-UHFFFAOYSA-N</t>
  </si>
  <si>
    <t xml:space="preserve">809-3</t>
  </si>
  <si>
    <t xml:space="preserve">(3beta,17alpha,23S)-17,23-Epoxy-3,29-dihydroxy-27-norlanosta-7,9(11)-diene-15,24-dione</t>
  </si>
  <si>
    <t xml:space="preserve">HMDB0035970</t>
  </si>
  <si>
    <t xml:space="preserve">91156</t>
  </si>
  <si>
    <t xml:space="preserve">131751891</t>
  </si>
  <si>
    <t xml:space="preserve">CCC(=O)C1CC(C)C2(CC(=O)C3(C)C4=CCC5C(C)(CO)C(O)CCC5(C)C4=CCC23C)O1</t>
  </si>
  <si>
    <t xml:space="preserve">AZFKWPDLOCRQKE-UHFFFAOYSA-N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</si>
</sst>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FF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n">
        <v>1</v>
      </c>
      <c r="B2" s="2" t="s">
        <v>22</v>
      </c>
      <c r="C2" s="2" t="n">
        <v>72.99311793</v>
      </c>
      <c r="D2" s="2" t="n">
        <v>12.4626230001699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n">
        <v>1</v>
      </c>
    </row>
    <row r="3">
      <c r="A3" s="2" t="n">
        <v>2</v>
      </c>
      <c r="B3" s="2" t="s">
        <v>40</v>
      </c>
      <c r="C3" s="2" t="n">
        <v>73.029503436</v>
      </c>
      <c r="D3" s="2" t="n">
        <v>4.66597126830606</v>
      </c>
      <c r="E3" s="2" t="s">
        <v>41</v>
      </c>
      <c r="F3" s="2" t="s">
        <v>24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n">
        <v>3</v>
      </c>
    </row>
    <row r="4">
      <c r="A4" s="2" t="n">
        <v>3</v>
      </c>
      <c r="B4" s="2" t="s">
        <v>57</v>
      </c>
      <c r="C4" s="2" t="n">
        <v>74.024752409</v>
      </c>
      <c r="D4" s="2" t="n">
        <v>6.38278359155625</v>
      </c>
      <c r="E4" s="2" t="s">
        <v>58</v>
      </c>
      <c r="F4" s="2" t="s">
        <v>24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29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68</v>
      </c>
      <c r="R4" s="2" t="s">
        <v>36</v>
      </c>
      <c r="S4" s="2" t="s">
        <v>37</v>
      </c>
      <c r="T4" s="2" t="s">
        <v>69</v>
      </c>
      <c r="U4" s="2" t="s">
        <v>39</v>
      </c>
      <c r="V4" s="2" t="n">
        <v>1</v>
      </c>
    </row>
    <row r="5">
      <c r="A5" s="2" t="n">
        <v>4</v>
      </c>
      <c r="B5" s="2" t="s">
        <v>70</v>
      </c>
      <c r="C5" s="2" t="n">
        <v>75.008767994</v>
      </c>
      <c r="D5" s="2" t="n">
        <v>5.97051756700965</v>
      </c>
      <c r="E5" s="2" t="s">
        <v>71</v>
      </c>
      <c r="F5" s="2" t="s">
        <v>24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29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81</v>
      </c>
      <c r="R5" s="2" t="s">
        <v>36</v>
      </c>
      <c r="S5" s="2" t="s">
        <v>82</v>
      </c>
      <c r="T5" s="2" t="s">
        <v>83</v>
      </c>
      <c r="U5" s="2" t="s">
        <v>39</v>
      </c>
      <c r="V5" s="2" t="n">
        <v>1</v>
      </c>
    </row>
    <row r="6">
      <c r="A6" s="2" t="n">
        <v>5</v>
      </c>
      <c r="B6" s="2" t="s">
        <v>84</v>
      </c>
      <c r="C6" s="2" t="n">
        <v>80.027251229</v>
      </c>
      <c r="D6" s="2" t="n">
        <v>9.99427523396258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90</v>
      </c>
      <c r="K6" s="2" t="s">
        <v>91</v>
      </c>
      <c r="L6" s="2" t="s">
        <v>92</v>
      </c>
      <c r="M6" s="2" t="s">
        <v>93</v>
      </c>
      <c r="N6" s="2" t="s">
        <v>94</v>
      </c>
      <c r="O6" s="2" t="s">
        <v>95</v>
      </c>
      <c r="P6" s="2" t="s">
        <v>96</v>
      </c>
      <c r="Q6" s="2" t="s">
        <v>97</v>
      </c>
      <c r="R6" s="2" t="s">
        <v>98</v>
      </c>
      <c r="S6" s="2" t="s">
        <v>99</v>
      </c>
      <c r="T6" s="2" t="s">
        <v>100</v>
      </c>
      <c r="U6" s="2" t="s">
        <v>101</v>
      </c>
      <c r="V6" s="2" t="n">
        <v>2</v>
      </c>
    </row>
    <row r="7">
      <c r="A7" s="2" t="n">
        <v>6</v>
      </c>
      <c r="B7" s="2" t="s">
        <v>102</v>
      </c>
      <c r="C7" s="2" t="n">
        <v>83.013853372</v>
      </c>
      <c r="D7" s="2" t="n">
        <v>10.4438186640263</v>
      </c>
      <c r="E7" s="2" t="s">
        <v>103</v>
      </c>
      <c r="F7" s="2" t="s">
        <v>24</v>
      </c>
      <c r="G7" s="2" t="s">
        <v>104</v>
      </c>
      <c r="H7" s="2" t="s">
        <v>105</v>
      </c>
      <c r="I7" s="2" t="s">
        <v>106</v>
      </c>
      <c r="J7" s="2" t="s">
        <v>107</v>
      </c>
      <c r="K7" s="2" t="s">
        <v>29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114</v>
      </c>
      <c r="S7" s="2" t="s">
        <v>115</v>
      </c>
      <c r="T7" s="2" t="s">
        <v>116</v>
      </c>
      <c r="U7" s="2" t="s">
        <v>56</v>
      </c>
      <c r="V7" s="2" t="n">
        <v>1</v>
      </c>
    </row>
    <row r="8">
      <c r="A8" s="2" t="n">
        <v>7</v>
      </c>
      <c r="B8" s="2" t="s">
        <v>117</v>
      </c>
      <c r="C8" s="2" t="n">
        <v>83.050238878</v>
      </c>
      <c r="D8" s="2" t="n">
        <v>1.47076353499084</v>
      </c>
      <c r="E8" s="2" t="s">
        <v>118</v>
      </c>
      <c r="F8" s="2" t="s">
        <v>24</v>
      </c>
      <c r="G8" s="2" t="s">
        <v>119</v>
      </c>
      <c r="H8" s="2" t="s">
        <v>120</v>
      </c>
      <c r="I8" s="2" t="s">
        <v>121</v>
      </c>
      <c r="J8" s="2" t="s">
        <v>122</v>
      </c>
      <c r="K8" s="2" t="s">
        <v>29</v>
      </c>
      <c r="L8" s="2" t="s">
        <v>123</v>
      </c>
      <c r="M8" s="2" t="s">
        <v>124</v>
      </c>
      <c r="N8" s="2" t="s">
        <v>125</v>
      </c>
      <c r="O8" s="2" t="s">
        <v>126</v>
      </c>
      <c r="P8" s="2" t="s">
        <v>127</v>
      </c>
      <c r="Q8" s="2" t="s">
        <v>128</v>
      </c>
      <c r="R8" s="2" t="s">
        <v>129</v>
      </c>
      <c r="S8" s="2" t="s">
        <v>130</v>
      </c>
      <c r="T8" s="2" t="s">
        <v>131</v>
      </c>
      <c r="U8" s="2" t="s">
        <v>56</v>
      </c>
      <c r="V8" s="2" t="n">
        <v>1</v>
      </c>
    </row>
    <row r="9">
      <c r="A9" s="2" t="n">
        <v>8</v>
      </c>
      <c r="B9" s="2" t="s">
        <v>132</v>
      </c>
      <c r="C9" s="2" t="n">
        <v>88.040402473</v>
      </c>
      <c r="D9" s="2" t="n">
        <v>6.8099097528894</v>
      </c>
      <c r="E9" s="2" t="s">
        <v>133</v>
      </c>
      <c r="F9" s="2" t="s">
        <v>24</v>
      </c>
      <c r="G9" s="2" t="s">
        <v>134</v>
      </c>
      <c r="H9" s="2" t="s">
        <v>135</v>
      </c>
      <c r="I9" s="2" t="s">
        <v>136</v>
      </c>
      <c r="J9" s="2" t="s">
        <v>137</v>
      </c>
      <c r="K9" s="2" t="s">
        <v>91</v>
      </c>
      <c r="L9" s="2" t="s">
        <v>138</v>
      </c>
      <c r="M9" s="2" t="s">
        <v>139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144</v>
      </c>
      <c r="S9" s="2" t="s">
        <v>145</v>
      </c>
      <c r="T9" s="2" t="s">
        <v>146</v>
      </c>
      <c r="U9" s="2" t="s">
        <v>39</v>
      </c>
      <c r="V9" s="2" t="n">
        <v>2</v>
      </c>
    </row>
    <row r="10">
      <c r="A10" s="2" t="n">
        <v>9</v>
      </c>
      <c r="B10" s="2" t="s">
        <v>147</v>
      </c>
      <c r="C10" s="2" t="n">
        <v>89.024418058</v>
      </c>
      <c r="D10" s="2" t="n">
        <v>13.9114952340922</v>
      </c>
      <c r="E10" s="2" t="s">
        <v>148</v>
      </c>
      <c r="F10" s="2" t="s">
        <v>24</v>
      </c>
      <c r="G10" s="2" t="s">
        <v>149</v>
      </c>
      <c r="H10" s="2" t="s">
        <v>150</v>
      </c>
      <c r="I10" s="2" t="s">
        <v>151</v>
      </c>
      <c r="J10" s="2" t="s">
        <v>152</v>
      </c>
      <c r="K10" s="2" t="s">
        <v>29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157</v>
      </c>
      <c r="Q10" s="2" t="s">
        <v>158</v>
      </c>
      <c r="R10" s="2" t="s">
        <v>36</v>
      </c>
      <c r="S10" s="2" t="s">
        <v>82</v>
      </c>
      <c r="T10" s="2" t="s">
        <v>83</v>
      </c>
      <c r="U10" s="2" t="s">
        <v>39</v>
      </c>
      <c r="V10" s="2" t="n">
        <v>1</v>
      </c>
    </row>
    <row r="11">
      <c r="A11" s="2" t="n">
        <v>10</v>
      </c>
      <c r="B11" s="2" t="s">
        <v>159</v>
      </c>
      <c r="C11" s="2" t="n">
        <v>91.029621824</v>
      </c>
      <c r="D11" s="2" t="n">
        <v>3.63960221611546</v>
      </c>
      <c r="E11" s="2" t="s">
        <v>160</v>
      </c>
      <c r="F11" s="2" t="s">
        <v>161</v>
      </c>
      <c r="G11" s="2" t="s">
        <v>162</v>
      </c>
      <c r="H11" s="2" t="s">
        <v>163</v>
      </c>
      <c r="I11" s="2" t="s">
        <v>164</v>
      </c>
      <c r="J11" s="2" t="s">
        <v>165</v>
      </c>
      <c r="K11" s="2" t="s">
        <v>29</v>
      </c>
      <c r="L11" s="2" t="s">
        <v>166</v>
      </c>
      <c r="M11" s="2" t="s">
        <v>167</v>
      </c>
      <c r="N11" s="2" t="s">
        <v>168</v>
      </c>
      <c r="O11" s="2" t="s">
        <v>169</v>
      </c>
      <c r="P11" s="2" t="s">
        <v>170</v>
      </c>
      <c r="Q11" s="2" t="s">
        <v>171</v>
      </c>
      <c r="R11" s="2" t="s">
        <v>114</v>
      </c>
      <c r="S11" s="2" t="s">
        <v>172</v>
      </c>
      <c r="T11" s="2" t="s">
        <v>173</v>
      </c>
      <c r="U11" s="2" t="s">
        <v>56</v>
      </c>
      <c r="V11" s="2" t="n">
        <v>1</v>
      </c>
    </row>
    <row r="12">
      <c r="A12" s="2" t="n">
        <v>11</v>
      </c>
      <c r="B12" s="2" t="s">
        <v>174</v>
      </c>
      <c r="C12" s="2" t="n">
        <v>91.055324256</v>
      </c>
      <c r="D12" s="2" t="n">
        <v>11.0370582530257</v>
      </c>
      <c r="E12" s="2" t="s">
        <v>175</v>
      </c>
      <c r="F12" s="2" t="s">
        <v>24</v>
      </c>
      <c r="G12" s="2" t="s">
        <v>176</v>
      </c>
      <c r="H12" s="2" t="s">
        <v>177</v>
      </c>
      <c r="I12" s="2" t="s">
        <v>178</v>
      </c>
      <c r="J12" s="2" t="s">
        <v>179</v>
      </c>
      <c r="K12" s="2" t="s">
        <v>29</v>
      </c>
      <c r="L12" s="2" t="s">
        <v>180</v>
      </c>
      <c r="M12" s="2" t="s">
        <v>181</v>
      </c>
      <c r="N12" s="2" t="s">
        <v>182</v>
      </c>
      <c r="O12" s="2" t="s">
        <v>183</v>
      </c>
      <c r="P12" s="2" t="s">
        <v>184</v>
      </c>
      <c r="Q12" s="2" t="s">
        <v>185</v>
      </c>
      <c r="R12" s="2" t="s">
        <v>186</v>
      </c>
      <c r="S12" s="2" t="s">
        <v>187</v>
      </c>
      <c r="T12" s="2" t="s">
        <v>188</v>
      </c>
      <c r="U12" s="2" t="s">
        <v>101</v>
      </c>
      <c r="V12" s="2" t="n">
        <v>1</v>
      </c>
    </row>
    <row r="13">
      <c r="A13" s="2" t="n">
        <v>12</v>
      </c>
      <c r="B13" s="2" t="s">
        <v>189</v>
      </c>
      <c r="C13" s="2" t="n">
        <v>92.027251229</v>
      </c>
      <c r="D13" s="2" t="n">
        <v>7.45429654510196</v>
      </c>
      <c r="E13" s="2" t="s">
        <v>190</v>
      </c>
      <c r="F13" s="2" t="s">
        <v>86</v>
      </c>
      <c r="G13" s="2" t="s">
        <v>191</v>
      </c>
      <c r="H13" s="2" t="s">
        <v>192</v>
      </c>
      <c r="I13" s="2" t="s">
        <v>193</v>
      </c>
      <c r="J13" s="2" t="s">
        <v>194</v>
      </c>
      <c r="K13" s="2" t="s">
        <v>195</v>
      </c>
      <c r="L13" s="2" t="s">
        <v>195</v>
      </c>
      <c r="M13" s="2" t="s">
        <v>196</v>
      </c>
      <c r="N13" s="2" t="s">
        <v>197</v>
      </c>
      <c r="O13" s="2" t="s">
        <v>195</v>
      </c>
      <c r="P13" s="2" t="s">
        <v>198</v>
      </c>
      <c r="Q13" s="2" t="s">
        <v>199</v>
      </c>
      <c r="R13" s="2" t="s">
        <v>200</v>
      </c>
      <c r="S13" s="2" t="s">
        <v>201</v>
      </c>
      <c r="T13" s="2" t="s">
        <v>202</v>
      </c>
      <c r="U13" s="2" t="s">
        <v>29</v>
      </c>
      <c r="V13" s="2" t="n">
        <v>3</v>
      </c>
    </row>
    <row r="14">
      <c r="A14" s="2" t="n">
        <v>13</v>
      </c>
      <c r="B14" s="2" t="s">
        <v>203</v>
      </c>
      <c r="C14" s="2" t="n">
        <v>93.035727324</v>
      </c>
      <c r="D14" s="2" t="n">
        <v>9.10677741553156</v>
      </c>
      <c r="E14" s="2" t="s">
        <v>204</v>
      </c>
      <c r="F14" s="2" t="s">
        <v>205</v>
      </c>
      <c r="G14" s="2" t="s">
        <v>206</v>
      </c>
      <c r="H14" s="2" t="s">
        <v>207</v>
      </c>
      <c r="I14" s="2" t="s">
        <v>208</v>
      </c>
      <c r="J14" s="2" t="s">
        <v>209</v>
      </c>
      <c r="K14" s="2" t="s">
        <v>29</v>
      </c>
      <c r="L14" s="2" t="s">
        <v>29</v>
      </c>
      <c r="M14" s="2" t="s">
        <v>29</v>
      </c>
      <c r="N14" s="2" t="s">
        <v>210</v>
      </c>
      <c r="O14" s="2" t="s">
        <v>29</v>
      </c>
      <c r="P14" s="2" t="s">
        <v>211</v>
      </c>
      <c r="Q14" s="2" t="s">
        <v>212</v>
      </c>
      <c r="R14" s="2" t="s">
        <v>213</v>
      </c>
      <c r="S14" s="2" t="s">
        <v>214</v>
      </c>
      <c r="T14" s="2" t="s">
        <v>215</v>
      </c>
      <c r="U14" s="2" t="s">
        <v>29</v>
      </c>
      <c r="V14" s="2" t="n">
        <v>1</v>
      </c>
    </row>
    <row r="15">
      <c r="A15" s="2" t="n">
        <v>14</v>
      </c>
      <c r="B15" s="2" t="s">
        <v>216</v>
      </c>
      <c r="C15" s="2" t="n">
        <v>96.969734372</v>
      </c>
      <c r="D15" s="2" t="n">
        <v>5.22436660917558</v>
      </c>
      <c r="E15" s="2" t="s">
        <v>217</v>
      </c>
      <c r="F15" s="2" t="s">
        <v>218</v>
      </c>
      <c r="G15" s="2" t="s">
        <v>219</v>
      </c>
      <c r="H15" s="2" t="s">
        <v>220</v>
      </c>
      <c r="I15" s="2" t="s">
        <v>221</v>
      </c>
      <c r="J15" s="2" t="s">
        <v>222</v>
      </c>
      <c r="K15" s="2" t="s">
        <v>223</v>
      </c>
      <c r="L15" s="2" t="s">
        <v>224</v>
      </c>
      <c r="M15" s="2" t="s">
        <v>225</v>
      </c>
      <c r="N15" s="2" t="s">
        <v>226</v>
      </c>
      <c r="O15" s="2" t="s">
        <v>227</v>
      </c>
      <c r="P15" s="2" t="s">
        <v>228</v>
      </c>
      <c r="Q15" s="2" t="s">
        <v>229</v>
      </c>
      <c r="R15" s="2" t="s">
        <v>36</v>
      </c>
      <c r="S15" s="2" t="s">
        <v>37</v>
      </c>
      <c r="T15" s="2" t="s">
        <v>38</v>
      </c>
      <c r="U15" s="2" t="s">
        <v>56</v>
      </c>
      <c r="V15" s="2" t="n">
        <v>1</v>
      </c>
    </row>
    <row r="16">
      <c r="A16" s="2" t="n">
        <v>15</v>
      </c>
      <c r="B16" s="2" t="s">
        <v>230</v>
      </c>
      <c r="C16" s="2" t="n">
        <v>99.008767994</v>
      </c>
      <c r="D16" s="2" t="n">
        <v>8.94487860538239</v>
      </c>
      <c r="E16" s="2" t="s">
        <v>231</v>
      </c>
      <c r="F16" s="2" t="s">
        <v>24</v>
      </c>
      <c r="G16" s="2" t="s">
        <v>232</v>
      </c>
      <c r="H16" s="2" t="s">
        <v>233</v>
      </c>
      <c r="I16" s="2" t="s">
        <v>234</v>
      </c>
      <c r="J16" s="2" t="s">
        <v>235</v>
      </c>
      <c r="K16" s="2" t="s">
        <v>29</v>
      </c>
      <c r="L16" s="2" t="s">
        <v>236</v>
      </c>
      <c r="M16" s="2" t="s">
        <v>237</v>
      </c>
      <c r="N16" s="2" t="s">
        <v>238</v>
      </c>
      <c r="O16" s="2" t="s">
        <v>239</v>
      </c>
      <c r="P16" s="2" t="s">
        <v>240</v>
      </c>
      <c r="Q16" s="2" t="s">
        <v>241</v>
      </c>
      <c r="R16" s="2" t="s">
        <v>36</v>
      </c>
      <c r="S16" s="2" t="s">
        <v>37</v>
      </c>
      <c r="T16" s="2" t="s">
        <v>242</v>
      </c>
      <c r="U16" s="2" t="s">
        <v>56</v>
      </c>
      <c r="V16" s="2" t="n">
        <v>1</v>
      </c>
    </row>
    <row r="17">
      <c r="A17" s="2" t="n">
        <v>16</v>
      </c>
      <c r="B17" s="2" t="s">
        <v>243</v>
      </c>
      <c r="C17" s="2" t="n">
        <v>99.0451535</v>
      </c>
      <c r="D17" s="2" t="n">
        <v>18.5747943248355</v>
      </c>
      <c r="E17" s="2" t="s">
        <v>244</v>
      </c>
      <c r="F17" s="2" t="s">
        <v>24</v>
      </c>
      <c r="G17" s="2" t="s">
        <v>245</v>
      </c>
      <c r="H17" s="2" t="s">
        <v>246</v>
      </c>
      <c r="I17" s="2" t="s">
        <v>247</v>
      </c>
      <c r="J17" s="2" t="s">
        <v>248</v>
      </c>
      <c r="K17" s="2" t="s">
        <v>249</v>
      </c>
      <c r="L17" s="2" t="s">
        <v>195</v>
      </c>
      <c r="M17" s="2" t="s">
        <v>250</v>
      </c>
      <c r="N17" s="2" t="s">
        <v>251</v>
      </c>
      <c r="O17" s="2" t="s">
        <v>252</v>
      </c>
      <c r="P17" s="2" t="s">
        <v>253</v>
      </c>
      <c r="Q17" s="2" t="s">
        <v>254</v>
      </c>
      <c r="R17" s="2" t="s">
        <v>255</v>
      </c>
      <c r="S17" s="2" t="s">
        <v>256</v>
      </c>
      <c r="T17" s="2" t="s">
        <v>257</v>
      </c>
      <c r="U17" s="2" t="s">
        <v>56</v>
      </c>
      <c r="V17" s="2" t="n">
        <v>3</v>
      </c>
    </row>
    <row r="18">
      <c r="A18" s="2" t="n">
        <v>17</v>
      </c>
      <c r="B18" s="2" t="s">
        <v>258</v>
      </c>
      <c r="C18" s="2" t="n">
        <v>101.024418058</v>
      </c>
      <c r="D18" s="2" t="n">
        <v>15.6111591546046</v>
      </c>
      <c r="E18" s="2" t="s">
        <v>259</v>
      </c>
      <c r="F18" s="2" t="s">
        <v>24</v>
      </c>
      <c r="G18" s="2" t="s">
        <v>260</v>
      </c>
      <c r="H18" s="2" t="s">
        <v>261</v>
      </c>
      <c r="I18" s="2" t="s">
        <v>262</v>
      </c>
      <c r="J18" s="2" t="s">
        <v>263</v>
      </c>
      <c r="K18" s="2" t="s">
        <v>264</v>
      </c>
      <c r="L18" s="2" t="s">
        <v>265</v>
      </c>
      <c r="M18" s="2" t="s">
        <v>266</v>
      </c>
      <c r="N18" s="2" t="s">
        <v>267</v>
      </c>
      <c r="O18" s="2" t="s">
        <v>268</v>
      </c>
      <c r="P18" s="2" t="s">
        <v>269</v>
      </c>
      <c r="Q18" s="2" t="s">
        <v>270</v>
      </c>
      <c r="R18" s="2" t="s">
        <v>36</v>
      </c>
      <c r="S18" s="2" t="s">
        <v>271</v>
      </c>
      <c r="T18" s="2" t="s">
        <v>272</v>
      </c>
      <c r="U18" s="2" t="s">
        <v>56</v>
      </c>
      <c r="V18" s="2" t="n">
        <v>1</v>
      </c>
    </row>
    <row r="19">
      <c r="A19" s="2" t="n">
        <v>18</v>
      </c>
      <c r="B19" s="2" t="s">
        <v>273</v>
      </c>
      <c r="C19" s="2" t="n">
        <v>101.07203695</v>
      </c>
      <c r="D19" s="2" t="n">
        <v>10.1652401707073</v>
      </c>
      <c r="E19" s="2" t="s">
        <v>274</v>
      </c>
      <c r="F19" s="2" t="s">
        <v>24</v>
      </c>
      <c r="G19" s="2" t="s">
        <v>275</v>
      </c>
      <c r="H19" s="2" t="s">
        <v>276</v>
      </c>
      <c r="I19" s="2" t="s">
        <v>277</v>
      </c>
      <c r="J19" s="2" t="s">
        <v>278</v>
      </c>
      <c r="K19" s="2" t="s">
        <v>29</v>
      </c>
      <c r="L19" s="2" t="s">
        <v>29</v>
      </c>
      <c r="M19" s="2" t="s">
        <v>29</v>
      </c>
      <c r="N19" s="2" t="s">
        <v>279</v>
      </c>
      <c r="O19" s="2" t="s">
        <v>29</v>
      </c>
      <c r="P19" s="2" t="s">
        <v>280</v>
      </c>
      <c r="Q19" s="2" t="s">
        <v>281</v>
      </c>
      <c r="R19" s="2" t="s">
        <v>36</v>
      </c>
      <c r="S19" s="2" t="s">
        <v>282</v>
      </c>
      <c r="T19" s="2" t="s">
        <v>283</v>
      </c>
      <c r="U19" s="2" t="s">
        <v>29</v>
      </c>
      <c r="V19" s="2" t="n">
        <v>1</v>
      </c>
    </row>
    <row r="20">
      <c r="A20" s="2" t="n">
        <v>19</v>
      </c>
      <c r="B20" s="2" t="s">
        <v>284</v>
      </c>
      <c r="C20" s="2" t="n">
        <v>102.056052537</v>
      </c>
      <c r="D20" s="2" t="n">
        <v>5.10752699916699</v>
      </c>
      <c r="E20" s="2" t="s">
        <v>285</v>
      </c>
      <c r="F20" s="2" t="s">
        <v>24</v>
      </c>
      <c r="G20" s="2" t="s">
        <v>286</v>
      </c>
      <c r="H20" s="2" t="s">
        <v>287</v>
      </c>
      <c r="I20" s="2" t="s">
        <v>288</v>
      </c>
      <c r="J20" s="2" t="s">
        <v>289</v>
      </c>
      <c r="K20" s="2" t="s">
        <v>290</v>
      </c>
      <c r="L20" s="2" t="s">
        <v>291</v>
      </c>
      <c r="M20" s="2" t="s">
        <v>292</v>
      </c>
      <c r="N20" s="2" t="s">
        <v>293</v>
      </c>
      <c r="O20" s="2" t="s">
        <v>294</v>
      </c>
      <c r="P20" s="2" t="s">
        <v>295</v>
      </c>
      <c r="Q20" s="2" t="s">
        <v>296</v>
      </c>
      <c r="R20" s="2" t="s">
        <v>36</v>
      </c>
      <c r="S20" s="2" t="s">
        <v>37</v>
      </c>
      <c r="T20" s="2" t="s">
        <v>69</v>
      </c>
      <c r="U20" s="2" t="s">
        <v>39</v>
      </c>
      <c r="V20" s="2" t="n">
        <v>1</v>
      </c>
    </row>
    <row r="21">
      <c r="A21" s="2" t="n">
        <v>20</v>
      </c>
      <c r="B21" s="2" t="s">
        <v>297</v>
      </c>
      <c r="C21" s="2" t="n">
        <v>102.9586807</v>
      </c>
      <c r="D21" s="2" t="n">
        <v>6.2820311303875</v>
      </c>
      <c r="E21" s="2" t="s">
        <v>298</v>
      </c>
      <c r="F21" s="2" t="s">
        <v>161</v>
      </c>
      <c r="G21" s="2" t="s">
        <v>299</v>
      </c>
      <c r="H21" s="2" t="s">
        <v>300</v>
      </c>
      <c r="I21" s="2" t="s">
        <v>301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302</v>
      </c>
      <c r="O21" s="2" t="s">
        <v>29</v>
      </c>
      <c r="P21" s="2" t="s">
        <v>303</v>
      </c>
      <c r="Q21" s="2" t="s">
        <v>304</v>
      </c>
      <c r="R21" s="2" t="s">
        <v>36</v>
      </c>
      <c r="S21" s="2" t="s">
        <v>282</v>
      </c>
      <c r="T21" s="2" t="s">
        <v>305</v>
      </c>
      <c r="U21" s="2" t="s">
        <v>29</v>
      </c>
      <c r="V21" s="2" t="n">
        <v>1</v>
      </c>
    </row>
    <row r="22">
      <c r="A22" s="2" t="n">
        <v>21</v>
      </c>
      <c r="B22" s="2" t="s">
        <v>306</v>
      </c>
      <c r="C22" s="2" t="n">
        <v>103.040068118</v>
      </c>
      <c r="D22" s="2" t="n">
        <v>12.6603241421538</v>
      </c>
      <c r="E22" s="2" t="s">
        <v>307</v>
      </c>
      <c r="F22" s="2" t="s">
        <v>24</v>
      </c>
      <c r="G22" s="2" t="s">
        <v>308</v>
      </c>
      <c r="H22" s="2" t="s">
        <v>309</v>
      </c>
      <c r="I22" s="2" t="s">
        <v>310</v>
      </c>
      <c r="J22" s="2" t="s">
        <v>311</v>
      </c>
      <c r="K22" s="2" t="s">
        <v>312</v>
      </c>
      <c r="L22" s="2" t="s">
        <v>313</v>
      </c>
      <c r="M22" s="2" t="s">
        <v>314</v>
      </c>
      <c r="N22" s="2" t="s">
        <v>315</v>
      </c>
      <c r="O22" s="2" t="s">
        <v>316</v>
      </c>
      <c r="P22" s="2" t="s">
        <v>317</v>
      </c>
      <c r="Q22" s="2" t="s">
        <v>318</v>
      </c>
      <c r="R22" s="2" t="s">
        <v>144</v>
      </c>
      <c r="S22" s="2" t="s">
        <v>319</v>
      </c>
      <c r="T22" s="2" t="s">
        <v>320</v>
      </c>
      <c r="U22" s="2" t="s">
        <v>39</v>
      </c>
      <c r="V22" s="2" t="n">
        <v>2</v>
      </c>
    </row>
    <row r="23">
      <c r="A23" s="2" t="n">
        <v>22</v>
      </c>
      <c r="B23" s="2" t="s">
        <v>321</v>
      </c>
      <c r="C23" s="2" t="n">
        <v>104.035312787</v>
      </c>
      <c r="D23" s="2" t="n">
        <v>6.24350421653762</v>
      </c>
      <c r="E23" s="2" t="s">
        <v>322</v>
      </c>
      <c r="F23" s="2" t="s">
        <v>205</v>
      </c>
      <c r="G23" s="2" t="s">
        <v>323</v>
      </c>
      <c r="H23" s="2" t="s">
        <v>324</v>
      </c>
      <c r="I23" s="2" t="s">
        <v>325</v>
      </c>
      <c r="J23" s="2" t="s">
        <v>326</v>
      </c>
      <c r="K23" s="2" t="s">
        <v>91</v>
      </c>
      <c r="L23" s="2" t="s">
        <v>327</v>
      </c>
      <c r="M23" s="2" t="s">
        <v>328</v>
      </c>
      <c r="N23" s="2" t="s">
        <v>329</v>
      </c>
      <c r="O23" s="2" t="s">
        <v>330</v>
      </c>
      <c r="P23" s="2" t="s">
        <v>331</v>
      </c>
      <c r="Q23" s="2" t="s">
        <v>332</v>
      </c>
      <c r="R23" s="2" t="s">
        <v>144</v>
      </c>
      <c r="S23" s="2" t="s">
        <v>333</v>
      </c>
      <c r="T23" s="2" t="s">
        <v>334</v>
      </c>
      <c r="U23" s="2" t="s">
        <v>56</v>
      </c>
      <c r="V23" s="2" t="n">
        <v>2</v>
      </c>
    </row>
    <row r="24">
      <c r="A24" s="2" t="n">
        <v>23</v>
      </c>
      <c r="B24" s="2" t="s">
        <v>335</v>
      </c>
      <c r="C24" s="2" t="n">
        <v>106.980838684</v>
      </c>
      <c r="D24" s="2" t="n">
        <v>1.2831862943076</v>
      </c>
      <c r="E24" s="2" t="s">
        <v>336</v>
      </c>
      <c r="F24" s="2" t="s">
        <v>24</v>
      </c>
      <c r="G24" s="2" t="s">
        <v>337</v>
      </c>
      <c r="H24" s="2" t="s">
        <v>338</v>
      </c>
      <c r="I24" s="2" t="s">
        <v>339</v>
      </c>
      <c r="J24" s="2" t="s">
        <v>340</v>
      </c>
      <c r="K24" s="2" t="s">
        <v>29</v>
      </c>
      <c r="L24" s="2" t="s">
        <v>29</v>
      </c>
      <c r="M24" s="2" t="s">
        <v>29</v>
      </c>
      <c r="N24" s="2" t="s">
        <v>341</v>
      </c>
      <c r="O24" s="2" t="s">
        <v>29</v>
      </c>
      <c r="P24" s="2" t="s">
        <v>342</v>
      </c>
      <c r="Q24" s="2" t="s">
        <v>343</v>
      </c>
      <c r="R24" s="2" t="s">
        <v>36</v>
      </c>
      <c r="S24" s="2" t="s">
        <v>344</v>
      </c>
      <c r="T24" s="2" t="s">
        <v>345</v>
      </c>
      <c r="U24" s="2" t="s">
        <v>29</v>
      </c>
      <c r="V24" s="2" t="n">
        <v>1</v>
      </c>
    </row>
    <row r="25">
      <c r="A25" s="2" t="n">
        <v>24</v>
      </c>
      <c r="B25" s="2" t="s">
        <v>346</v>
      </c>
      <c r="C25" s="2" t="n">
        <v>108.021678401</v>
      </c>
      <c r="D25" s="2" t="n">
        <v>1.64988525504865</v>
      </c>
      <c r="E25" s="2" t="s">
        <v>347</v>
      </c>
      <c r="F25" s="2" t="s">
        <v>24</v>
      </c>
      <c r="G25" s="2" t="s">
        <v>348</v>
      </c>
      <c r="H25" s="2" t="s">
        <v>349</v>
      </c>
      <c r="I25" s="2" t="s">
        <v>350</v>
      </c>
      <c r="J25" s="2" t="s">
        <v>351</v>
      </c>
      <c r="K25" s="2" t="s">
        <v>29</v>
      </c>
      <c r="L25" s="2" t="s">
        <v>352</v>
      </c>
      <c r="M25" s="2" t="s">
        <v>353</v>
      </c>
      <c r="N25" s="2" t="s">
        <v>354</v>
      </c>
      <c r="O25" s="2" t="s">
        <v>29</v>
      </c>
      <c r="P25" s="2" t="s">
        <v>355</v>
      </c>
      <c r="Q25" s="2" t="s">
        <v>356</v>
      </c>
      <c r="R25" s="2" t="s">
        <v>186</v>
      </c>
      <c r="S25" s="2" t="s">
        <v>357</v>
      </c>
      <c r="T25" s="2" t="s">
        <v>358</v>
      </c>
      <c r="U25" s="2" t="s">
        <v>101</v>
      </c>
      <c r="V25" s="2" t="n">
        <v>1</v>
      </c>
    </row>
    <row r="26">
      <c r="A26" s="2" t="n">
        <v>25</v>
      </c>
      <c r="B26" s="2" t="s">
        <v>359</v>
      </c>
      <c r="C26" s="2" t="n">
        <v>109.040186506</v>
      </c>
      <c r="D26" s="2" t="n">
        <v>9.4456113582678</v>
      </c>
      <c r="E26" s="2" t="s">
        <v>360</v>
      </c>
      <c r="F26" s="2" t="s">
        <v>161</v>
      </c>
      <c r="G26" s="2" t="s">
        <v>361</v>
      </c>
      <c r="H26" s="2" t="s">
        <v>362</v>
      </c>
      <c r="I26" s="2" t="s">
        <v>363</v>
      </c>
      <c r="J26" s="2" t="s">
        <v>29</v>
      </c>
      <c r="K26" s="2" t="s">
        <v>29</v>
      </c>
      <c r="L26" s="2" t="s">
        <v>364</v>
      </c>
      <c r="M26" s="2" t="s">
        <v>29</v>
      </c>
      <c r="N26" s="2" t="s">
        <v>365</v>
      </c>
      <c r="O26" s="2" t="s">
        <v>366</v>
      </c>
      <c r="P26" s="2" t="s">
        <v>367</v>
      </c>
      <c r="Q26" s="2" t="s">
        <v>368</v>
      </c>
      <c r="R26" s="2" t="s">
        <v>114</v>
      </c>
      <c r="S26" s="2" t="s">
        <v>369</v>
      </c>
      <c r="T26" s="2" t="s">
        <v>370</v>
      </c>
      <c r="U26" s="2" t="s">
        <v>56</v>
      </c>
      <c r="V26" s="2" t="n">
        <v>1</v>
      </c>
    </row>
    <row r="27">
      <c r="A27" s="2" t="n">
        <v>26</v>
      </c>
      <c r="B27" s="2" t="s">
        <v>371</v>
      </c>
      <c r="C27" s="2" t="n">
        <v>109.065888942</v>
      </c>
      <c r="D27" s="2" t="n">
        <v>5.16526607306852</v>
      </c>
      <c r="E27" s="2" t="s">
        <v>372</v>
      </c>
      <c r="F27" s="2" t="s">
        <v>24</v>
      </c>
      <c r="G27" s="2" t="s">
        <v>373</v>
      </c>
      <c r="H27" s="2" t="s">
        <v>374</v>
      </c>
      <c r="I27" s="2" t="s">
        <v>375</v>
      </c>
      <c r="J27" s="2" t="s">
        <v>376</v>
      </c>
      <c r="K27" s="2" t="s">
        <v>195</v>
      </c>
      <c r="L27" s="2" t="s">
        <v>195</v>
      </c>
      <c r="M27" s="2" t="s">
        <v>377</v>
      </c>
      <c r="N27" s="2" t="s">
        <v>378</v>
      </c>
      <c r="O27" s="2" t="s">
        <v>379</v>
      </c>
      <c r="P27" s="2" t="s">
        <v>380</v>
      </c>
      <c r="Q27" s="2" t="s">
        <v>381</v>
      </c>
      <c r="R27" s="2" t="s">
        <v>382</v>
      </c>
      <c r="S27" s="2" t="s">
        <v>383</v>
      </c>
      <c r="T27" s="2" t="s">
        <v>384</v>
      </c>
      <c r="U27" s="2" t="s">
        <v>56</v>
      </c>
      <c r="V27" s="2" t="n">
        <v>3</v>
      </c>
    </row>
    <row r="28">
      <c r="A28" s="2" t="n">
        <v>27</v>
      </c>
      <c r="B28" s="2" t="s">
        <v>385</v>
      </c>
      <c r="C28" s="2" t="n">
        <v>110.024752409</v>
      </c>
      <c r="D28" s="2" t="n">
        <v>3.65481920564722</v>
      </c>
      <c r="E28" s="2" t="s">
        <v>386</v>
      </c>
      <c r="F28" s="2" t="s">
        <v>24</v>
      </c>
      <c r="G28" s="2" t="s">
        <v>387</v>
      </c>
      <c r="H28" s="2" t="s">
        <v>388</v>
      </c>
      <c r="I28" s="2" t="s">
        <v>389</v>
      </c>
      <c r="J28" s="2" t="s">
        <v>390</v>
      </c>
      <c r="K28" s="2" t="s">
        <v>29</v>
      </c>
      <c r="L28" s="2" t="s">
        <v>391</v>
      </c>
      <c r="M28" s="2" t="s">
        <v>392</v>
      </c>
      <c r="N28" s="2" t="s">
        <v>393</v>
      </c>
      <c r="O28" s="2" t="s">
        <v>394</v>
      </c>
      <c r="P28" s="2" t="s">
        <v>395</v>
      </c>
      <c r="Q28" s="2" t="s">
        <v>396</v>
      </c>
      <c r="R28" s="2" t="s">
        <v>114</v>
      </c>
      <c r="S28" s="2" t="s">
        <v>397</v>
      </c>
      <c r="T28" s="2" t="s">
        <v>398</v>
      </c>
      <c r="U28" s="2" t="s">
        <v>56</v>
      </c>
      <c r="V28" s="2" t="n">
        <v>1</v>
      </c>
    </row>
    <row r="29">
      <c r="A29" s="2" t="n">
        <v>28</v>
      </c>
      <c r="B29" s="2" t="s">
        <v>399</v>
      </c>
      <c r="C29" s="2" t="n">
        <v>111.00821768</v>
      </c>
      <c r="D29" s="2" t="n">
        <v>17.2973206895074</v>
      </c>
      <c r="E29" s="2" t="s">
        <v>400</v>
      </c>
      <c r="F29" s="2" t="s">
        <v>161</v>
      </c>
      <c r="G29" s="2" t="s">
        <v>401</v>
      </c>
      <c r="H29" s="2" t="s">
        <v>402</v>
      </c>
      <c r="I29" s="2" t="s">
        <v>403</v>
      </c>
      <c r="J29" s="2" t="s">
        <v>404</v>
      </c>
      <c r="K29" s="2" t="s">
        <v>405</v>
      </c>
      <c r="L29" s="2" t="s">
        <v>406</v>
      </c>
      <c r="M29" s="2" t="s">
        <v>407</v>
      </c>
      <c r="N29" s="2" t="s">
        <v>408</v>
      </c>
      <c r="O29" s="2" t="s">
        <v>409</v>
      </c>
      <c r="P29" s="2" t="s">
        <v>410</v>
      </c>
      <c r="Q29" s="2" t="s">
        <v>411</v>
      </c>
      <c r="R29" s="2" t="s">
        <v>412</v>
      </c>
      <c r="S29" s="2" t="s">
        <v>413</v>
      </c>
      <c r="T29" s="2" t="s">
        <v>414</v>
      </c>
      <c r="U29" s="2" t="s">
        <v>39</v>
      </c>
      <c r="V29" s="2" t="n">
        <v>2</v>
      </c>
    </row>
    <row r="30">
      <c r="A30" s="2" t="n">
        <v>29</v>
      </c>
      <c r="B30" s="2" t="s">
        <v>415</v>
      </c>
      <c r="C30" s="2" t="n">
        <v>111.0218315</v>
      </c>
      <c r="D30" s="2" t="n">
        <v>6.24929758262093</v>
      </c>
      <c r="E30" s="2" t="s">
        <v>416</v>
      </c>
      <c r="F30" s="2" t="s">
        <v>86</v>
      </c>
      <c r="G30" s="2" t="s">
        <v>417</v>
      </c>
      <c r="H30" s="2" t="s">
        <v>418</v>
      </c>
      <c r="I30" s="2" t="s">
        <v>419</v>
      </c>
      <c r="J30" s="2" t="s">
        <v>420</v>
      </c>
      <c r="K30" s="2" t="s">
        <v>91</v>
      </c>
      <c r="L30" s="2" t="s">
        <v>421</v>
      </c>
      <c r="M30" s="2" t="s">
        <v>422</v>
      </c>
      <c r="N30" s="2" t="s">
        <v>423</v>
      </c>
      <c r="O30" s="2" t="s">
        <v>424</v>
      </c>
      <c r="P30" s="2" t="s">
        <v>425</v>
      </c>
      <c r="Q30" s="2" t="s">
        <v>426</v>
      </c>
      <c r="R30" s="2" t="s">
        <v>427</v>
      </c>
      <c r="S30" s="2" t="s">
        <v>428</v>
      </c>
      <c r="T30" s="2" t="s">
        <v>429</v>
      </c>
      <c r="U30" s="2" t="s">
        <v>101</v>
      </c>
      <c r="V30" s="2" t="n">
        <v>2</v>
      </c>
    </row>
    <row r="31">
      <c r="A31" s="2" t="n">
        <v>30</v>
      </c>
      <c r="B31" s="2" t="s">
        <v>430</v>
      </c>
      <c r="C31" s="2" t="n">
        <v>113.024418058</v>
      </c>
      <c r="D31" s="2" t="n">
        <v>12.145100288218</v>
      </c>
      <c r="E31" s="2" t="s">
        <v>431</v>
      </c>
      <c r="F31" s="2" t="s">
        <v>24</v>
      </c>
      <c r="G31" s="2" t="s">
        <v>432</v>
      </c>
      <c r="H31" s="2" t="s">
        <v>433</v>
      </c>
      <c r="I31" s="2" t="s">
        <v>434</v>
      </c>
      <c r="J31" s="2" t="s">
        <v>435</v>
      </c>
      <c r="K31" s="2" t="s">
        <v>29</v>
      </c>
      <c r="L31" s="2" t="s">
        <v>29</v>
      </c>
      <c r="M31" s="2" t="s">
        <v>436</v>
      </c>
      <c r="N31" s="2" t="s">
        <v>437</v>
      </c>
      <c r="O31" s="2" t="s">
        <v>438</v>
      </c>
      <c r="P31" s="2" t="s">
        <v>439</v>
      </c>
      <c r="Q31" s="2" t="s">
        <v>440</v>
      </c>
      <c r="R31" s="2" t="s">
        <v>114</v>
      </c>
      <c r="S31" s="2" t="s">
        <v>115</v>
      </c>
      <c r="T31" s="2" t="s">
        <v>116</v>
      </c>
      <c r="U31" s="2" t="s">
        <v>56</v>
      </c>
      <c r="V31" s="2" t="n">
        <v>1</v>
      </c>
    </row>
    <row r="32">
      <c r="A32" s="2" t="n">
        <v>31</v>
      </c>
      <c r="B32" s="2" t="s">
        <v>441</v>
      </c>
      <c r="C32" s="2" t="n">
        <v>114.056048229</v>
      </c>
      <c r="D32" s="2" t="n">
        <v>7.91514173268796</v>
      </c>
      <c r="E32" s="2" t="s">
        <v>442</v>
      </c>
      <c r="F32" s="2" t="s">
        <v>205</v>
      </c>
      <c r="G32" s="2" t="s">
        <v>443</v>
      </c>
      <c r="H32" s="2" t="s">
        <v>444</v>
      </c>
      <c r="I32" s="2" t="s">
        <v>445</v>
      </c>
      <c r="J32" s="2" t="s">
        <v>446</v>
      </c>
      <c r="K32" s="2" t="s">
        <v>29</v>
      </c>
      <c r="L32" s="2" t="s">
        <v>447</v>
      </c>
      <c r="M32" s="2" t="s">
        <v>448</v>
      </c>
      <c r="N32" s="2" t="s">
        <v>449</v>
      </c>
      <c r="O32" s="2" t="s">
        <v>450</v>
      </c>
      <c r="P32" s="2" t="s">
        <v>451</v>
      </c>
      <c r="Q32" s="2" t="s">
        <v>452</v>
      </c>
      <c r="R32" s="2" t="s">
        <v>114</v>
      </c>
      <c r="S32" s="2" t="s">
        <v>453</v>
      </c>
      <c r="T32" s="2" t="s">
        <v>215</v>
      </c>
      <c r="U32" s="2" t="s">
        <v>101</v>
      </c>
      <c r="V32" s="2" t="n">
        <v>1</v>
      </c>
    </row>
    <row r="33">
      <c r="A33" s="2" t="n">
        <v>32</v>
      </c>
      <c r="B33" s="2" t="s">
        <v>454</v>
      </c>
      <c r="C33" s="2" t="n">
        <v>114.935847425</v>
      </c>
      <c r="D33" s="2" t="n">
        <v>3.32102018680748</v>
      </c>
      <c r="E33" s="2" t="s">
        <v>455</v>
      </c>
      <c r="F33" s="2" t="s">
        <v>218</v>
      </c>
      <c r="G33" s="2" t="s">
        <v>456</v>
      </c>
      <c r="H33" s="2" t="s">
        <v>457</v>
      </c>
      <c r="I33" s="2" t="s">
        <v>458</v>
      </c>
      <c r="J33" s="2" t="s">
        <v>459</v>
      </c>
      <c r="K33" s="2" t="s">
        <v>29</v>
      </c>
      <c r="L33" s="2" t="s">
        <v>460</v>
      </c>
      <c r="M33" s="2" t="s">
        <v>461</v>
      </c>
      <c r="N33" s="2" t="s">
        <v>462</v>
      </c>
      <c r="O33" s="2" t="s">
        <v>463</v>
      </c>
      <c r="P33" s="2" t="s">
        <v>464</v>
      </c>
      <c r="Q33" s="2" t="s">
        <v>465</v>
      </c>
      <c r="R33" s="2" t="s">
        <v>213</v>
      </c>
      <c r="S33" s="2" t="s">
        <v>466</v>
      </c>
      <c r="T33" s="2" t="s">
        <v>215</v>
      </c>
      <c r="U33" s="2" t="s">
        <v>101</v>
      </c>
      <c r="V33" s="2" t="n">
        <v>1</v>
      </c>
    </row>
    <row r="34">
      <c r="A34" s="2" t="n">
        <v>33</v>
      </c>
      <c r="B34" s="2" t="s">
        <v>467</v>
      </c>
      <c r="C34" s="2" t="n">
        <v>115.003678308</v>
      </c>
      <c r="D34" s="2" t="n">
        <v>8.24985501890428</v>
      </c>
      <c r="E34" s="2" t="s">
        <v>468</v>
      </c>
      <c r="F34" s="2" t="s">
        <v>205</v>
      </c>
      <c r="G34" s="2" t="s">
        <v>469</v>
      </c>
      <c r="H34" s="2" t="s">
        <v>470</v>
      </c>
      <c r="I34" s="2" t="s">
        <v>471</v>
      </c>
      <c r="J34" s="2" t="s">
        <v>472</v>
      </c>
      <c r="K34" s="2" t="s">
        <v>29</v>
      </c>
      <c r="L34" s="2" t="s">
        <v>473</v>
      </c>
      <c r="M34" s="2" t="s">
        <v>474</v>
      </c>
      <c r="N34" s="2" t="s">
        <v>475</v>
      </c>
      <c r="O34" s="2" t="s">
        <v>476</v>
      </c>
      <c r="P34" s="2" t="s">
        <v>477</v>
      </c>
      <c r="Q34" s="2" t="s">
        <v>478</v>
      </c>
      <c r="R34" s="2" t="s">
        <v>36</v>
      </c>
      <c r="S34" s="2" t="s">
        <v>37</v>
      </c>
      <c r="T34" s="2" t="s">
        <v>38</v>
      </c>
      <c r="U34" s="2" t="s">
        <v>56</v>
      </c>
      <c r="V34" s="2" t="n">
        <v>1</v>
      </c>
    </row>
    <row r="35">
      <c r="A35" s="2" t="n">
        <v>34</v>
      </c>
      <c r="B35" s="2" t="s">
        <v>479</v>
      </c>
      <c r="C35" s="2" t="n">
        <v>115.022309568</v>
      </c>
      <c r="D35" s="2" t="n">
        <v>6.76909939319939</v>
      </c>
      <c r="E35" s="2" t="s">
        <v>480</v>
      </c>
      <c r="F35" s="2" t="s">
        <v>24</v>
      </c>
      <c r="G35" s="2" t="s">
        <v>481</v>
      </c>
      <c r="H35" s="2" t="s">
        <v>482</v>
      </c>
      <c r="I35" s="2" t="s">
        <v>483</v>
      </c>
      <c r="J35" s="2" t="s">
        <v>484</v>
      </c>
      <c r="K35" s="2" t="s">
        <v>195</v>
      </c>
      <c r="L35" s="2" t="s">
        <v>195</v>
      </c>
      <c r="M35" s="2" t="s">
        <v>485</v>
      </c>
      <c r="N35" s="2" t="s">
        <v>486</v>
      </c>
      <c r="O35" s="2" t="s">
        <v>487</v>
      </c>
      <c r="P35" s="2" t="s">
        <v>488</v>
      </c>
      <c r="Q35" s="2" t="s">
        <v>489</v>
      </c>
      <c r="R35" s="2" t="s">
        <v>490</v>
      </c>
      <c r="S35" s="2" t="s">
        <v>491</v>
      </c>
      <c r="T35" s="2" t="s">
        <v>492</v>
      </c>
      <c r="U35" s="2" t="s">
        <v>56</v>
      </c>
      <c r="V35" s="2" t="n">
        <v>3</v>
      </c>
    </row>
    <row r="36">
      <c r="A36" s="2" t="n">
        <v>35</v>
      </c>
      <c r="B36" s="2" t="s">
        <v>493</v>
      </c>
      <c r="C36" s="2" t="n">
        <v>116.03982729</v>
      </c>
      <c r="D36" s="2" t="n">
        <v>5.96667876531265</v>
      </c>
      <c r="E36" s="2" t="s">
        <v>494</v>
      </c>
      <c r="F36" s="2" t="s">
        <v>86</v>
      </c>
      <c r="G36" s="2" t="s">
        <v>495</v>
      </c>
      <c r="H36" s="2" t="s">
        <v>496</v>
      </c>
      <c r="I36" s="2" t="s">
        <v>497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498</v>
      </c>
      <c r="O36" s="2" t="s">
        <v>29</v>
      </c>
      <c r="P36" s="2" t="s">
        <v>499</v>
      </c>
      <c r="Q36" s="2" t="s">
        <v>500</v>
      </c>
      <c r="R36" s="2" t="s">
        <v>501</v>
      </c>
      <c r="S36" s="2" t="s">
        <v>502</v>
      </c>
      <c r="T36" s="2" t="s">
        <v>503</v>
      </c>
      <c r="U36" s="2" t="s">
        <v>29</v>
      </c>
      <c r="V36" s="2" t="n">
        <v>1</v>
      </c>
    </row>
    <row r="37">
      <c r="A37" s="2" t="n">
        <v>36</v>
      </c>
      <c r="B37" s="2" t="s">
        <v>504</v>
      </c>
      <c r="C37" s="2" t="n">
        <v>117.01933268</v>
      </c>
      <c r="D37" s="2" t="n">
        <v>14.4428239634309</v>
      </c>
      <c r="E37" s="2" t="s">
        <v>505</v>
      </c>
      <c r="F37" s="2" t="s">
        <v>24</v>
      </c>
      <c r="G37" s="2" t="s">
        <v>506</v>
      </c>
      <c r="H37" s="2" t="s">
        <v>507</v>
      </c>
      <c r="I37" s="2" t="s">
        <v>508</v>
      </c>
      <c r="J37" s="2" t="s">
        <v>509</v>
      </c>
      <c r="K37" s="2" t="s">
        <v>510</v>
      </c>
      <c r="L37" s="2" t="s">
        <v>511</v>
      </c>
      <c r="M37" s="2" t="s">
        <v>512</v>
      </c>
      <c r="N37" s="2" t="s">
        <v>513</v>
      </c>
      <c r="O37" s="2" t="s">
        <v>514</v>
      </c>
      <c r="P37" s="2" t="s">
        <v>515</v>
      </c>
      <c r="Q37" s="2" t="s">
        <v>516</v>
      </c>
      <c r="R37" s="2" t="s">
        <v>36</v>
      </c>
      <c r="S37" s="2" t="s">
        <v>37</v>
      </c>
      <c r="T37" s="2" t="s">
        <v>242</v>
      </c>
      <c r="U37" s="2" t="s">
        <v>39</v>
      </c>
      <c r="V37" s="2" t="n">
        <v>1</v>
      </c>
    </row>
    <row r="38">
      <c r="A38" s="2" t="n">
        <v>37</v>
      </c>
      <c r="B38" s="2" t="s">
        <v>517</v>
      </c>
      <c r="C38" s="2" t="n">
        <v>118.050967159</v>
      </c>
      <c r="D38" s="2" t="n">
        <v>13.9855209523631</v>
      </c>
      <c r="E38" s="2" t="s">
        <v>518</v>
      </c>
      <c r="F38" s="2" t="s">
        <v>24</v>
      </c>
      <c r="G38" s="2" t="s">
        <v>519</v>
      </c>
      <c r="H38" s="2" t="s">
        <v>520</v>
      </c>
      <c r="I38" s="2" t="s">
        <v>521</v>
      </c>
      <c r="J38" s="2" t="s">
        <v>522</v>
      </c>
      <c r="K38" s="2" t="s">
        <v>29</v>
      </c>
      <c r="L38" s="2" t="s">
        <v>523</v>
      </c>
      <c r="M38" s="2" t="s">
        <v>524</v>
      </c>
      <c r="N38" s="2" t="s">
        <v>525</v>
      </c>
      <c r="O38" s="2" t="s">
        <v>526</v>
      </c>
      <c r="P38" s="2" t="s">
        <v>527</v>
      </c>
      <c r="Q38" s="2" t="s">
        <v>528</v>
      </c>
      <c r="R38" s="2" t="s">
        <v>36</v>
      </c>
      <c r="S38" s="2" t="s">
        <v>37</v>
      </c>
      <c r="T38" s="2" t="s">
        <v>69</v>
      </c>
      <c r="U38" s="2" t="s">
        <v>39</v>
      </c>
      <c r="V38" s="2" t="n">
        <v>1</v>
      </c>
    </row>
    <row r="39">
      <c r="A39" s="2" t="n">
        <v>38</v>
      </c>
      <c r="B39" s="2" t="s">
        <v>529</v>
      </c>
      <c r="C39" s="2" t="n">
        <v>118.993687882</v>
      </c>
      <c r="D39" s="2" t="n">
        <v>3.41707014264931</v>
      </c>
      <c r="E39" s="2" t="s">
        <v>530</v>
      </c>
      <c r="F39" s="2" t="s">
        <v>531</v>
      </c>
      <c r="G39" s="2" t="s">
        <v>532</v>
      </c>
      <c r="H39" s="2" t="s">
        <v>533</v>
      </c>
      <c r="I39" s="2" t="s">
        <v>534</v>
      </c>
      <c r="J39" s="2" t="s">
        <v>535</v>
      </c>
      <c r="K39" s="2" t="s">
        <v>91</v>
      </c>
      <c r="L39" s="2" t="s">
        <v>91</v>
      </c>
      <c r="M39" s="2" t="s">
        <v>536</v>
      </c>
      <c r="N39" s="2" t="s">
        <v>537</v>
      </c>
      <c r="O39" s="2" t="s">
        <v>538</v>
      </c>
      <c r="P39" s="2" t="s">
        <v>539</v>
      </c>
      <c r="Q39" s="2" t="s">
        <v>540</v>
      </c>
      <c r="R39" s="2" t="s">
        <v>541</v>
      </c>
      <c r="S39" s="2" t="s">
        <v>542</v>
      </c>
      <c r="T39" s="2" t="s">
        <v>543</v>
      </c>
      <c r="U39" s="2" t="s">
        <v>29</v>
      </c>
      <c r="V39" s="2" t="n">
        <v>2</v>
      </c>
    </row>
    <row r="40">
      <c r="A40" s="2" t="n">
        <v>39</v>
      </c>
      <c r="B40" s="2" t="s">
        <v>544</v>
      </c>
      <c r="C40" s="2" t="n">
        <v>119.086624384</v>
      </c>
      <c r="D40" s="2" t="n">
        <v>5.69502415392938</v>
      </c>
      <c r="E40" s="2" t="s">
        <v>545</v>
      </c>
      <c r="F40" s="2" t="s">
        <v>24</v>
      </c>
      <c r="G40" s="2" t="s">
        <v>546</v>
      </c>
      <c r="H40" s="2" t="s">
        <v>547</v>
      </c>
      <c r="I40" s="2" t="s">
        <v>548</v>
      </c>
      <c r="J40" s="2" t="s">
        <v>549</v>
      </c>
      <c r="K40" s="2" t="s">
        <v>29</v>
      </c>
      <c r="L40" s="2" t="s">
        <v>550</v>
      </c>
      <c r="M40" s="2" t="s">
        <v>551</v>
      </c>
      <c r="N40" s="2" t="s">
        <v>552</v>
      </c>
      <c r="O40" s="2" t="s">
        <v>553</v>
      </c>
      <c r="P40" s="2" t="s">
        <v>554</v>
      </c>
      <c r="Q40" s="2" t="s">
        <v>555</v>
      </c>
      <c r="R40" s="2" t="s">
        <v>186</v>
      </c>
      <c r="S40" s="2" t="s">
        <v>187</v>
      </c>
      <c r="T40" s="2" t="s">
        <v>215</v>
      </c>
      <c r="U40" s="2" t="s">
        <v>56</v>
      </c>
      <c r="V40" s="2" t="n">
        <v>1</v>
      </c>
    </row>
    <row r="41">
      <c r="A41" s="2" t="n">
        <v>40</v>
      </c>
      <c r="B41" s="2" t="s">
        <v>556</v>
      </c>
      <c r="C41" s="2" t="n">
        <v>120.041460793</v>
      </c>
      <c r="D41" s="2" t="n">
        <v>16.3819340610895</v>
      </c>
      <c r="E41" s="2" t="s">
        <v>557</v>
      </c>
      <c r="F41" s="2" t="s">
        <v>205</v>
      </c>
      <c r="G41" s="2" t="s">
        <v>558</v>
      </c>
      <c r="H41" s="2" t="s">
        <v>559</v>
      </c>
      <c r="I41" s="2" t="s">
        <v>560</v>
      </c>
      <c r="J41" s="2" t="s">
        <v>561</v>
      </c>
      <c r="K41" s="2" t="s">
        <v>29</v>
      </c>
      <c r="L41" s="2" t="s">
        <v>562</v>
      </c>
      <c r="M41" s="2" t="s">
        <v>563</v>
      </c>
      <c r="N41" s="2" t="s">
        <v>564</v>
      </c>
      <c r="O41" s="2" t="s">
        <v>565</v>
      </c>
      <c r="P41" s="2" t="s">
        <v>566</v>
      </c>
      <c r="Q41" s="2" t="s">
        <v>567</v>
      </c>
      <c r="R41" s="2" t="s">
        <v>36</v>
      </c>
      <c r="S41" s="2" t="s">
        <v>568</v>
      </c>
      <c r="T41" s="2" t="s">
        <v>215</v>
      </c>
      <c r="U41" s="2" t="s">
        <v>101</v>
      </c>
      <c r="V41" s="2" t="n">
        <v>1</v>
      </c>
    </row>
    <row r="42">
      <c r="A42" s="2" t="n">
        <v>41</v>
      </c>
      <c r="B42" s="2" t="s">
        <v>569</v>
      </c>
      <c r="C42" s="2" t="n">
        <v>124.99140337</v>
      </c>
      <c r="D42" s="2" t="n">
        <v>4.40891889152149</v>
      </c>
      <c r="E42" s="2" t="s">
        <v>570</v>
      </c>
      <c r="F42" s="2" t="s">
        <v>24</v>
      </c>
      <c r="G42" s="2" t="s">
        <v>571</v>
      </c>
      <c r="H42" s="2" t="s">
        <v>572</v>
      </c>
      <c r="I42" s="2" t="s">
        <v>573</v>
      </c>
      <c r="J42" s="2" t="s">
        <v>574</v>
      </c>
      <c r="K42" s="2" t="s">
        <v>29</v>
      </c>
      <c r="L42" s="2" t="s">
        <v>575</v>
      </c>
      <c r="M42" s="2" t="s">
        <v>576</v>
      </c>
      <c r="N42" s="2" t="s">
        <v>577</v>
      </c>
      <c r="O42" s="2" t="s">
        <v>578</v>
      </c>
      <c r="P42" s="2" t="s">
        <v>579</v>
      </c>
      <c r="Q42" s="2" t="s">
        <v>580</v>
      </c>
      <c r="R42" s="2" t="s">
        <v>36</v>
      </c>
      <c r="S42" s="2" t="s">
        <v>344</v>
      </c>
      <c r="T42" s="2" t="s">
        <v>345</v>
      </c>
      <c r="U42" s="2" t="s">
        <v>56</v>
      </c>
      <c r="V42" s="2" t="n">
        <v>1</v>
      </c>
    </row>
    <row r="43">
      <c r="A43" s="2" t="n">
        <v>42</v>
      </c>
      <c r="B43" s="2" t="s">
        <v>581</v>
      </c>
      <c r="C43" s="2" t="n">
        <v>125.012329441</v>
      </c>
      <c r="D43" s="2" t="n">
        <v>1.89985253463315</v>
      </c>
      <c r="E43" s="2" t="s">
        <v>582</v>
      </c>
      <c r="F43" s="2" t="s">
        <v>86</v>
      </c>
      <c r="G43" s="2" t="s">
        <v>583</v>
      </c>
      <c r="H43" s="2" t="s">
        <v>584</v>
      </c>
      <c r="I43" s="2" t="s">
        <v>585</v>
      </c>
      <c r="J43" s="2" t="s">
        <v>91</v>
      </c>
      <c r="K43" s="2" t="s">
        <v>91</v>
      </c>
      <c r="L43" s="2" t="s">
        <v>91</v>
      </c>
      <c r="M43" s="2" t="s">
        <v>91</v>
      </c>
      <c r="N43" s="2" t="s">
        <v>586</v>
      </c>
      <c r="O43" s="2" t="s">
        <v>91</v>
      </c>
      <c r="P43" s="2" t="s">
        <v>587</v>
      </c>
      <c r="Q43" s="2" t="s">
        <v>588</v>
      </c>
      <c r="R43" s="2" t="s">
        <v>589</v>
      </c>
      <c r="S43" s="2" t="s">
        <v>590</v>
      </c>
      <c r="T43" s="2" t="s">
        <v>591</v>
      </c>
      <c r="U43" s="2" t="s">
        <v>29</v>
      </c>
      <c r="V43" s="2" t="n">
        <v>2</v>
      </c>
    </row>
    <row r="44">
      <c r="A44" s="2" t="n">
        <v>43</v>
      </c>
      <c r="B44" s="2" t="s">
        <v>592</v>
      </c>
      <c r="C44" s="2" t="n">
        <v>125.023562829</v>
      </c>
      <c r="D44" s="2" t="n">
        <v>7.83011459091619</v>
      </c>
      <c r="E44" s="2" t="s">
        <v>593</v>
      </c>
      <c r="F44" s="2" t="s">
        <v>86</v>
      </c>
      <c r="G44" s="2" t="s">
        <v>594</v>
      </c>
      <c r="H44" s="2" t="s">
        <v>595</v>
      </c>
      <c r="I44" s="2" t="s">
        <v>596</v>
      </c>
      <c r="J44" s="2" t="s">
        <v>29</v>
      </c>
      <c r="K44" s="2" t="s">
        <v>29</v>
      </c>
      <c r="L44" s="2" t="s">
        <v>29</v>
      </c>
      <c r="M44" s="2" t="s">
        <v>597</v>
      </c>
      <c r="N44" s="2" t="s">
        <v>598</v>
      </c>
      <c r="O44" s="2" t="s">
        <v>29</v>
      </c>
      <c r="P44" s="2" t="s">
        <v>599</v>
      </c>
      <c r="Q44" s="2" t="s">
        <v>600</v>
      </c>
      <c r="R44" s="2" t="s">
        <v>601</v>
      </c>
      <c r="S44" s="2" t="s">
        <v>602</v>
      </c>
      <c r="T44" s="2" t="s">
        <v>603</v>
      </c>
      <c r="U44" s="2" t="s">
        <v>29</v>
      </c>
      <c r="V44" s="2" t="n">
        <v>1</v>
      </c>
    </row>
    <row r="45">
      <c r="A45" s="2" t="n">
        <v>44</v>
      </c>
      <c r="B45" s="2" t="s">
        <v>604</v>
      </c>
      <c r="C45" s="2" t="n">
        <v>125.060799258</v>
      </c>
      <c r="D45" s="2" t="n">
        <v>15.4243416807148</v>
      </c>
      <c r="E45" s="2" t="s">
        <v>605</v>
      </c>
      <c r="F45" s="2" t="s">
        <v>205</v>
      </c>
      <c r="G45" s="2" t="s">
        <v>606</v>
      </c>
      <c r="H45" s="2" t="s">
        <v>607</v>
      </c>
      <c r="I45" s="2" t="s">
        <v>608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609</v>
      </c>
      <c r="O45" s="2" t="s">
        <v>29</v>
      </c>
      <c r="P45" s="2" t="s">
        <v>610</v>
      </c>
      <c r="Q45" s="2" t="s">
        <v>611</v>
      </c>
      <c r="R45" s="2" t="s">
        <v>501</v>
      </c>
      <c r="S45" s="2" t="s">
        <v>502</v>
      </c>
      <c r="T45" s="2" t="s">
        <v>503</v>
      </c>
      <c r="U45" s="2" t="s">
        <v>29</v>
      </c>
      <c r="V45" s="2" t="n">
        <v>1</v>
      </c>
    </row>
    <row r="46">
      <c r="A46" s="2" t="n">
        <v>45</v>
      </c>
      <c r="B46" s="2" t="s">
        <v>612</v>
      </c>
      <c r="C46" s="2" t="n">
        <v>126.007364109</v>
      </c>
      <c r="D46" s="2" t="n">
        <v>16.5123148619738</v>
      </c>
      <c r="E46" s="2" t="s">
        <v>613</v>
      </c>
      <c r="F46" s="2" t="s">
        <v>531</v>
      </c>
      <c r="G46" s="2" t="s">
        <v>614</v>
      </c>
      <c r="H46" s="2" t="s">
        <v>615</v>
      </c>
      <c r="I46" s="2" t="s">
        <v>616</v>
      </c>
      <c r="J46" s="2" t="s">
        <v>617</v>
      </c>
      <c r="K46" s="2" t="s">
        <v>29</v>
      </c>
      <c r="L46" s="2" t="s">
        <v>29</v>
      </c>
      <c r="M46" s="2" t="s">
        <v>29</v>
      </c>
      <c r="N46" s="2" t="s">
        <v>618</v>
      </c>
      <c r="O46" s="2" t="s">
        <v>619</v>
      </c>
      <c r="P46" s="2" t="s">
        <v>620</v>
      </c>
      <c r="Q46" s="2" t="s">
        <v>621</v>
      </c>
      <c r="R46" s="2" t="s">
        <v>114</v>
      </c>
      <c r="S46" s="2" t="s">
        <v>369</v>
      </c>
      <c r="T46" s="2" t="s">
        <v>370</v>
      </c>
      <c r="U46" s="2" t="s">
        <v>29</v>
      </c>
      <c r="V46" s="2" t="n">
        <v>1</v>
      </c>
    </row>
    <row r="47">
      <c r="A47" s="2" t="n">
        <v>46</v>
      </c>
      <c r="B47" s="2" t="s">
        <v>622</v>
      </c>
      <c r="C47" s="2" t="n">
        <v>127.076453628</v>
      </c>
      <c r="D47" s="2" t="n">
        <v>11.472252530817</v>
      </c>
      <c r="E47" s="2" t="s">
        <v>623</v>
      </c>
      <c r="F47" s="2" t="s">
        <v>24</v>
      </c>
      <c r="G47" s="2" t="s">
        <v>624</v>
      </c>
      <c r="H47" s="2" t="s">
        <v>625</v>
      </c>
      <c r="I47" s="2" t="s">
        <v>626</v>
      </c>
      <c r="J47" s="2" t="s">
        <v>627</v>
      </c>
      <c r="K47" s="2" t="s">
        <v>29</v>
      </c>
      <c r="L47" s="2" t="s">
        <v>628</v>
      </c>
      <c r="M47" s="2" t="s">
        <v>629</v>
      </c>
      <c r="N47" s="2" t="s">
        <v>630</v>
      </c>
      <c r="O47" s="2" t="s">
        <v>631</v>
      </c>
      <c r="P47" s="2" t="s">
        <v>632</v>
      </c>
      <c r="Q47" s="2" t="s">
        <v>633</v>
      </c>
      <c r="R47" s="2" t="s">
        <v>36</v>
      </c>
      <c r="S47" s="2" t="s">
        <v>37</v>
      </c>
      <c r="T47" s="2" t="s">
        <v>38</v>
      </c>
      <c r="U47" s="2" t="s">
        <v>56</v>
      </c>
      <c r="V47" s="2" t="n">
        <v>1</v>
      </c>
    </row>
    <row r="48">
      <c r="A48" s="2" t="n">
        <v>47</v>
      </c>
      <c r="B48" s="2" t="s">
        <v>634</v>
      </c>
      <c r="C48" s="2" t="n">
        <v>128.053944047</v>
      </c>
      <c r="D48" s="2" t="n">
        <v>9.88039927839445</v>
      </c>
      <c r="E48" s="2" t="s">
        <v>635</v>
      </c>
      <c r="F48" s="2" t="s">
        <v>24</v>
      </c>
      <c r="G48" s="2" t="s">
        <v>636</v>
      </c>
      <c r="H48" s="2" t="s">
        <v>637</v>
      </c>
      <c r="I48" s="2" t="s">
        <v>638</v>
      </c>
      <c r="J48" s="2" t="s">
        <v>639</v>
      </c>
      <c r="K48" s="2" t="s">
        <v>29</v>
      </c>
      <c r="L48" s="2" t="s">
        <v>29</v>
      </c>
      <c r="M48" s="2" t="s">
        <v>29</v>
      </c>
      <c r="N48" s="2" t="s">
        <v>640</v>
      </c>
      <c r="O48" s="2" t="s">
        <v>641</v>
      </c>
      <c r="P48" s="2" t="s">
        <v>642</v>
      </c>
      <c r="Q48" s="2" t="s">
        <v>643</v>
      </c>
      <c r="R48" s="2" t="s">
        <v>644</v>
      </c>
      <c r="S48" s="2" t="s">
        <v>645</v>
      </c>
      <c r="T48" s="2" t="s">
        <v>215</v>
      </c>
      <c r="U48" s="2" t="s">
        <v>56</v>
      </c>
      <c r="V48" s="2" t="n">
        <v>1</v>
      </c>
    </row>
    <row r="49">
      <c r="A49" s="2" t="n">
        <v>48</v>
      </c>
      <c r="B49" s="2" t="s">
        <v>646</v>
      </c>
      <c r="C49" s="2" t="n">
        <v>129.022500202</v>
      </c>
      <c r="D49" s="2" t="n">
        <v>12.6590464444584</v>
      </c>
      <c r="E49" s="2" t="s">
        <v>647</v>
      </c>
      <c r="F49" s="2" t="s">
        <v>86</v>
      </c>
      <c r="G49" s="2" t="s">
        <v>648</v>
      </c>
      <c r="H49" s="2" t="s">
        <v>649</v>
      </c>
      <c r="I49" s="2" t="s">
        <v>650</v>
      </c>
      <c r="J49" s="2" t="s">
        <v>651</v>
      </c>
      <c r="K49" s="2" t="s">
        <v>29</v>
      </c>
      <c r="L49" s="2" t="s">
        <v>29</v>
      </c>
      <c r="M49" s="2" t="s">
        <v>29</v>
      </c>
      <c r="N49" s="2" t="s">
        <v>652</v>
      </c>
      <c r="O49" s="2" t="s">
        <v>653</v>
      </c>
      <c r="P49" s="2" t="s">
        <v>654</v>
      </c>
      <c r="Q49" s="2" t="s">
        <v>655</v>
      </c>
      <c r="R49" s="2" t="s">
        <v>114</v>
      </c>
      <c r="S49" s="2" t="s">
        <v>369</v>
      </c>
      <c r="T49" s="2" t="s">
        <v>656</v>
      </c>
      <c r="U49" s="2" t="s">
        <v>56</v>
      </c>
      <c r="V49" s="2" t="n">
        <v>1</v>
      </c>
    </row>
    <row r="50">
      <c r="A50" s="2" t="n">
        <v>49</v>
      </c>
      <c r="B50" s="2" t="s">
        <v>657</v>
      </c>
      <c r="C50" s="2" t="n">
        <v>129.037409318</v>
      </c>
      <c r="D50" s="2" t="n">
        <v>11.9552452584946</v>
      </c>
      <c r="E50" s="2" t="s">
        <v>658</v>
      </c>
      <c r="F50" s="2" t="s">
        <v>161</v>
      </c>
      <c r="G50" s="2" t="s">
        <v>659</v>
      </c>
      <c r="H50" s="2" t="s">
        <v>660</v>
      </c>
      <c r="I50" s="2" t="s">
        <v>661</v>
      </c>
      <c r="J50" s="2" t="s">
        <v>662</v>
      </c>
      <c r="K50" s="2" t="s">
        <v>663</v>
      </c>
      <c r="L50" s="2" t="s">
        <v>195</v>
      </c>
      <c r="M50" s="2" t="s">
        <v>195</v>
      </c>
      <c r="N50" s="2" t="s">
        <v>664</v>
      </c>
      <c r="O50" s="2" t="s">
        <v>665</v>
      </c>
      <c r="P50" s="2" t="s">
        <v>666</v>
      </c>
      <c r="Q50" s="2" t="s">
        <v>667</v>
      </c>
      <c r="R50" s="2" t="s">
        <v>255</v>
      </c>
      <c r="S50" s="2" t="s">
        <v>256</v>
      </c>
      <c r="T50" s="2" t="s">
        <v>668</v>
      </c>
      <c r="U50" s="2" t="s">
        <v>56</v>
      </c>
      <c r="V50" s="2" t="n">
        <v>3</v>
      </c>
    </row>
    <row r="51">
      <c r="A51" s="2" t="n">
        <v>50</v>
      </c>
      <c r="B51" s="2" t="s">
        <v>669</v>
      </c>
      <c r="C51" s="2" t="n">
        <v>131.036320148</v>
      </c>
      <c r="D51" s="2" t="n">
        <v>4.93150427161964</v>
      </c>
      <c r="E51" s="2" t="s">
        <v>670</v>
      </c>
      <c r="F51" s="2" t="s">
        <v>24</v>
      </c>
      <c r="G51" s="2" t="s">
        <v>671</v>
      </c>
      <c r="H51" s="2" t="s">
        <v>672</v>
      </c>
      <c r="I51" s="2" t="s">
        <v>673</v>
      </c>
      <c r="J51" s="2" t="s">
        <v>674</v>
      </c>
      <c r="K51" s="2" t="s">
        <v>29</v>
      </c>
      <c r="L51" s="2" t="s">
        <v>675</v>
      </c>
      <c r="M51" s="2" t="s">
        <v>676</v>
      </c>
      <c r="N51" s="2" t="s">
        <v>677</v>
      </c>
      <c r="O51" s="2" t="s">
        <v>29</v>
      </c>
      <c r="P51" s="2" t="s">
        <v>678</v>
      </c>
      <c r="Q51" s="2" t="s">
        <v>679</v>
      </c>
      <c r="R51" s="2" t="s">
        <v>114</v>
      </c>
      <c r="S51" s="2" t="s">
        <v>680</v>
      </c>
      <c r="T51" s="2" t="s">
        <v>215</v>
      </c>
      <c r="U51" s="2" t="s">
        <v>101</v>
      </c>
      <c r="V51" s="2" t="n">
        <v>1</v>
      </c>
    </row>
    <row r="52">
      <c r="A52" s="2" t="n">
        <v>51</v>
      </c>
      <c r="B52" s="2" t="s">
        <v>681</v>
      </c>
      <c r="C52" s="2" t="n">
        <v>131.04893691</v>
      </c>
      <c r="D52" s="2" t="n">
        <v>1.05527522787747</v>
      </c>
      <c r="E52" s="2" t="s">
        <v>682</v>
      </c>
      <c r="F52" s="2" t="s">
        <v>683</v>
      </c>
      <c r="G52" s="2" t="s">
        <v>684</v>
      </c>
      <c r="H52" s="2" t="s">
        <v>685</v>
      </c>
      <c r="I52" s="2" t="s">
        <v>686</v>
      </c>
      <c r="J52" s="2" t="s">
        <v>91</v>
      </c>
      <c r="K52" s="2" t="s">
        <v>91</v>
      </c>
      <c r="L52" s="2" t="s">
        <v>91</v>
      </c>
      <c r="M52" s="2" t="s">
        <v>91</v>
      </c>
      <c r="N52" s="2" t="s">
        <v>687</v>
      </c>
      <c r="O52" s="2" t="s">
        <v>91</v>
      </c>
      <c r="P52" s="2" t="s">
        <v>688</v>
      </c>
      <c r="Q52" s="2" t="s">
        <v>689</v>
      </c>
      <c r="R52" s="2" t="s">
        <v>690</v>
      </c>
      <c r="S52" s="2" t="s">
        <v>691</v>
      </c>
      <c r="T52" s="2" t="s">
        <v>543</v>
      </c>
      <c r="U52" s="2" t="s">
        <v>29</v>
      </c>
      <c r="V52" s="2" t="n">
        <v>2</v>
      </c>
    </row>
    <row r="53">
      <c r="A53" s="2" t="n">
        <v>52</v>
      </c>
      <c r="B53" s="2" t="s">
        <v>692</v>
      </c>
      <c r="C53" s="2" t="n">
        <v>131.082601638</v>
      </c>
      <c r="D53" s="2" t="n">
        <v>18.658681737313</v>
      </c>
      <c r="E53" s="2" t="s">
        <v>693</v>
      </c>
      <c r="F53" s="2" t="s">
        <v>24</v>
      </c>
      <c r="G53" s="2" t="s">
        <v>694</v>
      </c>
      <c r="H53" s="2" t="s">
        <v>695</v>
      </c>
      <c r="I53" s="2" t="s">
        <v>696</v>
      </c>
      <c r="J53" s="2" t="s">
        <v>697</v>
      </c>
      <c r="K53" s="2" t="s">
        <v>29</v>
      </c>
      <c r="L53" s="2" t="s">
        <v>698</v>
      </c>
      <c r="M53" s="2" t="s">
        <v>699</v>
      </c>
      <c r="N53" s="2" t="s">
        <v>700</v>
      </c>
      <c r="O53" s="2" t="s">
        <v>701</v>
      </c>
      <c r="P53" s="2" t="s">
        <v>702</v>
      </c>
      <c r="Q53" s="2" t="s">
        <v>703</v>
      </c>
      <c r="R53" s="2" t="s">
        <v>36</v>
      </c>
      <c r="S53" s="2" t="s">
        <v>37</v>
      </c>
      <c r="T53" s="2" t="s">
        <v>69</v>
      </c>
      <c r="U53" s="2" t="s">
        <v>39</v>
      </c>
      <c r="V53" s="2" t="n">
        <v>1</v>
      </c>
    </row>
    <row r="54">
      <c r="A54" s="2" t="n">
        <v>53</v>
      </c>
      <c r="B54" s="2" t="s">
        <v>704</v>
      </c>
      <c r="C54" s="2" t="n">
        <v>131.089995202</v>
      </c>
      <c r="D54" s="2" t="n">
        <v>6.64537596543394</v>
      </c>
      <c r="E54" s="2" t="s">
        <v>705</v>
      </c>
      <c r="F54" s="2" t="s">
        <v>24</v>
      </c>
      <c r="G54" s="2" t="s">
        <v>706</v>
      </c>
      <c r="H54" s="2" t="s">
        <v>707</v>
      </c>
      <c r="I54" s="2" t="s">
        <v>708</v>
      </c>
      <c r="J54" s="2" t="s">
        <v>709</v>
      </c>
      <c r="K54" s="2" t="s">
        <v>91</v>
      </c>
      <c r="L54" s="2" t="s">
        <v>91</v>
      </c>
      <c r="M54" s="2" t="s">
        <v>710</v>
      </c>
      <c r="N54" s="2" t="s">
        <v>711</v>
      </c>
      <c r="O54" s="2" t="s">
        <v>712</v>
      </c>
      <c r="P54" s="2" t="s">
        <v>713</v>
      </c>
      <c r="Q54" s="2" t="s">
        <v>714</v>
      </c>
      <c r="R54" s="2" t="s">
        <v>715</v>
      </c>
      <c r="S54" s="2" t="s">
        <v>716</v>
      </c>
      <c r="T54" s="2" t="s">
        <v>717</v>
      </c>
      <c r="U54" s="2" t="s">
        <v>56</v>
      </c>
      <c r="V54" s="2" t="n">
        <v>2</v>
      </c>
    </row>
    <row r="55">
      <c r="A55" s="2" t="n">
        <v>54</v>
      </c>
      <c r="B55" s="2" t="s">
        <v>718</v>
      </c>
      <c r="C55" s="2" t="n">
        <v>132.031018807</v>
      </c>
      <c r="D55" s="2" t="n">
        <v>7.67504991346484</v>
      </c>
      <c r="E55" s="2" t="s">
        <v>719</v>
      </c>
      <c r="F55" s="2" t="s">
        <v>161</v>
      </c>
      <c r="G55" s="2" t="s">
        <v>720</v>
      </c>
      <c r="H55" s="2" t="s">
        <v>721</v>
      </c>
      <c r="I55" s="2" t="s">
        <v>722</v>
      </c>
      <c r="J55" s="2" t="s">
        <v>723</v>
      </c>
      <c r="K55" s="2" t="s">
        <v>29</v>
      </c>
      <c r="L55" s="2" t="s">
        <v>724</v>
      </c>
      <c r="M55" s="2" t="s">
        <v>725</v>
      </c>
      <c r="N55" s="2" t="s">
        <v>726</v>
      </c>
      <c r="O55" s="2" t="s">
        <v>727</v>
      </c>
      <c r="P55" s="2" t="s">
        <v>728</v>
      </c>
      <c r="Q55" s="2" t="s">
        <v>729</v>
      </c>
      <c r="R55" s="2" t="s">
        <v>114</v>
      </c>
      <c r="S55" s="2" t="s">
        <v>730</v>
      </c>
      <c r="T55" s="2" t="s">
        <v>731</v>
      </c>
      <c r="U55" s="2" t="s">
        <v>39</v>
      </c>
      <c r="V55" s="2" t="n">
        <v>1</v>
      </c>
    </row>
    <row r="56">
      <c r="A56" s="2" t="n">
        <v>55</v>
      </c>
      <c r="B56" s="2" t="s">
        <v>732</v>
      </c>
      <c r="C56" s="2" t="n">
        <v>133.032874254</v>
      </c>
      <c r="D56" s="2" t="n">
        <v>5.81819225571037</v>
      </c>
      <c r="E56" s="2" t="s">
        <v>733</v>
      </c>
      <c r="F56" s="2" t="s">
        <v>24</v>
      </c>
      <c r="G56" s="2" t="s">
        <v>734</v>
      </c>
      <c r="H56" s="2" t="s">
        <v>735</v>
      </c>
      <c r="I56" s="2" t="s">
        <v>736</v>
      </c>
      <c r="J56" s="2" t="s">
        <v>737</v>
      </c>
      <c r="K56" s="2" t="s">
        <v>738</v>
      </c>
      <c r="L56" s="2" t="s">
        <v>195</v>
      </c>
      <c r="M56" s="2" t="s">
        <v>195</v>
      </c>
      <c r="N56" s="2" t="s">
        <v>739</v>
      </c>
      <c r="O56" s="2" t="s">
        <v>740</v>
      </c>
      <c r="P56" s="2" t="s">
        <v>741</v>
      </c>
      <c r="Q56" s="2" t="s">
        <v>742</v>
      </c>
      <c r="R56" s="2" t="s">
        <v>743</v>
      </c>
      <c r="S56" s="2" t="s">
        <v>744</v>
      </c>
      <c r="T56" s="2" t="s">
        <v>745</v>
      </c>
      <c r="U56" s="2" t="s">
        <v>56</v>
      </c>
      <c r="V56" s="2" t="n">
        <v>3</v>
      </c>
    </row>
    <row r="57">
      <c r="A57" s="2" t="n">
        <v>56</v>
      </c>
      <c r="B57" s="2" t="s">
        <v>746</v>
      </c>
      <c r="C57" s="2" t="n">
        <v>134.047219185</v>
      </c>
      <c r="D57" s="2" t="n">
        <v>5.56687591128964</v>
      </c>
      <c r="E57" s="2" t="s">
        <v>747</v>
      </c>
      <c r="F57" s="2" t="s">
        <v>24</v>
      </c>
      <c r="G57" s="2" t="s">
        <v>748</v>
      </c>
      <c r="H57" s="2" t="s">
        <v>749</v>
      </c>
      <c r="I57" s="2" t="s">
        <v>750</v>
      </c>
      <c r="J57" s="2" t="s">
        <v>751</v>
      </c>
      <c r="K57" s="2" t="s">
        <v>29</v>
      </c>
      <c r="L57" s="2" t="s">
        <v>752</v>
      </c>
      <c r="M57" s="2" t="s">
        <v>753</v>
      </c>
      <c r="N57" s="2" t="s">
        <v>754</v>
      </c>
      <c r="O57" s="2" t="s">
        <v>755</v>
      </c>
      <c r="P57" s="2" t="s">
        <v>756</v>
      </c>
      <c r="Q57" s="2" t="s">
        <v>757</v>
      </c>
      <c r="R57" s="2" t="s">
        <v>114</v>
      </c>
      <c r="S57" s="2" t="s">
        <v>730</v>
      </c>
      <c r="T57" s="2" t="s">
        <v>731</v>
      </c>
      <c r="U57" s="2" t="s">
        <v>39</v>
      </c>
      <c r="V57" s="2" t="n">
        <v>1</v>
      </c>
    </row>
    <row r="58">
      <c r="A58" s="2" t="n">
        <v>57</v>
      </c>
      <c r="B58" s="2" t="s">
        <v>758</v>
      </c>
      <c r="C58" s="2" t="n">
        <v>135.0451535</v>
      </c>
      <c r="D58" s="2" t="n">
        <v>7.28566084673138</v>
      </c>
      <c r="E58" s="2" t="s">
        <v>759</v>
      </c>
      <c r="F58" s="2" t="s">
        <v>24</v>
      </c>
      <c r="G58" s="2" t="s">
        <v>760</v>
      </c>
      <c r="H58" s="2" t="s">
        <v>761</v>
      </c>
      <c r="I58" s="2" t="s">
        <v>762</v>
      </c>
      <c r="J58" s="2" t="s">
        <v>763</v>
      </c>
      <c r="K58" s="2" t="s">
        <v>91</v>
      </c>
      <c r="L58" s="2" t="s">
        <v>764</v>
      </c>
      <c r="M58" s="2" t="s">
        <v>765</v>
      </c>
      <c r="N58" s="2" t="s">
        <v>766</v>
      </c>
      <c r="O58" s="2" t="s">
        <v>767</v>
      </c>
      <c r="P58" s="2" t="s">
        <v>768</v>
      </c>
      <c r="Q58" s="2" t="s">
        <v>769</v>
      </c>
      <c r="R58" s="2" t="s">
        <v>770</v>
      </c>
      <c r="S58" s="2" t="s">
        <v>771</v>
      </c>
      <c r="T58" s="2" t="s">
        <v>772</v>
      </c>
      <c r="U58" s="2" t="s">
        <v>56</v>
      </c>
      <c r="V58" s="2" t="n">
        <v>2</v>
      </c>
    </row>
    <row r="59">
      <c r="A59" s="2" t="n">
        <v>58</v>
      </c>
      <c r="B59" s="2" t="s">
        <v>773</v>
      </c>
      <c r="C59" s="2" t="n">
        <v>137.058118218</v>
      </c>
      <c r="D59" s="2" t="n">
        <v>16.3473127493607</v>
      </c>
      <c r="E59" s="2" t="s">
        <v>774</v>
      </c>
      <c r="F59" s="2" t="s">
        <v>683</v>
      </c>
      <c r="G59" s="2" t="s">
        <v>775</v>
      </c>
      <c r="H59" s="2" t="s">
        <v>776</v>
      </c>
      <c r="I59" s="2" t="s">
        <v>777</v>
      </c>
      <c r="J59" s="2" t="s">
        <v>91</v>
      </c>
      <c r="K59" s="2" t="s">
        <v>91</v>
      </c>
      <c r="L59" s="2" t="s">
        <v>91</v>
      </c>
      <c r="M59" s="2" t="s">
        <v>778</v>
      </c>
      <c r="N59" s="2" t="s">
        <v>779</v>
      </c>
      <c r="O59" s="2" t="s">
        <v>91</v>
      </c>
      <c r="P59" s="2" t="s">
        <v>780</v>
      </c>
      <c r="Q59" s="2" t="s">
        <v>781</v>
      </c>
      <c r="R59" s="2" t="s">
        <v>541</v>
      </c>
      <c r="S59" s="2" t="s">
        <v>782</v>
      </c>
      <c r="T59" s="2" t="s">
        <v>783</v>
      </c>
      <c r="U59" s="2" t="s">
        <v>29</v>
      </c>
      <c r="V59" s="2" t="n">
        <v>2</v>
      </c>
    </row>
    <row r="60">
      <c r="A60" s="2" t="n">
        <v>59</v>
      </c>
      <c r="B60" s="2" t="s">
        <v>784</v>
      </c>
      <c r="C60" s="2" t="n">
        <v>137.096638756</v>
      </c>
      <c r="D60" s="2" t="n">
        <v>10.9254627432987</v>
      </c>
      <c r="E60" s="2" t="s">
        <v>785</v>
      </c>
      <c r="F60" s="2" t="s">
        <v>161</v>
      </c>
      <c r="G60" s="2" t="s">
        <v>786</v>
      </c>
      <c r="H60" s="2" t="s">
        <v>787</v>
      </c>
      <c r="I60" s="2" t="s">
        <v>788</v>
      </c>
      <c r="J60" s="2" t="s">
        <v>29</v>
      </c>
      <c r="K60" s="2" t="s">
        <v>789</v>
      </c>
      <c r="L60" s="2" t="s">
        <v>29</v>
      </c>
      <c r="M60" s="2" t="s">
        <v>29</v>
      </c>
      <c r="N60" s="2" t="s">
        <v>790</v>
      </c>
      <c r="O60" s="2" t="s">
        <v>791</v>
      </c>
      <c r="P60" s="2" t="s">
        <v>792</v>
      </c>
      <c r="Q60" s="2" t="s">
        <v>793</v>
      </c>
      <c r="R60" s="2" t="s">
        <v>794</v>
      </c>
      <c r="S60" s="2" t="s">
        <v>795</v>
      </c>
      <c r="T60" s="2" t="s">
        <v>796</v>
      </c>
      <c r="U60" s="2" t="s">
        <v>39</v>
      </c>
      <c r="V60" s="2" t="n">
        <v>1</v>
      </c>
    </row>
    <row r="61">
      <c r="A61" s="2" t="n">
        <v>60</v>
      </c>
      <c r="B61" s="2" t="s">
        <v>797</v>
      </c>
      <c r="C61" s="2" t="n">
        <v>138.019667031</v>
      </c>
      <c r="D61" s="2" t="n">
        <v>9.09909257458711</v>
      </c>
      <c r="E61" s="2" t="s">
        <v>798</v>
      </c>
      <c r="F61" s="2" t="s">
        <v>24</v>
      </c>
      <c r="G61" s="2" t="s">
        <v>799</v>
      </c>
      <c r="H61" s="2" t="s">
        <v>800</v>
      </c>
      <c r="I61" s="2" t="s">
        <v>801</v>
      </c>
      <c r="J61" s="2" t="s">
        <v>802</v>
      </c>
      <c r="K61" s="2" t="s">
        <v>91</v>
      </c>
      <c r="L61" s="2" t="s">
        <v>803</v>
      </c>
      <c r="M61" s="2" t="s">
        <v>804</v>
      </c>
      <c r="N61" s="2" t="s">
        <v>805</v>
      </c>
      <c r="O61" s="2" t="s">
        <v>806</v>
      </c>
      <c r="P61" s="2" t="s">
        <v>807</v>
      </c>
      <c r="Q61" s="2" t="s">
        <v>808</v>
      </c>
      <c r="R61" s="2" t="s">
        <v>809</v>
      </c>
      <c r="S61" s="2" t="s">
        <v>810</v>
      </c>
      <c r="T61" s="2" t="s">
        <v>811</v>
      </c>
      <c r="U61" s="2" t="s">
        <v>39</v>
      </c>
      <c r="V61" s="2" t="n">
        <v>2</v>
      </c>
    </row>
    <row r="62">
      <c r="A62" s="2" t="n">
        <v>61</v>
      </c>
      <c r="B62" s="2" t="s">
        <v>812</v>
      </c>
      <c r="C62" s="2" t="n">
        <v>139.003678304</v>
      </c>
      <c r="D62" s="2" t="n">
        <v>6.96224597298625</v>
      </c>
      <c r="E62" s="2" t="s">
        <v>813</v>
      </c>
      <c r="F62" s="2" t="s">
        <v>205</v>
      </c>
      <c r="G62" s="2" t="s">
        <v>814</v>
      </c>
      <c r="H62" s="2" t="s">
        <v>815</v>
      </c>
      <c r="I62" s="2" t="s">
        <v>816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817</v>
      </c>
      <c r="O62" s="2" t="s">
        <v>29</v>
      </c>
      <c r="P62" s="2" t="s">
        <v>818</v>
      </c>
      <c r="Q62" s="2" t="s">
        <v>819</v>
      </c>
      <c r="R62" s="2" t="s">
        <v>129</v>
      </c>
      <c r="S62" s="2" t="s">
        <v>130</v>
      </c>
      <c r="T62" s="2" t="s">
        <v>131</v>
      </c>
      <c r="U62" s="2" t="s">
        <v>29</v>
      </c>
      <c r="V62" s="2" t="n">
        <v>1</v>
      </c>
    </row>
    <row r="63">
      <c r="A63" s="2" t="n">
        <v>62</v>
      </c>
      <c r="B63" s="2" t="s">
        <v>820</v>
      </c>
      <c r="C63" s="2" t="n">
        <v>139.025599078</v>
      </c>
      <c r="D63" s="2" t="n">
        <v>3.12041669584447</v>
      </c>
      <c r="E63" s="2" t="s">
        <v>821</v>
      </c>
      <c r="F63" s="2" t="s">
        <v>161</v>
      </c>
      <c r="G63" s="2" t="s">
        <v>822</v>
      </c>
      <c r="H63" s="2" t="s">
        <v>823</v>
      </c>
      <c r="I63" s="2" t="s">
        <v>824</v>
      </c>
      <c r="J63" s="2" t="s">
        <v>825</v>
      </c>
      <c r="K63" s="2" t="s">
        <v>29</v>
      </c>
      <c r="L63" s="2" t="s">
        <v>826</v>
      </c>
      <c r="M63" s="2" t="s">
        <v>827</v>
      </c>
      <c r="N63" s="2" t="s">
        <v>828</v>
      </c>
      <c r="O63" s="2" t="s">
        <v>829</v>
      </c>
      <c r="P63" s="2" t="s">
        <v>830</v>
      </c>
      <c r="Q63" s="2" t="s">
        <v>831</v>
      </c>
      <c r="R63" s="2" t="s">
        <v>114</v>
      </c>
      <c r="S63" s="2" t="s">
        <v>172</v>
      </c>
      <c r="T63" s="2" t="s">
        <v>173</v>
      </c>
      <c r="U63" s="2" t="s">
        <v>39</v>
      </c>
      <c r="V63" s="2" t="n">
        <v>1</v>
      </c>
    </row>
    <row r="64">
      <c r="A64" s="2" t="n">
        <v>63</v>
      </c>
      <c r="B64" s="2" t="s">
        <v>832</v>
      </c>
      <c r="C64" s="2" t="n">
        <v>139.076453628</v>
      </c>
      <c r="D64" s="2" t="n">
        <v>2.44051836354121</v>
      </c>
      <c r="E64" s="2" t="s">
        <v>833</v>
      </c>
      <c r="F64" s="2" t="s">
        <v>683</v>
      </c>
      <c r="G64" s="2" t="s">
        <v>834</v>
      </c>
      <c r="H64" s="2" t="s">
        <v>835</v>
      </c>
      <c r="I64" s="2" t="s">
        <v>836</v>
      </c>
      <c r="J64" s="2" t="s">
        <v>837</v>
      </c>
      <c r="K64" s="2" t="s">
        <v>29</v>
      </c>
      <c r="L64" s="2" t="s">
        <v>838</v>
      </c>
      <c r="M64" s="2" t="s">
        <v>839</v>
      </c>
      <c r="N64" s="2" t="s">
        <v>840</v>
      </c>
      <c r="O64" s="2" t="s">
        <v>841</v>
      </c>
      <c r="P64" s="2" t="s">
        <v>842</v>
      </c>
      <c r="Q64" s="2" t="s">
        <v>843</v>
      </c>
      <c r="R64" s="2" t="s">
        <v>129</v>
      </c>
      <c r="S64" s="2" t="s">
        <v>130</v>
      </c>
      <c r="T64" s="2" t="s">
        <v>131</v>
      </c>
      <c r="U64" s="2" t="s">
        <v>56</v>
      </c>
      <c r="V64" s="2" t="n">
        <v>1</v>
      </c>
    </row>
    <row r="65">
      <c r="A65" s="2" t="n">
        <v>64</v>
      </c>
      <c r="B65" s="2" t="s">
        <v>844</v>
      </c>
      <c r="C65" s="2" t="n">
        <v>139.11228882</v>
      </c>
      <c r="D65" s="2" t="n">
        <v>13.6060872410131</v>
      </c>
      <c r="E65" s="2" t="s">
        <v>845</v>
      </c>
      <c r="F65" s="2" t="s">
        <v>161</v>
      </c>
      <c r="G65" s="2" t="s">
        <v>846</v>
      </c>
      <c r="H65" s="2" t="s">
        <v>847</v>
      </c>
      <c r="I65" s="2" t="s">
        <v>848</v>
      </c>
      <c r="J65" s="2" t="s">
        <v>849</v>
      </c>
      <c r="K65" s="2" t="s">
        <v>850</v>
      </c>
      <c r="L65" s="2" t="s">
        <v>851</v>
      </c>
      <c r="M65" s="2" t="s">
        <v>852</v>
      </c>
      <c r="N65" s="2" t="s">
        <v>853</v>
      </c>
      <c r="O65" s="2" t="s">
        <v>854</v>
      </c>
      <c r="P65" s="2" t="s">
        <v>855</v>
      </c>
      <c r="Q65" s="2" t="s">
        <v>856</v>
      </c>
      <c r="R65" s="2" t="s">
        <v>794</v>
      </c>
      <c r="S65" s="2" t="s">
        <v>795</v>
      </c>
      <c r="T65" s="2" t="s">
        <v>796</v>
      </c>
      <c r="U65" s="2" t="s">
        <v>39</v>
      </c>
      <c r="V65" s="2" t="n">
        <v>1</v>
      </c>
    </row>
    <row r="66">
      <c r="A66" s="2" t="n">
        <v>65</v>
      </c>
      <c r="B66" s="2" t="s">
        <v>857</v>
      </c>
      <c r="C66" s="2" t="n">
        <v>139.984544817</v>
      </c>
      <c r="D66" s="2" t="n">
        <v>8.05871486454988</v>
      </c>
      <c r="E66" s="2" t="s">
        <v>858</v>
      </c>
      <c r="F66" s="2" t="s">
        <v>24</v>
      </c>
      <c r="G66" s="2" t="s">
        <v>859</v>
      </c>
      <c r="H66" s="2" t="s">
        <v>860</v>
      </c>
      <c r="I66" s="2" t="s">
        <v>861</v>
      </c>
      <c r="J66" s="2" t="s">
        <v>29</v>
      </c>
      <c r="K66" s="2" t="s">
        <v>29</v>
      </c>
      <c r="L66" s="2" t="s">
        <v>29</v>
      </c>
      <c r="M66" s="2" t="s">
        <v>29</v>
      </c>
      <c r="N66" s="2" t="s">
        <v>862</v>
      </c>
      <c r="O66" s="2" t="s">
        <v>29</v>
      </c>
      <c r="P66" s="2" t="s">
        <v>863</v>
      </c>
      <c r="Q66" s="2" t="s">
        <v>864</v>
      </c>
      <c r="R66" s="2" t="s">
        <v>36</v>
      </c>
      <c r="S66" s="2" t="s">
        <v>865</v>
      </c>
      <c r="T66" s="2" t="s">
        <v>866</v>
      </c>
      <c r="U66" s="2" t="s">
        <v>29</v>
      </c>
      <c r="V66" s="2" t="n">
        <v>1</v>
      </c>
    </row>
    <row r="67">
      <c r="A67" s="2" t="n">
        <v>66</v>
      </c>
      <c r="B67" s="2" t="s">
        <v>867</v>
      </c>
      <c r="C67" s="2" t="n">
        <v>142.999465636</v>
      </c>
      <c r="D67" s="2" t="n">
        <v>8.03189208702333</v>
      </c>
      <c r="E67" s="2" t="s">
        <v>868</v>
      </c>
      <c r="F67" s="2" t="s">
        <v>24</v>
      </c>
      <c r="G67" s="2" t="s">
        <v>869</v>
      </c>
      <c r="H67" s="2" t="s">
        <v>870</v>
      </c>
      <c r="I67" s="2" t="s">
        <v>871</v>
      </c>
      <c r="J67" s="2" t="s">
        <v>872</v>
      </c>
      <c r="K67" s="2" t="s">
        <v>29</v>
      </c>
      <c r="L67" s="2" t="s">
        <v>29</v>
      </c>
      <c r="M67" s="2" t="s">
        <v>29</v>
      </c>
      <c r="N67" s="2" t="s">
        <v>873</v>
      </c>
      <c r="O67" s="2" t="s">
        <v>874</v>
      </c>
      <c r="P67" s="2" t="s">
        <v>875</v>
      </c>
      <c r="Q67" s="2" t="s">
        <v>876</v>
      </c>
      <c r="R67" s="2" t="s">
        <v>114</v>
      </c>
      <c r="S67" s="2" t="s">
        <v>877</v>
      </c>
      <c r="T67" s="2" t="s">
        <v>215</v>
      </c>
      <c r="U67" s="2" t="s">
        <v>56</v>
      </c>
      <c r="V67" s="2" t="n">
        <v>1</v>
      </c>
    </row>
    <row r="68">
      <c r="A68" s="2" t="n">
        <v>67</v>
      </c>
      <c r="B68" s="2" t="s">
        <v>878</v>
      </c>
      <c r="C68" s="2" t="n">
        <v>143.038150266</v>
      </c>
      <c r="D68" s="2" t="n">
        <v>2.19470833640222</v>
      </c>
      <c r="E68" s="2" t="s">
        <v>879</v>
      </c>
      <c r="F68" s="2" t="s">
        <v>86</v>
      </c>
      <c r="G68" s="2" t="s">
        <v>880</v>
      </c>
      <c r="H68" s="2" t="s">
        <v>881</v>
      </c>
      <c r="I68" s="2" t="s">
        <v>882</v>
      </c>
      <c r="J68" s="2" t="s">
        <v>883</v>
      </c>
      <c r="K68" s="2" t="s">
        <v>195</v>
      </c>
      <c r="L68" s="2" t="s">
        <v>195</v>
      </c>
      <c r="M68" s="2" t="s">
        <v>884</v>
      </c>
      <c r="N68" s="2" t="s">
        <v>885</v>
      </c>
      <c r="O68" s="2" t="s">
        <v>886</v>
      </c>
      <c r="P68" s="2" t="s">
        <v>887</v>
      </c>
      <c r="Q68" s="2" t="s">
        <v>888</v>
      </c>
      <c r="R68" s="2" t="s">
        <v>490</v>
      </c>
      <c r="S68" s="2" t="s">
        <v>889</v>
      </c>
      <c r="T68" s="2" t="s">
        <v>890</v>
      </c>
      <c r="U68" s="2" t="s">
        <v>56</v>
      </c>
      <c r="V68" s="2" t="n">
        <v>3</v>
      </c>
    </row>
    <row r="69">
      <c r="A69" s="2" t="n">
        <v>68</v>
      </c>
      <c r="B69" s="2" t="s">
        <v>891</v>
      </c>
      <c r="C69" s="2" t="n">
        <v>144.005075284</v>
      </c>
      <c r="D69" s="2" t="n">
        <v>12.9331284617975</v>
      </c>
      <c r="E69" s="2" t="s">
        <v>892</v>
      </c>
      <c r="F69" s="2" t="s">
        <v>205</v>
      </c>
      <c r="G69" s="2" t="s">
        <v>893</v>
      </c>
      <c r="H69" s="2" t="s">
        <v>894</v>
      </c>
      <c r="I69" s="2" t="s">
        <v>895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896</v>
      </c>
      <c r="O69" s="2" t="s">
        <v>29</v>
      </c>
      <c r="P69" s="2" t="s">
        <v>897</v>
      </c>
      <c r="Q69" s="2" t="s">
        <v>898</v>
      </c>
      <c r="R69" s="2" t="s">
        <v>36</v>
      </c>
      <c r="S69" s="2" t="s">
        <v>37</v>
      </c>
      <c r="T69" s="2" t="s">
        <v>69</v>
      </c>
      <c r="U69" s="2" t="s">
        <v>29</v>
      </c>
      <c r="V69" s="2" t="n">
        <v>1</v>
      </c>
    </row>
    <row r="70">
      <c r="A70" s="2" t="n">
        <v>69</v>
      </c>
      <c r="B70" s="2" t="s">
        <v>899</v>
      </c>
      <c r="C70" s="2" t="n">
        <v>144.043080915</v>
      </c>
      <c r="D70" s="2" t="n">
        <v>1.62648366356838</v>
      </c>
      <c r="E70" s="2" t="s">
        <v>900</v>
      </c>
      <c r="F70" s="2" t="s">
        <v>531</v>
      </c>
      <c r="G70" s="2" t="s">
        <v>901</v>
      </c>
      <c r="H70" s="2" t="s">
        <v>902</v>
      </c>
      <c r="I70" s="2" t="s">
        <v>903</v>
      </c>
      <c r="J70" s="2" t="s">
        <v>904</v>
      </c>
      <c r="K70" s="2" t="s">
        <v>29</v>
      </c>
      <c r="L70" s="2" t="s">
        <v>905</v>
      </c>
      <c r="M70" s="2" t="s">
        <v>906</v>
      </c>
      <c r="N70" s="2" t="s">
        <v>907</v>
      </c>
      <c r="O70" s="2" t="s">
        <v>908</v>
      </c>
      <c r="P70" s="2" t="s">
        <v>909</v>
      </c>
      <c r="Q70" s="2" t="s">
        <v>910</v>
      </c>
      <c r="R70" s="2" t="s">
        <v>186</v>
      </c>
      <c r="S70" s="2" t="s">
        <v>911</v>
      </c>
      <c r="T70" s="2" t="s">
        <v>912</v>
      </c>
      <c r="U70" s="2" t="s">
        <v>39</v>
      </c>
      <c r="V70" s="2" t="n">
        <v>1</v>
      </c>
    </row>
    <row r="71">
      <c r="A71" s="2" t="n">
        <v>70</v>
      </c>
      <c r="B71" s="2" t="s">
        <v>913</v>
      </c>
      <c r="C71" s="2" t="n">
        <v>144.066066909</v>
      </c>
      <c r="D71" s="2" t="n">
        <v>11.0890032189159</v>
      </c>
      <c r="E71" s="2" t="s">
        <v>914</v>
      </c>
      <c r="F71" s="2" t="s">
        <v>161</v>
      </c>
      <c r="G71" s="2" t="s">
        <v>915</v>
      </c>
      <c r="H71" s="2" t="s">
        <v>916</v>
      </c>
      <c r="I71" s="2" t="s">
        <v>917</v>
      </c>
      <c r="J71" s="2" t="s">
        <v>918</v>
      </c>
      <c r="K71" s="2" t="s">
        <v>29</v>
      </c>
      <c r="L71" s="2" t="s">
        <v>29</v>
      </c>
      <c r="M71" s="2" t="s">
        <v>919</v>
      </c>
      <c r="N71" s="2" t="s">
        <v>920</v>
      </c>
      <c r="O71" s="2" t="s">
        <v>921</v>
      </c>
      <c r="P71" s="2" t="s">
        <v>922</v>
      </c>
      <c r="Q71" s="2" t="s">
        <v>923</v>
      </c>
      <c r="R71" s="2" t="s">
        <v>36</v>
      </c>
      <c r="S71" s="2" t="s">
        <v>37</v>
      </c>
      <c r="T71" s="2" t="s">
        <v>69</v>
      </c>
      <c r="U71" s="2" t="s">
        <v>56</v>
      </c>
      <c r="V71" s="2" t="n">
        <v>1</v>
      </c>
    </row>
    <row r="72">
      <c r="A72" s="2" t="n">
        <v>71</v>
      </c>
      <c r="B72" s="2" t="s">
        <v>924</v>
      </c>
      <c r="C72" s="2" t="n">
        <v>145.04018651</v>
      </c>
      <c r="D72" s="2" t="n">
        <v>0.959510242412086</v>
      </c>
      <c r="E72" s="2" t="s">
        <v>925</v>
      </c>
      <c r="F72" s="2" t="s">
        <v>161</v>
      </c>
      <c r="G72" s="2" t="s">
        <v>926</v>
      </c>
      <c r="H72" s="2" t="s">
        <v>927</v>
      </c>
      <c r="I72" s="2" t="s">
        <v>928</v>
      </c>
      <c r="J72" s="2" t="s">
        <v>929</v>
      </c>
      <c r="K72" s="2" t="s">
        <v>29</v>
      </c>
      <c r="L72" s="2" t="s">
        <v>930</v>
      </c>
      <c r="M72" s="2" t="s">
        <v>931</v>
      </c>
      <c r="N72" s="2" t="s">
        <v>932</v>
      </c>
      <c r="O72" s="2" t="s">
        <v>933</v>
      </c>
      <c r="P72" s="2" t="s">
        <v>934</v>
      </c>
      <c r="Q72" s="2" t="s">
        <v>935</v>
      </c>
      <c r="R72" s="2" t="s">
        <v>114</v>
      </c>
      <c r="S72" s="2" t="s">
        <v>936</v>
      </c>
      <c r="T72" s="2" t="s">
        <v>937</v>
      </c>
      <c r="U72" s="2" t="s">
        <v>56</v>
      </c>
      <c r="V72" s="2" t="n">
        <v>1</v>
      </c>
    </row>
    <row r="73">
      <c r="A73" s="2" t="n">
        <v>72</v>
      </c>
      <c r="B73" s="2" t="s">
        <v>938</v>
      </c>
      <c r="C73" s="2" t="n">
        <v>145.061866196</v>
      </c>
      <c r="D73" s="2" t="n">
        <v>12.14627513052</v>
      </c>
      <c r="E73" s="2" t="s">
        <v>939</v>
      </c>
      <c r="F73" s="2" t="s">
        <v>24</v>
      </c>
      <c r="G73" s="2" t="s">
        <v>940</v>
      </c>
      <c r="H73" s="2" t="s">
        <v>941</v>
      </c>
      <c r="I73" s="2" t="s">
        <v>942</v>
      </c>
      <c r="J73" s="2" t="s">
        <v>943</v>
      </c>
      <c r="K73" s="2" t="s">
        <v>29</v>
      </c>
      <c r="L73" s="2" t="s">
        <v>944</v>
      </c>
      <c r="M73" s="2" t="s">
        <v>945</v>
      </c>
      <c r="N73" s="2" t="s">
        <v>946</v>
      </c>
      <c r="O73" s="2" t="s">
        <v>947</v>
      </c>
      <c r="P73" s="2" t="s">
        <v>948</v>
      </c>
      <c r="Q73" s="2" t="s">
        <v>949</v>
      </c>
      <c r="R73" s="2" t="s">
        <v>36</v>
      </c>
      <c r="S73" s="2" t="s">
        <v>37</v>
      </c>
      <c r="T73" s="2" t="s">
        <v>69</v>
      </c>
      <c r="U73" s="2" t="s">
        <v>39</v>
      </c>
      <c r="V73" s="2" t="n">
        <v>1</v>
      </c>
    </row>
    <row r="74">
      <c r="A74" s="2" t="n">
        <v>73</v>
      </c>
      <c r="B74" s="2" t="s">
        <v>950</v>
      </c>
      <c r="C74" s="2" t="n">
        <v>145.087018314</v>
      </c>
      <c r="D74" s="2" t="n">
        <v>15.2368750585831</v>
      </c>
      <c r="E74" s="2" t="s">
        <v>951</v>
      </c>
      <c r="F74" s="2" t="s">
        <v>24</v>
      </c>
      <c r="G74" s="2" t="s">
        <v>952</v>
      </c>
      <c r="H74" s="2" t="s">
        <v>953</v>
      </c>
      <c r="I74" s="2" t="s">
        <v>954</v>
      </c>
      <c r="J74" s="2" t="s">
        <v>955</v>
      </c>
      <c r="K74" s="2" t="s">
        <v>956</v>
      </c>
      <c r="L74" s="2" t="s">
        <v>195</v>
      </c>
      <c r="M74" s="2" t="s">
        <v>957</v>
      </c>
      <c r="N74" s="2" t="s">
        <v>958</v>
      </c>
      <c r="O74" s="2" t="s">
        <v>959</v>
      </c>
      <c r="P74" s="2" t="s">
        <v>960</v>
      </c>
      <c r="Q74" s="2" t="s">
        <v>961</v>
      </c>
      <c r="R74" s="2" t="s">
        <v>962</v>
      </c>
      <c r="S74" s="2" t="s">
        <v>963</v>
      </c>
      <c r="T74" s="2" t="s">
        <v>964</v>
      </c>
      <c r="U74" s="2" t="s">
        <v>56</v>
      </c>
      <c r="V74" s="2" t="n">
        <v>3</v>
      </c>
    </row>
    <row r="75">
      <c r="A75" s="2" t="n">
        <v>74</v>
      </c>
      <c r="B75" s="2" t="s">
        <v>965</v>
      </c>
      <c r="C75" s="2" t="n">
        <v>145.102274448</v>
      </c>
      <c r="D75" s="2" t="n">
        <v>0.099150045450796</v>
      </c>
      <c r="E75" s="2" t="s">
        <v>966</v>
      </c>
      <c r="F75" s="2" t="s">
        <v>24</v>
      </c>
      <c r="G75" s="2" t="s">
        <v>967</v>
      </c>
      <c r="H75" s="2" t="s">
        <v>968</v>
      </c>
      <c r="I75" s="2" t="s">
        <v>969</v>
      </c>
      <c r="J75" s="2" t="s">
        <v>29</v>
      </c>
      <c r="K75" s="2" t="s">
        <v>29</v>
      </c>
      <c r="L75" s="2" t="s">
        <v>29</v>
      </c>
      <c r="M75" s="2" t="s">
        <v>29</v>
      </c>
      <c r="N75" s="2" t="s">
        <v>970</v>
      </c>
      <c r="O75" s="2" t="s">
        <v>29</v>
      </c>
      <c r="P75" s="2" t="s">
        <v>971</v>
      </c>
      <c r="Q75" s="2" t="s">
        <v>972</v>
      </c>
      <c r="R75" s="2" t="s">
        <v>186</v>
      </c>
      <c r="S75" s="2" t="s">
        <v>187</v>
      </c>
      <c r="T75" s="2" t="s">
        <v>215</v>
      </c>
      <c r="U75" s="2" t="s">
        <v>56</v>
      </c>
      <c r="V75" s="2" t="n">
        <v>1</v>
      </c>
    </row>
    <row r="76">
      <c r="A76" s="2" t="n">
        <v>75</v>
      </c>
      <c r="B76" s="2" t="s">
        <v>973</v>
      </c>
      <c r="C76" s="2" t="n">
        <v>146.001249751</v>
      </c>
      <c r="D76" s="2" t="n">
        <v>0.388473154123048</v>
      </c>
      <c r="E76" s="2" t="s">
        <v>974</v>
      </c>
      <c r="F76" s="2" t="s">
        <v>205</v>
      </c>
      <c r="G76" s="2" t="s">
        <v>975</v>
      </c>
      <c r="H76" s="2" t="s">
        <v>976</v>
      </c>
      <c r="I76" s="2" t="s">
        <v>977</v>
      </c>
      <c r="J76" s="2" t="s">
        <v>91</v>
      </c>
      <c r="K76" s="2" t="s">
        <v>91</v>
      </c>
      <c r="L76" s="2" t="s">
        <v>91</v>
      </c>
      <c r="M76" s="2" t="s">
        <v>91</v>
      </c>
      <c r="N76" s="2" t="s">
        <v>978</v>
      </c>
      <c r="O76" s="2" t="s">
        <v>91</v>
      </c>
      <c r="P76" s="2" t="s">
        <v>979</v>
      </c>
      <c r="Q76" s="2" t="s">
        <v>980</v>
      </c>
      <c r="R76" s="2" t="s">
        <v>541</v>
      </c>
      <c r="S76" s="2" t="s">
        <v>981</v>
      </c>
      <c r="T76" s="2" t="s">
        <v>543</v>
      </c>
      <c r="U76" s="2" t="s">
        <v>29</v>
      </c>
      <c r="V76" s="2" t="n">
        <v>2</v>
      </c>
    </row>
    <row r="77">
      <c r="A77" s="2" t="n">
        <v>76</v>
      </c>
      <c r="B77" s="2" t="s">
        <v>982</v>
      </c>
      <c r="C77" s="2" t="n">
        <v>146.024752409</v>
      </c>
      <c r="D77" s="2" t="n">
        <v>9.81708999151178</v>
      </c>
      <c r="E77" s="2" t="s">
        <v>983</v>
      </c>
      <c r="F77" s="2" t="s">
        <v>24</v>
      </c>
      <c r="G77" s="2" t="s">
        <v>984</v>
      </c>
      <c r="H77" s="2" t="s">
        <v>985</v>
      </c>
      <c r="I77" s="2" t="s">
        <v>986</v>
      </c>
      <c r="J77" s="2" t="s">
        <v>987</v>
      </c>
      <c r="K77" s="2" t="s">
        <v>29</v>
      </c>
      <c r="L77" s="2" t="s">
        <v>988</v>
      </c>
      <c r="M77" s="2" t="s">
        <v>989</v>
      </c>
      <c r="N77" s="2" t="s">
        <v>990</v>
      </c>
      <c r="O77" s="2" t="s">
        <v>991</v>
      </c>
      <c r="P77" s="2" t="s">
        <v>992</v>
      </c>
      <c r="Q77" s="2" t="s">
        <v>993</v>
      </c>
      <c r="R77" s="2" t="s">
        <v>114</v>
      </c>
      <c r="S77" s="2" t="s">
        <v>994</v>
      </c>
      <c r="T77" s="2" t="s">
        <v>215</v>
      </c>
      <c r="U77" s="2" t="s">
        <v>56</v>
      </c>
      <c r="V77" s="2" t="n">
        <v>1</v>
      </c>
    </row>
    <row r="78">
      <c r="A78" s="2" t="n">
        <v>77</v>
      </c>
      <c r="B78" s="2" t="s">
        <v>995</v>
      </c>
      <c r="C78" s="2" t="n">
        <v>146.045881781</v>
      </c>
      <c r="D78" s="2" t="n">
        <v>10.4201191354064</v>
      </c>
      <c r="E78" s="2" t="s">
        <v>996</v>
      </c>
      <c r="F78" s="2" t="s">
        <v>24</v>
      </c>
      <c r="G78" s="2" t="s">
        <v>997</v>
      </c>
      <c r="H78" s="2" t="s">
        <v>998</v>
      </c>
      <c r="I78" s="2" t="s">
        <v>999</v>
      </c>
      <c r="J78" s="2" t="s">
        <v>1000</v>
      </c>
      <c r="K78" s="2" t="s">
        <v>29</v>
      </c>
      <c r="L78" s="2" t="s">
        <v>1001</v>
      </c>
      <c r="M78" s="2" t="s">
        <v>1002</v>
      </c>
      <c r="N78" s="2" t="s">
        <v>1003</v>
      </c>
      <c r="O78" s="2" t="s">
        <v>1004</v>
      </c>
      <c r="P78" s="2" t="s">
        <v>1005</v>
      </c>
      <c r="Q78" s="2" t="s">
        <v>1006</v>
      </c>
      <c r="R78" s="2" t="s">
        <v>36</v>
      </c>
      <c r="S78" s="2" t="s">
        <v>37</v>
      </c>
      <c r="T78" s="2" t="s">
        <v>69</v>
      </c>
      <c r="U78" s="2" t="s">
        <v>39</v>
      </c>
      <c r="V78" s="2" t="n">
        <v>1</v>
      </c>
    </row>
    <row r="79">
      <c r="A79" s="2" t="n">
        <v>78</v>
      </c>
      <c r="B79" s="2" t="s">
        <v>1007</v>
      </c>
      <c r="C79" s="2" t="n">
        <v>146.985445994</v>
      </c>
      <c r="D79" s="2" t="n">
        <v>0.57238047411399</v>
      </c>
      <c r="E79" s="2" t="s">
        <v>1008</v>
      </c>
      <c r="F79" s="2" t="s">
        <v>86</v>
      </c>
      <c r="G79" s="2" t="s">
        <v>1009</v>
      </c>
      <c r="H79" s="2" t="s">
        <v>1010</v>
      </c>
      <c r="I79" s="2" t="s">
        <v>1011</v>
      </c>
      <c r="J79" s="2" t="s">
        <v>1012</v>
      </c>
      <c r="K79" s="2" t="s">
        <v>29</v>
      </c>
      <c r="L79" s="2" t="s">
        <v>1013</v>
      </c>
      <c r="M79" s="2" t="s">
        <v>1014</v>
      </c>
      <c r="N79" s="2" t="s">
        <v>1015</v>
      </c>
      <c r="O79" s="2" t="s">
        <v>1016</v>
      </c>
      <c r="P79" s="2" t="s">
        <v>1017</v>
      </c>
      <c r="Q79" s="2" t="s">
        <v>1018</v>
      </c>
      <c r="R79" s="2" t="s">
        <v>114</v>
      </c>
      <c r="S79" s="2" t="s">
        <v>1019</v>
      </c>
      <c r="T79" s="2" t="s">
        <v>1020</v>
      </c>
      <c r="U79" s="2" t="s">
        <v>56</v>
      </c>
      <c r="V79" s="2" t="n">
        <v>1</v>
      </c>
    </row>
    <row r="80">
      <c r="A80" s="2" t="n">
        <v>79</v>
      </c>
      <c r="B80" s="2" t="s">
        <v>1021</v>
      </c>
      <c r="C80" s="2" t="n">
        <v>147.032027127</v>
      </c>
      <c r="D80" s="2" t="n">
        <v>2.30142747710689</v>
      </c>
      <c r="E80" s="2" t="s">
        <v>1022</v>
      </c>
      <c r="F80" s="2" t="s">
        <v>161</v>
      </c>
      <c r="G80" s="2" t="s">
        <v>1023</v>
      </c>
      <c r="H80" s="2" t="s">
        <v>1024</v>
      </c>
      <c r="I80" s="2" t="s">
        <v>1025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2" t="s">
        <v>1026</v>
      </c>
      <c r="Q80" s="2" t="s">
        <v>1027</v>
      </c>
      <c r="R80" s="2" t="s">
        <v>114</v>
      </c>
      <c r="S80" s="2" t="s">
        <v>994</v>
      </c>
      <c r="T80" s="2" t="s">
        <v>1028</v>
      </c>
      <c r="U80" s="2" t="s">
        <v>56</v>
      </c>
      <c r="V80" s="2" t="n">
        <v>1</v>
      </c>
    </row>
    <row r="81">
      <c r="A81" s="2" t="n">
        <v>80</v>
      </c>
      <c r="B81" s="2" t="s">
        <v>1029</v>
      </c>
      <c r="C81" s="2" t="n">
        <v>147.069450394</v>
      </c>
      <c r="D81" s="2" t="n">
        <v>12.2469376147535</v>
      </c>
      <c r="E81" s="2" t="s">
        <v>1030</v>
      </c>
      <c r="F81" s="2" t="s">
        <v>86</v>
      </c>
      <c r="G81" s="2" t="s">
        <v>1031</v>
      </c>
      <c r="H81" s="2" t="s">
        <v>1032</v>
      </c>
      <c r="I81" s="2" t="s">
        <v>1033</v>
      </c>
      <c r="J81" s="2" t="s">
        <v>29</v>
      </c>
      <c r="K81" s="2" t="s">
        <v>29</v>
      </c>
      <c r="L81" s="2" t="s">
        <v>29</v>
      </c>
      <c r="M81" s="2" t="s">
        <v>1034</v>
      </c>
      <c r="N81" s="2" t="s">
        <v>1035</v>
      </c>
      <c r="O81" s="2" t="s">
        <v>29</v>
      </c>
      <c r="P81" s="2" t="s">
        <v>1036</v>
      </c>
      <c r="Q81" s="2" t="s">
        <v>1037</v>
      </c>
      <c r="R81" s="2" t="s">
        <v>114</v>
      </c>
      <c r="S81" s="2" t="s">
        <v>1038</v>
      </c>
      <c r="T81" s="2" t="s">
        <v>1039</v>
      </c>
      <c r="U81" s="2" t="s">
        <v>29</v>
      </c>
      <c r="V81" s="2" t="n">
        <v>1</v>
      </c>
    </row>
    <row r="82">
      <c r="A82" s="2" t="n">
        <v>81</v>
      </c>
      <c r="B82" s="2" t="s">
        <v>1040</v>
      </c>
      <c r="C82" s="2" t="n">
        <v>148.043768983</v>
      </c>
      <c r="D82" s="2" t="n">
        <v>0.561946362401912</v>
      </c>
      <c r="E82" s="2" t="s">
        <v>1041</v>
      </c>
      <c r="F82" s="2" t="s">
        <v>205</v>
      </c>
      <c r="G82" s="2" t="s">
        <v>1042</v>
      </c>
      <c r="H82" s="2" t="s">
        <v>1043</v>
      </c>
      <c r="I82" s="2" t="s">
        <v>1044</v>
      </c>
      <c r="J82" s="2" t="s">
        <v>1045</v>
      </c>
      <c r="K82" s="2" t="s">
        <v>29</v>
      </c>
      <c r="L82" s="2" t="s">
        <v>29</v>
      </c>
      <c r="M82" s="2" t="s">
        <v>1046</v>
      </c>
      <c r="N82" s="2" t="s">
        <v>1047</v>
      </c>
      <c r="O82" s="2" t="s">
        <v>29</v>
      </c>
      <c r="P82" s="2" t="s">
        <v>1048</v>
      </c>
      <c r="Q82" s="2" t="s">
        <v>1049</v>
      </c>
      <c r="R82" s="2" t="s">
        <v>114</v>
      </c>
      <c r="S82" s="2" t="s">
        <v>1050</v>
      </c>
      <c r="T82" s="2" t="s">
        <v>1051</v>
      </c>
      <c r="U82" s="2" t="s">
        <v>56</v>
      </c>
      <c r="V82" s="2" t="n">
        <v>1</v>
      </c>
    </row>
    <row r="83">
      <c r="A83" s="2" t="n">
        <v>82</v>
      </c>
      <c r="B83" s="2" t="s">
        <v>1052</v>
      </c>
      <c r="C83" s="2" t="n">
        <v>149.046884834</v>
      </c>
      <c r="D83" s="2" t="n">
        <v>0.11175907056472</v>
      </c>
      <c r="E83" s="2" t="s">
        <v>1053</v>
      </c>
      <c r="F83" s="2" t="s">
        <v>24</v>
      </c>
      <c r="G83" s="2" t="s">
        <v>1054</v>
      </c>
      <c r="H83" s="2" t="s">
        <v>1055</v>
      </c>
      <c r="I83" s="2" t="s">
        <v>1056</v>
      </c>
      <c r="J83" s="2" t="s">
        <v>1057</v>
      </c>
      <c r="K83" s="2" t="s">
        <v>29</v>
      </c>
      <c r="L83" s="2" t="s">
        <v>29</v>
      </c>
      <c r="M83" s="2" t="s">
        <v>1058</v>
      </c>
      <c r="N83" s="2" t="s">
        <v>1059</v>
      </c>
      <c r="O83" s="2" t="s">
        <v>1060</v>
      </c>
      <c r="P83" s="2" t="s">
        <v>1061</v>
      </c>
      <c r="Q83" s="2" t="s">
        <v>1062</v>
      </c>
      <c r="R83" s="2" t="s">
        <v>114</v>
      </c>
      <c r="S83" s="2" t="s">
        <v>730</v>
      </c>
      <c r="T83" s="2" t="s">
        <v>731</v>
      </c>
      <c r="U83" s="2" t="s">
        <v>56</v>
      </c>
      <c r="V83" s="2" t="n">
        <v>1</v>
      </c>
    </row>
    <row r="84">
      <c r="A84" s="2" t="n">
        <v>83</v>
      </c>
      <c r="B84" s="2" t="s">
        <v>1063</v>
      </c>
      <c r="C84" s="2" t="n">
        <v>150.019667025</v>
      </c>
      <c r="D84" s="2" t="n">
        <v>1.9651382656113</v>
      </c>
      <c r="E84" s="2" t="s">
        <v>1064</v>
      </c>
      <c r="F84" s="2" t="s">
        <v>24</v>
      </c>
      <c r="G84" s="2" t="s">
        <v>1065</v>
      </c>
      <c r="H84" s="2" t="s">
        <v>1066</v>
      </c>
      <c r="I84" s="2" t="s">
        <v>1067</v>
      </c>
      <c r="J84" s="2" t="s">
        <v>1068</v>
      </c>
      <c r="K84" s="2" t="s">
        <v>91</v>
      </c>
      <c r="L84" s="2" t="s">
        <v>91</v>
      </c>
      <c r="M84" s="2" t="s">
        <v>1069</v>
      </c>
      <c r="N84" s="2" t="s">
        <v>1070</v>
      </c>
      <c r="O84" s="2" t="s">
        <v>91</v>
      </c>
      <c r="P84" s="2" t="s">
        <v>1071</v>
      </c>
      <c r="Q84" s="2" t="s">
        <v>1072</v>
      </c>
      <c r="R84" s="2" t="s">
        <v>770</v>
      </c>
      <c r="S84" s="2" t="s">
        <v>771</v>
      </c>
      <c r="T84" s="2" t="s">
        <v>1073</v>
      </c>
      <c r="U84" s="2" t="s">
        <v>29</v>
      </c>
      <c r="V84" s="2" t="n">
        <v>2</v>
      </c>
    </row>
    <row r="85">
      <c r="A85" s="2" t="n">
        <v>84</v>
      </c>
      <c r="B85" s="2" t="s">
        <v>1074</v>
      </c>
      <c r="C85" s="2" t="n">
        <v>151.02797951</v>
      </c>
      <c r="D85" s="2" t="n">
        <v>0.182049872722948</v>
      </c>
      <c r="E85" s="2" t="s">
        <v>1075</v>
      </c>
      <c r="F85" s="2" t="s">
        <v>86</v>
      </c>
      <c r="G85" s="2" t="s">
        <v>1076</v>
      </c>
      <c r="H85" s="2" t="s">
        <v>1077</v>
      </c>
      <c r="I85" s="2" t="s">
        <v>1078</v>
      </c>
      <c r="J85" s="2" t="s">
        <v>1079</v>
      </c>
      <c r="K85" s="2" t="s">
        <v>29</v>
      </c>
      <c r="L85" s="2" t="s">
        <v>1080</v>
      </c>
      <c r="M85" s="2" t="s">
        <v>29</v>
      </c>
      <c r="N85" s="2" t="s">
        <v>1081</v>
      </c>
      <c r="O85" s="2" t="s">
        <v>1082</v>
      </c>
      <c r="P85" s="2" t="s">
        <v>1083</v>
      </c>
      <c r="Q85" s="2" t="s">
        <v>1084</v>
      </c>
      <c r="R85" s="2" t="s">
        <v>601</v>
      </c>
      <c r="S85" s="2" t="s">
        <v>602</v>
      </c>
      <c r="T85" s="2" t="s">
        <v>603</v>
      </c>
      <c r="U85" s="2" t="s">
        <v>56</v>
      </c>
      <c r="V85" s="2" t="n">
        <v>1</v>
      </c>
    </row>
    <row r="86">
      <c r="A86" s="2" t="n">
        <v>85</v>
      </c>
      <c r="B86" s="2" t="s">
        <v>1085</v>
      </c>
      <c r="C86" s="2" t="n">
        <v>151.112839134</v>
      </c>
      <c r="D86" s="2" t="n">
        <v>2.06933805196964</v>
      </c>
      <c r="E86" s="2" t="s">
        <v>1086</v>
      </c>
      <c r="F86" s="2" t="s">
        <v>24</v>
      </c>
      <c r="G86" s="2" t="s">
        <v>1087</v>
      </c>
      <c r="H86" s="2" t="s">
        <v>1088</v>
      </c>
      <c r="I86" s="2" t="s">
        <v>1089</v>
      </c>
      <c r="J86" s="2" t="s">
        <v>1090</v>
      </c>
      <c r="K86" s="2" t="s">
        <v>1091</v>
      </c>
      <c r="L86" s="2" t="s">
        <v>1092</v>
      </c>
      <c r="M86" s="2" t="s">
        <v>1093</v>
      </c>
      <c r="N86" s="2" t="s">
        <v>1094</v>
      </c>
      <c r="O86" s="2" t="s">
        <v>1095</v>
      </c>
      <c r="P86" s="2" t="s">
        <v>1096</v>
      </c>
      <c r="Q86" s="2" t="s">
        <v>1097</v>
      </c>
      <c r="R86" s="2" t="s">
        <v>794</v>
      </c>
      <c r="S86" s="2" t="s">
        <v>1098</v>
      </c>
      <c r="T86" s="2" t="s">
        <v>1099</v>
      </c>
      <c r="U86" s="2" t="s">
        <v>56</v>
      </c>
      <c r="V86" s="2" t="n">
        <v>1</v>
      </c>
    </row>
    <row r="87">
      <c r="A87" s="2" t="n">
        <v>86</v>
      </c>
      <c r="B87" s="2" t="s">
        <v>1100</v>
      </c>
      <c r="C87" s="2" t="n">
        <v>152.995834323</v>
      </c>
      <c r="D87" s="2" t="n">
        <v>11.9259043363323</v>
      </c>
      <c r="E87" s="2" t="s">
        <v>1101</v>
      </c>
      <c r="F87" s="2" t="s">
        <v>24</v>
      </c>
      <c r="G87" s="2" t="s">
        <v>1102</v>
      </c>
      <c r="H87" s="2" t="s">
        <v>1103</v>
      </c>
      <c r="I87" s="2" t="s">
        <v>1104</v>
      </c>
      <c r="J87" s="2" t="s">
        <v>29</v>
      </c>
      <c r="K87" s="2" t="s">
        <v>29</v>
      </c>
      <c r="L87" s="2" t="s">
        <v>29</v>
      </c>
      <c r="M87" s="2" t="s">
        <v>29</v>
      </c>
      <c r="N87" s="2" t="s">
        <v>1105</v>
      </c>
      <c r="O87" s="2" t="s">
        <v>29</v>
      </c>
      <c r="P87" s="2" t="s">
        <v>1106</v>
      </c>
      <c r="Q87" s="2" t="s">
        <v>1107</v>
      </c>
      <c r="R87" s="2" t="s">
        <v>36</v>
      </c>
      <c r="S87" s="2" t="s">
        <v>1108</v>
      </c>
      <c r="T87" s="2" t="s">
        <v>1109</v>
      </c>
      <c r="U87" s="2" t="s">
        <v>29</v>
      </c>
      <c r="V87" s="2" t="n">
        <v>1</v>
      </c>
    </row>
    <row r="88">
      <c r="A88" s="2" t="n">
        <v>87</v>
      </c>
      <c r="B88" s="2" t="s">
        <v>1110</v>
      </c>
      <c r="C88" s="2" t="n">
        <v>153.030015754</v>
      </c>
      <c r="D88" s="2" t="n">
        <v>4.27854113098336</v>
      </c>
      <c r="E88" s="2" t="s">
        <v>1111</v>
      </c>
      <c r="F88" s="2" t="s">
        <v>161</v>
      </c>
      <c r="G88" s="2" t="s">
        <v>1112</v>
      </c>
      <c r="H88" s="2" t="s">
        <v>1113</v>
      </c>
      <c r="I88" s="2" t="s">
        <v>1114</v>
      </c>
      <c r="J88" s="2" t="s">
        <v>1115</v>
      </c>
      <c r="K88" s="2" t="s">
        <v>29</v>
      </c>
      <c r="L88" s="2" t="s">
        <v>1116</v>
      </c>
      <c r="M88" s="2" t="s">
        <v>1117</v>
      </c>
      <c r="N88" s="2" t="s">
        <v>1118</v>
      </c>
      <c r="O88" s="2" t="s">
        <v>1119</v>
      </c>
      <c r="P88" s="2" t="s">
        <v>1120</v>
      </c>
      <c r="Q88" s="2" t="s">
        <v>1121</v>
      </c>
      <c r="R88" s="2" t="s">
        <v>114</v>
      </c>
      <c r="S88" s="2" t="s">
        <v>1050</v>
      </c>
      <c r="T88" s="2" t="s">
        <v>1122</v>
      </c>
      <c r="U88" s="2" t="s">
        <v>56</v>
      </c>
      <c r="V88" s="2" t="n">
        <v>1</v>
      </c>
    </row>
    <row r="89">
      <c r="A89" s="2" t="n">
        <v>88</v>
      </c>
      <c r="B89" s="2" t="s">
        <v>1123</v>
      </c>
      <c r="C89" s="2" t="n">
        <v>153.092103692</v>
      </c>
      <c r="D89" s="2" t="n">
        <v>2.98600412295297</v>
      </c>
      <c r="E89" s="2" t="s">
        <v>1124</v>
      </c>
      <c r="F89" s="2" t="s">
        <v>24</v>
      </c>
      <c r="G89" s="2" t="s">
        <v>1125</v>
      </c>
      <c r="H89" s="2" t="s">
        <v>1126</v>
      </c>
      <c r="I89" s="2" t="s">
        <v>1127</v>
      </c>
      <c r="J89" s="2" t="s">
        <v>1128</v>
      </c>
      <c r="K89" s="2" t="s">
        <v>1129</v>
      </c>
      <c r="L89" s="2" t="s">
        <v>195</v>
      </c>
      <c r="M89" s="2" t="s">
        <v>195</v>
      </c>
      <c r="N89" s="2" t="s">
        <v>1130</v>
      </c>
      <c r="O89" s="2" t="s">
        <v>1131</v>
      </c>
      <c r="P89" s="2" t="s">
        <v>1132</v>
      </c>
      <c r="Q89" s="2" t="s">
        <v>1133</v>
      </c>
      <c r="R89" s="2" t="s">
        <v>1134</v>
      </c>
      <c r="S89" s="2" t="s">
        <v>1135</v>
      </c>
      <c r="T89" s="2" t="s">
        <v>1136</v>
      </c>
      <c r="U89" s="2" t="s">
        <v>56</v>
      </c>
      <c r="V89" s="2" t="n">
        <v>3</v>
      </c>
    </row>
    <row r="90">
      <c r="A90" s="2" t="n">
        <v>89</v>
      </c>
      <c r="B90" s="2" t="s">
        <v>1137</v>
      </c>
      <c r="C90" s="2" t="n">
        <v>154.014581653</v>
      </c>
      <c r="D90" s="2" t="n">
        <v>6.50282829285351</v>
      </c>
      <c r="E90" s="2" t="s">
        <v>1138</v>
      </c>
      <c r="F90" s="2" t="s">
        <v>24</v>
      </c>
      <c r="G90" s="2" t="s">
        <v>1139</v>
      </c>
      <c r="H90" s="2" t="s">
        <v>1140</v>
      </c>
      <c r="I90" s="2" t="s">
        <v>1141</v>
      </c>
      <c r="J90" s="2" t="s">
        <v>1142</v>
      </c>
      <c r="K90" s="2" t="s">
        <v>29</v>
      </c>
      <c r="L90" s="2" t="s">
        <v>1143</v>
      </c>
      <c r="M90" s="2" t="s">
        <v>1144</v>
      </c>
      <c r="N90" s="2" t="s">
        <v>1145</v>
      </c>
      <c r="O90" s="2" t="s">
        <v>1146</v>
      </c>
      <c r="P90" s="2" t="s">
        <v>1147</v>
      </c>
      <c r="Q90" s="2" t="s">
        <v>1148</v>
      </c>
      <c r="R90" s="2" t="s">
        <v>186</v>
      </c>
      <c r="S90" s="2" t="s">
        <v>357</v>
      </c>
      <c r="T90" s="2" t="s">
        <v>1149</v>
      </c>
      <c r="U90" s="2" t="s">
        <v>56</v>
      </c>
      <c r="V90" s="2" t="n">
        <v>1</v>
      </c>
    </row>
    <row r="91">
      <c r="A91" s="2" t="n">
        <v>90</v>
      </c>
      <c r="B91" s="2" t="s">
        <v>1150</v>
      </c>
      <c r="C91" s="2" t="n">
        <v>154.064030663</v>
      </c>
      <c r="D91" s="2" t="n">
        <v>3.28116760571234</v>
      </c>
      <c r="E91" s="2" t="s">
        <v>1151</v>
      </c>
      <c r="F91" s="2" t="s">
        <v>86</v>
      </c>
      <c r="G91" s="2" t="s">
        <v>1152</v>
      </c>
      <c r="H91" s="2" t="s">
        <v>1153</v>
      </c>
      <c r="I91" s="2" t="s">
        <v>1154</v>
      </c>
      <c r="J91" s="2" t="s">
        <v>1155</v>
      </c>
      <c r="K91" s="2" t="s">
        <v>29</v>
      </c>
      <c r="L91" s="2" t="s">
        <v>29</v>
      </c>
      <c r="M91" s="2" t="s">
        <v>1156</v>
      </c>
      <c r="N91" s="2" t="s">
        <v>1157</v>
      </c>
      <c r="O91" s="2" t="s">
        <v>29</v>
      </c>
      <c r="P91" s="2" t="s">
        <v>1158</v>
      </c>
      <c r="Q91" s="2" t="s">
        <v>1159</v>
      </c>
      <c r="R91" s="2" t="s">
        <v>36</v>
      </c>
      <c r="S91" s="2" t="s">
        <v>1160</v>
      </c>
      <c r="T91" s="2" t="s">
        <v>1161</v>
      </c>
      <c r="U91" s="2" t="s">
        <v>29</v>
      </c>
      <c r="V91" s="2" t="n">
        <v>1</v>
      </c>
    </row>
    <row r="92">
      <c r="A92" s="2" t="n">
        <v>91</v>
      </c>
      <c r="B92" s="2" t="s">
        <v>1162</v>
      </c>
      <c r="C92" s="2" t="n">
        <v>154.9283173</v>
      </c>
      <c r="D92" s="2" t="n">
        <v>5.46848255784516</v>
      </c>
      <c r="E92" s="2" t="s">
        <v>1163</v>
      </c>
      <c r="F92" s="2" t="s">
        <v>218</v>
      </c>
      <c r="G92" s="2" t="s">
        <v>1164</v>
      </c>
      <c r="H92" s="2" t="s">
        <v>1165</v>
      </c>
      <c r="I92" s="2" t="s">
        <v>1166</v>
      </c>
      <c r="J92" s="2" t="s">
        <v>1167</v>
      </c>
      <c r="K92" s="2" t="s">
        <v>29</v>
      </c>
      <c r="L92" s="2" t="s">
        <v>1168</v>
      </c>
      <c r="M92" s="2" t="s">
        <v>29</v>
      </c>
      <c r="N92" s="2" t="s">
        <v>1169</v>
      </c>
      <c r="O92" s="2" t="s">
        <v>1170</v>
      </c>
      <c r="P92" s="2" t="s">
        <v>1171</v>
      </c>
      <c r="Q92" s="2" t="s">
        <v>1172</v>
      </c>
      <c r="R92" s="2" t="s">
        <v>213</v>
      </c>
      <c r="S92" s="2" t="s">
        <v>214</v>
      </c>
      <c r="T92" s="2" t="s">
        <v>215</v>
      </c>
      <c r="U92" s="2" t="s">
        <v>101</v>
      </c>
      <c r="V92" s="2" t="n">
        <v>1</v>
      </c>
    </row>
    <row r="93">
      <c r="A93" s="2" t="n">
        <v>92</v>
      </c>
      <c r="B93" s="2" t="s">
        <v>1173</v>
      </c>
      <c r="C93" s="2" t="n">
        <v>154.976143636</v>
      </c>
      <c r="D93" s="2" t="n">
        <v>12.302875720671</v>
      </c>
      <c r="E93" s="2" t="s">
        <v>1174</v>
      </c>
      <c r="F93" s="2" t="s">
        <v>86</v>
      </c>
      <c r="G93" s="2" t="s">
        <v>1175</v>
      </c>
      <c r="H93" s="2" t="s">
        <v>1176</v>
      </c>
      <c r="I93" s="2" t="s">
        <v>1177</v>
      </c>
      <c r="J93" s="2" t="s">
        <v>1178</v>
      </c>
      <c r="K93" s="2" t="s">
        <v>91</v>
      </c>
      <c r="L93" s="2" t="s">
        <v>1179</v>
      </c>
      <c r="M93" s="2" t="s">
        <v>1180</v>
      </c>
      <c r="N93" s="2" t="s">
        <v>1181</v>
      </c>
      <c r="O93" s="2" t="s">
        <v>1182</v>
      </c>
      <c r="P93" s="2" t="s">
        <v>1183</v>
      </c>
      <c r="Q93" s="2" t="s">
        <v>1184</v>
      </c>
      <c r="R93" s="2" t="s">
        <v>1185</v>
      </c>
      <c r="S93" s="2" t="s">
        <v>1186</v>
      </c>
      <c r="T93" s="2" t="s">
        <v>543</v>
      </c>
      <c r="U93" s="2" t="s">
        <v>101</v>
      </c>
      <c r="V93" s="2" t="n">
        <v>2</v>
      </c>
    </row>
    <row r="94">
      <c r="A94" s="2" t="n">
        <v>93</v>
      </c>
      <c r="B94" s="2" t="s">
        <v>1187</v>
      </c>
      <c r="C94" s="2" t="n">
        <v>156.927956952</v>
      </c>
      <c r="D94" s="2" t="n">
        <v>9.91973884321481</v>
      </c>
      <c r="E94" s="2" t="s">
        <v>1188</v>
      </c>
      <c r="F94" s="2" t="s">
        <v>24</v>
      </c>
      <c r="G94" s="2" t="s">
        <v>1189</v>
      </c>
      <c r="H94" s="2" t="s">
        <v>1190</v>
      </c>
      <c r="I94" s="2" t="s">
        <v>1191</v>
      </c>
      <c r="J94" s="2" t="s">
        <v>1192</v>
      </c>
      <c r="K94" s="2" t="s">
        <v>29</v>
      </c>
      <c r="L94" s="2" t="s">
        <v>29</v>
      </c>
      <c r="M94" s="2" t="s">
        <v>29</v>
      </c>
      <c r="N94" s="2" t="s">
        <v>1193</v>
      </c>
      <c r="O94" s="2" t="s">
        <v>1194</v>
      </c>
      <c r="P94" s="2" t="s">
        <v>1195</v>
      </c>
      <c r="Q94" s="2" t="s">
        <v>1196</v>
      </c>
      <c r="R94" s="2" t="s">
        <v>644</v>
      </c>
      <c r="S94" s="2" t="s">
        <v>1197</v>
      </c>
      <c r="T94" s="2" t="s">
        <v>215</v>
      </c>
      <c r="U94" s="2" t="s">
        <v>29</v>
      </c>
      <c r="V94" s="2" t="n">
        <v>1</v>
      </c>
    </row>
    <row r="95">
      <c r="A95" s="2" t="n">
        <v>94</v>
      </c>
      <c r="B95" s="2" t="s">
        <v>1198</v>
      </c>
      <c r="C95" s="2" t="n">
        <v>156.993605373</v>
      </c>
      <c r="D95" s="2" t="n">
        <v>3.38113364219864</v>
      </c>
      <c r="E95" s="2" t="s">
        <v>1199</v>
      </c>
      <c r="F95" s="2" t="s">
        <v>86</v>
      </c>
      <c r="G95" s="2" t="s">
        <v>1200</v>
      </c>
      <c r="H95" s="2" t="s">
        <v>1201</v>
      </c>
      <c r="I95" s="2" t="s">
        <v>1202</v>
      </c>
      <c r="J95" s="2" t="s">
        <v>29</v>
      </c>
      <c r="K95" s="2" t="s">
        <v>29</v>
      </c>
      <c r="L95" s="2" t="s">
        <v>29</v>
      </c>
      <c r="M95" s="2" t="s">
        <v>29</v>
      </c>
      <c r="N95" s="2" t="s">
        <v>1203</v>
      </c>
      <c r="O95" s="2" t="s">
        <v>29</v>
      </c>
      <c r="P95" s="2" t="s">
        <v>1204</v>
      </c>
      <c r="Q95" s="2" t="s">
        <v>1205</v>
      </c>
      <c r="R95" s="2" t="s">
        <v>186</v>
      </c>
      <c r="S95" s="2" t="s">
        <v>187</v>
      </c>
      <c r="T95" s="2" t="s">
        <v>1206</v>
      </c>
      <c r="U95" s="2" t="s">
        <v>29</v>
      </c>
      <c r="V95" s="2" t="n">
        <v>1</v>
      </c>
    </row>
    <row r="96">
      <c r="A96" s="2" t="n">
        <v>95</v>
      </c>
      <c r="B96" s="2" t="s">
        <v>1207</v>
      </c>
      <c r="C96" s="2" t="n">
        <v>157.036709765</v>
      </c>
      <c r="D96" s="2" t="n">
        <v>0.657059978161481</v>
      </c>
      <c r="E96" s="2" t="s">
        <v>1208</v>
      </c>
      <c r="F96" s="2" t="s">
        <v>205</v>
      </c>
      <c r="G96" s="2" t="s">
        <v>1209</v>
      </c>
      <c r="H96" s="2" t="s">
        <v>1210</v>
      </c>
      <c r="I96" s="2" t="s">
        <v>1211</v>
      </c>
      <c r="J96" s="2" t="s">
        <v>1212</v>
      </c>
      <c r="K96" s="2" t="s">
        <v>29</v>
      </c>
      <c r="L96" s="2" t="s">
        <v>29</v>
      </c>
      <c r="M96" s="2" t="s">
        <v>29</v>
      </c>
      <c r="N96" s="2" t="s">
        <v>1213</v>
      </c>
      <c r="O96" s="2" t="s">
        <v>1214</v>
      </c>
      <c r="P96" s="2" t="s">
        <v>1215</v>
      </c>
      <c r="Q96" s="2" t="s">
        <v>1216</v>
      </c>
      <c r="R96" s="2" t="s">
        <v>36</v>
      </c>
      <c r="S96" s="2" t="s">
        <v>37</v>
      </c>
      <c r="T96" s="2" t="s">
        <v>1217</v>
      </c>
      <c r="U96" s="2" t="s">
        <v>29</v>
      </c>
      <c r="V96" s="2" t="n">
        <v>1</v>
      </c>
    </row>
    <row r="97">
      <c r="A97" s="2" t="n">
        <v>96</v>
      </c>
      <c r="B97" s="2" t="s">
        <v>1218</v>
      </c>
      <c r="C97" s="2" t="n">
        <v>159.033064888</v>
      </c>
      <c r="D97" s="2" t="n">
        <v>3.37545201462286</v>
      </c>
      <c r="E97" s="2" t="s">
        <v>1219</v>
      </c>
      <c r="F97" s="2" t="s">
        <v>86</v>
      </c>
      <c r="G97" s="2" t="s">
        <v>1220</v>
      </c>
      <c r="H97" s="2" t="s">
        <v>1221</v>
      </c>
      <c r="I97" s="2" t="s">
        <v>1222</v>
      </c>
      <c r="J97" s="2" t="s">
        <v>1223</v>
      </c>
      <c r="K97" s="2" t="s">
        <v>29</v>
      </c>
      <c r="L97" s="2" t="s">
        <v>1224</v>
      </c>
      <c r="M97" s="2" t="s">
        <v>1225</v>
      </c>
      <c r="N97" s="2" t="s">
        <v>1226</v>
      </c>
      <c r="O97" s="2" t="s">
        <v>1227</v>
      </c>
      <c r="P97" s="2" t="s">
        <v>1228</v>
      </c>
      <c r="Q97" s="2" t="s">
        <v>1229</v>
      </c>
      <c r="R97" s="2" t="s">
        <v>114</v>
      </c>
      <c r="S97" s="2" t="s">
        <v>172</v>
      </c>
      <c r="T97" s="2" t="s">
        <v>173</v>
      </c>
      <c r="U97" s="2" t="s">
        <v>56</v>
      </c>
      <c r="V97" s="2" t="n">
        <v>1</v>
      </c>
    </row>
    <row r="98">
      <c r="A98" s="2" t="n">
        <v>97</v>
      </c>
      <c r="B98" s="2" t="s">
        <v>1230</v>
      </c>
      <c r="C98" s="2" t="n">
        <v>159.04852001</v>
      </c>
      <c r="D98" s="2" t="n">
        <v>2.09932478981808</v>
      </c>
      <c r="E98" s="2" t="s">
        <v>1231</v>
      </c>
      <c r="F98" s="2" t="s">
        <v>205</v>
      </c>
      <c r="G98" s="2" t="s">
        <v>1232</v>
      </c>
      <c r="H98" s="2" t="s">
        <v>1233</v>
      </c>
      <c r="I98" s="2" t="s">
        <v>1234</v>
      </c>
      <c r="J98" s="2" t="s">
        <v>1235</v>
      </c>
      <c r="K98" s="2" t="s">
        <v>29</v>
      </c>
      <c r="L98" s="2" t="s">
        <v>1236</v>
      </c>
      <c r="M98" s="2" t="s">
        <v>29</v>
      </c>
      <c r="N98" s="2" t="s">
        <v>1237</v>
      </c>
      <c r="O98" s="2" t="s">
        <v>1238</v>
      </c>
      <c r="P98" s="2" t="s">
        <v>1239</v>
      </c>
      <c r="Q98" s="2" t="s">
        <v>1240</v>
      </c>
      <c r="R98" s="2" t="s">
        <v>644</v>
      </c>
      <c r="S98" s="2" t="s">
        <v>1241</v>
      </c>
      <c r="T98" s="2" t="s">
        <v>215</v>
      </c>
      <c r="U98" s="2" t="s">
        <v>56</v>
      </c>
      <c r="V98" s="2" t="n">
        <v>1</v>
      </c>
    </row>
    <row r="99">
      <c r="A99" s="2" t="n">
        <v>98</v>
      </c>
      <c r="B99" s="2" t="s">
        <v>1242</v>
      </c>
      <c r="C99" s="2" t="n">
        <v>159.067620276</v>
      </c>
      <c r="D99" s="2" t="n">
        <v>2.59821953353293</v>
      </c>
      <c r="E99" s="2" t="s">
        <v>1243</v>
      </c>
      <c r="F99" s="2" t="s">
        <v>24</v>
      </c>
      <c r="G99" s="2" t="s">
        <v>1244</v>
      </c>
      <c r="H99" s="2" t="s">
        <v>1245</v>
      </c>
      <c r="I99" s="2" t="s">
        <v>1246</v>
      </c>
      <c r="J99" s="2" t="s">
        <v>1247</v>
      </c>
      <c r="K99" s="2" t="s">
        <v>29</v>
      </c>
      <c r="L99" s="2" t="s">
        <v>1248</v>
      </c>
      <c r="M99" s="2" t="s">
        <v>1249</v>
      </c>
      <c r="N99" s="2" t="s">
        <v>1250</v>
      </c>
      <c r="O99" s="2" t="s">
        <v>1251</v>
      </c>
      <c r="P99" s="2" t="s">
        <v>1252</v>
      </c>
      <c r="Q99" s="2" t="s">
        <v>1253</v>
      </c>
      <c r="R99" s="2" t="s">
        <v>114</v>
      </c>
      <c r="S99" s="2" t="s">
        <v>1254</v>
      </c>
      <c r="T99" s="2" t="s">
        <v>1255</v>
      </c>
      <c r="U99" s="2" t="s">
        <v>56</v>
      </c>
      <c r="V99" s="2" t="n">
        <v>1</v>
      </c>
    </row>
    <row r="100">
      <c r="A100" s="2" t="n">
        <v>99</v>
      </c>
      <c r="B100" s="2" t="s">
        <v>1256</v>
      </c>
      <c r="C100" s="2" t="n">
        <v>159.07751626</v>
      </c>
      <c r="D100" s="2" t="n">
        <v>12.0052859239803</v>
      </c>
      <c r="E100" s="2" t="s">
        <v>1257</v>
      </c>
      <c r="F100" s="2" t="s">
        <v>24</v>
      </c>
      <c r="G100" s="2" t="s">
        <v>1258</v>
      </c>
      <c r="H100" s="2" t="s">
        <v>1259</v>
      </c>
      <c r="I100" s="2" t="s">
        <v>1260</v>
      </c>
      <c r="J100" s="2" t="s">
        <v>1261</v>
      </c>
      <c r="K100" s="2" t="s">
        <v>91</v>
      </c>
      <c r="L100" s="2" t="s">
        <v>1262</v>
      </c>
      <c r="M100" s="2" t="s">
        <v>1263</v>
      </c>
      <c r="N100" s="2" t="s">
        <v>1264</v>
      </c>
      <c r="O100" s="2" t="s">
        <v>1265</v>
      </c>
      <c r="P100" s="2" t="s">
        <v>1266</v>
      </c>
      <c r="Q100" s="2" t="s">
        <v>1267</v>
      </c>
      <c r="R100" s="2" t="s">
        <v>144</v>
      </c>
      <c r="S100" s="2" t="s">
        <v>145</v>
      </c>
      <c r="T100" s="2" t="s">
        <v>146</v>
      </c>
      <c r="U100" s="2" t="s">
        <v>56</v>
      </c>
      <c r="V100" s="2" t="n">
        <v>2</v>
      </c>
    </row>
    <row r="101">
      <c r="A101" s="2" t="n">
        <v>100</v>
      </c>
      <c r="B101" s="2" t="s">
        <v>1268</v>
      </c>
      <c r="C101" s="2" t="n">
        <v>160.007383959</v>
      </c>
      <c r="D101" s="2" t="n">
        <v>18.5043402652457</v>
      </c>
      <c r="E101" s="2" t="s">
        <v>1269</v>
      </c>
      <c r="F101" s="2" t="s">
        <v>205</v>
      </c>
      <c r="G101" s="2" t="s">
        <v>1270</v>
      </c>
      <c r="H101" s="2" t="s">
        <v>1271</v>
      </c>
      <c r="I101" s="2" t="s">
        <v>1272</v>
      </c>
      <c r="J101" s="2" t="s">
        <v>91</v>
      </c>
      <c r="K101" s="2" t="s">
        <v>91</v>
      </c>
      <c r="L101" s="2" t="s">
        <v>91</v>
      </c>
      <c r="M101" s="2" t="s">
        <v>1273</v>
      </c>
      <c r="N101" s="2" t="s">
        <v>1274</v>
      </c>
      <c r="O101" s="2" t="s">
        <v>91</v>
      </c>
      <c r="P101" s="2" t="s">
        <v>1275</v>
      </c>
      <c r="Q101" s="2" t="s">
        <v>1276</v>
      </c>
      <c r="R101" s="2" t="s">
        <v>541</v>
      </c>
      <c r="S101" s="2" t="s">
        <v>782</v>
      </c>
      <c r="T101" s="2" t="s">
        <v>1277</v>
      </c>
      <c r="U101" s="2" t="s">
        <v>29</v>
      </c>
      <c r="V101" s="2" t="n">
        <v>2</v>
      </c>
    </row>
    <row r="102">
      <c r="A102" s="2" t="n">
        <v>101</v>
      </c>
      <c r="B102" s="2" t="s">
        <v>1278</v>
      </c>
      <c r="C102" s="2" t="n">
        <v>160.062318935</v>
      </c>
      <c r="D102" s="2" t="n">
        <v>10.9528395290254</v>
      </c>
      <c r="E102" s="2" t="s">
        <v>1279</v>
      </c>
      <c r="F102" s="2" t="s">
        <v>161</v>
      </c>
      <c r="G102" s="2" t="s">
        <v>1280</v>
      </c>
      <c r="H102" s="2" t="s">
        <v>1281</v>
      </c>
      <c r="I102" s="2" t="s">
        <v>1282</v>
      </c>
      <c r="J102" s="2" t="s">
        <v>1283</v>
      </c>
      <c r="K102" s="2" t="s">
        <v>29</v>
      </c>
      <c r="L102" s="2" t="s">
        <v>1284</v>
      </c>
      <c r="M102" s="2" t="s">
        <v>1285</v>
      </c>
      <c r="N102" s="2" t="s">
        <v>1286</v>
      </c>
      <c r="O102" s="2" t="s">
        <v>29</v>
      </c>
      <c r="P102" s="2" t="s">
        <v>1287</v>
      </c>
      <c r="Q102" s="2" t="s">
        <v>1288</v>
      </c>
      <c r="R102" s="2" t="s">
        <v>114</v>
      </c>
      <c r="S102" s="2" t="s">
        <v>1289</v>
      </c>
      <c r="T102" s="2" t="s">
        <v>1290</v>
      </c>
      <c r="U102" s="2" t="s">
        <v>56</v>
      </c>
      <c r="V102" s="2" t="n">
        <v>1</v>
      </c>
    </row>
    <row r="103">
      <c r="A103" s="2" t="n">
        <v>102</v>
      </c>
      <c r="B103" s="2" t="s">
        <v>1291</v>
      </c>
      <c r="C103" s="2" t="n">
        <v>160.9622612</v>
      </c>
      <c r="D103" s="2" t="n">
        <v>4.75698009543226</v>
      </c>
      <c r="E103" s="2" t="s">
        <v>1292</v>
      </c>
      <c r="F103" s="2" t="s">
        <v>205</v>
      </c>
      <c r="G103" s="2" t="s">
        <v>1293</v>
      </c>
      <c r="H103" s="2" t="s">
        <v>1294</v>
      </c>
      <c r="I103" s="2" t="s">
        <v>1295</v>
      </c>
      <c r="J103" s="2" t="s">
        <v>29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29</v>
      </c>
      <c r="P103" s="2" t="s">
        <v>1296</v>
      </c>
      <c r="Q103" s="2" t="s">
        <v>1297</v>
      </c>
      <c r="R103" s="2" t="s">
        <v>213</v>
      </c>
      <c r="S103" s="2" t="s">
        <v>1298</v>
      </c>
      <c r="T103" s="2" t="s">
        <v>1299</v>
      </c>
      <c r="U103" s="2" t="s">
        <v>29</v>
      </c>
      <c r="V103" s="2" t="n">
        <v>1</v>
      </c>
    </row>
    <row r="104">
      <c r="A104" s="2" t="n">
        <v>103</v>
      </c>
      <c r="B104" s="2" t="s">
        <v>1300</v>
      </c>
      <c r="C104" s="2" t="n">
        <v>161.996345031</v>
      </c>
      <c r="D104" s="2" t="n">
        <v>1.3020809870069</v>
      </c>
      <c r="E104" s="2" t="s">
        <v>1301</v>
      </c>
      <c r="F104" s="2" t="s">
        <v>86</v>
      </c>
      <c r="G104" s="2" t="s">
        <v>1302</v>
      </c>
      <c r="H104" s="2" t="s">
        <v>1303</v>
      </c>
      <c r="I104" s="2" t="s">
        <v>1304</v>
      </c>
      <c r="J104" s="2" t="s">
        <v>1305</v>
      </c>
      <c r="K104" s="2" t="s">
        <v>29</v>
      </c>
      <c r="L104" s="2" t="s">
        <v>29</v>
      </c>
      <c r="M104" s="2" t="s">
        <v>29</v>
      </c>
      <c r="N104" s="2" t="s">
        <v>1306</v>
      </c>
      <c r="O104" s="2" t="s">
        <v>29</v>
      </c>
      <c r="P104" s="2" t="s">
        <v>1307</v>
      </c>
      <c r="Q104" s="2" t="s">
        <v>1308</v>
      </c>
      <c r="R104" s="2" t="s">
        <v>114</v>
      </c>
      <c r="S104" s="2" t="s">
        <v>397</v>
      </c>
      <c r="T104" s="2" t="s">
        <v>398</v>
      </c>
      <c r="U104" s="2" t="s">
        <v>56</v>
      </c>
      <c r="V104" s="2" t="n">
        <v>1</v>
      </c>
    </row>
    <row r="105">
      <c r="A105" s="2" t="n">
        <v>104</v>
      </c>
      <c r="B105" s="2" t="s">
        <v>1309</v>
      </c>
      <c r="C105" s="2" t="n">
        <v>162.028493477</v>
      </c>
      <c r="D105" s="2" t="n">
        <v>0.150998033401032</v>
      </c>
      <c r="E105" s="2" t="s">
        <v>1310</v>
      </c>
      <c r="F105" s="2" t="s">
        <v>531</v>
      </c>
      <c r="G105" s="2" t="s">
        <v>1311</v>
      </c>
      <c r="H105" s="2" t="s">
        <v>1312</v>
      </c>
      <c r="I105" s="2" t="s">
        <v>1313</v>
      </c>
      <c r="J105" s="2" t="s">
        <v>91</v>
      </c>
      <c r="K105" s="2" t="s">
        <v>91</v>
      </c>
      <c r="L105" s="2" t="s">
        <v>91</v>
      </c>
      <c r="M105" s="2" t="s">
        <v>1314</v>
      </c>
      <c r="N105" s="2" t="s">
        <v>1315</v>
      </c>
      <c r="O105" s="2" t="s">
        <v>91</v>
      </c>
      <c r="P105" s="2" t="s">
        <v>1316</v>
      </c>
      <c r="Q105" s="2" t="s">
        <v>1317</v>
      </c>
      <c r="R105" s="2" t="s">
        <v>541</v>
      </c>
      <c r="S105" s="2" t="s">
        <v>1318</v>
      </c>
      <c r="T105" s="2" t="s">
        <v>1319</v>
      </c>
      <c r="U105" s="2" t="s">
        <v>29</v>
      </c>
      <c r="V105" s="2" t="n">
        <v>2</v>
      </c>
    </row>
    <row r="106">
      <c r="A106" s="2" t="n">
        <v>105</v>
      </c>
      <c r="B106" s="2" t="s">
        <v>1320</v>
      </c>
      <c r="C106" s="2" t="n">
        <v>162.052025483</v>
      </c>
      <c r="D106" s="2" t="n">
        <v>3.08103012492051</v>
      </c>
      <c r="E106" s="2" t="s">
        <v>1321</v>
      </c>
      <c r="F106" s="2" t="s">
        <v>205</v>
      </c>
      <c r="G106" s="2" t="s">
        <v>1322</v>
      </c>
      <c r="H106" s="2" t="s">
        <v>1323</v>
      </c>
      <c r="I106" s="2" t="s">
        <v>1324</v>
      </c>
      <c r="J106" s="2" t="s">
        <v>1325</v>
      </c>
      <c r="K106" s="2" t="s">
        <v>29</v>
      </c>
      <c r="L106" s="2" t="s">
        <v>1326</v>
      </c>
      <c r="M106" s="2" t="s">
        <v>1327</v>
      </c>
      <c r="N106" s="2" t="s">
        <v>1328</v>
      </c>
      <c r="O106" s="2" t="s">
        <v>1329</v>
      </c>
      <c r="P106" s="2" t="s">
        <v>1330</v>
      </c>
      <c r="Q106" s="2" t="s">
        <v>1331</v>
      </c>
      <c r="R106" s="2" t="s">
        <v>36</v>
      </c>
      <c r="S106" s="2" t="s">
        <v>37</v>
      </c>
      <c r="T106" s="2" t="s">
        <v>69</v>
      </c>
      <c r="U106" s="2" t="s">
        <v>56</v>
      </c>
      <c r="V106" s="2" t="n">
        <v>1</v>
      </c>
    </row>
    <row r="107">
      <c r="A107" s="2" t="n">
        <v>106</v>
      </c>
      <c r="B107" s="2" t="s">
        <v>1332</v>
      </c>
      <c r="C107" s="2" t="n">
        <v>162.9835279</v>
      </c>
      <c r="D107" s="2" t="n">
        <v>5.94617848683537</v>
      </c>
      <c r="E107" s="2" t="s">
        <v>1333</v>
      </c>
      <c r="F107" s="2" t="s">
        <v>86</v>
      </c>
      <c r="G107" s="2" t="s">
        <v>1334</v>
      </c>
      <c r="H107" s="2" t="s">
        <v>1335</v>
      </c>
      <c r="I107" s="2" t="s">
        <v>1336</v>
      </c>
      <c r="J107" s="2" t="s">
        <v>1337</v>
      </c>
      <c r="K107" s="2" t="s">
        <v>195</v>
      </c>
      <c r="L107" s="2" t="s">
        <v>195</v>
      </c>
      <c r="M107" s="2" t="s">
        <v>195</v>
      </c>
      <c r="N107" s="2" t="s">
        <v>1338</v>
      </c>
      <c r="O107" s="2" t="s">
        <v>195</v>
      </c>
      <c r="P107" s="2" t="s">
        <v>1339</v>
      </c>
      <c r="Q107" s="2" t="s">
        <v>1340</v>
      </c>
      <c r="R107" s="2" t="s">
        <v>490</v>
      </c>
      <c r="S107" s="2" t="s">
        <v>1341</v>
      </c>
      <c r="T107" s="2" t="s">
        <v>1342</v>
      </c>
      <c r="U107" s="2" t="s">
        <v>29</v>
      </c>
      <c r="V107" s="2" t="n">
        <v>3</v>
      </c>
    </row>
    <row r="108">
      <c r="A108" s="2" t="n">
        <v>107</v>
      </c>
      <c r="B108" s="2" t="s">
        <v>1343</v>
      </c>
      <c r="C108" s="2" t="n">
        <v>163.039517808</v>
      </c>
      <c r="D108" s="2" t="n">
        <v>3.62512978311354</v>
      </c>
      <c r="E108" s="2" t="s">
        <v>1344</v>
      </c>
      <c r="F108" s="2" t="s">
        <v>161</v>
      </c>
      <c r="G108" s="2" t="s">
        <v>1345</v>
      </c>
      <c r="H108" s="2" t="s">
        <v>1346</v>
      </c>
      <c r="I108" s="2" t="s">
        <v>1347</v>
      </c>
      <c r="J108" s="2" t="s">
        <v>1348</v>
      </c>
      <c r="K108" s="2" t="s">
        <v>29</v>
      </c>
      <c r="L108" s="2" t="s">
        <v>1349</v>
      </c>
      <c r="M108" s="2" t="s">
        <v>1350</v>
      </c>
      <c r="N108" s="2" t="s">
        <v>1351</v>
      </c>
      <c r="O108" s="2" t="s">
        <v>1352</v>
      </c>
      <c r="P108" s="2" t="s">
        <v>1353</v>
      </c>
      <c r="Q108" s="2" t="s">
        <v>1354</v>
      </c>
      <c r="R108" s="2" t="s">
        <v>1355</v>
      </c>
      <c r="S108" s="2" t="s">
        <v>1356</v>
      </c>
      <c r="T108" s="2" t="s">
        <v>215</v>
      </c>
      <c r="U108" s="2" t="s">
        <v>39</v>
      </c>
      <c r="V108" s="2" t="n">
        <v>1</v>
      </c>
    </row>
    <row r="109">
      <c r="A109" s="2" t="n">
        <v>108</v>
      </c>
      <c r="B109" s="2" t="s">
        <v>1357</v>
      </c>
      <c r="C109" s="2" t="n">
        <v>163.11228882</v>
      </c>
      <c r="D109" s="2" t="n">
        <v>10.6794111318643</v>
      </c>
      <c r="E109" s="2" t="s">
        <v>1358</v>
      </c>
      <c r="F109" s="2" t="s">
        <v>161</v>
      </c>
      <c r="G109" s="2" t="s">
        <v>1359</v>
      </c>
      <c r="H109" s="2" t="s">
        <v>1360</v>
      </c>
      <c r="I109" s="2" t="s">
        <v>1361</v>
      </c>
      <c r="J109" s="2" t="s">
        <v>1362</v>
      </c>
      <c r="K109" s="2" t="s">
        <v>1363</v>
      </c>
      <c r="L109" s="2" t="s">
        <v>1364</v>
      </c>
      <c r="M109" s="2" t="s">
        <v>1365</v>
      </c>
      <c r="N109" s="2" t="s">
        <v>1366</v>
      </c>
      <c r="O109" s="2" t="s">
        <v>1367</v>
      </c>
      <c r="P109" s="2" t="s">
        <v>1368</v>
      </c>
      <c r="Q109" s="2" t="s">
        <v>1369</v>
      </c>
      <c r="R109" s="2" t="s">
        <v>794</v>
      </c>
      <c r="S109" s="2" t="s">
        <v>795</v>
      </c>
      <c r="T109" s="2" t="s">
        <v>1370</v>
      </c>
      <c r="U109" s="2" t="s">
        <v>56</v>
      </c>
      <c r="V109" s="2" t="n">
        <v>1</v>
      </c>
    </row>
    <row r="110">
      <c r="A110" s="2" t="n">
        <v>109</v>
      </c>
      <c r="B110" s="2" t="s">
        <v>1371</v>
      </c>
      <c r="C110" s="2" t="n">
        <v>164.957118826</v>
      </c>
      <c r="D110" s="2" t="n">
        <v>1.53609595896962</v>
      </c>
      <c r="E110" s="2" t="s">
        <v>1372</v>
      </c>
      <c r="F110" s="2" t="s">
        <v>218</v>
      </c>
      <c r="G110" s="2" t="s">
        <v>1373</v>
      </c>
      <c r="H110" s="2" t="s">
        <v>1374</v>
      </c>
      <c r="I110" s="2" t="s">
        <v>1375</v>
      </c>
      <c r="J110" s="2" t="s">
        <v>1376</v>
      </c>
      <c r="K110" s="2" t="s">
        <v>29</v>
      </c>
      <c r="L110" s="2" t="s">
        <v>29</v>
      </c>
      <c r="M110" s="2" t="s">
        <v>29</v>
      </c>
      <c r="N110" s="2" t="s">
        <v>1377</v>
      </c>
      <c r="O110" s="2" t="s">
        <v>29</v>
      </c>
      <c r="P110" s="2" t="s">
        <v>1378</v>
      </c>
      <c r="Q110" s="2" t="s">
        <v>1379</v>
      </c>
      <c r="R110" s="2" t="s">
        <v>129</v>
      </c>
      <c r="S110" s="2" t="s">
        <v>130</v>
      </c>
      <c r="T110" s="2" t="s">
        <v>131</v>
      </c>
      <c r="U110" s="2" t="s">
        <v>29</v>
      </c>
      <c r="V110" s="2" t="n">
        <v>1</v>
      </c>
    </row>
    <row r="111">
      <c r="A111" s="2" t="n">
        <v>110</v>
      </c>
      <c r="B111" s="2" t="s">
        <v>1380</v>
      </c>
      <c r="C111" s="2" t="n">
        <v>165.014637632</v>
      </c>
      <c r="D111" s="2" t="n">
        <v>6.60589440720029</v>
      </c>
      <c r="E111" s="2" t="s">
        <v>1381</v>
      </c>
      <c r="F111" s="2" t="s">
        <v>86</v>
      </c>
      <c r="G111" s="2" t="s">
        <v>1382</v>
      </c>
      <c r="H111" s="2" t="s">
        <v>1383</v>
      </c>
      <c r="I111" s="2" t="s">
        <v>1384</v>
      </c>
      <c r="J111" s="2" t="s">
        <v>1385</v>
      </c>
      <c r="K111" s="2" t="s">
        <v>29</v>
      </c>
      <c r="L111" s="2" t="s">
        <v>29</v>
      </c>
      <c r="M111" s="2" t="s">
        <v>1386</v>
      </c>
      <c r="N111" s="2" t="s">
        <v>1387</v>
      </c>
      <c r="O111" s="2" t="s">
        <v>1388</v>
      </c>
      <c r="P111" s="2" t="s">
        <v>1389</v>
      </c>
      <c r="Q111" s="2" t="s">
        <v>1390</v>
      </c>
      <c r="R111" s="2" t="s">
        <v>129</v>
      </c>
      <c r="S111" s="2" t="s">
        <v>130</v>
      </c>
      <c r="T111" s="2" t="s">
        <v>131</v>
      </c>
      <c r="U111" s="2" t="s">
        <v>56</v>
      </c>
      <c r="V111" s="2" t="n">
        <v>1</v>
      </c>
    </row>
    <row r="112">
      <c r="A112" s="2" t="n">
        <v>111</v>
      </c>
      <c r="B112" s="2" t="s">
        <v>1391</v>
      </c>
      <c r="C112" s="2" t="n">
        <v>165.074345138</v>
      </c>
      <c r="D112" s="2" t="n">
        <v>7.38086031325642</v>
      </c>
      <c r="E112" s="2" t="s">
        <v>1392</v>
      </c>
      <c r="F112" s="2" t="s">
        <v>24</v>
      </c>
      <c r="G112" s="2" t="s">
        <v>1393</v>
      </c>
      <c r="H112" s="2" t="s">
        <v>1394</v>
      </c>
      <c r="I112" s="2" t="s">
        <v>1395</v>
      </c>
      <c r="J112" s="2" t="s">
        <v>1396</v>
      </c>
      <c r="K112" s="2" t="s">
        <v>29</v>
      </c>
      <c r="L112" s="2" t="s">
        <v>29</v>
      </c>
      <c r="M112" s="2" t="s">
        <v>29</v>
      </c>
      <c r="N112" s="2" t="s">
        <v>1397</v>
      </c>
      <c r="O112" s="2" t="s">
        <v>1398</v>
      </c>
      <c r="P112" s="2" t="s">
        <v>1399</v>
      </c>
      <c r="Q112" s="2" t="s">
        <v>1400</v>
      </c>
      <c r="R112" s="2" t="s">
        <v>114</v>
      </c>
      <c r="S112" s="2" t="s">
        <v>877</v>
      </c>
      <c r="T112" s="2" t="s">
        <v>215</v>
      </c>
      <c r="U112" s="2" t="s">
        <v>56</v>
      </c>
      <c r="V112" s="2" t="n">
        <v>1</v>
      </c>
    </row>
    <row r="113">
      <c r="A113" s="2" t="n">
        <v>112</v>
      </c>
      <c r="B113" s="2" t="s">
        <v>1401</v>
      </c>
      <c r="C113" s="2" t="n">
        <v>166.019579</v>
      </c>
      <c r="D113" s="2" t="n">
        <v>3.37609359039435</v>
      </c>
      <c r="E113" s="2" t="s">
        <v>1402</v>
      </c>
      <c r="F113" s="2" t="s">
        <v>86</v>
      </c>
      <c r="G113" s="2" t="s">
        <v>1403</v>
      </c>
      <c r="H113" s="2" t="s">
        <v>1404</v>
      </c>
      <c r="I113" s="2" t="s">
        <v>1405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1406</v>
      </c>
      <c r="Q113" s="2" t="s">
        <v>1407</v>
      </c>
      <c r="R113" s="2" t="s">
        <v>601</v>
      </c>
      <c r="S113" s="2" t="s">
        <v>602</v>
      </c>
      <c r="T113" s="2" t="s">
        <v>1408</v>
      </c>
      <c r="U113" s="2" t="s">
        <v>29</v>
      </c>
      <c r="V113" s="2" t="n">
        <v>1</v>
      </c>
    </row>
    <row r="114">
      <c r="A114" s="2" t="n">
        <v>113</v>
      </c>
      <c r="B114" s="2" t="s">
        <v>1409</v>
      </c>
      <c r="C114" s="2" t="n">
        <v>166.050967159</v>
      </c>
      <c r="D114" s="2" t="n">
        <v>11.5897296122786</v>
      </c>
      <c r="E114" s="2" t="s">
        <v>1410</v>
      </c>
      <c r="F114" s="2" t="s">
        <v>24</v>
      </c>
      <c r="G114" s="2" t="s">
        <v>1411</v>
      </c>
      <c r="H114" s="2" t="s">
        <v>1412</v>
      </c>
      <c r="I114" s="2" t="s">
        <v>1413</v>
      </c>
      <c r="J114" s="2" t="s">
        <v>1414</v>
      </c>
      <c r="K114" s="2" t="s">
        <v>91</v>
      </c>
      <c r="L114" s="2" t="s">
        <v>1415</v>
      </c>
      <c r="M114" s="2" t="s">
        <v>1416</v>
      </c>
      <c r="N114" s="2" t="s">
        <v>1417</v>
      </c>
      <c r="O114" s="2" t="s">
        <v>1418</v>
      </c>
      <c r="P114" s="2" t="s">
        <v>1419</v>
      </c>
      <c r="Q114" s="2" t="s">
        <v>1420</v>
      </c>
      <c r="R114" s="2" t="s">
        <v>541</v>
      </c>
      <c r="S114" s="2" t="s">
        <v>1421</v>
      </c>
      <c r="T114" s="2" t="s">
        <v>1422</v>
      </c>
      <c r="U114" s="2" t="s">
        <v>56</v>
      </c>
      <c r="V114" s="2" t="n">
        <v>2</v>
      </c>
    </row>
    <row r="115">
      <c r="A115" s="2" t="n">
        <v>114</v>
      </c>
      <c r="B115" s="2" t="s">
        <v>1423</v>
      </c>
      <c r="C115" s="2" t="n">
        <v>167.022832574</v>
      </c>
      <c r="D115" s="2" t="n">
        <v>1.47126150868719</v>
      </c>
      <c r="E115" s="2" t="s">
        <v>1424</v>
      </c>
      <c r="F115" s="2" t="s">
        <v>218</v>
      </c>
      <c r="G115" s="2" t="s">
        <v>1425</v>
      </c>
      <c r="H115" s="2" t="s">
        <v>1426</v>
      </c>
      <c r="I115" s="2" t="s">
        <v>1427</v>
      </c>
      <c r="J115" s="2" t="s">
        <v>1428</v>
      </c>
      <c r="K115" s="2" t="s">
        <v>91</v>
      </c>
      <c r="L115" s="2" t="s">
        <v>91</v>
      </c>
      <c r="M115" s="2" t="s">
        <v>91</v>
      </c>
      <c r="N115" s="2" t="s">
        <v>1429</v>
      </c>
      <c r="O115" s="2" t="s">
        <v>1430</v>
      </c>
      <c r="P115" s="2" t="s">
        <v>1431</v>
      </c>
      <c r="Q115" s="2" t="s">
        <v>1432</v>
      </c>
      <c r="R115" s="2" t="s">
        <v>144</v>
      </c>
      <c r="S115" s="2" t="s">
        <v>145</v>
      </c>
      <c r="T115" s="2" t="s">
        <v>146</v>
      </c>
      <c r="U115" s="2" t="s">
        <v>56</v>
      </c>
      <c r="V115" s="2" t="n">
        <v>2</v>
      </c>
    </row>
    <row r="116">
      <c r="A116" s="2" t="n">
        <v>115</v>
      </c>
      <c r="B116" s="2" t="s">
        <v>1433</v>
      </c>
      <c r="C116" s="2" t="n">
        <v>167.107753756</v>
      </c>
      <c r="D116" s="2" t="n">
        <v>17.3116795269926</v>
      </c>
      <c r="E116" s="2" t="s">
        <v>1434</v>
      </c>
      <c r="F116" s="2" t="s">
        <v>24</v>
      </c>
      <c r="G116" s="2" t="s">
        <v>1435</v>
      </c>
      <c r="H116" s="2" t="s">
        <v>1436</v>
      </c>
      <c r="I116" s="2" t="s">
        <v>1437</v>
      </c>
      <c r="J116" s="2" t="s">
        <v>1438</v>
      </c>
      <c r="K116" s="2" t="s">
        <v>29</v>
      </c>
      <c r="L116" s="2" t="s">
        <v>1439</v>
      </c>
      <c r="M116" s="2" t="s">
        <v>1440</v>
      </c>
      <c r="N116" s="2" t="s">
        <v>1441</v>
      </c>
      <c r="O116" s="2" t="s">
        <v>1442</v>
      </c>
      <c r="P116" s="2" t="s">
        <v>1443</v>
      </c>
      <c r="Q116" s="2" t="s">
        <v>1444</v>
      </c>
      <c r="R116" s="2" t="s">
        <v>114</v>
      </c>
      <c r="S116" s="2" t="s">
        <v>1445</v>
      </c>
      <c r="T116" s="2" t="s">
        <v>215</v>
      </c>
      <c r="U116" s="2" t="s">
        <v>56</v>
      </c>
      <c r="V116" s="2" t="n">
        <v>1</v>
      </c>
    </row>
    <row r="117">
      <c r="A117" s="2" t="n">
        <v>116</v>
      </c>
      <c r="B117" s="2" t="s">
        <v>1446</v>
      </c>
      <c r="C117" s="2" t="n">
        <v>167.997217029</v>
      </c>
      <c r="D117" s="2" t="n">
        <v>9.63708038844817</v>
      </c>
      <c r="E117" s="2" t="s">
        <v>1447</v>
      </c>
      <c r="F117" s="2" t="s">
        <v>24</v>
      </c>
      <c r="G117" s="2" t="s">
        <v>1448</v>
      </c>
      <c r="H117" s="2" t="s">
        <v>1449</v>
      </c>
      <c r="I117" s="2" t="s">
        <v>1450</v>
      </c>
      <c r="J117" s="2" t="s">
        <v>1451</v>
      </c>
      <c r="K117" s="2" t="s">
        <v>29</v>
      </c>
      <c r="L117" s="2" t="s">
        <v>1452</v>
      </c>
      <c r="M117" s="2" t="s">
        <v>1453</v>
      </c>
      <c r="N117" s="2" t="s">
        <v>1454</v>
      </c>
      <c r="O117" s="2" t="s">
        <v>1455</v>
      </c>
      <c r="P117" s="2" t="s">
        <v>1456</v>
      </c>
      <c r="Q117" s="2" t="s">
        <v>1457</v>
      </c>
      <c r="R117" s="2" t="s">
        <v>36</v>
      </c>
      <c r="S117" s="2" t="s">
        <v>37</v>
      </c>
      <c r="T117" s="2" t="s">
        <v>69</v>
      </c>
      <c r="U117" s="2" t="s">
        <v>56</v>
      </c>
      <c r="V117" s="2" t="n">
        <v>1</v>
      </c>
    </row>
    <row r="118">
      <c r="A118" s="2" t="n">
        <v>117</v>
      </c>
      <c r="B118" s="2" t="s">
        <v>1458</v>
      </c>
      <c r="C118" s="2" t="n">
        <v>168.044937534</v>
      </c>
      <c r="D118" s="2" t="n">
        <v>2.81074782101669</v>
      </c>
      <c r="E118" s="2" t="s">
        <v>1459</v>
      </c>
      <c r="F118" s="2" t="s">
        <v>161</v>
      </c>
      <c r="G118" s="2" t="s">
        <v>1460</v>
      </c>
      <c r="H118" s="2" t="s">
        <v>1461</v>
      </c>
      <c r="I118" s="2" t="s">
        <v>1462</v>
      </c>
      <c r="J118" s="2" t="s">
        <v>29</v>
      </c>
      <c r="K118" s="2" t="s">
        <v>29</v>
      </c>
      <c r="L118" s="2" t="s">
        <v>29</v>
      </c>
      <c r="M118" s="2" t="s">
        <v>1463</v>
      </c>
      <c r="N118" s="2" t="s">
        <v>1464</v>
      </c>
      <c r="O118" s="2" t="s">
        <v>1465</v>
      </c>
      <c r="P118" s="2" t="s">
        <v>1466</v>
      </c>
      <c r="Q118" s="2" t="s">
        <v>1467</v>
      </c>
      <c r="R118" s="2" t="s">
        <v>114</v>
      </c>
      <c r="S118" s="2" t="s">
        <v>994</v>
      </c>
      <c r="T118" s="2" t="s">
        <v>1468</v>
      </c>
      <c r="U118" s="2" t="s">
        <v>56</v>
      </c>
      <c r="V118" s="2" t="n">
        <v>1</v>
      </c>
    </row>
    <row r="119">
      <c r="A119" s="2" t="n">
        <v>118</v>
      </c>
      <c r="B119" s="2" t="s">
        <v>1469</v>
      </c>
      <c r="C119" s="2" t="n">
        <v>168.9922627</v>
      </c>
      <c r="D119" s="2" t="n">
        <v>1.46764395156704</v>
      </c>
      <c r="E119" s="2" t="s">
        <v>1470</v>
      </c>
      <c r="F119" s="2" t="s">
        <v>86</v>
      </c>
      <c r="G119" s="2" t="s">
        <v>1471</v>
      </c>
      <c r="H119" s="2" t="s">
        <v>1472</v>
      </c>
      <c r="I119" s="2" t="s">
        <v>1473</v>
      </c>
      <c r="J119" s="2" t="s">
        <v>1474</v>
      </c>
      <c r="K119" s="2" t="s">
        <v>29</v>
      </c>
      <c r="L119" s="2" t="s">
        <v>29</v>
      </c>
      <c r="M119" s="2" t="s">
        <v>29</v>
      </c>
      <c r="N119" s="2" t="s">
        <v>1475</v>
      </c>
      <c r="O119" s="2" t="s">
        <v>29</v>
      </c>
      <c r="P119" s="2" t="s">
        <v>1476</v>
      </c>
      <c r="Q119" s="2" t="s">
        <v>1477</v>
      </c>
      <c r="R119" s="2" t="s">
        <v>114</v>
      </c>
      <c r="S119" s="2" t="s">
        <v>1478</v>
      </c>
      <c r="T119" s="2" t="s">
        <v>215</v>
      </c>
      <c r="U119" s="2" t="s">
        <v>29</v>
      </c>
      <c r="V119" s="2" t="n">
        <v>1</v>
      </c>
    </row>
    <row r="120">
      <c r="A120" s="2" t="n">
        <v>119</v>
      </c>
      <c r="B120" s="2" t="s">
        <v>1479</v>
      </c>
      <c r="C120" s="2" t="n">
        <v>169.991187407</v>
      </c>
      <c r="D120" s="2" t="n">
        <v>7.66654945104024</v>
      </c>
      <c r="E120" s="2" t="s">
        <v>1480</v>
      </c>
      <c r="F120" s="2" t="s">
        <v>161</v>
      </c>
      <c r="G120" s="2" t="s">
        <v>1481</v>
      </c>
      <c r="H120" s="2" t="s">
        <v>1482</v>
      </c>
      <c r="I120" s="2" t="s">
        <v>1483</v>
      </c>
      <c r="J120" s="2" t="s">
        <v>1484</v>
      </c>
      <c r="K120" s="2" t="s">
        <v>29</v>
      </c>
      <c r="L120" s="2" t="s">
        <v>29</v>
      </c>
      <c r="M120" s="2" t="s">
        <v>1485</v>
      </c>
      <c r="N120" s="2" t="s">
        <v>1486</v>
      </c>
      <c r="O120" s="2" t="s">
        <v>1487</v>
      </c>
      <c r="P120" s="2" t="s">
        <v>1488</v>
      </c>
      <c r="Q120" s="2" t="s">
        <v>1489</v>
      </c>
      <c r="R120" s="2" t="s">
        <v>36</v>
      </c>
      <c r="S120" s="2" t="s">
        <v>37</v>
      </c>
      <c r="T120" s="2" t="s">
        <v>69</v>
      </c>
      <c r="U120" s="2" t="s">
        <v>39</v>
      </c>
      <c r="V120" s="2" t="n">
        <v>1</v>
      </c>
    </row>
    <row r="121">
      <c r="A121" s="2" t="n">
        <v>120</v>
      </c>
      <c r="B121" s="2" t="s">
        <v>1490</v>
      </c>
      <c r="C121" s="2" t="n">
        <v>170.045331467</v>
      </c>
      <c r="D121" s="2" t="n">
        <v>2.33218970900302</v>
      </c>
      <c r="E121" s="2" t="s">
        <v>1491</v>
      </c>
      <c r="F121" s="2" t="s">
        <v>161</v>
      </c>
      <c r="G121" s="2" t="s">
        <v>1492</v>
      </c>
      <c r="H121" s="2" t="s">
        <v>1493</v>
      </c>
      <c r="I121" s="2" t="s">
        <v>1494</v>
      </c>
      <c r="J121" s="2" t="s">
        <v>1495</v>
      </c>
      <c r="K121" s="2" t="s">
        <v>29</v>
      </c>
      <c r="L121" s="2" t="s">
        <v>1496</v>
      </c>
      <c r="M121" s="2" t="s">
        <v>1497</v>
      </c>
      <c r="N121" s="2" t="s">
        <v>1498</v>
      </c>
      <c r="O121" s="2" t="s">
        <v>1499</v>
      </c>
      <c r="P121" s="2" t="s">
        <v>1500</v>
      </c>
      <c r="Q121" s="2" t="s">
        <v>1501</v>
      </c>
      <c r="R121" s="2" t="s">
        <v>36</v>
      </c>
      <c r="S121" s="2" t="s">
        <v>37</v>
      </c>
      <c r="T121" s="2" t="s">
        <v>69</v>
      </c>
      <c r="U121" s="2" t="s">
        <v>39</v>
      </c>
      <c r="V121" s="2" t="n">
        <v>1</v>
      </c>
    </row>
    <row r="122">
      <c r="A122" s="2" t="n">
        <v>121</v>
      </c>
      <c r="B122" s="2" t="s">
        <v>1502</v>
      </c>
      <c r="C122" s="2" t="n">
        <v>171.00791277</v>
      </c>
      <c r="D122" s="2" t="n">
        <v>2.7846874564362</v>
      </c>
      <c r="E122" s="2" t="s">
        <v>1503</v>
      </c>
      <c r="F122" s="2" t="s">
        <v>86</v>
      </c>
      <c r="G122" s="2" t="s">
        <v>1504</v>
      </c>
      <c r="H122" s="2" t="s">
        <v>1505</v>
      </c>
      <c r="I122" s="2" t="s">
        <v>1506</v>
      </c>
      <c r="J122" s="2" t="s">
        <v>1507</v>
      </c>
      <c r="K122" s="2" t="s">
        <v>29</v>
      </c>
      <c r="L122" s="2" t="s">
        <v>1508</v>
      </c>
      <c r="M122" s="2" t="s">
        <v>1509</v>
      </c>
      <c r="N122" s="2" t="s">
        <v>1510</v>
      </c>
      <c r="O122" s="2" t="s">
        <v>1511</v>
      </c>
      <c r="P122" s="2" t="s">
        <v>1512</v>
      </c>
      <c r="Q122" s="2" t="s">
        <v>1513</v>
      </c>
      <c r="R122" s="2" t="s">
        <v>114</v>
      </c>
      <c r="S122" s="2" t="s">
        <v>730</v>
      </c>
      <c r="T122" s="2" t="s">
        <v>731</v>
      </c>
      <c r="U122" s="2" t="s">
        <v>39</v>
      </c>
      <c r="V122" s="2" t="n">
        <v>1</v>
      </c>
    </row>
    <row r="123">
      <c r="A123" s="2" t="n">
        <v>122</v>
      </c>
      <c r="B123" s="2" t="s">
        <v>1514</v>
      </c>
      <c r="C123" s="2" t="n">
        <v>171.066282872</v>
      </c>
      <c r="D123" s="2" t="n">
        <v>2.44471118783888</v>
      </c>
      <c r="E123" s="2" t="s">
        <v>1515</v>
      </c>
      <c r="F123" s="2" t="s">
        <v>24</v>
      </c>
      <c r="G123" s="2" t="s">
        <v>1516</v>
      </c>
      <c r="H123" s="2" t="s">
        <v>1517</v>
      </c>
      <c r="I123" s="2" t="s">
        <v>1518</v>
      </c>
      <c r="J123" s="2" t="s">
        <v>1519</v>
      </c>
      <c r="K123" s="2" t="s">
        <v>1520</v>
      </c>
      <c r="L123" s="2" t="s">
        <v>195</v>
      </c>
      <c r="M123" s="2" t="s">
        <v>1521</v>
      </c>
      <c r="N123" s="2" t="s">
        <v>1522</v>
      </c>
      <c r="O123" s="2" t="s">
        <v>1523</v>
      </c>
      <c r="P123" s="2" t="s">
        <v>1524</v>
      </c>
      <c r="Q123" s="2" t="s">
        <v>1525</v>
      </c>
      <c r="R123" s="2" t="s">
        <v>255</v>
      </c>
      <c r="S123" s="2" t="s">
        <v>256</v>
      </c>
      <c r="T123" s="2" t="s">
        <v>257</v>
      </c>
      <c r="U123" s="2" t="s">
        <v>56</v>
      </c>
      <c r="V123" s="2" t="n">
        <v>3</v>
      </c>
    </row>
    <row r="124">
      <c r="A124" s="2" t="n">
        <v>123</v>
      </c>
      <c r="B124" s="2" t="s">
        <v>1526</v>
      </c>
      <c r="C124" s="2" t="n">
        <v>171.102668375</v>
      </c>
      <c r="D124" s="2" t="n">
        <v>10.7973468527555</v>
      </c>
      <c r="E124" s="2" t="s">
        <v>1527</v>
      </c>
      <c r="F124" s="2" t="s">
        <v>24</v>
      </c>
      <c r="G124" s="2" t="s">
        <v>1528</v>
      </c>
      <c r="H124" s="2" t="s">
        <v>1529</v>
      </c>
      <c r="I124" s="2" t="s">
        <v>1530</v>
      </c>
      <c r="J124" s="2" t="s">
        <v>1531</v>
      </c>
      <c r="K124" s="2" t="s">
        <v>1532</v>
      </c>
      <c r="L124" s="2" t="s">
        <v>1533</v>
      </c>
      <c r="M124" s="2" t="s">
        <v>1534</v>
      </c>
      <c r="N124" s="2" t="s">
        <v>1535</v>
      </c>
      <c r="O124" s="2" t="s">
        <v>29</v>
      </c>
      <c r="P124" s="2" t="s">
        <v>1536</v>
      </c>
      <c r="Q124" s="2" t="s">
        <v>1537</v>
      </c>
      <c r="R124" s="2" t="s">
        <v>794</v>
      </c>
      <c r="S124" s="2" t="s">
        <v>795</v>
      </c>
      <c r="T124" s="2" t="s">
        <v>796</v>
      </c>
      <c r="U124" s="2" t="s">
        <v>56</v>
      </c>
      <c r="V124" s="2" t="n">
        <v>1</v>
      </c>
    </row>
    <row r="125">
      <c r="A125" s="2" t="n">
        <v>124</v>
      </c>
      <c r="B125" s="2" t="s">
        <v>1538</v>
      </c>
      <c r="C125" s="2" t="n">
        <v>172.007388263</v>
      </c>
      <c r="D125" s="2" t="n">
        <v>9.65759392614085</v>
      </c>
      <c r="E125" s="2" t="s">
        <v>1539</v>
      </c>
      <c r="F125" s="2" t="s">
        <v>24</v>
      </c>
      <c r="G125" s="2" t="s">
        <v>1540</v>
      </c>
      <c r="H125" s="2" t="s">
        <v>1541</v>
      </c>
      <c r="I125" s="2" t="s">
        <v>1542</v>
      </c>
      <c r="J125" s="2" t="s">
        <v>91</v>
      </c>
      <c r="K125" s="2" t="s">
        <v>91</v>
      </c>
      <c r="L125" s="2" t="s">
        <v>1543</v>
      </c>
      <c r="M125" s="2" t="s">
        <v>1544</v>
      </c>
      <c r="N125" s="2" t="s">
        <v>1545</v>
      </c>
      <c r="O125" s="2" t="s">
        <v>91</v>
      </c>
      <c r="P125" s="2" t="s">
        <v>1546</v>
      </c>
      <c r="Q125" s="2" t="s">
        <v>1547</v>
      </c>
      <c r="R125" s="2" t="s">
        <v>770</v>
      </c>
      <c r="S125" s="2" t="s">
        <v>771</v>
      </c>
      <c r="T125" s="2" t="s">
        <v>1548</v>
      </c>
      <c r="U125" s="2" t="s">
        <v>101</v>
      </c>
      <c r="V125" s="2" t="n">
        <v>2</v>
      </c>
    </row>
    <row r="126">
      <c r="A126" s="2" t="n">
        <v>125</v>
      </c>
      <c r="B126" s="2" t="s">
        <v>1549</v>
      </c>
      <c r="C126" s="2" t="n">
        <v>172.109150735</v>
      </c>
      <c r="D126" s="2" t="n">
        <v>15.6978428603715</v>
      </c>
      <c r="E126" s="2" t="s">
        <v>1550</v>
      </c>
      <c r="F126" s="2" t="s">
        <v>24</v>
      </c>
      <c r="G126" s="2" t="s">
        <v>1551</v>
      </c>
      <c r="H126" s="2" t="s">
        <v>1552</v>
      </c>
      <c r="I126" s="2" t="s">
        <v>1553</v>
      </c>
      <c r="J126" s="2" t="s">
        <v>1554</v>
      </c>
      <c r="K126" s="2" t="s">
        <v>195</v>
      </c>
      <c r="L126" s="2" t="s">
        <v>195</v>
      </c>
      <c r="M126" s="2" t="s">
        <v>195</v>
      </c>
      <c r="N126" s="2" t="s">
        <v>1555</v>
      </c>
      <c r="O126" s="2" t="s">
        <v>195</v>
      </c>
      <c r="P126" s="2" t="s">
        <v>1556</v>
      </c>
      <c r="Q126" s="2" t="s">
        <v>1557</v>
      </c>
      <c r="R126" s="2" t="s">
        <v>1558</v>
      </c>
      <c r="S126" s="2" t="s">
        <v>1559</v>
      </c>
      <c r="T126" s="2" t="s">
        <v>1560</v>
      </c>
      <c r="U126" s="2" t="s">
        <v>29</v>
      </c>
      <c r="V126" s="2" t="n">
        <v>3</v>
      </c>
    </row>
    <row r="127">
      <c r="A127" s="2" t="n">
        <v>126</v>
      </c>
      <c r="B127" s="2" t="s">
        <v>1561</v>
      </c>
      <c r="C127" s="2" t="n">
        <v>172.9003374</v>
      </c>
      <c r="D127" s="2" t="n">
        <v>3.80390593901898</v>
      </c>
      <c r="E127" s="2" t="s">
        <v>1562</v>
      </c>
      <c r="F127" s="2" t="s">
        <v>24</v>
      </c>
      <c r="G127" s="2" t="s">
        <v>1563</v>
      </c>
      <c r="H127" s="2" t="s">
        <v>1564</v>
      </c>
      <c r="I127" s="2" t="s">
        <v>1565</v>
      </c>
      <c r="J127" s="2" t="s">
        <v>1566</v>
      </c>
      <c r="K127" s="2" t="s">
        <v>29</v>
      </c>
      <c r="L127" s="2" t="s">
        <v>29</v>
      </c>
      <c r="M127" s="2" t="s">
        <v>29</v>
      </c>
      <c r="N127" s="2" t="s">
        <v>1567</v>
      </c>
      <c r="O127" s="2" t="s">
        <v>1568</v>
      </c>
      <c r="P127" s="2" t="s">
        <v>1569</v>
      </c>
      <c r="Q127" s="2" t="s">
        <v>1570</v>
      </c>
      <c r="R127" s="2" t="s">
        <v>644</v>
      </c>
      <c r="S127" s="2" t="s">
        <v>1571</v>
      </c>
      <c r="T127" s="2" t="s">
        <v>215</v>
      </c>
      <c r="U127" s="2" t="s">
        <v>29</v>
      </c>
      <c r="V127" s="2" t="n">
        <v>1</v>
      </c>
    </row>
    <row r="128">
      <c r="A128" s="2" t="n">
        <v>127</v>
      </c>
      <c r="B128" s="2" t="s">
        <v>1572</v>
      </c>
      <c r="C128" s="2" t="n">
        <v>173.093166319</v>
      </c>
      <c r="D128" s="2" t="n">
        <v>8.57794770155182</v>
      </c>
      <c r="E128" s="2" t="s">
        <v>1573</v>
      </c>
      <c r="F128" s="2" t="s">
        <v>24</v>
      </c>
      <c r="G128" s="2" t="s">
        <v>1574</v>
      </c>
      <c r="H128" s="2" t="s">
        <v>1575</v>
      </c>
      <c r="I128" s="2" t="s">
        <v>1576</v>
      </c>
      <c r="J128" s="2" t="s">
        <v>1577</v>
      </c>
      <c r="K128" s="2" t="s">
        <v>29</v>
      </c>
      <c r="L128" s="2" t="s">
        <v>29</v>
      </c>
      <c r="M128" s="2" t="s">
        <v>1578</v>
      </c>
      <c r="N128" s="2" t="s">
        <v>1579</v>
      </c>
      <c r="O128" s="2" t="s">
        <v>1580</v>
      </c>
      <c r="P128" s="2" t="s">
        <v>1581</v>
      </c>
      <c r="Q128" s="2" t="s">
        <v>1582</v>
      </c>
      <c r="R128" s="2" t="s">
        <v>36</v>
      </c>
      <c r="S128" s="2" t="s">
        <v>37</v>
      </c>
      <c r="T128" s="2" t="s">
        <v>69</v>
      </c>
      <c r="U128" s="2" t="s">
        <v>39</v>
      </c>
      <c r="V128" s="2" t="n">
        <v>1</v>
      </c>
    </row>
    <row r="129">
      <c r="A129" s="2" t="n">
        <v>128</v>
      </c>
      <c r="B129" s="2" t="s">
        <v>1583</v>
      </c>
      <c r="C129" s="2" t="n">
        <v>173.118318442</v>
      </c>
      <c r="D129" s="2" t="n">
        <v>8.5774391827356</v>
      </c>
      <c r="E129" s="2" t="s">
        <v>1584</v>
      </c>
      <c r="F129" s="2" t="s">
        <v>24</v>
      </c>
      <c r="G129" s="2" t="s">
        <v>1585</v>
      </c>
      <c r="H129" s="2" t="s">
        <v>1586</v>
      </c>
      <c r="I129" s="2" t="s">
        <v>1587</v>
      </c>
      <c r="J129" s="2" t="s">
        <v>1588</v>
      </c>
      <c r="K129" s="2" t="s">
        <v>1589</v>
      </c>
      <c r="L129" s="2" t="s">
        <v>29</v>
      </c>
      <c r="M129" s="2" t="s">
        <v>29</v>
      </c>
      <c r="N129" s="2" t="s">
        <v>1590</v>
      </c>
      <c r="O129" s="2" t="s">
        <v>1591</v>
      </c>
      <c r="P129" s="2" t="s">
        <v>1592</v>
      </c>
      <c r="Q129" s="2" t="s">
        <v>1593</v>
      </c>
      <c r="R129" s="2" t="s">
        <v>36</v>
      </c>
      <c r="S129" s="2" t="s">
        <v>82</v>
      </c>
      <c r="T129" s="2" t="s">
        <v>1594</v>
      </c>
      <c r="U129" s="2" t="s">
        <v>56</v>
      </c>
      <c r="V129" s="2" t="n">
        <v>1</v>
      </c>
    </row>
    <row r="130">
      <c r="A130" s="2" t="n">
        <v>129</v>
      </c>
      <c r="B130" s="2" t="s">
        <v>1595</v>
      </c>
      <c r="C130" s="2" t="n">
        <v>174.022488012</v>
      </c>
      <c r="D130" s="2" t="n">
        <v>1.32635385677498</v>
      </c>
      <c r="E130" s="2" t="s">
        <v>1596</v>
      </c>
      <c r="F130" s="2" t="s">
        <v>161</v>
      </c>
      <c r="G130" s="2" t="s">
        <v>1597</v>
      </c>
      <c r="H130" s="2" t="s">
        <v>1598</v>
      </c>
      <c r="I130" s="2" t="s">
        <v>1599</v>
      </c>
      <c r="J130" s="2" t="s">
        <v>29</v>
      </c>
      <c r="K130" s="2" t="s">
        <v>29</v>
      </c>
      <c r="L130" s="2" t="s">
        <v>29</v>
      </c>
      <c r="M130" s="2" t="s">
        <v>29</v>
      </c>
      <c r="N130" s="2" t="s">
        <v>1600</v>
      </c>
      <c r="O130" s="2" t="s">
        <v>29</v>
      </c>
      <c r="P130" s="2" t="s">
        <v>1601</v>
      </c>
      <c r="Q130" s="2" t="s">
        <v>1602</v>
      </c>
      <c r="R130" s="2" t="s">
        <v>36</v>
      </c>
      <c r="S130" s="2" t="s">
        <v>37</v>
      </c>
      <c r="T130" s="2" t="s">
        <v>69</v>
      </c>
      <c r="U130" s="2" t="s">
        <v>29</v>
      </c>
      <c r="V130" s="2" t="n">
        <v>1</v>
      </c>
    </row>
    <row r="131">
      <c r="A131" s="2" t="n">
        <v>130</v>
      </c>
      <c r="B131" s="2" t="s">
        <v>1603</v>
      </c>
      <c r="C131" s="2" t="n">
        <v>175.026941749</v>
      </c>
      <c r="D131" s="2" t="n">
        <v>1.04442201024474</v>
      </c>
      <c r="E131" s="2" t="s">
        <v>1604</v>
      </c>
      <c r="F131" s="2" t="s">
        <v>161</v>
      </c>
      <c r="G131" s="2" t="s">
        <v>1605</v>
      </c>
      <c r="H131" s="2" t="s">
        <v>1606</v>
      </c>
      <c r="I131" s="2" t="s">
        <v>1607</v>
      </c>
      <c r="J131" s="2" t="s">
        <v>29</v>
      </c>
      <c r="K131" s="2" t="s">
        <v>29</v>
      </c>
      <c r="L131" s="2" t="s">
        <v>29</v>
      </c>
      <c r="M131" s="2" t="s">
        <v>29</v>
      </c>
      <c r="N131" s="2" t="s">
        <v>29</v>
      </c>
      <c r="O131" s="2" t="s">
        <v>1608</v>
      </c>
      <c r="P131" s="2" t="s">
        <v>1609</v>
      </c>
      <c r="Q131" s="2" t="s">
        <v>1610</v>
      </c>
      <c r="R131" s="2" t="s">
        <v>114</v>
      </c>
      <c r="S131" s="2" t="s">
        <v>994</v>
      </c>
      <c r="T131" s="2" t="s">
        <v>1611</v>
      </c>
      <c r="U131" s="2" t="s">
        <v>29</v>
      </c>
      <c r="V131" s="2" t="n">
        <v>1</v>
      </c>
    </row>
    <row r="132">
      <c r="A132" s="2" t="n">
        <v>131</v>
      </c>
      <c r="B132" s="2" t="s">
        <v>1612</v>
      </c>
      <c r="C132" s="2" t="n">
        <v>175.073768282</v>
      </c>
      <c r="D132" s="2" t="n">
        <v>3.1683085125771</v>
      </c>
      <c r="E132" s="2" t="s">
        <v>1613</v>
      </c>
      <c r="F132" s="2" t="s">
        <v>24</v>
      </c>
      <c r="G132" s="2" t="s">
        <v>1614</v>
      </c>
      <c r="H132" s="2" t="s">
        <v>1615</v>
      </c>
      <c r="I132" s="2" t="s">
        <v>1616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1617</v>
      </c>
      <c r="O132" s="2" t="s">
        <v>29</v>
      </c>
      <c r="P132" s="2" t="s">
        <v>1618</v>
      </c>
      <c r="Q132" s="2" t="s">
        <v>1619</v>
      </c>
      <c r="R132" s="2" t="s">
        <v>114</v>
      </c>
      <c r="S132" s="2" t="s">
        <v>680</v>
      </c>
      <c r="T132" s="2" t="s">
        <v>215</v>
      </c>
      <c r="U132" s="2" t="s">
        <v>29</v>
      </c>
      <c r="V132" s="2" t="n">
        <v>1</v>
      </c>
    </row>
    <row r="133">
      <c r="A133" s="2" t="n">
        <v>132</v>
      </c>
      <c r="B133" s="2" t="s">
        <v>1620</v>
      </c>
      <c r="C133" s="2" t="n">
        <v>176.936064782</v>
      </c>
      <c r="D133" s="2" t="n">
        <v>13.6509902252234</v>
      </c>
      <c r="E133" s="2" t="s">
        <v>1621</v>
      </c>
      <c r="F133" s="2" t="s">
        <v>218</v>
      </c>
      <c r="G133" s="2" t="s">
        <v>1622</v>
      </c>
      <c r="H133" s="2" t="s">
        <v>1623</v>
      </c>
      <c r="I133" s="2" t="s">
        <v>1624</v>
      </c>
      <c r="J133" s="2" t="s">
        <v>1625</v>
      </c>
      <c r="K133" s="2" t="s">
        <v>91</v>
      </c>
      <c r="L133" s="2" t="s">
        <v>1626</v>
      </c>
      <c r="M133" s="2" t="s">
        <v>1627</v>
      </c>
      <c r="N133" s="2" t="s">
        <v>1628</v>
      </c>
      <c r="O133" s="2" t="s">
        <v>1629</v>
      </c>
      <c r="P133" s="2" t="s">
        <v>1630</v>
      </c>
      <c r="Q133" s="2" t="s">
        <v>1631</v>
      </c>
      <c r="R133" s="2" t="s">
        <v>144</v>
      </c>
      <c r="S133" s="2" t="s">
        <v>1632</v>
      </c>
      <c r="T133" s="2" t="s">
        <v>1633</v>
      </c>
      <c r="U133" s="2" t="s">
        <v>56</v>
      </c>
      <c r="V133" s="2" t="n">
        <v>2</v>
      </c>
    </row>
    <row r="134">
      <c r="A134" s="2" t="n">
        <v>133</v>
      </c>
      <c r="B134" s="2" t="s">
        <v>1634</v>
      </c>
      <c r="C134" s="2" t="n">
        <v>177.040462052</v>
      </c>
      <c r="D134" s="2" t="n">
        <v>8.01915956213763</v>
      </c>
      <c r="E134" s="2" t="s">
        <v>1635</v>
      </c>
      <c r="F134" s="2" t="s">
        <v>24</v>
      </c>
      <c r="G134" s="2" t="s">
        <v>1636</v>
      </c>
      <c r="H134" s="2" t="s">
        <v>1637</v>
      </c>
      <c r="I134" s="2" t="s">
        <v>1638</v>
      </c>
      <c r="J134" s="2" t="s">
        <v>1639</v>
      </c>
      <c r="K134" s="2" t="s">
        <v>29</v>
      </c>
      <c r="L134" s="2" t="s">
        <v>1640</v>
      </c>
      <c r="M134" s="2" t="s">
        <v>1641</v>
      </c>
      <c r="N134" s="2" t="s">
        <v>1642</v>
      </c>
      <c r="O134" s="2" t="s">
        <v>1643</v>
      </c>
      <c r="P134" s="2" t="s">
        <v>1644</v>
      </c>
      <c r="Q134" s="2" t="s">
        <v>1645</v>
      </c>
      <c r="R134" s="2" t="s">
        <v>114</v>
      </c>
      <c r="S134" s="2" t="s">
        <v>1646</v>
      </c>
      <c r="T134" s="2" t="s">
        <v>1647</v>
      </c>
      <c r="U134" s="2" t="s">
        <v>39</v>
      </c>
      <c r="V134" s="2" t="n">
        <v>1</v>
      </c>
    </row>
    <row r="135">
      <c r="A135" s="2" t="n">
        <v>134</v>
      </c>
      <c r="B135" s="2" t="s">
        <v>1648</v>
      </c>
      <c r="C135" s="2" t="n">
        <v>178.017749173</v>
      </c>
      <c r="D135" s="2" t="n">
        <v>7.61552604164176</v>
      </c>
      <c r="E135" s="2" t="s">
        <v>1649</v>
      </c>
      <c r="F135" s="2" t="s">
        <v>86</v>
      </c>
      <c r="G135" s="2" t="s">
        <v>1650</v>
      </c>
      <c r="H135" s="2" t="s">
        <v>1651</v>
      </c>
      <c r="I135" s="2" t="s">
        <v>1652</v>
      </c>
      <c r="J135" s="2" t="s">
        <v>29</v>
      </c>
      <c r="K135" s="2" t="s">
        <v>29</v>
      </c>
      <c r="L135" s="2" t="s">
        <v>29</v>
      </c>
      <c r="M135" s="2" t="s">
        <v>29</v>
      </c>
      <c r="N135" s="2" t="s">
        <v>1653</v>
      </c>
      <c r="O135" s="2" t="s">
        <v>29</v>
      </c>
      <c r="P135" s="2" t="s">
        <v>1654</v>
      </c>
      <c r="Q135" s="2" t="s">
        <v>1655</v>
      </c>
      <c r="R135" s="2" t="s">
        <v>186</v>
      </c>
      <c r="S135" s="2" t="s">
        <v>187</v>
      </c>
      <c r="T135" s="2" t="s">
        <v>1656</v>
      </c>
      <c r="U135" s="2" t="s">
        <v>29</v>
      </c>
      <c r="V135" s="2" t="n">
        <v>1</v>
      </c>
    </row>
    <row r="136">
      <c r="A136" s="2" t="n">
        <v>135</v>
      </c>
      <c r="B136" s="2" t="s">
        <v>1657</v>
      </c>
      <c r="C136" s="2" t="n">
        <v>178.97521368</v>
      </c>
      <c r="D136" s="2" t="n">
        <v>2.21207302861133</v>
      </c>
      <c r="E136" s="2" t="s">
        <v>1658</v>
      </c>
      <c r="F136" s="2" t="s">
        <v>218</v>
      </c>
      <c r="G136" s="2" t="s">
        <v>1659</v>
      </c>
      <c r="H136" s="2" t="s">
        <v>1660</v>
      </c>
      <c r="I136" s="2" t="s">
        <v>1661</v>
      </c>
      <c r="J136" s="2" t="s">
        <v>1662</v>
      </c>
      <c r="K136" s="2" t="s">
        <v>1663</v>
      </c>
      <c r="L136" s="2" t="s">
        <v>1664</v>
      </c>
      <c r="M136" s="2" t="s">
        <v>1665</v>
      </c>
      <c r="N136" s="2" t="s">
        <v>1666</v>
      </c>
      <c r="O136" s="2" t="s">
        <v>1667</v>
      </c>
      <c r="P136" s="2" t="s">
        <v>1668</v>
      </c>
      <c r="Q136" s="2" t="s">
        <v>1669</v>
      </c>
      <c r="R136" s="2" t="s">
        <v>1670</v>
      </c>
      <c r="S136" s="2" t="s">
        <v>1671</v>
      </c>
      <c r="T136" s="2" t="s">
        <v>1672</v>
      </c>
      <c r="U136" s="2" t="s">
        <v>56</v>
      </c>
      <c r="V136" s="2" t="n">
        <v>3</v>
      </c>
    </row>
    <row r="137">
      <c r="A137" s="2" t="n">
        <v>136</v>
      </c>
      <c r="B137" s="2" t="s">
        <v>1673</v>
      </c>
      <c r="C137" s="2" t="n">
        <v>179.0111102</v>
      </c>
      <c r="D137" s="2" t="n">
        <v>0.522701903450896</v>
      </c>
      <c r="E137" s="2" t="s">
        <v>1674</v>
      </c>
      <c r="F137" s="2" t="s">
        <v>161</v>
      </c>
      <c r="G137" s="2" t="s">
        <v>1675</v>
      </c>
      <c r="H137" s="2" t="s">
        <v>1676</v>
      </c>
      <c r="I137" s="2" t="s">
        <v>1677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1678</v>
      </c>
      <c r="O137" s="2" t="s">
        <v>29</v>
      </c>
      <c r="P137" s="2" t="s">
        <v>1679</v>
      </c>
      <c r="Q137" s="2" t="s">
        <v>1680</v>
      </c>
      <c r="R137" s="2" t="s">
        <v>129</v>
      </c>
      <c r="S137" s="2" t="s">
        <v>130</v>
      </c>
      <c r="T137" s="2" t="s">
        <v>1681</v>
      </c>
      <c r="U137" s="2" t="s">
        <v>29</v>
      </c>
      <c r="V137" s="2" t="n">
        <v>1</v>
      </c>
    </row>
    <row r="138">
      <c r="A138" s="2" t="n">
        <v>137</v>
      </c>
      <c r="B138" s="2" t="s">
        <v>1682</v>
      </c>
      <c r="C138" s="2" t="n">
        <v>179.058792191</v>
      </c>
      <c r="D138" s="2" t="n">
        <v>6.61028131107807</v>
      </c>
      <c r="E138" s="2" t="s">
        <v>1683</v>
      </c>
      <c r="F138" s="2" t="s">
        <v>24</v>
      </c>
      <c r="G138" s="2" t="s">
        <v>1684</v>
      </c>
      <c r="H138" s="2" t="s">
        <v>1685</v>
      </c>
      <c r="I138" s="2" t="s">
        <v>1686</v>
      </c>
      <c r="J138" s="2" t="s">
        <v>29</v>
      </c>
      <c r="K138" s="2" t="s">
        <v>29</v>
      </c>
      <c r="L138" s="2" t="s">
        <v>29</v>
      </c>
      <c r="M138" s="2" t="s">
        <v>29</v>
      </c>
      <c r="N138" s="2" t="s">
        <v>1687</v>
      </c>
      <c r="O138" s="2" t="s">
        <v>29</v>
      </c>
      <c r="P138" s="2" t="s">
        <v>1688</v>
      </c>
      <c r="Q138" s="2" t="s">
        <v>1689</v>
      </c>
      <c r="R138" s="2" t="s">
        <v>114</v>
      </c>
      <c r="S138" s="2" t="s">
        <v>994</v>
      </c>
      <c r="T138" s="2" t="s">
        <v>215</v>
      </c>
      <c r="U138" s="2" t="s">
        <v>29</v>
      </c>
      <c r="V138" s="2" t="n">
        <v>1</v>
      </c>
    </row>
    <row r="139">
      <c r="A139" s="2" t="n">
        <v>138</v>
      </c>
      <c r="B139" s="2" t="s">
        <v>1690</v>
      </c>
      <c r="C139" s="2" t="n">
        <v>179.107753756</v>
      </c>
      <c r="D139" s="2" t="n">
        <v>1.92109577955765</v>
      </c>
      <c r="E139" s="2" t="s">
        <v>1691</v>
      </c>
      <c r="F139" s="2" t="s">
        <v>24</v>
      </c>
      <c r="G139" s="2" t="s">
        <v>1692</v>
      </c>
      <c r="H139" s="2" t="s">
        <v>1693</v>
      </c>
      <c r="I139" s="2" t="s">
        <v>1694</v>
      </c>
      <c r="J139" s="2" t="s">
        <v>1695</v>
      </c>
      <c r="K139" s="2" t="s">
        <v>195</v>
      </c>
      <c r="L139" s="2" t="s">
        <v>195</v>
      </c>
      <c r="M139" s="2" t="s">
        <v>1696</v>
      </c>
      <c r="N139" s="2" t="s">
        <v>1697</v>
      </c>
      <c r="O139" s="2" t="s">
        <v>1698</v>
      </c>
      <c r="P139" s="2" t="s">
        <v>1699</v>
      </c>
      <c r="Q139" s="2" t="s">
        <v>1700</v>
      </c>
      <c r="R139" s="2" t="s">
        <v>1701</v>
      </c>
      <c r="S139" s="2" t="s">
        <v>1702</v>
      </c>
      <c r="T139" s="2" t="s">
        <v>1703</v>
      </c>
      <c r="U139" s="2" t="s">
        <v>56</v>
      </c>
      <c r="V139" s="2" t="n">
        <v>3</v>
      </c>
    </row>
    <row r="140">
      <c r="A140" s="2" t="n">
        <v>139</v>
      </c>
      <c r="B140" s="2" t="s">
        <v>1704</v>
      </c>
      <c r="C140" s="2" t="n">
        <v>180.040914791</v>
      </c>
      <c r="D140" s="2" t="n">
        <v>1.46552339533402</v>
      </c>
      <c r="E140" s="2" t="s">
        <v>1705</v>
      </c>
      <c r="F140" s="2" t="s">
        <v>161</v>
      </c>
      <c r="G140" s="2" t="s">
        <v>1706</v>
      </c>
      <c r="H140" s="2" t="s">
        <v>1707</v>
      </c>
      <c r="I140" s="2" t="s">
        <v>1708</v>
      </c>
      <c r="J140" s="2" t="s">
        <v>29</v>
      </c>
      <c r="K140" s="2" t="s">
        <v>29</v>
      </c>
      <c r="L140" s="2" t="s">
        <v>1709</v>
      </c>
      <c r="M140" s="2" t="s">
        <v>1710</v>
      </c>
      <c r="N140" s="2" t="s">
        <v>1711</v>
      </c>
      <c r="O140" s="2" t="s">
        <v>1712</v>
      </c>
      <c r="P140" s="2" t="s">
        <v>1713</v>
      </c>
      <c r="Q140" s="2" t="s">
        <v>1714</v>
      </c>
      <c r="R140" s="2" t="s">
        <v>36</v>
      </c>
      <c r="S140" s="2" t="s">
        <v>37</v>
      </c>
      <c r="T140" s="2" t="s">
        <v>69</v>
      </c>
      <c r="U140" s="2" t="s">
        <v>56</v>
      </c>
      <c r="V140" s="2" t="n">
        <v>1</v>
      </c>
    </row>
    <row r="141">
      <c r="A141" s="2" t="n">
        <v>140</v>
      </c>
      <c r="B141" s="2" t="s">
        <v>1715</v>
      </c>
      <c r="C141" s="2" t="n">
        <v>181.123399512</v>
      </c>
      <c r="D141" s="2" t="n">
        <v>11.5868871695553</v>
      </c>
      <c r="E141" s="2" t="s">
        <v>1716</v>
      </c>
      <c r="F141" s="2" t="s">
        <v>205</v>
      </c>
      <c r="G141" s="2" t="s">
        <v>1717</v>
      </c>
      <c r="H141" s="2" t="s">
        <v>1718</v>
      </c>
      <c r="I141" s="2" t="s">
        <v>1719</v>
      </c>
      <c r="J141" s="2" t="s">
        <v>1720</v>
      </c>
      <c r="K141" s="2" t="s">
        <v>1721</v>
      </c>
      <c r="L141" s="2" t="s">
        <v>1722</v>
      </c>
      <c r="M141" s="2" t="s">
        <v>1723</v>
      </c>
      <c r="N141" s="2" t="s">
        <v>1724</v>
      </c>
      <c r="O141" s="2" t="s">
        <v>1725</v>
      </c>
      <c r="P141" s="2" t="s">
        <v>1726</v>
      </c>
      <c r="Q141" s="2" t="s">
        <v>1727</v>
      </c>
      <c r="R141" s="2" t="s">
        <v>255</v>
      </c>
      <c r="S141" s="2" t="s">
        <v>1728</v>
      </c>
      <c r="T141" s="2" t="s">
        <v>1729</v>
      </c>
      <c r="U141" s="2" t="s">
        <v>56</v>
      </c>
      <c r="V141" s="2" t="n">
        <v>3</v>
      </c>
    </row>
    <row r="142">
      <c r="A142" s="2" t="n">
        <v>141</v>
      </c>
      <c r="B142" s="2" t="s">
        <v>1730</v>
      </c>
      <c r="C142" s="2" t="n">
        <v>181.968416199</v>
      </c>
      <c r="D142" s="2" t="n">
        <v>0.736133885975815</v>
      </c>
      <c r="E142" s="2" t="s">
        <v>1731</v>
      </c>
      <c r="F142" s="2" t="s">
        <v>86</v>
      </c>
      <c r="G142" s="2" t="s">
        <v>1732</v>
      </c>
      <c r="H142" s="2" t="s">
        <v>1733</v>
      </c>
      <c r="I142" s="2" t="s">
        <v>1734</v>
      </c>
      <c r="J142" s="2" t="s">
        <v>29</v>
      </c>
      <c r="K142" s="2" t="s">
        <v>29</v>
      </c>
      <c r="L142" s="2" t="s">
        <v>29</v>
      </c>
      <c r="M142" s="2" t="s">
        <v>29</v>
      </c>
      <c r="N142" s="2" t="s">
        <v>29</v>
      </c>
      <c r="O142" s="2" t="s">
        <v>29</v>
      </c>
      <c r="P142" s="2" t="s">
        <v>1735</v>
      </c>
      <c r="Q142" s="2" t="s">
        <v>1736</v>
      </c>
      <c r="R142" s="2" t="s">
        <v>36</v>
      </c>
      <c r="S142" s="2" t="s">
        <v>37</v>
      </c>
      <c r="T142" s="2" t="s">
        <v>69</v>
      </c>
      <c r="U142" s="2" t="s">
        <v>29</v>
      </c>
      <c r="V142" s="2" t="n">
        <v>1</v>
      </c>
    </row>
    <row r="143">
      <c r="A143" s="2" t="n">
        <v>142</v>
      </c>
      <c r="B143" s="2" t="s">
        <v>1737</v>
      </c>
      <c r="C143" s="2" t="n">
        <v>182.057110861</v>
      </c>
      <c r="D143" s="2" t="n">
        <v>3.76588658324733</v>
      </c>
      <c r="E143" s="2" t="s">
        <v>1738</v>
      </c>
      <c r="F143" s="2" t="s">
        <v>205</v>
      </c>
      <c r="G143" s="2" t="s">
        <v>1739</v>
      </c>
      <c r="H143" s="2" t="s">
        <v>1740</v>
      </c>
      <c r="I143" s="2" t="s">
        <v>1741</v>
      </c>
      <c r="J143" s="2" t="s">
        <v>1742</v>
      </c>
      <c r="K143" s="2" t="s">
        <v>29</v>
      </c>
      <c r="L143" s="2" t="s">
        <v>1743</v>
      </c>
      <c r="M143" s="2" t="s">
        <v>1744</v>
      </c>
      <c r="N143" s="2" t="s">
        <v>1745</v>
      </c>
      <c r="O143" s="2" t="s">
        <v>1746</v>
      </c>
      <c r="P143" s="2" t="s">
        <v>1747</v>
      </c>
      <c r="Q143" s="2" t="s">
        <v>1748</v>
      </c>
      <c r="R143" s="2" t="s">
        <v>114</v>
      </c>
      <c r="S143" s="2" t="s">
        <v>936</v>
      </c>
      <c r="T143" s="2" t="s">
        <v>1749</v>
      </c>
      <c r="U143" s="2" t="s">
        <v>56</v>
      </c>
      <c r="V143" s="2" t="n">
        <v>1</v>
      </c>
    </row>
    <row r="144">
      <c r="A144" s="2" t="n">
        <v>143</v>
      </c>
      <c r="B144" s="2" t="s">
        <v>1750</v>
      </c>
      <c r="C144" s="2" t="n">
        <v>183.003916397</v>
      </c>
      <c r="D144" s="2" t="n">
        <v>0.964273293232317</v>
      </c>
      <c r="E144" s="2" t="s">
        <v>1751</v>
      </c>
      <c r="F144" s="2" t="s">
        <v>531</v>
      </c>
      <c r="G144" s="2" t="s">
        <v>1752</v>
      </c>
      <c r="H144" s="2" t="s">
        <v>1753</v>
      </c>
      <c r="I144" s="2" t="s">
        <v>1754</v>
      </c>
      <c r="J144" s="2" t="s">
        <v>1755</v>
      </c>
      <c r="K144" s="2" t="s">
        <v>29</v>
      </c>
      <c r="L144" s="2" t="s">
        <v>29</v>
      </c>
      <c r="M144" s="2" t="s">
        <v>1756</v>
      </c>
      <c r="N144" s="2" t="s">
        <v>1757</v>
      </c>
      <c r="O144" s="2" t="s">
        <v>29</v>
      </c>
      <c r="P144" s="2" t="s">
        <v>1758</v>
      </c>
      <c r="Q144" s="2" t="s">
        <v>1759</v>
      </c>
      <c r="R144" s="2" t="s">
        <v>186</v>
      </c>
      <c r="S144" s="2" t="s">
        <v>187</v>
      </c>
      <c r="T144" s="2" t="s">
        <v>1760</v>
      </c>
      <c r="U144" s="2" t="s">
        <v>56</v>
      </c>
      <c r="V144" s="2" t="n">
        <v>1</v>
      </c>
    </row>
    <row r="145">
      <c r="A145" s="2" t="n">
        <v>144</v>
      </c>
      <c r="B145" s="2" t="s">
        <v>1761</v>
      </c>
      <c r="C145" s="2" t="n">
        <v>184.003161737</v>
      </c>
      <c r="D145" s="2" t="n">
        <v>3.99504392812283</v>
      </c>
      <c r="E145" s="2" t="s">
        <v>1762</v>
      </c>
      <c r="F145" s="2" t="s">
        <v>86</v>
      </c>
      <c r="G145" s="2" t="s">
        <v>1763</v>
      </c>
      <c r="H145" s="2" t="s">
        <v>1764</v>
      </c>
      <c r="I145" s="2" t="s">
        <v>1765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1766</v>
      </c>
      <c r="O145" s="2" t="s">
        <v>29</v>
      </c>
      <c r="P145" s="2" t="s">
        <v>1767</v>
      </c>
      <c r="Q145" s="2" t="s">
        <v>1768</v>
      </c>
      <c r="R145" s="2" t="s">
        <v>114</v>
      </c>
      <c r="S145" s="2" t="s">
        <v>730</v>
      </c>
      <c r="T145" s="2" t="s">
        <v>731</v>
      </c>
      <c r="U145" s="2" t="s">
        <v>29</v>
      </c>
      <c r="V145" s="2" t="n">
        <v>1</v>
      </c>
    </row>
    <row r="146">
      <c r="A146" s="2" t="n">
        <v>145</v>
      </c>
      <c r="B146" s="2" t="s">
        <v>1769</v>
      </c>
      <c r="C146" s="2" t="n">
        <v>185.04554743</v>
      </c>
      <c r="D146" s="2" t="n">
        <v>5.83364633488069</v>
      </c>
      <c r="E146" s="2" t="s">
        <v>1770</v>
      </c>
      <c r="F146" s="2" t="s">
        <v>24</v>
      </c>
      <c r="G146" s="2" t="s">
        <v>1771</v>
      </c>
      <c r="H146" s="2" t="s">
        <v>1772</v>
      </c>
      <c r="I146" s="2" t="s">
        <v>1773</v>
      </c>
      <c r="J146" s="2" t="s">
        <v>29</v>
      </c>
      <c r="K146" s="2" t="s">
        <v>29</v>
      </c>
      <c r="L146" s="2" t="s">
        <v>29</v>
      </c>
      <c r="M146" s="2" t="s">
        <v>1774</v>
      </c>
      <c r="N146" s="2" t="s">
        <v>1775</v>
      </c>
      <c r="O146" s="2" t="s">
        <v>1776</v>
      </c>
      <c r="P146" s="2" t="s">
        <v>1777</v>
      </c>
      <c r="Q146" s="2" t="s">
        <v>1778</v>
      </c>
      <c r="R146" s="2" t="s">
        <v>114</v>
      </c>
      <c r="S146" s="2" t="s">
        <v>1779</v>
      </c>
      <c r="T146" s="2" t="s">
        <v>1780</v>
      </c>
      <c r="U146" s="2" t="s">
        <v>56</v>
      </c>
      <c r="V146" s="2" t="n">
        <v>1</v>
      </c>
    </row>
    <row r="147">
      <c r="A147" s="2" t="n">
        <v>146</v>
      </c>
      <c r="B147" s="2" t="s">
        <v>1781</v>
      </c>
      <c r="C147" s="2" t="n">
        <v>185.085100458</v>
      </c>
      <c r="D147" s="2" t="n">
        <v>5.19217134553083</v>
      </c>
      <c r="E147" s="2" t="s">
        <v>1782</v>
      </c>
      <c r="F147" s="2" t="s">
        <v>86</v>
      </c>
      <c r="G147" s="2" t="s">
        <v>1783</v>
      </c>
      <c r="H147" s="2" t="s">
        <v>1784</v>
      </c>
      <c r="I147" s="2" t="s">
        <v>1785</v>
      </c>
      <c r="J147" s="2" t="s">
        <v>1786</v>
      </c>
      <c r="K147" s="2" t="s">
        <v>195</v>
      </c>
      <c r="L147" s="2" t="s">
        <v>195</v>
      </c>
      <c r="M147" s="2" t="s">
        <v>195</v>
      </c>
      <c r="N147" s="2" t="s">
        <v>1787</v>
      </c>
      <c r="O147" s="2" t="s">
        <v>1788</v>
      </c>
      <c r="P147" s="2" t="s">
        <v>1789</v>
      </c>
      <c r="Q147" s="2" t="s">
        <v>1790</v>
      </c>
      <c r="R147" s="2" t="s">
        <v>490</v>
      </c>
      <c r="S147" s="2" t="s">
        <v>889</v>
      </c>
      <c r="T147" s="2" t="s">
        <v>890</v>
      </c>
      <c r="U147" s="2" t="s">
        <v>56</v>
      </c>
      <c r="V147" s="2" t="n">
        <v>3</v>
      </c>
    </row>
    <row r="148">
      <c r="A148" s="2" t="n">
        <v>147</v>
      </c>
      <c r="B148" s="2" t="s">
        <v>1791</v>
      </c>
      <c r="C148" s="2" t="n">
        <v>186.0457938</v>
      </c>
      <c r="D148" s="2" t="n">
        <v>7.10194592073806</v>
      </c>
      <c r="E148" s="2" t="s">
        <v>1792</v>
      </c>
      <c r="F148" s="2" t="s">
        <v>86</v>
      </c>
      <c r="G148" s="2" t="s">
        <v>1793</v>
      </c>
      <c r="H148" s="2" t="s">
        <v>1794</v>
      </c>
      <c r="I148" s="2" t="s">
        <v>1795</v>
      </c>
      <c r="J148" s="2" t="s">
        <v>29</v>
      </c>
      <c r="K148" s="2" t="s">
        <v>29</v>
      </c>
      <c r="L148" s="2" t="s">
        <v>29</v>
      </c>
      <c r="M148" s="2" t="s">
        <v>1796</v>
      </c>
      <c r="N148" s="2" t="s">
        <v>1797</v>
      </c>
      <c r="O148" s="2" t="s">
        <v>29</v>
      </c>
      <c r="P148" s="2" t="s">
        <v>1798</v>
      </c>
      <c r="Q148" s="2" t="s">
        <v>1799</v>
      </c>
      <c r="R148" s="2" t="s">
        <v>601</v>
      </c>
      <c r="S148" s="2" t="s">
        <v>602</v>
      </c>
      <c r="T148" s="2" t="s">
        <v>1800</v>
      </c>
      <c r="U148" s="2" t="s">
        <v>29</v>
      </c>
      <c r="V148" s="2" t="n">
        <v>1</v>
      </c>
    </row>
    <row r="149">
      <c r="A149" s="2" t="n">
        <v>148</v>
      </c>
      <c r="B149" s="2" t="s">
        <v>1801</v>
      </c>
      <c r="C149" s="2" t="n">
        <v>187.043434632</v>
      </c>
      <c r="D149" s="2" t="n">
        <v>7.87531261592029</v>
      </c>
      <c r="E149" s="2" t="s">
        <v>1802</v>
      </c>
      <c r="F149" s="2" t="s">
        <v>205</v>
      </c>
      <c r="G149" s="2" t="s">
        <v>1803</v>
      </c>
      <c r="H149" s="2" t="s">
        <v>1804</v>
      </c>
      <c r="I149" s="2" t="s">
        <v>1805</v>
      </c>
      <c r="J149" s="2" t="s">
        <v>1806</v>
      </c>
      <c r="K149" s="2" t="s">
        <v>91</v>
      </c>
      <c r="L149" s="2" t="s">
        <v>91</v>
      </c>
      <c r="M149" s="2" t="s">
        <v>1807</v>
      </c>
      <c r="N149" s="2" t="s">
        <v>1808</v>
      </c>
      <c r="O149" s="2" t="s">
        <v>1809</v>
      </c>
      <c r="P149" s="2" t="s">
        <v>1810</v>
      </c>
      <c r="Q149" s="2" t="s">
        <v>1811</v>
      </c>
      <c r="R149" s="2" t="s">
        <v>1812</v>
      </c>
      <c r="S149" s="2" t="s">
        <v>1813</v>
      </c>
      <c r="T149" s="2" t="s">
        <v>1814</v>
      </c>
      <c r="U149" s="2" t="s">
        <v>56</v>
      </c>
      <c r="V149" s="2" t="n">
        <v>2</v>
      </c>
    </row>
    <row r="150">
      <c r="A150" s="2" t="n">
        <v>149</v>
      </c>
      <c r="B150" s="2" t="s">
        <v>1815</v>
      </c>
      <c r="C150" s="2" t="n">
        <v>187.0750478</v>
      </c>
      <c r="D150" s="2" t="n">
        <v>0.782070180959174</v>
      </c>
      <c r="E150" s="2" t="s">
        <v>1816</v>
      </c>
      <c r="F150" s="2" t="s">
        <v>161</v>
      </c>
      <c r="G150" s="2" t="s">
        <v>1817</v>
      </c>
      <c r="H150" s="2" t="s">
        <v>1818</v>
      </c>
      <c r="I150" s="2" t="s">
        <v>1819</v>
      </c>
      <c r="J150" s="2" t="s">
        <v>29</v>
      </c>
      <c r="K150" s="2" t="s">
        <v>29</v>
      </c>
      <c r="L150" s="2" t="s">
        <v>29</v>
      </c>
      <c r="M150" s="2" t="s">
        <v>29</v>
      </c>
      <c r="N150" s="2" t="s">
        <v>1820</v>
      </c>
      <c r="O150" s="2" t="s">
        <v>29</v>
      </c>
      <c r="P150" s="2" t="s">
        <v>1821</v>
      </c>
      <c r="Q150" s="2" t="s">
        <v>1822</v>
      </c>
      <c r="R150" s="2" t="s">
        <v>129</v>
      </c>
      <c r="S150" s="2" t="s">
        <v>130</v>
      </c>
      <c r="T150" s="2" t="s">
        <v>131</v>
      </c>
      <c r="U150" s="2" t="s">
        <v>29</v>
      </c>
      <c r="V150" s="2" t="n">
        <v>1</v>
      </c>
    </row>
    <row r="151">
      <c r="A151" s="2" t="n">
        <v>150</v>
      </c>
      <c r="B151" s="2" t="s">
        <v>1823</v>
      </c>
      <c r="C151" s="2" t="n">
        <v>188.059613989</v>
      </c>
      <c r="D151" s="2" t="n">
        <v>17.482861600322</v>
      </c>
      <c r="E151" s="2" t="s">
        <v>1824</v>
      </c>
      <c r="F151" s="2" t="s">
        <v>86</v>
      </c>
      <c r="G151" s="2" t="s">
        <v>1825</v>
      </c>
      <c r="H151" s="2" t="s">
        <v>1826</v>
      </c>
      <c r="I151" s="2" t="s">
        <v>1827</v>
      </c>
      <c r="J151" s="2" t="s">
        <v>1828</v>
      </c>
      <c r="K151" s="2" t="s">
        <v>29</v>
      </c>
      <c r="L151" s="2" t="s">
        <v>1829</v>
      </c>
      <c r="M151" s="2" t="s">
        <v>1830</v>
      </c>
      <c r="N151" s="2" t="s">
        <v>1831</v>
      </c>
      <c r="O151" s="2" t="s">
        <v>1832</v>
      </c>
      <c r="P151" s="2" t="s">
        <v>1833</v>
      </c>
      <c r="Q151" s="2" t="s">
        <v>1834</v>
      </c>
      <c r="R151" s="2" t="s">
        <v>36</v>
      </c>
      <c r="S151" s="2" t="s">
        <v>37</v>
      </c>
      <c r="T151" s="2" t="s">
        <v>1217</v>
      </c>
      <c r="U151" s="2" t="s">
        <v>56</v>
      </c>
      <c r="V151" s="2" t="n">
        <v>1</v>
      </c>
    </row>
    <row r="152">
      <c r="A152" s="2" t="n">
        <v>151</v>
      </c>
      <c r="B152" s="2" t="s">
        <v>1835</v>
      </c>
      <c r="C152" s="2" t="n">
        <v>188.092831967</v>
      </c>
      <c r="D152" s="2" t="n">
        <v>6.37930898577982</v>
      </c>
      <c r="E152" s="2" t="s">
        <v>1836</v>
      </c>
      <c r="F152" s="2" t="s">
        <v>24</v>
      </c>
      <c r="G152" s="2" t="s">
        <v>1837</v>
      </c>
      <c r="H152" s="2" t="s">
        <v>1838</v>
      </c>
      <c r="I152" s="2" t="s">
        <v>1839</v>
      </c>
      <c r="J152" s="2" t="s">
        <v>195</v>
      </c>
      <c r="K152" s="2" t="s">
        <v>195</v>
      </c>
      <c r="L152" s="2" t="s">
        <v>195</v>
      </c>
      <c r="M152" s="2" t="s">
        <v>195</v>
      </c>
      <c r="N152" s="2" t="s">
        <v>1840</v>
      </c>
      <c r="O152" s="2" t="s">
        <v>1841</v>
      </c>
      <c r="P152" s="2" t="s">
        <v>1842</v>
      </c>
      <c r="Q152" s="2" t="s">
        <v>1843</v>
      </c>
      <c r="R152" s="2" t="s">
        <v>1558</v>
      </c>
      <c r="S152" s="2" t="s">
        <v>1844</v>
      </c>
      <c r="T152" s="2" t="s">
        <v>1845</v>
      </c>
      <c r="U152" s="2" t="s">
        <v>56</v>
      </c>
      <c r="V152" s="2" t="n">
        <v>3</v>
      </c>
    </row>
    <row r="153">
      <c r="A153" s="2" t="n">
        <v>152</v>
      </c>
      <c r="B153" s="2" t="s">
        <v>1846</v>
      </c>
      <c r="C153" s="2" t="n">
        <v>188.986317992</v>
      </c>
      <c r="D153" s="2" t="n">
        <v>0.197499529420331</v>
      </c>
      <c r="E153" s="2" t="s">
        <v>1847</v>
      </c>
      <c r="F153" s="2" t="s">
        <v>24</v>
      </c>
      <c r="G153" s="2" t="s">
        <v>1848</v>
      </c>
      <c r="H153" s="2" t="s">
        <v>1849</v>
      </c>
      <c r="I153" s="2" t="s">
        <v>1850</v>
      </c>
      <c r="J153" s="2" t="s">
        <v>1851</v>
      </c>
      <c r="K153" s="2" t="s">
        <v>29</v>
      </c>
      <c r="L153" s="2" t="s">
        <v>29</v>
      </c>
      <c r="M153" s="2" t="s">
        <v>1852</v>
      </c>
      <c r="N153" s="2" t="s">
        <v>1853</v>
      </c>
      <c r="O153" s="2" t="s">
        <v>1854</v>
      </c>
      <c r="P153" s="2" t="s">
        <v>1855</v>
      </c>
      <c r="Q153" s="2" t="s">
        <v>1856</v>
      </c>
      <c r="R153" s="2" t="s">
        <v>36</v>
      </c>
      <c r="S153" s="2" t="s">
        <v>1857</v>
      </c>
      <c r="T153" s="2" t="s">
        <v>1858</v>
      </c>
      <c r="U153" s="2" t="s">
        <v>56</v>
      </c>
      <c r="V153" s="2" t="n">
        <v>1</v>
      </c>
    </row>
    <row r="154">
      <c r="A154" s="2" t="n">
        <v>153</v>
      </c>
      <c r="B154" s="2" t="s">
        <v>1859</v>
      </c>
      <c r="C154" s="2" t="n">
        <v>189.059089004</v>
      </c>
      <c r="D154" s="2" t="n">
        <v>0.813064202196937</v>
      </c>
      <c r="E154" s="2" t="s">
        <v>1860</v>
      </c>
      <c r="F154" s="2" t="s">
        <v>24</v>
      </c>
      <c r="G154" s="2" t="s">
        <v>1861</v>
      </c>
      <c r="H154" s="2" t="s">
        <v>1862</v>
      </c>
      <c r="I154" s="2" t="s">
        <v>1863</v>
      </c>
      <c r="J154" s="2" t="s">
        <v>1864</v>
      </c>
      <c r="K154" s="2" t="s">
        <v>1865</v>
      </c>
      <c r="L154" s="2" t="s">
        <v>29</v>
      </c>
      <c r="M154" s="2" t="s">
        <v>29</v>
      </c>
      <c r="N154" s="2" t="s">
        <v>1866</v>
      </c>
      <c r="O154" s="2" t="s">
        <v>1867</v>
      </c>
      <c r="P154" s="2" t="s">
        <v>1868</v>
      </c>
      <c r="Q154" s="2" t="s">
        <v>1869</v>
      </c>
      <c r="R154" s="2" t="s">
        <v>794</v>
      </c>
      <c r="S154" s="2" t="s">
        <v>795</v>
      </c>
      <c r="T154" s="2" t="s">
        <v>1870</v>
      </c>
      <c r="U154" s="2" t="s">
        <v>56</v>
      </c>
      <c r="V154" s="2" t="n">
        <v>1</v>
      </c>
    </row>
    <row r="155">
      <c r="A155" s="2" t="n">
        <v>154</v>
      </c>
      <c r="B155" s="2" t="s">
        <v>1871</v>
      </c>
      <c r="C155" s="2" t="n">
        <v>189.088080946</v>
      </c>
      <c r="D155" s="2" t="n">
        <v>1.56444802144414</v>
      </c>
      <c r="E155" s="2" t="s">
        <v>1872</v>
      </c>
      <c r="F155" s="2" t="s">
        <v>24</v>
      </c>
      <c r="G155" s="2" t="s">
        <v>1873</v>
      </c>
      <c r="H155" s="2" t="s">
        <v>1874</v>
      </c>
      <c r="I155" s="2" t="s">
        <v>1875</v>
      </c>
      <c r="J155" s="2" t="s">
        <v>1876</v>
      </c>
      <c r="K155" s="2" t="s">
        <v>1877</v>
      </c>
      <c r="L155" s="2" t="s">
        <v>1878</v>
      </c>
      <c r="M155" s="2" t="s">
        <v>1879</v>
      </c>
      <c r="N155" s="2" t="s">
        <v>1880</v>
      </c>
      <c r="O155" s="2" t="s">
        <v>1881</v>
      </c>
      <c r="P155" s="2" t="s">
        <v>1882</v>
      </c>
      <c r="Q155" s="2" t="s">
        <v>1883</v>
      </c>
      <c r="R155" s="2" t="s">
        <v>36</v>
      </c>
      <c r="S155" s="2" t="s">
        <v>37</v>
      </c>
      <c r="T155" s="2" t="s">
        <v>69</v>
      </c>
      <c r="U155" s="2" t="s">
        <v>56</v>
      </c>
      <c r="V155" s="2" t="n">
        <v>1</v>
      </c>
    </row>
    <row r="156">
      <c r="A156" s="2" t="n">
        <v>155</v>
      </c>
      <c r="B156" s="2" t="s">
        <v>1884</v>
      </c>
      <c r="C156" s="2" t="n">
        <v>189.164874704</v>
      </c>
      <c r="D156" s="2" t="n">
        <v>1.79835149680499</v>
      </c>
      <c r="E156" s="2" t="s">
        <v>1885</v>
      </c>
      <c r="F156" s="2" t="s">
        <v>24</v>
      </c>
      <c r="G156" s="2" t="s">
        <v>1886</v>
      </c>
      <c r="H156" s="2" t="s">
        <v>1887</v>
      </c>
      <c r="I156" s="2" t="s">
        <v>1888</v>
      </c>
      <c r="J156" s="2" t="s">
        <v>1889</v>
      </c>
      <c r="K156" s="2" t="s">
        <v>29</v>
      </c>
      <c r="L156" s="2" t="s">
        <v>29</v>
      </c>
      <c r="M156" s="2" t="s">
        <v>1890</v>
      </c>
      <c r="N156" s="2" t="s">
        <v>1891</v>
      </c>
      <c r="O156" s="2" t="s">
        <v>1892</v>
      </c>
      <c r="P156" s="2" t="s">
        <v>1893</v>
      </c>
      <c r="Q156" s="2" t="s">
        <v>1894</v>
      </c>
      <c r="R156" s="2" t="s">
        <v>186</v>
      </c>
      <c r="S156" s="2" t="s">
        <v>187</v>
      </c>
      <c r="T156" s="2" t="s">
        <v>1895</v>
      </c>
      <c r="U156" s="2" t="s">
        <v>56</v>
      </c>
      <c r="V156" s="2" t="n">
        <v>1</v>
      </c>
    </row>
    <row r="157">
      <c r="A157" s="2" t="n">
        <v>156</v>
      </c>
      <c r="B157" s="2" t="s">
        <v>1896</v>
      </c>
      <c r="C157" s="2" t="n">
        <v>190.970404322</v>
      </c>
      <c r="D157" s="2" t="n">
        <v>2.06014541876387</v>
      </c>
      <c r="E157" s="2" t="s">
        <v>1897</v>
      </c>
      <c r="F157" s="2" t="s">
        <v>86</v>
      </c>
      <c r="G157" s="2" t="s">
        <v>1898</v>
      </c>
      <c r="H157" s="2" t="s">
        <v>1899</v>
      </c>
      <c r="I157" s="2" t="s">
        <v>1900</v>
      </c>
      <c r="J157" s="2" t="s">
        <v>1901</v>
      </c>
      <c r="K157" s="2" t="s">
        <v>29</v>
      </c>
      <c r="L157" s="2" t="s">
        <v>29</v>
      </c>
      <c r="M157" s="2" t="s">
        <v>29</v>
      </c>
      <c r="N157" s="2" t="s">
        <v>1902</v>
      </c>
      <c r="O157" s="2" t="s">
        <v>29</v>
      </c>
      <c r="P157" s="2" t="s">
        <v>1903</v>
      </c>
      <c r="Q157" s="2" t="s">
        <v>1904</v>
      </c>
      <c r="R157" s="2" t="s">
        <v>1905</v>
      </c>
      <c r="S157" s="2" t="s">
        <v>1906</v>
      </c>
      <c r="T157" s="2" t="s">
        <v>215</v>
      </c>
      <c r="U157" s="2" t="s">
        <v>29</v>
      </c>
      <c r="V157" s="2" t="n">
        <v>1</v>
      </c>
    </row>
    <row r="158">
      <c r="A158" s="2" t="n">
        <v>157</v>
      </c>
      <c r="B158" s="2" t="s">
        <v>1907</v>
      </c>
      <c r="C158" s="2" t="n">
        <v>191.022894132</v>
      </c>
      <c r="D158" s="2" t="n">
        <v>1.59484039753119</v>
      </c>
      <c r="E158" s="2" t="s">
        <v>1908</v>
      </c>
      <c r="F158" s="2" t="s">
        <v>86</v>
      </c>
      <c r="G158" s="2" t="s">
        <v>1909</v>
      </c>
      <c r="H158" s="2" t="s">
        <v>1910</v>
      </c>
      <c r="I158" s="2" t="s">
        <v>1911</v>
      </c>
      <c r="J158" s="2" t="s">
        <v>1912</v>
      </c>
      <c r="K158" s="2" t="s">
        <v>91</v>
      </c>
      <c r="L158" s="2" t="s">
        <v>1913</v>
      </c>
      <c r="M158" s="2" t="s">
        <v>1914</v>
      </c>
      <c r="N158" s="2" t="s">
        <v>1915</v>
      </c>
      <c r="O158" s="2" t="s">
        <v>1916</v>
      </c>
      <c r="P158" s="2" t="s">
        <v>1917</v>
      </c>
      <c r="Q158" s="2" t="s">
        <v>1918</v>
      </c>
      <c r="R158" s="2" t="s">
        <v>541</v>
      </c>
      <c r="S158" s="2" t="s">
        <v>782</v>
      </c>
      <c r="T158" s="2" t="s">
        <v>1919</v>
      </c>
      <c r="U158" s="2" t="s">
        <v>56</v>
      </c>
      <c r="V158" s="2" t="n">
        <v>2</v>
      </c>
    </row>
    <row r="159">
      <c r="A159" s="2" t="n">
        <v>158</v>
      </c>
      <c r="B159" s="2" t="s">
        <v>1920</v>
      </c>
      <c r="C159" s="2" t="n">
        <v>191.107753756</v>
      </c>
      <c r="D159" s="2" t="n">
        <v>7.06735258418137</v>
      </c>
      <c r="E159" s="2" t="s">
        <v>1921</v>
      </c>
      <c r="F159" s="2" t="s">
        <v>24</v>
      </c>
      <c r="G159" s="2" t="s">
        <v>1922</v>
      </c>
      <c r="H159" s="2" t="s">
        <v>1923</v>
      </c>
      <c r="I159" s="2" t="s">
        <v>1924</v>
      </c>
      <c r="J159" s="2" t="s">
        <v>1925</v>
      </c>
      <c r="K159" s="2" t="s">
        <v>29</v>
      </c>
      <c r="L159" s="2" t="s">
        <v>29</v>
      </c>
      <c r="M159" s="2" t="s">
        <v>1926</v>
      </c>
      <c r="N159" s="2" t="s">
        <v>1927</v>
      </c>
      <c r="O159" s="2" t="s">
        <v>1928</v>
      </c>
      <c r="P159" s="2" t="s">
        <v>1929</v>
      </c>
      <c r="Q159" s="2" t="s">
        <v>1930</v>
      </c>
      <c r="R159" s="2" t="s">
        <v>794</v>
      </c>
      <c r="S159" s="2" t="s">
        <v>795</v>
      </c>
      <c r="T159" s="2" t="s">
        <v>1870</v>
      </c>
      <c r="U159" s="2" t="s">
        <v>56</v>
      </c>
      <c r="V159" s="2" t="n">
        <v>1</v>
      </c>
    </row>
    <row r="160">
      <c r="A160" s="2" t="n">
        <v>159</v>
      </c>
      <c r="B160" s="2" t="s">
        <v>1931</v>
      </c>
      <c r="C160" s="2" t="n">
        <v>191.180524768</v>
      </c>
      <c r="D160" s="2" t="n">
        <v>8.44813166657871</v>
      </c>
      <c r="E160" s="2" t="s">
        <v>1932</v>
      </c>
      <c r="F160" s="2" t="s">
        <v>24</v>
      </c>
      <c r="G160" s="2" t="s">
        <v>1933</v>
      </c>
      <c r="H160" s="2" t="s">
        <v>1934</v>
      </c>
      <c r="I160" s="2" t="s">
        <v>1935</v>
      </c>
      <c r="J160" s="2" t="s">
        <v>29</v>
      </c>
      <c r="K160" s="2" t="s">
        <v>29</v>
      </c>
      <c r="L160" s="2" t="s">
        <v>29</v>
      </c>
      <c r="M160" s="2" t="s">
        <v>29</v>
      </c>
      <c r="N160" s="2" t="s">
        <v>1936</v>
      </c>
      <c r="O160" s="2" t="s">
        <v>29</v>
      </c>
      <c r="P160" s="2" t="s">
        <v>1937</v>
      </c>
      <c r="Q160" s="2" t="s">
        <v>1938</v>
      </c>
      <c r="R160" s="2" t="s">
        <v>794</v>
      </c>
      <c r="S160" s="2" t="s">
        <v>1098</v>
      </c>
      <c r="T160" s="2" t="s">
        <v>1099</v>
      </c>
      <c r="U160" s="2" t="s">
        <v>56</v>
      </c>
      <c r="V160" s="2" t="n">
        <v>1</v>
      </c>
    </row>
    <row r="161">
      <c r="A161" s="2" t="n">
        <v>160</v>
      </c>
      <c r="B161" s="2" t="s">
        <v>1939</v>
      </c>
      <c r="C161" s="2" t="n">
        <v>192.994081812</v>
      </c>
      <c r="D161" s="2" t="n">
        <v>5.2788625825039</v>
      </c>
      <c r="E161" s="2" t="s">
        <v>1940</v>
      </c>
      <c r="F161" s="2" t="s">
        <v>531</v>
      </c>
      <c r="G161" s="2" t="s">
        <v>1941</v>
      </c>
      <c r="H161" s="2" t="s">
        <v>1942</v>
      </c>
      <c r="I161" s="2" t="s">
        <v>1943</v>
      </c>
      <c r="J161" s="2" t="s">
        <v>29</v>
      </c>
      <c r="K161" s="2" t="s">
        <v>29</v>
      </c>
      <c r="L161" s="2" t="s">
        <v>1944</v>
      </c>
      <c r="M161" s="2" t="s">
        <v>1945</v>
      </c>
      <c r="N161" s="2" t="s">
        <v>1946</v>
      </c>
      <c r="O161" s="2" t="s">
        <v>1947</v>
      </c>
      <c r="P161" s="2" t="s">
        <v>1948</v>
      </c>
      <c r="Q161" s="2" t="s">
        <v>1949</v>
      </c>
      <c r="R161" s="2" t="s">
        <v>186</v>
      </c>
      <c r="S161" s="2" t="s">
        <v>187</v>
      </c>
      <c r="T161" s="2" t="s">
        <v>1950</v>
      </c>
      <c r="U161" s="2" t="s">
        <v>101</v>
      </c>
      <c r="V161" s="2" t="n">
        <v>1</v>
      </c>
    </row>
    <row r="162">
      <c r="A162" s="2" t="n">
        <v>161</v>
      </c>
      <c r="B162" s="2" t="s">
        <v>1951</v>
      </c>
      <c r="C162" s="2" t="n">
        <v>193.032874254</v>
      </c>
      <c r="D162" s="2" t="n">
        <v>2.47777333123654</v>
      </c>
      <c r="E162" s="2" t="s">
        <v>1952</v>
      </c>
      <c r="F162" s="2" t="s">
        <v>24</v>
      </c>
      <c r="G162" s="2" t="s">
        <v>1953</v>
      </c>
      <c r="H162" s="2" t="s">
        <v>1954</v>
      </c>
      <c r="I162" s="2" t="s">
        <v>1955</v>
      </c>
      <c r="J162" s="2" t="s">
        <v>1956</v>
      </c>
      <c r="K162" s="2" t="s">
        <v>29</v>
      </c>
      <c r="L162" s="2" t="s">
        <v>29</v>
      </c>
      <c r="M162" s="2" t="s">
        <v>29</v>
      </c>
      <c r="N162" s="2" t="s">
        <v>1957</v>
      </c>
      <c r="O162" s="2" t="s">
        <v>1958</v>
      </c>
      <c r="P162" s="2" t="s">
        <v>1959</v>
      </c>
      <c r="Q162" s="2" t="s">
        <v>1960</v>
      </c>
      <c r="R162" s="2" t="s">
        <v>114</v>
      </c>
      <c r="S162" s="2" t="s">
        <v>877</v>
      </c>
      <c r="T162" s="2" t="s">
        <v>215</v>
      </c>
      <c r="U162" s="2" t="s">
        <v>56</v>
      </c>
      <c r="V162" s="2" t="n">
        <v>1</v>
      </c>
    </row>
    <row r="163">
      <c r="A163" s="2" t="n">
        <v>162</v>
      </c>
      <c r="B163" s="2" t="s">
        <v>1961</v>
      </c>
      <c r="C163" s="2" t="n">
        <v>193.086163087</v>
      </c>
      <c r="D163" s="2" t="n">
        <v>7.03298095796758</v>
      </c>
      <c r="E163" s="2" t="s">
        <v>1962</v>
      </c>
      <c r="F163" s="2" t="s">
        <v>86</v>
      </c>
      <c r="G163" s="2" t="s">
        <v>1963</v>
      </c>
      <c r="H163" s="2" t="s">
        <v>1964</v>
      </c>
      <c r="I163" s="2" t="s">
        <v>1965</v>
      </c>
      <c r="J163" s="2" t="s">
        <v>29</v>
      </c>
      <c r="K163" s="2" t="s">
        <v>29</v>
      </c>
      <c r="L163" s="2" t="s">
        <v>29</v>
      </c>
      <c r="M163" s="2" t="s">
        <v>29</v>
      </c>
      <c r="N163" s="2" t="s">
        <v>1966</v>
      </c>
      <c r="O163" s="2" t="s">
        <v>29</v>
      </c>
      <c r="P163" s="2" t="s">
        <v>1967</v>
      </c>
      <c r="Q163" s="2" t="s">
        <v>1968</v>
      </c>
      <c r="R163" s="2" t="s">
        <v>601</v>
      </c>
      <c r="S163" s="2" t="s">
        <v>602</v>
      </c>
      <c r="T163" s="2" t="s">
        <v>1969</v>
      </c>
      <c r="U163" s="2" t="s">
        <v>29</v>
      </c>
      <c r="V163" s="2" t="n">
        <v>1</v>
      </c>
    </row>
    <row r="164">
      <c r="A164" s="2" t="n">
        <v>163</v>
      </c>
      <c r="B164" s="2" t="s">
        <v>1970</v>
      </c>
      <c r="C164" s="2" t="n">
        <v>193.985447127</v>
      </c>
      <c r="D164" s="2" t="n">
        <v>1.10339085959528</v>
      </c>
      <c r="E164" s="2" t="s">
        <v>1971</v>
      </c>
      <c r="F164" s="2" t="s">
        <v>161</v>
      </c>
      <c r="G164" s="2" t="s">
        <v>1972</v>
      </c>
      <c r="H164" s="2" t="s">
        <v>1973</v>
      </c>
      <c r="I164" s="2" t="s">
        <v>1974</v>
      </c>
      <c r="J164" s="2" t="s">
        <v>1975</v>
      </c>
      <c r="K164" s="2" t="s">
        <v>29</v>
      </c>
      <c r="L164" s="2" t="s">
        <v>1976</v>
      </c>
      <c r="M164" s="2" t="s">
        <v>1977</v>
      </c>
      <c r="N164" s="2" t="s">
        <v>1978</v>
      </c>
      <c r="O164" s="2" t="s">
        <v>1979</v>
      </c>
      <c r="P164" s="2" t="s">
        <v>1980</v>
      </c>
      <c r="Q164" s="2" t="s">
        <v>1981</v>
      </c>
      <c r="R164" s="2" t="s">
        <v>36</v>
      </c>
      <c r="S164" s="2" t="s">
        <v>37</v>
      </c>
      <c r="T164" s="2" t="s">
        <v>69</v>
      </c>
      <c r="U164" s="2" t="s">
        <v>101</v>
      </c>
      <c r="V164" s="2" t="n">
        <v>1</v>
      </c>
    </row>
    <row r="165">
      <c r="A165" s="2" t="n">
        <v>164</v>
      </c>
      <c r="B165" s="2" t="s">
        <v>1982</v>
      </c>
      <c r="C165" s="2" t="n">
        <v>194.082267287</v>
      </c>
      <c r="D165" s="2" t="n">
        <v>19.0354410252808</v>
      </c>
      <c r="E165" s="2" t="s">
        <v>1983</v>
      </c>
      <c r="F165" s="2" t="s">
        <v>24</v>
      </c>
      <c r="G165" s="2" t="s">
        <v>1984</v>
      </c>
      <c r="H165" s="2" t="s">
        <v>1985</v>
      </c>
      <c r="I165" s="2" t="s">
        <v>1986</v>
      </c>
      <c r="J165" s="2" t="s">
        <v>29</v>
      </c>
      <c r="K165" s="2" t="s">
        <v>29</v>
      </c>
      <c r="L165" s="2" t="s">
        <v>1987</v>
      </c>
      <c r="M165" s="2" t="s">
        <v>1988</v>
      </c>
      <c r="N165" s="2" t="s">
        <v>1989</v>
      </c>
      <c r="O165" s="2" t="s">
        <v>29</v>
      </c>
      <c r="P165" s="2" t="s">
        <v>1990</v>
      </c>
      <c r="Q165" s="2" t="s">
        <v>1991</v>
      </c>
      <c r="R165" s="2" t="s">
        <v>186</v>
      </c>
      <c r="S165" s="2" t="s">
        <v>187</v>
      </c>
      <c r="T165" s="2" t="s">
        <v>215</v>
      </c>
      <c r="U165" s="2" t="s">
        <v>56</v>
      </c>
      <c r="V165" s="2" t="n">
        <v>1</v>
      </c>
    </row>
    <row r="166">
      <c r="A166" s="2" t="n">
        <v>165</v>
      </c>
      <c r="B166" s="2" t="s">
        <v>1992</v>
      </c>
      <c r="C166" s="2" t="n">
        <v>194.946653291</v>
      </c>
      <c r="D166" s="2" t="n">
        <v>12.6905562686486</v>
      </c>
      <c r="E166" s="2" t="s">
        <v>1993</v>
      </c>
      <c r="F166" s="2" t="s">
        <v>531</v>
      </c>
      <c r="G166" s="2" t="s">
        <v>1994</v>
      </c>
      <c r="H166" s="2" t="s">
        <v>1995</v>
      </c>
      <c r="I166" s="2" t="s">
        <v>1996</v>
      </c>
      <c r="J166" s="2" t="s">
        <v>29</v>
      </c>
      <c r="K166" s="2" t="s">
        <v>29</v>
      </c>
      <c r="L166" s="2" t="s">
        <v>29</v>
      </c>
      <c r="M166" s="2" t="s">
        <v>1997</v>
      </c>
      <c r="N166" s="2" t="s">
        <v>1998</v>
      </c>
      <c r="O166" s="2" t="s">
        <v>29</v>
      </c>
      <c r="P166" s="2" t="s">
        <v>1999</v>
      </c>
      <c r="Q166" s="2" t="s">
        <v>2000</v>
      </c>
      <c r="R166" s="2" t="s">
        <v>114</v>
      </c>
      <c r="S166" s="2" t="s">
        <v>115</v>
      </c>
      <c r="T166" s="2" t="s">
        <v>116</v>
      </c>
      <c r="U166" s="2" t="s">
        <v>29</v>
      </c>
      <c r="V166" s="2" t="n">
        <v>1</v>
      </c>
    </row>
    <row r="167">
      <c r="A167" s="2" t="n">
        <v>166</v>
      </c>
      <c r="B167" s="2" t="s">
        <v>2001</v>
      </c>
      <c r="C167" s="2" t="n">
        <v>195.053702505</v>
      </c>
      <c r="D167" s="2" t="n">
        <v>2.11994702835547</v>
      </c>
      <c r="E167" s="2" t="s">
        <v>2002</v>
      </c>
      <c r="F167" s="2" t="s">
        <v>205</v>
      </c>
      <c r="G167" s="2" t="s">
        <v>2003</v>
      </c>
      <c r="H167" s="2" t="s">
        <v>2004</v>
      </c>
      <c r="I167" s="2" t="s">
        <v>2005</v>
      </c>
      <c r="J167" s="2" t="s">
        <v>29</v>
      </c>
      <c r="K167" s="2" t="s">
        <v>29</v>
      </c>
      <c r="L167" s="2" t="s">
        <v>29</v>
      </c>
      <c r="M167" s="2" t="s">
        <v>29</v>
      </c>
      <c r="N167" s="2" t="s">
        <v>2006</v>
      </c>
      <c r="O167" s="2" t="s">
        <v>29</v>
      </c>
      <c r="P167" s="2" t="s">
        <v>2007</v>
      </c>
      <c r="Q167" s="2" t="s">
        <v>2008</v>
      </c>
      <c r="R167" s="2" t="s">
        <v>114</v>
      </c>
      <c r="S167" s="2" t="s">
        <v>994</v>
      </c>
      <c r="T167" s="2" t="s">
        <v>1028</v>
      </c>
      <c r="U167" s="2" t="s">
        <v>29</v>
      </c>
      <c r="V167" s="2" t="n">
        <v>1</v>
      </c>
    </row>
    <row r="168">
      <c r="A168" s="2" t="n">
        <v>167</v>
      </c>
      <c r="B168" s="2" t="s">
        <v>2009</v>
      </c>
      <c r="C168" s="2" t="n">
        <v>195.102668378</v>
      </c>
      <c r="D168" s="2" t="n">
        <v>3.6117277258446</v>
      </c>
      <c r="E168" s="2" t="s">
        <v>2010</v>
      </c>
      <c r="F168" s="2" t="s">
        <v>24</v>
      </c>
      <c r="G168" s="2" t="s">
        <v>2011</v>
      </c>
      <c r="H168" s="2" t="s">
        <v>2012</v>
      </c>
      <c r="I168" s="2" t="s">
        <v>2013</v>
      </c>
      <c r="J168" s="2" t="s">
        <v>2014</v>
      </c>
      <c r="K168" s="2" t="s">
        <v>2015</v>
      </c>
      <c r="L168" s="2" t="s">
        <v>91</v>
      </c>
      <c r="M168" s="2" t="s">
        <v>91</v>
      </c>
      <c r="N168" s="2" t="s">
        <v>2016</v>
      </c>
      <c r="O168" s="2" t="s">
        <v>2017</v>
      </c>
      <c r="P168" s="2" t="s">
        <v>2018</v>
      </c>
      <c r="Q168" s="2" t="s">
        <v>2019</v>
      </c>
      <c r="R168" s="2" t="s">
        <v>2020</v>
      </c>
      <c r="S168" s="2" t="s">
        <v>2021</v>
      </c>
      <c r="T168" s="2" t="s">
        <v>2022</v>
      </c>
      <c r="U168" s="2" t="s">
        <v>56</v>
      </c>
      <c r="V168" s="2" t="n">
        <v>2</v>
      </c>
    </row>
    <row r="169">
      <c r="A169" s="2" t="n">
        <v>168</v>
      </c>
      <c r="B169" s="2" t="s">
        <v>2023</v>
      </c>
      <c r="C169" s="2" t="n">
        <v>195.139053884</v>
      </c>
      <c r="D169" s="2" t="n">
        <v>15.9383693634666</v>
      </c>
      <c r="E169" s="2" t="s">
        <v>2024</v>
      </c>
      <c r="F169" s="2" t="s">
        <v>24</v>
      </c>
      <c r="G169" s="2" t="s">
        <v>2025</v>
      </c>
      <c r="H169" s="2" t="s">
        <v>2026</v>
      </c>
      <c r="I169" s="2" t="s">
        <v>2027</v>
      </c>
      <c r="J169" s="2" t="s">
        <v>29</v>
      </c>
      <c r="K169" s="2" t="s">
        <v>2028</v>
      </c>
      <c r="L169" s="2" t="s">
        <v>2029</v>
      </c>
      <c r="M169" s="2" t="s">
        <v>29</v>
      </c>
      <c r="N169" s="2" t="s">
        <v>2030</v>
      </c>
      <c r="O169" s="2" t="s">
        <v>2031</v>
      </c>
      <c r="P169" s="2" t="s">
        <v>2032</v>
      </c>
      <c r="Q169" s="2" t="s">
        <v>2033</v>
      </c>
      <c r="R169" s="2" t="s">
        <v>794</v>
      </c>
      <c r="S169" s="2" t="s">
        <v>1098</v>
      </c>
      <c r="T169" s="2" t="s">
        <v>1099</v>
      </c>
      <c r="U169" s="2" t="s">
        <v>56</v>
      </c>
      <c r="V169" s="2" t="n">
        <v>1</v>
      </c>
    </row>
    <row r="170">
      <c r="A170" s="2" t="n">
        <v>169</v>
      </c>
      <c r="B170" s="2" t="s">
        <v>2034</v>
      </c>
      <c r="C170" s="2" t="n">
        <v>196.98566309</v>
      </c>
      <c r="D170" s="2" t="n">
        <v>5.51284979489957</v>
      </c>
      <c r="E170" s="2" t="s">
        <v>2035</v>
      </c>
      <c r="F170" s="2" t="s">
        <v>24</v>
      </c>
      <c r="G170" s="2" t="s">
        <v>2036</v>
      </c>
      <c r="H170" s="2" t="s">
        <v>2037</v>
      </c>
      <c r="I170" s="2" t="s">
        <v>2038</v>
      </c>
      <c r="J170" s="2" t="s">
        <v>2039</v>
      </c>
      <c r="K170" s="2" t="s">
        <v>29</v>
      </c>
      <c r="L170" s="2" t="s">
        <v>2040</v>
      </c>
      <c r="M170" s="2" t="s">
        <v>2041</v>
      </c>
      <c r="N170" s="2" t="s">
        <v>2042</v>
      </c>
      <c r="O170" s="2" t="s">
        <v>29</v>
      </c>
      <c r="P170" s="2" t="s">
        <v>2043</v>
      </c>
      <c r="Q170" s="2" t="s">
        <v>2044</v>
      </c>
      <c r="R170" s="2" t="s">
        <v>129</v>
      </c>
      <c r="S170" s="2" t="s">
        <v>130</v>
      </c>
      <c r="T170" s="2" t="s">
        <v>131</v>
      </c>
      <c r="U170" s="2" t="s">
        <v>56</v>
      </c>
      <c r="V170" s="2" t="n">
        <v>1</v>
      </c>
    </row>
    <row r="171">
      <c r="A171" s="2" t="n">
        <v>170</v>
      </c>
      <c r="B171" s="2" t="s">
        <v>2045</v>
      </c>
      <c r="C171" s="2" t="n">
        <v>197.08327034</v>
      </c>
      <c r="D171" s="2" t="n">
        <v>3.65947657087089</v>
      </c>
      <c r="E171" s="2" t="s">
        <v>2046</v>
      </c>
      <c r="F171" s="2" t="s">
        <v>24</v>
      </c>
      <c r="G171" s="2" t="s">
        <v>2047</v>
      </c>
      <c r="H171" s="2" t="s">
        <v>2048</v>
      </c>
      <c r="I171" s="2" t="s">
        <v>2049</v>
      </c>
      <c r="J171" s="2" t="s">
        <v>2050</v>
      </c>
      <c r="K171" s="2" t="s">
        <v>29</v>
      </c>
      <c r="L171" s="2" t="s">
        <v>2051</v>
      </c>
      <c r="M171" s="2" t="s">
        <v>2052</v>
      </c>
      <c r="N171" s="2" t="s">
        <v>2053</v>
      </c>
      <c r="O171" s="2" t="s">
        <v>2054</v>
      </c>
      <c r="P171" s="2" t="s">
        <v>2055</v>
      </c>
      <c r="Q171" s="2" t="s">
        <v>2056</v>
      </c>
      <c r="R171" s="2" t="s">
        <v>114</v>
      </c>
      <c r="S171" s="2" t="s">
        <v>2057</v>
      </c>
      <c r="T171" s="2" t="s">
        <v>215</v>
      </c>
      <c r="U171" s="2" t="s">
        <v>56</v>
      </c>
      <c r="V171" s="2" t="n">
        <v>1</v>
      </c>
    </row>
    <row r="172">
      <c r="A172" s="2" t="n">
        <v>171</v>
      </c>
      <c r="B172" s="2" t="s">
        <v>2058</v>
      </c>
      <c r="C172" s="2" t="n">
        <v>197.11831844</v>
      </c>
      <c r="D172" s="2" t="n">
        <v>13.1738652132712</v>
      </c>
      <c r="E172" s="2" t="s">
        <v>2059</v>
      </c>
      <c r="F172" s="2" t="s">
        <v>24</v>
      </c>
      <c r="G172" s="2" t="s">
        <v>2060</v>
      </c>
      <c r="H172" s="2" t="s">
        <v>2061</v>
      </c>
      <c r="I172" s="2" t="s">
        <v>2062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2063</v>
      </c>
      <c r="O172" s="2" t="s">
        <v>29</v>
      </c>
      <c r="P172" s="2" t="s">
        <v>2064</v>
      </c>
      <c r="Q172" s="2" t="s">
        <v>2065</v>
      </c>
      <c r="R172" s="2" t="s">
        <v>36</v>
      </c>
      <c r="S172" s="2" t="s">
        <v>271</v>
      </c>
      <c r="T172" s="2" t="s">
        <v>2066</v>
      </c>
      <c r="U172" s="2" t="s">
        <v>29</v>
      </c>
      <c r="V172" s="2" t="n">
        <v>1</v>
      </c>
    </row>
    <row r="173">
      <c r="A173" s="2" t="n">
        <v>172</v>
      </c>
      <c r="B173" s="2" t="s">
        <v>2067</v>
      </c>
      <c r="C173" s="2" t="n">
        <v>198.078519313</v>
      </c>
      <c r="D173" s="2" t="n">
        <v>1.51307023036921</v>
      </c>
      <c r="E173" s="2" t="s">
        <v>2068</v>
      </c>
      <c r="F173" s="2" t="s">
        <v>24</v>
      </c>
      <c r="G173" s="2" t="s">
        <v>2069</v>
      </c>
      <c r="H173" s="2" t="s">
        <v>2070</v>
      </c>
      <c r="I173" s="2" t="s">
        <v>2071</v>
      </c>
      <c r="J173" s="2" t="s">
        <v>2072</v>
      </c>
      <c r="K173" s="2" t="s">
        <v>29</v>
      </c>
      <c r="L173" s="2" t="s">
        <v>29</v>
      </c>
      <c r="M173" s="2" t="s">
        <v>29</v>
      </c>
      <c r="N173" s="2" t="s">
        <v>2073</v>
      </c>
      <c r="O173" s="2" t="s">
        <v>2074</v>
      </c>
      <c r="P173" s="2" t="s">
        <v>2075</v>
      </c>
      <c r="Q173" s="2" t="s">
        <v>2076</v>
      </c>
      <c r="R173" s="2" t="s">
        <v>114</v>
      </c>
      <c r="S173" s="2" t="s">
        <v>1254</v>
      </c>
      <c r="T173" s="2" t="s">
        <v>1255</v>
      </c>
      <c r="U173" s="2" t="s">
        <v>56</v>
      </c>
      <c r="V173" s="2" t="n">
        <v>1</v>
      </c>
    </row>
    <row r="174">
      <c r="A174" s="2" t="n">
        <v>173</v>
      </c>
      <c r="B174" s="2" t="s">
        <v>2077</v>
      </c>
      <c r="C174" s="2" t="n">
        <v>198.124250489</v>
      </c>
      <c r="D174" s="2" t="n">
        <v>1.78501862606129</v>
      </c>
      <c r="E174" s="2" t="s">
        <v>2078</v>
      </c>
      <c r="F174" s="2" t="s">
        <v>161</v>
      </c>
      <c r="G174" s="2" t="s">
        <v>2079</v>
      </c>
      <c r="H174" s="2" t="s">
        <v>2080</v>
      </c>
      <c r="I174" s="2" t="s">
        <v>2081</v>
      </c>
      <c r="J174" s="2" t="s">
        <v>2082</v>
      </c>
      <c r="K174" s="2" t="s">
        <v>29</v>
      </c>
      <c r="L174" s="2" t="s">
        <v>2083</v>
      </c>
      <c r="M174" s="2" t="s">
        <v>2084</v>
      </c>
      <c r="N174" s="2" t="s">
        <v>2085</v>
      </c>
      <c r="O174" s="2" t="s">
        <v>29</v>
      </c>
      <c r="P174" s="2" t="s">
        <v>2086</v>
      </c>
      <c r="Q174" s="2" t="s">
        <v>2087</v>
      </c>
      <c r="R174" s="2" t="s">
        <v>36</v>
      </c>
      <c r="S174" s="2" t="s">
        <v>37</v>
      </c>
      <c r="T174" s="2" t="s">
        <v>69</v>
      </c>
      <c r="U174" s="2" t="s">
        <v>56</v>
      </c>
      <c r="V174" s="2" t="n">
        <v>1</v>
      </c>
    </row>
    <row r="175">
      <c r="A175" s="2" t="n">
        <v>174</v>
      </c>
      <c r="B175" s="2" t="s">
        <v>2088</v>
      </c>
      <c r="C175" s="2" t="n">
        <v>199.002827392</v>
      </c>
      <c r="D175" s="2" t="n">
        <v>4.56950793902195</v>
      </c>
      <c r="E175" s="2" t="s">
        <v>2089</v>
      </c>
      <c r="F175" s="2" t="s">
        <v>86</v>
      </c>
      <c r="G175" s="2" t="s">
        <v>2090</v>
      </c>
      <c r="H175" s="2" t="s">
        <v>2091</v>
      </c>
      <c r="I175" s="2" t="s">
        <v>2092</v>
      </c>
      <c r="J175" s="2" t="s">
        <v>2093</v>
      </c>
      <c r="K175" s="2" t="s">
        <v>29</v>
      </c>
      <c r="L175" s="2" t="s">
        <v>2094</v>
      </c>
      <c r="M175" s="2" t="s">
        <v>2095</v>
      </c>
      <c r="N175" s="2" t="s">
        <v>2096</v>
      </c>
      <c r="O175" s="2" t="s">
        <v>2097</v>
      </c>
      <c r="P175" s="2" t="s">
        <v>2098</v>
      </c>
      <c r="Q175" s="2" t="s">
        <v>2099</v>
      </c>
      <c r="R175" s="2" t="s">
        <v>114</v>
      </c>
      <c r="S175" s="2" t="s">
        <v>680</v>
      </c>
      <c r="T175" s="2" t="s">
        <v>215</v>
      </c>
      <c r="U175" s="2" t="s">
        <v>101</v>
      </c>
      <c r="V175" s="2" t="n">
        <v>1</v>
      </c>
    </row>
    <row r="176">
      <c r="A176" s="2" t="n">
        <v>175</v>
      </c>
      <c r="B176" s="2" t="s">
        <v>2100</v>
      </c>
      <c r="C176" s="2" t="n">
        <v>199.100750522</v>
      </c>
      <c r="D176" s="2" t="n">
        <v>0.811125300522193</v>
      </c>
      <c r="E176" s="2" t="s">
        <v>2101</v>
      </c>
      <c r="F176" s="2" t="s">
        <v>86</v>
      </c>
      <c r="G176" s="2" t="s">
        <v>2102</v>
      </c>
      <c r="H176" s="2" t="s">
        <v>2103</v>
      </c>
      <c r="I176" s="2" t="s">
        <v>2104</v>
      </c>
      <c r="J176" s="2" t="s">
        <v>2105</v>
      </c>
      <c r="K176" s="2" t="s">
        <v>195</v>
      </c>
      <c r="L176" s="2" t="s">
        <v>195</v>
      </c>
      <c r="M176" s="2" t="s">
        <v>195</v>
      </c>
      <c r="N176" s="2" t="s">
        <v>2106</v>
      </c>
      <c r="O176" s="2" t="s">
        <v>2107</v>
      </c>
      <c r="P176" s="2" t="s">
        <v>2108</v>
      </c>
      <c r="Q176" s="2" t="s">
        <v>2109</v>
      </c>
      <c r="R176" s="2" t="s">
        <v>490</v>
      </c>
      <c r="S176" s="2" t="s">
        <v>889</v>
      </c>
      <c r="T176" s="2" t="s">
        <v>890</v>
      </c>
      <c r="U176" s="2" t="s">
        <v>56</v>
      </c>
      <c r="V176" s="2" t="n">
        <v>3</v>
      </c>
    </row>
    <row r="177">
      <c r="A177" s="2" t="n">
        <v>176</v>
      </c>
      <c r="B177" s="2" t="s">
        <v>2110</v>
      </c>
      <c r="C177" s="2" t="n">
        <v>199.133964198</v>
      </c>
      <c r="D177" s="2" t="n">
        <v>12.9054505460563</v>
      </c>
      <c r="E177" s="2" t="s">
        <v>2111</v>
      </c>
      <c r="F177" s="2" t="s">
        <v>205</v>
      </c>
      <c r="G177" s="2" t="s">
        <v>2112</v>
      </c>
      <c r="H177" s="2" t="s">
        <v>2113</v>
      </c>
      <c r="I177" s="2" t="s">
        <v>2114</v>
      </c>
      <c r="J177" s="2" t="s">
        <v>2115</v>
      </c>
      <c r="K177" s="2" t="s">
        <v>2116</v>
      </c>
      <c r="L177" s="2" t="s">
        <v>2117</v>
      </c>
      <c r="M177" s="2" t="s">
        <v>2118</v>
      </c>
      <c r="N177" s="2" t="s">
        <v>2119</v>
      </c>
      <c r="O177" s="2" t="s">
        <v>2120</v>
      </c>
      <c r="P177" s="2" t="s">
        <v>2121</v>
      </c>
      <c r="Q177" s="2" t="s">
        <v>2122</v>
      </c>
      <c r="R177" s="2" t="s">
        <v>255</v>
      </c>
      <c r="S177" s="2" t="s">
        <v>1728</v>
      </c>
      <c r="T177" s="2" t="s">
        <v>1729</v>
      </c>
      <c r="U177" s="2" t="s">
        <v>56</v>
      </c>
      <c r="V177" s="2" t="n">
        <v>3</v>
      </c>
    </row>
    <row r="178">
      <c r="A178" s="2" t="n">
        <v>177</v>
      </c>
      <c r="B178" s="2" t="s">
        <v>2123</v>
      </c>
      <c r="C178" s="2" t="n">
        <v>199.942533343</v>
      </c>
      <c r="D178" s="2" t="n">
        <v>12.8461263589504</v>
      </c>
      <c r="E178" s="2" t="s">
        <v>2124</v>
      </c>
      <c r="F178" s="2" t="s">
        <v>218</v>
      </c>
      <c r="G178" s="2" t="s">
        <v>2125</v>
      </c>
      <c r="H178" s="2" t="s">
        <v>2126</v>
      </c>
      <c r="I178" s="2" t="s">
        <v>2127</v>
      </c>
      <c r="J178" s="2" t="s">
        <v>2128</v>
      </c>
      <c r="K178" s="2" t="s">
        <v>29</v>
      </c>
      <c r="L178" s="2" t="s">
        <v>29</v>
      </c>
      <c r="M178" s="2" t="s">
        <v>2129</v>
      </c>
      <c r="N178" s="2" t="s">
        <v>2130</v>
      </c>
      <c r="O178" s="2" t="s">
        <v>2131</v>
      </c>
      <c r="P178" s="2" t="s">
        <v>2132</v>
      </c>
      <c r="Q178" s="2" t="s">
        <v>2133</v>
      </c>
      <c r="R178" s="2" t="s">
        <v>36</v>
      </c>
      <c r="S178" s="2" t="s">
        <v>1857</v>
      </c>
      <c r="T178" s="2" t="s">
        <v>215</v>
      </c>
      <c r="U178" s="2" t="s">
        <v>56</v>
      </c>
      <c r="V178" s="2" t="n">
        <v>1</v>
      </c>
    </row>
    <row r="179">
      <c r="A179" s="2" t="n">
        <v>178</v>
      </c>
      <c r="B179" s="2" t="s">
        <v>2134</v>
      </c>
      <c r="C179" s="2" t="n">
        <v>200.015151605</v>
      </c>
      <c r="D179" s="2" t="n">
        <v>0.974249651164226</v>
      </c>
      <c r="E179" s="2" t="s">
        <v>2135</v>
      </c>
      <c r="F179" s="2" t="s">
        <v>531</v>
      </c>
      <c r="G179" s="2" t="s">
        <v>2136</v>
      </c>
      <c r="H179" s="2" t="s">
        <v>2137</v>
      </c>
      <c r="I179" s="2" t="s">
        <v>2138</v>
      </c>
      <c r="J179" s="2" t="s">
        <v>2139</v>
      </c>
      <c r="K179" s="2" t="s">
        <v>29</v>
      </c>
      <c r="L179" s="2" t="s">
        <v>29</v>
      </c>
      <c r="M179" s="2" t="s">
        <v>29</v>
      </c>
      <c r="N179" s="2" t="s">
        <v>2140</v>
      </c>
      <c r="O179" s="2" t="s">
        <v>2141</v>
      </c>
      <c r="P179" s="2" t="s">
        <v>2142</v>
      </c>
      <c r="Q179" s="2" t="s">
        <v>2143</v>
      </c>
      <c r="R179" s="2" t="s">
        <v>186</v>
      </c>
      <c r="S179" s="2" t="s">
        <v>911</v>
      </c>
      <c r="T179" s="2" t="s">
        <v>2144</v>
      </c>
      <c r="U179" s="2" t="s">
        <v>56</v>
      </c>
      <c r="V179" s="2" t="n">
        <v>1</v>
      </c>
    </row>
    <row r="180">
      <c r="A180" s="2" t="n">
        <v>179</v>
      </c>
      <c r="B180" s="2" t="s">
        <v>2145</v>
      </c>
      <c r="C180" s="2" t="n">
        <v>200.056764551</v>
      </c>
      <c r="D180" s="2" t="n">
        <v>9.60933378572181</v>
      </c>
      <c r="E180" s="2" t="s">
        <v>2146</v>
      </c>
      <c r="F180" s="2" t="s">
        <v>161</v>
      </c>
      <c r="G180" s="2" t="s">
        <v>2147</v>
      </c>
      <c r="H180" s="2" t="s">
        <v>2148</v>
      </c>
      <c r="I180" s="2" t="s">
        <v>2149</v>
      </c>
      <c r="J180" s="2" t="s">
        <v>2150</v>
      </c>
      <c r="K180" s="2" t="s">
        <v>29</v>
      </c>
      <c r="L180" s="2" t="s">
        <v>29</v>
      </c>
      <c r="M180" s="2" t="s">
        <v>2151</v>
      </c>
      <c r="N180" s="2" t="s">
        <v>2152</v>
      </c>
      <c r="O180" s="2" t="s">
        <v>2153</v>
      </c>
      <c r="P180" s="2" t="s">
        <v>2154</v>
      </c>
      <c r="Q180" s="2" t="s">
        <v>2155</v>
      </c>
      <c r="R180" s="2" t="s">
        <v>644</v>
      </c>
      <c r="S180" s="2" t="s">
        <v>2156</v>
      </c>
      <c r="T180" s="2" t="s">
        <v>215</v>
      </c>
      <c r="U180" s="2" t="s">
        <v>56</v>
      </c>
      <c r="V180" s="2" t="n">
        <v>1</v>
      </c>
    </row>
    <row r="181">
      <c r="A181" s="2" t="n">
        <v>180</v>
      </c>
      <c r="B181" s="2" t="s">
        <v>2157</v>
      </c>
      <c r="C181" s="2" t="n">
        <v>200.139900548</v>
      </c>
      <c r="D181" s="2" t="n">
        <v>10.448552664578</v>
      </c>
      <c r="E181" s="2" t="s">
        <v>2158</v>
      </c>
      <c r="F181" s="2" t="s">
        <v>161</v>
      </c>
      <c r="G181" s="2" t="s">
        <v>2159</v>
      </c>
      <c r="H181" s="2" t="s">
        <v>2160</v>
      </c>
      <c r="I181" s="2" t="s">
        <v>2161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2162</v>
      </c>
      <c r="O181" s="2" t="s">
        <v>29</v>
      </c>
      <c r="P181" s="2" t="s">
        <v>2163</v>
      </c>
      <c r="Q181" s="2" t="s">
        <v>2164</v>
      </c>
      <c r="R181" s="2" t="s">
        <v>114</v>
      </c>
      <c r="S181" s="2" t="s">
        <v>2165</v>
      </c>
      <c r="T181" s="2" t="s">
        <v>2166</v>
      </c>
      <c r="U181" s="2" t="s">
        <v>29</v>
      </c>
      <c r="V181" s="2" t="n">
        <v>1</v>
      </c>
    </row>
    <row r="182">
      <c r="A182" s="2" t="n">
        <v>181</v>
      </c>
      <c r="B182" s="2" t="s">
        <v>2167</v>
      </c>
      <c r="C182" s="2" t="n">
        <v>201.035767485</v>
      </c>
      <c r="D182" s="2" t="n">
        <v>19.4102561902943</v>
      </c>
      <c r="E182" s="2" t="s">
        <v>2168</v>
      </c>
      <c r="F182" s="2" t="s">
        <v>86</v>
      </c>
      <c r="G182" s="2" t="s">
        <v>2169</v>
      </c>
      <c r="H182" s="2" t="s">
        <v>2170</v>
      </c>
      <c r="I182" s="2" t="s">
        <v>2171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2172</v>
      </c>
      <c r="O182" s="2" t="s">
        <v>29</v>
      </c>
      <c r="P182" s="2" t="s">
        <v>2173</v>
      </c>
      <c r="Q182" s="2" t="s">
        <v>2174</v>
      </c>
      <c r="R182" s="2" t="s">
        <v>36</v>
      </c>
      <c r="S182" s="2" t="s">
        <v>344</v>
      </c>
      <c r="T182" s="2" t="s">
        <v>345</v>
      </c>
      <c r="U182" s="2" t="s">
        <v>29</v>
      </c>
      <c r="V182" s="2" t="n">
        <v>1</v>
      </c>
    </row>
    <row r="183">
      <c r="A183" s="2" t="n">
        <v>182</v>
      </c>
      <c r="B183" s="2" t="s">
        <v>2175</v>
      </c>
      <c r="C183" s="2" t="n">
        <v>201.088080939</v>
      </c>
      <c r="D183" s="2" t="n">
        <v>6.54849564181584</v>
      </c>
      <c r="E183" s="2" t="s">
        <v>2176</v>
      </c>
      <c r="F183" s="2" t="s">
        <v>24</v>
      </c>
      <c r="G183" s="2" t="s">
        <v>2177</v>
      </c>
      <c r="H183" s="2" t="s">
        <v>2178</v>
      </c>
      <c r="I183" s="2" t="s">
        <v>2179</v>
      </c>
      <c r="J183" s="2" t="s">
        <v>2180</v>
      </c>
      <c r="K183" s="2" t="s">
        <v>195</v>
      </c>
      <c r="L183" s="2" t="s">
        <v>195</v>
      </c>
      <c r="M183" s="2" t="s">
        <v>2181</v>
      </c>
      <c r="N183" s="2" t="s">
        <v>2182</v>
      </c>
      <c r="O183" s="2" t="s">
        <v>2183</v>
      </c>
      <c r="P183" s="2" t="s">
        <v>2184</v>
      </c>
      <c r="Q183" s="2" t="s">
        <v>2185</v>
      </c>
      <c r="R183" s="2" t="s">
        <v>1558</v>
      </c>
      <c r="S183" s="2" t="s">
        <v>1844</v>
      </c>
      <c r="T183" s="2" t="s">
        <v>1845</v>
      </c>
      <c r="U183" s="2" t="s">
        <v>56</v>
      </c>
      <c r="V183" s="2" t="n">
        <v>3</v>
      </c>
    </row>
    <row r="184">
      <c r="A184" s="2" t="n">
        <v>183</v>
      </c>
      <c r="B184" s="2" t="s">
        <v>2186</v>
      </c>
      <c r="C184" s="2" t="n">
        <v>201.114020151</v>
      </c>
      <c r="D184" s="2" t="n">
        <v>7.89577669041189</v>
      </c>
      <c r="E184" s="2" t="s">
        <v>2187</v>
      </c>
      <c r="F184" s="2" t="s">
        <v>161</v>
      </c>
      <c r="G184" s="2" t="s">
        <v>2188</v>
      </c>
      <c r="H184" s="2" t="s">
        <v>2189</v>
      </c>
      <c r="I184" s="2" t="s">
        <v>2190</v>
      </c>
      <c r="J184" s="2" t="s">
        <v>2191</v>
      </c>
      <c r="K184" s="2" t="s">
        <v>29</v>
      </c>
      <c r="L184" s="2" t="s">
        <v>29</v>
      </c>
      <c r="M184" s="2" t="s">
        <v>29</v>
      </c>
      <c r="N184" s="2" t="s">
        <v>2192</v>
      </c>
      <c r="O184" s="2" t="s">
        <v>29</v>
      </c>
      <c r="P184" s="2" t="s">
        <v>2193</v>
      </c>
      <c r="Q184" s="2" t="s">
        <v>2194</v>
      </c>
      <c r="R184" s="2" t="s">
        <v>186</v>
      </c>
      <c r="S184" s="2" t="s">
        <v>187</v>
      </c>
      <c r="T184" s="2" t="s">
        <v>2195</v>
      </c>
      <c r="U184" s="2" t="s">
        <v>29</v>
      </c>
      <c r="V184" s="2" t="n">
        <v>1</v>
      </c>
    </row>
    <row r="185">
      <c r="A185" s="2" t="n">
        <v>184</v>
      </c>
      <c r="B185" s="2" t="s">
        <v>2196</v>
      </c>
      <c r="C185" s="2" t="n">
        <v>202.010554599</v>
      </c>
      <c r="D185" s="2" t="n">
        <v>2.13966278863292</v>
      </c>
      <c r="E185" s="2" t="s">
        <v>2197</v>
      </c>
      <c r="F185" s="2" t="s">
        <v>205</v>
      </c>
      <c r="G185" s="2" t="s">
        <v>2198</v>
      </c>
      <c r="H185" s="2" t="s">
        <v>2199</v>
      </c>
      <c r="I185" s="2" t="s">
        <v>2200</v>
      </c>
      <c r="J185" s="2" t="s">
        <v>2201</v>
      </c>
      <c r="K185" s="2" t="s">
        <v>29</v>
      </c>
      <c r="L185" s="2" t="s">
        <v>29</v>
      </c>
      <c r="M185" s="2" t="s">
        <v>2202</v>
      </c>
      <c r="N185" s="2" t="s">
        <v>2203</v>
      </c>
      <c r="O185" s="2" t="s">
        <v>29</v>
      </c>
      <c r="P185" s="2" t="s">
        <v>2204</v>
      </c>
      <c r="Q185" s="2" t="s">
        <v>2205</v>
      </c>
      <c r="R185" s="2" t="s">
        <v>114</v>
      </c>
      <c r="S185" s="2" t="s">
        <v>2206</v>
      </c>
      <c r="T185" s="2" t="s">
        <v>2207</v>
      </c>
      <c r="U185" s="2" t="s">
        <v>29</v>
      </c>
      <c r="V185" s="2" t="n">
        <v>1</v>
      </c>
    </row>
    <row r="186">
      <c r="A186" s="2" t="n">
        <v>185</v>
      </c>
      <c r="B186" s="2" t="s">
        <v>2208</v>
      </c>
      <c r="C186" s="2" t="n">
        <v>202.109819441</v>
      </c>
      <c r="D186" s="2" t="n">
        <v>7.76546404307547</v>
      </c>
      <c r="E186" s="2" t="s">
        <v>2209</v>
      </c>
      <c r="F186" s="2" t="s">
        <v>24</v>
      </c>
      <c r="G186" s="2" t="s">
        <v>2210</v>
      </c>
      <c r="H186" s="2" t="s">
        <v>2211</v>
      </c>
      <c r="I186" s="2" t="s">
        <v>2212</v>
      </c>
      <c r="J186" s="2" t="s">
        <v>2213</v>
      </c>
      <c r="K186" s="2" t="s">
        <v>29</v>
      </c>
      <c r="L186" s="2" t="s">
        <v>2214</v>
      </c>
      <c r="M186" s="2" t="s">
        <v>2215</v>
      </c>
      <c r="N186" s="2" t="s">
        <v>2216</v>
      </c>
      <c r="O186" s="2" t="s">
        <v>2217</v>
      </c>
      <c r="P186" s="2" t="s">
        <v>2218</v>
      </c>
      <c r="Q186" s="2" t="s">
        <v>2219</v>
      </c>
      <c r="R186" s="2" t="s">
        <v>114</v>
      </c>
      <c r="S186" s="2" t="s">
        <v>730</v>
      </c>
      <c r="T186" s="2" t="s">
        <v>731</v>
      </c>
      <c r="U186" s="2" t="s">
        <v>101</v>
      </c>
      <c r="V186" s="2" t="n">
        <v>1</v>
      </c>
    </row>
    <row r="187">
      <c r="A187" s="2" t="n">
        <v>186</v>
      </c>
      <c r="B187" s="2" t="s">
        <v>2220</v>
      </c>
      <c r="C187" s="2" t="n">
        <v>203.022894132</v>
      </c>
      <c r="D187" s="2" t="n">
        <v>8.60511536532492</v>
      </c>
      <c r="E187" s="2" t="s">
        <v>2221</v>
      </c>
      <c r="F187" s="2" t="s">
        <v>86</v>
      </c>
      <c r="G187" s="2" t="s">
        <v>2222</v>
      </c>
      <c r="H187" s="2" t="s">
        <v>2223</v>
      </c>
      <c r="I187" s="2" t="s">
        <v>2224</v>
      </c>
      <c r="J187" s="2" t="s">
        <v>91</v>
      </c>
      <c r="K187" s="2" t="s">
        <v>91</v>
      </c>
      <c r="L187" s="2" t="s">
        <v>91</v>
      </c>
      <c r="M187" s="2" t="s">
        <v>2225</v>
      </c>
      <c r="N187" s="2" t="s">
        <v>2226</v>
      </c>
      <c r="O187" s="2" t="s">
        <v>2227</v>
      </c>
      <c r="P187" s="2" t="s">
        <v>2228</v>
      </c>
      <c r="Q187" s="2" t="s">
        <v>2229</v>
      </c>
      <c r="R187" s="2" t="s">
        <v>2230</v>
      </c>
      <c r="S187" s="2" t="s">
        <v>2231</v>
      </c>
      <c r="T187" s="2" t="s">
        <v>2232</v>
      </c>
      <c r="U187" s="2" t="s">
        <v>56</v>
      </c>
      <c r="V187" s="2" t="n">
        <v>2</v>
      </c>
    </row>
    <row r="188">
      <c r="A188" s="2" t="n">
        <v>187</v>
      </c>
      <c r="B188" s="2" t="s">
        <v>2233</v>
      </c>
      <c r="C188" s="2" t="n">
        <v>203.080194699</v>
      </c>
      <c r="D188" s="2" t="n">
        <v>3.09304592590553</v>
      </c>
      <c r="E188" s="2" t="s">
        <v>2234</v>
      </c>
      <c r="F188" s="2" t="s">
        <v>531</v>
      </c>
      <c r="G188" s="2" t="s">
        <v>2235</v>
      </c>
      <c r="H188" s="2" t="s">
        <v>2236</v>
      </c>
      <c r="I188" s="2" t="s">
        <v>2237</v>
      </c>
      <c r="J188" s="2" t="s">
        <v>2238</v>
      </c>
      <c r="K188" s="2" t="s">
        <v>91</v>
      </c>
      <c r="L188" s="2" t="s">
        <v>91</v>
      </c>
      <c r="M188" s="2" t="s">
        <v>91</v>
      </c>
      <c r="N188" s="2" t="s">
        <v>2239</v>
      </c>
      <c r="O188" s="2" t="s">
        <v>91</v>
      </c>
      <c r="P188" s="2" t="s">
        <v>2240</v>
      </c>
      <c r="Q188" s="2" t="s">
        <v>2241</v>
      </c>
      <c r="R188" s="2" t="s">
        <v>2242</v>
      </c>
      <c r="S188" s="2" t="s">
        <v>2243</v>
      </c>
      <c r="T188" s="2" t="s">
        <v>2244</v>
      </c>
      <c r="U188" s="2" t="s">
        <v>29</v>
      </c>
      <c r="V188" s="2" t="n">
        <v>2</v>
      </c>
    </row>
    <row r="189">
      <c r="A189" s="2" t="n">
        <v>188</v>
      </c>
      <c r="B189" s="2" t="s">
        <v>2245</v>
      </c>
      <c r="C189" s="2" t="n">
        <v>203.101045658</v>
      </c>
      <c r="D189" s="2" t="n">
        <v>8.37563058614628</v>
      </c>
      <c r="E189" s="2" t="s">
        <v>2246</v>
      </c>
      <c r="F189" s="2" t="s">
        <v>683</v>
      </c>
      <c r="G189" s="2" t="s">
        <v>2247</v>
      </c>
      <c r="H189" s="2" t="s">
        <v>2248</v>
      </c>
      <c r="I189" s="2" t="s">
        <v>2249</v>
      </c>
      <c r="J189" s="2" t="s">
        <v>2250</v>
      </c>
      <c r="K189" s="2" t="s">
        <v>29</v>
      </c>
      <c r="L189" s="2" t="s">
        <v>29</v>
      </c>
      <c r="M189" s="2" t="s">
        <v>29</v>
      </c>
      <c r="N189" s="2" t="s">
        <v>2251</v>
      </c>
      <c r="O189" s="2" t="s">
        <v>29</v>
      </c>
      <c r="P189" s="2" t="s">
        <v>2252</v>
      </c>
      <c r="Q189" s="2" t="s">
        <v>2253</v>
      </c>
      <c r="R189" s="2" t="s">
        <v>601</v>
      </c>
      <c r="S189" s="2" t="s">
        <v>602</v>
      </c>
      <c r="T189" s="2" t="s">
        <v>2254</v>
      </c>
      <c r="U189" s="2" t="s">
        <v>29</v>
      </c>
      <c r="V189" s="2" t="n">
        <v>1</v>
      </c>
    </row>
    <row r="190">
      <c r="A190" s="2" t="n">
        <v>189</v>
      </c>
      <c r="B190" s="2" t="s">
        <v>2255</v>
      </c>
      <c r="C190" s="2" t="n">
        <v>203.180524768</v>
      </c>
      <c r="D190" s="2" t="n">
        <v>15.8585597523511</v>
      </c>
      <c r="E190" s="2" t="s">
        <v>2256</v>
      </c>
      <c r="F190" s="2" t="s">
        <v>24</v>
      </c>
      <c r="G190" s="2" t="s">
        <v>2257</v>
      </c>
      <c r="H190" s="2" t="s">
        <v>2258</v>
      </c>
      <c r="I190" s="2" t="s">
        <v>2259</v>
      </c>
      <c r="J190" s="2" t="s">
        <v>2260</v>
      </c>
      <c r="K190" s="2" t="s">
        <v>2261</v>
      </c>
      <c r="L190" s="2" t="s">
        <v>2262</v>
      </c>
      <c r="M190" s="2" t="s">
        <v>2263</v>
      </c>
      <c r="N190" s="2" t="s">
        <v>2264</v>
      </c>
      <c r="O190" s="2" t="s">
        <v>2265</v>
      </c>
      <c r="P190" s="2" t="s">
        <v>2266</v>
      </c>
      <c r="Q190" s="2" t="s">
        <v>2267</v>
      </c>
      <c r="R190" s="2" t="s">
        <v>255</v>
      </c>
      <c r="S190" s="2" t="s">
        <v>1728</v>
      </c>
      <c r="T190" s="2" t="s">
        <v>2268</v>
      </c>
      <c r="U190" s="2" t="s">
        <v>56</v>
      </c>
      <c r="V190" s="2" t="n">
        <v>3</v>
      </c>
    </row>
    <row r="191">
      <c r="A191" s="2" t="n">
        <v>190</v>
      </c>
      <c r="B191" s="2" t="s">
        <v>2269</v>
      </c>
      <c r="C191" s="2" t="n">
        <v>205.020785642</v>
      </c>
      <c r="D191" s="2" t="n">
        <v>3.94993345495871</v>
      </c>
      <c r="E191" s="2" t="s">
        <v>2270</v>
      </c>
      <c r="F191" s="2" t="s">
        <v>86</v>
      </c>
      <c r="G191" s="2" t="s">
        <v>2271</v>
      </c>
      <c r="H191" s="2" t="s">
        <v>2272</v>
      </c>
      <c r="I191" s="2" t="s">
        <v>2273</v>
      </c>
      <c r="J191" s="2" t="s">
        <v>2274</v>
      </c>
      <c r="K191" s="2" t="s">
        <v>29</v>
      </c>
      <c r="L191" s="2" t="s">
        <v>2275</v>
      </c>
      <c r="M191" s="2" t="s">
        <v>2276</v>
      </c>
      <c r="N191" s="2" t="s">
        <v>2277</v>
      </c>
      <c r="O191" s="2" t="s">
        <v>2278</v>
      </c>
      <c r="P191" s="2" t="s">
        <v>2279</v>
      </c>
      <c r="Q191" s="2" t="s">
        <v>2280</v>
      </c>
      <c r="R191" s="2" t="s">
        <v>114</v>
      </c>
      <c r="S191" s="2" t="s">
        <v>369</v>
      </c>
      <c r="T191" s="2" t="s">
        <v>370</v>
      </c>
      <c r="U191" s="2" t="s">
        <v>101</v>
      </c>
      <c r="V191" s="2" t="n">
        <v>1</v>
      </c>
    </row>
    <row r="192">
      <c r="A192" s="2" t="n">
        <v>191</v>
      </c>
      <c r="B192" s="2" t="s">
        <v>2281</v>
      </c>
      <c r="C192" s="2" t="n">
        <v>205.05380033</v>
      </c>
      <c r="D192" s="2" t="n">
        <v>1.86283470369872</v>
      </c>
      <c r="E192" s="2" t="s">
        <v>2282</v>
      </c>
      <c r="F192" s="2" t="s">
        <v>86</v>
      </c>
      <c r="G192" s="2" t="s">
        <v>2283</v>
      </c>
      <c r="H192" s="2" t="s">
        <v>2284</v>
      </c>
      <c r="I192" s="2" t="s">
        <v>2285</v>
      </c>
      <c r="J192" s="2" t="s">
        <v>2286</v>
      </c>
      <c r="K192" s="2" t="s">
        <v>29</v>
      </c>
      <c r="L192" s="2" t="s">
        <v>29</v>
      </c>
      <c r="M192" s="2" t="s">
        <v>29</v>
      </c>
      <c r="N192" s="2" t="s">
        <v>2287</v>
      </c>
      <c r="O192" s="2" t="s">
        <v>2288</v>
      </c>
      <c r="P192" s="2" t="s">
        <v>2289</v>
      </c>
      <c r="Q192" s="2" t="s">
        <v>2290</v>
      </c>
      <c r="R192" s="2" t="s">
        <v>114</v>
      </c>
      <c r="S192" s="2" t="s">
        <v>936</v>
      </c>
      <c r="T192" s="2" t="s">
        <v>2291</v>
      </c>
      <c r="U192" s="2" t="s">
        <v>56</v>
      </c>
      <c r="V192" s="2" t="n">
        <v>1</v>
      </c>
    </row>
    <row r="193">
      <c r="A193" s="2" t="n">
        <v>192</v>
      </c>
      <c r="B193" s="2" t="s">
        <v>2292</v>
      </c>
      <c r="C193" s="2" t="n">
        <v>205.159789326</v>
      </c>
      <c r="D193" s="2" t="n">
        <v>10.0424408055429</v>
      </c>
      <c r="E193" s="2" t="s">
        <v>2293</v>
      </c>
      <c r="F193" s="2" t="s">
        <v>24</v>
      </c>
      <c r="G193" s="2" t="s">
        <v>2294</v>
      </c>
      <c r="H193" s="2" t="s">
        <v>2295</v>
      </c>
      <c r="I193" s="2" t="s">
        <v>2296</v>
      </c>
      <c r="J193" s="2" t="s">
        <v>2297</v>
      </c>
      <c r="K193" s="2" t="s">
        <v>91</v>
      </c>
      <c r="L193" s="2" t="s">
        <v>2298</v>
      </c>
      <c r="M193" s="2" t="s">
        <v>2299</v>
      </c>
      <c r="N193" s="2" t="s">
        <v>2300</v>
      </c>
      <c r="O193" s="2" t="s">
        <v>2301</v>
      </c>
      <c r="P193" s="2" t="s">
        <v>2302</v>
      </c>
      <c r="Q193" s="2" t="s">
        <v>2303</v>
      </c>
      <c r="R193" s="2" t="s">
        <v>2304</v>
      </c>
      <c r="S193" s="2" t="s">
        <v>2305</v>
      </c>
      <c r="T193" s="2" t="s">
        <v>2306</v>
      </c>
      <c r="U193" s="2" t="s">
        <v>56</v>
      </c>
      <c r="V193" s="2" t="n">
        <v>2</v>
      </c>
    </row>
    <row r="194">
      <c r="A194" s="2" t="n">
        <v>193</v>
      </c>
      <c r="B194" s="2" t="s">
        <v>2307</v>
      </c>
      <c r="C194" s="2" t="n">
        <v>205.196174832</v>
      </c>
      <c r="D194" s="2" t="n">
        <v>9.41360890431234</v>
      </c>
      <c r="E194" s="2" t="s">
        <v>2308</v>
      </c>
      <c r="F194" s="2" t="s">
        <v>24</v>
      </c>
      <c r="G194" s="2" t="s">
        <v>2309</v>
      </c>
      <c r="H194" s="2" t="s">
        <v>2310</v>
      </c>
      <c r="I194" s="2" t="s">
        <v>2311</v>
      </c>
      <c r="J194" s="2" t="s">
        <v>29</v>
      </c>
      <c r="K194" s="2" t="s">
        <v>29</v>
      </c>
      <c r="L194" s="2" t="s">
        <v>29</v>
      </c>
      <c r="M194" s="2" t="s">
        <v>2312</v>
      </c>
      <c r="N194" s="2" t="s">
        <v>2313</v>
      </c>
      <c r="O194" s="2" t="s">
        <v>29</v>
      </c>
      <c r="P194" s="2" t="s">
        <v>2314</v>
      </c>
      <c r="Q194" s="2" t="s">
        <v>2315</v>
      </c>
      <c r="R194" s="2" t="s">
        <v>794</v>
      </c>
      <c r="S194" s="2" t="s">
        <v>1098</v>
      </c>
      <c r="T194" s="2" t="s">
        <v>1099</v>
      </c>
      <c r="U194" s="2" t="s">
        <v>56</v>
      </c>
      <c r="V194" s="2" t="n">
        <v>1</v>
      </c>
    </row>
    <row r="195">
      <c r="A195" s="2" t="n">
        <v>194</v>
      </c>
      <c r="B195" s="2" t="s">
        <v>2316</v>
      </c>
      <c r="C195" s="2" t="n">
        <v>206.9498205</v>
      </c>
      <c r="D195" s="2" t="n">
        <v>2.39481798454888</v>
      </c>
      <c r="E195" s="2" t="s">
        <v>2317</v>
      </c>
      <c r="F195" s="2" t="s">
        <v>531</v>
      </c>
      <c r="G195" s="2" t="s">
        <v>2318</v>
      </c>
      <c r="H195" s="2" t="s">
        <v>2319</v>
      </c>
      <c r="I195" s="2" t="s">
        <v>2320</v>
      </c>
      <c r="J195" s="2" t="s">
        <v>2321</v>
      </c>
      <c r="K195" s="2" t="s">
        <v>29</v>
      </c>
      <c r="L195" s="2" t="s">
        <v>29</v>
      </c>
      <c r="M195" s="2" t="s">
        <v>29</v>
      </c>
      <c r="N195" s="2" t="s">
        <v>2322</v>
      </c>
      <c r="O195" s="2" t="s">
        <v>29</v>
      </c>
      <c r="P195" s="2" t="s">
        <v>2323</v>
      </c>
      <c r="Q195" s="2" t="s">
        <v>2324</v>
      </c>
      <c r="R195" s="2" t="s">
        <v>114</v>
      </c>
      <c r="S195" s="2" t="s">
        <v>2325</v>
      </c>
      <c r="T195" s="2" t="s">
        <v>215</v>
      </c>
      <c r="U195" s="2" t="s">
        <v>29</v>
      </c>
      <c r="V195" s="2" t="n">
        <v>1</v>
      </c>
    </row>
    <row r="196">
      <c r="A196" s="2" t="n">
        <v>195</v>
      </c>
      <c r="B196" s="2" t="s">
        <v>2326</v>
      </c>
      <c r="C196" s="2" t="n">
        <v>207.014641232</v>
      </c>
      <c r="D196" s="2" t="n">
        <v>1.40831633346172</v>
      </c>
      <c r="E196" s="2" t="s">
        <v>2327</v>
      </c>
      <c r="F196" s="2" t="s">
        <v>24</v>
      </c>
      <c r="G196" s="2" t="s">
        <v>2328</v>
      </c>
      <c r="H196" s="2" t="s">
        <v>2329</v>
      </c>
      <c r="I196" s="2" t="s">
        <v>2330</v>
      </c>
      <c r="J196" s="2" t="s">
        <v>2331</v>
      </c>
      <c r="K196" s="2" t="s">
        <v>29</v>
      </c>
      <c r="L196" s="2" t="s">
        <v>29</v>
      </c>
      <c r="M196" s="2" t="s">
        <v>29</v>
      </c>
      <c r="N196" s="2" t="s">
        <v>2332</v>
      </c>
      <c r="O196" s="2" t="s">
        <v>2333</v>
      </c>
      <c r="P196" s="2" t="s">
        <v>2334</v>
      </c>
      <c r="Q196" s="2" t="s">
        <v>2335</v>
      </c>
      <c r="R196" s="2" t="s">
        <v>36</v>
      </c>
      <c r="S196" s="2" t="s">
        <v>37</v>
      </c>
      <c r="T196" s="2" t="s">
        <v>2336</v>
      </c>
      <c r="U196" s="2" t="s">
        <v>56</v>
      </c>
      <c r="V196" s="2" t="n">
        <v>1</v>
      </c>
    </row>
    <row r="197">
      <c r="A197" s="2" t="n">
        <v>196</v>
      </c>
      <c r="B197" s="2" t="s">
        <v>2337</v>
      </c>
      <c r="C197" s="2" t="n">
        <v>208.001762781</v>
      </c>
      <c r="D197" s="2" t="n">
        <v>2.07622836973589</v>
      </c>
      <c r="E197" s="2" t="s">
        <v>2338</v>
      </c>
      <c r="F197" s="2" t="s">
        <v>218</v>
      </c>
      <c r="G197" s="2" t="s">
        <v>2339</v>
      </c>
      <c r="H197" s="2" t="s">
        <v>2340</v>
      </c>
      <c r="I197" s="2" t="s">
        <v>2341</v>
      </c>
      <c r="J197" s="2" t="s">
        <v>29</v>
      </c>
      <c r="K197" s="2" t="s">
        <v>29</v>
      </c>
      <c r="L197" s="2" t="s">
        <v>2342</v>
      </c>
      <c r="M197" s="2" t="s">
        <v>2343</v>
      </c>
      <c r="N197" s="2" t="s">
        <v>2344</v>
      </c>
      <c r="O197" s="2" t="s">
        <v>2345</v>
      </c>
      <c r="P197" s="2" t="s">
        <v>2346</v>
      </c>
      <c r="Q197" s="2" t="s">
        <v>2347</v>
      </c>
      <c r="R197" s="2" t="s">
        <v>36</v>
      </c>
      <c r="S197" s="2" t="s">
        <v>37</v>
      </c>
      <c r="T197" s="2" t="s">
        <v>69</v>
      </c>
      <c r="U197" s="2" t="s">
        <v>56</v>
      </c>
      <c r="V197" s="2" t="n">
        <v>1</v>
      </c>
    </row>
    <row r="198">
      <c r="A198" s="2" t="n">
        <v>197</v>
      </c>
      <c r="B198" s="2" t="s">
        <v>2348</v>
      </c>
      <c r="C198" s="2" t="n">
        <v>208.0745951</v>
      </c>
      <c r="D198" s="2" t="n">
        <v>0.289201974883931</v>
      </c>
      <c r="E198" s="2" t="s">
        <v>2349</v>
      </c>
      <c r="F198" s="2" t="s">
        <v>24</v>
      </c>
      <c r="G198" s="2" t="s">
        <v>2350</v>
      </c>
      <c r="H198" s="2" t="s">
        <v>2351</v>
      </c>
      <c r="I198" s="2" t="s">
        <v>2352</v>
      </c>
      <c r="J198" s="2" t="s">
        <v>29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29</v>
      </c>
      <c r="P198" s="2" t="s">
        <v>2353</v>
      </c>
      <c r="Q198" s="2" t="s">
        <v>2354</v>
      </c>
      <c r="R198" s="2" t="s">
        <v>36</v>
      </c>
      <c r="S198" s="2" t="s">
        <v>37</v>
      </c>
      <c r="T198" s="2" t="s">
        <v>69</v>
      </c>
      <c r="U198" s="2" t="s">
        <v>29</v>
      </c>
      <c r="V198" s="2" t="n">
        <v>1</v>
      </c>
    </row>
    <row r="199">
      <c r="A199" s="2" t="n">
        <v>198</v>
      </c>
      <c r="B199" s="2" t="s">
        <v>2355</v>
      </c>
      <c r="C199" s="2" t="n">
        <v>208.983459477</v>
      </c>
      <c r="D199" s="2" t="n">
        <v>1.8226084590219</v>
      </c>
      <c r="E199" s="2" t="s">
        <v>2356</v>
      </c>
      <c r="F199" s="2" t="s">
        <v>161</v>
      </c>
      <c r="G199" s="2" t="s">
        <v>2357</v>
      </c>
      <c r="H199" s="2" t="s">
        <v>2358</v>
      </c>
      <c r="I199" s="2" t="s">
        <v>2359</v>
      </c>
      <c r="J199" s="2" t="s">
        <v>2360</v>
      </c>
      <c r="K199" s="2" t="s">
        <v>29</v>
      </c>
      <c r="L199" s="2" t="s">
        <v>2361</v>
      </c>
      <c r="M199" s="2" t="s">
        <v>2362</v>
      </c>
      <c r="N199" s="2" t="s">
        <v>2363</v>
      </c>
      <c r="O199" s="2" t="s">
        <v>2364</v>
      </c>
      <c r="P199" s="2" t="s">
        <v>2365</v>
      </c>
      <c r="Q199" s="2" t="s">
        <v>2366</v>
      </c>
      <c r="R199" s="2" t="s">
        <v>186</v>
      </c>
      <c r="S199" s="2" t="s">
        <v>357</v>
      </c>
      <c r="T199" s="2" t="s">
        <v>1149</v>
      </c>
      <c r="U199" s="2" t="s">
        <v>101</v>
      </c>
      <c r="V199" s="2" t="n">
        <v>1</v>
      </c>
    </row>
    <row r="200">
      <c r="A200" s="2" t="n">
        <v>199</v>
      </c>
      <c r="B200" s="2" t="s">
        <v>2367</v>
      </c>
      <c r="C200" s="2" t="n">
        <v>209.068014206</v>
      </c>
      <c r="D200" s="2" t="n">
        <v>0.178797176494329</v>
      </c>
      <c r="E200" s="2" t="s">
        <v>2368</v>
      </c>
      <c r="F200" s="2" t="s">
        <v>24</v>
      </c>
      <c r="G200" s="2" t="s">
        <v>2369</v>
      </c>
      <c r="H200" s="2" t="s">
        <v>2370</v>
      </c>
      <c r="I200" s="2" t="s">
        <v>2371</v>
      </c>
      <c r="J200" s="2" t="s">
        <v>2372</v>
      </c>
      <c r="K200" s="2" t="s">
        <v>29</v>
      </c>
      <c r="L200" s="2" t="s">
        <v>2373</v>
      </c>
      <c r="M200" s="2" t="s">
        <v>2374</v>
      </c>
      <c r="N200" s="2" t="s">
        <v>2375</v>
      </c>
      <c r="O200" s="2" t="s">
        <v>2376</v>
      </c>
      <c r="P200" s="2" t="s">
        <v>2377</v>
      </c>
      <c r="Q200" s="2" t="s">
        <v>2378</v>
      </c>
      <c r="R200" s="2" t="s">
        <v>114</v>
      </c>
      <c r="S200" s="2" t="s">
        <v>730</v>
      </c>
      <c r="T200" s="2" t="s">
        <v>731</v>
      </c>
      <c r="U200" s="2" t="s">
        <v>56</v>
      </c>
      <c r="V200" s="2" t="n">
        <v>1</v>
      </c>
    </row>
    <row r="201">
      <c r="A201" s="2" t="n">
        <v>200</v>
      </c>
      <c r="B201" s="2" t="s">
        <v>2379</v>
      </c>
      <c r="C201" s="2" t="n">
        <v>209.118318442</v>
      </c>
      <c r="D201" s="2" t="n">
        <v>19.773708057978</v>
      </c>
      <c r="E201" s="2" t="s">
        <v>2380</v>
      </c>
      <c r="F201" s="2" t="s">
        <v>24</v>
      </c>
      <c r="G201" s="2" t="s">
        <v>2381</v>
      </c>
      <c r="H201" s="2" t="s">
        <v>2382</v>
      </c>
      <c r="I201" s="2" t="s">
        <v>2383</v>
      </c>
      <c r="J201" s="2" t="s">
        <v>29</v>
      </c>
      <c r="K201" s="2" t="s">
        <v>2384</v>
      </c>
      <c r="L201" s="2" t="s">
        <v>2385</v>
      </c>
      <c r="M201" s="2" t="s">
        <v>2386</v>
      </c>
      <c r="N201" s="2" t="s">
        <v>2387</v>
      </c>
      <c r="O201" s="2" t="s">
        <v>2388</v>
      </c>
      <c r="P201" s="2" t="s">
        <v>2389</v>
      </c>
      <c r="Q201" s="2" t="s">
        <v>2390</v>
      </c>
      <c r="R201" s="2" t="s">
        <v>794</v>
      </c>
      <c r="S201" s="2" t="s">
        <v>795</v>
      </c>
      <c r="T201" s="2" t="s">
        <v>2391</v>
      </c>
      <c r="U201" s="2" t="s">
        <v>56</v>
      </c>
      <c r="V201" s="2" t="n">
        <v>1</v>
      </c>
    </row>
    <row r="202">
      <c r="A202" s="2" t="n">
        <v>201</v>
      </c>
      <c r="B202" s="2" t="s">
        <v>2392</v>
      </c>
      <c r="C202" s="2" t="n">
        <v>210.052029782</v>
      </c>
      <c r="D202" s="2" t="n">
        <v>1.73211407186297</v>
      </c>
      <c r="E202" s="2" t="s">
        <v>2393</v>
      </c>
      <c r="F202" s="2" t="s">
        <v>24</v>
      </c>
      <c r="G202" s="2" t="s">
        <v>2394</v>
      </c>
      <c r="H202" s="2" t="s">
        <v>2395</v>
      </c>
      <c r="I202" s="2" t="s">
        <v>2396</v>
      </c>
      <c r="J202" s="2" t="s">
        <v>2397</v>
      </c>
      <c r="K202" s="2" t="s">
        <v>29</v>
      </c>
      <c r="L202" s="2" t="s">
        <v>2398</v>
      </c>
      <c r="M202" s="2" t="s">
        <v>2399</v>
      </c>
      <c r="N202" s="2" t="s">
        <v>2400</v>
      </c>
      <c r="O202" s="2" t="s">
        <v>2401</v>
      </c>
      <c r="P202" s="2" t="s">
        <v>2402</v>
      </c>
      <c r="Q202" s="2" t="s">
        <v>2403</v>
      </c>
      <c r="R202" s="2" t="s">
        <v>114</v>
      </c>
      <c r="S202" s="2" t="s">
        <v>936</v>
      </c>
      <c r="T202" s="2" t="s">
        <v>1749</v>
      </c>
      <c r="U202" s="2" t="s">
        <v>101</v>
      </c>
      <c r="V202" s="2" t="n">
        <v>1</v>
      </c>
    </row>
    <row r="203">
      <c r="A203" s="2" t="n">
        <v>202</v>
      </c>
      <c r="B203" s="2" t="s">
        <v>2404</v>
      </c>
      <c r="C203" s="2" t="n">
        <v>210.088415297</v>
      </c>
      <c r="D203" s="2" t="n">
        <v>10.7782312125384</v>
      </c>
      <c r="E203" s="2" t="s">
        <v>2405</v>
      </c>
      <c r="F203" s="2" t="s">
        <v>24</v>
      </c>
      <c r="G203" s="2" t="s">
        <v>2406</v>
      </c>
      <c r="H203" s="2" t="s">
        <v>2407</v>
      </c>
      <c r="I203" s="2" t="s">
        <v>2408</v>
      </c>
      <c r="J203" s="2" t="s">
        <v>2409</v>
      </c>
      <c r="K203" s="2" t="s">
        <v>29</v>
      </c>
      <c r="L203" s="2" t="s">
        <v>2410</v>
      </c>
      <c r="M203" s="2" t="s">
        <v>2411</v>
      </c>
      <c r="N203" s="2" t="s">
        <v>2412</v>
      </c>
      <c r="O203" s="2" t="s">
        <v>2413</v>
      </c>
      <c r="P203" s="2" t="s">
        <v>2414</v>
      </c>
      <c r="Q203" s="2" t="s">
        <v>2415</v>
      </c>
      <c r="R203" s="2" t="s">
        <v>2416</v>
      </c>
      <c r="S203" s="2" t="s">
        <v>2417</v>
      </c>
      <c r="T203" s="2" t="s">
        <v>2418</v>
      </c>
      <c r="U203" s="2" t="s">
        <v>56</v>
      </c>
      <c r="V203" s="2" t="n">
        <v>1</v>
      </c>
    </row>
    <row r="204">
      <c r="A204" s="2" t="n">
        <v>203</v>
      </c>
      <c r="B204" s="2" t="s">
        <v>2419</v>
      </c>
      <c r="C204" s="2" t="n">
        <v>211.001489988</v>
      </c>
      <c r="D204" s="2" t="n">
        <v>2.6296968381188</v>
      </c>
      <c r="E204" s="2" t="s">
        <v>2420</v>
      </c>
      <c r="F204" s="2" t="s">
        <v>86</v>
      </c>
      <c r="G204" s="2" t="s">
        <v>2421</v>
      </c>
      <c r="H204" s="2" t="s">
        <v>2422</v>
      </c>
      <c r="I204" s="2" t="s">
        <v>2423</v>
      </c>
      <c r="J204" s="2" t="s">
        <v>2424</v>
      </c>
      <c r="K204" s="2" t="s">
        <v>29</v>
      </c>
      <c r="L204" s="2" t="s">
        <v>2425</v>
      </c>
      <c r="M204" s="2" t="s">
        <v>2426</v>
      </c>
      <c r="N204" s="2" t="s">
        <v>2427</v>
      </c>
      <c r="O204" s="2" t="s">
        <v>2428</v>
      </c>
      <c r="P204" s="2" t="s">
        <v>2429</v>
      </c>
      <c r="Q204" s="2" t="s">
        <v>2430</v>
      </c>
      <c r="R204" s="2" t="s">
        <v>114</v>
      </c>
      <c r="S204" s="2" t="s">
        <v>115</v>
      </c>
      <c r="T204" s="2" t="s">
        <v>116</v>
      </c>
      <c r="U204" s="2" t="s">
        <v>39</v>
      </c>
      <c r="V204" s="2" t="n">
        <v>1</v>
      </c>
    </row>
    <row r="205">
      <c r="A205" s="2" t="n">
        <v>204</v>
      </c>
      <c r="B205" s="2" t="s">
        <v>2431</v>
      </c>
      <c r="C205" s="2" t="n">
        <v>211.083664262</v>
      </c>
      <c r="D205" s="2" t="n">
        <v>1.7459314744163</v>
      </c>
      <c r="E205" s="2" t="s">
        <v>2432</v>
      </c>
      <c r="F205" s="2" t="s">
        <v>24</v>
      </c>
      <c r="G205" s="2" t="s">
        <v>2433</v>
      </c>
      <c r="H205" s="2" t="s">
        <v>2434</v>
      </c>
      <c r="I205" s="2" t="s">
        <v>2435</v>
      </c>
      <c r="J205" s="2" t="s">
        <v>2436</v>
      </c>
      <c r="K205" s="2" t="s">
        <v>91</v>
      </c>
      <c r="L205" s="2" t="s">
        <v>91</v>
      </c>
      <c r="M205" s="2" t="s">
        <v>2437</v>
      </c>
      <c r="N205" s="2" t="s">
        <v>2438</v>
      </c>
      <c r="O205" s="2" t="s">
        <v>2439</v>
      </c>
      <c r="P205" s="2" t="s">
        <v>2440</v>
      </c>
      <c r="Q205" s="2" t="s">
        <v>2441</v>
      </c>
      <c r="R205" s="2" t="s">
        <v>144</v>
      </c>
      <c r="S205" s="2" t="s">
        <v>145</v>
      </c>
      <c r="T205" s="2" t="s">
        <v>146</v>
      </c>
      <c r="U205" s="2" t="s">
        <v>56</v>
      </c>
      <c r="V205" s="2" t="n">
        <v>2</v>
      </c>
    </row>
    <row r="206">
      <c r="A206" s="2" t="n">
        <v>205</v>
      </c>
      <c r="B206" s="2" t="s">
        <v>2442</v>
      </c>
      <c r="C206" s="2" t="n">
        <v>211.170349704</v>
      </c>
      <c r="D206" s="2" t="n">
        <v>11.633541071042</v>
      </c>
      <c r="E206" s="2" t="s">
        <v>2443</v>
      </c>
      <c r="F206" s="2" t="s">
        <v>205</v>
      </c>
      <c r="G206" s="2" t="s">
        <v>2444</v>
      </c>
      <c r="H206" s="2" t="s">
        <v>2445</v>
      </c>
      <c r="I206" s="2" t="s">
        <v>2446</v>
      </c>
      <c r="J206" s="2" t="s">
        <v>2447</v>
      </c>
      <c r="K206" s="2" t="s">
        <v>29</v>
      </c>
      <c r="L206" s="2" t="s">
        <v>29</v>
      </c>
      <c r="M206" s="2" t="s">
        <v>29</v>
      </c>
      <c r="N206" s="2" t="s">
        <v>2448</v>
      </c>
      <c r="O206" s="2" t="s">
        <v>2449</v>
      </c>
      <c r="P206" s="2" t="s">
        <v>2450</v>
      </c>
      <c r="Q206" s="2" t="s">
        <v>2451</v>
      </c>
      <c r="R206" s="2" t="s">
        <v>501</v>
      </c>
      <c r="S206" s="2" t="s">
        <v>502</v>
      </c>
      <c r="T206" s="2" t="s">
        <v>503</v>
      </c>
      <c r="U206" s="2" t="s">
        <v>56</v>
      </c>
      <c r="V206" s="2" t="n">
        <v>1</v>
      </c>
    </row>
    <row r="207">
      <c r="A207" s="2" t="n">
        <v>206</v>
      </c>
      <c r="B207" s="2" t="s">
        <v>2452</v>
      </c>
      <c r="C207" s="2" t="n">
        <v>212.0267006</v>
      </c>
      <c r="D207" s="2" t="n">
        <v>0.772749542636969</v>
      </c>
      <c r="E207" s="2" t="s">
        <v>2453</v>
      </c>
      <c r="F207" s="2" t="s">
        <v>161</v>
      </c>
      <c r="G207" s="2" t="s">
        <v>2454</v>
      </c>
      <c r="H207" s="2" t="s">
        <v>2455</v>
      </c>
      <c r="I207" s="2" t="s">
        <v>2456</v>
      </c>
      <c r="J207" s="2" t="s">
        <v>2457</v>
      </c>
      <c r="K207" s="2" t="s">
        <v>29</v>
      </c>
      <c r="L207" s="2" t="s">
        <v>29</v>
      </c>
      <c r="M207" s="2" t="s">
        <v>29</v>
      </c>
      <c r="N207" s="2" t="s">
        <v>2458</v>
      </c>
      <c r="O207" s="2" t="s">
        <v>29</v>
      </c>
      <c r="P207" s="2" t="s">
        <v>2459</v>
      </c>
      <c r="Q207" s="2" t="s">
        <v>2460</v>
      </c>
      <c r="R207" s="2" t="s">
        <v>186</v>
      </c>
      <c r="S207" s="2" t="s">
        <v>187</v>
      </c>
      <c r="T207" s="2" t="s">
        <v>2461</v>
      </c>
      <c r="U207" s="2" t="s">
        <v>29</v>
      </c>
      <c r="V207" s="2" t="n">
        <v>1</v>
      </c>
    </row>
    <row r="208">
      <c r="A208" s="2" t="n">
        <v>207</v>
      </c>
      <c r="B208" s="2" t="s">
        <v>2462</v>
      </c>
      <c r="C208" s="2" t="n">
        <v>212.090425031</v>
      </c>
      <c r="D208" s="2" t="n">
        <v>1.68030750412277</v>
      </c>
      <c r="E208" s="2" t="s">
        <v>2463</v>
      </c>
      <c r="F208" s="2" t="s">
        <v>531</v>
      </c>
      <c r="G208" s="2" t="s">
        <v>2464</v>
      </c>
      <c r="H208" s="2" t="s">
        <v>2465</v>
      </c>
      <c r="I208" s="2" t="s">
        <v>2466</v>
      </c>
      <c r="J208" s="2" t="s">
        <v>29</v>
      </c>
      <c r="K208" s="2" t="s">
        <v>29</v>
      </c>
      <c r="L208" s="2" t="s">
        <v>29</v>
      </c>
      <c r="M208" s="2" t="s">
        <v>29</v>
      </c>
      <c r="N208" s="2" t="s">
        <v>2467</v>
      </c>
      <c r="O208" s="2" t="s">
        <v>29</v>
      </c>
      <c r="P208" s="2" t="s">
        <v>2468</v>
      </c>
      <c r="Q208" s="2" t="s">
        <v>2469</v>
      </c>
      <c r="R208" s="2" t="s">
        <v>36</v>
      </c>
      <c r="S208" s="2" t="s">
        <v>37</v>
      </c>
      <c r="T208" s="2" t="s">
        <v>69</v>
      </c>
      <c r="U208" s="2" t="s">
        <v>29</v>
      </c>
      <c r="V208" s="2" t="n">
        <v>1</v>
      </c>
    </row>
    <row r="209">
      <c r="A209" s="2" t="n">
        <v>208</v>
      </c>
      <c r="B209" s="2" t="s">
        <v>2470</v>
      </c>
      <c r="C209" s="2" t="n">
        <v>212.9362413</v>
      </c>
      <c r="D209" s="2" t="n">
        <v>6.44574115832104</v>
      </c>
      <c r="E209" s="2" t="s">
        <v>2471</v>
      </c>
      <c r="F209" s="2" t="s">
        <v>218</v>
      </c>
      <c r="G209" s="2" t="s">
        <v>2472</v>
      </c>
      <c r="H209" s="2" t="s">
        <v>2473</v>
      </c>
      <c r="I209" s="2" t="s">
        <v>2474</v>
      </c>
      <c r="J209" s="2" t="s">
        <v>29</v>
      </c>
      <c r="K209" s="2" t="s">
        <v>29</v>
      </c>
      <c r="L209" s="2" t="s">
        <v>29</v>
      </c>
      <c r="M209" s="2" t="s">
        <v>29</v>
      </c>
      <c r="N209" s="2" t="s">
        <v>2475</v>
      </c>
      <c r="O209" s="2" t="s">
        <v>29</v>
      </c>
      <c r="P209" s="2" t="s">
        <v>2476</v>
      </c>
      <c r="Q209" s="2" t="s">
        <v>2477</v>
      </c>
      <c r="R209" s="2" t="s">
        <v>186</v>
      </c>
      <c r="S209" s="2" t="s">
        <v>357</v>
      </c>
      <c r="T209" s="2" t="s">
        <v>2478</v>
      </c>
      <c r="U209" s="2" t="s">
        <v>29</v>
      </c>
      <c r="V209" s="2" t="n">
        <v>1</v>
      </c>
    </row>
    <row r="210">
      <c r="A210" s="2" t="n">
        <v>209</v>
      </c>
      <c r="B210" s="2" t="s">
        <v>2479</v>
      </c>
      <c r="C210" s="2" t="n">
        <v>212.981622944</v>
      </c>
      <c r="D210" s="2" t="n">
        <v>4.94509990960902</v>
      </c>
      <c r="E210" s="2" t="s">
        <v>2480</v>
      </c>
      <c r="F210" s="2" t="s">
        <v>86</v>
      </c>
      <c r="G210" s="2" t="s">
        <v>2481</v>
      </c>
      <c r="H210" s="2" t="s">
        <v>2482</v>
      </c>
      <c r="I210" s="2" t="s">
        <v>2483</v>
      </c>
      <c r="J210" s="2" t="s">
        <v>2484</v>
      </c>
      <c r="K210" s="2" t="s">
        <v>29</v>
      </c>
      <c r="L210" s="2" t="s">
        <v>29</v>
      </c>
      <c r="M210" s="2" t="s">
        <v>2485</v>
      </c>
      <c r="N210" s="2" t="s">
        <v>2486</v>
      </c>
      <c r="O210" s="2" t="s">
        <v>2487</v>
      </c>
      <c r="P210" s="2" t="s">
        <v>2488</v>
      </c>
      <c r="Q210" s="2" t="s">
        <v>2489</v>
      </c>
      <c r="R210" s="2" t="s">
        <v>644</v>
      </c>
      <c r="S210" s="2" t="s">
        <v>2490</v>
      </c>
      <c r="T210" s="2" t="s">
        <v>2491</v>
      </c>
      <c r="U210" s="2" t="s">
        <v>56</v>
      </c>
      <c r="V210" s="2" t="n">
        <v>1</v>
      </c>
    </row>
    <row r="211">
      <c r="A211" s="2" t="n">
        <v>210</v>
      </c>
      <c r="B211" s="2" t="s">
        <v>2492</v>
      </c>
      <c r="C211" s="2" t="n">
        <v>213.018477195</v>
      </c>
      <c r="D211" s="2" t="n">
        <v>3.13070269949791</v>
      </c>
      <c r="E211" s="2" t="s">
        <v>2493</v>
      </c>
      <c r="F211" s="2" t="s">
        <v>24</v>
      </c>
      <c r="G211" s="2" t="s">
        <v>2494</v>
      </c>
      <c r="H211" s="2" t="s">
        <v>2495</v>
      </c>
      <c r="I211" s="2" t="s">
        <v>2496</v>
      </c>
      <c r="J211" s="2" t="s">
        <v>2497</v>
      </c>
      <c r="K211" s="2" t="s">
        <v>29</v>
      </c>
      <c r="L211" s="2" t="s">
        <v>29</v>
      </c>
      <c r="M211" s="2" t="s">
        <v>2498</v>
      </c>
      <c r="N211" s="2" t="s">
        <v>2499</v>
      </c>
      <c r="O211" s="2" t="s">
        <v>2500</v>
      </c>
      <c r="P211" s="2" t="s">
        <v>2501</v>
      </c>
      <c r="Q211" s="2" t="s">
        <v>2502</v>
      </c>
      <c r="R211" s="2" t="s">
        <v>114</v>
      </c>
      <c r="S211" s="2" t="s">
        <v>730</v>
      </c>
      <c r="T211" s="2" t="s">
        <v>731</v>
      </c>
      <c r="U211" s="2" t="s">
        <v>29</v>
      </c>
      <c r="V211" s="2" t="n">
        <v>1</v>
      </c>
    </row>
    <row r="212">
      <c r="A212" s="2" t="n">
        <v>211</v>
      </c>
      <c r="B212" s="2" t="s">
        <v>2503</v>
      </c>
      <c r="C212" s="2" t="n">
        <v>213.051145114</v>
      </c>
      <c r="D212" s="2" t="n">
        <v>2.76518920079234</v>
      </c>
      <c r="E212" s="2" t="s">
        <v>2504</v>
      </c>
      <c r="F212" s="2" t="s">
        <v>161</v>
      </c>
      <c r="G212" s="2" t="s">
        <v>2505</v>
      </c>
      <c r="H212" s="2" t="s">
        <v>2506</v>
      </c>
      <c r="I212" s="2" t="s">
        <v>2507</v>
      </c>
      <c r="J212" s="2" t="s">
        <v>195</v>
      </c>
      <c r="K212" s="2" t="s">
        <v>195</v>
      </c>
      <c r="L212" s="2" t="s">
        <v>195</v>
      </c>
      <c r="M212" s="2" t="s">
        <v>195</v>
      </c>
      <c r="N212" s="2" t="s">
        <v>2508</v>
      </c>
      <c r="O212" s="2" t="s">
        <v>195</v>
      </c>
      <c r="P212" s="2" t="s">
        <v>2509</v>
      </c>
      <c r="Q212" s="2" t="s">
        <v>2510</v>
      </c>
      <c r="R212" s="2" t="s">
        <v>1558</v>
      </c>
      <c r="S212" s="2" t="s">
        <v>1844</v>
      </c>
      <c r="T212" s="2" t="s">
        <v>1845</v>
      </c>
      <c r="U212" s="2" t="s">
        <v>29</v>
      </c>
      <c r="V212" s="2" t="n">
        <v>3</v>
      </c>
    </row>
    <row r="213">
      <c r="A213" s="2" t="n">
        <v>212</v>
      </c>
      <c r="B213" s="2" t="s">
        <v>2511</v>
      </c>
      <c r="C213" s="2" t="n">
        <v>213.114570467</v>
      </c>
      <c r="D213" s="2" t="n">
        <v>0.831232316108249</v>
      </c>
      <c r="E213" s="2" t="s">
        <v>2512</v>
      </c>
      <c r="F213" s="2" t="s">
        <v>24</v>
      </c>
      <c r="G213" s="2" t="s">
        <v>2513</v>
      </c>
      <c r="H213" s="2" t="s">
        <v>2514</v>
      </c>
      <c r="I213" s="2" t="s">
        <v>2515</v>
      </c>
      <c r="J213" s="2" t="s">
        <v>195</v>
      </c>
      <c r="K213" s="2" t="s">
        <v>195</v>
      </c>
      <c r="L213" s="2" t="s">
        <v>195</v>
      </c>
      <c r="M213" s="2" t="s">
        <v>2516</v>
      </c>
      <c r="N213" s="2" t="s">
        <v>2517</v>
      </c>
      <c r="O213" s="2" t="s">
        <v>195</v>
      </c>
      <c r="P213" s="2" t="s">
        <v>2518</v>
      </c>
      <c r="Q213" s="2" t="s">
        <v>2519</v>
      </c>
      <c r="R213" s="2" t="s">
        <v>2520</v>
      </c>
      <c r="S213" s="2" t="s">
        <v>2521</v>
      </c>
      <c r="T213" s="2" t="s">
        <v>2522</v>
      </c>
      <c r="U213" s="2" t="s">
        <v>29</v>
      </c>
      <c r="V213" s="2" t="n">
        <v>3</v>
      </c>
    </row>
    <row r="214">
      <c r="A214" s="2" t="n">
        <v>213</v>
      </c>
      <c r="B214" s="2" t="s">
        <v>2523</v>
      </c>
      <c r="C214" s="2" t="n">
        <v>213.14961857</v>
      </c>
      <c r="D214" s="2" t="n">
        <v>16.579622188979</v>
      </c>
      <c r="E214" s="2" t="s">
        <v>2524</v>
      </c>
      <c r="F214" s="2" t="s">
        <v>24</v>
      </c>
      <c r="G214" s="2" t="s">
        <v>2525</v>
      </c>
      <c r="H214" s="2" t="s">
        <v>2526</v>
      </c>
      <c r="I214" s="2" t="s">
        <v>2527</v>
      </c>
      <c r="J214" s="2" t="s">
        <v>2528</v>
      </c>
      <c r="K214" s="2" t="s">
        <v>2529</v>
      </c>
      <c r="L214" s="2" t="s">
        <v>2530</v>
      </c>
      <c r="M214" s="2" t="s">
        <v>29</v>
      </c>
      <c r="N214" s="2" t="s">
        <v>2531</v>
      </c>
      <c r="O214" s="2" t="s">
        <v>29</v>
      </c>
      <c r="P214" s="2" t="s">
        <v>2532</v>
      </c>
      <c r="Q214" s="2" t="s">
        <v>2533</v>
      </c>
      <c r="R214" s="2" t="s">
        <v>36</v>
      </c>
      <c r="S214" s="2" t="s">
        <v>271</v>
      </c>
      <c r="T214" s="2" t="s">
        <v>2534</v>
      </c>
      <c r="U214" s="2" t="s">
        <v>56</v>
      </c>
      <c r="V214" s="2" t="n">
        <v>1</v>
      </c>
    </row>
    <row r="215">
      <c r="A215" s="2" t="n">
        <v>214</v>
      </c>
      <c r="B215" s="2" t="s">
        <v>2535</v>
      </c>
      <c r="C215" s="2" t="n">
        <v>214.052109969</v>
      </c>
      <c r="D215" s="2" t="n">
        <v>0.26258400110013</v>
      </c>
      <c r="E215" s="2" t="s">
        <v>2536</v>
      </c>
      <c r="F215" s="2" t="s">
        <v>24</v>
      </c>
      <c r="G215" s="2" t="s">
        <v>2537</v>
      </c>
      <c r="H215" s="2" t="s">
        <v>2538</v>
      </c>
      <c r="I215" s="2" t="s">
        <v>2539</v>
      </c>
      <c r="J215" s="2" t="s">
        <v>195</v>
      </c>
      <c r="K215" s="2" t="s">
        <v>195</v>
      </c>
      <c r="L215" s="2" t="s">
        <v>195</v>
      </c>
      <c r="M215" s="2" t="s">
        <v>195</v>
      </c>
      <c r="N215" s="2" t="s">
        <v>2540</v>
      </c>
      <c r="O215" s="2" t="s">
        <v>195</v>
      </c>
      <c r="P215" s="2" t="s">
        <v>2541</v>
      </c>
      <c r="Q215" s="2" t="s">
        <v>2542</v>
      </c>
      <c r="R215" s="2" t="s">
        <v>1558</v>
      </c>
      <c r="S215" s="2" t="s">
        <v>1844</v>
      </c>
      <c r="T215" s="2" t="s">
        <v>1845</v>
      </c>
      <c r="U215" s="2" t="s">
        <v>29</v>
      </c>
      <c r="V215" s="2" t="n">
        <v>3</v>
      </c>
    </row>
    <row r="216">
      <c r="A216" s="2" t="n">
        <v>215</v>
      </c>
      <c r="B216" s="2" t="s">
        <v>2543</v>
      </c>
      <c r="C216" s="2" t="n">
        <v>215.095665143</v>
      </c>
      <c r="D216" s="2" t="n">
        <v>14.2437330065546</v>
      </c>
      <c r="E216" s="2" t="s">
        <v>2544</v>
      </c>
      <c r="F216" s="2" t="s">
        <v>86</v>
      </c>
      <c r="G216" s="2" t="s">
        <v>2545</v>
      </c>
      <c r="H216" s="2" t="s">
        <v>2546</v>
      </c>
      <c r="I216" s="2" t="s">
        <v>2547</v>
      </c>
      <c r="J216" s="2" t="s">
        <v>2548</v>
      </c>
      <c r="K216" s="2" t="s">
        <v>29</v>
      </c>
      <c r="L216" s="2" t="s">
        <v>2549</v>
      </c>
      <c r="M216" s="2" t="s">
        <v>29</v>
      </c>
      <c r="N216" s="2" t="s">
        <v>2550</v>
      </c>
      <c r="O216" s="2" t="s">
        <v>2551</v>
      </c>
      <c r="P216" s="2" t="s">
        <v>2552</v>
      </c>
      <c r="Q216" s="2" t="s">
        <v>2553</v>
      </c>
      <c r="R216" s="2" t="s">
        <v>114</v>
      </c>
      <c r="S216" s="2" t="s">
        <v>2554</v>
      </c>
      <c r="T216" s="2" t="s">
        <v>2555</v>
      </c>
      <c r="U216" s="2" t="s">
        <v>101</v>
      </c>
      <c r="V216" s="2" t="n">
        <v>1</v>
      </c>
    </row>
    <row r="217">
      <c r="A217" s="2" t="n">
        <v>216</v>
      </c>
      <c r="B217" s="2" t="s">
        <v>2556</v>
      </c>
      <c r="C217" s="2" t="n">
        <v>215.132050652</v>
      </c>
      <c r="D217" s="2" t="n">
        <v>3.45334061669968</v>
      </c>
      <c r="E217" s="2" t="s">
        <v>2557</v>
      </c>
      <c r="F217" s="2" t="s">
        <v>86</v>
      </c>
      <c r="G217" s="2" t="s">
        <v>2558</v>
      </c>
      <c r="H217" s="2" t="s">
        <v>2559</v>
      </c>
      <c r="I217" s="2" t="s">
        <v>2560</v>
      </c>
      <c r="J217" s="2" t="s">
        <v>29</v>
      </c>
      <c r="K217" s="2" t="s">
        <v>29</v>
      </c>
      <c r="L217" s="2" t="s">
        <v>29</v>
      </c>
      <c r="M217" s="2" t="s">
        <v>29</v>
      </c>
      <c r="N217" s="2" t="s">
        <v>2561</v>
      </c>
      <c r="O217" s="2" t="s">
        <v>29</v>
      </c>
      <c r="P217" s="2" t="s">
        <v>2562</v>
      </c>
      <c r="Q217" s="2" t="s">
        <v>2563</v>
      </c>
      <c r="R217" s="2" t="s">
        <v>114</v>
      </c>
      <c r="S217" s="2" t="s">
        <v>172</v>
      </c>
      <c r="T217" s="2" t="s">
        <v>173</v>
      </c>
      <c r="U217" s="2" t="s">
        <v>29</v>
      </c>
      <c r="V217" s="2" t="n">
        <v>1</v>
      </c>
    </row>
    <row r="218">
      <c r="A218" s="2" t="n">
        <v>217</v>
      </c>
      <c r="B218" s="2" t="s">
        <v>2564</v>
      </c>
      <c r="C218" s="2" t="n">
        <v>216.931041435</v>
      </c>
      <c r="D218" s="2" t="n">
        <v>2.31013139568871</v>
      </c>
      <c r="E218" s="2" t="s">
        <v>2565</v>
      </c>
      <c r="F218" s="2" t="s">
        <v>86</v>
      </c>
      <c r="G218" s="2" t="s">
        <v>2566</v>
      </c>
      <c r="H218" s="2" t="s">
        <v>2567</v>
      </c>
      <c r="I218" s="2" t="s">
        <v>2568</v>
      </c>
      <c r="J218" s="2" t="s">
        <v>29</v>
      </c>
      <c r="K218" s="2" t="s">
        <v>29</v>
      </c>
      <c r="L218" s="2" t="s">
        <v>29</v>
      </c>
      <c r="M218" s="2" t="s">
        <v>29</v>
      </c>
      <c r="N218" s="2" t="s">
        <v>2569</v>
      </c>
      <c r="O218" s="2" t="s">
        <v>29</v>
      </c>
      <c r="P218" s="2" t="s">
        <v>2570</v>
      </c>
      <c r="Q218" s="2" t="s">
        <v>2571</v>
      </c>
      <c r="R218" s="2" t="s">
        <v>36</v>
      </c>
      <c r="S218" s="2" t="s">
        <v>2572</v>
      </c>
      <c r="T218" s="2" t="s">
        <v>215</v>
      </c>
      <c r="U218" s="2" t="s">
        <v>29</v>
      </c>
      <c r="V218" s="2" t="n">
        <v>1</v>
      </c>
    </row>
    <row r="219">
      <c r="A219" s="2" t="n">
        <v>218</v>
      </c>
      <c r="B219" s="2" t="s">
        <v>2573</v>
      </c>
      <c r="C219" s="2" t="n">
        <v>217.086163087</v>
      </c>
      <c r="D219" s="2" t="n">
        <v>5.43622747391633</v>
      </c>
      <c r="E219" s="2" t="s">
        <v>2574</v>
      </c>
      <c r="F219" s="2" t="s">
        <v>86</v>
      </c>
      <c r="G219" s="2" t="s">
        <v>2575</v>
      </c>
      <c r="H219" s="2" t="s">
        <v>2576</v>
      </c>
      <c r="I219" s="2" t="s">
        <v>2577</v>
      </c>
      <c r="J219" s="2" t="s">
        <v>29</v>
      </c>
      <c r="K219" s="2" t="s">
        <v>29</v>
      </c>
      <c r="L219" s="2" t="s">
        <v>29</v>
      </c>
      <c r="M219" s="2" t="s">
        <v>2578</v>
      </c>
      <c r="N219" s="2" t="s">
        <v>2579</v>
      </c>
      <c r="O219" s="2" t="s">
        <v>29</v>
      </c>
      <c r="P219" s="2" t="s">
        <v>2580</v>
      </c>
      <c r="Q219" s="2" t="s">
        <v>2581</v>
      </c>
      <c r="R219" s="2" t="s">
        <v>114</v>
      </c>
      <c r="S219" s="2" t="s">
        <v>172</v>
      </c>
      <c r="T219" s="2" t="s">
        <v>173</v>
      </c>
      <c r="U219" s="2" t="s">
        <v>29</v>
      </c>
      <c r="V219" s="2" t="n">
        <v>1</v>
      </c>
    </row>
    <row r="220">
      <c r="A220" s="2" t="n">
        <v>219</v>
      </c>
      <c r="B220" s="2" t="s">
        <v>2582</v>
      </c>
      <c r="C220" s="2" t="n">
        <v>217.119381068</v>
      </c>
      <c r="D220" s="2" t="n">
        <v>0.432353701997277</v>
      </c>
      <c r="E220" s="2" t="s">
        <v>2583</v>
      </c>
      <c r="F220" s="2" t="s">
        <v>24</v>
      </c>
      <c r="G220" s="2" t="s">
        <v>2584</v>
      </c>
      <c r="H220" s="2" t="s">
        <v>2585</v>
      </c>
      <c r="I220" s="2" t="s">
        <v>2586</v>
      </c>
      <c r="J220" s="2" t="s">
        <v>91</v>
      </c>
      <c r="K220" s="2" t="s">
        <v>91</v>
      </c>
      <c r="L220" s="2" t="s">
        <v>91</v>
      </c>
      <c r="M220" s="2" t="s">
        <v>91</v>
      </c>
      <c r="N220" s="2" t="s">
        <v>91</v>
      </c>
      <c r="O220" s="2" t="s">
        <v>2587</v>
      </c>
      <c r="P220" s="2" t="s">
        <v>2588</v>
      </c>
      <c r="Q220" s="2" t="s">
        <v>2589</v>
      </c>
      <c r="R220" s="2" t="s">
        <v>144</v>
      </c>
      <c r="S220" s="2" t="s">
        <v>145</v>
      </c>
      <c r="T220" s="2" t="s">
        <v>146</v>
      </c>
      <c r="U220" s="2" t="s">
        <v>39</v>
      </c>
      <c r="V220" s="2" t="n">
        <v>2</v>
      </c>
    </row>
    <row r="221">
      <c r="A221" s="2" t="n">
        <v>220</v>
      </c>
      <c r="B221" s="2" t="s">
        <v>2590</v>
      </c>
      <c r="C221" s="2" t="n">
        <v>217.144533188</v>
      </c>
      <c r="D221" s="2" t="n">
        <v>0.287750218626026</v>
      </c>
      <c r="E221" s="2" t="s">
        <v>2591</v>
      </c>
      <c r="F221" s="2" t="s">
        <v>24</v>
      </c>
      <c r="G221" s="2" t="s">
        <v>2592</v>
      </c>
      <c r="H221" s="2" t="s">
        <v>2593</v>
      </c>
      <c r="I221" s="2" t="s">
        <v>2594</v>
      </c>
      <c r="J221" s="2" t="s">
        <v>2595</v>
      </c>
      <c r="K221" s="2" t="s">
        <v>29</v>
      </c>
      <c r="L221" s="2" t="s">
        <v>29</v>
      </c>
      <c r="M221" s="2" t="s">
        <v>2596</v>
      </c>
      <c r="N221" s="2" t="s">
        <v>2597</v>
      </c>
      <c r="O221" s="2" t="s">
        <v>29</v>
      </c>
      <c r="P221" s="2" t="s">
        <v>2598</v>
      </c>
      <c r="Q221" s="2" t="s">
        <v>2599</v>
      </c>
      <c r="R221" s="2" t="s">
        <v>794</v>
      </c>
      <c r="S221" s="2" t="s">
        <v>2600</v>
      </c>
      <c r="T221" s="2" t="s">
        <v>2601</v>
      </c>
      <c r="U221" s="2" t="s">
        <v>29</v>
      </c>
      <c r="V221" s="2" t="n">
        <v>1</v>
      </c>
    </row>
    <row r="222">
      <c r="A222" s="2" t="n">
        <v>221</v>
      </c>
      <c r="B222" s="2" t="s">
        <v>2602</v>
      </c>
      <c r="C222" s="2" t="n">
        <v>218.104734063</v>
      </c>
      <c r="D222" s="2" t="n">
        <v>6.56724199441763</v>
      </c>
      <c r="E222" s="2" t="s">
        <v>2603</v>
      </c>
      <c r="F222" s="2" t="s">
        <v>24</v>
      </c>
      <c r="G222" s="2" t="s">
        <v>2604</v>
      </c>
      <c r="H222" s="2" t="s">
        <v>2605</v>
      </c>
      <c r="I222" s="2" t="s">
        <v>2606</v>
      </c>
      <c r="J222" s="2" t="s">
        <v>2607</v>
      </c>
      <c r="K222" s="2" t="s">
        <v>29</v>
      </c>
      <c r="L222" s="2" t="s">
        <v>2608</v>
      </c>
      <c r="M222" s="2" t="s">
        <v>2609</v>
      </c>
      <c r="N222" s="2" t="s">
        <v>2610</v>
      </c>
      <c r="O222" s="2" t="s">
        <v>2611</v>
      </c>
      <c r="P222" s="2" t="s">
        <v>2612</v>
      </c>
      <c r="Q222" s="2" t="s">
        <v>2613</v>
      </c>
      <c r="R222" s="2" t="s">
        <v>114</v>
      </c>
      <c r="S222" s="2" t="s">
        <v>730</v>
      </c>
      <c r="T222" s="2" t="s">
        <v>731</v>
      </c>
      <c r="U222" s="2" t="s">
        <v>101</v>
      </c>
      <c r="V222" s="2" t="n">
        <v>1</v>
      </c>
    </row>
    <row r="223">
      <c r="A223" s="2" t="n">
        <v>222</v>
      </c>
      <c r="B223" s="2" t="s">
        <v>2614</v>
      </c>
      <c r="C223" s="2" t="n">
        <v>218.996883152</v>
      </c>
      <c r="D223" s="2" t="n">
        <v>0.583421551748603</v>
      </c>
      <c r="E223" s="2" t="s">
        <v>2615</v>
      </c>
      <c r="F223" s="2" t="s">
        <v>24</v>
      </c>
      <c r="G223" s="2" t="s">
        <v>2616</v>
      </c>
      <c r="H223" s="2" t="s">
        <v>2617</v>
      </c>
      <c r="I223" s="2" t="s">
        <v>2618</v>
      </c>
      <c r="J223" s="2" t="s">
        <v>195</v>
      </c>
      <c r="K223" s="2" t="s">
        <v>195</v>
      </c>
      <c r="L223" s="2" t="s">
        <v>195</v>
      </c>
      <c r="M223" s="2" t="s">
        <v>2619</v>
      </c>
      <c r="N223" s="2" t="s">
        <v>2620</v>
      </c>
      <c r="O223" s="2" t="s">
        <v>195</v>
      </c>
      <c r="P223" s="2" t="s">
        <v>2621</v>
      </c>
      <c r="Q223" s="2" t="s">
        <v>2622</v>
      </c>
      <c r="R223" s="2" t="s">
        <v>1558</v>
      </c>
      <c r="S223" s="2" t="s">
        <v>2623</v>
      </c>
      <c r="T223" s="2" t="s">
        <v>2624</v>
      </c>
      <c r="U223" s="2" t="s">
        <v>29</v>
      </c>
      <c r="V223" s="2" t="n">
        <v>3</v>
      </c>
    </row>
    <row r="224">
      <c r="A224" s="2" t="n">
        <v>223</v>
      </c>
      <c r="B224" s="2" t="s">
        <v>2625</v>
      </c>
      <c r="C224" s="2" t="n">
        <v>219.035861031</v>
      </c>
      <c r="D224" s="2" t="n">
        <v>6.65327171421973</v>
      </c>
      <c r="E224" s="2" t="s">
        <v>2626</v>
      </c>
      <c r="F224" s="2" t="s">
        <v>86</v>
      </c>
      <c r="G224" s="2" t="s">
        <v>2627</v>
      </c>
      <c r="H224" s="2" t="s">
        <v>2628</v>
      </c>
      <c r="I224" s="2" t="s">
        <v>2629</v>
      </c>
      <c r="J224" s="2" t="s">
        <v>2630</v>
      </c>
      <c r="K224" s="2" t="s">
        <v>29</v>
      </c>
      <c r="L224" s="2" t="s">
        <v>2631</v>
      </c>
      <c r="M224" s="2" t="s">
        <v>2632</v>
      </c>
      <c r="N224" s="2" t="s">
        <v>2633</v>
      </c>
      <c r="O224" s="2" t="s">
        <v>2634</v>
      </c>
      <c r="P224" s="2" t="s">
        <v>2635</v>
      </c>
      <c r="Q224" s="2" t="s">
        <v>2636</v>
      </c>
      <c r="R224" s="2" t="s">
        <v>36</v>
      </c>
      <c r="S224" s="2" t="s">
        <v>2572</v>
      </c>
      <c r="T224" s="2" t="s">
        <v>2637</v>
      </c>
      <c r="U224" s="2" t="s">
        <v>56</v>
      </c>
      <c r="V224" s="2" t="n">
        <v>1</v>
      </c>
    </row>
    <row r="225">
      <c r="A225" s="2" t="n">
        <v>224</v>
      </c>
      <c r="B225" s="2" t="s">
        <v>2638</v>
      </c>
      <c r="C225" s="2" t="n">
        <v>219.07751626</v>
      </c>
      <c r="D225" s="2" t="n">
        <v>4.93525340874817</v>
      </c>
      <c r="E225" s="2" t="s">
        <v>2639</v>
      </c>
      <c r="F225" s="2" t="s">
        <v>24</v>
      </c>
      <c r="G225" s="2" t="s">
        <v>2640</v>
      </c>
      <c r="H225" s="2" t="s">
        <v>2641</v>
      </c>
      <c r="I225" s="2" t="s">
        <v>2642</v>
      </c>
      <c r="J225" s="2" t="s">
        <v>29</v>
      </c>
      <c r="K225" s="2" t="s">
        <v>29</v>
      </c>
      <c r="L225" s="2" t="s">
        <v>2643</v>
      </c>
      <c r="M225" s="2" t="s">
        <v>2644</v>
      </c>
      <c r="N225" s="2" t="s">
        <v>2645</v>
      </c>
      <c r="O225" s="2" t="s">
        <v>2646</v>
      </c>
      <c r="P225" s="2" t="s">
        <v>2647</v>
      </c>
      <c r="Q225" s="2" t="s">
        <v>2648</v>
      </c>
      <c r="R225" s="2" t="s">
        <v>114</v>
      </c>
      <c r="S225" s="2" t="s">
        <v>994</v>
      </c>
      <c r="T225" s="2" t="s">
        <v>2649</v>
      </c>
      <c r="U225" s="2" t="s">
        <v>39</v>
      </c>
      <c r="V225" s="2" t="n">
        <v>1</v>
      </c>
    </row>
    <row r="226">
      <c r="A226" s="2" t="n">
        <v>225</v>
      </c>
      <c r="B226" s="2" t="s">
        <v>2650</v>
      </c>
      <c r="C226" s="2" t="n">
        <v>219.139053884</v>
      </c>
      <c r="D226" s="2" t="n">
        <v>2.44729800525263</v>
      </c>
      <c r="E226" s="2" t="s">
        <v>2651</v>
      </c>
      <c r="F226" s="2" t="s">
        <v>24</v>
      </c>
      <c r="G226" s="2" t="s">
        <v>2652</v>
      </c>
      <c r="H226" s="2" t="s">
        <v>2653</v>
      </c>
      <c r="I226" s="2" t="s">
        <v>2654</v>
      </c>
      <c r="J226" s="2" t="s">
        <v>2655</v>
      </c>
      <c r="K226" s="2" t="s">
        <v>2656</v>
      </c>
      <c r="L226" s="2" t="s">
        <v>195</v>
      </c>
      <c r="M226" s="2" t="s">
        <v>195</v>
      </c>
      <c r="N226" s="2" t="s">
        <v>2657</v>
      </c>
      <c r="O226" s="2" t="s">
        <v>2658</v>
      </c>
      <c r="P226" s="2" t="s">
        <v>2659</v>
      </c>
      <c r="Q226" s="2" t="s">
        <v>2660</v>
      </c>
      <c r="R226" s="2" t="s">
        <v>255</v>
      </c>
      <c r="S226" s="2" t="s">
        <v>2661</v>
      </c>
      <c r="T226" s="2" t="s">
        <v>2662</v>
      </c>
      <c r="U226" s="2" t="s">
        <v>29</v>
      </c>
      <c r="V226" s="2" t="n">
        <v>3</v>
      </c>
    </row>
    <row r="227">
      <c r="A227" s="2" t="n">
        <v>226</v>
      </c>
      <c r="B227" s="2" t="s">
        <v>2663</v>
      </c>
      <c r="C227" s="2" t="n">
        <v>220.99302967</v>
      </c>
      <c r="D227" s="2" t="n">
        <v>9.3536057528376</v>
      </c>
      <c r="E227" s="2" t="s">
        <v>2664</v>
      </c>
      <c r="F227" s="2" t="s">
        <v>24</v>
      </c>
      <c r="G227" s="2" t="s">
        <v>2665</v>
      </c>
      <c r="H227" s="2" t="s">
        <v>2666</v>
      </c>
      <c r="I227" s="2" t="s">
        <v>2667</v>
      </c>
      <c r="J227" s="2" t="s">
        <v>2668</v>
      </c>
      <c r="K227" s="2" t="s">
        <v>91</v>
      </c>
      <c r="L227" s="2" t="s">
        <v>2669</v>
      </c>
      <c r="M227" s="2" t="s">
        <v>2670</v>
      </c>
      <c r="N227" s="2" t="s">
        <v>2671</v>
      </c>
      <c r="O227" s="2" t="s">
        <v>2672</v>
      </c>
      <c r="P227" s="2" t="s">
        <v>2673</v>
      </c>
      <c r="Q227" s="2" t="s">
        <v>2674</v>
      </c>
      <c r="R227" s="2" t="s">
        <v>770</v>
      </c>
      <c r="S227" s="2" t="s">
        <v>771</v>
      </c>
      <c r="T227" s="2" t="s">
        <v>2675</v>
      </c>
      <c r="U227" s="2" t="s">
        <v>101</v>
      </c>
      <c r="V227" s="2" t="n">
        <v>2</v>
      </c>
    </row>
    <row r="228">
      <c r="A228" s="2" t="n">
        <v>227</v>
      </c>
      <c r="B228" s="2" t="s">
        <v>2676</v>
      </c>
      <c r="C228" s="2" t="n">
        <v>221.085299446</v>
      </c>
      <c r="D228" s="2" t="n">
        <v>1.9477357497024</v>
      </c>
      <c r="E228" s="2" t="s">
        <v>2677</v>
      </c>
      <c r="F228" s="2" t="s">
        <v>205</v>
      </c>
      <c r="G228" s="2" t="s">
        <v>2678</v>
      </c>
      <c r="H228" s="2" t="s">
        <v>2679</v>
      </c>
      <c r="I228" s="2" t="s">
        <v>2680</v>
      </c>
      <c r="J228" s="2" t="s">
        <v>2681</v>
      </c>
      <c r="K228" s="2" t="s">
        <v>2682</v>
      </c>
      <c r="L228" s="2" t="s">
        <v>195</v>
      </c>
      <c r="M228" s="2" t="s">
        <v>2683</v>
      </c>
      <c r="N228" s="2" t="s">
        <v>2684</v>
      </c>
      <c r="O228" s="2" t="s">
        <v>2685</v>
      </c>
      <c r="P228" s="2" t="s">
        <v>2686</v>
      </c>
      <c r="Q228" s="2" t="s">
        <v>2687</v>
      </c>
      <c r="R228" s="2" t="s">
        <v>2688</v>
      </c>
      <c r="S228" s="2" t="s">
        <v>2689</v>
      </c>
      <c r="T228" s="2" t="s">
        <v>2690</v>
      </c>
      <c r="U228" s="2" t="s">
        <v>29</v>
      </c>
      <c r="V228" s="2" t="n">
        <v>3</v>
      </c>
    </row>
    <row r="229">
      <c r="A229" s="2" t="n">
        <v>228</v>
      </c>
      <c r="B229" s="2" t="s">
        <v>2691</v>
      </c>
      <c r="C229" s="2" t="n">
        <v>221.12168926</v>
      </c>
      <c r="D229" s="2" t="n">
        <v>6.19232543713543</v>
      </c>
      <c r="E229" s="2" t="s">
        <v>2692</v>
      </c>
      <c r="F229" s="2" t="s">
        <v>24</v>
      </c>
      <c r="G229" s="2" t="s">
        <v>2693</v>
      </c>
      <c r="H229" s="2" t="s">
        <v>2694</v>
      </c>
      <c r="I229" s="2" t="s">
        <v>2695</v>
      </c>
      <c r="J229" s="2" t="s">
        <v>2696</v>
      </c>
      <c r="K229" s="2" t="s">
        <v>29</v>
      </c>
      <c r="L229" s="2" t="s">
        <v>29</v>
      </c>
      <c r="M229" s="2" t="s">
        <v>29</v>
      </c>
      <c r="N229" s="2" t="s">
        <v>2697</v>
      </c>
      <c r="O229" s="2" t="s">
        <v>29</v>
      </c>
      <c r="P229" s="2" t="s">
        <v>2698</v>
      </c>
      <c r="Q229" s="2" t="s">
        <v>2699</v>
      </c>
      <c r="R229" s="2" t="s">
        <v>36</v>
      </c>
      <c r="S229" s="2" t="s">
        <v>344</v>
      </c>
      <c r="T229" s="2" t="s">
        <v>345</v>
      </c>
      <c r="U229" s="2" t="s">
        <v>29</v>
      </c>
      <c r="V229" s="2" t="n">
        <v>1</v>
      </c>
    </row>
    <row r="230">
      <c r="A230" s="2" t="n">
        <v>229</v>
      </c>
      <c r="B230" s="2" t="s">
        <v>2700</v>
      </c>
      <c r="C230" s="2" t="n">
        <v>221.154703948</v>
      </c>
      <c r="D230" s="2" t="n">
        <v>6.87712235893068</v>
      </c>
      <c r="E230" s="2" t="s">
        <v>2701</v>
      </c>
      <c r="F230" s="2" t="s">
        <v>24</v>
      </c>
      <c r="G230" s="2" t="s">
        <v>2702</v>
      </c>
      <c r="H230" s="2" t="s">
        <v>2703</v>
      </c>
      <c r="I230" s="2" t="s">
        <v>2704</v>
      </c>
      <c r="J230" s="2" t="s">
        <v>2705</v>
      </c>
      <c r="K230" s="2" t="s">
        <v>91</v>
      </c>
      <c r="L230" s="2" t="s">
        <v>2706</v>
      </c>
      <c r="M230" s="2" t="s">
        <v>91</v>
      </c>
      <c r="N230" s="2" t="s">
        <v>2707</v>
      </c>
      <c r="O230" s="2" t="s">
        <v>2708</v>
      </c>
      <c r="P230" s="2" t="s">
        <v>2709</v>
      </c>
      <c r="Q230" s="2" t="s">
        <v>2710</v>
      </c>
      <c r="R230" s="2" t="s">
        <v>427</v>
      </c>
      <c r="S230" s="2" t="s">
        <v>428</v>
      </c>
      <c r="T230" s="2" t="s">
        <v>429</v>
      </c>
      <c r="U230" s="2" t="s">
        <v>56</v>
      </c>
      <c r="V230" s="2" t="n">
        <v>2</v>
      </c>
    </row>
    <row r="231">
      <c r="A231" s="2" t="n">
        <v>230</v>
      </c>
      <c r="B231" s="2" t="s">
        <v>2711</v>
      </c>
      <c r="C231" s="2" t="n">
        <v>223.100750522</v>
      </c>
      <c r="D231" s="2" t="n">
        <v>4.30317195496595</v>
      </c>
      <c r="E231" s="2" t="s">
        <v>2712</v>
      </c>
      <c r="F231" s="2" t="s">
        <v>86</v>
      </c>
      <c r="G231" s="2" t="s">
        <v>2713</v>
      </c>
      <c r="H231" s="2" t="s">
        <v>2714</v>
      </c>
      <c r="I231" s="2" t="s">
        <v>2715</v>
      </c>
      <c r="J231" s="2" t="s">
        <v>29</v>
      </c>
      <c r="K231" s="2" t="s">
        <v>29</v>
      </c>
      <c r="L231" s="2" t="s">
        <v>2716</v>
      </c>
      <c r="M231" s="2" t="s">
        <v>2717</v>
      </c>
      <c r="N231" s="2" t="s">
        <v>2718</v>
      </c>
      <c r="O231" s="2" t="s">
        <v>2719</v>
      </c>
      <c r="P231" s="2" t="s">
        <v>2720</v>
      </c>
      <c r="Q231" s="2" t="s">
        <v>2721</v>
      </c>
      <c r="R231" s="2" t="s">
        <v>114</v>
      </c>
      <c r="S231" s="2" t="s">
        <v>994</v>
      </c>
      <c r="T231" s="2" t="s">
        <v>2649</v>
      </c>
      <c r="U231" s="2" t="s">
        <v>56</v>
      </c>
      <c r="V231" s="2" t="n">
        <v>1</v>
      </c>
    </row>
    <row r="232">
      <c r="A232" s="2" t="n">
        <v>231</v>
      </c>
      <c r="B232" s="2" t="s">
        <v>2722</v>
      </c>
      <c r="C232" s="2" t="n">
        <v>223.133968506</v>
      </c>
      <c r="D232" s="2" t="n">
        <v>10.9881357877798</v>
      </c>
      <c r="E232" s="2" t="s">
        <v>2723</v>
      </c>
      <c r="F232" s="2" t="s">
        <v>24</v>
      </c>
      <c r="G232" s="2" t="s">
        <v>2724</v>
      </c>
      <c r="H232" s="2" t="s">
        <v>2725</v>
      </c>
      <c r="I232" s="2" t="s">
        <v>2726</v>
      </c>
      <c r="J232" s="2" t="s">
        <v>2727</v>
      </c>
      <c r="K232" s="2" t="s">
        <v>2728</v>
      </c>
      <c r="L232" s="2" t="s">
        <v>2729</v>
      </c>
      <c r="M232" s="2" t="s">
        <v>2730</v>
      </c>
      <c r="N232" s="2" t="s">
        <v>2731</v>
      </c>
      <c r="O232" s="2" t="s">
        <v>2732</v>
      </c>
      <c r="P232" s="2" t="s">
        <v>2733</v>
      </c>
      <c r="Q232" s="2" t="s">
        <v>2734</v>
      </c>
      <c r="R232" s="2" t="s">
        <v>794</v>
      </c>
      <c r="S232" s="2" t="s">
        <v>795</v>
      </c>
      <c r="T232" s="2" t="s">
        <v>2391</v>
      </c>
      <c r="U232" s="2" t="s">
        <v>56</v>
      </c>
      <c r="V232" s="2" t="n">
        <v>1</v>
      </c>
    </row>
    <row r="233">
      <c r="A233" s="2" t="n">
        <v>232</v>
      </c>
      <c r="B233" s="2" t="s">
        <v>2735</v>
      </c>
      <c r="C233" s="2" t="n">
        <v>223.170354012</v>
      </c>
      <c r="D233" s="2" t="n">
        <v>15.4673872968343</v>
      </c>
      <c r="E233" s="2" t="s">
        <v>2736</v>
      </c>
      <c r="F233" s="2" t="s">
        <v>24</v>
      </c>
      <c r="G233" s="2" t="s">
        <v>2737</v>
      </c>
      <c r="H233" s="2" t="s">
        <v>2738</v>
      </c>
      <c r="I233" s="2" t="s">
        <v>2739</v>
      </c>
      <c r="J233" s="2" t="s">
        <v>2740</v>
      </c>
      <c r="K233" s="2" t="s">
        <v>2741</v>
      </c>
      <c r="L233" s="2" t="s">
        <v>195</v>
      </c>
      <c r="M233" s="2" t="s">
        <v>2742</v>
      </c>
      <c r="N233" s="2" t="s">
        <v>2743</v>
      </c>
      <c r="O233" s="2" t="s">
        <v>2744</v>
      </c>
      <c r="P233" s="2" t="s">
        <v>2745</v>
      </c>
      <c r="Q233" s="2" t="s">
        <v>2746</v>
      </c>
      <c r="R233" s="2" t="s">
        <v>255</v>
      </c>
      <c r="S233" s="2" t="s">
        <v>256</v>
      </c>
      <c r="T233" s="2" t="s">
        <v>2747</v>
      </c>
      <c r="U233" s="2" t="s">
        <v>56</v>
      </c>
      <c r="V233" s="2" t="n">
        <v>3</v>
      </c>
    </row>
    <row r="234">
      <c r="A234" s="2" t="n">
        <v>233</v>
      </c>
      <c r="B234" s="2" t="s">
        <v>2748</v>
      </c>
      <c r="C234" s="2" t="n">
        <v>223.9781995</v>
      </c>
      <c r="D234" s="2" t="n">
        <v>7.24417136991532</v>
      </c>
      <c r="E234" s="2" t="s">
        <v>2749</v>
      </c>
      <c r="F234" s="2" t="s">
        <v>531</v>
      </c>
      <c r="G234" s="2" t="s">
        <v>2750</v>
      </c>
      <c r="H234" s="2" t="s">
        <v>2751</v>
      </c>
      <c r="I234" s="2" t="s">
        <v>2752</v>
      </c>
      <c r="J234" s="2" t="s">
        <v>2753</v>
      </c>
      <c r="K234" s="2" t="s">
        <v>29</v>
      </c>
      <c r="L234" s="2" t="s">
        <v>29</v>
      </c>
      <c r="M234" s="2" t="s">
        <v>29</v>
      </c>
      <c r="N234" s="2" t="s">
        <v>2754</v>
      </c>
      <c r="O234" s="2" t="s">
        <v>2755</v>
      </c>
      <c r="P234" s="2" t="s">
        <v>2756</v>
      </c>
      <c r="Q234" s="2" t="s">
        <v>2757</v>
      </c>
      <c r="R234" s="2" t="s">
        <v>601</v>
      </c>
      <c r="S234" s="2" t="s">
        <v>602</v>
      </c>
      <c r="T234" s="2" t="s">
        <v>2758</v>
      </c>
      <c r="U234" s="2" t="s">
        <v>29</v>
      </c>
      <c r="V234" s="2" t="n">
        <v>1</v>
      </c>
    </row>
    <row r="235">
      <c r="A235" s="2" t="n">
        <v>234</v>
      </c>
      <c r="B235" s="2" t="s">
        <v>2759</v>
      </c>
      <c r="C235" s="2" t="n">
        <v>224.031294349</v>
      </c>
      <c r="D235" s="2" t="n">
        <v>0.141306031122848</v>
      </c>
      <c r="E235" s="2" t="s">
        <v>2760</v>
      </c>
      <c r="F235" s="2" t="s">
        <v>24</v>
      </c>
      <c r="G235" s="2" t="s">
        <v>2761</v>
      </c>
      <c r="H235" s="2" t="s">
        <v>2762</v>
      </c>
      <c r="I235" s="2" t="s">
        <v>2763</v>
      </c>
      <c r="J235" s="2" t="s">
        <v>2764</v>
      </c>
      <c r="K235" s="2" t="s">
        <v>29</v>
      </c>
      <c r="L235" s="2" t="s">
        <v>29</v>
      </c>
      <c r="M235" s="2" t="s">
        <v>29</v>
      </c>
      <c r="N235" s="2" t="s">
        <v>2765</v>
      </c>
      <c r="O235" s="2" t="s">
        <v>2766</v>
      </c>
      <c r="P235" s="2" t="s">
        <v>2767</v>
      </c>
      <c r="Q235" s="2" t="s">
        <v>2768</v>
      </c>
      <c r="R235" s="2" t="s">
        <v>186</v>
      </c>
      <c r="S235" s="2" t="s">
        <v>187</v>
      </c>
      <c r="T235" s="2" t="s">
        <v>188</v>
      </c>
      <c r="U235" s="2" t="s">
        <v>56</v>
      </c>
      <c r="V235" s="2" t="n">
        <v>1</v>
      </c>
    </row>
    <row r="236">
      <c r="A236" s="2" t="n">
        <v>235</v>
      </c>
      <c r="B236" s="2" t="s">
        <v>2769</v>
      </c>
      <c r="C236" s="2" t="n">
        <v>224.075073419</v>
      </c>
      <c r="D236" s="2" t="n">
        <v>5.32193393742442</v>
      </c>
      <c r="E236" s="2" t="s">
        <v>2770</v>
      </c>
      <c r="F236" s="2" t="s">
        <v>24</v>
      </c>
      <c r="G236" s="2" t="s">
        <v>2771</v>
      </c>
      <c r="H236" s="2" t="s">
        <v>2772</v>
      </c>
      <c r="I236" s="2" t="s">
        <v>2773</v>
      </c>
      <c r="J236" s="2" t="s">
        <v>2774</v>
      </c>
      <c r="K236" s="2" t="s">
        <v>29</v>
      </c>
      <c r="L236" s="2" t="s">
        <v>2775</v>
      </c>
      <c r="M236" s="2" t="s">
        <v>2776</v>
      </c>
      <c r="N236" s="2" t="s">
        <v>2777</v>
      </c>
      <c r="O236" s="2" t="s">
        <v>2778</v>
      </c>
      <c r="P236" s="2" t="s">
        <v>2779</v>
      </c>
      <c r="Q236" s="2" t="s">
        <v>2780</v>
      </c>
      <c r="R236" s="2" t="s">
        <v>186</v>
      </c>
      <c r="S236" s="2" t="s">
        <v>187</v>
      </c>
      <c r="T236" s="2" t="s">
        <v>2781</v>
      </c>
      <c r="U236" s="2" t="s">
        <v>56</v>
      </c>
      <c r="V236" s="2" t="n">
        <v>1</v>
      </c>
    </row>
    <row r="237">
      <c r="A237" s="2" t="n">
        <v>236</v>
      </c>
      <c r="B237" s="2" t="s">
        <v>2782</v>
      </c>
      <c r="C237" s="2" t="n">
        <v>224.9603852</v>
      </c>
      <c r="D237" s="2" t="n">
        <v>0.256992821456415</v>
      </c>
      <c r="E237" s="2" t="s">
        <v>2783</v>
      </c>
      <c r="F237" s="2" t="s">
        <v>531</v>
      </c>
      <c r="G237" s="2" t="s">
        <v>2784</v>
      </c>
      <c r="H237" s="2" t="s">
        <v>2785</v>
      </c>
      <c r="I237" s="2" t="s">
        <v>2786</v>
      </c>
      <c r="J237" s="2" t="s">
        <v>29</v>
      </c>
      <c r="K237" s="2" t="s">
        <v>29</v>
      </c>
      <c r="L237" s="2" t="s">
        <v>29</v>
      </c>
      <c r="M237" s="2" t="s">
        <v>2787</v>
      </c>
      <c r="N237" s="2" t="s">
        <v>2788</v>
      </c>
      <c r="O237" s="2" t="s">
        <v>29</v>
      </c>
      <c r="P237" s="2" t="s">
        <v>2789</v>
      </c>
      <c r="Q237" s="2" t="s">
        <v>2790</v>
      </c>
      <c r="R237" s="2" t="s">
        <v>186</v>
      </c>
      <c r="S237" s="2" t="s">
        <v>187</v>
      </c>
      <c r="T237" s="2" t="s">
        <v>2791</v>
      </c>
      <c r="U237" s="2" t="s">
        <v>29</v>
      </c>
      <c r="V237" s="2" t="n">
        <v>1</v>
      </c>
    </row>
    <row r="238">
      <c r="A238" s="2" t="n">
        <v>237</v>
      </c>
      <c r="B238" s="2" t="s">
        <v>2792</v>
      </c>
      <c r="C238" s="2" t="n">
        <v>225.0600283</v>
      </c>
      <c r="D238" s="2" t="n">
        <v>8.15004769166958</v>
      </c>
      <c r="E238" s="2" t="s">
        <v>2793</v>
      </c>
      <c r="F238" s="2" t="s">
        <v>24</v>
      </c>
      <c r="G238" s="2" t="s">
        <v>2794</v>
      </c>
      <c r="H238" s="2" t="s">
        <v>2795</v>
      </c>
      <c r="I238" s="2" t="s">
        <v>2796</v>
      </c>
      <c r="J238" s="2" t="s">
        <v>29</v>
      </c>
      <c r="K238" s="2" t="s">
        <v>29</v>
      </c>
      <c r="L238" s="2" t="s">
        <v>29</v>
      </c>
      <c r="M238" s="2" t="s">
        <v>2797</v>
      </c>
      <c r="N238" s="2" t="s">
        <v>2798</v>
      </c>
      <c r="O238" s="2" t="s">
        <v>29</v>
      </c>
      <c r="P238" s="2" t="s">
        <v>2799</v>
      </c>
      <c r="Q238" s="2" t="s">
        <v>2800</v>
      </c>
      <c r="R238" s="2" t="s">
        <v>114</v>
      </c>
      <c r="S238" s="2" t="s">
        <v>994</v>
      </c>
      <c r="T238" s="2" t="s">
        <v>2801</v>
      </c>
      <c r="U238" s="2" t="s">
        <v>29</v>
      </c>
      <c r="V238" s="2" t="n">
        <v>1</v>
      </c>
    </row>
    <row r="239">
      <c r="A239" s="2" t="n">
        <v>238</v>
      </c>
      <c r="B239" s="2" t="s">
        <v>2802</v>
      </c>
      <c r="C239" s="2" t="n">
        <v>225.14961857</v>
      </c>
      <c r="D239" s="2" t="n">
        <v>13.106495123957</v>
      </c>
      <c r="E239" s="2" t="s">
        <v>2803</v>
      </c>
      <c r="F239" s="2" t="s">
        <v>24</v>
      </c>
      <c r="G239" s="2" t="s">
        <v>2804</v>
      </c>
      <c r="H239" s="2" t="s">
        <v>2805</v>
      </c>
      <c r="I239" s="2" t="s">
        <v>2806</v>
      </c>
      <c r="J239" s="2" t="s">
        <v>2807</v>
      </c>
      <c r="K239" s="2" t="s">
        <v>91</v>
      </c>
      <c r="L239" s="2" t="s">
        <v>91</v>
      </c>
      <c r="M239" s="2" t="s">
        <v>2808</v>
      </c>
      <c r="N239" s="2" t="s">
        <v>2809</v>
      </c>
      <c r="O239" s="2" t="s">
        <v>2810</v>
      </c>
      <c r="P239" s="2" t="s">
        <v>2811</v>
      </c>
      <c r="Q239" s="2" t="s">
        <v>2812</v>
      </c>
      <c r="R239" s="2" t="s">
        <v>2813</v>
      </c>
      <c r="S239" s="2" t="s">
        <v>2814</v>
      </c>
      <c r="T239" s="2" t="s">
        <v>2815</v>
      </c>
      <c r="U239" s="2" t="s">
        <v>56</v>
      </c>
      <c r="V239" s="2" t="n">
        <v>2</v>
      </c>
    </row>
    <row r="240">
      <c r="A240" s="2" t="n">
        <v>239</v>
      </c>
      <c r="B240" s="2" t="s">
        <v>2816</v>
      </c>
      <c r="C240" s="2" t="n">
        <v>225.988814862</v>
      </c>
      <c r="D240" s="2" t="n">
        <v>1.4242076541016</v>
      </c>
      <c r="E240" s="2" t="s">
        <v>2817</v>
      </c>
      <c r="F240" s="2" t="s">
        <v>86</v>
      </c>
      <c r="G240" s="2" t="s">
        <v>2818</v>
      </c>
      <c r="H240" s="2" t="s">
        <v>2819</v>
      </c>
      <c r="I240" s="2" t="s">
        <v>2820</v>
      </c>
      <c r="J240" s="2" t="s">
        <v>29</v>
      </c>
      <c r="K240" s="2" t="s">
        <v>29</v>
      </c>
      <c r="L240" s="2" t="s">
        <v>29</v>
      </c>
      <c r="M240" s="2" t="s">
        <v>29</v>
      </c>
      <c r="N240" s="2" t="s">
        <v>2821</v>
      </c>
      <c r="O240" s="2" t="s">
        <v>29</v>
      </c>
      <c r="P240" s="2" t="s">
        <v>2822</v>
      </c>
      <c r="Q240" s="2" t="s">
        <v>2823</v>
      </c>
      <c r="R240" s="2" t="s">
        <v>114</v>
      </c>
      <c r="S240" s="2" t="s">
        <v>936</v>
      </c>
      <c r="T240" s="2" t="s">
        <v>1749</v>
      </c>
      <c r="U240" s="2" t="s">
        <v>29</v>
      </c>
      <c r="V240" s="2" t="n">
        <v>1</v>
      </c>
    </row>
    <row r="241">
      <c r="A241" s="2" t="n">
        <v>240</v>
      </c>
      <c r="B241" s="2" t="s">
        <v>2824</v>
      </c>
      <c r="C241" s="2" t="n">
        <v>226.99640461</v>
      </c>
      <c r="D241" s="2" t="n">
        <v>5.80993525396321</v>
      </c>
      <c r="E241" s="2" t="s">
        <v>2825</v>
      </c>
      <c r="F241" s="2" t="s">
        <v>86</v>
      </c>
      <c r="G241" s="2" t="s">
        <v>2826</v>
      </c>
      <c r="H241" s="2" t="s">
        <v>2827</v>
      </c>
      <c r="I241" s="2" t="s">
        <v>2828</v>
      </c>
      <c r="J241" s="2" t="s">
        <v>2829</v>
      </c>
      <c r="K241" s="2" t="s">
        <v>29</v>
      </c>
      <c r="L241" s="2" t="s">
        <v>2830</v>
      </c>
      <c r="M241" s="2" t="s">
        <v>2831</v>
      </c>
      <c r="N241" s="2" t="s">
        <v>2832</v>
      </c>
      <c r="O241" s="2" t="s">
        <v>2833</v>
      </c>
      <c r="P241" s="2" t="s">
        <v>2834</v>
      </c>
      <c r="Q241" s="2" t="s">
        <v>2835</v>
      </c>
      <c r="R241" s="2" t="s">
        <v>36</v>
      </c>
      <c r="S241" s="2" t="s">
        <v>37</v>
      </c>
      <c r="T241" s="2" t="s">
        <v>2336</v>
      </c>
      <c r="U241" s="2" t="s">
        <v>39</v>
      </c>
      <c r="V241" s="2" t="n">
        <v>1</v>
      </c>
    </row>
    <row r="242">
      <c r="A242" s="2" t="n">
        <v>241</v>
      </c>
      <c r="B242" s="2" t="s">
        <v>2836</v>
      </c>
      <c r="C242" s="2" t="n">
        <v>227.067345504</v>
      </c>
      <c r="D242" s="2" t="n">
        <v>0.790892411427443</v>
      </c>
      <c r="E242" s="2" t="s">
        <v>2837</v>
      </c>
      <c r="F242" s="2" t="s">
        <v>24</v>
      </c>
      <c r="G242" s="2" t="s">
        <v>2838</v>
      </c>
      <c r="H242" s="2" t="s">
        <v>2839</v>
      </c>
      <c r="I242" s="2" t="s">
        <v>2840</v>
      </c>
      <c r="J242" s="2" t="s">
        <v>2841</v>
      </c>
      <c r="K242" s="2" t="s">
        <v>29</v>
      </c>
      <c r="L242" s="2" t="s">
        <v>2842</v>
      </c>
      <c r="M242" s="2" t="s">
        <v>2843</v>
      </c>
      <c r="N242" s="2" t="s">
        <v>2844</v>
      </c>
      <c r="O242" s="2" t="s">
        <v>2845</v>
      </c>
      <c r="P242" s="2" t="s">
        <v>2846</v>
      </c>
      <c r="Q242" s="2" t="s">
        <v>2847</v>
      </c>
      <c r="R242" s="2" t="s">
        <v>2416</v>
      </c>
      <c r="S242" s="2" t="s">
        <v>2417</v>
      </c>
      <c r="T242" s="2" t="s">
        <v>2848</v>
      </c>
      <c r="U242" s="2" t="s">
        <v>56</v>
      </c>
      <c r="V242" s="2" t="n">
        <v>1</v>
      </c>
    </row>
    <row r="243">
      <c r="A243" s="2" t="n">
        <v>242</v>
      </c>
      <c r="B243" s="2" t="s">
        <v>2849</v>
      </c>
      <c r="C243" s="2" t="n">
        <v>227.10373101</v>
      </c>
      <c r="D243" s="2" t="n">
        <v>9.76668893701068</v>
      </c>
      <c r="E243" s="2" t="s">
        <v>2850</v>
      </c>
      <c r="F243" s="2" t="s">
        <v>24</v>
      </c>
      <c r="G243" s="2" t="s">
        <v>2851</v>
      </c>
      <c r="H243" s="2" t="s">
        <v>2852</v>
      </c>
      <c r="I243" s="2" t="s">
        <v>2853</v>
      </c>
      <c r="J243" s="2" t="s">
        <v>2854</v>
      </c>
      <c r="K243" s="2" t="s">
        <v>91</v>
      </c>
      <c r="L243" s="2" t="s">
        <v>91</v>
      </c>
      <c r="M243" s="2" t="s">
        <v>2855</v>
      </c>
      <c r="N243" s="2" t="s">
        <v>2856</v>
      </c>
      <c r="O243" s="2" t="s">
        <v>2857</v>
      </c>
      <c r="P243" s="2" t="s">
        <v>2858</v>
      </c>
      <c r="Q243" s="2" t="s">
        <v>2859</v>
      </c>
      <c r="R243" s="2" t="s">
        <v>144</v>
      </c>
      <c r="S243" s="2" t="s">
        <v>145</v>
      </c>
      <c r="T243" s="2" t="s">
        <v>146</v>
      </c>
      <c r="U243" s="2" t="s">
        <v>56</v>
      </c>
      <c r="V243" s="2" t="n">
        <v>2</v>
      </c>
    </row>
    <row r="244">
      <c r="A244" s="2" t="n">
        <v>243</v>
      </c>
      <c r="B244" s="2" t="s">
        <v>2860</v>
      </c>
      <c r="C244" s="2" t="n">
        <v>227.128883128</v>
      </c>
      <c r="D244" s="2" t="n">
        <v>11.0502621975508</v>
      </c>
      <c r="E244" s="2" t="s">
        <v>2861</v>
      </c>
      <c r="F244" s="2" t="s">
        <v>683</v>
      </c>
      <c r="G244" s="2" t="s">
        <v>2862</v>
      </c>
      <c r="H244" s="2" t="s">
        <v>2863</v>
      </c>
      <c r="I244" s="2" t="s">
        <v>2864</v>
      </c>
      <c r="J244" s="2" t="s">
        <v>2865</v>
      </c>
      <c r="K244" s="2" t="s">
        <v>2866</v>
      </c>
      <c r="L244" s="2" t="s">
        <v>195</v>
      </c>
      <c r="M244" s="2" t="s">
        <v>2867</v>
      </c>
      <c r="N244" s="2" t="s">
        <v>2868</v>
      </c>
      <c r="O244" s="2" t="s">
        <v>2869</v>
      </c>
      <c r="P244" s="2" t="s">
        <v>2870</v>
      </c>
      <c r="Q244" s="2" t="s">
        <v>2871</v>
      </c>
      <c r="R244" s="2" t="s">
        <v>255</v>
      </c>
      <c r="S244" s="2" t="s">
        <v>256</v>
      </c>
      <c r="T244" s="2" t="s">
        <v>257</v>
      </c>
      <c r="U244" s="2" t="s">
        <v>56</v>
      </c>
      <c r="V244" s="2" t="n">
        <v>3</v>
      </c>
    </row>
    <row r="245">
      <c r="A245" s="2" t="n">
        <v>244</v>
      </c>
      <c r="B245" s="2" t="s">
        <v>2872</v>
      </c>
      <c r="C245" s="2" t="n">
        <v>227.164718317</v>
      </c>
      <c r="D245" s="2" t="n">
        <v>4.41227768300846</v>
      </c>
      <c r="E245" s="2" t="s">
        <v>2873</v>
      </c>
      <c r="F245" s="2" t="s">
        <v>161</v>
      </c>
      <c r="G245" s="2" t="s">
        <v>2874</v>
      </c>
      <c r="H245" s="2" t="s">
        <v>2875</v>
      </c>
      <c r="I245" s="2" t="s">
        <v>2876</v>
      </c>
      <c r="J245" s="2" t="s">
        <v>29</v>
      </c>
      <c r="K245" s="2" t="s">
        <v>29</v>
      </c>
      <c r="L245" s="2" t="s">
        <v>29</v>
      </c>
      <c r="M245" s="2" t="s">
        <v>2877</v>
      </c>
      <c r="N245" s="2" t="s">
        <v>2878</v>
      </c>
      <c r="O245" s="2" t="s">
        <v>29</v>
      </c>
      <c r="P245" s="2" t="s">
        <v>2879</v>
      </c>
      <c r="Q245" s="2" t="s">
        <v>2880</v>
      </c>
      <c r="R245" s="2" t="s">
        <v>794</v>
      </c>
      <c r="S245" s="2" t="s">
        <v>2600</v>
      </c>
      <c r="T245" s="2" t="s">
        <v>2601</v>
      </c>
      <c r="U245" s="2" t="s">
        <v>56</v>
      </c>
      <c r="V245" s="2" t="n">
        <v>1</v>
      </c>
    </row>
    <row r="246">
      <c r="A246" s="2" t="n">
        <v>245</v>
      </c>
      <c r="B246" s="2" t="s">
        <v>2881</v>
      </c>
      <c r="C246" s="2" t="n">
        <v>227.20165414</v>
      </c>
      <c r="D246" s="2" t="n">
        <v>12.5778726404266</v>
      </c>
      <c r="E246" s="2" t="s">
        <v>2882</v>
      </c>
      <c r="F246" s="2" t="s">
        <v>24</v>
      </c>
      <c r="G246" s="2" t="s">
        <v>2883</v>
      </c>
      <c r="H246" s="2" t="s">
        <v>2884</v>
      </c>
      <c r="I246" s="2" t="s">
        <v>2885</v>
      </c>
      <c r="J246" s="2" t="s">
        <v>2886</v>
      </c>
      <c r="K246" s="2" t="s">
        <v>2887</v>
      </c>
      <c r="L246" s="2" t="s">
        <v>2888</v>
      </c>
      <c r="M246" s="2" t="s">
        <v>2889</v>
      </c>
      <c r="N246" s="2" t="s">
        <v>2890</v>
      </c>
      <c r="O246" s="2" t="s">
        <v>2891</v>
      </c>
      <c r="P246" s="2" t="s">
        <v>2892</v>
      </c>
      <c r="Q246" s="2" t="s">
        <v>2893</v>
      </c>
      <c r="R246" s="2" t="s">
        <v>794</v>
      </c>
      <c r="S246" s="2" t="s">
        <v>795</v>
      </c>
      <c r="T246" s="2" t="s">
        <v>796</v>
      </c>
      <c r="U246" s="2" t="s">
        <v>39</v>
      </c>
      <c r="V246" s="2" t="n">
        <v>1</v>
      </c>
    </row>
    <row r="247">
      <c r="A247" s="2" t="n">
        <v>246</v>
      </c>
      <c r="B247" s="2" t="s">
        <v>2894</v>
      </c>
      <c r="C247" s="2" t="n">
        <v>227.997217503</v>
      </c>
      <c r="D247" s="2" t="n">
        <v>10.079211268827</v>
      </c>
      <c r="E247" s="2" t="s">
        <v>2895</v>
      </c>
      <c r="F247" s="2" t="s">
        <v>24</v>
      </c>
      <c r="G247" s="2" t="s">
        <v>2896</v>
      </c>
      <c r="H247" s="2" t="s">
        <v>2897</v>
      </c>
      <c r="I247" s="2" t="s">
        <v>2898</v>
      </c>
      <c r="J247" s="2" t="s">
        <v>29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29</v>
      </c>
      <c r="P247" s="2" t="s">
        <v>2899</v>
      </c>
      <c r="Q247" s="2" t="s">
        <v>2900</v>
      </c>
      <c r="R247" s="2" t="s">
        <v>114</v>
      </c>
      <c r="S247" s="2" t="s">
        <v>994</v>
      </c>
      <c r="T247" s="2" t="s">
        <v>1028</v>
      </c>
      <c r="U247" s="2" t="s">
        <v>29</v>
      </c>
      <c r="V247" s="2" t="n">
        <v>1</v>
      </c>
    </row>
    <row r="248">
      <c r="A248" s="2" t="n">
        <v>247</v>
      </c>
      <c r="B248" s="2" t="s">
        <v>2901</v>
      </c>
      <c r="C248" s="2" t="n">
        <v>228.062044151</v>
      </c>
      <c r="D248" s="2" t="n">
        <v>3.72224733696468</v>
      </c>
      <c r="E248" s="2" t="s">
        <v>2902</v>
      </c>
      <c r="F248" s="2" t="s">
        <v>161</v>
      </c>
      <c r="G248" s="2" t="s">
        <v>2903</v>
      </c>
      <c r="H248" s="2" t="s">
        <v>2904</v>
      </c>
      <c r="I248" s="2" t="s">
        <v>2905</v>
      </c>
      <c r="J248" s="2" t="s">
        <v>2906</v>
      </c>
      <c r="K248" s="2" t="s">
        <v>91</v>
      </c>
      <c r="L248" s="2" t="s">
        <v>91</v>
      </c>
      <c r="M248" s="2" t="s">
        <v>2907</v>
      </c>
      <c r="N248" s="2" t="s">
        <v>2908</v>
      </c>
      <c r="O248" s="2" t="s">
        <v>2909</v>
      </c>
      <c r="P248" s="2" t="s">
        <v>2910</v>
      </c>
      <c r="Q248" s="2" t="s">
        <v>2911</v>
      </c>
      <c r="R248" s="2" t="s">
        <v>144</v>
      </c>
      <c r="S248" s="2" t="s">
        <v>145</v>
      </c>
      <c r="T248" s="2" t="s">
        <v>146</v>
      </c>
      <c r="U248" s="2" t="s">
        <v>56</v>
      </c>
      <c r="V248" s="2" t="n">
        <v>2</v>
      </c>
    </row>
    <row r="249">
      <c r="A249" s="2" t="n">
        <v>248</v>
      </c>
      <c r="B249" s="2" t="s">
        <v>2912</v>
      </c>
      <c r="C249" s="2" t="n">
        <v>228.907680966</v>
      </c>
      <c r="D249" s="2" t="n">
        <v>3.99768201254851</v>
      </c>
      <c r="E249" s="2" t="s">
        <v>2913</v>
      </c>
      <c r="F249" s="2" t="s">
        <v>531</v>
      </c>
      <c r="G249" s="2" t="s">
        <v>2914</v>
      </c>
      <c r="H249" s="2" t="s">
        <v>2915</v>
      </c>
      <c r="I249" s="2" t="s">
        <v>2916</v>
      </c>
      <c r="J249" s="2" t="s">
        <v>29</v>
      </c>
      <c r="K249" s="2" t="s">
        <v>29</v>
      </c>
      <c r="L249" s="2" t="s">
        <v>29</v>
      </c>
      <c r="M249" s="2" t="s">
        <v>29</v>
      </c>
      <c r="N249" s="2" t="s">
        <v>2917</v>
      </c>
      <c r="O249" s="2" t="s">
        <v>29</v>
      </c>
      <c r="P249" s="2" t="s">
        <v>2918</v>
      </c>
      <c r="Q249" s="2" t="s">
        <v>2919</v>
      </c>
      <c r="R249" s="2" t="s">
        <v>114</v>
      </c>
      <c r="S249" s="2" t="s">
        <v>115</v>
      </c>
      <c r="T249" s="2" t="s">
        <v>116</v>
      </c>
      <c r="U249" s="2" t="s">
        <v>29</v>
      </c>
      <c r="V249" s="2" t="n">
        <v>1</v>
      </c>
    </row>
    <row r="250">
      <c r="A250" s="2" t="n">
        <v>249</v>
      </c>
      <c r="B250" s="2" t="s">
        <v>2920</v>
      </c>
      <c r="C250" s="2" t="n">
        <v>228.9657729</v>
      </c>
      <c r="D250" s="2" t="n">
        <v>0.0177549635135838</v>
      </c>
      <c r="E250" s="2" t="s">
        <v>2921</v>
      </c>
      <c r="F250" s="2" t="s">
        <v>24</v>
      </c>
      <c r="G250" s="2" t="s">
        <v>2922</v>
      </c>
      <c r="H250" s="2" t="s">
        <v>2923</v>
      </c>
      <c r="I250" s="2" t="s">
        <v>2924</v>
      </c>
      <c r="J250" s="2" t="s">
        <v>2925</v>
      </c>
      <c r="K250" s="2" t="s">
        <v>29</v>
      </c>
      <c r="L250" s="2" t="s">
        <v>29</v>
      </c>
      <c r="M250" s="2" t="s">
        <v>29</v>
      </c>
      <c r="N250" s="2" t="s">
        <v>2926</v>
      </c>
      <c r="O250" s="2" t="s">
        <v>29</v>
      </c>
      <c r="P250" s="2" t="s">
        <v>2927</v>
      </c>
      <c r="Q250" s="2" t="s">
        <v>2928</v>
      </c>
      <c r="R250" s="2" t="s">
        <v>186</v>
      </c>
      <c r="S250" s="2" t="s">
        <v>187</v>
      </c>
      <c r="T250" s="2" t="s">
        <v>1206</v>
      </c>
      <c r="U250" s="2" t="s">
        <v>29</v>
      </c>
      <c r="V250" s="2" t="n">
        <v>1</v>
      </c>
    </row>
    <row r="251">
      <c r="A251" s="2" t="n">
        <v>250</v>
      </c>
      <c r="B251" s="2" t="s">
        <v>2929</v>
      </c>
      <c r="C251" s="2" t="n">
        <v>229.012747689</v>
      </c>
      <c r="D251" s="2" t="n">
        <v>3.27259211892265</v>
      </c>
      <c r="E251" s="2" t="s">
        <v>2930</v>
      </c>
      <c r="F251" s="2" t="s">
        <v>24</v>
      </c>
      <c r="G251" s="2" t="s">
        <v>2931</v>
      </c>
      <c r="H251" s="2" t="s">
        <v>2932</v>
      </c>
      <c r="I251" s="2" t="s">
        <v>2933</v>
      </c>
      <c r="J251" s="2" t="s">
        <v>2934</v>
      </c>
      <c r="K251" s="2" t="s">
        <v>29</v>
      </c>
      <c r="L251" s="2" t="s">
        <v>2935</v>
      </c>
      <c r="M251" s="2" t="s">
        <v>2936</v>
      </c>
      <c r="N251" s="2" t="s">
        <v>2937</v>
      </c>
      <c r="O251" s="2" t="s">
        <v>2938</v>
      </c>
      <c r="P251" s="2" t="s">
        <v>2939</v>
      </c>
      <c r="Q251" s="2" t="s">
        <v>2940</v>
      </c>
      <c r="R251" s="2" t="s">
        <v>1905</v>
      </c>
      <c r="S251" s="2" t="s">
        <v>1906</v>
      </c>
      <c r="T251" s="2" t="s">
        <v>215</v>
      </c>
      <c r="U251" s="2" t="s">
        <v>101</v>
      </c>
      <c r="V251" s="2" t="n">
        <v>1</v>
      </c>
    </row>
    <row r="252">
      <c r="A252" s="2" t="n">
        <v>251</v>
      </c>
      <c r="B252" s="2" t="s">
        <v>2941</v>
      </c>
      <c r="C252" s="2" t="n">
        <v>229.101072686</v>
      </c>
      <c r="D252" s="2" t="n">
        <v>4.20858597898751</v>
      </c>
      <c r="E252" s="2" t="s">
        <v>2942</v>
      </c>
      <c r="F252" s="2" t="s">
        <v>161</v>
      </c>
      <c r="G252" s="2" t="s">
        <v>2943</v>
      </c>
      <c r="H252" s="2" t="s">
        <v>2944</v>
      </c>
      <c r="I252" s="2" t="s">
        <v>2945</v>
      </c>
      <c r="J252" s="2" t="s">
        <v>2946</v>
      </c>
      <c r="K252" s="2" t="s">
        <v>29</v>
      </c>
      <c r="L252" s="2" t="s">
        <v>29</v>
      </c>
      <c r="M252" s="2" t="s">
        <v>2947</v>
      </c>
      <c r="N252" s="2" t="s">
        <v>2948</v>
      </c>
      <c r="O252" s="2" t="s">
        <v>2949</v>
      </c>
      <c r="P252" s="2" t="s">
        <v>2950</v>
      </c>
      <c r="Q252" s="2" t="s">
        <v>2951</v>
      </c>
      <c r="R252" s="2" t="s">
        <v>36</v>
      </c>
      <c r="S252" s="2" t="s">
        <v>37</v>
      </c>
      <c r="T252" s="2" t="s">
        <v>69</v>
      </c>
      <c r="U252" s="2" t="s">
        <v>39</v>
      </c>
      <c r="V252" s="2" t="n">
        <v>1</v>
      </c>
    </row>
    <row r="253">
      <c r="A253" s="2" t="n">
        <v>252</v>
      </c>
      <c r="B253" s="2" t="s">
        <v>2952</v>
      </c>
      <c r="C253" s="2" t="n">
        <v>229.155766576</v>
      </c>
      <c r="D253" s="2" t="n">
        <v>9.2827054700326</v>
      </c>
      <c r="E253" s="2" t="s">
        <v>2953</v>
      </c>
      <c r="F253" s="2" t="s">
        <v>24</v>
      </c>
      <c r="G253" s="2" t="s">
        <v>2954</v>
      </c>
      <c r="H253" s="2" t="s">
        <v>2955</v>
      </c>
      <c r="I253" s="2" t="s">
        <v>2956</v>
      </c>
      <c r="J253" s="2" t="s">
        <v>2957</v>
      </c>
      <c r="K253" s="2" t="s">
        <v>195</v>
      </c>
      <c r="L253" s="2" t="s">
        <v>195</v>
      </c>
      <c r="M253" s="2" t="s">
        <v>2958</v>
      </c>
      <c r="N253" s="2" t="s">
        <v>2959</v>
      </c>
      <c r="O253" s="2" t="s">
        <v>2960</v>
      </c>
      <c r="P253" s="2" t="s">
        <v>2961</v>
      </c>
      <c r="Q253" s="2" t="s">
        <v>2962</v>
      </c>
      <c r="R253" s="2" t="s">
        <v>1558</v>
      </c>
      <c r="S253" s="2" t="s">
        <v>1844</v>
      </c>
      <c r="T253" s="2" t="s">
        <v>1845</v>
      </c>
      <c r="U253" s="2" t="s">
        <v>39</v>
      </c>
      <c r="V253" s="2" t="n">
        <v>3</v>
      </c>
    </row>
    <row r="254">
      <c r="A254" s="2" t="n">
        <v>253</v>
      </c>
      <c r="B254" s="2" t="s">
        <v>2963</v>
      </c>
      <c r="C254" s="2" t="n">
        <v>229.196174837</v>
      </c>
      <c r="D254" s="2" t="n">
        <v>9.32321085072861</v>
      </c>
      <c r="E254" s="2" t="s">
        <v>2964</v>
      </c>
      <c r="F254" s="2" t="s">
        <v>24</v>
      </c>
      <c r="G254" s="2" t="s">
        <v>2965</v>
      </c>
      <c r="H254" s="2" t="s">
        <v>2966</v>
      </c>
      <c r="I254" s="2" t="s">
        <v>2967</v>
      </c>
      <c r="J254" s="2" t="s">
        <v>29</v>
      </c>
      <c r="K254" s="2" t="s">
        <v>29</v>
      </c>
      <c r="L254" s="2" t="s">
        <v>29</v>
      </c>
      <c r="M254" s="2" t="s">
        <v>29</v>
      </c>
      <c r="N254" s="2" t="s">
        <v>2968</v>
      </c>
      <c r="O254" s="2" t="s">
        <v>29</v>
      </c>
      <c r="P254" s="2" t="s">
        <v>2969</v>
      </c>
      <c r="Q254" s="2" t="s">
        <v>2970</v>
      </c>
      <c r="R254" s="2" t="s">
        <v>794</v>
      </c>
      <c r="S254" s="2" t="s">
        <v>2971</v>
      </c>
      <c r="T254" s="2" t="s">
        <v>215</v>
      </c>
      <c r="U254" s="2" t="s">
        <v>29</v>
      </c>
      <c r="V254" s="2" t="n">
        <v>1</v>
      </c>
    </row>
    <row r="255">
      <c r="A255" s="2" t="n">
        <v>254</v>
      </c>
      <c r="B255" s="2" t="s">
        <v>2972</v>
      </c>
      <c r="C255" s="2" t="n">
        <v>230.067011153</v>
      </c>
      <c r="D255" s="2" t="n">
        <v>7.88753581141991</v>
      </c>
      <c r="E255" s="2" t="s">
        <v>2973</v>
      </c>
      <c r="F255" s="2" t="s">
        <v>24</v>
      </c>
      <c r="G255" s="2" t="s">
        <v>2974</v>
      </c>
      <c r="H255" s="2" t="s">
        <v>2975</v>
      </c>
      <c r="I255" s="2" t="s">
        <v>2976</v>
      </c>
      <c r="J255" s="2" t="s">
        <v>2977</v>
      </c>
      <c r="K255" s="2" t="s">
        <v>29</v>
      </c>
      <c r="L255" s="2" t="s">
        <v>2978</v>
      </c>
      <c r="M255" s="2" t="s">
        <v>2979</v>
      </c>
      <c r="N255" s="2" t="s">
        <v>2980</v>
      </c>
      <c r="O255" s="2" t="s">
        <v>29</v>
      </c>
      <c r="P255" s="2" t="s">
        <v>2981</v>
      </c>
      <c r="Q255" s="2" t="s">
        <v>2982</v>
      </c>
      <c r="R255" s="2" t="s">
        <v>36</v>
      </c>
      <c r="S255" s="2" t="s">
        <v>37</v>
      </c>
      <c r="T255" s="2" t="s">
        <v>69</v>
      </c>
      <c r="U255" s="2" t="s">
        <v>56</v>
      </c>
      <c r="V255" s="2" t="n">
        <v>1</v>
      </c>
    </row>
    <row r="256">
      <c r="A256" s="2" t="n">
        <v>255</v>
      </c>
      <c r="B256" s="2" t="s">
        <v>2983</v>
      </c>
      <c r="C256" s="2" t="n">
        <v>230.155038299</v>
      </c>
      <c r="D256" s="2" t="n">
        <v>6.71442795318447</v>
      </c>
      <c r="E256" s="2" t="s">
        <v>2984</v>
      </c>
      <c r="F256" s="2" t="s">
        <v>24</v>
      </c>
      <c r="G256" s="2" t="s">
        <v>2985</v>
      </c>
      <c r="H256" s="2" t="s">
        <v>2986</v>
      </c>
      <c r="I256" s="2" t="s">
        <v>2987</v>
      </c>
      <c r="J256" s="2" t="s">
        <v>2988</v>
      </c>
      <c r="K256" s="2" t="s">
        <v>29</v>
      </c>
      <c r="L256" s="2" t="s">
        <v>29</v>
      </c>
      <c r="M256" s="2" t="s">
        <v>29</v>
      </c>
      <c r="N256" s="2" t="s">
        <v>2989</v>
      </c>
      <c r="O256" s="2" t="s">
        <v>29</v>
      </c>
      <c r="P256" s="2" t="s">
        <v>2990</v>
      </c>
      <c r="Q256" s="2" t="s">
        <v>2991</v>
      </c>
      <c r="R256" s="2" t="s">
        <v>114</v>
      </c>
      <c r="S256" s="2" t="s">
        <v>936</v>
      </c>
      <c r="T256" s="2" t="s">
        <v>2992</v>
      </c>
      <c r="U256" s="2" t="s">
        <v>56</v>
      </c>
      <c r="V256" s="2" t="n">
        <v>1</v>
      </c>
    </row>
    <row r="257">
      <c r="A257" s="2" t="n">
        <v>256</v>
      </c>
      <c r="B257" s="2" t="s">
        <v>2993</v>
      </c>
      <c r="C257" s="2" t="n">
        <v>231.056386888</v>
      </c>
      <c r="D257" s="2" t="n">
        <v>2.02519211563114</v>
      </c>
      <c r="E257" s="2" t="s">
        <v>2994</v>
      </c>
      <c r="F257" s="2" t="s">
        <v>24</v>
      </c>
      <c r="G257" s="2" t="s">
        <v>2995</v>
      </c>
      <c r="H257" s="2" t="s">
        <v>2996</v>
      </c>
      <c r="I257" s="2" t="s">
        <v>2997</v>
      </c>
      <c r="J257" s="2" t="s">
        <v>2998</v>
      </c>
      <c r="K257" s="2" t="s">
        <v>29</v>
      </c>
      <c r="L257" s="2" t="s">
        <v>29</v>
      </c>
      <c r="M257" s="2" t="s">
        <v>29</v>
      </c>
      <c r="N257" s="2" t="s">
        <v>2999</v>
      </c>
      <c r="O257" s="2" t="s">
        <v>3000</v>
      </c>
      <c r="P257" s="2" t="s">
        <v>3001</v>
      </c>
      <c r="Q257" s="2" t="s">
        <v>3002</v>
      </c>
      <c r="R257" s="2" t="s">
        <v>3003</v>
      </c>
      <c r="S257" s="2" t="s">
        <v>3004</v>
      </c>
      <c r="T257" s="2" t="s">
        <v>215</v>
      </c>
      <c r="U257" s="2" t="s">
        <v>56</v>
      </c>
      <c r="V257" s="2" t="n">
        <v>1</v>
      </c>
    </row>
    <row r="258">
      <c r="A258" s="2" t="n">
        <v>257</v>
      </c>
      <c r="B258" s="2" t="s">
        <v>3005</v>
      </c>
      <c r="C258" s="2" t="n">
        <v>231.098645632</v>
      </c>
      <c r="D258" s="2" t="n">
        <v>2.98339208145287</v>
      </c>
      <c r="E258" s="2" t="s">
        <v>3006</v>
      </c>
      <c r="F258" s="2" t="s">
        <v>24</v>
      </c>
      <c r="G258" s="2" t="s">
        <v>3007</v>
      </c>
      <c r="H258" s="2" t="s">
        <v>3008</v>
      </c>
      <c r="I258" s="2" t="s">
        <v>3009</v>
      </c>
      <c r="J258" s="2" t="s">
        <v>29</v>
      </c>
      <c r="K258" s="2" t="s">
        <v>29</v>
      </c>
      <c r="L258" s="2" t="s">
        <v>29</v>
      </c>
      <c r="M258" s="2" t="s">
        <v>29</v>
      </c>
      <c r="N258" s="2" t="s">
        <v>3010</v>
      </c>
      <c r="O258" s="2" t="s">
        <v>29</v>
      </c>
      <c r="P258" s="2" t="s">
        <v>3011</v>
      </c>
      <c r="Q258" s="2" t="s">
        <v>3012</v>
      </c>
      <c r="R258" s="2" t="s">
        <v>36</v>
      </c>
      <c r="S258" s="2" t="s">
        <v>37</v>
      </c>
      <c r="T258" s="2" t="s">
        <v>69</v>
      </c>
      <c r="U258" s="2" t="s">
        <v>39</v>
      </c>
      <c r="V258" s="2" t="n">
        <v>1</v>
      </c>
    </row>
    <row r="259">
      <c r="A259" s="2" t="n">
        <v>258</v>
      </c>
      <c r="B259" s="2" t="s">
        <v>3013</v>
      </c>
      <c r="C259" s="2" t="n">
        <v>232.904414805</v>
      </c>
      <c r="D259" s="2" t="n">
        <v>2.48720894522433</v>
      </c>
      <c r="E259" s="2" t="s">
        <v>3014</v>
      </c>
      <c r="F259" s="2" t="s">
        <v>86</v>
      </c>
      <c r="G259" s="2" t="s">
        <v>3015</v>
      </c>
      <c r="H259" s="2" t="s">
        <v>3016</v>
      </c>
      <c r="I259" s="2" t="s">
        <v>3017</v>
      </c>
      <c r="J259" s="2" t="s">
        <v>3018</v>
      </c>
      <c r="K259" s="2" t="s">
        <v>29</v>
      </c>
      <c r="L259" s="2" t="s">
        <v>29</v>
      </c>
      <c r="M259" s="2" t="s">
        <v>29</v>
      </c>
      <c r="N259" s="2" t="s">
        <v>3019</v>
      </c>
      <c r="O259" s="2" t="s">
        <v>3020</v>
      </c>
      <c r="P259" s="2" t="s">
        <v>3021</v>
      </c>
      <c r="Q259" s="2" t="s">
        <v>3022</v>
      </c>
      <c r="R259" s="2" t="s">
        <v>114</v>
      </c>
      <c r="S259" s="2" t="s">
        <v>3023</v>
      </c>
      <c r="T259" s="2" t="s">
        <v>215</v>
      </c>
      <c r="U259" s="2" t="s">
        <v>29</v>
      </c>
      <c r="V259" s="2" t="n">
        <v>1</v>
      </c>
    </row>
    <row r="260">
      <c r="A260" s="2" t="n">
        <v>259</v>
      </c>
      <c r="B260" s="2" t="s">
        <v>3024</v>
      </c>
      <c r="C260" s="2" t="n">
        <v>232.98542464</v>
      </c>
      <c r="D260" s="2" t="n">
        <v>3.06891237641689</v>
      </c>
      <c r="E260" s="2" t="s">
        <v>3025</v>
      </c>
      <c r="F260" s="2" t="s">
        <v>205</v>
      </c>
      <c r="G260" s="2" t="s">
        <v>3026</v>
      </c>
      <c r="H260" s="2" t="s">
        <v>3027</v>
      </c>
      <c r="I260" s="2" t="s">
        <v>3028</v>
      </c>
      <c r="J260" s="2" t="s">
        <v>3029</v>
      </c>
      <c r="K260" s="2" t="s">
        <v>29</v>
      </c>
      <c r="L260" s="2" t="s">
        <v>29</v>
      </c>
      <c r="M260" s="2" t="s">
        <v>3030</v>
      </c>
      <c r="N260" s="2" t="s">
        <v>3031</v>
      </c>
      <c r="O260" s="2" t="s">
        <v>3032</v>
      </c>
      <c r="P260" s="2" t="s">
        <v>3033</v>
      </c>
      <c r="Q260" s="2" t="s">
        <v>3034</v>
      </c>
      <c r="R260" s="2" t="s">
        <v>213</v>
      </c>
      <c r="S260" s="2" t="s">
        <v>214</v>
      </c>
      <c r="T260" s="2" t="s">
        <v>215</v>
      </c>
      <c r="U260" s="2" t="s">
        <v>29</v>
      </c>
      <c r="V260" s="2" t="n">
        <v>1</v>
      </c>
    </row>
    <row r="261">
      <c r="A261" s="2" t="n">
        <v>260</v>
      </c>
      <c r="B261" s="2" t="s">
        <v>3035</v>
      </c>
      <c r="C261" s="2" t="n">
        <v>233.118318442</v>
      </c>
      <c r="D261" s="2" t="n">
        <v>5.04772314389477</v>
      </c>
      <c r="E261" s="2" t="s">
        <v>3036</v>
      </c>
      <c r="F261" s="2" t="s">
        <v>24</v>
      </c>
      <c r="G261" s="2" t="s">
        <v>3037</v>
      </c>
      <c r="H261" s="2" t="s">
        <v>3038</v>
      </c>
      <c r="I261" s="2" t="s">
        <v>3039</v>
      </c>
      <c r="J261" s="2" t="s">
        <v>3040</v>
      </c>
      <c r="K261" s="2" t="s">
        <v>29</v>
      </c>
      <c r="L261" s="2" t="s">
        <v>29</v>
      </c>
      <c r="M261" s="2" t="s">
        <v>3041</v>
      </c>
      <c r="N261" s="2" t="s">
        <v>3042</v>
      </c>
      <c r="O261" s="2" t="s">
        <v>3043</v>
      </c>
      <c r="P261" s="2" t="s">
        <v>3044</v>
      </c>
      <c r="Q261" s="2" t="s">
        <v>3045</v>
      </c>
      <c r="R261" s="2" t="s">
        <v>186</v>
      </c>
      <c r="S261" s="2" t="s">
        <v>3046</v>
      </c>
      <c r="T261" s="2" t="s">
        <v>3047</v>
      </c>
      <c r="U261" s="2" t="s">
        <v>56</v>
      </c>
      <c r="V261" s="2" t="n">
        <v>1</v>
      </c>
    </row>
    <row r="262">
      <c r="A262" s="2" t="n">
        <v>261</v>
      </c>
      <c r="B262" s="2" t="s">
        <v>3048</v>
      </c>
      <c r="C262" s="2" t="n">
        <v>233.154703948</v>
      </c>
      <c r="D262" s="2" t="n">
        <v>14.8375106811056</v>
      </c>
      <c r="E262" s="2" t="s">
        <v>3049</v>
      </c>
      <c r="F262" s="2" t="s">
        <v>24</v>
      </c>
      <c r="G262" s="2" t="s">
        <v>3050</v>
      </c>
      <c r="H262" s="2" t="s">
        <v>3051</v>
      </c>
      <c r="I262" s="2" t="s">
        <v>3052</v>
      </c>
      <c r="J262" s="2" t="s">
        <v>195</v>
      </c>
      <c r="K262" s="2" t="s">
        <v>195</v>
      </c>
      <c r="L262" s="2" t="s">
        <v>3053</v>
      </c>
      <c r="M262" s="2" t="s">
        <v>3054</v>
      </c>
      <c r="N262" s="2" t="s">
        <v>3055</v>
      </c>
      <c r="O262" s="2" t="s">
        <v>3056</v>
      </c>
      <c r="P262" s="2" t="s">
        <v>3057</v>
      </c>
      <c r="Q262" s="2" t="s">
        <v>3058</v>
      </c>
      <c r="R262" s="2" t="s">
        <v>255</v>
      </c>
      <c r="S262" s="2" t="s">
        <v>1728</v>
      </c>
      <c r="T262" s="2" t="s">
        <v>2268</v>
      </c>
      <c r="U262" s="2" t="s">
        <v>56</v>
      </c>
      <c r="V262" s="2" t="n">
        <v>3</v>
      </c>
    </row>
    <row r="263">
      <c r="A263" s="2" t="n">
        <v>262</v>
      </c>
      <c r="B263" s="2" t="s">
        <v>3059</v>
      </c>
      <c r="C263" s="2" t="n">
        <v>234.067285922</v>
      </c>
      <c r="D263" s="2" t="n">
        <v>2.79133114784735</v>
      </c>
      <c r="E263" s="2" t="s">
        <v>3060</v>
      </c>
      <c r="F263" s="2" t="s">
        <v>24</v>
      </c>
      <c r="G263" s="2" t="s">
        <v>3061</v>
      </c>
      <c r="H263" s="2" t="s">
        <v>3062</v>
      </c>
      <c r="I263" s="2" t="s">
        <v>3063</v>
      </c>
      <c r="J263" s="2" t="s">
        <v>29</v>
      </c>
      <c r="K263" s="2" t="s">
        <v>29</v>
      </c>
      <c r="L263" s="2" t="s">
        <v>29</v>
      </c>
      <c r="M263" s="2" t="s">
        <v>29</v>
      </c>
      <c r="N263" s="2" t="s">
        <v>3064</v>
      </c>
      <c r="O263" s="2" t="s">
        <v>29</v>
      </c>
      <c r="P263" s="2" t="s">
        <v>3065</v>
      </c>
      <c r="Q263" s="2" t="s">
        <v>3066</v>
      </c>
      <c r="R263" s="2" t="s">
        <v>114</v>
      </c>
      <c r="S263" s="2" t="s">
        <v>2057</v>
      </c>
      <c r="T263" s="2" t="s">
        <v>3067</v>
      </c>
      <c r="U263" s="2" t="s">
        <v>29</v>
      </c>
      <c r="V263" s="2" t="n">
        <v>1</v>
      </c>
    </row>
    <row r="264">
      <c r="A264" s="2" t="n">
        <v>263</v>
      </c>
      <c r="B264" s="2" t="s">
        <v>3068</v>
      </c>
      <c r="C264" s="2" t="n">
        <v>235.133968506</v>
      </c>
      <c r="D264" s="2" t="n">
        <v>13.6942730156746</v>
      </c>
      <c r="E264" s="2" t="s">
        <v>3069</v>
      </c>
      <c r="F264" s="2" t="s">
        <v>24</v>
      </c>
      <c r="G264" s="2" t="s">
        <v>3070</v>
      </c>
      <c r="H264" s="2" t="s">
        <v>3071</v>
      </c>
      <c r="I264" s="2" t="s">
        <v>3072</v>
      </c>
      <c r="J264" s="2" t="s">
        <v>3073</v>
      </c>
      <c r="K264" s="2" t="s">
        <v>29</v>
      </c>
      <c r="L264" s="2" t="s">
        <v>29</v>
      </c>
      <c r="M264" s="2" t="s">
        <v>3074</v>
      </c>
      <c r="N264" s="2" t="s">
        <v>3075</v>
      </c>
      <c r="O264" s="2" t="s">
        <v>3076</v>
      </c>
      <c r="P264" s="2" t="s">
        <v>3077</v>
      </c>
      <c r="Q264" s="2" t="s">
        <v>3078</v>
      </c>
      <c r="R264" s="2" t="s">
        <v>794</v>
      </c>
      <c r="S264" s="2" t="s">
        <v>1098</v>
      </c>
      <c r="T264" s="2" t="s">
        <v>3079</v>
      </c>
      <c r="U264" s="2" t="s">
        <v>56</v>
      </c>
      <c r="V264" s="2" t="n">
        <v>1</v>
      </c>
    </row>
    <row r="265">
      <c r="A265" s="2" t="n">
        <v>264</v>
      </c>
      <c r="B265" s="2" t="s">
        <v>3080</v>
      </c>
      <c r="C265" s="2" t="n">
        <v>235.170354012</v>
      </c>
      <c r="D265" s="2" t="n">
        <v>7.67364892725715</v>
      </c>
      <c r="E265" s="2" t="s">
        <v>3081</v>
      </c>
      <c r="F265" s="2" t="s">
        <v>24</v>
      </c>
      <c r="G265" s="2" t="s">
        <v>3082</v>
      </c>
      <c r="H265" s="2" t="s">
        <v>3083</v>
      </c>
      <c r="I265" s="2" t="s">
        <v>3084</v>
      </c>
      <c r="J265" s="2" t="s">
        <v>29</v>
      </c>
      <c r="K265" s="2" t="s">
        <v>29</v>
      </c>
      <c r="L265" s="2" t="s">
        <v>29</v>
      </c>
      <c r="M265" s="2" t="s">
        <v>3085</v>
      </c>
      <c r="N265" s="2" t="s">
        <v>3086</v>
      </c>
      <c r="O265" s="2" t="s">
        <v>3087</v>
      </c>
      <c r="P265" s="2" t="s">
        <v>3088</v>
      </c>
      <c r="Q265" s="2" t="s">
        <v>3089</v>
      </c>
      <c r="R265" s="2" t="s">
        <v>129</v>
      </c>
      <c r="S265" s="2" t="s">
        <v>130</v>
      </c>
      <c r="T265" s="2" t="s">
        <v>131</v>
      </c>
      <c r="U265" s="2" t="s">
        <v>39</v>
      </c>
      <c r="V265" s="2" t="n">
        <v>1</v>
      </c>
    </row>
    <row r="266">
      <c r="A266" s="2" t="n">
        <v>265</v>
      </c>
      <c r="B266" s="2" t="s">
        <v>3090</v>
      </c>
      <c r="C266" s="2" t="n">
        <v>236.023431779</v>
      </c>
      <c r="D266" s="2" t="n">
        <v>14.9203101756269</v>
      </c>
      <c r="E266" s="2" t="s">
        <v>3091</v>
      </c>
      <c r="F266" s="2" t="s">
        <v>24</v>
      </c>
      <c r="G266" s="2" t="s">
        <v>3092</v>
      </c>
      <c r="H266" s="2" t="s">
        <v>3093</v>
      </c>
      <c r="I266" s="2" t="s">
        <v>3094</v>
      </c>
      <c r="J266" s="2" t="s">
        <v>3095</v>
      </c>
      <c r="K266" s="2" t="s">
        <v>29</v>
      </c>
      <c r="L266" s="2" t="s">
        <v>29</v>
      </c>
      <c r="M266" s="2" t="s">
        <v>3096</v>
      </c>
      <c r="N266" s="2" t="s">
        <v>3097</v>
      </c>
      <c r="O266" s="2" t="s">
        <v>3098</v>
      </c>
      <c r="P266" s="2" t="s">
        <v>3099</v>
      </c>
      <c r="Q266" s="2" t="s">
        <v>3100</v>
      </c>
      <c r="R266" s="2" t="s">
        <v>36</v>
      </c>
      <c r="S266" s="2" t="s">
        <v>37</v>
      </c>
      <c r="T266" s="2" t="s">
        <v>69</v>
      </c>
      <c r="U266" s="2" t="s">
        <v>39</v>
      </c>
      <c r="V266" s="2" t="n">
        <v>1</v>
      </c>
    </row>
    <row r="267">
      <c r="A267" s="2" t="n">
        <v>266</v>
      </c>
      <c r="B267" s="2" t="s">
        <v>3101</v>
      </c>
      <c r="C267" s="2" t="n">
        <v>236.080529051</v>
      </c>
      <c r="D267" s="2" t="n">
        <v>1.69408753501655</v>
      </c>
      <c r="E267" s="2" t="s">
        <v>3102</v>
      </c>
      <c r="F267" s="2" t="s">
        <v>531</v>
      </c>
      <c r="G267" s="2" t="s">
        <v>3103</v>
      </c>
      <c r="H267" s="2" t="s">
        <v>3104</v>
      </c>
      <c r="I267" s="2" t="s">
        <v>3105</v>
      </c>
      <c r="J267" s="2" t="s">
        <v>3106</v>
      </c>
      <c r="K267" s="2" t="s">
        <v>29</v>
      </c>
      <c r="L267" s="2" t="s">
        <v>29</v>
      </c>
      <c r="M267" s="2" t="s">
        <v>29</v>
      </c>
      <c r="N267" s="2" t="s">
        <v>3107</v>
      </c>
      <c r="O267" s="2" t="s">
        <v>29</v>
      </c>
      <c r="P267" s="2" t="s">
        <v>3108</v>
      </c>
      <c r="Q267" s="2" t="s">
        <v>3109</v>
      </c>
      <c r="R267" s="2" t="s">
        <v>114</v>
      </c>
      <c r="S267" s="2" t="s">
        <v>3110</v>
      </c>
      <c r="T267" s="2" t="s">
        <v>215</v>
      </c>
      <c r="U267" s="2" t="s">
        <v>29</v>
      </c>
      <c r="V267" s="2" t="n">
        <v>1</v>
      </c>
    </row>
    <row r="268">
      <c r="A268" s="2" t="n">
        <v>267</v>
      </c>
      <c r="B268" s="2" t="s">
        <v>3111</v>
      </c>
      <c r="C268" s="2" t="n">
        <v>236.104065355</v>
      </c>
      <c r="D268" s="2" t="n">
        <v>2.0122541630238</v>
      </c>
      <c r="E268" s="2" t="s">
        <v>3112</v>
      </c>
      <c r="F268" s="2" t="s">
        <v>24</v>
      </c>
      <c r="G268" s="2" t="s">
        <v>3113</v>
      </c>
      <c r="H268" s="2" t="s">
        <v>3114</v>
      </c>
      <c r="I268" s="2" t="s">
        <v>3115</v>
      </c>
      <c r="J268" s="2" t="s">
        <v>29</v>
      </c>
      <c r="K268" s="2" t="s">
        <v>29</v>
      </c>
      <c r="L268" s="2" t="s">
        <v>29</v>
      </c>
      <c r="M268" s="2" t="s">
        <v>29</v>
      </c>
      <c r="N268" s="2" t="s">
        <v>3116</v>
      </c>
      <c r="O268" s="2" t="s">
        <v>29</v>
      </c>
      <c r="P268" s="2" t="s">
        <v>3117</v>
      </c>
      <c r="Q268" s="2" t="s">
        <v>3118</v>
      </c>
      <c r="R268" s="2" t="s">
        <v>36</v>
      </c>
      <c r="S268" s="2" t="s">
        <v>37</v>
      </c>
      <c r="T268" s="2" t="s">
        <v>69</v>
      </c>
      <c r="U268" s="2" t="s">
        <v>29</v>
      </c>
      <c r="V268" s="2" t="n">
        <v>1</v>
      </c>
    </row>
    <row r="269">
      <c r="A269" s="2" t="n">
        <v>268</v>
      </c>
      <c r="B269" s="2" t="s">
        <v>3119</v>
      </c>
      <c r="C269" s="2" t="n">
        <v>236.876705642</v>
      </c>
      <c r="D269" s="2" t="n">
        <v>2.01911096705402</v>
      </c>
      <c r="E269" s="2" t="s">
        <v>3120</v>
      </c>
      <c r="F269" s="2" t="s">
        <v>86</v>
      </c>
      <c r="G269" s="2" t="s">
        <v>3121</v>
      </c>
      <c r="H269" s="2" t="s">
        <v>3122</v>
      </c>
      <c r="I269" s="2" t="s">
        <v>3123</v>
      </c>
      <c r="J269" s="2" t="s">
        <v>3124</v>
      </c>
      <c r="K269" s="2" t="s">
        <v>29</v>
      </c>
      <c r="L269" s="2" t="s">
        <v>29</v>
      </c>
      <c r="M269" s="2" t="s">
        <v>29</v>
      </c>
      <c r="N269" s="2" t="s">
        <v>3125</v>
      </c>
      <c r="O269" s="2" t="s">
        <v>3126</v>
      </c>
      <c r="P269" s="2" t="s">
        <v>3127</v>
      </c>
      <c r="Q269" s="2" t="s">
        <v>3128</v>
      </c>
      <c r="R269" s="2" t="s">
        <v>644</v>
      </c>
      <c r="S269" s="2" t="s">
        <v>3129</v>
      </c>
      <c r="T269" s="2" t="s">
        <v>215</v>
      </c>
      <c r="U269" s="2" t="s">
        <v>29</v>
      </c>
      <c r="V269" s="2" t="n">
        <v>1</v>
      </c>
    </row>
    <row r="270">
      <c r="A270" s="2" t="n">
        <v>269</v>
      </c>
      <c r="B270" s="2" t="s">
        <v>3130</v>
      </c>
      <c r="C270" s="2" t="n">
        <v>237.113233064</v>
      </c>
      <c r="D270" s="2" t="n">
        <v>0.914876330670567</v>
      </c>
      <c r="E270" s="2" t="s">
        <v>3131</v>
      </c>
      <c r="F270" s="2" t="s">
        <v>24</v>
      </c>
      <c r="G270" s="2" t="s">
        <v>3132</v>
      </c>
      <c r="H270" s="2" t="s">
        <v>3133</v>
      </c>
      <c r="I270" s="2" t="s">
        <v>3134</v>
      </c>
      <c r="J270" s="2" t="s">
        <v>3135</v>
      </c>
      <c r="K270" s="2" t="s">
        <v>29</v>
      </c>
      <c r="L270" s="2" t="s">
        <v>29</v>
      </c>
      <c r="M270" s="2" t="s">
        <v>3136</v>
      </c>
      <c r="N270" s="2" t="s">
        <v>3137</v>
      </c>
      <c r="O270" s="2" t="s">
        <v>29</v>
      </c>
      <c r="P270" s="2" t="s">
        <v>3138</v>
      </c>
      <c r="Q270" s="2" t="s">
        <v>3139</v>
      </c>
      <c r="R270" s="2" t="s">
        <v>794</v>
      </c>
      <c r="S270" s="2" t="s">
        <v>1098</v>
      </c>
      <c r="T270" s="2" t="s">
        <v>1099</v>
      </c>
      <c r="U270" s="2" t="s">
        <v>56</v>
      </c>
      <c r="V270" s="2" t="n">
        <v>1</v>
      </c>
    </row>
    <row r="271">
      <c r="A271" s="2" t="n">
        <v>270</v>
      </c>
      <c r="B271" s="2" t="s">
        <v>3140</v>
      </c>
      <c r="C271" s="2" t="n">
        <v>237.149618568</v>
      </c>
      <c r="D271" s="2" t="n">
        <v>13.2868846051489</v>
      </c>
      <c r="E271" s="2" t="s">
        <v>3141</v>
      </c>
      <c r="F271" s="2" t="s">
        <v>24</v>
      </c>
      <c r="G271" s="2" t="s">
        <v>3142</v>
      </c>
      <c r="H271" s="2" t="s">
        <v>3143</v>
      </c>
      <c r="I271" s="2" t="s">
        <v>3144</v>
      </c>
      <c r="J271" s="2" t="s">
        <v>3145</v>
      </c>
      <c r="K271" s="2" t="s">
        <v>3146</v>
      </c>
      <c r="L271" s="2" t="s">
        <v>91</v>
      </c>
      <c r="M271" s="2" t="s">
        <v>91</v>
      </c>
      <c r="N271" s="2" t="s">
        <v>3147</v>
      </c>
      <c r="O271" s="2" t="s">
        <v>3148</v>
      </c>
      <c r="P271" s="2" t="s">
        <v>3149</v>
      </c>
      <c r="Q271" s="2" t="s">
        <v>3150</v>
      </c>
      <c r="R271" s="2" t="s">
        <v>412</v>
      </c>
      <c r="S271" s="2" t="s">
        <v>413</v>
      </c>
      <c r="T271" s="2" t="s">
        <v>3151</v>
      </c>
      <c r="U271" s="2" t="s">
        <v>56</v>
      </c>
      <c r="V271" s="2" t="n">
        <v>2</v>
      </c>
    </row>
    <row r="272">
      <c r="A272" s="2" t="n">
        <v>271</v>
      </c>
      <c r="B272" s="2" t="s">
        <v>3152</v>
      </c>
      <c r="C272" s="2" t="n">
        <v>238.996404598</v>
      </c>
      <c r="D272" s="2" t="n">
        <v>0.73773825261594</v>
      </c>
      <c r="E272" s="2" t="s">
        <v>3153</v>
      </c>
      <c r="F272" s="2" t="s">
        <v>86</v>
      </c>
      <c r="G272" s="2" t="s">
        <v>3154</v>
      </c>
      <c r="H272" s="2" t="s">
        <v>3155</v>
      </c>
      <c r="I272" s="2" t="s">
        <v>3156</v>
      </c>
      <c r="J272" s="2" t="s">
        <v>3157</v>
      </c>
      <c r="K272" s="2" t="s">
        <v>91</v>
      </c>
      <c r="L272" s="2" t="s">
        <v>91</v>
      </c>
      <c r="M272" s="2" t="s">
        <v>3158</v>
      </c>
      <c r="N272" s="2" t="s">
        <v>3159</v>
      </c>
      <c r="O272" s="2" t="s">
        <v>3160</v>
      </c>
      <c r="P272" s="2" t="s">
        <v>3161</v>
      </c>
      <c r="Q272" s="2" t="s">
        <v>3162</v>
      </c>
      <c r="R272" s="2" t="s">
        <v>144</v>
      </c>
      <c r="S272" s="2" t="s">
        <v>3163</v>
      </c>
      <c r="T272" s="2" t="s">
        <v>3164</v>
      </c>
      <c r="U272" s="2" t="s">
        <v>29</v>
      </c>
      <c r="V272" s="2" t="n">
        <v>2</v>
      </c>
    </row>
    <row r="273">
      <c r="A273" s="2" t="n">
        <v>272</v>
      </c>
      <c r="B273" s="2" t="s">
        <v>3165</v>
      </c>
      <c r="C273" s="2" t="n">
        <v>239.165268634</v>
      </c>
      <c r="D273" s="2" t="n">
        <v>9.4802922244685</v>
      </c>
      <c r="E273" s="2" t="s">
        <v>3166</v>
      </c>
      <c r="F273" s="2" t="s">
        <v>24</v>
      </c>
      <c r="G273" s="2" t="s">
        <v>3167</v>
      </c>
      <c r="H273" s="2" t="s">
        <v>3168</v>
      </c>
      <c r="I273" s="2" t="s">
        <v>3169</v>
      </c>
      <c r="J273" s="2" t="s">
        <v>3170</v>
      </c>
      <c r="K273" s="2" t="s">
        <v>29</v>
      </c>
      <c r="L273" s="2" t="s">
        <v>29</v>
      </c>
      <c r="M273" s="2" t="s">
        <v>3171</v>
      </c>
      <c r="N273" s="2" t="s">
        <v>3172</v>
      </c>
      <c r="O273" s="2" t="s">
        <v>3173</v>
      </c>
      <c r="P273" s="2" t="s">
        <v>3174</v>
      </c>
      <c r="Q273" s="2" t="s">
        <v>3175</v>
      </c>
      <c r="R273" s="2" t="s">
        <v>794</v>
      </c>
      <c r="S273" s="2" t="s">
        <v>1098</v>
      </c>
      <c r="T273" s="2" t="s">
        <v>1099</v>
      </c>
      <c r="U273" s="2" t="s">
        <v>56</v>
      </c>
      <c r="V273" s="2" t="n">
        <v>1</v>
      </c>
    </row>
    <row r="274">
      <c r="A274" s="2" t="n">
        <v>273</v>
      </c>
      <c r="B274" s="2" t="s">
        <v>3176</v>
      </c>
      <c r="C274" s="2" t="n">
        <v>240.062044163</v>
      </c>
      <c r="D274" s="2" t="n">
        <v>2.45506666794571</v>
      </c>
      <c r="E274" s="2" t="s">
        <v>3177</v>
      </c>
      <c r="F274" s="2" t="s">
        <v>161</v>
      </c>
      <c r="G274" s="2" t="s">
        <v>3178</v>
      </c>
      <c r="H274" s="2" t="s">
        <v>3179</v>
      </c>
      <c r="I274" s="2" t="s">
        <v>3180</v>
      </c>
      <c r="J274" s="2" t="s">
        <v>3181</v>
      </c>
      <c r="K274" s="2" t="s">
        <v>29</v>
      </c>
      <c r="L274" s="2" t="s">
        <v>29</v>
      </c>
      <c r="M274" s="2" t="s">
        <v>29</v>
      </c>
      <c r="N274" s="2" t="s">
        <v>3182</v>
      </c>
      <c r="O274" s="2" t="s">
        <v>3183</v>
      </c>
      <c r="P274" s="2" t="s">
        <v>3184</v>
      </c>
      <c r="Q274" s="2" t="s">
        <v>3185</v>
      </c>
      <c r="R274" s="2" t="s">
        <v>2416</v>
      </c>
      <c r="S274" s="2" t="s">
        <v>3186</v>
      </c>
      <c r="T274" s="2" t="s">
        <v>3187</v>
      </c>
      <c r="U274" s="2" t="s">
        <v>56</v>
      </c>
      <c r="V274" s="2" t="n">
        <v>1</v>
      </c>
    </row>
    <row r="275">
      <c r="A275" s="2" t="n">
        <v>274</v>
      </c>
      <c r="B275" s="2" t="s">
        <v>3188</v>
      </c>
      <c r="C275" s="2" t="n">
        <v>241.109485087</v>
      </c>
      <c r="D275" s="2" t="n">
        <v>2.18401337618659</v>
      </c>
      <c r="E275" s="2" t="s">
        <v>3189</v>
      </c>
      <c r="F275" s="2" t="s">
        <v>24</v>
      </c>
      <c r="G275" s="2" t="s">
        <v>3190</v>
      </c>
      <c r="H275" s="2" t="s">
        <v>3191</v>
      </c>
      <c r="I275" s="2" t="s">
        <v>3192</v>
      </c>
      <c r="J275" s="2" t="s">
        <v>3193</v>
      </c>
      <c r="K275" s="2" t="s">
        <v>29</v>
      </c>
      <c r="L275" s="2" t="s">
        <v>3194</v>
      </c>
      <c r="M275" s="2" t="s">
        <v>29</v>
      </c>
      <c r="N275" s="2" t="s">
        <v>3195</v>
      </c>
      <c r="O275" s="2" t="s">
        <v>3196</v>
      </c>
      <c r="P275" s="2" t="s">
        <v>3197</v>
      </c>
      <c r="Q275" s="2" t="s">
        <v>3198</v>
      </c>
      <c r="R275" s="2" t="s">
        <v>186</v>
      </c>
      <c r="S275" s="2" t="s">
        <v>187</v>
      </c>
      <c r="T275" s="2" t="s">
        <v>3199</v>
      </c>
      <c r="U275" s="2" t="s">
        <v>101</v>
      </c>
      <c r="V275" s="2" t="n">
        <v>1</v>
      </c>
    </row>
    <row r="276">
      <c r="A276" s="2" t="n">
        <v>275</v>
      </c>
      <c r="B276" s="2" t="s">
        <v>3200</v>
      </c>
      <c r="C276" s="2" t="n">
        <v>241.180918698</v>
      </c>
      <c r="D276" s="2" t="n">
        <v>14.4440218725965</v>
      </c>
      <c r="E276" s="2" t="s">
        <v>3201</v>
      </c>
      <c r="F276" s="2" t="s">
        <v>24</v>
      </c>
      <c r="G276" s="2" t="s">
        <v>3202</v>
      </c>
      <c r="H276" s="2" t="s">
        <v>3203</v>
      </c>
      <c r="I276" s="2" t="s">
        <v>3204</v>
      </c>
      <c r="J276" s="2" t="s">
        <v>3205</v>
      </c>
      <c r="K276" s="2" t="s">
        <v>3206</v>
      </c>
      <c r="L276" s="2" t="s">
        <v>195</v>
      </c>
      <c r="M276" s="2" t="s">
        <v>195</v>
      </c>
      <c r="N276" s="2" t="s">
        <v>3207</v>
      </c>
      <c r="O276" s="2" t="s">
        <v>3208</v>
      </c>
      <c r="P276" s="2" t="s">
        <v>3209</v>
      </c>
      <c r="Q276" s="2" t="s">
        <v>3210</v>
      </c>
      <c r="R276" s="2" t="s">
        <v>255</v>
      </c>
      <c r="S276" s="2" t="s">
        <v>2661</v>
      </c>
      <c r="T276" s="2" t="s">
        <v>3211</v>
      </c>
      <c r="U276" s="2" t="s">
        <v>56</v>
      </c>
      <c r="V276" s="2" t="n">
        <v>3</v>
      </c>
    </row>
    <row r="277">
      <c r="A277" s="2" t="n">
        <v>276</v>
      </c>
      <c r="B277" s="2" t="s">
        <v>3212</v>
      </c>
      <c r="C277" s="2" t="n">
        <v>242.082262979</v>
      </c>
      <c r="D277" s="2" t="n">
        <v>1.7057303102268</v>
      </c>
      <c r="E277" s="2" t="s">
        <v>3213</v>
      </c>
      <c r="F277" s="2" t="s">
        <v>205</v>
      </c>
      <c r="G277" s="2" t="s">
        <v>3214</v>
      </c>
      <c r="H277" s="2" t="s">
        <v>3215</v>
      </c>
      <c r="I277" s="2" t="s">
        <v>3216</v>
      </c>
      <c r="J277" s="2" t="s">
        <v>3217</v>
      </c>
      <c r="K277" s="2" t="s">
        <v>91</v>
      </c>
      <c r="L277" s="2" t="s">
        <v>91</v>
      </c>
      <c r="M277" s="2" t="s">
        <v>3218</v>
      </c>
      <c r="N277" s="2" t="s">
        <v>3219</v>
      </c>
      <c r="O277" s="2" t="s">
        <v>3220</v>
      </c>
      <c r="P277" s="2" t="s">
        <v>3221</v>
      </c>
      <c r="Q277" s="2" t="s">
        <v>3222</v>
      </c>
      <c r="R277" s="2" t="s">
        <v>541</v>
      </c>
      <c r="S277" s="2" t="s">
        <v>3223</v>
      </c>
      <c r="T277" s="2" t="s">
        <v>3224</v>
      </c>
      <c r="U277" s="2" t="s">
        <v>56</v>
      </c>
      <c r="V277" s="2" t="n">
        <v>2</v>
      </c>
    </row>
    <row r="278">
      <c r="A278" s="2" t="n">
        <v>277</v>
      </c>
      <c r="B278" s="2" t="s">
        <v>3225</v>
      </c>
      <c r="C278" s="2" t="n">
        <v>242.151015548</v>
      </c>
      <c r="D278" s="2" t="n">
        <v>11.6536167864667</v>
      </c>
      <c r="E278" s="2" t="s">
        <v>3226</v>
      </c>
      <c r="F278" s="2" t="s">
        <v>24</v>
      </c>
      <c r="G278" s="2" t="s">
        <v>3227</v>
      </c>
      <c r="H278" s="2" t="s">
        <v>3228</v>
      </c>
      <c r="I278" s="2" t="s">
        <v>3229</v>
      </c>
      <c r="J278" s="2" t="s">
        <v>3230</v>
      </c>
      <c r="K278" s="2" t="s">
        <v>91</v>
      </c>
      <c r="L278" s="2" t="s">
        <v>91</v>
      </c>
      <c r="M278" s="2" t="s">
        <v>3231</v>
      </c>
      <c r="N278" s="2" t="s">
        <v>3232</v>
      </c>
      <c r="O278" s="2" t="s">
        <v>3233</v>
      </c>
      <c r="P278" s="2" t="s">
        <v>3234</v>
      </c>
      <c r="Q278" s="2" t="s">
        <v>3235</v>
      </c>
      <c r="R278" s="2" t="s">
        <v>144</v>
      </c>
      <c r="S278" s="2" t="s">
        <v>145</v>
      </c>
      <c r="T278" s="2" t="s">
        <v>146</v>
      </c>
      <c r="U278" s="2" t="s">
        <v>56</v>
      </c>
      <c r="V278" s="2" t="n">
        <v>2</v>
      </c>
    </row>
    <row r="279">
      <c r="A279" s="2" t="n">
        <v>278</v>
      </c>
      <c r="B279" s="2" t="s">
        <v>3236</v>
      </c>
      <c r="C279" s="2" t="n">
        <v>243.066282866</v>
      </c>
      <c r="D279" s="2" t="n">
        <v>3.52869793567546</v>
      </c>
      <c r="E279" s="2" t="s">
        <v>3237</v>
      </c>
      <c r="F279" s="2" t="s">
        <v>24</v>
      </c>
      <c r="G279" s="2" t="s">
        <v>3238</v>
      </c>
      <c r="H279" s="2" t="s">
        <v>3239</v>
      </c>
      <c r="I279" s="2" t="s">
        <v>3240</v>
      </c>
      <c r="J279" s="2" t="s">
        <v>3241</v>
      </c>
      <c r="K279" s="2" t="s">
        <v>3242</v>
      </c>
      <c r="L279" s="2" t="s">
        <v>3243</v>
      </c>
      <c r="M279" s="2" t="s">
        <v>3244</v>
      </c>
      <c r="N279" s="2" t="s">
        <v>3245</v>
      </c>
      <c r="O279" s="2" t="s">
        <v>3246</v>
      </c>
      <c r="P279" s="2" t="s">
        <v>3247</v>
      </c>
      <c r="Q279" s="2" t="s">
        <v>3248</v>
      </c>
      <c r="R279" s="2" t="s">
        <v>1355</v>
      </c>
      <c r="S279" s="2" t="s">
        <v>3249</v>
      </c>
      <c r="T279" s="2" t="s">
        <v>215</v>
      </c>
      <c r="U279" s="2" t="s">
        <v>56</v>
      </c>
      <c r="V279" s="2" t="n">
        <v>1</v>
      </c>
    </row>
    <row r="280">
      <c r="A280" s="2" t="n">
        <v>279</v>
      </c>
      <c r="B280" s="2" t="s">
        <v>3250</v>
      </c>
      <c r="C280" s="2" t="n">
        <v>243.139049576</v>
      </c>
      <c r="D280" s="2" t="n">
        <v>13.097100853454</v>
      </c>
      <c r="E280" s="2" t="s">
        <v>3251</v>
      </c>
      <c r="F280" s="2" t="s">
        <v>205</v>
      </c>
      <c r="G280" s="2" t="s">
        <v>3252</v>
      </c>
      <c r="H280" s="2" t="s">
        <v>3253</v>
      </c>
      <c r="I280" s="2" t="s">
        <v>3254</v>
      </c>
      <c r="J280" s="2" t="s">
        <v>3255</v>
      </c>
      <c r="K280" s="2" t="s">
        <v>3256</v>
      </c>
      <c r="L280" s="2" t="s">
        <v>3257</v>
      </c>
      <c r="M280" s="2" t="s">
        <v>3258</v>
      </c>
      <c r="N280" s="2" t="s">
        <v>3259</v>
      </c>
      <c r="O280" s="2" t="s">
        <v>3260</v>
      </c>
      <c r="P280" s="2" t="s">
        <v>3261</v>
      </c>
      <c r="Q280" s="2" t="s">
        <v>3262</v>
      </c>
      <c r="R280" s="2" t="s">
        <v>794</v>
      </c>
      <c r="S280" s="2" t="s">
        <v>1098</v>
      </c>
      <c r="T280" s="2" t="s">
        <v>3079</v>
      </c>
      <c r="U280" s="2" t="s">
        <v>101</v>
      </c>
      <c r="V280" s="2" t="n">
        <v>1</v>
      </c>
    </row>
    <row r="281">
      <c r="A281" s="2" t="n">
        <v>280</v>
      </c>
      <c r="B281" s="2" t="s">
        <v>3263</v>
      </c>
      <c r="C281" s="2" t="n">
        <v>243.17543939</v>
      </c>
      <c r="D281" s="2" t="n">
        <v>5.73323418930043</v>
      </c>
      <c r="E281" s="2" t="s">
        <v>3264</v>
      </c>
      <c r="F281" s="2" t="s">
        <v>24</v>
      </c>
      <c r="G281" s="2" t="s">
        <v>3265</v>
      </c>
      <c r="H281" s="2" t="s">
        <v>3266</v>
      </c>
      <c r="I281" s="2" t="s">
        <v>3267</v>
      </c>
      <c r="J281" s="2" t="s">
        <v>29</v>
      </c>
      <c r="K281" s="2" t="s">
        <v>29</v>
      </c>
      <c r="L281" s="2" t="s">
        <v>3268</v>
      </c>
      <c r="M281" s="2" t="s">
        <v>29</v>
      </c>
      <c r="N281" s="2" t="s">
        <v>3269</v>
      </c>
      <c r="O281" s="2" t="s">
        <v>3270</v>
      </c>
      <c r="P281" s="2" t="s">
        <v>3271</v>
      </c>
      <c r="Q281" s="2" t="s">
        <v>3272</v>
      </c>
      <c r="R281" s="2" t="s">
        <v>794</v>
      </c>
      <c r="S281" s="2" t="s">
        <v>795</v>
      </c>
      <c r="T281" s="2" t="s">
        <v>3273</v>
      </c>
      <c r="U281" s="2" t="s">
        <v>56</v>
      </c>
      <c r="V281" s="2" t="n">
        <v>1</v>
      </c>
    </row>
    <row r="282">
      <c r="A282" s="2" t="n">
        <v>281</v>
      </c>
      <c r="B282" s="2" t="s">
        <v>3274</v>
      </c>
      <c r="C282" s="2" t="n">
        <v>243.196568762</v>
      </c>
      <c r="D282" s="2" t="n">
        <v>12.3966532635388</v>
      </c>
      <c r="E282" s="2" t="s">
        <v>3275</v>
      </c>
      <c r="F282" s="2" t="s">
        <v>24</v>
      </c>
      <c r="G282" s="2" t="s">
        <v>3276</v>
      </c>
      <c r="H282" s="2" t="s">
        <v>3277</v>
      </c>
      <c r="I282" s="2" t="s">
        <v>3278</v>
      </c>
      <c r="J282" s="2" t="s">
        <v>3279</v>
      </c>
      <c r="K282" s="2" t="s">
        <v>3280</v>
      </c>
      <c r="L282" s="2" t="s">
        <v>195</v>
      </c>
      <c r="M282" s="2" t="s">
        <v>3281</v>
      </c>
      <c r="N282" s="2" t="s">
        <v>3282</v>
      </c>
      <c r="O282" s="2" t="s">
        <v>3283</v>
      </c>
      <c r="P282" s="2" t="s">
        <v>3284</v>
      </c>
      <c r="Q282" s="2" t="s">
        <v>3285</v>
      </c>
      <c r="R282" s="2" t="s">
        <v>255</v>
      </c>
      <c r="S282" s="2" t="s">
        <v>256</v>
      </c>
      <c r="T282" s="2" t="s">
        <v>257</v>
      </c>
      <c r="U282" s="2" t="s">
        <v>56</v>
      </c>
      <c r="V282" s="2" t="n">
        <v>3</v>
      </c>
    </row>
    <row r="283">
      <c r="A283" s="2" t="n">
        <v>282</v>
      </c>
      <c r="B283" s="2" t="s">
        <v>3286</v>
      </c>
      <c r="C283" s="2" t="n">
        <v>245.045547422</v>
      </c>
      <c r="D283" s="2" t="n">
        <v>0.333462476357403</v>
      </c>
      <c r="E283" s="2" t="s">
        <v>3287</v>
      </c>
      <c r="F283" s="2" t="s">
        <v>24</v>
      </c>
      <c r="G283" s="2" t="s">
        <v>3288</v>
      </c>
      <c r="H283" s="2" t="s">
        <v>3289</v>
      </c>
      <c r="I283" s="2" t="s">
        <v>3290</v>
      </c>
      <c r="J283" s="2" t="s">
        <v>3291</v>
      </c>
      <c r="K283" s="2" t="s">
        <v>29</v>
      </c>
      <c r="L283" s="2" t="s">
        <v>3292</v>
      </c>
      <c r="M283" s="2" t="s">
        <v>3293</v>
      </c>
      <c r="N283" s="2" t="s">
        <v>3294</v>
      </c>
      <c r="O283" s="2" t="s">
        <v>3295</v>
      </c>
      <c r="P283" s="2" t="s">
        <v>3296</v>
      </c>
      <c r="Q283" s="2" t="s">
        <v>3297</v>
      </c>
      <c r="R283" s="2" t="s">
        <v>1355</v>
      </c>
      <c r="S283" s="2" t="s">
        <v>3298</v>
      </c>
      <c r="T283" s="2" t="s">
        <v>3299</v>
      </c>
      <c r="U283" s="2" t="s">
        <v>56</v>
      </c>
      <c r="V283" s="2" t="n">
        <v>1</v>
      </c>
    </row>
    <row r="284">
      <c r="A284" s="2" t="n">
        <v>283</v>
      </c>
      <c r="B284" s="2" t="s">
        <v>3300</v>
      </c>
      <c r="C284" s="2" t="n">
        <v>245.073316495</v>
      </c>
      <c r="D284" s="2" t="n">
        <v>2.2848117022182</v>
      </c>
      <c r="E284" s="2" t="s">
        <v>3301</v>
      </c>
      <c r="F284" s="2" t="s">
        <v>161</v>
      </c>
      <c r="G284" s="2" t="s">
        <v>3302</v>
      </c>
      <c r="H284" s="2" t="s">
        <v>3303</v>
      </c>
      <c r="I284" s="2" t="s">
        <v>3304</v>
      </c>
      <c r="J284" s="2" t="s">
        <v>29</v>
      </c>
      <c r="K284" s="2" t="s">
        <v>29</v>
      </c>
      <c r="L284" s="2" t="s">
        <v>29</v>
      </c>
      <c r="M284" s="2" t="s">
        <v>29</v>
      </c>
      <c r="N284" s="2" t="s">
        <v>3305</v>
      </c>
      <c r="O284" s="2" t="s">
        <v>29</v>
      </c>
      <c r="P284" s="2" t="s">
        <v>3306</v>
      </c>
      <c r="Q284" s="2" t="s">
        <v>3307</v>
      </c>
      <c r="R284" s="2" t="s">
        <v>794</v>
      </c>
      <c r="S284" s="2" t="s">
        <v>1098</v>
      </c>
      <c r="T284" s="2" t="s">
        <v>3308</v>
      </c>
      <c r="U284" s="2" t="s">
        <v>29</v>
      </c>
      <c r="V284" s="2" t="n">
        <v>1</v>
      </c>
    </row>
    <row r="285">
      <c r="A285" s="2" t="n">
        <v>284</v>
      </c>
      <c r="B285" s="2" t="s">
        <v>3309</v>
      </c>
      <c r="C285" s="2" t="n">
        <v>246.048988996</v>
      </c>
      <c r="D285" s="2" t="n">
        <v>0.348656345393454</v>
      </c>
      <c r="E285" s="2" t="s">
        <v>3310</v>
      </c>
      <c r="F285" s="2" t="s">
        <v>86</v>
      </c>
      <c r="G285" s="2" t="s">
        <v>3311</v>
      </c>
      <c r="H285" s="2" t="s">
        <v>3312</v>
      </c>
      <c r="I285" s="2" t="s">
        <v>3313</v>
      </c>
      <c r="J285" s="2" t="s">
        <v>29</v>
      </c>
      <c r="K285" s="2" t="s">
        <v>29</v>
      </c>
      <c r="L285" s="2" t="s">
        <v>29</v>
      </c>
      <c r="M285" s="2" t="s">
        <v>29</v>
      </c>
      <c r="N285" s="2" t="s">
        <v>3314</v>
      </c>
      <c r="O285" s="2" t="s">
        <v>29</v>
      </c>
      <c r="P285" s="2" t="s">
        <v>3315</v>
      </c>
      <c r="Q285" s="2" t="s">
        <v>3316</v>
      </c>
      <c r="R285" s="2" t="s">
        <v>601</v>
      </c>
      <c r="S285" s="2" t="s">
        <v>602</v>
      </c>
      <c r="T285" s="2" t="s">
        <v>1800</v>
      </c>
      <c r="U285" s="2" t="s">
        <v>29</v>
      </c>
      <c r="V285" s="2" t="n">
        <v>1</v>
      </c>
    </row>
    <row r="286">
      <c r="A286" s="2" t="n">
        <v>285</v>
      </c>
      <c r="B286" s="2" t="s">
        <v>3317</v>
      </c>
      <c r="C286" s="2" t="n">
        <v>247.0643647</v>
      </c>
      <c r="D286" s="2" t="n">
        <v>9.22691726899304</v>
      </c>
      <c r="E286" s="2" t="s">
        <v>3318</v>
      </c>
      <c r="F286" s="2" t="s">
        <v>24</v>
      </c>
      <c r="G286" s="2" t="s">
        <v>3319</v>
      </c>
      <c r="H286" s="2" t="s">
        <v>3320</v>
      </c>
      <c r="I286" s="2" t="s">
        <v>3321</v>
      </c>
      <c r="J286" s="2" t="s">
        <v>3322</v>
      </c>
      <c r="K286" s="2" t="s">
        <v>29</v>
      </c>
      <c r="L286" s="2" t="s">
        <v>29</v>
      </c>
      <c r="M286" s="2" t="s">
        <v>3323</v>
      </c>
      <c r="N286" s="2" t="s">
        <v>3324</v>
      </c>
      <c r="O286" s="2" t="s">
        <v>3325</v>
      </c>
      <c r="P286" s="2" t="s">
        <v>3326</v>
      </c>
      <c r="Q286" s="2" t="s">
        <v>3327</v>
      </c>
      <c r="R286" s="2" t="s">
        <v>114</v>
      </c>
      <c r="S286" s="2" t="s">
        <v>994</v>
      </c>
      <c r="T286" s="2" t="s">
        <v>3328</v>
      </c>
      <c r="U286" s="2" t="s">
        <v>29</v>
      </c>
      <c r="V286" s="2" t="n">
        <v>1</v>
      </c>
    </row>
    <row r="287">
      <c r="A287" s="2" t="n">
        <v>286</v>
      </c>
      <c r="B287" s="2" t="s">
        <v>3329</v>
      </c>
      <c r="C287" s="2" t="n">
        <v>247.14117484</v>
      </c>
      <c r="D287" s="2" t="n">
        <v>8.98902560727261</v>
      </c>
      <c r="E287" s="2" t="s">
        <v>3330</v>
      </c>
      <c r="F287" s="2" t="s">
        <v>205</v>
      </c>
      <c r="G287" s="2" t="s">
        <v>3331</v>
      </c>
      <c r="H287" s="2" t="s">
        <v>3332</v>
      </c>
      <c r="I287" s="2" t="s">
        <v>3333</v>
      </c>
      <c r="J287" s="2" t="s">
        <v>3334</v>
      </c>
      <c r="K287" s="2" t="s">
        <v>29</v>
      </c>
      <c r="L287" s="2" t="s">
        <v>3335</v>
      </c>
      <c r="M287" s="2" t="s">
        <v>3336</v>
      </c>
      <c r="N287" s="2" t="s">
        <v>3337</v>
      </c>
      <c r="O287" s="2" t="s">
        <v>3338</v>
      </c>
      <c r="P287" s="2" t="s">
        <v>3339</v>
      </c>
      <c r="Q287" s="2" t="s">
        <v>3340</v>
      </c>
      <c r="R287" s="2" t="s">
        <v>36</v>
      </c>
      <c r="S287" s="2" t="s">
        <v>37</v>
      </c>
      <c r="T287" s="2" t="s">
        <v>69</v>
      </c>
      <c r="U287" s="2" t="s">
        <v>56</v>
      </c>
      <c r="V287" s="2" t="n">
        <v>1</v>
      </c>
    </row>
    <row r="288">
      <c r="A288" s="2" t="n">
        <v>287</v>
      </c>
      <c r="B288" s="2" t="s">
        <v>3341</v>
      </c>
      <c r="C288" s="2" t="n">
        <v>248.977702</v>
      </c>
      <c r="D288" s="2" t="n">
        <v>2.48265141445658</v>
      </c>
      <c r="E288" s="2" t="s">
        <v>3342</v>
      </c>
      <c r="F288" s="2" t="s">
        <v>161</v>
      </c>
      <c r="G288" s="2" t="s">
        <v>3343</v>
      </c>
      <c r="H288" s="2" t="s">
        <v>3344</v>
      </c>
      <c r="I288" s="2" t="s">
        <v>3345</v>
      </c>
      <c r="J288" s="2" t="s">
        <v>3346</v>
      </c>
      <c r="K288" s="2" t="s">
        <v>29</v>
      </c>
      <c r="L288" s="2" t="s">
        <v>3347</v>
      </c>
      <c r="M288" s="2" t="s">
        <v>29</v>
      </c>
      <c r="N288" s="2" t="s">
        <v>3348</v>
      </c>
      <c r="O288" s="2" t="s">
        <v>3349</v>
      </c>
      <c r="P288" s="2" t="s">
        <v>3350</v>
      </c>
      <c r="Q288" s="2" t="s">
        <v>3351</v>
      </c>
      <c r="R288" s="2" t="s">
        <v>186</v>
      </c>
      <c r="S288" s="2" t="s">
        <v>187</v>
      </c>
      <c r="T288" s="2" t="s">
        <v>1950</v>
      </c>
      <c r="U288" s="2" t="s">
        <v>101</v>
      </c>
      <c r="V288" s="2" t="n">
        <v>1</v>
      </c>
    </row>
    <row r="289">
      <c r="A289" s="2" t="n">
        <v>288</v>
      </c>
      <c r="B289" s="2" t="s">
        <v>3352</v>
      </c>
      <c r="C289" s="2" t="n">
        <v>249.152989871</v>
      </c>
      <c r="D289" s="2" t="n">
        <v>2.16838023869256</v>
      </c>
      <c r="E289" s="2" t="s">
        <v>3353</v>
      </c>
      <c r="F289" s="2" t="s">
        <v>24</v>
      </c>
      <c r="G289" s="2" t="s">
        <v>3354</v>
      </c>
      <c r="H289" s="2" t="s">
        <v>3355</v>
      </c>
      <c r="I289" s="2" t="s">
        <v>3356</v>
      </c>
      <c r="J289" s="2" t="s">
        <v>29</v>
      </c>
      <c r="K289" s="2" t="s">
        <v>29</v>
      </c>
      <c r="L289" s="2" t="s">
        <v>29</v>
      </c>
      <c r="M289" s="2" t="s">
        <v>29</v>
      </c>
      <c r="N289" s="2" t="s">
        <v>3357</v>
      </c>
      <c r="O289" s="2" t="s">
        <v>29</v>
      </c>
      <c r="P289" s="2" t="s">
        <v>3358</v>
      </c>
      <c r="Q289" s="2" t="s">
        <v>3359</v>
      </c>
      <c r="R289" s="2" t="s">
        <v>36</v>
      </c>
      <c r="S289" s="2" t="s">
        <v>344</v>
      </c>
      <c r="T289" s="2" t="s">
        <v>345</v>
      </c>
      <c r="U289" s="2" t="s">
        <v>29</v>
      </c>
      <c r="V289" s="2" t="n">
        <v>1</v>
      </c>
    </row>
    <row r="290">
      <c r="A290" s="2" t="n">
        <v>289</v>
      </c>
      <c r="B290" s="2" t="s">
        <v>3360</v>
      </c>
      <c r="C290" s="2" t="n">
        <v>250.048769962</v>
      </c>
      <c r="D290" s="2" t="n">
        <v>4.22726416596296</v>
      </c>
      <c r="E290" s="2" t="s">
        <v>3361</v>
      </c>
      <c r="F290" s="2" t="s">
        <v>205</v>
      </c>
      <c r="G290" s="2" t="s">
        <v>3362</v>
      </c>
      <c r="H290" s="2" t="s">
        <v>3363</v>
      </c>
      <c r="I290" s="2" t="s">
        <v>3364</v>
      </c>
      <c r="J290" s="2" t="s">
        <v>29</v>
      </c>
      <c r="K290" s="2" t="s">
        <v>29</v>
      </c>
      <c r="L290" s="2" t="s">
        <v>29</v>
      </c>
      <c r="M290" s="2" t="s">
        <v>3365</v>
      </c>
      <c r="N290" s="2" t="s">
        <v>3366</v>
      </c>
      <c r="O290" s="2" t="s">
        <v>3367</v>
      </c>
      <c r="P290" s="2" t="s">
        <v>3368</v>
      </c>
      <c r="Q290" s="2" t="s">
        <v>3369</v>
      </c>
      <c r="R290" s="2" t="s">
        <v>114</v>
      </c>
      <c r="S290" s="2" t="s">
        <v>936</v>
      </c>
      <c r="T290" s="2" t="s">
        <v>3370</v>
      </c>
      <c r="U290" s="2" t="s">
        <v>29</v>
      </c>
      <c r="V290" s="2" t="n">
        <v>1</v>
      </c>
    </row>
    <row r="291">
      <c r="A291" s="2" t="n">
        <v>290</v>
      </c>
      <c r="B291" s="2" t="s">
        <v>3371</v>
      </c>
      <c r="C291" s="2" t="n">
        <v>250.08649718</v>
      </c>
      <c r="D291" s="2" t="n">
        <v>12.3555515644881</v>
      </c>
      <c r="E291" s="2" t="s">
        <v>3372</v>
      </c>
      <c r="F291" s="2" t="s">
        <v>24</v>
      </c>
      <c r="G291" s="2" t="s">
        <v>3373</v>
      </c>
      <c r="H291" s="2" t="s">
        <v>3374</v>
      </c>
      <c r="I291" s="2" t="s">
        <v>3375</v>
      </c>
      <c r="J291" s="2" t="s">
        <v>3376</v>
      </c>
      <c r="K291" s="2" t="s">
        <v>29</v>
      </c>
      <c r="L291" s="2" t="s">
        <v>3377</v>
      </c>
      <c r="M291" s="2" t="s">
        <v>3378</v>
      </c>
      <c r="N291" s="2" t="s">
        <v>3379</v>
      </c>
      <c r="O291" s="2" t="s">
        <v>3380</v>
      </c>
      <c r="P291" s="2" t="s">
        <v>3381</v>
      </c>
      <c r="Q291" s="2" t="s">
        <v>3382</v>
      </c>
      <c r="R291" s="2" t="s">
        <v>114</v>
      </c>
      <c r="S291" s="2" t="s">
        <v>2206</v>
      </c>
      <c r="T291" s="2" t="s">
        <v>3383</v>
      </c>
      <c r="U291" s="2" t="s">
        <v>101</v>
      </c>
      <c r="V291" s="2" t="n">
        <v>1</v>
      </c>
    </row>
    <row r="292">
      <c r="A292" s="2" t="n">
        <v>291</v>
      </c>
      <c r="B292" s="2" t="s">
        <v>3384</v>
      </c>
      <c r="C292" s="2" t="n">
        <v>250.14486754</v>
      </c>
      <c r="D292" s="2" t="n">
        <v>14.1072920063984</v>
      </c>
      <c r="E292" s="2" t="s">
        <v>3385</v>
      </c>
      <c r="F292" s="2" t="s">
        <v>24</v>
      </c>
      <c r="G292" s="2" t="s">
        <v>3386</v>
      </c>
      <c r="H292" s="2" t="s">
        <v>3387</v>
      </c>
      <c r="I292" s="2" t="s">
        <v>3388</v>
      </c>
      <c r="J292" s="2" t="s">
        <v>29</v>
      </c>
      <c r="K292" s="2" t="s">
        <v>29</v>
      </c>
      <c r="L292" s="2" t="s">
        <v>29</v>
      </c>
      <c r="M292" s="2" t="s">
        <v>29</v>
      </c>
      <c r="N292" s="2" t="s">
        <v>3389</v>
      </c>
      <c r="O292" s="2" t="s">
        <v>29</v>
      </c>
      <c r="P292" s="2" t="s">
        <v>3390</v>
      </c>
      <c r="Q292" s="2" t="s">
        <v>3391</v>
      </c>
      <c r="R292" s="2" t="s">
        <v>186</v>
      </c>
      <c r="S292" s="2" t="s">
        <v>187</v>
      </c>
      <c r="T292" s="2" t="s">
        <v>1206</v>
      </c>
      <c r="U292" s="2" t="s">
        <v>29</v>
      </c>
      <c r="V292" s="2" t="n">
        <v>1</v>
      </c>
    </row>
    <row r="293">
      <c r="A293" s="2" t="n">
        <v>292</v>
      </c>
      <c r="B293" s="2" t="s">
        <v>3392</v>
      </c>
      <c r="C293" s="2" t="n">
        <v>251.084431495</v>
      </c>
      <c r="D293" s="2" t="n">
        <v>2.26289406981307</v>
      </c>
      <c r="E293" s="2" t="s">
        <v>3393</v>
      </c>
      <c r="F293" s="2" t="s">
        <v>24</v>
      </c>
      <c r="G293" s="2" t="s">
        <v>3394</v>
      </c>
      <c r="H293" s="2" t="s">
        <v>3395</v>
      </c>
      <c r="I293" s="2" t="s">
        <v>3396</v>
      </c>
      <c r="J293" s="2" t="s">
        <v>3397</v>
      </c>
      <c r="K293" s="2" t="s">
        <v>29</v>
      </c>
      <c r="L293" s="2" t="s">
        <v>29</v>
      </c>
      <c r="M293" s="2" t="s">
        <v>29</v>
      </c>
      <c r="N293" s="2" t="s">
        <v>3398</v>
      </c>
      <c r="O293" s="2" t="s">
        <v>3399</v>
      </c>
      <c r="P293" s="2" t="s">
        <v>3400</v>
      </c>
      <c r="Q293" s="2" t="s">
        <v>3401</v>
      </c>
      <c r="R293" s="2" t="s">
        <v>186</v>
      </c>
      <c r="S293" s="2" t="s">
        <v>3046</v>
      </c>
      <c r="T293" s="2" t="s">
        <v>3047</v>
      </c>
      <c r="U293" s="2" t="s">
        <v>29</v>
      </c>
      <c r="V293" s="2" t="n">
        <v>1</v>
      </c>
    </row>
    <row r="294">
      <c r="A294" s="2" t="n">
        <v>293</v>
      </c>
      <c r="B294" s="2" t="s">
        <v>3402</v>
      </c>
      <c r="C294" s="2" t="n">
        <v>251.20165414</v>
      </c>
      <c r="D294" s="2" t="n">
        <v>12.6573220950512</v>
      </c>
      <c r="E294" s="2" t="s">
        <v>3403</v>
      </c>
      <c r="F294" s="2" t="s">
        <v>24</v>
      </c>
      <c r="G294" s="2" t="s">
        <v>3404</v>
      </c>
      <c r="H294" s="2" t="s">
        <v>3405</v>
      </c>
      <c r="I294" s="2" t="s">
        <v>3406</v>
      </c>
      <c r="J294" s="2" t="s">
        <v>3407</v>
      </c>
      <c r="K294" s="2" t="s">
        <v>3408</v>
      </c>
      <c r="L294" s="2" t="s">
        <v>195</v>
      </c>
      <c r="M294" s="2" t="s">
        <v>3409</v>
      </c>
      <c r="N294" s="2" t="s">
        <v>3410</v>
      </c>
      <c r="O294" s="2" t="s">
        <v>3411</v>
      </c>
      <c r="P294" s="2" t="s">
        <v>3412</v>
      </c>
      <c r="Q294" s="2" t="s">
        <v>3413</v>
      </c>
      <c r="R294" s="2" t="s">
        <v>255</v>
      </c>
      <c r="S294" s="2" t="s">
        <v>3414</v>
      </c>
      <c r="T294" s="2" t="s">
        <v>3415</v>
      </c>
      <c r="U294" s="2" t="s">
        <v>56</v>
      </c>
      <c r="V294" s="2" t="n">
        <v>3</v>
      </c>
    </row>
    <row r="295">
      <c r="A295" s="2" t="n">
        <v>294</v>
      </c>
      <c r="B295" s="2" t="s">
        <v>3416</v>
      </c>
      <c r="C295" s="2" t="n">
        <v>252.000385031</v>
      </c>
      <c r="D295" s="2" t="n">
        <v>2.82588038980548</v>
      </c>
      <c r="E295" s="2" t="s">
        <v>3417</v>
      </c>
      <c r="F295" s="2" t="s">
        <v>86</v>
      </c>
      <c r="G295" s="2" t="s">
        <v>3418</v>
      </c>
      <c r="H295" s="2" t="s">
        <v>3419</v>
      </c>
      <c r="I295" s="2" t="s">
        <v>3420</v>
      </c>
      <c r="J295" s="2" t="s">
        <v>3421</v>
      </c>
      <c r="K295" s="2" t="s">
        <v>29</v>
      </c>
      <c r="L295" s="2" t="s">
        <v>29</v>
      </c>
      <c r="M295" s="2" t="s">
        <v>29</v>
      </c>
      <c r="N295" s="2" t="s">
        <v>3422</v>
      </c>
      <c r="O295" s="2" t="s">
        <v>3423</v>
      </c>
      <c r="P295" s="2" t="s">
        <v>3424</v>
      </c>
      <c r="Q295" s="2" t="s">
        <v>3425</v>
      </c>
      <c r="R295" s="2" t="s">
        <v>114</v>
      </c>
      <c r="S295" s="2" t="s">
        <v>2325</v>
      </c>
      <c r="T295" s="2" t="s">
        <v>215</v>
      </c>
      <c r="U295" s="2" t="s">
        <v>29</v>
      </c>
      <c r="V295" s="2" t="n">
        <v>1</v>
      </c>
    </row>
    <row r="296">
      <c r="A296" s="2" t="n">
        <v>295</v>
      </c>
      <c r="B296" s="2" t="s">
        <v>3426</v>
      </c>
      <c r="C296" s="2" t="n">
        <v>252.104141238</v>
      </c>
      <c r="D296" s="2" t="n">
        <v>7.58813567118358</v>
      </c>
      <c r="E296" s="2" t="s">
        <v>3427</v>
      </c>
      <c r="F296" s="2" t="s">
        <v>205</v>
      </c>
      <c r="G296" s="2" t="s">
        <v>3428</v>
      </c>
      <c r="H296" s="2" t="s">
        <v>3429</v>
      </c>
      <c r="I296" s="2" t="s">
        <v>3430</v>
      </c>
      <c r="J296" s="2" t="s">
        <v>29</v>
      </c>
      <c r="K296" s="2" t="s">
        <v>29</v>
      </c>
      <c r="L296" s="2" t="s">
        <v>29</v>
      </c>
      <c r="M296" s="2" t="s">
        <v>29</v>
      </c>
      <c r="N296" s="2" t="s">
        <v>3431</v>
      </c>
      <c r="O296" s="2" t="s">
        <v>29</v>
      </c>
      <c r="P296" s="2" t="s">
        <v>3432</v>
      </c>
      <c r="Q296" s="2" t="s">
        <v>3433</v>
      </c>
      <c r="R296" s="2" t="s">
        <v>186</v>
      </c>
      <c r="S296" s="2" t="s">
        <v>187</v>
      </c>
      <c r="T296" s="2" t="s">
        <v>2791</v>
      </c>
      <c r="U296" s="2" t="s">
        <v>29</v>
      </c>
      <c r="V296" s="2" t="n">
        <v>1</v>
      </c>
    </row>
    <row r="297">
      <c r="A297" s="2" t="n">
        <v>296</v>
      </c>
      <c r="B297" s="2" t="s">
        <v>3434</v>
      </c>
      <c r="C297" s="2" t="n">
        <v>252.954539784</v>
      </c>
      <c r="D297" s="2" t="n">
        <v>0.918441027005739</v>
      </c>
      <c r="E297" s="2" t="s">
        <v>3435</v>
      </c>
      <c r="F297" s="2" t="s">
        <v>86</v>
      </c>
      <c r="G297" s="2" t="s">
        <v>3436</v>
      </c>
      <c r="H297" s="2" t="s">
        <v>3437</v>
      </c>
      <c r="I297" s="2" t="s">
        <v>3438</v>
      </c>
      <c r="J297" s="2" t="s">
        <v>29</v>
      </c>
      <c r="K297" s="2" t="s">
        <v>29</v>
      </c>
      <c r="L297" s="2" t="s">
        <v>29</v>
      </c>
      <c r="M297" s="2" t="s">
        <v>29</v>
      </c>
      <c r="N297" s="2" t="s">
        <v>3439</v>
      </c>
      <c r="O297" s="2" t="s">
        <v>29</v>
      </c>
      <c r="P297" s="2" t="s">
        <v>3440</v>
      </c>
      <c r="Q297" s="2" t="s">
        <v>3441</v>
      </c>
      <c r="R297" s="2" t="s">
        <v>114</v>
      </c>
      <c r="S297" s="2" t="s">
        <v>3442</v>
      </c>
      <c r="T297" s="2" t="s">
        <v>215</v>
      </c>
      <c r="U297" s="2" t="s">
        <v>29</v>
      </c>
      <c r="V297" s="2" t="n">
        <v>1</v>
      </c>
    </row>
    <row r="298">
      <c r="A298" s="2" t="n">
        <v>297</v>
      </c>
      <c r="B298" s="2" t="s">
        <v>3443</v>
      </c>
      <c r="C298" s="2" t="n">
        <v>253.108147686</v>
      </c>
      <c r="D298" s="2" t="n">
        <v>2.14765528256182</v>
      </c>
      <c r="E298" s="2" t="s">
        <v>3444</v>
      </c>
      <c r="F298" s="2" t="s">
        <v>24</v>
      </c>
      <c r="G298" s="2" t="s">
        <v>3445</v>
      </c>
      <c r="H298" s="2" t="s">
        <v>3446</v>
      </c>
      <c r="I298" s="2" t="s">
        <v>3447</v>
      </c>
      <c r="J298" s="2" t="s">
        <v>3448</v>
      </c>
      <c r="K298" s="2" t="s">
        <v>29</v>
      </c>
      <c r="L298" s="2" t="s">
        <v>29</v>
      </c>
      <c r="M298" s="2" t="s">
        <v>3449</v>
      </c>
      <c r="N298" s="2" t="s">
        <v>3450</v>
      </c>
      <c r="O298" s="2" t="s">
        <v>3451</v>
      </c>
      <c r="P298" s="2" t="s">
        <v>3452</v>
      </c>
      <c r="Q298" s="2" t="s">
        <v>3453</v>
      </c>
      <c r="R298" s="2" t="s">
        <v>186</v>
      </c>
      <c r="S298" s="2" t="s">
        <v>187</v>
      </c>
      <c r="T298" s="2" t="s">
        <v>3454</v>
      </c>
      <c r="U298" s="2" t="s">
        <v>56</v>
      </c>
      <c r="V298" s="2" t="n">
        <v>1</v>
      </c>
    </row>
    <row r="299">
      <c r="A299" s="2" t="n">
        <v>298</v>
      </c>
      <c r="B299" s="2" t="s">
        <v>3455</v>
      </c>
      <c r="C299" s="2" t="n">
        <v>253.217304206</v>
      </c>
      <c r="D299" s="2" t="n">
        <v>10.2411098692931</v>
      </c>
      <c r="E299" s="2" t="s">
        <v>3456</v>
      </c>
      <c r="F299" s="2" t="s">
        <v>24</v>
      </c>
      <c r="G299" s="2" t="s">
        <v>3457</v>
      </c>
      <c r="H299" s="2" t="s">
        <v>3458</v>
      </c>
      <c r="I299" s="2" t="s">
        <v>3459</v>
      </c>
      <c r="J299" s="2" t="s">
        <v>29</v>
      </c>
      <c r="K299" s="2" t="s">
        <v>29</v>
      </c>
      <c r="L299" s="2" t="s">
        <v>29</v>
      </c>
      <c r="M299" s="2" t="s">
        <v>29</v>
      </c>
      <c r="N299" s="2" t="s">
        <v>3460</v>
      </c>
      <c r="O299" s="2" t="s">
        <v>29</v>
      </c>
      <c r="P299" s="2" t="s">
        <v>3461</v>
      </c>
      <c r="Q299" s="2" t="s">
        <v>3462</v>
      </c>
      <c r="R299" s="2" t="s">
        <v>794</v>
      </c>
      <c r="S299" s="2" t="s">
        <v>795</v>
      </c>
      <c r="T299" s="2" t="s">
        <v>796</v>
      </c>
      <c r="U299" s="2" t="s">
        <v>39</v>
      </c>
      <c r="V299" s="2" t="n">
        <v>1</v>
      </c>
    </row>
    <row r="300">
      <c r="A300" s="2" t="n">
        <v>299</v>
      </c>
      <c r="B300" s="2" t="s">
        <v>3463</v>
      </c>
      <c r="C300" s="2" t="n">
        <v>254.081716973</v>
      </c>
      <c r="D300" s="2" t="n">
        <v>0.324280016893755</v>
      </c>
      <c r="E300" s="2" t="s">
        <v>3464</v>
      </c>
      <c r="F300" s="2" t="s">
        <v>161</v>
      </c>
      <c r="G300" s="2" t="s">
        <v>3465</v>
      </c>
      <c r="H300" s="2" t="s">
        <v>3466</v>
      </c>
      <c r="I300" s="2" t="s">
        <v>3467</v>
      </c>
      <c r="J300" s="2" t="s">
        <v>3468</v>
      </c>
      <c r="K300" s="2" t="s">
        <v>29</v>
      </c>
      <c r="L300" s="2" t="s">
        <v>29</v>
      </c>
      <c r="M300" s="2" t="s">
        <v>3469</v>
      </c>
      <c r="N300" s="2" t="s">
        <v>3470</v>
      </c>
      <c r="O300" s="2" t="s">
        <v>3471</v>
      </c>
      <c r="P300" s="2" t="s">
        <v>3472</v>
      </c>
      <c r="Q300" s="2" t="s">
        <v>3473</v>
      </c>
      <c r="R300" s="2" t="s">
        <v>36</v>
      </c>
      <c r="S300" s="2" t="s">
        <v>37</v>
      </c>
      <c r="T300" s="2" t="s">
        <v>69</v>
      </c>
      <c r="U300" s="2" t="s">
        <v>56</v>
      </c>
      <c r="V300" s="2" t="n">
        <v>1</v>
      </c>
    </row>
    <row r="301">
      <c r="A301" s="2" t="n">
        <v>300</v>
      </c>
      <c r="B301" s="2" t="s">
        <v>3474</v>
      </c>
      <c r="C301" s="2" t="n">
        <v>254.148608617</v>
      </c>
      <c r="D301" s="2" t="n">
        <v>4.69585930366933</v>
      </c>
      <c r="E301" s="2" t="s">
        <v>3475</v>
      </c>
      <c r="F301" s="2" t="s">
        <v>531</v>
      </c>
      <c r="G301" s="2" t="s">
        <v>3476</v>
      </c>
      <c r="H301" s="2" t="s">
        <v>3477</v>
      </c>
      <c r="I301" s="2" t="s">
        <v>3478</v>
      </c>
      <c r="J301" s="2" t="s">
        <v>29</v>
      </c>
      <c r="K301" s="2" t="s">
        <v>3479</v>
      </c>
      <c r="L301" s="2" t="s">
        <v>29</v>
      </c>
      <c r="M301" s="2" t="s">
        <v>29</v>
      </c>
      <c r="N301" s="2" t="s">
        <v>3480</v>
      </c>
      <c r="O301" s="2" t="s">
        <v>3481</v>
      </c>
      <c r="P301" s="2" t="s">
        <v>3482</v>
      </c>
      <c r="Q301" s="2" t="s">
        <v>3483</v>
      </c>
      <c r="R301" s="2" t="s">
        <v>36</v>
      </c>
      <c r="S301" s="2" t="s">
        <v>37</v>
      </c>
      <c r="T301" s="2" t="s">
        <v>69</v>
      </c>
      <c r="U301" s="2" t="s">
        <v>56</v>
      </c>
      <c r="V301" s="2" t="n">
        <v>1</v>
      </c>
    </row>
    <row r="302">
      <c r="A302" s="2" t="n">
        <v>301</v>
      </c>
      <c r="B302" s="2" t="s">
        <v>3484</v>
      </c>
      <c r="C302" s="2" t="n">
        <v>254.8790934</v>
      </c>
      <c r="D302" s="2" t="n">
        <v>11.3254833905887</v>
      </c>
      <c r="E302" s="2" t="s">
        <v>3485</v>
      </c>
      <c r="F302" s="2" t="s">
        <v>683</v>
      </c>
      <c r="G302" s="2" t="s">
        <v>3486</v>
      </c>
      <c r="H302" s="2" t="s">
        <v>3487</v>
      </c>
      <c r="I302" s="2" t="s">
        <v>3488</v>
      </c>
      <c r="J302" s="2" t="s">
        <v>29</v>
      </c>
      <c r="K302" s="2" t="s">
        <v>29</v>
      </c>
      <c r="L302" s="2" t="s">
        <v>29</v>
      </c>
      <c r="M302" s="2" t="s">
        <v>29</v>
      </c>
      <c r="N302" s="2" t="s">
        <v>3489</v>
      </c>
      <c r="O302" s="2" t="s">
        <v>29</v>
      </c>
      <c r="P302" s="2" t="s">
        <v>3490</v>
      </c>
      <c r="Q302" s="2" t="s">
        <v>3491</v>
      </c>
      <c r="R302" s="2" t="s">
        <v>36</v>
      </c>
      <c r="S302" s="2" t="s">
        <v>282</v>
      </c>
      <c r="T302" s="2" t="s">
        <v>215</v>
      </c>
      <c r="U302" s="2" t="s">
        <v>29</v>
      </c>
      <c r="V302" s="2" t="n">
        <v>1</v>
      </c>
    </row>
    <row r="303">
      <c r="A303" s="2" t="n">
        <v>302</v>
      </c>
      <c r="B303" s="2" t="s">
        <v>3492</v>
      </c>
      <c r="C303" s="2" t="n">
        <v>254.982291646</v>
      </c>
      <c r="D303" s="2" t="n">
        <v>1.96627404726815</v>
      </c>
      <c r="E303" s="2" t="s">
        <v>3493</v>
      </c>
      <c r="F303" s="2" t="s">
        <v>86</v>
      </c>
      <c r="G303" s="2" t="s">
        <v>3494</v>
      </c>
      <c r="H303" s="2" t="s">
        <v>3495</v>
      </c>
      <c r="I303" s="2" t="s">
        <v>3496</v>
      </c>
      <c r="J303" s="2" t="s">
        <v>3497</v>
      </c>
      <c r="K303" s="2" t="s">
        <v>91</v>
      </c>
      <c r="L303" s="2" t="s">
        <v>91</v>
      </c>
      <c r="M303" s="2" t="s">
        <v>3498</v>
      </c>
      <c r="N303" s="2" t="s">
        <v>3499</v>
      </c>
      <c r="O303" s="2" t="s">
        <v>91</v>
      </c>
      <c r="P303" s="2" t="s">
        <v>3500</v>
      </c>
      <c r="Q303" s="2" t="s">
        <v>3501</v>
      </c>
      <c r="R303" s="2" t="s">
        <v>541</v>
      </c>
      <c r="S303" s="2" t="s">
        <v>1421</v>
      </c>
      <c r="T303" s="2" t="s">
        <v>543</v>
      </c>
      <c r="U303" s="2" t="s">
        <v>29</v>
      </c>
      <c r="V303" s="2" t="n">
        <v>2</v>
      </c>
    </row>
    <row r="304">
      <c r="A304" s="2" t="n">
        <v>303</v>
      </c>
      <c r="B304" s="2" t="s">
        <v>3502</v>
      </c>
      <c r="C304" s="2" t="n">
        <v>255.006398532</v>
      </c>
      <c r="D304" s="2" t="n">
        <v>10.4067802801423</v>
      </c>
      <c r="E304" s="2" t="s">
        <v>3503</v>
      </c>
      <c r="F304" s="2" t="s">
        <v>24</v>
      </c>
      <c r="G304" s="2" t="s">
        <v>3504</v>
      </c>
      <c r="H304" s="2" t="s">
        <v>3505</v>
      </c>
      <c r="I304" s="2" t="s">
        <v>3506</v>
      </c>
      <c r="J304" s="2" t="s">
        <v>3507</v>
      </c>
      <c r="K304" s="2" t="s">
        <v>29</v>
      </c>
      <c r="L304" s="2" t="s">
        <v>29</v>
      </c>
      <c r="M304" s="2" t="s">
        <v>29</v>
      </c>
      <c r="N304" s="2" t="s">
        <v>3508</v>
      </c>
      <c r="O304" s="2" t="s">
        <v>29</v>
      </c>
      <c r="P304" s="2" t="s">
        <v>3509</v>
      </c>
      <c r="Q304" s="2" t="s">
        <v>3510</v>
      </c>
      <c r="R304" s="2" t="s">
        <v>1355</v>
      </c>
      <c r="S304" s="2" t="s">
        <v>3298</v>
      </c>
      <c r="T304" s="2" t="s">
        <v>215</v>
      </c>
      <c r="U304" s="2" t="s">
        <v>29</v>
      </c>
      <c r="V304" s="2" t="n">
        <v>1</v>
      </c>
    </row>
    <row r="305">
      <c r="A305" s="2" t="n">
        <v>304</v>
      </c>
      <c r="B305" s="2" t="s">
        <v>3511</v>
      </c>
      <c r="C305" s="2" t="n">
        <v>255.170866325</v>
      </c>
      <c r="D305" s="2" t="n">
        <v>10.3707181739967</v>
      </c>
      <c r="E305" s="2" t="s">
        <v>3512</v>
      </c>
      <c r="F305" s="2" t="s">
        <v>161</v>
      </c>
      <c r="G305" s="2" t="s">
        <v>3513</v>
      </c>
      <c r="H305" s="2" t="s">
        <v>3514</v>
      </c>
      <c r="I305" s="2" t="s">
        <v>3515</v>
      </c>
      <c r="J305" s="2" t="s">
        <v>3516</v>
      </c>
      <c r="K305" s="2" t="s">
        <v>29</v>
      </c>
      <c r="L305" s="2" t="s">
        <v>29</v>
      </c>
      <c r="M305" s="2" t="s">
        <v>29</v>
      </c>
      <c r="N305" s="2" t="s">
        <v>3517</v>
      </c>
      <c r="O305" s="2" t="s">
        <v>29</v>
      </c>
      <c r="P305" s="2" t="s">
        <v>3518</v>
      </c>
      <c r="Q305" s="2" t="s">
        <v>3519</v>
      </c>
      <c r="R305" s="2" t="s">
        <v>601</v>
      </c>
      <c r="S305" s="2" t="s">
        <v>602</v>
      </c>
      <c r="T305" s="2" t="s">
        <v>1800</v>
      </c>
      <c r="U305" s="2" t="s">
        <v>29</v>
      </c>
      <c r="V305" s="2" t="n">
        <v>1</v>
      </c>
    </row>
    <row r="306">
      <c r="A306" s="2" t="n">
        <v>305</v>
      </c>
      <c r="B306" s="2" t="s">
        <v>3520</v>
      </c>
      <c r="C306" s="2" t="n">
        <v>255.232954268</v>
      </c>
      <c r="D306" s="2" t="n">
        <v>10.3602173310127</v>
      </c>
      <c r="E306" s="2" t="s">
        <v>3521</v>
      </c>
      <c r="F306" s="2" t="s">
        <v>24</v>
      </c>
      <c r="G306" s="2" t="s">
        <v>3522</v>
      </c>
      <c r="H306" s="2" t="s">
        <v>3523</v>
      </c>
      <c r="I306" s="2" t="s">
        <v>3524</v>
      </c>
      <c r="J306" s="2" t="s">
        <v>3525</v>
      </c>
      <c r="K306" s="2" t="s">
        <v>3526</v>
      </c>
      <c r="L306" s="2" t="s">
        <v>3527</v>
      </c>
      <c r="M306" s="2" t="s">
        <v>3528</v>
      </c>
      <c r="N306" s="2" t="s">
        <v>3529</v>
      </c>
      <c r="O306" s="2" t="s">
        <v>3530</v>
      </c>
      <c r="P306" s="2" t="s">
        <v>3531</v>
      </c>
      <c r="Q306" s="2" t="s">
        <v>3532</v>
      </c>
      <c r="R306" s="2" t="s">
        <v>794</v>
      </c>
      <c r="S306" s="2" t="s">
        <v>795</v>
      </c>
      <c r="T306" s="2" t="s">
        <v>796</v>
      </c>
      <c r="U306" s="2" t="s">
        <v>39</v>
      </c>
      <c r="V306" s="2" t="n">
        <v>1</v>
      </c>
    </row>
    <row r="307">
      <c r="A307" s="2" t="n">
        <v>306</v>
      </c>
      <c r="B307" s="2" t="s">
        <v>3533</v>
      </c>
      <c r="C307" s="2" t="n">
        <v>256.060676621</v>
      </c>
      <c r="D307" s="2" t="n">
        <v>8.2606567419284</v>
      </c>
      <c r="E307" s="2" t="s">
        <v>3534</v>
      </c>
      <c r="F307" s="2" t="s">
        <v>86</v>
      </c>
      <c r="G307" s="2" t="s">
        <v>3535</v>
      </c>
      <c r="H307" s="2" t="s">
        <v>3536</v>
      </c>
      <c r="I307" s="2" t="s">
        <v>3537</v>
      </c>
      <c r="J307" s="2" t="s">
        <v>29</v>
      </c>
      <c r="K307" s="2" t="s">
        <v>29</v>
      </c>
      <c r="L307" s="2" t="s">
        <v>29</v>
      </c>
      <c r="M307" s="2" t="s">
        <v>3538</v>
      </c>
      <c r="N307" s="2" t="s">
        <v>3539</v>
      </c>
      <c r="O307" s="2" t="s">
        <v>3540</v>
      </c>
      <c r="P307" s="2" t="s">
        <v>3541</v>
      </c>
      <c r="Q307" s="2" t="s">
        <v>3542</v>
      </c>
      <c r="R307" s="2" t="s">
        <v>114</v>
      </c>
      <c r="S307" s="2" t="s">
        <v>680</v>
      </c>
      <c r="T307" s="2" t="s">
        <v>3543</v>
      </c>
      <c r="U307" s="2" t="s">
        <v>56</v>
      </c>
      <c r="V307" s="2" t="n">
        <v>1</v>
      </c>
    </row>
    <row r="308">
      <c r="A308" s="2" t="n">
        <v>307</v>
      </c>
      <c r="B308" s="2" t="s">
        <v>3544</v>
      </c>
      <c r="C308" s="2" t="n">
        <v>256.099055858</v>
      </c>
      <c r="D308" s="2" t="n">
        <v>0.713469251235067</v>
      </c>
      <c r="E308" s="2" t="s">
        <v>3545</v>
      </c>
      <c r="F308" s="2" t="s">
        <v>205</v>
      </c>
      <c r="G308" s="2" t="s">
        <v>3546</v>
      </c>
      <c r="H308" s="2" t="s">
        <v>3547</v>
      </c>
      <c r="I308" s="2" t="s">
        <v>3548</v>
      </c>
      <c r="J308" s="2" t="s">
        <v>29</v>
      </c>
      <c r="K308" s="2" t="s">
        <v>29</v>
      </c>
      <c r="L308" s="2" t="s">
        <v>29</v>
      </c>
      <c r="M308" s="2" t="s">
        <v>29</v>
      </c>
      <c r="N308" s="2" t="s">
        <v>3549</v>
      </c>
      <c r="O308" s="2" t="s">
        <v>29</v>
      </c>
      <c r="P308" s="2" t="s">
        <v>3550</v>
      </c>
      <c r="Q308" s="2" t="s">
        <v>3551</v>
      </c>
      <c r="R308" s="2" t="s">
        <v>186</v>
      </c>
      <c r="S308" s="2" t="s">
        <v>187</v>
      </c>
      <c r="T308" s="2" t="s">
        <v>3552</v>
      </c>
      <c r="U308" s="2" t="s">
        <v>29</v>
      </c>
      <c r="V308" s="2" t="n">
        <v>1</v>
      </c>
    </row>
    <row r="309">
      <c r="A309" s="2" t="n">
        <v>308</v>
      </c>
      <c r="B309" s="2" t="s">
        <v>3553</v>
      </c>
      <c r="C309" s="2" t="n">
        <v>257.17583332</v>
      </c>
      <c r="D309" s="2" t="n">
        <v>17.2101545763723</v>
      </c>
      <c r="E309" s="2" t="s">
        <v>3554</v>
      </c>
      <c r="F309" s="2" t="s">
        <v>24</v>
      </c>
      <c r="G309" s="2" t="s">
        <v>3555</v>
      </c>
      <c r="H309" s="2" t="s">
        <v>3556</v>
      </c>
      <c r="I309" s="2" t="s">
        <v>3557</v>
      </c>
      <c r="J309" s="2" t="s">
        <v>3558</v>
      </c>
      <c r="K309" s="2" t="s">
        <v>3559</v>
      </c>
      <c r="L309" s="2" t="s">
        <v>3560</v>
      </c>
      <c r="M309" s="2" t="s">
        <v>3561</v>
      </c>
      <c r="N309" s="2" t="s">
        <v>3562</v>
      </c>
      <c r="O309" s="2" t="s">
        <v>3563</v>
      </c>
      <c r="P309" s="2" t="s">
        <v>3564</v>
      </c>
      <c r="Q309" s="2" t="s">
        <v>3565</v>
      </c>
      <c r="R309" s="2" t="s">
        <v>794</v>
      </c>
      <c r="S309" s="2" t="s">
        <v>795</v>
      </c>
      <c r="T309" s="2" t="s">
        <v>796</v>
      </c>
      <c r="U309" s="2" t="s">
        <v>56</v>
      </c>
      <c r="V309" s="2" t="n">
        <v>1</v>
      </c>
    </row>
    <row r="310">
      <c r="A310" s="2" t="n">
        <v>309</v>
      </c>
      <c r="B310" s="2" t="s">
        <v>3566</v>
      </c>
      <c r="C310" s="2" t="n">
        <v>259.035128586</v>
      </c>
      <c r="D310" s="2" t="n">
        <v>0.388213710047155</v>
      </c>
      <c r="E310" s="2" t="s">
        <v>3567</v>
      </c>
      <c r="F310" s="2" t="s">
        <v>218</v>
      </c>
      <c r="G310" s="2" t="s">
        <v>3568</v>
      </c>
      <c r="H310" s="2" t="s">
        <v>3569</v>
      </c>
      <c r="I310" s="2" t="s">
        <v>3570</v>
      </c>
      <c r="J310" s="2" t="s">
        <v>29</v>
      </c>
      <c r="K310" s="2" t="s">
        <v>29</v>
      </c>
      <c r="L310" s="2" t="s">
        <v>29</v>
      </c>
      <c r="M310" s="2" t="s">
        <v>29</v>
      </c>
      <c r="N310" s="2" t="s">
        <v>3571</v>
      </c>
      <c r="O310" s="2" t="s">
        <v>29</v>
      </c>
      <c r="P310" s="2" t="s">
        <v>3572</v>
      </c>
      <c r="Q310" s="2" t="s">
        <v>3573</v>
      </c>
      <c r="R310" s="2" t="s">
        <v>114</v>
      </c>
      <c r="S310" s="2" t="s">
        <v>730</v>
      </c>
      <c r="T310" s="2" t="s">
        <v>731</v>
      </c>
      <c r="U310" s="2" t="s">
        <v>29</v>
      </c>
      <c r="V310" s="2" t="n">
        <v>1</v>
      </c>
    </row>
    <row r="311">
      <c r="A311" s="2" t="n">
        <v>310</v>
      </c>
      <c r="B311" s="2" t="s">
        <v>3574</v>
      </c>
      <c r="C311" s="2" t="n">
        <v>259.129945752</v>
      </c>
      <c r="D311" s="2" t="n">
        <v>4.11504749679407</v>
      </c>
      <c r="E311" s="2" t="s">
        <v>3575</v>
      </c>
      <c r="F311" s="2" t="s">
        <v>24</v>
      </c>
      <c r="G311" s="2" t="s">
        <v>3576</v>
      </c>
      <c r="H311" s="2" t="s">
        <v>3577</v>
      </c>
      <c r="I311" s="2" t="s">
        <v>3578</v>
      </c>
      <c r="J311" s="2" t="s">
        <v>3579</v>
      </c>
      <c r="K311" s="2" t="s">
        <v>195</v>
      </c>
      <c r="L311" s="2" t="s">
        <v>195</v>
      </c>
      <c r="M311" s="2" t="s">
        <v>3580</v>
      </c>
      <c r="N311" s="2" t="s">
        <v>3581</v>
      </c>
      <c r="O311" s="2" t="s">
        <v>3582</v>
      </c>
      <c r="P311" s="2" t="s">
        <v>3583</v>
      </c>
      <c r="Q311" s="2" t="s">
        <v>3584</v>
      </c>
      <c r="R311" s="2" t="s">
        <v>1558</v>
      </c>
      <c r="S311" s="2" t="s">
        <v>1844</v>
      </c>
      <c r="T311" s="2" t="s">
        <v>1845</v>
      </c>
      <c r="U311" s="2" t="s">
        <v>39</v>
      </c>
      <c r="V311" s="2" t="n">
        <v>3</v>
      </c>
    </row>
    <row r="312">
      <c r="A312" s="2" t="n">
        <v>311</v>
      </c>
      <c r="B312" s="2" t="s">
        <v>3585</v>
      </c>
      <c r="C312" s="2" t="n">
        <v>260.040120801</v>
      </c>
      <c r="D312" s="2" t="n">
        <v>3.83246695595702</v>
      </c>
      <c r="E312" s="2" t="s">
        <v>3586</v>
      </c>
      <c r="F312" s="2" t="s">
        <v>531</v>
      </c>
      <c r="G312" s="2" t="s">
        <v>3587</v>
      </c>
      <c r="H312" s="2" t="s">
        <v>3588</v>
      </c>
      <c r="I312" s="2" t="s">
        <v>3589</v>
      </c>
      <c r="J312" s="2" t="s">
        <v>29</v>
      </c>
      <c r="K312" s="2" t="s">
        <v>29</v>
      </c>
      <c r="L312" s="2" t="s">
        <v>29</v>
      </c>
      <c r="M312" s="2" t="s">
        <v>29</v>
      </c>
      <c r="N312" s="2" t="s">
        <v>3590</v>
      </c>
      <c r="O312" s="2" t="s">
        <v>29</v>
      </c>
      <c r="P312" s="2" t="s">
        <v>3591</v>
      </c>
      <c r="Q312" s="2" t="s">
        <v>3592</v>
      </c>
      <c r="R312" s="2" t="s">
        <v>114</v>
      </c>
      <c r="S312" s="2" t="s">
        <v>730</v>
      </c>
      <c r="T312" s="2" t="s">
        <v>731</v>
      </c>
      <c r="U312" s="2" t="s">
        <v>56</v>
      </c>
      <c r="V312" s="2" t="n">
        <v>1</v>
      </c>
    </row>
    <row r="313">
      <c r="A313" s="2" t="n">
        <v>312</v>
      </c>
      <c r="B313" s="2" t="s">
        <v>3593</v>
      </c>
      <c r="C313" s="2" t="n">
        <v>261.035591135</v>
      </c>
      <c r="D313" s="2" t="n">
        <v>2.06176553843063</v>
      </c>
      <c r="E313" s="2" t="s">
        <v>3594</v>
      </c>
      <c r="F313" s="2" t="s">
        <v>24</v>
      </c>
      <c r="G313" s="2" t="s">
        <v>3595</v>
      </c>
      <c r="H313" s="2" t="s">
        <v>3596</v>
      </c>
      <c r="I313" s="2" t="s">
        <v>3597</v>
      </c>
      <c r="J313" s="2" t="s">
        <v>29</v>
      </c>
      <c r="K313" s="2" t="s">
        <v>29</v>
      </c>
      <c r="L313" s="2" t="s">
        <v>29</v>
      </c>
      <c r="M313" s="2" t="s">
        <v>29</v>
      </c>
      <c r="N313" s="2" t="s">
        <v>3598</v>
      </c>
      <c r="O313" s="2" t="s">
        <v>29</v>
      </c>
      <c r="P313" s="2" t="s">
        <v>3599</v>
      </c>
      <c r="Q313" s="2" t="s">
        <v>3600</v>
      </c>
      <c r="R313" s="2" t="s">
        <v>186</v>
      </c>
      <c r="S313" s="2" t="s">
        <v>187</v>
      </c>
      <c r="T313" s="2" t="s">
        <v>3601</v>
      </c>
      <c r="U313" s="2" t="s">
        <v>29</v>
      </c>
      <c r="V313" s="2" t="n">
        <v>1</v>
      </c>
    </row>
    <row r="314">
      <c r="A314" s="2" t="n">
        <v>313</v>
      </c>
      <c r="B314" s="2" t="s">
        <v>3602</v>
      </c>
      <c r="C314" s="2" t="n">
        <v>261.141552704</v>
      </c>
      <c r="D314" s="2" t="n">
        <v>1.08701107587282</v>
      </c>
      <c r="E314" s="2" t="s">
        <v>3603</v>
      </c>
      <c r="F314" s="2" t="s">
        <v>86</v>
      </c>
      <c r="G314" s="2" t="s">
        <v>3604</v>
      </c>
      <c r="H314" s="2" t="s">
        <v>3605</v>
      </c>
      <c r="I314" s="2" t="s">
        <v>3606</v>
      </c>
      <c r="J314" s="2" t="s">
        <v>3607</v>
      </c>
      <c r="K314" s="2" t="s">
        <v>29</v>
      </c>
      <c r="L314" s="2" t="s">
        <v>29</v>
      </c>
      <c r="M314" s="2" t="s">
        <v>29</v>
      </c>
      <c r="N314" s="2" t="s">
        <v>3608</v>
      </c>
      <c r="O314" s="2" t="s">
        <v>3609</v>
      </c>
      <c r="P314" s="2" t="s">
        <v>3610</v>
      </c>
      <c r="Q314" s="2" t="s">
        <v>3611</v>
      </c>
      <c r="R314" s="2" t="s">
        <v>501</v>
      </c>
      <c r="S314" s="2" t="s">
        <v>502</v>
      </c>
      <c r="T314" s="2" t="s">
        <v>3612</v>
      </c>
      <c r="U314" s="2" t="s">
        <v>29</v>
      </c>
      <c r="V314" s="2" t="n">
        <v>1</v>
      </c>
    </row>
    <row r="315">
      <c r="A315" s="2" t="n">
        <v>314</v>
      </c>
      <c r="B315" s="2" t="s">
        <v>3613</v>
      </c>
      <c r="C315" s="2" t="n">
        <v>261.944400823</v>
      </c>
      <c r="D315" s="2" t="n">
        <v>15.7790104227078</v>
      </c>
      <c r="E315" s="2" t="s">
        <v>3614</v>
      </c>
      <c r="F315" s="2" t="s">
        <v>531</v>
      </c>
      <c r="G315" s="2" t="s">
        <v>3615</v>
      </c>
      <c r="H315" s="2" t="s">
        <v>3616</v>
      </c>
      <c r="I315" s="2" t="s">
        <v>3617</v>
      </c>
      <c r="J315" s="2" t="s">
        <v>3618</v>
      </c>
      <c r="K315" s="2" t="s">
        <v>29</v>
      </c>
      <c r="L315" s="2" t="s">
        <v>3619</v>
      </c>
      <c r="M315" s="2" t="s">
        <v>3620</v>
      </c>
      <c r="N315" s="2" t="s">
        <v>3621</v>
      </c>
      <c r="O315" s="2" t="s">
        <v>3622</v>
      </c>
      <c r="P315" s="2" t="s">
        <v>3623</v>
      </c>
      <c r="Q315" s="2" t="s">
        <v>3624</v>
      </c>
      <c r="R315" s="2" t="s">
        <v>114</v>
      </c>
      <c r="S315" s="2" t="s">
        <v>2057</v>
      </c>
      <c r="T315" s="2" t="s">
        <v>3625</v>
      </c>
      <c r="U315" s="2" t="s">
        <v>101</v>
      </c>
      <c r="V315" s="2" t="n">
        <v>1</v>
      </c>
    </row>
    <row r="316">
      <c r="A316" s="2" t="n">
        <v>315</v>
      </c>
      <c r="B316" s="2" t="s">
        <v>3626</v>
      </c>
      <c r="C316" s="2" t="n">
        <v>262.094012993</v>
      </c>
      <c r="D316" s="2" t="n">
        <v>2.29090300678236</v>
      </c>
      <c r="E316" s="2" t="s">
        <v>3627</v>
      </c>
      <c r="F316" s="2" t="s">
        <v>161</v>
      </c>
      <c r="G316" s="2" t="s">
        <v>3628</v>
      </c>
      <c r="H316" s="2" t="s">
        <v>3629</v>
      </c>
      <c r="I316" s="2" t="s">
        <v>3630</v>
      </c>
      <c r="J316" s="2" t="s">
        <v>3631</v>
      </c>
      <c r="K316" s="2" t="s">
        <v>91</v>
      </c>
      <c r="L316" s="2" t="s">
        <v>3632</v>
      </c>
      <c r="M316" s="2" t="s">
        <v>3633</v>
      </c>
      <c r="N316" s="2" t="s">
        <v>3634</v>
      </c>
      <c r="O316" s="2" t="s">
        <v>3635</v>
      </c>
      <c r="P316" s="2" t="s">
        <v>3636</v>
      </c>
      <c r="Q316" s="2" t="s">
        <v>3637</v>
      </c>
      <c r="R316" s="2" t="s">
        <v>3638</v>
      </c>
      <c r="S316" s="2" t="s">
        <v>3639</v>
      </c>
      <c r="T316" s="2" t="s">
        <v>543</v>
      </c>
      <c r="U316" s="2" t="s">
        <v>56</v>
      </c>
      <c r="V316" s="2" t="n">
        <v>2</v>
      </c>
    </row>
    <row r="317">
      <c r="A317" s="2" t="n">
        <v>316</v>
      </c>
      <c r="B317" s="2" t="s">
        <v>3640</v>
      </c>
      <c r="C317" s="2" t="n">
        <v>263.03443243</v>
      </c>
      <c r="D317" s="2" t="n">
        <v>7.09089338481054</v>
      </c>
      <c r="E317" s="2" t="s">
        <v>3641</v>
      </c>
      <c r="F317" s="2" t="s">
        <v>161</v>
      </c>
      <c r="G317" s="2" t="s">
        <v>3642</v>
      </c>
      <c r="H317" s="2" t="s">
        <v>3643</v>
      </c>
      <c r="I317" s="2" t="s">
        <v>3644</v>
      </c>
      <c r="J317" s="2" t="s">
        <v>3645</v>
      </c>
      <c r="K317" s="2" t="s">
        <v>3646</v>
      </c>
      <c r="L317" s="2" t="s">
        <v>3647</v>
      </c>
      <c r="M317" s="2" t="s">
        <v>3648</v>
      </c>
      <c r="N317" s="2" t="s">
        <v>3649</v>
      </c>
      <c r="O317" s="2" t="s">
        <v>3650</v>
      </c>
      <c r="P317" s="2" t="s">
        <v>3651</v>
      </c>
      <c r="Q317" s="2" t="s">
        <v>3652</v>
      </c>
      <c r="R317" s="2" t="s">
        <v>1355</v>
      </c>
      <c r="S317" s="2" t="s">
        <v>3653</v>
      </c>
      <c r="T317" s="2" t="s">
        <v>3654</v>
      </c>
      <c r="U317" s="2" t="s">
        <v>101</v>
      </c>
      <c r="V317" s="2" t="n">
        <v>1</v>
      </c>
    </row>
    <row r="318">
      <c r="A318" s="2" t="n">
        <v>317</v>
      </c>
      <c r="B318" s="2" t="s">
        <v>3655</v>
      </c>
      <c r="C318" s="2" t="n">
        <v>263.063302384</v>
      </c>
      <c r="D318" s="2" t="n">
        <v>1.6811786445451</v>
      </c>
      <c r="E318" s="2" t="s">
        <v>3656</v>
      </c>
      <c r="F318" s="2" t="s">
        <v>86</v>
      </c>
      <c r="G318" s="2" t="s">
        <v>3657</v>
      </c>
      <c r="H318" s="2" t="s">
        <v>3658</v>
      </c>
      <c r="I318" s="2" t="s">
        <v>3659</v>
      </c>
      <c r="J318" s="2" t="s">
        <v>3660</v>
      </c>
      <c r="K318" s="2" t="s">
        <v>91</v>
      </c>
      <c r="L318" s="2" t="s">
        <v>3661</v>
      </c>
      <c r="M318" s="2" t="s">
        <v>3662</v>
      </c>
      <c r="N318" s="2" t="s">
        <v>3663</v>
      </c>
      <c r="O318" s="2" t="s">
        <v>3664</v>
      </c>
      <c r="P318" s="2" t="s">
        <v>3665</v>
      </c>
      <c r="Q318" s="2" t="s">
        <v>3666</v>
      </c>
      <c r="R318" s="2" t="s">
        <v>770</v>
      </c>
      <c r="S318" s="2" t="s">
        <v>3667</v>
      </c>
      <c r="T318" s="2" t="s">
        <v>3668</v>
      </c>
      <c r="U318" s="2" t="s">
        <v>101</v>
      </c>
      <c r="V318" s="2" t="n">
        <v>2</v>
      </c>
    </row>
    <row r="319">
      <c r="A319" s="2" t="n">
        <v>318</v>
      </c>
      <c r="B319" s="2" t="s">
        <v>3669</v>
      </c>
      <c r="C319" s="2" t="n">
        <v>263.132249638</v>
      </c>
      <c r="D319" s="2" t="n">
        <v>3.94886202920278</v>
      </c>
      <c r="E319" s="2" t="s">
        <v>3670</v>
      </c>
      <c r="F319" s="2" t="s">
        <v>205</v>
      </c>
      <c r="G319" s="2" t="s">
        <v>3671</v>
      </c>
      <c r="H319" s="2" t="s">
        <v>3672</v>
      </c>
      <c r="I319" s="2" t="s">
        <v>3673</v>
      </c>
      <c r="J319" s="2" t="s">
        <v>3674</v>
      </c>
      <c r="K319" s="2" t="s">
        <v>91</v>
      </c>
      <c r="L319" s="2" t="s">
        <v>91</v>
      </c>
      <c r="M319" s="2" t="s">
        <v>3675</v>
      </c>
      <c r="N319" s="2" t="s">
        <v>3676</v>
      </c>
      <c r="O319" s="2" t="s">
        <v>3677</v>
      </c>
      <c r="P319" s="2" t="s">
        <v>3678</v>
      </c>
      <c r="Q319" s="2" t="s">
        <v>3679</v>
      </c>
      <c r="R319" s="2" t="s">
        <v>412</v>
      </c>
      <c r="S319" s="2" t="s">
        <v>413</v>
      </c>
      <c r="T319" s="2" t="s">
        <v>3680</v>
      </c>
      <c r="U319" s="2" t="s">
        <v>56</v>
      </c>
      <c r="V319" s="2" t="n">
        <v>2</v>
      </c>
    </row>
    <row r="320">
      <c r="A320" s="2" t="n">
        <v>319</v>
      </c>
      <c r="B320" s="2" t="s">
        <v>3681</v>
      </c>
      <c r="C320" s="2" t="n">
        <v>263.165268634</v>
      </c>
      <c r="D320" s="2" t="n">
        <v>2.23571305622903</v>
      </c>
      <c r="E320" s="2" t="s">
        <v>3682</v>
      </c>
      <c r="F320" s="2" t="s">
        <v>24</v>
      </c>
      <c r="G320" s="2" t="s">
        <v>3683</v>
      </c>
      <c r="H320" s="2" t="s">
        <v>3684</v>
      </c>
      <c r="I320" s="2" t="s">
        <v>3685</v>
      </c>
      <c r="J320" s="2" t="s">
        <v>3686</v>
      </c>
      <c r="K320" s="2" t="s">
        <v>29</v>
      </c>
      <c r="L320" s="2" t="s">
        <v>29</v>
      </c>
      <c r="M320" s="2" t="s">
        <v>3687</v>
      </c>
      <c r="N320" s="2" t="s">
        <v>3688</v>
      </c>
      <c r="O320" s="2" t="s">
        <v>3689</v>
      </c>
      <c r="P320" s="2" t="s">
        <v>3690</v>
      </c>
      <c r="Q320" s="2" t="s">
        <v>3691</v>
      </c>
      <c r="R320" s="2" t="s">
        <v>794</v>
      </c>
      <c r="S320" s="2" t="s">
        <v>795</v>
      </c>
      <c r="T320" s="2" t="s">
        <v>3692</v>
      </c>
      <c r="U320" s="2" t="s">
        <v>56</v>
      </c>
      <c r="V320" s="2" t="n">
        <v>1</v>
      </c>
    </row>
    <row r="321">
      <c r="A321" s="2" t="n">
        <v>320</v>
      </c>
      <c r="B321" s="2" t="s">
        <v>3693</v>
      </c>
      <c r="C321" s="2" t="n">
        <v>265.02310692</v>
      </c>
      <c r="D321" s="2" t="n">
        <v>0.0966446283662164</v>
      </c>
      <c r="E321" s="2" t="s">
        <v>3694</v>
      </c>
      <c r="F321" s="2" t="s">
        <v>205</v>
      </c>
      <c r="G321" s="2" t="s">
        <v>3695</v>
      </c>
      <c r="H321" s="2" t="s">
        <v>3696</v>
      </c>
      <c r="I321" s="2" t="s">
        <v>3697</v>
      </c>
      <c r="J321" s="2" t="s">
        <v>3698</v>
      </c>
      <c r="K321" s="2" t="s">
        <v>29</v>
      </c>
      <c r="L321" s="2" t="s">
        <v>3699</v>
      </c>
      <c r="M321" s="2" t="s">
        <v>3700</v>
      </c>
      <c r="N321" s="2" t="s">
        <v>3701</v>
      </c>
      <c r="O321" s="2" t="s">
        <v>3702</v>
      </c>
      <c r="P321" s="2" t="s">
        <v>3703</v>
      </c>
      <c r="Q321" s="2" t="s">
        <v>3704</v>
      </c>
      <c r="R321" s="2" t="s">
        <v>36</v>
      </c>
      <c r="S321" s="2" t="s">
        <v>2572</v>
      </c>
      <c r="T321" s="2" t="s">
        <v>2637</v>
      </c>
      <c r="U321" s="2" t="s">
        <v>56</v>
      </c>
      <c r="V321" s="2" t="n">
        <v>1</v>
      </c>
    </row>
    <row r="322">
      <c r="A322" s="2" t="n">
        <v>321</v>
      </c>
      <c r="B322" s="2" t="s">
        <v>3705</v>
      </c>
      <c r="C322" s="2" t="n">
        <v>265.217304204</v>
      </c>
      <c r="D322" s="2" t="n">
        <v>17.3187614234264</v>
      </c>
      <c r="E322" s="2" t="s">
        <v>3706</v>
      </c>
      <c r="F322" s="2" t="s">
        <v>24</v>
      </c>
      <c r="G322" s="2" t="s">
        <v>3707</v>
      </c>
      <c r="H322" s="2" t="s">
        <v>3708</v>
      </c>
      <c r="I322" s="2" t="s">
        <v>3709</v>
      </c>
      <c r="J322" s="2" t="s">
        <v>3710</v>
      </c>
      <c r="K322" s="2" t="s">
        <v>29</v>
      </c>
      <c r="L322" s="2" t="s">
        <v>29</v>
      </c>
      <c r="M322" s="2" t="s">
        <v>3711</v>
      </c>
      <c r="N322" s="2" t="s">
        <v>3712</v>
      </c>
      <c r="O322" s="2" t="s">
        <v>3713</v>
      </c>
      <c r="P322" s="2" t="s">
        <v>3714</v>
      </c>
      <c r="Q322" s="2" t="s">
        <v>3715</v>
      </c>
      <c r="R322" s="2" t="s">
        <v>794</v>
      </c>
      <c r="S322" s="2" t="s">
        <v>795</v>
      </c>
      <c r="T322" s="2" t="s">
        <v>1870</v>
      </c>
      <c r="U322" s="2" t="s">
        <v>56</v>
      </c>
      <c r="V322" s="2" t="n">
        <v>1</v>
      </c>
    </row>
    <row r="323">
      <c r="A323" s="2" t="n">
        <v>322</v>
      </c>
      <c r="B323" s="2" t="s">
        <v>3716</v>
      </c>
      <c r="C323" s="2" t="n">
        <v>266.019976488</v>
      </c>
      <c r="D323" s="2" t="n">
        <v>1.57547340159309</v>
      </c>
      <c r="E323" s="2" t="s">
        <v>3717</v>
      </c>
      <c r="F323" s="2" t="s">
        <v>531</v>
      </c>
      <c r="G323" s="2" t="s">
        <v>3718</v>
      </c>
      <c r="H323" s="2" t="s">
        <v>3719</v>
      </c>
      <c r="I323" s="2" t="s">
        <v>3720</v>
      </c>
      <c r="J323" s="2" t="s">
        <v>29</v>
      </c>
      <c r="K323" s="2" t="s">
        <v>29</v>
      </c>
      <c r="L323" s="2" t="s">
        <v>29</v>
      </c>
      <c r="M323" s="2" t="s">
        <v>29</v>
      </c>
      <c r="N323" s="2" t="s">
        <v>29</v>
      </c>
      <c r="O323" s="2" t="s">
        <v>29</v>
      </c>
      <c r="P323" s="2" t="s">
        <v>3721</v>
      </c>
      <c r="Q323" s="2" t="s">
        <v>3722</v>
      </c>
      <c r="R323" s="2" t="s">
        <v>186</v>
      </c>
      <c r="S323" s="2" t="s">
        <v>187</v>
      </c>
      <c r="T323" s="2" t="s">
        <v>1206</v>
      </c>
      <c r="U323" s="2" t="s">
        <v>29</v>
      </c>
      <c r="V323" s="2" t="n">
        <v>1</v>
      </c>
    </row>
    <row r="324">
      <c r="A324" s="2" t="n">
        <v>323</v>
      </c>
      <c r="B324" s="2" t="s">
        <v>3723</v>
      </c>
      <c r="C324" s="2" t="n">
        <v>266.088140525</v>
      </c>
      <c r="D324" s="2" t="n">
        <v>0.850599527090676</v>
      </c>
      <c r="E324" s="2" t="s">
        <v>3724</v>
      </c>
      <c r="F324" s="2" t="s">
        <v>24</v>
      </c>
      <c r="G324" s="2" t="s">
        <v>3725</v>
      </c>
      <c r="H324" s="2" t="s">
        <v>3726</v>
      </c>
      <c r="I324" s="2" t="s">
        <v>3727</v>
      </c>
      <c r="J324" s="2" t="s">
        <v>3728</v>
      </c>
      <c r="K324" s="2" t="s">
        <v>29</v>
      </c>
      <c r="L324" s="2" t="s">
        <v>3729</v>
      </c>
      <c r="M324" s="2" t="s">
        <v>3730</v>
      </c>
      <c r="N324" s="2" t="s">
        <v>3731</v>
      </c>
      <c r="O324" s="2" t="s">
        <v>3732</v>
      </c>
      <c r="P324" s="2" t="s">
        <v>3733</v>
      </c>
      <c r="Q324" s="2" t="s">
        <v>3734</v>
      </c>
      <c r="R324" s="2" t="s">
        <v>129</v>
      </c>
      <c r="S324" s="2" t="s">
        <v>130</v>
      </c>
      <c r="T324" s="2" t="s">
        <v>1681</v>
      </c>
      <c r="U324" s="2" t="s">
        <v>56</v>
      </c>
      <c r="V324" s="2" t="n">
        <v>1</v>
      </c>
    </row>
    <row r="325">
      <c r="A325" s="2" t="n">
        <v>324</v>
      </c>
      <c r="B325" s="2" t="s">
        <v>3735</v>
      </c>
      <c r="C325" s="2" t="n">
        <v>266.817314</v>
      </c>
      <c r="D325" s="2" t="n">
        <v>0.97067100368329</v>
      </c>
      <c r="E325" s="2" t="s">
        <v>3736</v>
      </c>
      <c r="F325" s="2" t="s">
        <v>24</v>
      </c>
      <c r="G325" s="2" t="s">
        <v>3737</v>
      </c>
      <c r="H325" s="2" t="s">
        <v>3738</v>
      </c>
      <c r="I325" s="2" t="s">
        <v>3739</v>
      </c>
      <c r="J325" s="2" t="s">
        <v>3740</v>
      </c>
      <c r="K325" s="2" t="s">
        <v>29</v>
      </c>
      <c r="L325" s="2" t="s">
        <v>29</v>
      </c>
      <c r="M325" s="2" t="s">
        <v>29</v>
      </c>
      <c r="N325" s="2" t="s">
        <v>3741</v>
      </c>
      <c r="O325" s="2" t="s">
        <v>29</v>
      </c>
      <c r="P325" s="2" t="s">
        <v>3742</v>
      </c>
      <c r="Q325" s="2" t="s">
        <v>3743</v>
      </c>
      <c r="R325" s="2" t="s">
        <v>213</v>
      </c>
      <c r="S325" s="2" t="s">
        <v>3744</v>
      </c>
      <c r="T325" s="2" t="s">
        <v>3745</v>
      </c>
      <c r="U325" s="2" t="s">
        <v>29</v>
      </c>
      <c r="V325" s="2" t="n">
        <v>1</v>
      </c>
    </row>
    <row r="326">
      <c r="A326" s="2" t="n">
        <v>325</v>
      </c>
      <c r="B326" s="2" t="s">
        <v>3746</v>
      </c>
      <c r="C326" s="2" t="n">
        <v>267.07751626</v>
      </c>
      <c r="D326" s="2" t="n">
        <v>0.866233519940726</v>
      </c>
      <c r="E326" s="2" t="s">
        <v>3747</v>
      </c>
      <c r="F326" s="2" t="s">
        <v>24</v>
      </c>
      <c r="G326" s="2" t="s">
        <v>3748</v>
      </c>
      <c r="H326" s="2" t="s">
        <v>3749</v>
      </c>
      <c r="I326" s="2" t="s">
        <v>3750</v>
      </c>
      <c r="J326" s="2" t="s">
        <v>3751</v>
      </c>
      <c r="K326" s="2" t="s">
        <v>29</v>
      </c>
      <c r="L326" s="2" t="s">
        <v>3752</v>
      </c>
      <c r="M326" s="2" t="s">
        <v>3753</v>
      </c>
      <c r="N326" s="2" t="s">
        <v>3754</v>
      </c>
      <c r="O326" s="2" t="s">
        <v>29</v>
      </c>
      <c r="P326" s="2" t="s">
        <v>3755</v>
      </c>
      <c r="Q326" s="2" t="s">
        <v>3756</v>
      </c>
      <c r="R326" s="2" t="s">
        <v>114</v>
      </c>
      <c r="S326" s="2" t="s">
        <v>3757</v>
      </c>
      <c r="T326" s="2" t="s">
        <v>3758</v>
      </c>
      <c r="U326" s="2" t="s">
        <v>56</v>
      </c>
      <c r="V326" s="2" t="n">
        <v>1</v>
      </c>
    </row>
    <row r="327">
      <c r="A327" s="2" t="n">
        <v>326</v>
      </c>
      <c r="B327" s="2" t="s">
        <v>3759</v>
      </c>
      <c r="C327" s="2" t="n">
        <v>267.117924515</v>
      </c>
      <c r="D327" s="2" t="n">
        <v>8.53501495051891</v>
      </c>
      <c r="E327" s="2" t="s">
        <v>3760</v>
      </c>
      <c r="F327" s="2" t="s">
        <v>24</v>
      </c>
      <c r="G327" s="2" t="s">
        <v>3761</v>
      </c>
      <c r="H327" s="2" t="s">
        <v>3762</v>
      </c>
      <c r="I327" s="2" t="s">
        <v>3763</v>
      </c>
      <c r="J327" s="2" t="s">
        <v>3764</v>
      </c>
      <c r="K327" s="2" t="s">
        <v>29</v>
      </c>
      <c r="L327" s="2" t="s">
        <v>3765</v>
      </c>
      <c r="M327" s="2" t="s">
        <v>3766</v>
      </c>
      <c r="N327" s="2" t="s">
        <v>3767</v>
      </c>
      <c r="O327" s="2" t="s">
        <v>29</v>
      </c>
      <c r="P327" s="2" t="s">
        <v>3768</v>
      </c>
      <c r="Q327" s="2" t="s">
        <v>3769</v>
      </c>
      <c r="R327" s="2" t="s">
        <v>186</v>
      </c>
      <c r="S327" s="2" t="s">
        <v>3770</v>
      </c>
      <c r="T327" s="2" t="s">
        <v>215</v>
      </c>
      <c r="U327" s="2" t="s">
        <v>101</v>
      </c>
      <c r="V327" s="2" t="n">
        <v>1</v>
      </c>
    </row>
    <row r="328">
      <c r="A328" s="2" t="n">
        <v>327</v>
      </c>
      <c r="B328" s="2" t="s">
        <v>3771</v>
      </c>
      <c r="C328" s="2" t="n">
        <v>267.232403954</v>
      </c>
      <c r="D328" s="2" t="n">
        <v>11.2154856730061</v>
      </c>
      <c r="E328" s="2" t="s">
        <v>3772</v>
      </c>
      <c r="F328" s="2" t="s">
        <v>161</v>
      </c>
      <c r="G328" s="2" t="s">
        <v>3773</v>
      </c>
      <c r="H328" s="2" t="s">
        <v>3774</v>
      </c>
      <c r="I328" s="2" t="s">
        <v>3775</v>
      </c>
      <c r="J328" s="2" t="s">
        <v>3776</v>
      </c>
      <c r="K328" s="2" t="s">
        <v>3777</v>
      </c>
      <c r="L328" s="2" t="s">
        <v>91</v>
      </c>
      <c r="M328" s="2" t="s">
        <v>3778</v>
      </c>
      <c r="N328" s="2" t="s">
        <v>3779</v>
      </c>
      <c r="O328" s="2" t="s">
        <v>3780</v>
      </c>
      <c r="P328" s="2" t="s">
        <v>3781</v>
      </c>
      <c r="Q328" s="2" t="s">
        <v>3782</v>
      </c>
      <c r="R328" s="2" t="s">
        <v>412</v>
      </c>
      <c r="S328" s="2" t="s">
        <v>413</v>
      </c>
      <c r="T328" s="2" t="s">
        <v>3783</v>
      </c>
      <c r="U328" s="2" t="s">
        <v>56</v>
      </c>
      <c r="V328" s="2" t="n">
        <v>2</v>
      </c>
    </row>
    <row r="329">
      <c r="A329" s="2" t="n">
        <v>328</v>
      </c>
      <c r="B329" s="2" t="s">
        <v>3784</v>
      </c>
      <c r="C329" s="2" t="n">
        <v>268.105127983</v>
      </c>
      <c r="D329" s="2" t="n">
        <v>7.14066445456545</v>
      </c>
      <c r="E329" s="2" t="s">
        <v>3785</v>
      </c>
      <c r="F329" s="2" t="s">
        <v>24</v>
      </c>
      <c r="G329" s="2" t="s">
        <v>3786</v>
      </c>
      <c r="H329" s="2" t="s">
        <v>3787</v>
      </c>
      <c r="I329" s="2" t="s">
        <v>3788</v>
      </c>
      <c r="J329" s="2" t="s">
        <v>3789</v>
      </c>
      <c r="K329" s="2" t="s">
        <v>91</v>
      </c>
      <c r="L329" s="2" t="s">
        <v>91</v>
      </c>
      <c r="M329" s="2" t="s">
        <v>3790</v>
      </c>
      <c r="N329" s="2" t="s">
        <v>3791</v>
      </c>
      <c r="O329" s="2" t="s">
        <v>3792</v>
      </c>
      <c r="P329" s="2" t="s">
        <v>3793</v>
      </c>
      <c r="Q329" s="2" t="s">
        <v>3794</v>
      </c>
      <c r="R329" s="2" t="s">
        <v>144</v>
      </c>
      <c r="S329" s="2" t="s">
        <v>145</v>
      </c>
      <c r="T329" s="2" t="s">
        <v>146</v>
      </c>
      <c r="U329" s="2" t="s">
        <v>56</v>
      </c>
      <c r="V329" s="2" t="n">
        <v>2</v>
      </c>
    </row>
    <row r="330">
      <c r="A330" s="2" t="n">
        <v>329</v>
      </c>
      <c r="B330" s="2" t="s">
        <v>3795</v>
      </c>
      <c r="C330" s="2" t="n">
        <v>269.093162016</v>
      </c>
      <c r="D330" s="2" t="n">
        <v>2.56615171375449</v>
      </c>
      <c r="E330" s="2" t="s">
        <v>3796</v>
      </c>
      <c r="F330" s="2" t="s">
        <v>205</v>
      </c>
      <c r="G330" s="2" t="s">
        <v>3797</v>
      </c>
      <c r="H330" s="2" t="s">
        <v>3798</v>
      </c>
      <c r="I330" s="2" t="s">
        <v>3799</v>
      </c>
      <c r="J330" s="2" t="s">
        <v>3800</v>
      </c>
      <c r="K330" s="2" t="s">
        <v>29</v>
      </c>
      <c r="L330" s="2" t="s">
        <v>29</v>
      </c>
      <c r="M330" s="2" t="s">
        <v>29</v>
      </c>
      <c r="N330" s="2" t="s">
        <v>3801</v>
      </c>
      <c r="O330" s="2" t="s">
        <v>3802</v>
      </c>
      <c r="P330" s="2" t="s">
        <v>3803</v>
      </c>
      <c r="Q330" s="2" t="s">
        <v>3804</v>
      </c>
      <c r="R330" s="2" t="s">
        <v>3003</v>
      </c>
      <c r="S330" s="2" t="s">
        <v>3805</v>
      </c>
      <c r="T330" s="2" t="s">
        <v>215</v>
      </c>
      <c r="U330" s="2" t="s">
        <v>56</v>
      </c>
      <c r="V330" s="2" t="n">
        <v>1</v>
      </c>
    </row>
    <row r="331">
      <c r="A331" s="2" t="n">
        <v>330</v>
      </c>
      <c r="B331" s="2" t="s">
        <v>3806</v>
      </c>
      <c r="C331" s="2" t="n">
        <v>269.211668512</v>
      </c>
      <c r="D331" s="2" t="n">
        <v>17.0542545291593</v>
      </c>
      <c r="E331" s="2" t="s">
        <v>3807</v>
      </c>
      <c r="F331" s="2" t="s">
        <v>161</v>
      </c>
      <c r="G331" s="2" t="s">
        <v>3808</v>
      </c>
      <c r="H331" s="2" t="s">
        <v>3809</v>
      </c>
      <c r="I331" s="2" t="s">
        <v>3810</v>
      </c>
      <c r="J331" s="2" t="s">
        <v>3811</v>
      </c>
      <c r="K331" s="2" t="s">
        <v>3812</v>
      </c>
      <c r="L331" s="2" t="s">
        <v>3813</v>
      </c>
      <c r="M331" s="2" t="s">
        <v>3814</v>
      </c>
      <c r="N331" s="2" t="s">
        <v>3815</v>
      </c>
      <c r="O331" s="2" t="s">
        <v>3816</v>
      </c>
      <c r="P331" s="2" t="s">
        <v>3817</v>
      </c>
      <c r="Q331" s="2" t="s">
        <v>3818</v>
      </c>
      <c r="R331" s="2" t="s">
        <v>794</v>
      </c>
      <c r="S331" s="2" t="s">
        <v>795</v>
      </c>
      <c r="T331" s="2" t="s">
        <v>796</v>
      </c>
      <c r="U331" s="2" t="s">
        <v>56</v>
      </c>
      <c r="V331" s="2" t="n">
        <v>1</v>
      </c>
    </row>
    <row r="332">
      <c r="A332" s="2" t="n">
        <v>331</v>
      </c>
      <c r="B332" s="2" t="s">
        <v>3819</v>
      </c>
      <c r="C332" s="2" t="n">
        <v>269.248600024</v>
      </c>
      <c r="D332" s="2" t="n">
        <v>9.60201561231207</v>
      </c>
      <c r="E332" s="2" t="s">
        <v>3820</v>
      </c>
      <c r="F332" s="2" t="s">
        <v>205</v>
      </c>
      <c r="G332" s="2" t="s">
        <v>3821</v>
      </c>
      <c r="H332" s="2" t="s">
        <v>3822</v>
      </c>
      <c r="I332" s="2" t="s">
        <v>3823</v>
      </c>
      <c r="J332" s="2" t="s">
        <v>29</v>
      </c>
      <c r="K332" s="2" t="s">
        <v>29</v>
      </c>
      <c r="L332" s="2" t="s">
        <v>29</v>
      </c>
      <c r="M332" s="2" t="s">
        <v>3824</v>
      </c>
      <c r="N332" s="2" t="s">
        <v>29</v>
      </c>
      <c r="O332" s="2" t="s">
        <v>29</v>
      </c>
      <c r="P332" s="2" t="s">
        <v>3825</v>
      </c>
      <c r="Q332" s="2" t="s">
        <v>3826</v>
      </c>
      <c r="R332" s="2" t="s">
        <v>501</v>
      </c>
      <c r="S332" s="2" t="s">
        <v>502</v>
      </c>
      <c r="T332" s="2" t="s">
        <v>3827</v>
      </c>
      <c r="U332" s="2" t="s">
        <v>29</v>
      </c>
      <c r="V332" s="2" t="n">
        <v>1</v>
      </c>
    </row>
    <row r="333">
      <c r="A333" s="2" t="n">
        <v>332</v>
      </c>
      <c r="B333" s="2" t="s">
        <v>3828</v>
      </c>
      <c r="C333" s="2" t="n">
        <v>271.005729204</v>
      </c>
      <c r="D333" s="2" t="n">
        <v>8.28716694568439</v>
      </c>
      <c r="E333" s="2" t="s">
        <v>3829</v>
      </c>
      <c r="F333" s="2" t="s">
        <v>86</v>
      </c>
      <c r="G333" s="2" t="s">
        <v>3830</v>
      </c>
      <c r="H333" s="2" t="s">
        <v>3831</v>
      </c>
      <c r="I333" s="2" t="s">
        <v>3832</v>
      </c>
      <c r="J333" s="2" t="s">
        <v>3833</v>
      </c>
      <c r="K333" s="2" t="s">
        <v>195</v>
      </c>
      <c r="L333" s="2" t="s">
        <v>195</v>
      </c>
      <c r="M333" s="2" t="s">
        <v>3834</v>
      </c>
      <c r="N333" s="2" t="s">
        <v>3835</v>
      </c>
      <c r="O333" s="2" t="s">
        <v>3836</v>
      </c>
      <c r="P333" s="2" t="s">
        <v>3837</v>
      </c>
      <c r="Q333" s="2" t="s">
        <v>3838</v>
      </c>
      <c r="R333" s="2" t="s">
        <v>3839</v>
      </c>
      <c r="S333" s="2" t="s">
        <v>3840</v>
      </c>
      <c r="T333" s="2" t="s">
        <v>492</v>
      </c>
      <c r="U333" s="2" t="s">
        <v>29</v>
      </c>
      <c r="V333" s="2" t="n">
        <v>3</v>
      </c>
    </row>
    <row r="334">
      <c r="A334" s="2" t="n">
        <v>333</v>
      </c>
      <c r="B334" s="2" t="s">
        <v>3841</v>
      </c>
      <c r="C334" s="2" t="n">
        <v>271.22786889</v>
      </c>
      <c r="D334" s="2" t="n">
        <v>8.27341053140943</v>
      </c>
      <c r="E334" s="2" t="s">
        <v>3842</v>
      </c>
      <c r="F334" s="2" t="s">
        <v>24</v>
      </c>
      <c r="G334" s="2" t="s">
        <v>3843</v>
      </c>
      <c r="H334" s="2" t="s">
        <v>3844</v>
      </c>
      <c r="I334" s="2" t="s">
        <v>3845</v>
      </c>
      <c r="J334" s="2" t="s">
        <v>3846</v>
      </c>
      <c r="K334" s="2" t="s">
        <v>3847</v>
      </c>
      <c r="L334" s="2" t="s">
        <v>3848</v>
      </c>
      <c r="M334" s="2" t="s">
        <v>3849</v>
      </c>
      <c r="N334" s="2" t="s">
        <v>3850</v>
      </c>
      <c r="O334" s="2" t="s">
        <v>3851</v>
      </c>
      <c r="P334" s="2" t="s">
        <v>3852</v>
      </c>
      <c r="Q334" s="2" t="s">
        <v>3853</v>
      </c>
      <c r="R334" s="2" t="s">
        <v>794</v>
      </c>
      <c r="S334" s="2" t="s">
        <v>795</v>
      </c>
      <c r="T334" s="2" t="s">
        <v>796</v>
      </c>
      <c r="U334" s="2" t="s">
        <v>56</v>
      </c>
      <c r="V334" s="2" t="n">
        <v>1</v>
      </c>
    </row>
    <row r="335">
      <c r="A335" s="2" t="n">
        <v>334</v>
      </c>
      <c r="B335" s="2" t="s">
        <v>3854</v>
      </c>
      <c r="C335" s="2" t="n">
        <v>272.0114445</v>
      </c>
      <c r="D335" s="2" t="n">
        <v>5.21435257110549</v>
      </c>
      <c r="E335" s="2" t="s">
        <v>3855</v>
      </c>
      <c r="F335" s="2" t="s">
        <v>161</v>
      </c>
      <c r="G335" s="2" t="s">
        <v>3856</v>
      </c>
      <c r="H335" s="2" t="s">
        <v>3857</v>
      </c>
      <c r="I335" s="2" t="s">
        <v>3858</v>
      </c>
      <c r="J335" s="2" t="s">
        <v>3859</v>
      </c>
      <c r="K335" s="2" t="s">
        <v>29</v>
      </c>
      <c r="L335" s="2" t="s">
        <v>29</v>
      </c>
      <c r="M335" s="2" t="s">
        <v>29</v>
      </c>
      <c r="N335" s="2" t="s">
        <v>3860</v>
      </c>
      <c r="O335" s="2" t="s">
        <v>29</v>
      </c>
      <c r="P335" s="2" t="s">
        <v>3861</v>
      </c>
      <c r="Q335" s="2" t="s">
        <v>3862</v>
      </c>
      <c r="R335" s="2" t="s">
        <v>186</v>
      </c>
      <c r="S335" s="2" t="s">
        <v>187</v>
      </c>
      <c r="T335" s="2" t="s">
        <v>3454</v>
      </c>
      <c r="U335" s="2" t="s">
        <v>29</v>
      </c>
      <c r="V335" s="2" t="n">
        <v>1</v>
      </c>
    </row>
    <row r="336">
      <c r="A336" s="2" t="n">
        <v>335</v>
      </c>
      <c r="B336" s="2" t="s">
        <v>3863</v>
      </c>
      <c r="C336" s="2" t="n">
        <v>272.092827665</v>
      </c>
      <c r="D336" s="2" t="n">
        <v>0.516575424290936</v>
      </c>
      <c r="E336" s="2" t="s">
        <v>3864</v>
      </c>
      <c r="F336" s="2" t="s">
        <v>205</v>
      </c>
      <c r="G336" s="2" t="s">
        <v>3865</v>
      </c>
      <c r="H336" s="2" t="s">
        <v>3866</v>
      </c>
      <c r="I336" s="2" t="s">
        <v>3867</v>
      </c>
      <c r="J336" s="2" t="s">
        <v>3868</v>
      </c>
      <c r="K336" s="2" t="s">
        <v>91</v>
      </c>
      <c r="L336" s="2" t="s">
        <v>91</v>
      </c>
      <c r="M336" s="2" t="s">
        <v>3869</v>
      </c>
      <c r="N336" s="2" t="s">
        <v>3870</v>
      </c>
      <c r="O336" s="2" t="s">
        <v>3871</v>
      </c>
      <c r="P336" s="2" t="s">
        <v>3872</v>
      </c>
      <c r="Q336" s="2" t="s">
        <v>3873</v>
      </c>
      <c r="R336" s="2" t="s">
        <v>541</v>
      </c>
      <c r="S336" s="2" t="s">
        <v>3223</v>
      </c>
      <c r="T336" s="2" t="s">
        <v>3224</v>
      </c>
      <c r="U336" s="2" t="s">
        <v>29</v>
      </c>
      <c r="V336" s="2" t="n">
        <v>2</v>
      </c>
    </row>
    <row r="337">
      <c r="A337" s="2" t="n">
        <v>336</v>
      </c>
      <c r="B337" s="2" t="s">
        <v>3874</v>
      </c>
      <c r="C337" s="2" t="n">
        <v>273.055167866</v>
      </c>
      <c r="D337" s="2" t="n">
        <v>1.68392967618716</v>
      </c>
      <c r="E337" s="2" t="s">
        <v>3875</v>
      </c>
      <c r="F337" s="2" t="s">
        <v>161</v>
      </c>
      <c r="G337" s="2" t="s">
        <v>3876</v>
      </c>
      <c r="H337" s="2" t="s">
        <v>3877</v>
      </c>
      <c r="I337" s="2" t="s">
        <v>3878</v>
      </c>
      <c r="J337" s="2" t="s">
        <v>3879</v>
      </c>
      <c r="K337" s="2" t="s">
        <v>3880</v>
      </c>
      <c r="L337" s="2" t="s">
        <v>195</v>
      </c>
      <c r="M337" s="2" t="s">
        <v>195</v>
      </c>
      <c r="N337" s="2" t="s">
        <v>3881</v>
      </c>
      <c r="O337" s="2" t="s">
        <v>3882</v>
      </c>
      <c r="P337" s="2" t="s">
        <v>3883</v>
      </c>
      <c r="Q337" s="2" t="s">
        <v>3884</v>
      </c>
      <c r="R337" s="2" t="s">
        <v>3885</v>
      </c>
      <c r="S337" s="2" t="s">
        <v>3886</v>
      </c>
      <c r="T337" s="2" t="s">
        <v>3887</v>
      </c>
      <c r="U337" s="2" t="s">
        <v>29</v>
      </c>
      <c r="V337" s="2" t="n">
        <v>3</v>
      </c>
    </row>
    <row r="338">
      <c r="A338" s="2" t="n">
        <v>337</v>
      </c>
      <c r="B338" s="2" t="s">
        <v>3888</v>
      </c>
      <c r="C338" s="2" t="n">
        <v>273.092103692</v>
      </c>
      <c r="D338" s="2" t="n">
        <v>1.40449248868698</v>
      </c>
      <c r="E338" s="2" t="s">
        <v>3889</v>
      </c>
      <c r="F338" s="2" t="s">
        <v>24</v>
      </c>
      <c r="G338" s="2" t="s">
        <v>3890</v>
      </c>
      <c r="H338" s="2" t="s">
        <v>3891</v>
      </c>
      <c r="I338" s="2" t="s">
        <v>3892</v>
      </c>
      <c r="J338" s="2" t="s">
        <v>3893</v>
      </c>
      <c r="K338" s="2" t="s">
        <v>29</v>
      </c>
      <c r="L338" s="2" t="s">
        <v>29</v>
      </c>
      <c r="M338" s="2" t="s">
        <v>29</v>
      </c>
      <c r="N338" s="2" t="s">
        <v>3894</v>
      </c>
      <c r="O338" s="2" t="s">
        <v>3895</v>
      </c>
      <c r="P338" s="2" t="s">
        <v>3896</v>
      </c>
      <c r="Q338" s="2" t="s">
        <v>3897</v>
      </c>
      <c r="R338" s="2" t="s">
        <v>186</v>
      </c>
      <c r="S338" s="2" t="s">
        <v>3898</v>
      </c>
      <c r="T338" s="2" t="s">
        <v>215</v>
      </c>
      <c r="U338" s="2" t="s">
        <v>56</v>
      </c>
      <c r="V338" s="2" t="n">
        <v>1</v>
      </c>
    </row>
    <row r="339">
      <c r="A339" s="2" t="n">
        <v>338</v>
      </c>
      <c r="B339" s="2" t="s">
        <v>3899</v>
      </c>
      <c r="C339" s="2" t="n">
        <v>273.193214713</v>
      </c>
      <c r="D339" s="2" t="n">
        <v>10.6462770950081</v>
      </c>
      <c r="E339" s="2" t="s">
        <v>3900</v>
      </c>
      <c r="F339" s="2" t="s">
        <v>24</v>
      </c>
      <c r="G339" s="2" t="s">
        <v>3901</v>
      </c>
      <c r="H339" s="2" t="s">
        <v>3902</v>
      </c>
      <c r="I339" s="2" t="s">
        <v>3903</v>
      </c>
      <c r="J339" s="2" t="s">
        <v>3904</v>
      </c>
      <c r="K339" s="2" t="s">
        <v>29</v>
      </c>
      <c r="L339" s="2" t="s">
        <v>29</v>
      </c>
      <c r="M339" s="2" t="s">
        <v>3905</v>
      </c>
      <c r="N339" s="2" t="s">
        <v>3906</v>
      </c>
      <c r="O339" s="2" t="s">
        <v>3907</v>
      </c>
      <c r="P339" s="2" t="s">
        <v>3908</v>
      </c>
      <c r="Q339" s="2" t="s">
        <v>3909</v>
      </c>
      <c r="R339" s="2" t="s">
        <v>36</v>
      </c>
      <c r="S339" s="2" t="s">
        <v>37</v>
      </c>
      <c r="T339" s="2" t="s">
        <v>69</v>
      </c>
      <c r="U339" s="2" t="s">
        <v>56</v>
      </c>
      <c r="V339" s="2" t="n">
        <v>1</v>
      </c>
    </row>
    <row r="340">
      <c r="A340" s="2" t="n">
        <v>339</v>
      </c>
      <c r="B340" s="2" t="s">
        <v>3910</v>
      </c>
      <c r="C340" s="2" t="n">
        <v>273.222389582</v>
      </c>
      <c r="D340" s="2" t="n">
        <v>18.7359022323967</v>
      </c>
      <c r="E340" s="2" t="s">
        <v>3911</v>
      </c>
      <c r="F340" s="2" t="s">
        <v>24</v>
      </c>
      <c r="G340" s="2" t="s">
        <v>3912</v>
      </c>
      <c r="H340" s="2" t="s">
        <v>3913</v>
      </c>
      <c r="I340" s="2" t="s">
        <v>3914</v>
      </c>
      <c r="J340" s="2" t="s">
        <v>29</v>
      </c>
      <c r="K340" s="2" t="s">
        <v>3915</v>
      </c>
      <c r="L340" s="2" t="s">
        <v>29</v>
      </c>
      <c r="M340" s="2" t="s">
        <v>3916</v>
      </c>
      <c r="N340" s="2" t="s">
        <v>3917</v>
      </c>
      <c r="O340" s="2" t="s">
        <v>3918</v>
      </c>
      <c r="P340" s="2" t="s">
        <v>3919</v>
      </c>
      <c r="Q340" s="2" t="s">
        <v>3920</v>
      </c>
      <c r="R340" s="2" t="s">
        <v>794</v>
      </c>
      <c r="S340" s="2" t="s">
        <v>2971</v>
      </c>
      <c r="T340" s="2" t="s">
        <v>3921</v>
      </c>
      <c r="U340" s="2" t="s">
        <v>56</v>
      </c>
      <c r="V340" s="2" t="n">
        <v>1</v>
      </c>
    </row>
    <row r="341">
      <c r="A341" s="2" t="n">
        <v>340</v>
      </c>
      <c r="B341" s="2" t="s">
        <v>3922</v>
      </c>
      <c r="C341" s="2" t="n">
        <v>274.035706709</v>
      </c>
      <c r="D341" s="2" t="n">
        <v>0.415917031192044</v>
      </c>
      <c r="E341" s="2" t="s">
        <v>3923</v>
      </c>
      <c r="F341" s="2" t="s">
        <v>205</v>
      </c>
      <c r="G341" s="2" t="s">
        <v>3924</v>
      </c>
      <c r="H341" s="2" t="s">
        <v>3925</v>
      </c>
      <c r="I341" s="2" t="s">
        <v>3926</v>
      </c>
      <c r="J341" s="2" t="s">
        <v>3927</v>
      </c>
      <c r="K341" s="2" t="s">
        <v>29</v>
      </c>
      <c r="L341" s="2" t="s">
        <v>3928</v>
      </c>
      <c r="M341" s="2" t="s">
        <v>29</v>
      </c>
      <c r="N341" s="2" t="s">
        <v>3929</v>
      </c>
      <c r="O341" s="2" t="s">
        <v>3930</v>
      </c>
      <c r="P341" s="2" t="s">
        <v>3931</v>
      </c>
      <c r="Q341" s="2" t="s">
        <v>3932</v>
      </c>
      <c r="R341" s="2" t="s">
        <v>114</v>
      </c>
      <c r="S341" s="2" t="s">
        <v>3933</v>
      </c>
      <c r="T341" s="2" t="s">
        <v>3934</v>
      </c>
      <c r="U341" s="2" t="s">
        <v>101</v>
      </c>
      <c r="V341" s="2" t="n">
        <v>1</v>
      </c>
    </row>
    <row r="342">
      <c r="A342" s="2" t="n">
        <v>341</v>
      </c>
      <c r="B342" s="2" t="s">
        <v>3935</v>
      </c>
      <c r="C342" s="2" t="n">
        <v>274.104459291</v>
      </c>
      <c r="D342" s="2" t="n">
        <v>0.496174363956244</v>
      </c>
      <c r="E342" s="2" t="s">
        <v>3936</v>
      </c>
      <c r="F342" s="2" t="s">
        <v>24</v>
      </c>
      <c r="G342" s="2" t="s">
        <v>3937</v>
      </c>
      <c r="H342" s="2" t="s">
        <v>3938</v>
      </c>
      <c r="I342" s="2" t="s">
        <v>3939</v>
      </c>
      <c r="J342" s="2" t="s">
        <v>3940</v>
      </c>
      <c r="K342" s="2" t="s">
        <v>29</v>
      </c>
      <c r="L342" s="2" t="s">
        <v>3941</v>
      </c>
      <c r="M342" s="2" t="s">
        <v>3942</v>
      </c>
      <c r="N342" s="2" t="s">
        <v>3943</v>
      </c>
      <c r="O342" s="2" t="s">
        <v>3944</v>
      </c>
      <c r="P342" s="2" t="s">
        <v>3945</v>
      </c>
      <c r="Q342" s="2" t="s">
        <v>3946</v>
      </c>
      <c r="R342" s="2" t="s">
        <v>36</v>
      </c>
      <c r="S342" s="2" t="s">
        <v>37</v>
      </c>
      <c r="T342" s="2" t="s">
        <v>69</v>
      </c>
      <c r="U342" s="2" t="s">
        <v>56</v>
      </c>
      <c r="V342" s="2" t="n">
        <v>1</v>
      </c>
    </row>
    <row r="343">
      <c r="A343" s="2" t="n">
        <v>342</v>
      </c>
      <c r="B343" s="2" t="s">
        <v>3947</v>
      </c>
      <c r="C343" s="2" t="n">
        <v>275.052958731</v>
      </c>
      <c r="D343" s="2" t="n">
        <v>0.924151896756059</v>
      </c>
      <c r="E343" s="2" t="s">
        <v>3948</v>
      </c>
      <c r="F343" s="2" t="s">
        <v>24</v>
      </c>
      <c r="G343" s="2" t="s">
        <v>3949</v>
      </c>
      <c r="H343" s="2" t="s">
        <v>3950</v>
      </c>
      <c r="I343" s="2" t="s">
        <v>3951</v>
      </c>
      <c r="J343" s="2" t="s">
        <v>29</v>
      </c>
      <c r="K343" s="2" t="s">
        <v>29</v>
      </c>
      <c r="L343" s="2" t="s">
        <v>29</v>
      </c>
      <c r="M343" s="2" t="s">
        <v>29</v>
      </c>
      <c r="N343" s="2" t="s">
        <v>29</v>
      </c>
      <c r="O343" s="2" t="s">
        <v>29</v>
      </c>
      <c r="P343" s="2" t="s">
        <v>3952</v>
      </c>
      <c r="Q343" s="2" t="s">
        <v>3953</v>
      </c>
      <c r="R343" s="2" t="s">
        <v>114</v>
      </c>
      <c r="S343" s="2" t="s">
        <v>3954</v>
      </c>
      <c r="T343" s="2" t="s">
        <v>215</v>
      </c>
      <c r="U343" s="2" t="s">
        <v>29</v>
      </c>
      <c r="V343" s="2" t="n">
        <v>1</v>
      </c>
    </row>
    <row r="344">
      <c r="A344" s="2" t="n">
        <v>343</v>
      </c>
      <c r="B344" s="2" t="s">
        <v>3955</v>
      </c>
      <c r="C344" s="2" t="n">
        <v>275.9505687</v>
      </c>
      <c r="D344" s="2" t="n">
        <v>16.2644854079226</v>
      </c>
      <c r="E344" s="2" t="s">
        <v>3956</v>
      </c>
      <c r="F344" s="2" t="s">
        <v>205</v>
      </c>
      <c r="G344" s="2" t="s">
        <v>3957</v>
      </c>
      <c r="H344" s="2" t="s">
        <v>3958</v>
      </c>
      <c r="I344" s="2" t="s">
        <v>3959</v>
      </c>
      <c r="J344" s="2" t="s">
        <v>29</v>
      </c>
      <c r="K344" s="2" t="s">
        <v>29</v>
      </c>
      <c r="L344" s="2" t="s">
        <v>29</v>
      </c>
      <c r="M344" s="2" t="s">
        <v>29</v>
      </c>
      <c r="N344" s="2" t="s">
        <v>29</v>
      </c>
      <c r="O344" s="2" t="s">
        <v>29</v>
      </c>
      <c r="P344" s="2" t="s">
        <v>3960</v>
      </c>
      <c r="Q344" s="2" t="s">
        <v>3961</v>
      </c>
      <c r="R344" s="2" t="s">
        <v>36</v>
      </c>
      <c r="S344" s="2" t="s">
        <v>37</v>
      </c>
      <c r="T344" s="2" t="s">
        <v>69</v>
      </c>
      <c r="U344" s="2" t="s">
        <v>29</v>
      </c>
      <c r="V344" s="2" t="n">
        <v>1</v>
      </c>
    </row>
    <row r="345">
      <c r="A345" s="2" t="n">
        <v>344</v>
      </c>
      <c r="B345" s="2" t="s">
        <v>3962</v>
      </c>
      <c r="C345" s="2" t="n">
        <v>276.079680729</v>
      </c>
      <c r="D345" s="2" t="n">
        <v>2.72304792598565</v>
      </c>
      <c r="E345" s="2" t="s">
        <v>3963</v>
      </c>
      <c r="F345" s="2" t="s">
        <v>86</v>
      </c>
      <c r="G345" s="2" t="s">
        <v>3964</v>
      </c>
      <c r="H345" s="2" t="s">
        <v>3965</v>
      </c>
      <c r="I345" s="2" t="s">
        <v>3966</v>
      </c>
      <c r="J345" s="2" t="s">
        <v>3967</v>
      </c>
      <c r="K345" s="2" t="s">
        <v>29</v>
      </c>
      <c r="L345" s="2" t="s">
        <v>29</v>
      </c>
      <c r="M345" s="2" t="s">
        <v>3968</v>
      </c>
      <c r="N345" s="2" t="s">
        <v>3969</v>
      </c>
      <c r="O345" s="2" t="s">
        <v>3970</v>
      </c>
      <c r="P345" s="2" t="s">
        <v>3971</v>
      </c>
      <c r="Q345" s="2" t="s">
        <v>3972</v>
      </c>
      <c r="R345" s="2" t="s">
        <v>186</v>
      </c>
      <c r="S345" s="2" t="s">
        <v>357</v>
      </c>
      <c r="T345" s="2" t="s">
        <v>358</v>
      </c>
      <c r="U345" s="2" t="s">
        <v>56</v>
      </c>
      <c r="V345" s="2" t="n">
        <v>1</v>
      </c>
    </row>
    <row r="346">
      <c r="A346" s="2" t="n">
        <v>345</v>
      </c>
      <c r="B346" s="2" t="s">
        <v>3973</v>
      </c>
      <c r="C346" s="2" t="n">
        <v>277.036174734</v>
      </c>
      <c r="D346" s="2" t="n">
        <v>3.25438503303469</v>
      </c>
      <c r="E346" s="2" t="s">
        <v>3974</v>
      </c>
      <c r="F346" s="2" t="s">
        <v>86</v>
      </c>
      <c r="G346" s="2" t="s">
        <v>3975</v>
      </c>
      <c r="H346" s="2" t="s">
        <v>3976</v>
      </c>
      <c r="I346" s="2" t="s">
        <v>3977</v>
      </c>
      <c r="J346" s="2" t="s">
        <v>3978</v>
      </c>
      <c r="K346" s="2" t="s">
        <v>29</v>
      </c>
      <c r="L346" s="2" t="s">
        <v>3979</v>
      </c>
      <c r="M346" s="2" t="s">
        <v>3980</v>
      </c>
      <c r="N346" s="2" t="s">
        <v>3981</v>
      </c>
      <c r="O346" s="2" t="s">
        <v>29</v>
      </c>
      <c r="P346" s="2" t="s">
        <v>3982</v>
      </c>
      <c r="Q346" s="2" t="s">
        <v>3983</v>
      </c>
      <c r="R346" s="2" t="s">
        <v>36</v>
      </c>
      <c r="S346" s="2" t="s">
        <v>37</v>
      </c>
      <c r="T346" s="2" t="s">
        <v>69</v>
      </c>
      <c r="U346" s="2" t="s">
        <v>101</v>
      </c>
      <c r="V346" s="2" t="n">
        <v>1</v>
      </c>
    </row>
    <row r="347">
      <c r="A347" s="2" t="n">
        <v>346</v>
      </c>
      <c r="B347" s="2" t="s">
        <v>3984</v>
      </c>
      <c r="C347" s="2" t="n">
        <v>277.076470402</v>
      </c>
      <c r="D347" s="2" t="n">
        <v>3.40671293511383</v>
      </c>
      <c r="E347" s="2" t="s">
        <v>3985</v>
      </c>
      <c r="F347" s="2" t="s">
        <v>24</v>
      </c>
      <c r="G347" s="2" t="s">
        <v>3986</v>
      </c>
      <c r="H347" s="2" t="s">
        <v>3987</v>
      </c>
      <c r="I347" s="2" t="s">
        <v>3988</v>
      </c>
      <c r="J347" s="2" t="s">
        <v>3989</v>
      </c>
      <c r="K347" s="2" t="s">
        <v>29</v>
      </c>
      <c r="L347" s="2" t="s">
        <v>3990</v>
      </c>
      <c r="M347" s="2" t="s">
        <v>3991</v>
      </c>
      <c r="N347" s="2" t="s">
        <v>3992</v>
      </c>
      <c r="O347" s="2" t="s">
        <v>3993</v>
      </c>
      <c r="P347" s="2" t="s">
        <v>3994</v>
      </c>
      <c r="Q347" s="2" t="s">
        <v>3995</v>
      </c>
      <c r="R347" s="2" t="s">
        <v>186</v>
      </c>
      <c r="S347" s="2" t="s">
        <v>187</v>
      </c>
      <c r="T347" s="2" t="s">
        <v>3996</v>
      </c>
      <c r="U347" s="2" t="s">
        <v>56</v>
      </c>
      <c r="V347" s="2" t="n">
        <v>1</v>
      </c>
    </row>
    <row r="348">
      <c r="A348" s="2" t="n">
        <v>347</v>
      </c>
      <c r="B348" s="2" t="s">
        <v>3997</v>
      </c>
      <c r="C348" s="2" t="n">
        <v>277.147700716</v>
      </c>
      <c r="D348" s="2" t="n">
        <v>10.4384270912174</v>
      </c>
      <c r="E348" s="2" t="s">
        <v>3998</v>
      </c>
      <c r="F348" s="2" t="s">
        <v>86</v>
      </c>
      <c r="G348" s="2" t="s">
        <v>3999</v>
      </c>
      <c r="H348" s="2" t="s">
        <v>4000</v>
      </c>
      <c r="I348" s="2" t="s">
        <v>4001</v>
      </c>
      <c r="J348" s="2" t="s">
        <v>29</v>
      </c>
      <c r="K348" s="2" t="s">
        <v>29</v>
      </c>
      <c r="L348" s="2" t="s">
        <v>29</v>
      </c>
      <c r="M348" s="2" t="s">
        <v>29</v>
      </c>
      <c r="N348" s="2" t="s">
        <v>4002</v>
      </c>
      <c r="O348" s="2" t="s">
        <v>29</v>
      </c>
      <c r="P348" s="2" t="s">
        <v>4003</v>
      </c>
      <c r="Q348" s="2" t="s">
        <v>4004</v>
      </c>
      <c r="R348" s="2" t="s">
        <v>114</v>
      </c>
      <c r="S348" s="2" t="s">
        <v>4005</v>
      </c>
      <c r="T348" s="2" t="s">
        <v>215</v>
      </c>
      <c r="U348" s="2" t="s">
        <v>29</v>
      </c>
      <c r="V348" s="2" t="n">
        <v>1</v>
      </c>
    </row>
    <row r="349">
      <c r="A349" s="2" t="n">
        <v>348</v>
      </c>
      <c r="B349" s="2" t="s">
        <v>4006</v>
      </c>
      <c r="C349" s="2" t="n">
        <v>277.21675389</v>
      </c>
      <c r="D349" s="2" t="n">
        <v>18.3977220169411</v>
      </c>
      <c r="E349" s="2" t="s">
        <v>4007</v>
      </c>
      <c r="F349" s="2" t="s">
        <v>161</v>
      </c>
      <c r="G349" s="2" t="s">
        <v>4008</v>
      </c>
      <c r="H349" s="2" t="s">
        <v>4009</v>
      </c>
      <c r="I349" s="2" t="s">
        <v>4010</v>
      </c>
      <c r="J349" s="2" t="s">
        <v>4011</v>
      </c>
      <c r="K349" s="2" t="s">
        <v>4012</v>
      </c>
      <c r="L349" s="2" t="s">
        <v>4013</v>
      </c>
      <c r="M349" s="2" t="s">
        <v>4014</v>
      </c>
      <c r="N349" s="2" t="s">
        <v>4015</v>
      </c>
      <c r="O349" s="2" t="s">
        <v>4016</v>
      </c>
      <c r="P349" s="2" t="s">
        <v>4017</v>
      </c>
      <c r="Q349" s="2" t="s">
        <v>4018</v>
      </c>
      <c r="R349" s="2" t="s">
        <v>255</v>
      </c>
      <c r="S349" s="2" t="s">
        <v>256</v>
      </c>
      <c r="T349" s="2" t="s">
        <v>4019</v>
      </c>
      <c r="U349" s="2" t="s">
        <v>56</v>
      </c>
      <c r="V349" s="2" t="n">
        <v>3</v>
      </c>
    </row>
    <row r="350">
      <c r="A350" s="2" t="n">
        <v>349</v>
      </c>
      <c r="B350" s="2" t="s">
        <v>4020</v>
      </c>
      <c r="C350" s="2" t="n">
        <v>278.043689143</v>
      </c>
      <c r="D350" s="2" t="n">
        <v>5.26684225514508</v>
      </c>
      <c r="E350" s="2" t="s">
        <v>4021</v>
      </c>
      <c r="F350" s="2" t="s">
        <v>86</v>
      </c>
      <c r="G350" s="2" t="s">
        <v>4022</v>
      </c>
      <c r="H350" s="2" t="s">
        <v>4023</v>
      </c>
      <c r="I350" s="2" t="s">
        <v>4024</v>
      </c>
      <c r="J350" s="2" t="s">
        <v>29</v>
      </c>
      <c r="K350" s="2" t="s">
        <v>29</v>
      </c>
      <c r="L350" s="2" t="s">
        <v>29</v>
      </c>
      <c r="M350" s="2" t="s">
        <v>29</v>
      </c>
      <c r="N350" s="2" t="s">
        <v>4025</v>
      </c>
      <c r="O350" s="2" t="s">
        <v>29</v>
      </c>
      <c r="P350" s="2" t="s">
        <v>4026</v>
      </c>
      <c r="Q350" s="2" t="s">
        <v>4027</v>
      </c>
      <c r="R350" s="2" t="s">
        <v>129</v>
      </c>
      <c r="S350" s="2" t="s">
        <v>130</v>
      </c>
      <c r="T350" s="2" t="s">
        <v>1681</v>
      </c>
      <c r="U350" s="2" t="s">
        <v>29</v>
      </c>
      <c r="V350" s="2" t="n">
        <v>1</v>
      </c>
    </row>
    <row r="351">
      <c r="A351" s="2" t="n">
        <v>350</v>
      </c>
      <c r="B351" s="2" t="s">
        <v>4028</v>
      </c>
      <c r="C351" s="2" t="n">
        <v>278.129886179</v>
      </c>
      <c r="D351" s="2" t="n">
        <v>5.41603985479442</v>
      </c>
      <c r="E351" s="2" t="s">
        <v>4029</v>
      </c>
      <c r="F351" s="2" t="s">
        <v>24</v>
      </c>
      <c r="G351" s="2" t="s">
        <v>4030</v>
      </c>
      <c r="H351" s="2" t="s">
        <v>4031</v>
      </c>
      <c r="I351" s="2" t="s">
        <v>4032</v>
      </c>
      <c r="J351" s="2" t="s">
        <v>195</v>
      </c>
      <c r="K351" s="2" t="s">
        <v>195</v>
      </c>
      <c r="L351" s="2" t="s">
        <v>195</v>
      </c>
      <c r="M351" s="2" t="s">
        <v>195</v>
      </c>
      <c r="N351" s="2" t="s">
        <v>4033</v>
      </c>
      <c r="O351" s="2" t="s">
        <v>195</v>
      </c>
      <c r="P351" s="2" t="s">
        <v>4034</v>
      </c>
      <c r="Q351" s="2" t="s">
        <v>4035</v>
      </c>
      <c r="R351" s="2" t="s">
        <v>4036</v>
      </c>
      <c r="S351" s="2" t="s">
        <v>4037</v>
      </c>
      <c r="T351" s="2" t="s">
        <v>4038</v>
      </c>
      <c r="U351" s="2" t="s">
        <v>29</v>
      </c>
      <c r="V351" s="2" t="n">
        <v>3</v>
      </c>
    </row>
    <row r="352">
      <c r="A352" s="2" t="n">
        <v>351</v>
      </c>
      <c r="B352" s="2" t="s">
        <v>4039</v>
      </c>
      <c r="C352" s="2" t="n">
        <v>279.090579766</v>
      </c>
      <c r="D352" s="2" t="n">
        <v>3.90419891503182</v>
      </c>
      <c r="E352" s="2" t="s">
        <v>4040</v>
      </c>
      <c r="F352" s="2" t="s">
        <v>86</v>
      </c>
      <c r="G352" s="2" t="s">
        <v>4041</v>
      </c>
      <c r="H352" s="2" t="s">
        <v>4042</v>
      </c>
      <c r="I352" s="2" t="s">
        <v>4043</v>
      </c>
      <c r="J352" s="2" t="s">
        <v>4044</v>
      </c>
      <c r="K352" s="2" t="s">
        <v>29</v>
      </c>
      <c r="L352" s="2" t="s">
        <v>4045</v>
      </c>
      <c r="M352" s="2" t="s">
        <v>4046</v>
      </c>
      <c r="N352" s="2" t="s">
        <v>4047</v>
      </c>
      <c r="O352" s="2" t="s">
        <v>4048</v>
      </c>
      <c r="P352" s="2" t="s">
        <v>4049</v>
      </c>
      <c r="Q352" s="2" t="s">
        <v>4050</v>
      </c>
      <c r="R352" s="2" t="s">
        <v>114</v>
      </c>
      <c r="S352" s="2" t="s">
        <v>172</v>
      </c>
      <c r="T352" s="2" t="s">
        <v>173</v>
      </c>
      <c r="U352" s="2" t="s">
        <v>56</v>
      </c>
      <c r="V352" s="2" t="n">
        <v>1</v>
      </c>
    </row>
    <row r="353">
      <c r="A353" s="2" t="n">
        <v>352</v>
      </c>
      <c r="B353" s="2" t="s">
        <v>4051</v>
      </c>
      <c r="C353" s="2" t="n">
        <v>279.159632942</v>
      </c>
      <c r="D353" s="2" t="n">
        <v>4.54404088056817</v>
      </c>
      <c r="E353" s="2" t="s">
        <v>4052</v>
      </c>
      <c r="F353" s="2" t="s">
        <v>161</v>
      </c>
      <c r="G353" s="2" t="s">
        <v>4053</v>
      </c>
      <c r="H353" s="2" t="s">
        <v>4054</v>
      </c>
      <c r="I353" s="2" t="s">
        <v>4055</v>
      </c>
      <c r="J353" s="2" t="s">
        <v>4056</v>
      </c>
      <c r="K353" s="2" t="s">
        <v>29</v>
      </c>
      <c r="L353" s="2" t="s">
        <v>29</v>
      </c>
      <c r="M353" s="2" t="s">
        <v>4057</v>
      </c>
      <c r="N353" s="2" t="s">
        <v>4058</v>
      </c>
      <c r="O353" s="2" t="s">
        <v>4059</v>
      </c>
      <c r="P353" s="2" t="s">
        <v>4060</v>
      </c>
      <c r="Q353" s="2" t="s">
        <v>4061</v>
      </c>
      <c r="R353" s="2" t="s">
        <v>794</v>
      </c>
      <c r="S353" s="2" t="s">
        <v>1098</v>
      </c>
      <c r="T353" s="2" t="s">
        <v>3079</v>
      </c>
      <c r="U353" s="2" t="s">
        <v>56</v>
      </c>
      <c r="V353" s="2" t="n">
        <v>1</v>
      </c>
    </row>
    <row r="354">
      <c r="A354" s="2" t="n">
        <v>353</v>
      </c>
      <c r="B354" s="2" t="s">
        <v>4062</v>
      </c>
      <c r="C354" s="2" t="n">
        <v>279.232954268</v>
      </c>
      <c r="D354" s="2" t="n">
        <v>12.5902374664037</v>
      </c>
      <c r="E354" s="2" t="s">
        <v>4063</v>
      </c>
      <c r="F354" s="2" t="s">
        <v>24</v>
      </c>
      <c r="G354" s="2" t="s">
        <v>4064</v>
      </c>
      <c r="H354" s="2" t="s">
        <v>4065</v>
      </c>
      <c r="I354" s="2" t="s">
        <v>4066</v>
      </c>
      <c r="J354" s="2" t="s">
        <v>4067</v>
      </c>
      <c r="K354" s="2" t="s">
        <v>4068</v>
      </c>
      <c r="L354" s="2" t="s">
        <v>29</v>
      </c>
      <c r="M354" s="2" t="s">
        <v>4069</v>
      </c>
      <c r="N354" s="2" t="s">
        <v>4070</v>
      </c>
      <c r="O354" s="2" t="s">
        <v>4071</v>
      </c>
      <c r="P354" s="2" t="s">
        <v>4072</v>
      </c>
      <c r="Q354" s="2" t="s">
        <v>4073</v>
      </c>
      <c r="R354" s="2" t="s">
        <v>794</v>
      </c>
      <c r="S354" s="2" t="s">
        <v>795</v>
      </c>
      <c r="T354" s="2" t="s">
        <v>2391</v>
      </c>
      <c r="U354" s="2" t="s">
        <v>39</v>
      </c>
      <c r="V354" s="2" t="n">
        <v>1</v>
      </c>
    </row>
    <row r="355">
      <c r="A355" s="2" t="n">
        <v>354</v>
      </c>
      <c r="B355" s="2" t="s">
        <v>4074</v>
      </c>
      <c r="C355" s="2" t="n">
        <v>280.043222977</v>
      </c>
      <c r="D355" s="2" t="n">
        <v>2.99145598964667</v>
      </c>
      <c r="E355" s="2" t="s">
        <v>4075</v>
      </c>
      <c r="F355" s="2" t="s">
        <v>161</v>
      </c>
      <c r="G355" s="2" t="s">
        <v>4076</v>
      </c>
      <c r="H355" s="2" t="s">
        <v>4077</v>
      </c>
      <c r="I355" s="2" t="s">
        <v>4078</v>
      </c>
      <c r="J355" s="2" t="s">
        <v>4079</v>
      </c>
      <c r="K355" s="2" t="s">
        <v>29</v>
      </c>
      <c r="L355" s="2" t="s">
        <v>4080</v>
      </c>
      <c r="M355" s="2" t="s">
        <v>4081</v>
      </c>
      <c r="N355" s="2" t="s">
        <v>4082</v>
      </c>
      <c r="O355" s="2" t="s">
        <v>4083</v>
      </c>
      <c r="P355" s="2" t="s">
        <v>4084</v>
      </c>
      <c r="Q355" s="2" t="s">
        <v>4085</v>
      </c>
      <c r="R355" s="2" t="s">
        <v>186</v>
      </c>
      <c r="S355" s="2" t="s">
        <v>4086</v>
      </c>
      <c r="T355" s="2" t="s">
        <v>4087</v>
      </c>
      <c r="U355" s="2" t="s">
        <v>101</v>
      </c>
      <c r="V355" s="2" t="n">
        <v>1</v>
      </c>
    </row>
    <row r="356">
      <c r="A356" s="2" t="n">
        <v>355</v>
      </c>
      <c r="B356" s="2" t="s">
        <v>4088</v>
      </c>
      <c r="C356" s="2" t="n">
        <v>280.995395414</v>
      </c>
      <c r="D356" s="2" t="n">
        <v>0.228558232879542</v>
      </c>
      <c r="E356" s="2" t="s">
        <v>4089</v>
      </c>
      <c r="F356" s="2" t="s">
        <v>683</v>
      </c>
      <c r="G356" s="2" t="s">
        <v>4090</v>
      </c>
      <c r="H356" s="2" t="s">
        <v>4091</v>
      </c>
      <c r="I356" s="2" t="s">
        <v>4092</v>
      </c>
      <c r="J356" s="2" t="s">
        <v>4093</v>
      </c>
      <c r="K356" s="2" t="s">
        <v>29</v>
      </c>
      <c r="L356" s="2" t="s">
        <v>4094</v>
      </c>
      <c r="M356" s="2" t="s">
        <v>4095</v>
      </c>
      <c r="N356" s="2" t="s">
        <v>4096</v>
      </c>
      <c r="O356" s="2" t="s">
        <v>4097</v>
      </c>
      <c r="P356" s="2" t="s">
        <v>4098</v>
      </c>
      <c r="Q356" s="2" t="s">
        <v>4099</v>
      </c>
      <c r="R356" s="2" t="s">
        <v>1905</v>
      </c>
      <c r="S356" s="2" t="s">
        <v>1906</v>
      </c>
      <c r="T356" s="2" t="s">
        <v>4100</v>
      </c>
      <c r="U356" s="2" t="s">
        <v>56</v>
      </c>
      <c r="V356" s="2" t="n">
        <v>1</v>
      </c>
    </row>
    <row r="357">
      <c r="A357" s="2" t="n">
        <v>356</v>
      </c>
      <c r="B357" s="2" t="s">
        <v>4101</v>
      </c>
      <c r="C357" s="2" t="n">
        <v>281.095987306</v>
      </c>
      <c r="D357" s="2" t="n">
        <v>4.57666117819504</v>
      </c>
      <c r="E357" s="2" t="s">
        <v>4102</v>
      </c>
      <c r="F357" s="2" t="s">
        <v>161</v>
      </c>
      <c r="G357" s="2" t="s">
        <v>4103</v>
      </c>
      <c r="H357" s="2" t="s">
        <v>4104</v>
      </c>
      <c r="I357" s="2" t="s">
        <v>4105</v>
      </c>
      <c r="J357" s="2" t="s">
        <v>29</v>
      </c>
      <c r="K357" s="2" t="s">
        <v>29</v>
      </c>
      <c r="L357" s="2" t="s">
        <v>29</v>
      </c>
      <c r="M357" s="2" t="s">
        <v>29</v>
      </c>
      <c r="N357" s="2" t="s">
        <v>4106</v>
      </c>
      <c r="O357" s="2" t="s">
        <v>29</v>
      </c>
      <c r="P357" s="2" t="s">
        <v>4107</v>
      </c>
      <c r="Q357" s="2" t="s">
        <v>4108</v>
      </c>
      <c r="R357" s="2" t="s">
        <v>186</v>
      </c>
      <c r="S357" s="2" t="s">
        <v>187</v>
      </c>
      <c r="T357" s="2" t="s">
        <v>3996</v>
      </c>
      <c r="U357" s="2" t="s">
        <v>29</v>
      </c>
      <c r="V357" s="2" t="n">
        <v>1</v>
      </c>
    </row>
    <row r="358">
      <c r="A358" s="2" t="n">
        <v>357</v>
      </c>
      <c r="B358" s="2" t="s">
        <v>4109</v>
      </c>
      <c r="C358" s="2" t="n">
        <v>281.142615336</v>
      </c>
      <c r="D358" s="2" t="n">
        <v>0.0565825149012391</v>
      </c>
      <c r="E358" s="2" t="s">
        <v>4110</v>
      </c>
      <c r="F358" s="2" t="s">
        <v>86</v>
      </c>
      <c r="G358" s="2" t="s">
        <v>4111</v>
      </c>
      <c r="H358" s="2" t="s">
        <v>4112</v>
      </c>
      <c r="I358" s="2" t="s">
        <v>4113</v>
      </c>
      <c r="J358" s="2" t="s">
        <v>4114</v>
      </c>
      <c r="K358" s="2" t="s">
        <v>29</v>
      </c>
      <c r="L358" s="2" t="s">
        <v>4115</v>
      </c>
      <c r="M358" s="2" t="s">
        <v>4116</v>
      </c>
      <c r="N358" s="2" t="s">
        <v>4117</v>
      </c>
      <c r="O358" s="2" t="s">
        <v>4118</v>
      </c>
      <c r="P358" s="2" t="s">
        <v>4119</v>
      </c>
      <c r="Q358" s="2" t="s">
        <v>4120</v>
      </c>
      <c r="R358" s="2" t="s">
        <v>114</v>
      </c>
      <c r="S358" s="2" t="s">
        <v>4121</v>
      </c>
      <c r="T358" s="2" t="s">
        <v>4122</v>
      </c>
      <c r="U358" s="2" t="s">
        <v>56</v>
      </c>
      <c r="V358" s="2" t="n">
        <v>1</v>
      </c>
    </row>
    <row r="359">
      <c r="A359" s="2" t="n">
        <v>358</v>
      </c>
      <c r="B359" s="2" t="s">
        <v>4123</v>
      </c>
      <c r="C359" s="2" t="n">
        <v>281.188896826</v>
      </c>
      <c r="D359" s="2" t="n">
        <v>16.614381538964</v>
      </c>
      <c r="E359" s="2" t="s">
        <v>4124</v>
      </c>
      <c r="F359" s="2" t="s">
        <v>86</v>
      </c>
      <c r="G359" s="2" t="s">
        <v>4125</v>
      </c>
      <c r="H359" s="2" t="s">
        <v>4126</v>
      </c>
      <c r="I359" s="2" t="s">
        <v>4127</v>
      </c>
      <c r="J359" s="2" t="s">
        <v>4128</v>
      </c>
      <c r="K359" s="2" t="s">
        <v>29</v>
      </c>
      <c r="L359" s="2" t="s">
        <v>29</v>
      </c>
      <c r="M359" s="2" t="s">
        <v>29</v>
      </c>
      <c r="N359" s="2" t="s">
        <v>4129</v>
      </c>
      <c r="O359" s="2" t="s">
        <v>4130</v>
      </c>
      <c r="P359" s="2" t="s">
        <v>4131</v>
      </c>
      <c r="Q359" s="2" t="s">
        <v>4132</v>
      </c>
      <c r="R359" s="2" t="s">
        <v>129</v>
      </c>
      <c r="S359" s="2" t="s">
        <v>130</v>
      </c>
      <c r="T359" s="2" t="s">
        <v>4133</v>
      </c>
      <c r="U359" s="2" t="s">
        <v>56</v>
      </c>
      <c r="V359" s="2" t="n">
        <v>1</v>
      </c>
    </row>
    <row r="360">
      <c r="A360" s="2" t="n">
        <v>359</v>
      </c>
      <c r="B360" s="2" t="s">
        <v>4134</v>
      </c>
      <c r="C360" s="2" t="n">
        <v>281.248604332</v>
      </c>
      <c r="D360" s="2" t="n">
        <v>15.5909657202776</v>
      </c>
      <c r="E360" s="2" t="s">
        <v>4135</v>
      </c>
      <c r="F360" s="2" t="s">
        <v>24</v>
      </c>
      <c r="G360" s="2" t="s">
        <v>4136</v>
      </c>
      <c r="H360" s="2" t="s">
        <v>4137</v>
      </c>
      <c r="I360" s="2" t="s">
        <v>4138</v>
      </c>
      <c r="J360" s="2" t="s">
        <v>754</v>
      </c>
      <c r="K360" s="2" t="s">
        <v>4139</v>
      </c>
      <c r="L360" s="2" t="s">
        <v>4140</v>
      </c>
      <c r="M360" s="2" t="s">
        <v>4141</v>
      </c>
      <c r="N360" s="2" t="s">
        <v>4142</v>
      </c>
      <c r="O360" s="2" t="s">
        <v>4143</v>
      </c>
      <c r="P360" s="2" t="s">
        <v>4144</v>
      </c>
      <c r="Q360" s="2" t="s">
        <v>4145</v>
      </c>
      <c r="R360" s="2" t="s">
        <v>794</v>
      </c>
      <c r="S360" s="2" t="s">
        <v>795</v>
      </c>
      <c r="T360" s="2" t="s">
        <v>796</v>
      </c>
      <c r="U360" s="2" t="s">
        <v>39</v>
      </c>
      <c r="V360" s="2" t="n">
        <v>1</v>
      </c>
    </row>
    <row r="361">
      <c r="A361" s="2" t="n">
        <v>360</v>
      </c>
      <c r="B361" s="2" t="s">
        <v>4146</v>
      </c>
      <c r="C361" s="2" t="n">
        <v>281.980057311</v>
      </c>
      <c r="D361" s="2" t="n">
        <v>5.22519193274191</v>
      </c>
      <c r="E361" s="2" t="s">
        <v>4147</v>
      </c>
      <c r="F361" s="2" t="s">
        <v>86</v>
      </c>
      <c r="G361" s="2" t="s">
        <v>4148</v>
      </c>
      <c r="H361" s="2" t="s">
        <v>4149</v>
      </c>
      <c r="I361" s="2" t="s">
        <v>4150</v>
      </c>
      <c r="J361" s="2" t="s">
        <v>29</v>
      </c>
      <c r="K361" s="2" t="s">
        <v>29</v>
      </c>
      <c r="L361" s="2" t="s">
        <v>29</v>
      </c>
      <c r="M361" s="2" t="s">
        <v>29</v>
      </c>
      <c r="N361" s="2" t="s">
        <v>4151</v>
      </c>
      <c r="O361" s="2" t="s">
        <v>29</v>
      </c>
      <c r="P361" s="2" t="s">
        <v>4152</v>
      </c>
      <c r="Q361" s="2" t="s">
        <v>4153</v>
      </c>
      <c r="R361" s="2" t="s">
        <v>114</v>
      </c>
      <c r="S361" s="2" t="s">
        <v>730</v>
      </c>
      <c r="T361" s="2" t="s">
        <v>731</v>
      </c>
      <c r="U361" s="2" t="s">
        <v>29</v>
      </c>
      <c r="V361" s="2" t="n">
        <v>1</v>
      </c>
    </row>
    <row r="362">
      <c r="A362" s="2" t="n">
        <v>361</v>
      </c>
      <c r="B362" s="2" t="s">
        <v>4154</v>
      </c>
      <c r="C362" s="2" t="n">
        <v>282.0393906</v>
      </c>
      <c r="D362" s="2" t="n">
        <v>4.13024241416023</v>
      </c>
      <c r="E362" s="2" t="s">
        <v>4155</v>
      </c>
      <c r="F362" s="2" t="s">
        <v>161</v>
      </c>
      <c r="G362" s="2" t="s">
        <v>4156</v>
      </c>
      <c r="H362" s="2" t="s">
        <v>4157</v>
      </c>
      <c r="I362" s="2" t="s">
        <v>4158</v>
      </c>
      <c r="J362" s="2" t="s">
        <v>91</v>
      </c>
      <c r="K362" s="2" t="s">
        <v>91</v>
      </c>
      <c r="L362" s="2" t="s">
        <v>91</v>
      </c>
      <c r="M362" s="2" t="s">
        <v>91</v>
      </c>
      <c r="N362" s="2" t="s">
        <v>4159</v>
      </c>
      <c r="O362" s="2" t="s">
        <v>91</v>
      </c>
      <c r="P362" s="2" t="s">
        <v>4160</v>
      </c>
      <c r="Q362" s="2" t="s">
        <v>4161</v>
      </c>
      <c r="R362" s="2" t="s">
        <v>3638</v>
      </c>
      <c r="S362" s="2" t="s">
        <v>3639</v>
      </c>
      <c r="T362" s="2" t="s">
        <v>543</v>
      </c>
      <c r="U362" s="2" t="s">
        <v>29</v>
      </c>
      <c r="V362" s="2" t="n">
        <v>2</v>
      </c>
    </row>
    <row r="363">
      <c r="A363" s="2" t="n">
        <v>362</v>
      </c>
      <c r="B363" s="2" t="s">
        <v>4162</v>
      </c>
      <c r="C363" s="2" t="n">
        <v>282.091786593</v>
      </c>
      <c r="D363" s="2" t="n">
        <v>1.78232102475097</v>
      </c>
      <c r="E363" s="2" t="s">
        <v>4163</v>
      </c>
      <c r="F363" s="2" t="s">
        <v>24</v>
      </c>
      <c r="G363" s="2" t="s">
        <v>4164</v>
      </c>
      <c r="H363" s="2" t="s">
        <v>4165</v>
      </c>
      <c r="I363" s="2" t="s">
        <v>4166</v>
      </c>
      <c r="J363" s="2" t="s">
        <v>4167</v>
      </c>
      <c r="K363" s="2" t="s">
        <v>29</v>
      </c>
      <c r="L363" s="2" t="s">
        <v>29</v>
      </c>
      <c r="M363" s="2" t="s">
        <v>29</v>
      </c>
      <c r="N363" s="2" t="s">
        <v>4168</v>
      </c>
      <c r="O363" s="2" t="s">
        <v>29</v>
      </c>
      <c r="P363" s="2" t="s">
        <v>4169</v>
      </c>
      <c r="Q363" s="2" t="s">
        <v>4170</v>
      </c>
      <c r="R363" s="2" t="s">
        <v>794</v>
      </c>
      <c r="S363" s="2" t="s">
        <v>1098</v>
      </c>
      <c r="T363" s="2" t="s">
        <v>1099</v>
      </c>
      <c r="U363" s="2" t="s">
        <v>29</v>
      </c>
      <c r="V363" s="2" t="n">
        <v>1</v>
      </c>
    </row>
    <row r="364">
      <c r="A364" s="2" t="n">
        <v>363</v>
      </c>
      <c r="B364" s="2" t="s">
        <v>4171</v>
      </c>
      <c r="C364" s="2" t="n">
        <v>282.991793467</v>
      </c>
      <c r="D364" s="2" t="n">
        <v>3.44587335865173</v>
      </c>
      <c r="E364" s="2" t="s">
        <v>4172</v>
      </c>
      <c r="F364" s="2" t="s">
        <v>205</v>
      </c>
      <c r="G364" s="2" t="s">
        <v>4173</v>
      </c>
      <c r="H364" s="2" t="s">
        <v>4174</v>
      </c>
      <c r="I364" s="2" t="s">
        <v>4175</v>
      </c>
      <c r="J364" s="2" t="s">
        <v>4176</v>
      </c>
      <c r="K364" s="2" t="s">
        <v>29</v>
      </c>
      <c r="L364" s="2" t="s">
        <v>29</v>
      </c>
      <c r="M364" s="2" t="s">
        <v>4177</v>
      </c>
      <c r="N364" s="2" t="s">
        <v>4178</v>
      </c>
      <c r="O364" s="2" t="s">
        <v>29</v>
      </c>
      <c r="P364" s="2" t="s">
        <v>4179</v>
      </c>
      <c r="Q364" s="2" t="s">
        <v>4180</v>
      </c>
      <c r="R364" s="2" t="s">
        <v>186</v>
      </c>
      <c r="S364" s="2" t="s">
        <v>4086</v>
      </c>
      <c r="T364" s="2" t="s">
        <v>4181</v>
      </c>
      <c r="U364" s="2" t="s">
        <v>29</v>
      </c>
      <c r="V364" s="2" t="n">
        <v>1</v>
      </c>
    </row>
    <row r="365">
      <c r="A365" s="2" t="n">
        <v>364</v>
      </c>
      <c r="B365" s="2" t="s">
        <v>4182</v>
      </c>
      <c r="C365" s="2" t="n">
        <v>283.023956754</v>
      </c>
      <c r="D365" s="2" t="n">
        <v>1.21654481405273</v>
      </c>
      <c r="E365" s="2" t="s">
        <v>4183</v>
      </c>
      <c r="F365" s="2" t="s">
        <v>86</v>
      </c>
      <c r="G365" s="2" t="s">
        <v>4184</v>
      </c>
      <c r="H365" s="2" t="s">
        <v>4185</v>
      </c>
      <c r="I365" s="2" t="s">
        <v>4186</v>
      </c>
      <c r="J365" s="2" t="s">
        <v>4187</v>
      </c>
      <c r="K365" s="2" t="s">
        <v>29</v>
      </c>
      <c r="L365" s="2" t="s">
        <v>29</v>
      </c>
      <c r="M365" s="2" t="s">
        <v>29</v>
      </c>
      <c r="N365" s="2" t="s">
        <v>4188</v>
      </c>
      <c r="O365" s="2" t="s">
        <v>29</v>
      </c>
      <c r="P365" s="2" t="s">
        <v>4189</v>
      </c>
      <c r="Q365" s="2" t="s">
        <v>4190</v>
      </c>
      <c r="R365" s="2" t="s">
        <v>114</v>
      </c>
      <c r="S365" s="2" t="s">
        <v>172</v>
      </c>
      <c r="T365" s="2" t="s">
        <v>173</v>
      </c>
      <c r="U365" s="2" t="s">
        <v>29</v>
      </c>
      <c r="V365" s="2" t="n">
        <v>1</v>
      </c>
    </row>
    <row r="366">
      <c r="A366" s="2" t="n">
        <v>365</v>
      </c>
      <c r="B366" s="2" t="s">
        <v>4191</v>
      </c>
      <c r="C366" s="2" t="n">
        <v>283.070238243</v>
      </c>
      <c r="D366" s="2" t="n">
        <v>1.8053894358027</v>
      </c>
      <c r="E366" s="2" t="s">
        <v>4192</v>
      </c>
      <c r="F366" s="2" t="s">
        <v>86</v>
      </c>
      <c r="G366" s="2" t="s">
        <v>4193</v>
      </c>
      <c r="H366" s="2" t="s">
        <v>4194</v>
      </c>
      <c r="I366" s="2" t="s">
        <v>4195</v>
      </c>
      <c r="J366" s="2" t="s">
        <v>29</v>
      </c>
      <c r="K366" s="2" t="s">
        <v>29</v>
      </c>
      <c r="L366" s="2" t="s">
        <v>29</v>
      </c>
      <c r="M366" s="2" t="s">
        <v>4196</v>
      </c>
      <c r="N366" s="2" t="s">
        <v>4197</v>
      </c>
      <c r="O366" s="2" t="s">
        <v>4198</v>
      </c>
      <c r="P366" s="2" t="s">
        <v>4199</v>
      </c>
      <c r="Q366" s="2" t="s">
        <v>4200</v>
      </c>
      <c r="R366" s="2" t="s">
        <v>36</v>
      </c>
      <c r="S366" s="2" t="s">
        <v>37</v>
      </c>
      <c r="T366" s="2" t="s">
        <v>69</v>
      </c>
      <c r="U366" s="2" t="s">
        <v>56</v>
      </c>
      <c r="V366" s="2" t="n">
        <v>1</v>
      </c>
    </row>
    <row r="367">
      <c r="A367" s="2" t="n">
        <v>366</v>
      </c>
      <c r="B367" s="2" t="s">
        <v>4201</v>
      </c>
      <c r="C367" s="2" t="n">
        <v>283.108812079</v>
      </c>
      <c r="D367" s="2" t="n">
        <v>1.62841075357063</v>
      </c>
      <c r="E367" s="2" t="s">
        <v>4202</v>
      </c>
      <c r="F367" s="2" t="s">
        <v>205</v>
      </c>
      <c r="G367" s="2" t="s">
        <v>4203</v>
      </c>
      <c r="H367" s="2" t="s">
        <v>4204</v>
      </c>
      <c r="I367" s="2" t="s">
        <v>4205</v>
      </c>
      <c r="J367" s="2" t="s">
        <v>195</v>
      </c>
      <c r="K367" s="2" t="s">
        <v>195</v>
      </c>
      <c r="L367" s="2" t="s">
        <v>195</v>
      </c>
      <c r="M367" s="2" t="s">
        <v>195</v>
      </c>
      <c r="N367" s="2" t="s">
        <v>4206</v>
      </c>
      <c r="O367" s="2" t="s">
        <v>195</v>
      </c>
      <c r="P367" s="2" t="s">
        <v>4207</v>
      </c>
      <c r="Q367" s="2" t="s">
        <v>4208</v>
      </c>
      <c r="R367" s="2" t="s">
        <v>4209</v>
      </c>
      <c r="S367" s="2" t="s">
        <v>4210</v>
      </c>
      <c r="T367" s="2" t="s">
        <v>4211</v>
      </c>
      <c r="U367" s="2" t="s">
        <v>29</v>
      </c>
      <c r="V367" s="2" t="n">
        <v>3</v>
      </c>
    </row>
    <row r="368">
      <c r="A368" s="2" t="n">
        <v>367</v>
      </c>
      <c r="B368" s="2" t="s">
        <v>4212</v>
      </c>
      <c r="C368" s="2" t="n">
        <v>283.191483382</v>
      </c>
      <c r="D368" s="2" t="n">
        <v>3.12285649821529</v>
      </c>
      <c r="E368" s="2" t="s">
        <v>4213</v>
      </c>
      <c r="F368" s="2" t="s">
        <v>24</v>
      </c>
      <c r="G368" s="2" t="s">
        <v>4214</v>
      </c>
      <c r="H368" s="2" t="s">
        <v>4215</v>
      </c>
      <c r="I368" s="2" t="s">
        <v>4216</v>
      </c>
      <c r="J368" s="2" t="s">
        <v>29</v>
      </c>
      <c r="K368" s="2" t="s">
        <v>29</v>
      </c>
      <c r="L368" s="2" t="s">
        <v>29</v>
      </c>
      <c r="M368" s="2" t="s">
        <v>29</v>
      </c>
      <c r="N368" s="2" t="s">
        <v>29</v>
      </c>
      <c r="O368" s="2" t="s">
        <v>29</v>
      </c>
      <c r="P368" s="2" t="s">
        <v>4217</v>
      </c>
      <c r="Q368" s="2" t="s">
        <v>4218</v>
      </c>
      <c r="R368" s="2" t="s">
        <v>794</v>
      </c>
      <c r="S368" s="2" t="s">
        <v>795</v>
      </c>
      <c r="T368" s="2" t="s">
        <v>796</v>
      </c>
      <c r="U368" s="2" t="s">
        <v>29</v>
      </c>
      <c r="V368" s="2" t="n">
        <v>1</v>
      </c>
    </row>
    <row r="369">
      <c r="A369" s="2" t="n">
        <v>368</v>
      </c>
      <c r="B369" s="2" t="s">
        <v>4219</v>
      </c>
      <c r="C369" s="2" t="n">
        <v>283.264254396</v>
      </c>
      <c r="D369" s="2" t="n">
        <v>7.99471986740894</v>
      </c>
      <c r="E369" s="2" t="s">
        <v>4220</v>
      </c>
      <c r="F369" s="2" t="s">
        <v>24</v>
      </c>
      <c r="G369" s="2" t="s">
        <v>4221</v>
      </c>
      <c r="H369" s="2" t="s">
        <v>4222</v>
      </c>
      <c r="I369" s="2" t="s">
        <v>4223</v>
      </c>
      <c r="J369" s="2" t="s">
        <v>4224</v>
      </c>
      <c r="K369" s="2" t="s">
        <v>4225</v>
      </c>
      <c r="L369" s="2" t="s">
        <v>4226</v>
      </c>
      <c r="M369" s="2" t="s">
        <v>4227</v>
      </c>
      <c r="N369" s="2" t="s">
        <v>4228</v>
      </c>
      <c r="O369" s="2" t="s">
        <v>4229</v>
      </c>
      <c r="P369" s="2" t="s">
        <v>4230</v>
      </c>
      <c r="Q369" s="2" t="s">
        <v>4231</v>
      </c>
      <c r="R369" s="2" t="s">
        <v>794</v>
      </c>
      <c r="S369" s="2" t="s">
        <v>795</v>
      </c>
      <c r="T369" s="2" t="s">
        <v>796</v>
      </c>
      <c r="U369" s="2" t="s">
        <v>39</v>
      </c>
      <c r="V369" s="2" t="n">
        <v>1</v>
      </c>
    </row>
    <row r="370">
      <c r="A370" s="2" t="n">
        <v>369</v>
      </c>
      <c r="B370" s="2" t="s">
        <v>4232</v>
      </c>
      <c r="C370" s="2" t="n">
        <v>284.072845413</v>
      </c>
      <c r="D370" s="2" t="n">
        <v>0.867153092586236</v>
      </c>
      <c r="E370" s="2" t="s">
        <v>4233</v>
      </c>
      <c r="F370" s="2" t="s">
        <v>24</v>
      </c>
      <c r="G370" s="2" t="s">
        <v>4234</v>
      </c>
      <c r="H370" s="2" t="s">
        <v>4235</v>
      </c>
      <c r="I370" s="2" t="s">
        <v>4236</v>
      </c>
      <c r="J370" s="2" t="s">
        <v>29</v>
      </c>
      <c r="K370" s="2" t="s">
        <v>29</v>
      </c>
      <c r="L370" s="2" t="s">
        <v>29</v>
      </c>
      <c r="M370" s="2" t="s">
        <v>29</v>
      </c>
      <c r="N370" s="2" t="s">
        <v>4237</v>
      </c>
      <c r="O370" s="2" t="s">
        <v>29</v>
      </c>
      <c r="P370" s="2" t="s">
        <v>4238</v>
      </c>
      <c r="Q370" s="2" t="s">
        <v>4239</v>
      </c>
      <c r="R370" s="2" t="s">
        <v>114</v>
      </c>
      <c r="S370" s="2" t="s">
        <v>172</v>
      </c>
      <c r="T370" s="2" t="s">
        <v>4240</v>
      </c>
      <c r="U370" s="2" t="s">
        <v>29</v>
      </c>
      <c r="V370" s="2" t="n">
        <v>1</v>
      </c>
    </row>
    <row r="371">
      <c r="A371" s="2" t="n">
        <v>370</v>
      </c>
      <c r="B371" s="2" t="s">
        <v>4241</v>
      </c>
      <c r="C371" s="2" t="n">
        <v>284.100038307</v>
      </c>
      <c r="D371" s="2" t="n">
        <v>1.63442141768541</v>
      </c>
      <c r="E371" s="2" t="s">
        <v>4242</v>
      </c>
      <c r="F371" s="2" t="s">
        <v>205</v>
      </c>
      <c r="G371" s="2" t="s">
        <v>4243</v>
      </c>
      <c r="H371" s="2" t="s">
        <v>4244</v>
      </c>
      <c r="I371" s="2" t="s">
        <v>4245</v>
      </c>
      <c r="J371" s="2" t="s">
        <v>4246</v>
      </c>
      <c r="K371" s="2" t="s">
        <v>195</v>
      </c>
      <c r="L371" s="2" t="s">
        <v>4247</v>
      </c>
      <c r="M371" s="2" t="s">
        <v>4248</v>
      </c>
      <c r="N371" s="2" t="s">
        <v>4249</v>
      </c>
      <c r="O371" s="2" t="s">
        <v>4250</v>
      </c>
      <c r="P371" s="2" t="s">
        <v>4251</v>
      </c>
      <c r="Q371" s="2" t="s">
        <v>4252</v>
      </c>
      <c r="R371" s="2" t="s">
        <v>490</v>
      </c>
      <c r="S371" s="2" t="s">
        <v>4253</v>
      </c>
      <c r="T371" s="2" t="s">
        <v>4254</v>
      </c>
      <c r="U371" s="2" t="s">
        <v>101</v>
      </c>
      <c r="V371" s="2" t="n">
        <v>3</v>
      </c>
    </row>
    <row r="372">
      <c r="A372" s="2" t="n">
        <v>371</v>
      </c>
      <c r="B372" s="2" t="s">
        <v>4255</v>
      </c>
      <c r="C372" s="2" t="n">
        <v>285.070318568</v>
      </c>
      <c r="D372" s="2" t="n">
        <v>1.13203855056105</v>
      </c>
      <c r="E372" s="2" t="s">
        <v>4256</v>
      </c>
      <c r="F372" s="2" t="s">
        <v>205</v>
      </c>
      <c r="G372" s="2" t="s">
        <v>4257</v>
      </c>
      <c r="H372" s="2" t="s">
        <v>4258</v>
      </c>
      <c r="I372" s="2" t="s">
        <v>4259</v>
      </c>
      <c r="J372" s="2" t="s">
        <v>29</v>
      </c>
      <c r="K372" s="2" t="s">
        <v>29</v>
      </c>
      <c r="L372" s="2" t="s">
        <v>29</v>
      </c>
      <c r="M372" s="2" t="s">
        <v>29</v>
      </c>
      <c r="N372" s="2" t="s">
        <v>29</v>
      </c>
      <c r="O372" s="2" t="s">
        <v>29</v>
      </c>
      <c r="P372" s="2" t="s">
        <v>4260</v>
      </c>
      <c r="Q372" s="2" t="s">
        <v>4261</v>
      </c>
      <c r="R372" s="2" t="s">
        <v>114</v>
      </c>
      <c r="S372" s="2" t="s">
        <v>4262</v>
      </c>
      <c r="T372" s="2" t="s">
        <v>215</v>
      </c>
      <c r="U372" s="2" t="s">
        <v>29</v>
      </c>
      <c r="V372" s="2" t="n">
        <v>1</v>
      </c>
    </row>
    <row r="373">
      <c r="A373" s="2" t="n">
        <v>372</v>
      </c>
      <c r="B373" s="2" t="s">
        <v>4263</v>
      </c>
      <c r="C373" s="2" t="n">
        <v>285.172085344</v>
      </c>
      <c r="D373" s="2" t="n">
        <v>12.3674787637124</v>
      </c>
      <c r="E373" s="2" t="s">
        <v>4264</v>
      </c>
      <c r="F373" s="2" t="s">
        <v>24</v>
      </c>
      <c r="G373" s="2" t="s">
        <v>4265</v>
      </c>
      <c r="H373" s="2" t="s">
        <v>4266</v>
      </c>
      <c r="I373" s="2" t="s">
        <v>4267</v>
      </c>
      <c r="J373" s="2" t="s">
        <v>29</v>
      </c>
      <c r="K373" s="2" t="s">
        <v>29</v>
      </c>
      <c r="L373" s="2" t="s">
        <v>29</v>
      </c>
      <c r="M373" s="2" t="s">
        <v>29</v>
      </c>
      <c r="N373" s="2" t="s">
        <v>29</v>
      </c>
      <c r="O373" s="2" t="s">
        <v>4268</v>
      </c>
      <c r="P373" s="2" t="s">
        <v>4269</v>
      </c>
      <c r="Q373" s="2" t="s">
        <v>4270</v>
      </c>
      <c r="R373" s="2" t="s">
        <v>186</v>
      </c>
      <c r="S373" s="2" t="s">
        <v>911</v>
      </c>
      <c r="T373" s="2" t="s">
        <v>2144</v>
      </c>
      <c r="U373" s="2" t="s">
        <v>56</v>
      </c>
      <c r="V373" s="2" t="n">
        <v>1</v>
      </c>
    </row>
    <row r="374">
      <c r="A374" s="2" t="n">
        <v>373</v>
      </c>
      <c r="B374" s="2" t="s">
        <v>4271</v>
      </c>
      <c r="C374" s="2" t="n">
        <v>285.207133448</v>
      </c>
      <c r="D374" s="2" t="n">
        <v>19.3193864950127</v>
      </c>
      <c r="E374" s="2" t="s">
        <v>4272</v>
      </c>
      <c r="F374" s="2" t="s">
        <v>24</v>
      </c>
      <c r="G374" s="2" t="s">
        <v>4273</v>
      </c>
      <c r="H374" s="2" t="s">
        <v>4274</v>
      </c>
      <c r="I374" s="2" t="s">
        <v>4275</v>
      </c>
      <c r="J374" s="2" t="s">
        <v>4276</v>
      </c>
      <c r="K374" s="2" t="s">
        <v>4277</v>
      </c>
      <c r="L374" s="2" t="s">
        <v>4278</v>
      </c>
      <c r="M374" s="2" t="s">
        <v>4279</v>
      </c>
      <c r="N374" s="2" t="s">
        <v>4280</v>
      </c>
      <c r="O374" s="2" t="s">
        <v>4281</v>
      </c>
      <c r="P374" s="2" t="s">
        <v>4282</v>
      </c>
      <c r="Q374" s="2" t="s">
        <v>4283</v>
      </c>
      <c r="R374" s="2" t="s">
        <v>794</v>
      </c>
      <c r="S374" s="2" t="s">
        <v>795</v>
      </c>
      <c r="T374" s="2" t="s">
        <v>796</v>
      </c>
      <c r="U374" s="2" t="s">
        <v>39</v>
      </c>
      <c r="V374" s="2" t="n">
        <v>1</v>
      </c>
    </row>
    <row r="375">
      <c r="A375" s="2" t="n">
        <v>374</v>
      </c>
      <c r="B375" s="2" t="s">
        <v>4284</v>
      </c>
      <c r="C375" s="2" t="n">
        <v>285.957327922</v>
      </c>
      <c r="D375" s="2" t="n">
        <v>18.0354330253883</v>
      </c>
      <c r="E375" s="2" t="s">
        <v>4285</v>
      </c>
      <c r="F375" s="2" t="s">
        <v>218</v>
      </c>
      <c r="G375" s="2" t="s">
        <v>4286</v>
      </c>
      <c r="H375" s="2" t="s">
        <v>4287</v>
      </c>
      <c r="I375" s="2" t="s">
        <v>4288</v>
      </c>
      <c r="J375" s="2" t="s">
        <v>29</v>
      </c>
      <c r="K375" s="2" t="s">
        <v>29</v>
      </c>
      <c r="L375" s="2" t="s">
        <v>4289</v>
      </c>
      <c r="M375" s="2" t="s">
        <v>4290</v>
      </c>
      <c r="N375" s="2" t="s">
        <v>4291</v>
      </c>
      <c r="O375" s="2" t="s">
        <v>29</v>
      </c>
      <c r="P375" s="2" t="s">
        <v>4292</v>
      </c>
      <c r="Q375" s="2" t="s">
        <v>4293</v>
      </c>
      <c r="R375" s="2" t="s">
        <v>114</v>
      </c>
      <c r="S375" s="2" t="s">
        <v>172</v>
      </c>
      <c r="T375" s="2" t="s">
        <v>4294</v>
      </c>
      <c r="U375" s="2" t="s">
        <v>101</v>
      </c>
      <c r="V375" s="2" t="n">
        <v>1</v>
      </c>
    </row>
    <row r="376">
      <c r="A376" s="2" t="n">
        <v>375</v>
      </c>
      <c r="B376" s="2" t="s">
        <v>4295</v>
      </c>
      <c r="C376" s="2" t="n">
        <v>286.0631749</v>
      </c>
      <c r="D376" s="2" t="n">
        <v>1.71047373125691</v>
      </c>
      <c r="E376" s="2" t="s">
        <v>4296</v>
      </c>
      <c r="F376" s="2" t="s">
        <v>24</v>
      </c>
      <c r="G376" s="2" t="s">
        <v>4297</v>
      </c>
      <c r="H376" s="2" t="s">
        <v>4298</v>
      </c>
      <c r="I376" s="2" t="s">
        <v>4299</v>
      </c>
      <c r="J376" s="2" t="s">
        <v>29</v>
      </c>
      <c r="K376" s="2" t="s">
        <v>29</v>
      </c>
      <c r="L376" s="2" t="s">
        <v>29</v>
      </c>
      <c r="M376" s="2" t="s">
        <v>29</v>
      </c>
      <c r="N376" s="2" t="s">
        <v>4300</v>
      </c>
      <c r="O376" s="2" t="s">
        <v>29</v>
      </c>
      <c r="P376" s="2" t="s">
        <v>4301</v>
      </c>
      <c r="Q376" s="2" t="s">
        <v>4302</v>
      </c>
      <c r="R376" s="2" t="s">
        <v>186</v>
      </c>
      <c r="S376" s="2" t="s">
        <v>187</v>
      </c>
      <c r="T376" s="2" t="s">
        <v>2791</v>
      </c>
      <c r="U376" s="2" t="s">
        <v>29</v>
      </c>
      <c r="V376" s="2" t="n">
        <v>1</v>
      </c>
    </row>
    <row r="377">
      <c r="A377" s="2" t="n">
        <v>376</v>
      </c>
      <c r="B377" s="2" t="s">
        <v>4303</v>
      </c>
      <c r="C377" s="2" t="n">
        <v>287.070513022</v>
      </c>
      <c r="D377" s="2" t="n">
        <v>2.00233771099649</v>
      </c>
      <c r="E377" s="2" t="s">
        <v>4304</v>
      </c>
      <c r="F377" s="2" t="s">
        <v>86</v>
      </c>
      <c r="G377" s="2" t="s">
        <v>4305</v>
      </c>
      <c r="H377" s="2" t="s">
        <v>4306</v>
      </c>
      <c r="I377" s="2" t="s">
        <v>4307</v>
      </c>
      <c r="J377" s="2" t="s">
        <v>29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29</v>
      </c>
      <c r="P377" s="2" t="s">
        <v>4308</v>
      </c>
      <c r="Q377" s="2" t="s">
        <v>4309</v>
      </c>
      <c r="R377" s="2" t="s">
        <v>186</v>
      </c>
      <c r="S377" s="2" t="s">
        <v>187</v>
      </c>
      <c r="T377" s="2" t="s">
        <v>1656</v>
      </c>
      <c r="U377" s="2" t="s">
        <v>29</v>
      </c>
      <c r="V377" s="2" t="n">
        <v>1</v>
      </c>
    </row>
    <row r="378">
      <c r="A378" s="2" t="n">
        <v>377</v>
      </c>
      <c r="B378" s="2" t="s">
        <v>4310</v>
      </c>
      <c r="C378" s="2" t="n">
        <v>287.222779204</v>
      </c>
      <c r="D378" s="2" t="n">
        <v>7.98922723465023</v>
      </c>
      <c r="E378" s="2" t="s">
        <v>4311</v>
      </c>
      <c r="F378" s="2" t="s">
        <v>205</v>
      </c>
      <c r="G378" s="2" t="s">
        <v>4312</v>
      </c>
      <c r="H378" s="2" t="s">
        <v>4313</v>
      </c>
      <c r="I378" s="2" t="s">
        <v>4314</v>
      </c>
      <c r="J378" s="2" t="s">
        <v>4315</v>
      </c>
      <c r="K378" s="2" t="s">
        <v>4316</v>
      </c>
      <c r="L378" s="2" t="s">
        <v>4317</v>
      </c>
      <c r="M378" s="2" t="s">
        <v>4318</v>
      </c>
      <c r="N378" s="2" t="s">
        <v>4319</v>
      </c>
      <c r="O378" s="2" t="s">
        <v>4320</v>
      </c>
      <c r="P378" s="2" t="s">
        <v>4321</v>
      </c>
      <c r="Q378" s="2" t="s">
        <v>4322</v>
      </c>
      <c r="R378" s="2" t="s">
        <v>794</v>
      </c>
      <c r="S378" s="2" t="s">
        <v>795</v>
      </c>
      <c r="T378" s="2" t="s">
        <v>796</v>
      </c>
      <c r="U378" s="2" t="s">
        <v>56</v>
      </c>
      <c r="V378" s="2" t="n">
        <v>1</v>
      </c>
    </row>
    <row r="379">
      <c r="A379" s="2" t="n">
        <v>378</v>
      </c>
      <c r="B379" s="2" t="s">
        <v>4323</v>
      </c>
      <c r="C379" s="2" t="n">
        <v>287.98794866</v>
      </c>
      <c r="D379" s="2" t="n">
        <v>3.67217830432595</v>
      </c>
      <c r="E379" s="2" t="s">
        <v>4324</v>
      </c>
      <c r="F379" s="2" t="s">
        <v>161</v>
      </c>
      <c r="G379" s="2" t="s">
        <v>4325</v>
      </c>
      <c r="H379" s="2" t="s">
        <v>4326</v>
      </c>
      <c r="I379" s="2" t="s">
        <v>4327</v>
      </c>
      <c r="J379" s="2" t="s">
        <v>4328</v>
      </c>
      <c r="K379" s="2" t="s">
        <v>29</v>
      </c>
      <c r="L379" s="2" t="s">
        <v>29</v>
      </c>
      <c r="M379" s="2" t="s">
        <v>29</v>
      </c>
      <c r="N379" s="2" t="s">
        <v>4329</v>
      </c>
      <c r="O379" s="2" t="s">
        <v>29</v>
      </c>
      <c r="P379" s="2" t="s">
        <v>4330</v>
      </c>
      <c r="Q379" s="2" t="s">
        <v>4331</v>
      </c>
      <c r="R379" s="2" t="s">
        <v>601</v>
      </c>
      <c r="S379" s="2" t="s">
        <v>602</v>
      </c>
      <c r="T379" s="2" t="s">
        <v>4332</v>
      </c>
      <c r="U379" s="2" t="s">
        <v>29</v>
      </c>
      <c r="V379" s="2" t="n">
        <v>1</v>
      </c>
    </row>
    <row r="380">
      <c r="A380" s="2" t="n">
        <v>379</v>
      </c>
      <c r="B380" s="2" t="s">
        <v>4333</v>
      </c>
      <c r="C380" s="2" t="n">
        <v>288.120109355</v>
      </c>
      <c r="D380" s="2" t="n">
        <v>3.65116270864323</v>
      </c>
      <c r="E380" s="2" t="s">
        <v>4334</v>
      </c>
      <c r="F380" s="2" t="s">
        <v>24</v>
      </c>
      <c r="G380" s="2" t="s">
        <v>4335</v>
      </c>
      <c r="H380" s="2" t="s">
        <v>4336</v>
      </c>
      <c r="I380" s="2" t="s">
        <v>4337</v>
      </c>
      <c r="J380" s="2" t="s">
        <v>4338</v>
      </c>
      <c r="K380" s="2" t="s">
        <v>29</v>
      </c>
      <c r="L380" s="2" t="s">
        <v>29</v>
      </c>
      <c r="M380" s="2" t="s">
        <v>4339</v>
      </c>
      <c r="N380" s="2" t="s">
        <v>4340</v>
      </c>
      <c r="O380" s="2" t="s">
        <v>4341</v>
      </c>
      <c r="P380" s="2" t="s">
        <v>4342</v>
      </c>
      <c r="Q380" s="2" t="s">
        <v>4343</v>
      </c>
      <c r="R380" s="2" t="s">
        <v>36</v>
      </c>
      <c r="S380" s="2" t="s">
        <v>37</v>
      </c>
      <c r="T380" s="2" t="s">
        <v>69</v>
      </c>
      <c r="U380" s="2" t="s">
        <v>39</v>
      </c>
      <c r="V380" s="2" t="n">
        <v>1</v>
      </c>
    </row>
    <row r="381">
      <c r="A381" s="2" t="n">
        <v>380</v>
      </c>
      <c r="B381" s="2" t="s">
        <v>4344</v>
      </c>
      <c r="C381" s="2" t="n">
        <v>289.038747492</v>
      </c>
      <c r="D381" s="2" t="n">
        <v>2.22106998401299</v>
      </c>
      <c r="E381" s="2" t="s">
        <v>4345</v>
      </c>
      <c r="F381" s="2" t="s">
        <v>24</v>
      </c>
      <c r="G381" s="2" t="s">
        <v>4346</v>
      </c>
      <c r="H381" s="2" t="s">
        <v>4347</v>
      </c>
      <c r="I381" s="2" t="s">
        <v>4348</v>
      </c>
      <c r="J381" s="2" t="s">
        <v>91</v>
      </c>
      <c r="K381" s="2" t="s">
        <v>91</v>
      </c>
      <c r="L381" s="2" t="s">
        <v>91</v>
      </c>
      <c r="M381" s="2" t="s">
        <v>4349</v>
      </c>
      <c r="N381" s="2" t="s">
        <v>4350</v>
      </c>
      <c r="O381" s="2" t="s">
        <v>91</v>
      </c>
      <c r="P381" s="2" t="s">
        <v>4351</v>
      </c>
      <c r="Q381" s="2" t="s">
        <v>4352</v>
      </c>
      <c r="R381" s="2" t="s">
        <v>412</v>
      </c>
      <c r="S381" s="2" t="s">
        <v>413</v>
      </c>
      <c r="T381" s="2" t="s">
        <v>414</v>
      </c>
      <c r="U381" s="2" t="s">
        <v>56</v>
      </c>
      <c r="V381" s="2" t="n">
        <v>2</v>
      </c>
    </row>
    <row r="382">
      <c r="A382" s="2" t="n">
        <v>381</v>
      </c>
      <c r="B382" s="2" t="s">
        <v>4353</v>
      </c>
      <c r="C382" s="2" t="n">
        <v>289.073099578</v>
      </c>
      <c r="D382" s="2" t="n">
        <v>2.43520434408959</v>
      </c>
      <c r="E382" s="2" t="s">
        <v>4354</v>
      </c>
      <c r="F382" s="2" t="s">
        <v>24</v>
      </c>
      <c r="G382" s="2" t="s">
        <v>4355</v>
      </c>
      <c r="H382" s="2" t="s">
        <v>4356</v>
      </c>
      <c r="I382" s="2" t="s">
        <v>4357</v>
      </c>
      <c r="J382" s="2" t="s">
        <v>29</v>
      </c>
      <c r="K382" s="2" t="s">
        <v>29</v>
      </c>
      <c r="L382" s="2" t="s">
        <v>29</v>
      </c>
      <c r="M382" s="2" t="s">
        <v>29</v>
      </c>
      <c r="N382" s="2" t="s">
        <v>29</v>
      </c>
      <c r="O382" s="2" t="s">
        <v>29</v>
      </c>
      <c r="P382" s="2" t="s">
        <v>4358</v>
      </c>
      <c r="Q382" s="2" t="s">
        <v>4359</v>
      </c>
      <c r="R382" s="2" t="s">
        <v>114</v>
      </c>
      <c r="S382" s="2" t="s">
        <v>2206</v>
      </c>
      <c r="T382" s="2" t="s">
        <v>4360</v>
      </c>
      <c r="U382" s="2" t="s">
        <v>29</v>
      </c>
      <c r="V382" s="2" t="n">
        <v>1</v>
      </c>
    </row>
    <row r="383">
      <c r="A383" s="2" t="n">
        <v>382</v>
      </c>
      <c r="B383" s="2" t="s">
        <v>4361</v>
      </c>
      <c r="C383" s="2" t="n">
        <v>289.130614462</v>
      </c>
      <c r="D383" s="2" t="n">
        <v>3.32535242127205</v>
      </c>
      <c r="E383" s="2" t="s">
        <v>4362</v>
      </c>
      <c r="F383" s="2" t="s">
        <v>24</v>
      </c>
      <c r="G383" s="2" t="s">
        <v>4363</v>
      </c>
      <c r="H383" s="2" t="s">
        <v>4364</v>
      </c>
      <c r="I383" s="2" t="s">
        <v>4365</v>
      </c>
      <c r="J383" s="2" t="s">
        <v>4366</v>
      </c>
      <c r="K383" s="2" t="s">
        <v>29</v>
      </c>
      <c r="L383" s="2" t="s">
        <v>4367</v>
      </c>
      <c r="M383" s="2" t="s">
        <v>4368</v>
      </c>
      <c r="N383" s="2" t="s">
        <v>4369</v>
      </c>
      <c r="O383" s="2" t="s">
        <v>4370</v>
      </c>
      <c r="P383" s="2" t="s">
        <v>4371</v>
      </c>
      <c r="Q383" s="2" t="s">
        <v>4372</v>
      </c>
      <c r="R383" s="2" t="s">
        <v>114</v>
      </c>
      <c r="S383" s="2" t="s">
        <v>2325</v>
      </c>
      <c r="T383" s="2" t="s">
        <v>4373</v>
      </c>
      <c r="U383" s="2" t="s">
        <v>56</v>
      </c>
      <c r="V383" s="2" t="n">
        <v>1</v>
      </c>
    </row>
    <row r="384">
      <c r="A384" s="2" t="n">
        <v>383</v>
      </c>
      <c r="B384" s="2" t="s">
        <v>4374</v>
      </c>
      <c r="C384" s="2" t="n">
        <v>289.180368384</v>
      </c>
      <c r="D384" s="2" t="n">
        <v>2.8601058526443</v>
      </c>
      <c r="E384" s="2" t="s">
        <v>4375</v>
      </c>
      <c r="F384" s="2" t="s">
        <v>161</v>
      </c>
      <c r="G384" s="2" t="s">
        <v>4376</v>
      </c>
      <c r="H384" s="2" t="s">
        <v>4377</v>
      </c>
      <c r="I384" s="2" t="s">
        <v>4378</v>
      </c>
      <c r="J384" s="2" t="s">
        <v>4379</v>
      </c>
      <c r="K384" s="2" t="s">
        <v>195</v>
      </c>
      <c r="L384" s="2" t="s">
        <v>195</v>
      </c>
      <c r="M384" s="2" t="s">
        <v>4380</v>
      </c>
      <c r="N384" s="2" t="s">
        <v>4381</v>
      </c>
      <c r="O384" s="2" t="s">
        <v>4382</v>
      </c>
      <c r="P384" s="2" t="s">
        <v>4383</v>
      </c>
      <c r="Q384" s="2" t="s">
        <v>4384</v>
      </c>
      <c r="R384" s="2" t="s">
        <v>4385</v>
      </c>
      <c r="S384" s="2" t="s">
        <v>4386</v>
      </c>
      <c r="T384" s="2" t="s">
        <v>4387</v>
      </c>
      <c r="U384" s="2" t="s">
        <v>56</v>
      </c>
      <c r="V384" s="2" t="n">
        <v>3</v>
      </c>
    </row>
    <row r="385">
      <c r="A385" s="2" t="n">
        <v>384</v>
      </c>
      <c r="B385" s="2" t="s">
        <v>4388</v>
      </c>
      <c r="C385" s="2" t="n">
        <v>289.224510538</v>
      </c>
      <c r="D385" s="2" t="n">
        <v>12.3256374543073</v>
      </c>
      <c r="E385" s="2" t="s">
        <v>4389</v>
      </c>
      <c r="F385" s="2" t="s">
        <v>205</v>
      </c>
      <c r="G385" s="2" t="s">
        <v>4390</v>
      </c>
      <c r="H385" s="2" t="s">
        <v>4391</v>
      </c>
      <c r="I385" s="2" t="s">
        <v>4392</v>
      </c>
      <c r="J385" s="2" t="s">
        <v>4393</v>
      </c>
      <c r="K385" s="2" t="s">
        <v>29</v>
      </c>
      <c r="L385" s="2" t="s">
        <v>4394</v>
      </c>
      <c r="M385" s="2" t="s">
        <v>4395</v>
      </c>
      <c r="N385" s="2" t="s">
        <v>4396</v>
      </c>
      <c r="O385" s="2" t="s">
        <v>4397</v>
      </c>
      <c r="P385" s="2" t="s">
        <v>4398</v>
      </c>
      <c r="Q385" s="2" t="s">
        <v>4399</v>
      </c>
      <c r="R385" s="2" t="s">
        <v>36</v>
      </c>
      <c r="S385" s="2" t="s">
        <v>37</v>
      </c>
      <c r="T385" s="2" t="s">
        <v>1217</v>
      </c>
      <c r="U385" s="2" t="s">
        <v>56</v>
      </c>
      <c r="V385" s="2" t="n">
        <v>1</v>
      </c>
    </row>
    <row r="386">
      <c r="A386" s="2" t="n">
        <v>385</v>
      </c>
      <c r="B386" s="2" t="s">
        <v>4400</v>
      </c>
      <c r="C386" s="2" t="n">
        <v>290.082267287</v>
      </c>
      <c r="D386" s="2" t="n">
        <v>8.90223408698631</v>
      </c>
      <c r="E386" s="2" t="s">
        <v>4401</v>
      </c>
      <c r="F386" s="2" t="s">
        <v>24</v>
      </c>
      <c r="G386" s="2" t="s">
        <v>4402</v>
      </c>
      <c r="H386" s="2" t="s">
        <v>4403</v>
      </c>
      <c r="I386" s="2" t="s">
        <v>4404</v>
      </c>
      <c r="J386" s="2" t="s">
        <v>29</v>
      </c>
      <c r="K386" s="2" t="s">
        <v>29</v>
      </c>
      <c r="L386" s="2" t="s">
        <v>29</v>
      </c>
      <c r="M386" s="2" t="s">
        <v>29</v>
      </c>
      <c r="N386" s="2" t="s">
        <v>4405</v>
      </c>
      <c r="O386" s="2" t="s">
        <v>4406</v>
      </c>
      <c r="P386" s="2" t="s">
        <v>4407</v>
      </c>
      <c r="Q386" s="2" t="s">
        <v>4408</v>
      </c>
      <c r="R386" s="2" t="s">
        <v>114</v>
      </c>
      <c r="S386" s="2" t="s">
        <v>3933</v>
      </c>
      <c r="T386" s="2" t="s">
        <v>215</v>
      </c>
      <c r="U386" s="2" t="s">
        <v>29</v>
      </c>
      <c r="V386" s="2" t="n">
        <v>1</v>
      </c>
    </row>
    <row r="387">
      <c r="A387" s="2" t="n">
        <v>386</v>
      </c>
      <c r="B387" s="2" t="s">
        <v>4409</v>
      </c>
      <c r="C387" s="2" t="n">
        <v>290.96709325</v>
      </c>
      <c r="D387" s="2" t="n">
        <v>1.48486872406559</v>
      </c>
      <c r="E387" s="2" t="s">
        <v>4410</v>
      </c>
      <c r="F387" s="2" t="s">
        <v>161</v>
      </c>
      <c r="G387" s="2" t="s">
        <v>4411</v>
      </c>
      <c r="H387" s="2" t="s">
        <v>4412</v>
      </c>
      <c r="I387" s="2" t="s">
        <v>4413</v>
      </c>
      <c r="J387" s="2" t="s">
        <v>29</v>
      </c>
      <c r="K387" s="2" t="s">
        <v>29</v>
      </c>
      <c r="L387" s="2" t="s">
        <v>4414</v>
      </c>
      <c r="M387" s="2" t="s">
        <v>4415</v>
      </c>
      <c r="N387" s="2" t="s">
        <v>4416</v>
      </c>
      <c r="O387" s="2" t="s">
        <v>4417</v>
      </c>
      <c r="P387" s="2" t="s">
        <v>4418</v>
      </c>
      <c r="Q387" s="2" t="s">
        <v>4419</v>
      </c>
      <c r="R387" s="2" t="s">
        <v>129</v>
      </c>
      <c r="S387" s="2" t="s">
        <v>130</v>
      </c>
      <c r="T387" s="2" t="s">
        <v>1681</v>
      </c>
      <c r="U387" s="2" t="s">
        <v>56</v>
      </c>
      <c r="V387" s="2" t="n">
        <v>1</v>
      </c>
    </row>
    <row r="388">
      <c r="A388" s="2" t="n">
        <v>387</v>
      </c>
      <c r="B388" s="2" t="s">
        <v>4420</v>
      </c>
      <c r="C388" s="2" t="n">
        <v>291.10201645</v>
      </c>
      <c r="D388" s="2" t="n">
        <v>3.92903260357549</v>
      </c>
      <c r="E388" s="2" t="s">
        <v>4421</v>
      </c>
      <c r="F388" s="2" t="s">
        <v>24</v>
      </c>
      <c r="G388" s="2" t="s">
        <v>4422</v>
      </c>
      <c r="H388" s="2" t="s">
        <v>4423</v>
      </c>
      <c r="I388" s="2" t="s">
        <v>4424</v>
      </c>
      <c r="J388" s="2" t="s">
        <v>4425</v>
      </c>
      <c r="K388" s="2" t="s">
        <v>29</v>
      </c>
      <c r="L388" s="2" t="s">
        <v>29</v>
      </c>
      <c r="M388" s="2" t="s">
        <v>4426</v>
      </c>
      <c r="N388" s="2" t="s">
        <v>4427</v>
      </c>
      <c r="O388" s="2" t="s">
        <v>4428</v>
      </c>
      <c r="P388" s="2" t="s">
        <v>4429</v>
      </c>
      <c r="Q388" s="2" t="s">
        <v>4430</v>
      </c>
      <c r="R388" s="2" t="s">
        <v>36</v>
      </c>
      <c r="S388" s="2" t="s">
        <v>37</v>
      </c>
      <c r="T388" s="2" t="s">
        <v>69</v>
      </c>
      <c r="U388" s="2" t="s">
        <v>56</v>
      </c>
      <c r="V388" s="2" t="n">
        <v>1</v>
      </c>
    </row>
    <row r="389">
      <c r="A389" s="2" t="n">
        <v>388</v>
      </c>
      <c r="B389" s="2" t="s">
        <v>4431</v>
      </c>
      <c r="C389" s="2" t="n">
        <v>291.232949966</v>
      </c>
      <c r="D389" s="2" t="n">
        <v>13.7265436680972</v>
      </c>
      <c r="E389" s="2" t="s">
        <v>4432</v>
      </c>
      <c r="F389" s="2" t="s">
        <v>205</v>
      </c>
      <c r="G389" s="2" t="s">
        <v>4433</v>
      </c>
      <c r="H389" s="2" t="s">
        <v>4434</v>
      </c>
      <c r="I389" s="2" t="s">
        <v>4435</v>
      </c>
      <c r="J389" s="2" t="s">
        <v>4436</v>
      </c>
      <c r="K389" s="2" t="s">
        <v>91</v>
      </c>
      <c r="L389" s="2" t="s">
        <v>91</v>
      </c>
      <c r="M389" s="2" t="s">
        <v>91</v>
      </c>
      <c r="N389" s="2" t="s">
        <v>4437</v>
      </c>
      <c r="O389" s="2" t="s">
        <v>91</v>
      </c>
      <c r="P389" s="2" t="s">
        <v>4438</v>
      </c>
      <c r="Q389" s="2" t="s">
        <v>4439</v>
      </c>
      <c r="R389" s="2" t="s">
        <v>2304</v>
      </c>
      <c r="S389" s="2" t="s">
        <v>4440</v>
      </c>
      <c r="T389" s="2" t="s">
        <v>4441</v>
      </c>
      <c r="U389" s="2" t="s">
        <v>29</v>
      </c>
      <c r="V389" s="2" t="n">
        <v>2</v>
      </c>
    </row>
    <row r="390">
      <c r="A390" s="2" t="n">
        <v>389</v>
      </c>
      <c r="B390" s="2" t="s">
        <v>4442</v>
      </c>
      <c r="C390" s="2" t="n">
        <v>292.075586213</v>
      </c>
      <c r="D390" s="2" t="n">
        <v>0.363743547644595</v>
      </c>
      <c r="E390" s="2" t="s">
        <v>4443</v>
      </c>
      <c r="F390" s="2" t="s">
        <v>161</v>
      </c>
      <c r="G390" s="2" t="s">
        <v>4444</v>
      </c>
      <c r="H390" s="2" t="s">
        <v>4445</v>
      </c>
      <c r="I390" s="2" t="s">
        <v>4446</v>
      </c>
      <c r="J390" s="2" t="s">
        <v>29</v>
      </c>
      <c r="K390" s="2" t="s">
        <v>29</v>
      </c>
      <c r="L390" s="2" t="s">
        <v>29</v>
      </c>
      <c r="M390" s="2" t="s">
        <v>4447</v>
      </c>
      <c r="N390" s="2" t="s">
        <v>4448</v>
      </c>
      <c r="O390" s="2" t="s">
        <v>29</v>
      </c>
      <c r="P390" s="2" t="s">
        <v>4449</v>
      </c>
      <c r="Q390" s="2" t="s">
        <v>4450</v>
      </c>
      <c r="R390" s="2" t="s">
        <v>114</v>
      </c>
      <c r="S390" s="2" t="s">
        <v>172</v>
      </c>
      <c r="T390" s="2" t="s">
        <v>4451</v>
      </c>
      <c r="U390" s="2" t="s">
        <v>29</v>
      </c>
      <c r="V390" s="2" t="n">
        <v>1</v>
      </c>
    </row>
    <row r="391">
      <c r="A391" s="2" t="n">
        <v>390</v>
      </c>
      <c r="B391" s="2" t="s">
        <v>4452</v>
      </c>
      <c r="C391" s="2" t="n">
        <v>292.14017178</v>
      </c>
      <c r="D391" s="2" t="n">
        <v>2.63301656226565</v>
      </c>
      <c r="E391" s="2" t="s">
        <v>4453</v>
      </c>
      <c r="F391" s="2" t="s">
        <v>205</v>
      </c>
      <c r="G391" s="2" t="s">
        <v>4454</v>
      </c>
      <c r="H391" s="2" t="s">
        <v>4455</v>
      </c>
      <c r="I391" s="2" t="s">
        <v>4456</v>
      </c>
      <c r="J391" s="2" t="s">
        <v>91</v>
      </c>
      <c r="K391" s="2" t="s">
        <v>91</v>
      </c>
      <c r="L391" s="2" t="s">
        <v>91</v>
      </c>
      <c r="M391" s="2" t="s">
        <v>4457</v>
      </c>
      <c r="N391" s="2" t="s">
        <v>4458</v>
      </c>
      <c r="O391" s="2" t="s">
        <v>4459</v>
      </c>
      <c r="P391" s="2" t="s">
        <v>4460</v>
      </c>
      <c r="Q391" s="2" t="s">
        <v>4461</v>
      </c>
      <c r="R391" s="2" t="s">
        <v>412</v>
      </c>
      <c r="S391" s="2" t="s">
        <v>413</v>
      </c>
      <c r="T391" s="2" t="s">
        <v>3680</v>
      </c>
      <c r="U391" s="2" t="s">
        <v>39</v>
      </c>
      <c r="V391" s="2" t="n">
        <v>2</v>
      </c>
    </row>
    <row r="392">
      <c r="A392" s="2" t="n">
        <v>391</v>
      </c>
      <c r="B392" s="2" t="s">
        <v>4462</v>
      </c>
      <c r="C392" s="2" t="n">
        <v>292.170688363</v>
      </c>
      <c r="D392" s="2" t="n">
        <v>0.89972360300151</v>
      </c>
      <c r="E392" s="2" t="s">
        <v>4463</v>
      </c>
      <c r="F392" s="2" t="s">
        <v>24</v>
      </c>
      <c r="G392" s="2" t="s">
        <v>4464</v>
      </c>
      <c r="H392" s="2" t="s">
        <v>4465</v>
      </c>
      <c r="I392" s="2" t="s">
        <v>4466</v>
      </c>
      <c r="J392" s="2" t="s">
        <v>29</v>
      </c>
      <c r="K392" s="2" t="s">
        <v>29</v>
      </c>
      <c r="L392" s="2" t="s">
        <v>29</v>
      </c>
      <c r="M392" s="2" t="s">
        <v>29</v>
      </c>
      <c r="N392" s="2" t="s">
        <v>4467</v>
      </c>
      <c r="O392" s="2" t="s">
        <v>29</v>
      </c>
      <c r="P392" s="2" t="s">
        <v>4468</v>
      </c>
      <c r="Q392" s="2" t="s">
        <v>4469</v>
      </c>
      <c r="R392" s="2" t="s">
        <v>186</v>
      </c>
      <c r="S392" s="2" t="s">
        <v>4470</v>
      </c>
      <c r="T392" s="2" t="s">
        <v>215</v>
      </c>
      <c r="U392" s="2" t="s">
        <v>29</v>
      </c>
      <c r="V392" s="2" t="n">
        <v>1</v>
      </c>
    </row>
    <row r="393">
      <c r="A393" s="2" t="n">
        <v>392</v>
      </c>
      <c r="B393" s="2" t="s">
        <v>4471</v>
      </c>
      <c r="C393" s="2" t="n">
        <v>292.204881242</v>
      </c>
      <c r="D393" s="2" t="n">
        <v>3.17847850105028</v>
      </c>
      <c r="E393" s="2" t="s">
        <v>4472</v>
      </c>
      <c r="F393" s="2" t="s">
        <v>86</v>
      </c>
      <c r="G393" s="2" t="s">
        <v>4473</v>
      </c>
      <c r="H393" s="2" t="s">
        <v>4474</v>
      </c>
      <c r="I393" s="2" t="s">
        <v>4475</v>
      </c>
      <c r="J393" s="2" t="s">
        <v>4476</v>
      </c>
      <c r="K393" s="2" t="s">
        <v>29</v>
      </c>
      <c r="L393" s="2" t="s">
        <v>29</v>
      </c>
      <c r="M393" s="2" t="s">
        <v>29</v>
      </c>
      <c r="N393" s="2" t="s">
        <v>4477</v>
      </c>
      <c r="O393" s="2" t="s">
        <v>29</v>
      </c>
      <c r="P393" s="2" t="s">
        <v>4478</v>
      </c>
      <c r="Q393" s="2" t="s">
        <v>4479</v>
      </c>
      <c r="R393" s="2" t="s">
        <v>36</v>
      </c>
      <c r="S393" s="2" t="s">
        <v>37</v>
      </c>
      <c r="T393" s="2" t="s">
        <v>69</v>
      </c>
      <c r="U393" s="2" t="s">
        <v>29</v>
      </c>
      <c r="V393" s="2" t="n">
        <v>1</v>
      </c>
    </row>
    <row r="394">
      <c r="A394" s="2" t="n">
        <v>393</v>
      </c>
      <c r="B394" s="2" t="s">
        <v>4480</v>
      </c>
      <c r="C394" s="2" t="n">
        <v>293.065821578</v>
      </c>
      <c r="D394" s="2" t="n">
        <v>0.388995039913238</v>
      </c>
      <c r="E394" s="2" t="s">
        <v>4481</v>
      </c>
      <c r="F394" s="2" t="s">
        <v>86</v>
      </c>
      <c r="G394" s="2" t="s">
        <v>4482</v>
      </c>
      <c r="H394" s="2" t="s">
        <v>4483</v>
      </c>
      <c r="I394" s="2" t="s">
        <v>4484</v>
      </c>
      <c r="J394" s="2" t="s">
        <v>4485</v>
      </c>
      <c r="K394" s="2" t="s">
        <v>29</v>
      </c>
      <c r="L394" s="2" t="s">
        <v>29</v>
      </c>
      <c r="M394" s="2" t="s">
        <v>4486</v>
      </c>
      <c r="N394" s="2" t="s">
        <v>4487</v>
      </c>
      <c r="O394" s="2" t="s">
        <v>4488</v>
      </c>
      <c r="P394" s="2" t="s">
        <v>4489</v>
      </c>
      <c r="Q394" s="2" t="s">
        <v>4490</v>
      </c>
      <c r="R394" s="2" t="s">
        <v>2416</v>
      </c>
      <c r="S394" s="2" t="s">
        <v>3186</v>
      </c>
      <c r="T394" s="2" t="s">
        <v>215</v>
      </c>
      <c r="U394" s="2" t="s">
        <v>56</v>
      </c>
      <c r="V394" s="2" t="n">
        <v>1</v>
      </c>
    </row>
    <row r="395">
      <c r="A395" s="2" t="n">
        <v>394</v>
      </c>
      <c r="B395" s="2" t="s">
        <v>4491</v>
      </c>
      <c r="C395" s="2" t="n">
        <v>293.140785218</v>
      </c>
      <c r="D395" s="2" t="n">
        <v>1.68113055201811</v>
      </c>
      <c r="E395" s="2" t="s">
        <v>4492</v>
      </c>
      <c r="F395" s="2" t="s">
        <v>24</v>
      </c>
      <c r="G395" s="2" t="s">
        <v>4493</v>
      </c>
      <c r="H395" s="2" t="s">
        <v>4494</v>
      </c>
      <c r="I395" s="2" t="s">
        <v>4495</v>
      </c>
      <c r="J395" s="2" t="s">
        <v>4496</v>
      </c>
      <c r="K395" s="2" t="s">
        <v>29</v>
      </c>
      <c r="L395" s="2" t="s">
        <v>29</v>
      </c>
      <c r="M395" s="2" t="s">
        <v>4497</v>
      </c>
      <c r="N395" s="2" t="s">
        <v>4498</v>
      </c>
      <c r="O395" s="2" t="s">
        <v>4499</v>
      </c>
      <c r="P395" s="2" t="s">
        <v>4500</v>
      </c>
      <c r="Q395" s="2" t="s">
        <v>4501</v>
      </c>
      <c r="R395" s="2" t="s">
        <v>114</v>
      </c>
      <c r="S395" s="2" t="s">
        <v>994</v>
      </c>
      <c r="T395" s="2" t="s">
        <v>2801</v>
      </c>
      <c r="U395" s="2" t="s">
        <v>56</v>
      </c>
      <c r="V395" s="2" t="n">
        <v>1</v>
      </c>
    </row>
    <row r="396">
      <c r="A396" s="2" t="n">
        <v>395</v>
      </c>
      <c r="B396" s="2" t="s">
        <v>4502</v>
      </c>
      <c r="C396" s="2" t="n">
        <v>293.248604332</v>
      </c>
      <c r="D396" s="2" t="n">
        <v>9.00933506391914</v>
      </c>
      <c r="E396" s="2" t="s">
        <v>4503</v>
      </c>
      <c r="F396" s="2" t="s">
        <v>24</v>
      </c>
      <c r="G396" s="2" t="s">
        <v>4504</v>
      </c>
      <c r="H396" s="2" t="s">
        <v>4505</v>
      </c>
      <c r="I396" s="2" t="s">
        <v>4506</v>
      </c>
      <c r="J396" s="2" t="s">
        <v>29</v>
      </c>
      <c r="K396" s="2" t="s">
        <v>29</v>
      </c>
      <c r="L396" s="2" t="s">
        <v>29</v>
      </c>
      <c r="M396" s="2" t="s">
        <v>4507</v>
      </c>
      <c r="N396" s="2" t="s">
        <v>4508</v>
      </c>
      <c r="O396" s="2" t="s">
        <v>4509</v>
      </c>
      <c r="P396" s="2" t="s">
        <v>4510</v>
      </c>
      <c r="Q396" s="2" t="s">
        <v>4511</v>
      </c>
      <c r="R396" s="2" t="s">
        <v>794</v>
      </c>
      <c r="S396" s="2" t="s">
        <v>795</v>
      </c>
      <c r="T396" s="2" t="s">
        <v>2391</v>
      </c>
      <c r="U396" s="2" t="s">
        <v>56</v>
      </c>
      <c r="V396" s="2" t="n">
        <v>1</v>
      </c>
    </row>
    <row r="397">
      <c r="A397" s="2" t="n">
        <v>396</v>
      </c>
      <c r="B397" s="2" t="s">
        <v>4512</v>
      </c>
      <c r="C397" s="2" t="n">
        <v>294.06787847</v>
      </c>
      <c r="D397" s="2" t="n">
        <v>6.18487727177908</v>
      </c>
      <c r="E397" s="2" t="s">
        <v>4513</v>
      </c>
      <c r="F397" s="2" t="s">
        <v>161</v>
      </c>
      <c r="G397" s="2" t="s">
        <v>4514</v>
      </c>
      <c r="H397" s="2" t="s">
        <v>4515</v>
      </c>
      <c r="I397" s="2" t="s">
        <v>4516</v>
      </c>
      <c r="J397" s="2" t="s">
        <v>4517</v>
      </c>
      <c r="K397" s="2" t="s">
        <v>29</v>
      </c>
      <c r="L397" s="2" t="s">
        <v>29</v>
      </c>
      <c r="M397" s="2" t="s">
        <v>4518</v>
      </c>
      <c r="N397" s="2" t="s">
        <v>4519</v>
      </c>
      <c r="O397" s="2" t="s">
        <v>4520</v>
      </c>
      <c r="P397" s="2" t="s">
        <v>4521</v>
      </c>
      <c r="Q397" s="2" t="s">
        <v>4522</v>
      </c>
      <c r="R397" s="2" t="s">
        <v>114</v>
      </c>
      <c r="S397" s="2" t="s">
        <v>4523</v>
      </c>
      <c r="T397" s="2" t="s">
        <v>4524</v>
      </c>
      <c r="U397" s="2" t="s">
        <v>56</v>
      </c>
      <c r="V397" s="2" t="n">
        <v>1</v>
      </c>
    </row>
    <row r="398">
      <c r="A398" s="2" t="n">
        <v>397</v>
      </c>
      <c r="B398" s="2" t="s">
        <v>4525</v>
      </c>
      <c r="C398" s="2" t="n">
        <v>295.07917348</v>
      </c>
      <c r="D398" s="2" t="n">
        <v>3.12103753877642</v>
      </c>
      <c r="E398" s="2" t="s">
        <v>4526</v>
      </c>
      <c r="F398" s="2" t="s">
        <v>24</v>
      </c>
      <c r="G398" s="2" t="s">
        <v>4527</v>
      </c>
      <c r="H398" s="2" t="s">
        <v>4528</v>
      </c>
      <c r="I398" s="2" t="s">
        <v>4529</v>
      </c>
      <c r="J398" s="2" t="s">
        <v>4530</v>
      </c>
      <c r="K398" s="2" t="s">
        <v>29</v>
      </c>
      <c r="L398" s="2" t="s">
        <v>29</v>
      </c>
      <c r="M398" s="2" t="s">
        <v>29</v>
      </c>
      <c r="N398" s="2" t="s">
        <v>4531</v>
      </c>
      <c r="O398" s="2" t="s">
        <v>4532</v>
      </c>
      <c r="P398" s="2" t="s">
        <v>4533</v>
      </c>
      <c r="Q398" s="2" t="s">
        <v>4534</v>
      </c>
      <c r="R398" s="2" t="s">
        <v>36</v>
      </c>
      <c r="S398" s="2" t="s">
        <v>37</v>
      </c>
      <c r="T398" s="2" t="s">
        <v>69</v>
      </c>
      <c r="U398" s="2" t="s">
        <v>29</v>
      </c>
      <c r="V398" s="2" t="n">
        <v>1</v>
      </c>
    </row>
    <row r="399">
      <c r="A399" s="2" t="n">
        <v>398</v>
      </c>
      <c r="B399" s="2" t="s">
        <v>4535</v>
      </c>
      <c r="C399" s="2" t="n">
        <v>295.227318576</v>
      </c>
      <c r="D399" s="2" t="n">
        <v>12.5354461325153</v>
      </c>
      <c r="E399" s="2" t="s">
        <v>4536</v>
      </c>
      <c r="F399" s="2" t="s">
        <v>161</v>
      </c>
      <c r="G399" s="2" t="s">
        <v>4537</v>
      </c>
      <c r="H399" s="2" t="s">
        <v>4538</v>
      </c>
      <c r="I399" s="2" t="s">
        <v>4539</v>
      </c>
      <c r="J399" s="2" t="s">
        <v>4540</v>
      </c>
      <c r="K399" s="2" t="s">
        <v>4541</v>
      </c>
      <c r="L399" s="2" t="s">
        <v>29</v>
      </c>
      <c r="M399" s="2" t="s">
        <v>4542</v>
      </c>
      <c r="N399" s="2" t="s">
        <v>4543</v>
      </c>
      <c r="O399" s="2" t="s">
        <v>4544</v>
      </c>
      <c r="P399" s="2" t="s">
        <v>4545</v>
      </c>
      <c r="Q399" s="2" t="s">
        <v>4546</v>
      </c>
      <c r="R399" s="2" t="s">
        <v>794</v>
      </c>
      <c r="S399" s="2" t="s">
        <v>795</v>
      </c>
      <c r="T399" s="2" t="s">
        <v>796</v>
      </c>
      <c r="U399" s="2" t="s">
        <v>39</v>
      </c>
      <c r="V399" s="2" t="n">
        <v>1</v>
      </c>
    </row>
    <row r="400">
      <c r="A400" s="2" t="n">
        <v>399</v>
      </c>
      <c r="B400" s="2" t="s">
        <v>4547</v>
      </c>
      <c r="C400" s="2" t="n">
        <v>295.264254396</v>
      </c>
      <c r="D400" s="2" t="n">
        <v>14.0109826001012</v>
      </c>
      <c r="E400" s="2" t="s">
        <v>4548</v>
      </c>
      <c r="F400" s="2" t="s">
        <v>24</v>
      </c>
      <c r="G400" s="2" t="s">
        <v>4549</v>
      </c>
      <c r="H400" s="2" t="s">
        <v>4550</v>
      </c>
      <c r="I400" s="2" t="s">
        <v>4551</v>
      </c>
      <c r="J400" s="2" t="s">
        <v>4552</v>
      </c>
      <c r="K400" s="2" t="s">
        <v>4553</v>
      </c>
      <c r="L400" s="2" t="s">
        <v>29</v>
      </c>
      <c r="M400" s="2" t="s">
        <v>4554</v>
      </c>
      <c r="N400" s="2" t="s">
        <v>4555</v>
      </c>
      <c r="O400" s="2" t="s">
        <v>4556</v>
      </c>
      <c r="P400" s="2" t="s">
        <v>4557</v>
      </c>
      <c r="Q400" s="2" t="s">
        <v>4558</v>
      </c>
      <c r="R400" s="2" t="s">
        <v>794</v>
      </c>
      <c r="S400" s="2" t="s">
        <v>795</v>
      </c>
      <c r="T400" s="2" t="s">
        <v>796</v>
      </c>
      <c r="U400" s="2" t="s">
        <v>56</v>
      </c>
      <c r="V400" s="2" t="n">
        <v>1</v>
      </c>
    </row>
    <row r="401">
      <c r="A401" s="2" t="n">
        <v>400</v>
      </c>
      <c r="B401" s="2" t="s">
        <v>4559</v>
      </c>
      <c r="C401" s="2" t="n">
        <v>297.055066258</v>
      </c>
      <c r="D401" s="2" t="n">
        <v>3.40119253974679</v>
      </c>
      <c r="E401" s="2" t="s">
        <v>4560</v>
      </c>
      <c r="F401" s="2" t="s">
        <v>24</v>
      </c>
      <c r="G401" s="2" t="s">
        <v>4561</v>
      </c>
      <c r="H401" s="2" t="s">
        <v>4562</v>
      </c>
      <c r="I401" s="2" t="s">
        <v>4563</v>
      </c>
      <c r="J401" s="2" t="s">
        <v>4564</v>
      </c>
      <c r="K401" s="2" t="s">
        <v>29</v>
      </c>
      <c r="L401" s="2" t="s">
        <v>29</v>
      </c>
      <c r="M401" s="2" t="s">
        <v>29</v>
      </c>
      <c r="N401" s="2" t="s">
        <v>4565</v>
      </c>
      <c r="O401" s="2" t="s">
        <v>4566</v>
      </c>
      <c r="P401" s="2" t="s">
        <v>4567</v>
      </c>
      <c r="Q401" s="2" t="s">
        <v>4568</v>
      </c>
      <c r="R401" s="2" t="s">
        <v>36</v>
      </c>
      <c r="S401" s="2" t="s">
        <v>37</v>
      </c>
      <c r="T401" s="2" t="s">
        <v>1217</v>
      </c>
      <c r="U401" s="2" t="s">
        <v>29</v>
      </c>
      <c r="V401" s="2" t="n">
        <v>1</v>
      </c>
    </row>
    <row r="402">
      <c r="A402" s="2" t="n">
        <v>401</v>
      </c>
      <c r="B402" s="2" t="s">
        <v>4569</v>
      </c>
      <c r="C402" s="2" t="n">
        <v>297.0899108</v>
      </c>
      <c r="D402" s="2" t="n">
        <v>2.23257667692875</v>
      </c>
      <c r="E402" s="2" t="s">
        <v>4570</v>
      </c>
      <c r="F402" s="2" t="s">
        <v>24</v>
      </c>
      <c r="G402" s="2" t="s">
        <v>4571</v>
      </c>
      <c r="H402" s="2" t="s">
        <v>4572</v>
      </c>
      <c r="I402" s="2" t="s">
        <v>4573</v>
      </c>
      <c r="J402" s="2" t="s">
        <v>4574</v>
      </c>
      <c r="K402" s="2" t="s">
        <v>91</v>
      </c>
      <c r="L402" s="2" t="s">
        <v>91</v>
      </c>
      <c r="M402" s="2" t="s">
        <v>91</v>
      </c>
      <c r="N402" s="2" t="s">
        <v>4575</v>
      </c>
      <c r="O402" s="2" t="s">
        <v>4576</v>
      </c>
      <c r="P402" s="2" t="s">
        <v>4577</v>
      </c>
      <c r="Q402" s="2" t="s">
        <v>4578</v>
      </c>
      <c r="R402" s="2" t="s">
        <v>2304</v>
      </c>
      <c r="S402" s="2" t="s">
        <v>4579</v>
      </c>
      <c r="T402" s="2" t="s">
        <v>4580</v>
      </c>
      <c r="U402" s="2" t="s">
        <v>29</v>
      </c>
      <c r="V402" s="2" t="n">
        <v>2</v>
      </c>
    </row>
    <row r="403">
      <c r="A403" s="2" t="n">
        <v>402</v>
      </c>
      <c r="B403" s="2" t="s">
        <v>4581</v>
      </c>
      <c r="C403" s="2" t="n">
        <v>297.222389582</v>
      </c>
      <c r="D403" s="2" t="n">
        <v>19.0867553563411</v>
      </c>
      <c r="E403" s="2" t="s">
        <v>4582</v>
      </c>
      <c r="F403" s="2" t="s">
        <v>24</v>
      </c>
      <c r="G403" s="2" t="s">
        <v>4583</v>
      </c>
      <c r="H403" s="2" t="s">
        <v>4584</v>
      </c>
      <c r="I403" s="2" t="s">
        <v>4585</v>
      </c>
      <c r="J403" s="2" t="s">
        <v>4586</v>
      </c>
      <c r="K403" s="2" t="s">
        <v>29</v>
      </c>
      <c r="L403" s="2" t="s">
        <v>29</v>
      </c>
      <c r="M403" s="2" t="s">
        <v>4587</v>
      </c>
      <c r="N403" s="2" t="s">
        <v>4588</v>
      </c>
      <c r="O403" s="2" t="s">
        <v>4589</v>
      </c>
      <c r="P403" s="2" t="s">
        <v>4590</v>
      </c>
      <c r="Q403" s="2" t="s">
        <v>4591</v>
      </c>
      <c r="R403" s="2" t="s">
        <v>186</v>
      </c>
      <c r="S403" s="2" t="s">
        <v>357</v>
      </c>
      <c r="T403" s="2" t="s">
        <v>4592</v>
      </c>
      <c r="U403" s="2" t="s">
        <v>56</v>
      </c>
      <c r="V403" s="2" t="n">
        <v>1</v>
      </c>
    </row>
    <row r="404">
      <c r="A404" s="2" t="n">
        <v>403</v>
      </c>
      <c r="B404" s="2" t="s">
        <v>4593</v>
      </c>
      <c r="C404" s="2" t="n">
        <v>297.243518954</v>
      </c>
      <c r="D404" s="2" t="n">
        <v>18.3137953000189</v>
      </c>
      <c r="E404" s="2" t="s">
        <v>4594</v>
      </c>
      <c r="F404" s="2" t="s">
        <v>24</v>
      </c>
      <c r="G404" s="2" t="s">
        <v>4595</v>
      </c>
      <c r="H404" s="2" t="s">
        <v>4596</v>
      </c>
      <c r="I404" s="2" t="s">
        <v>4597</v>
      </c>
      <c r="J404" s="2" t="s">
        <v>29</v>
      </c>
      <c r="K404" s="2" t="s">
        <v>29</v>
      </c>
      <c r="L404" s="2" t="s">
        <v>4598</v>
      </c>
      <c r="M404" s="2" t="s">
        <v>4599</v>
      </c>
      <c r="N404" s="2" t="s">
        <v>4600</v>
      </c>
      <c r="O404" s="2" t="s">
        <v>4601</v>
      </c>
      <c r="P404" s="2" t="s">
        <v>4602</v>
      </c>
      <c r="Q404" s="2" t="s">
        <v>4603</v>
      </c>
      <c r="R404" s="2" t="s">
        <v>794</v>
      </c>
      <c r="S404" s="2" t="s">
        <v>795</v>
      </c>
      <c r="T404" s="2" t="s">
        <v>796</v>
      </c>
      <c r="U404" s="2" t="s">
        <v>56</v>
      </c>
      <c r="V404" s="2" t="n">
        <v>1</v>
      </c>
    </row>
    <row r="405">
      <c r="A405" s="2" t="n">
        <v>404</v>
      </c>
      <c r="B405" s="2" t="s">
        <v>4604</v>
      </c>
      <c r="C405" s="2" t="n">
        <v>298.1188599</v>
      </c>
      <c r="D405" s="2" t="n">
        <v>3.48901608397835</v>
      </c>
      <c r="E405" s="2" t="s">
        <v>4605</v>
      </c>
      <c r="F405" s="2" t="s">
        <v>24</v>
      </c>
      <c r="G405" s="2" t="s">
        <v>4606</v>
      </c>
      <c r="H405" s="2" t="s">
        <v>4607</v>
      </c>
      <c r="I405" s="2" t="s">
        <v>4608</v>
      </c>
      <c r="J405" s="2" t="s">
        <v>4609</v>
      </c>
      <c r="K405" s="2" t="s">
        <v>91</v>
      </c>
      <c r="L405" s="2" t="s">
        <v>91</v>
      </c>
      <c r="M405" s="2" t="s">
        <v>4610</v>
      </c>
      <c r="N405" s="2" t="s">
        <v>4611</v>
      </c>
      <c r="O405" s="2" t="s">
        <v>91</v>
      </c>
      <c r="P405" s="2" t="s">
        <v>4612</v>
      </c>
      <c r="Q405" s="2" t="s">
        <v>4613</v>
      </c>
      <c r="R405" s="2" t="s">
        <v>541</v>
      </c>
      <c r="S405" s="2" t="s">
        <v>4614</v>
      </c>
      <c r="T405" s="2" t="s">
        <v>4615</v>
      </c>
      <c r="U405" s="2" t="s">
        <v>29</v>
      </c>
      <c r="V405" s="2" t="n">
        <v>2</v>
      </c>
    </row>
    <row r="406">
      <c r="A406" s="2" t="n">
        <v>405</v>
      </c>
      <c r="B406" s="2" t="s">
        <v>4616</v>
      </c>
      <c r="C406" s="2" t="n">
        <v>298.999775428</v>
      </c>
      <c r="D406" s="2" t="n">
        <v>2.06034679307501</v>
      </c>
      <c r="E406" s="2" t="s">
        <v>4617</v>
      </c>
      <c r="F406" s="2" t="s">
        <v>86</v>
      </c>
      <c r="G406" s="2" t="s">
        <v>4618</v>
      </c>
      <c r="H406" s="2" t="s">
        <v>4619</v>
      </c>
      <c r="I406" s="2" t="s">
        <v>4620</v>
      </c>
      <c r="J406" s="2" t="s">
        <v>4621</v>
      </c>
      <c r="K406" s="2" t="s">
        <v>91</v>
      </c>
      <c r="L406" s="2" t="s">
        <v>91</v>
      </c>
      <c r="M406" s="2" t="s">
        <v>4622</v>
      </c>
      <c r="N406" s="2" t="s">
        <v>4623</v>
      </c>
      <c r="O406" s="2" t="s">
        <v>4624</v>
      </c>
      <c r="P406" s="2" t="s">
        <v>4625</v>
      </c>
      <c r="Q406" s="2" t="s">
        <v>4626</v>
      </c>
      <c r="R406" s="2" t="s">
        <v>4627</v>
      </c>
      <c r="S406" s="2" t="s">
        <v>4628</v>
      </c>
      <c r="T406" s="2" t="s">
        <v>4629</v>
      </c>
      <c r="U406" s="2" t="s">
        <v>56</v>
      </c>
      <c r="V406" s="2" t="n">
        <v>2</v>
      </c>
    </row>
    <row r="407">
      <c r="A407" s="2" t="n">
        <v>406</v>
      </c>
      <c r="B407" s="2" t="s">
        <v>4630</v>
      </c>
      <c r="C407" s="2" t="n">
        <v>299.0956649</v>
      </c>
      <c r="D407" s="2" t="n">
        <v>0.613140858025562</v>
      </c>
      <c r="E407" s="2" t="s">
        <v>4631</v>
      </c>
      <c r="F407" s="2" t="s">
        <v>24</v>
      </c>
      <c r="G407" s="2" t="s">
        <v>4632</v>
      </c>
      <c r="H407" s="2" t="s">
        <v>4633</v>
      </c>
      <c r="I407" s="2" t="s">
        <v>4634</v>
      </c>
      <c r="J407" s="2" t="s">
        <v>29</v>
      </c>
      <c r="K407" s="2" t="s">
        <v>29</v>
      </c>
      <c r="L407" s="2" t="s">
        <v>29</v>
      </c>
      <c r="M407" s="2" t="s">
        <v>29</v>
      </c>
      <c r="N407" s="2" t="s">
        <v>4635</v>
      </c>
      <c r="O407" s="2" t="s">
        <v>29</v>
      </c>
      <c r="P407" s="2" t="s">
        <v>4636</v>
      </c>
      <c r="Q407" s="2" t="s">
        <v>4637</v>
      </c>
      <c r="R407" s="2" t="s">
        <v>114</v>
      </c>
      <c r="S407" s="2" t="s">
        <v>3933</v>
      </c>
      <c r="T407" s="2" t="s">
        <v>215</v>
      </c>
      <c r="U407" s="2" t="s">
        <v>29</v>
      </c>
      <c r="V407" s="2" t="n">
        <v>1</v>
      </c>
    </row>
    <row r="408">
      <c r="A408" s="2" t="n">
        <v>407</v>
      </c>
      <c r="B408" s="2" t="s">
        <v>4638</v>
      </c>
      <c r="C408" s="2" t="n">
        <v>299.132050389</v>
      </c>
      <c r="D408" s="2" t="n">
        <v>4.74653269666723</v>
      </c>
      <c r="E408" s="2" t="s">
        <v>4639</v>
      </c>
      <c r="F408" s="2" t="s">
        <v>24</v>
      </c>
      <c r="G408" s="2" t="s">
        <v>4640</v>
      </c>
      <c r="H408" s="2" t="s">
        <v>4641</v>
      </c>
      <c r="I408" s="2" t="s">
        <v>4642</v>
      </c>
      <c r="J408" s="2" t="s">
        <v>4643</v>
      </c>
      <c r="K408" s="2" t="s">
        <v>91</v>
      </c>
      <c r="L408" s="2" t="s">
        <v>91</v>
      </c>
      <c r="M408" s="2" t="s">
        <v>4644</v>
      </c>
      <c r="N408" s="2" t="s">
        <v>4645</v>
      </c>
      <c r="O408" s="2" t="s">
        <v>4646</v>
      </c>
      <c r="P408" s="2" t="s">
        <v>4647</v>
      </c>
      <c r="Q408" s="2" t="s">
        <v>4648</v>
      </c>
      <c r="R408" s="2" t="s">
        <v>4649</v>
      </c>
      <c r="S408" s="2" t="s">
        <v>4650</v>
      </c>
      <c r="T408" s="2" t="s">
        <v>4651</v>
      </c>
      <c r="U408" s="2" t="s">
        <v>29</v>
      </c>
      <c r="V408" s="2" t="n">
        <v>2</v>
      </c>
    </row>
    <row r="409">
      <c r="A409" s="2" t="n">
        <v>408</v>
      </c>
      <c r="B409" s="2" t="s">
        <v>4652</v>
      </c>
      <c r="C409" s="2" t="n">
        <v>299.201649832</v>
      </c>
      <c r="D409" s="2" t="n">
        <v>3.45441398876135</v>
      </c>
      <c r="E409" s="2" t="s">
        <v>4653</v>
      </c>
      <c r="F409" s="2" t="s">
        <v>205</v>
      </c>
      <c r="G409" s="2" t="s">
        <v>4654</v>
      </c>
      <c r="H409" s="2" t="s">
        <v>4655</v>
      </c>
      <c r="I409" s="2" t="s">
        <v>4656</v>
      </c>
      <c r="J409" s="2" t="s">
        <v>4657</v>
      </c>
      <c r="K409" s="2" t="s">
        <v>29</v>
      </c>
      <c r="L409" s="2" t="s">
        <v>29</v>
      </c>
      <c r="M409" s="2" t="s">
        <v>29</v>
      </c>
      <c r="N409" s="2" t="s">
        <v>4658</v>
      </c>
      <c r="O409" s="2" t="s">
        <v>4659</v>
      </c>
      <c r="P409" s="2" t="s">
        <v>4660</v>
      </c>
      <c r="Q409" s="2" t="s">
        <v>4661</v>
      </c>
      <c r="R409" s="2" t="s">
        <v>794</v>
      </c>
      <c r="S409" s="2" t="s">
        <v>1098</v>
      </c>
      <c r="T409" s="2" t="s">
        <v>4662</v>
      </c>
      <c r="U409" s="2" t="s">
        <v>56</v>
      </c>
      <c r="V409" s="2" t="n">
        <v>1</v>
      </c>
    </row>
    <row r="410">
      <c r="A410" s="2" t="n">
        <v>409</v>
      </c>
      <c r="B410" s="2" t="s">
        <v>4663</v>
      </c>
      <c r="C410" s="2" t="n">
        <v>300.048441313</v>
      </c>
      <c r="D410" s="2" t="n">
        <v>7.66199988487746</v>
      </c>
      <c r="E410" s="2" t="s">
        <v>4664</v>
      </c>
      <c r="F410" s="2" t="s">
        <v>161</v>
      </c>
      <c r="G410" s="2" t="s">
        <v>4665</v>
      </c>
      <c r="H410" s="2" t="s">
        <v>4666</v>
      </c>
      <c r="I410" s="2" t="s">
        <v>4667</v>
      </c>
      <c r="J410" s="2" t="s">
        <v>4668</v>
      </c>
      <c r="K410" s="2" t="s">
        <v>29</v>
      </c>
      <c r="L410" s="2" t="s">
        <v>29</v>
      </c>
      <c r="M410" s="2" t="s">
        <v>29</v>
      </c>
      <c r="N410" s="2" t="s">
        <v>4669</v>
      </c>
      <c r="O410" s="2" t="s">
        <v>4670</v>
      </c>
      <c r="P410" s="2" t="s">
        <v>4671</v>
      </c>
      <c r="Q410" s="2" t="s">
        <v>4672</v>
      </c>
      <c r="R410" s="2" t="s">
        <v>36</v>
      </c>
      <c r="S410" s="2" t="s">
        <v>2572</v>
      </c>
      <c r="T410" s="2" t="s">
        <v>2637</v>
      </c>
      <c r="U410" s="2" t="s">
        <v>56</v>
      </c>
      <c r="V410" s="2" t="n">
        <v>1</v>
      </c>
    </row>
    <row r="411">
      <c r="A411" s="2" t="n">
        <v>410</v>
      </c>
      <c r="B411" s="2" t="s">
        <v>4673</v>
      </c>
      <c r="C411" s="2" t="n">
        <v>301.056621</v>
      </c>
      <c r="D411" s="2" t="n">
        <v>4.07721169911687</v>
      </c>
      <c r="E411" s="2" t="s">
        <v>4674</v>
      </c>
      <c r="F411" s="2" t="s">
        <v>161</v>
      </c>
      <c r="G411" s="2" t="s">
        <v>4675</v>
      </c>
      <c r="H411" s="2" t="s">
        <v>4676</v>
      </c>
      <c r="I411" s="2" t="s">
        <v>4677</v>
      </c>
      <c r="J411" s="2" t="s">
        <v>29</v>
      </c>
      <c r="K411" s="2" t="s">
        <v>29</v>
      </c>
      <c r="L411" s="2" t="s">
        <v>29</v>
      </c>
      <c r="M411" s="2" t="s">
        <v>29</v>
      </c>
      <c r="N411" s="2" t="s">
        <v>4678</v>
      </c>
      <c r="O411" s="2" t="s">
        <v>29</v>
      </c>
      <c r="P411" s="2" t="s">
        <v>4679</v>
      </c>
      <c r="Q411" s="2" t="s">
        <v>4680</v>
      </c>
      <c r="R411" s="2" t="s">
        <v>114</v>
      </c>
      <c r="S411" s="2" t="s">
        <v>4681</v>
      </c>
      <c r="T411" s="2" t="s">
        <v>4682</v>
      </c>
      <c r="U411" s="2" t="s">
        <v>29</v>
      </c>
      <c r="V411" s="2" t="n">
        <v>1</v>
      </c>
    </row>
    <row r="412">
      <c r="A412" s="2" t="n">
        <v>411</v>
      </c>
      <c r="B412" s="2" t="s">
        <v>4683</v>
      </c>
      <c r="C412" s="2" t="n">
        <v>301.094228947</v>
      </c>
      <c r="D412" s="2" t="n">
        <v>1.21690668461088</v>
      </c>
      <c r="E412" s="2" t="s">
        <v>4684</v>
      </c>
      <c r="F412" s="2" t="s">
        <v>24</v>
      </c>
      <c r="G412" s="2" t="s">
        <v>4685</v>
      </c>
      <c r="H412" s="2" t="s">
        <v>4686</v>
      </c>
      <c r="I412" s="2" t="s">
        <v>4687</v>
      </c>
      <c r="J412" s="2" t="s">
        <v>29</v>
      </c>
      <c r="K412" s="2" t="s">
        <v>29</v>
      </c>
      <c r="L412" s="2" t="s">
        <v>29</v>
      </c>
      <c r="M412" s="2" t="s">
        <v>29</v>
      </c>
      <c r="N412" s="2" t="s">
        <v>4688</v>
      </c>
      <c r="O412" s="2" t="s">
        <v>29</v>
      </c>
      <c r="P412" s="2" t="s">
        <v>4689</v>
      </c>
      <c r="Q412" s="2" t="s">
        <v>4690</v>
      </c>
      <c r="R412" s="2" t="s">
        <v>186</v>
      </c>
      <c r="S412" s="2" t="s">
        <v>187</v>
      </c>
      <c r="T412" s="2" t="s">
        <v>215</v>
      </c>
      <c r="U412" s="2" t="s">
        <v>29</v>
      </c>
      <c r="V412" s="2" t="n">
        <v>1</v>
      </c>
    </row>
    <row r="413">
      <c r="A413" s="2" t="n">
        <v>412</v>
      </c>
      <c r="B413" s="2" t="s">
        <v>4691</v>
      </c>
      <c r="C413" s="2" t="n">
        <v>301.141847844</v>
      </c>
      <c r="D413" s="2" t="n">
        <v>1.5211001744967</v>
      </c>
      <c r="E413" s="2" t="s">
        <v>4692</v>
      </c>
      <c r="F413" s="2" t="s">
        <v>683</v>
      </c>
      <c r="G413" s="2" t="s">
        <v>4693</v>
      </c>
      <c r="H413" s="2" t="s">
        <v>4694</v>
      </c>
      <c r="I413" s="2" t="s">
        <v>4695</v>
      </c>
      <c r="J413" s="2" t="s">
        <v>29</v>
      </c>
      <c r="K413" s="2" t="s">
        <v>29</v>
      </c>
      <c r="L413" s="2" t="s">
        <v>29</v>
      </c>
      <c r="M413" s="2" t="s">
        <v>29</v>
      </c>
      <c r="N413" s="2" t="s">
        <v>4696</v>
      </c>
      <c r="O413" s="2" t="s">
        <v>29</v>
      </c>
      <c r="P413" s="2" t="s">
        <v>4697</v>
      </c>
      <c r="Q413" s="2" t="s">
        <v>4698</v>
      </c>
      <c r="R413" s="2" t="s">
        <v>186</v>
      </c>
      <c r="S413" s="2" t="s">
        <v>187</v>
      </c>
      <c r="T413" s="2" t="s">
        <v>2195</v>
      </c>
      <c r="U413" s="2" t="s">
        <v>56</v>
      </c>
      <c r="V413" s="2" t="n">
        <v>1</v>
      </c>
    </row>
    <row r="414">
      <c r="A414" s="2" t="n">
        <v>413</v>
      </c>
      <c r="B414" s="2" t="s">
        <v>4699</v>
      </c>
      <c r="C414" s="2" t="n">
        <v>302.070178671</v>
      </c>
      <c r="D414" s="2" t="n">
        <v>3.59298476433386</v>
      </c>
      <c r="E414" s="2" t="s">
        <v>4700</v>
      </c>
      <c r="F414" s="2" t="s">
        <v>86</v>
      </c>
      <c r="G414" s="2" t="s">
        <v>4701</v>
      </c>
      <c r="H414" s="2" t="s">
        <v>4702</v>
      </c>
      <c r="I414" s="2" t="s">
        <v>4703</v>
      </c>
      <c r="J414" s="2" t="s">
        <v>4704</v>
      </c>
      <c r="K414" s="2" t="s">
        <v>29</v>
      </c>
      <c r="L414" s="2" t="s">
        <v>4705</v>
      </c>
      <c r="M414" s="2" t="s">
        <v>4706</v>
      </c>
      <c r="N414" s="2" t="s">
        <v>4707</v>
      </c>
      <c r="O414" s="2" t="s">
        <v>4708</v>
      </c>
      <c r="P414" s="2" t="s">
        <v>4709</v>
      </c>
      <c r="Q414" s="2" t="s">
        <v>4710</v>
      </c>
      <c r="R414" s="2" t="s">
        <v>186</v>
      </c>
      <c r="S414" s="2" t="s">
        <v>187</v>
      </c>
      <c r="T414" s="2" t="s">
        <v>4711</v>
      </c>
      <c r="U414" s="2" t="s">
        <v>101</v>
      </c>
      <c r="V414" s="2" t="n">
        <v>1</v>
      </c>
    </row>
    <row r="415">
      <c r="A415" s="2" t="n">
        <v>414</v>
      </c>
      <c r="B415" s="2" t="s">
        <v>4712</v>
      </c>
      <c r="C415" s="2" t="n">
        <v>302.106564181</v>
      </c>
      <c r="D415" s="2" t="n">
        <v>2.69701118675363</v>
      </c>
      <c r="E415" s="2" t="s">
        <v>4713</v>
      </c>
      <c r="F415" s="2" t="s">
        <v>86</v>
      </c>
      <c r="G415" s="2" t="s">
        <v>4714</v>
      </c>
      <c r="H415" s="2" t="s">
        <v>4715</v>
      </c>
      <c r="I415" s="2" t="s">
        <v>4716</v>
      </c>
      <c r="J415" s="2" t="s">
        <v>29</v>
      </c>
      <c r="K415" s="2" t="s">
        <v>29</v>
      </c>
      <c r="L415" s="2" t="s">
        <v>29</v>
      </c>
      <c r="M415" s="2" t="s">
        <v>29</v>
      </c>
      <c r="N415" s="2" t="s">
        <v>4717</v>
      </c>
      <c r="O415" s="2" t="s">
        <v>29</v>
      </c>
      <c r="P415" s="2" t="s">
        <v>4718</v>
      </c>
      <c r="Q415" s="2" t="s">
        <v>4719</v>
      </c>
      <c r="R415" s="2" t="s">
        <v>3003</v>
      </c>
      <c r="S415" s="2" t="s">
        <v>4720</v>
      </c>
      <c r="T415" s="2" t="s">
        <v>4721</v>
      </c>
      <c r="U415" s="2" t="s">
        <v>29</v>
      </c>
      <c r="V415" s="2" t="n">
        <v>1</v>
      </c>
    </row>
    <row r="416">
      <c r="A416" s="2" t="n">
        <v>415</v>
      </c>
      <c r="B416" s="2" t="s">
        <v>4722</v>
      </c>
      <c r="C416" s="2" t="n">
        <v>303.047322076</v>
      </c>
      <c r="D416" s="2" t="n">
        <v>1.08628775627832</v>
      </c>
      <c r="E416" s="2" t="s">
        <v>4723</v>
      </c>
      <c r="F416" s="2" t="s">
        <v>161</v>
      </c>
      <c r="G416" s="2" t="s">
        <v>4724</v>
      </c>
      <c r="H416" s="2" t="s">
        <v>4725</v>
      </c>
      <c r="I416" s="2" t="s">
        <v>4726</v>
      </c>
      <c r="J416" s="2" t="s">
        <v>4727</v>
      </c>
      <c r="K416" s="2" t="s">
        <v>29</v>
      </c>
      <c r="L416" s="2" t="s">
        <v>29</v>
      </c>
      <c r="M416" s="2" t="s">
        <v>4728</v>
      </c>
      <c r="N416" s="2" t="s">
        <v>4729</v>
      </c>
      <c r="O416" s="2" t="s">
        <v>29</v>
      </c>
      <c r="P416" s="2" t="s">
        <v>4730</v>
      </c>
      <c r="Q416" s="2" t="s">
        <v>4731</v>
      </c>
      <c r="R416" s="2" t="s">
        <v>36</v>
      </c>
      <c r="S416" s="2" t="s">
        <v>37</v>
      </c>
      <c r="T416" s="2" t="s">
        <v>69</v>
      </c>
      <c r="U416" s="2" t="s">
        <v>56</v>
      </c>
      <c r="V416" s="2" t="n">
        <v>1</v>
      </c>
    </row>
    <row r="417">
      <c r="A417" s="2" t="n">
        <v>416</v>
      </c>
      <c r="B417" s="2" t="s">
        <v>4732</v>
      </c>
      <c r="C417" s="2" t="n">
        <v>303.163350781</v>
      </c>
      <c r="D417" s="2" t="n">
        <v>0.127339680160968</v>
      </c>
      <c r="E417" s="2" t="s">
        <v>4733</v>
      </c>
      <c r="F417" s="2" t="s">
        <v>86</v>
      </c>
      <c r="G417" s="2" t="s">
        <v>4734</v>
      </c>
      <c r="H417" s="2" t="s">
        <v>4735</v>
      </c>
      <c r="I417" s="2" t="s">
        <v>4736</v>
      </c>
      <c r="J417" s="2" t="s">
        <v>29</v>
      </c>
      <c r="K417" s="2" t="s">
        <v>29</v>
      </c>
      <c r="L417" s="2" t="s">
        <v>29</v>
      </c>
      <c r="M417" s="2" t="s">
        <v>29</v>
      </c>
      <c r="N417" s="2" t="s">
        <v>29</v>
      </c>
      <c r="O417" s="2" t="s">
        <v>29</v>
      </c>
      <c r="P417" s="2" t="s">
        <v>4737</v>
      </c>
      <c r="Q417" s="2" t="s">
        <v>4738</v>
      </c>
      <c r="R417" s="2" t="s">
        <v>601</v>
      </c>
      <c r="S417" s="2" t="s">
        <v>602</v>
      </c>
      <c r="T417" s="2" t="s">
        <v>1800</v>
      </c>
      <c r="U417" s="2" t="s">
        <v>29</v>
      </c>
      <c r="V417" s="2" t="n">
        <v>1</v>
      </c>
    </row>
    <row r="418">
      <c r="A418" s="2" t="n">
        <v>417</v>
      </c>
      <c r="B418" s="2" t="s">
        <v>4739</v>
      </c>
      <c r="C418" s="2" t="n">
        <v>304.066528963</v>
      </c>
      <c r="D418" s="2" t="n">
        <v>2.66728796619073</v>
      </c>
      <c r="E418" s="2" t="s">
        <v>4740</v>
      </c>
      <c r="F418" s="2" t="s">
        <v>24</v>
      </c>
      <c r="G418" s="2" t="s">
        <v>4741</v>
      </c>
      <c r="H418" s="2" t="s">
        <v>4742</v>
      </c>
      <c r="I418" s="2" t="s">
        <v>4743</v>
      </c>
      <c r="J418" s="2" t="s">
        <v>4744</v>
      </c>
      <c r="K418" s="2" t="s">
        <v>29</v>
      </c>
      <c r="L418" s="2" t="s">
        <v>4745</v>
      </c>
      <c r="M418" s="2" t="s">
        <v>4746</v>
      </c>
      <c r="N418" s="2" t="s">
        <v>4747</v>
      </c>
      <c r="O418" s="2" t="s">
        <v>4748</v>
      </c>
      <c r="P418" s="2" t="s">
        <v>4749</v>
      </c>
      <c r="Q418" s="2" t="s">
        <v>4750</v>
      </c>
      <c r="R418" s="2" t="s">
        <v>186</v>
      </c>
      <c r="S418" s="2" t="s">
        <v>4751</v>
      </c>
      <c r="T418" s="2" t="s">
        <v>4752</v>
      </c>
      <c r="U418" s="2" t="s">
        <v>101</v>
      </c>
      <c r="V418" s="2" t="n">
        <v>1</v>
      </c>
    </row>
    <row r="419">
      <c r="A419" s="2" t="n">
        <v>418</v>
      </c>
      <c r="B419" s="2" t="s">
        <v>4753</v>
      </c>
      <c r="C419" s="2" t="n">
        <v>304.902805327</v>
      </c>
      <c r="D419" s="2" t="n">
        <v>1.11273334140849</v>
      </c>
      <c r="E419" s="2" t="s">
        <v>4754</v>
      </c>
      <c r="F419" s="2" t="s">
        <v>205</v>
      </c>
      <c r="G419" s="2" t="s">
        <v>4755</v>
      </c>
      <c r="H419" s="2" t="s">
        <v>4756</v>
      </c>
      <c r="I419" s="2" t="s">
        <v>4757</v>
      </c>
      <c r="J419" s="2" t="s">
        <v>4758</v>
      </c>
      <c r="K419" s="2" t="s">
        <v>29</v>
      </c>
      <c r="L419" s="2" t="s">
        <v>4759</v>
      </c>
      <c r="M419" s="2" t="s">
        <v>4760</v>
      </c>
      <c r="N419" s="2" t="s">
        <v>4761</v>
      </c>
      <c r="O419" s="2" t="s">
        <v>29</v>
      </c>
      <c r="P419" s="2" t="s">
        <v>4762</v>
      </c>
      <c r="Q419" s="2" t="s">
        <v>4763</v>
      </c>
      <c r="R419" s="2" t="s">
        <v>36</v>
      </c>
      <c r="S419" s="2" t="s">
        <v>271</v>
      </c>
      <c r="T419" s="2" t="s">
        <v>2534</v>
      </c>
      <c r="U419" s="2" t="s">
        <v>101</v>
      </c>
      <c r="V419" s="2" t="n">
        <v>1</v>
      </c>
    </row>
    <row r="420">
      <c r="A420" s="2" t="n">
        <v>419</v>
      </c>
      <c r="B420" s="2" t="s">
        <v>4764</v>
      </c>
      <c r="C420" s="2" t="n">
        <v>305.075461091</v>
      </c>
      <c r="D420" s="2" t="n">
        <v>3.11461531736879</v>
      </c>
      <c r="E420" s="2" t="s">
        <v>4765</v>
      </c>
      <c r="F420" s="2" t="s">
        <v>205</v>
      </c>
      <c r="G420" s="2" t="s">
        <v>4766</v>
      </c>
      <c r="H420" s="2" t="s">
        <v>4767</v>
      </c>
      <c r="I420" s="2" t="s">
        <v>4768</v>
      </c>
      <c r="J420" s="2" t="s">
        <v>29</v>
      </c>
      <c r="K420" s="2" t="s">
        <v>29</v>
      </c>
      <c r="L420" s="2" t="s">
        <v>29</v>
      </c>
      <c r="M420" s="2" t="s">
        <v>29</v>
      </c>
      <c r="N420" s="2" t="s">
        <v>4769</v>
      </c>
      <c r="O420" s="2" t="s">
        <v>29</v>
      </c>
      <c r="P420" s="2" t="s">
        <v>4770</v>
      </c>
      <c r="Q420" s="2" t="s">
        <v>4771</v>
      </c>
      <c r="R420" s="2" t="s">
        <v>186</v>
      </c>
      <c r="S420" s="2" t="s">
        <v>187</v>
      </c>
      <c r="T420" s="2" t="s">
        <v>1760</v>
      </c>
      <c r="U420" s="2" t="s">
        <v>29</v>
      </c>
      <c r="V420" s="2" t="n">
        <v>1</v>
      </c>
    </row>
    <row r="421">
      <c r="A421" s="2" t="n">
        <v>420</v>
      </c>
      <c r="B421" s="2" t="s">
        <v>4772</v>
      </c>
      <c r="C421" s="2" t="n">
        <v>305.183479106</v>
      </c>
      <c r="D421" s="2" t="n">
        <v>0.269663922962033</v>
      </c>
      <c r="E421" s="2" t="s">
        <v>4773</v>
      </c>
      <c r="F421" s="2" t="s">
        <v>683</v>
      </c>
      <c r="G421" s="2" t="s">
        <v>4774</v>
      </c>
      <c r="H421" s="2" t="s">
        <v>4775</v>
      </c>
      <c r="I421" s="2" t="s">
        <v>4776</v>
      </c>
      <c r="J421" s="2" t="s">
        <v>4777</v>
      </c>
      <c r="K421" s="2" t="s">
        <v>91</v>
      </c>
      <c r="L421" s="2" t="s">
        <v>91</v>
      </c>
      <c r="M421" s="2" t="s">
        <v>91</v>
      </c>
      <c r="N421" s="2" t="s">
        <v>4778</v>
      </c>
      <c r="O421" s="2" t="s">
        <v>4779</v>
      </c>
      <c r="P421" s="2" t="s">
        <v>4780</v>
      </c>
      <c r="Q421" s="2" t="s">
        <v>4781</v>
      </c>
      <c r="R421" s="2" t="s">
        <v>770</v>
      </c>
      <c r="S421" s="2" t="s">
        <v>771</v>
      </c>
      <c r="T421" s="2" t="s">
        <v>4782</v>
      </c>
      <c r="U421" s="2" t="s">
        <v>29</v>
      </c>
      <c r="V421" s="2" t="n">
        <v>2</v>
      </c>
    </row>
    <row r="422">
      <c r="A422" s="2" t="n">
        <v>421</v>
      </c>
      <c r="B422" s="2" t="s">
        <v>4783</v>
      </c>
      <c r="C422" s="2" t="n">
        <v>305.24860003</v>
      </c>
      <c r="D422" s="2" t="n">
        <v>5.58723866311104</v>
      </c>
      <c r="E422" s="2" t="s">
        <v>4784</v>
      </c>
      <c r="F422" s="2" t="s">
        <v>205</v>
      </c>
      <c r="G422" s="2" t="s">
        <v>4785</v>
      </c>
      <c r="H422" s="2" t="s">
        <v>4786</v>
      </c>
      <c r="I422" s="2" t="s">
        <v>4787</v>
      </c>
      <c r="J422" s="2" t="s">
        <v>29</v>
      </c>
      <c r="K422" s="2" t="s">
        <v>29</v>
      </c>
      <c r="L422" s="2" t="s">
        <v>29</v>
      </c>
      <c r="M422" s="2" t="s">
        <v>29</v>
      </c>
      <c r="N422" s="2" t="s">
        <v>4788</v>
      </c>
      <c r="O422" s="2" t="s">
        <v>29</v>
      </c>
      <c r="P422" s="2" t="s">
        <v>4789</v>
      </c>
      <c r="Q422" s="2" t="s">
        <v>4790</v>
      </c>
      <c r="R422" s="2" t="s">
        <v>794</v>
      </c>
      <c r="S422" s="2" t="s">
        <v>2971</v>
      </c>
      <c r="T422" s="2" t="s">
        <v>3921</v>
      </c>
      <c r="U422" s="2" t="s">
        <v>29</v>
      </c>
      <c r="V422" s="2" t="n">
        <v>1</v>
      </c>
    </row>
    <row r="423">
      <c r="A423" s="2" t="n">
        <v>422</v>
      </c>
      <c r="B423" s="2" t="s">
        <v>4791</v>
      </c>
      <c r="C423" s="2" t="n">
        <v>306.076529981</v>
      </c>
      <c r="D423" s="2" t="n">
        <v>6.46681650673924</v>
      </c>
      <c r="E423" s="2" t="s">
        <v>4792</v>
      </c>
      <c r="F423" s="2" t="s">
        <v>24</v>
      </c>
      <c r="G423" s="2" t="s">
        <v>4793</v>
      </c>
      <c r="H423" s="2" t="s">
        <v>4794</v>
      </c>
      <c r="I423" s="2" t="s">
        <v>4795</v>
      </c>
      <c r="J423" s="2" t="s">
        <v>4796</v>
      </c>
      <c r="K423" s="2" t="s">
        <v>29</v>
      </c>
      <c r="L423" s="2" t="s">
        <v>4797</v>
      </c>
      <c r="M423" s="2" t="s">
        <v>4798</v>
      </c>
      <c r="N423" s="2" t="s">
        <v>4799</v>
      </c>
      <c r="O423" s="2" t="s">
        <v>4800</v>
      </c>
      <c r="P423" s="2" t="s">
        <v>4801</v>
      </c>
      <c r="Q423" s="2" t="s">
        <v>4802</v>
      </c>
      <c r="R423" s="2" t="s">
        <v>36</v>
      </c>
      <c r="S423" s="2" t="s">
        <v>37</v>
      </c>
      <c r="T423" s="2" t="s">
        <v>69</v>
      </c>
      <c r="U423" s="2" t="s">
        <v>39</v>
      </c>
      <c r="V423" s="2" t="n">
        <v>1</v>
      </c>
    </row>
    <row r="424">
      <c r="A424" s="2" t="n">
        <v>423</v>
      </c>
      <c r="B424" s="2" t="s">
        <v>4803</v>
      </c>
      <c r="C424" s="2" t="n">
        <v>306.184145799</v>
      </c>
      <c r="D424" s="2" t="n">
        <v>2.11417569618373</v>
      </c>
      <c r="E424" s="2" t="s">
        <v>4804</v>
      </c>
      <c r="F424" s="2" t="s">
        <v>86</v>
      </c>
      <c r="G424" s="2" t="s">
        <v>4805</v>
      </c>
      <c r="H424" s="2" t="s">
        <v>4806</v>
      </c>
      <c r="I424" s="2" t="s">
        <v>4807</v>
      </c>
      <c r="J424" s="2" t="s">
        <v>29</v>
      </c>
      <c r="K424" s="2" t="s">
        <v>29</v>
      </c>
      <c r="L424" s="2" t="s">
        <v>29</v>
      </c>
      <c r="M424" s="2" t="s">
        <v>4808</v>
      </c>
      <c r="N424" s="2" t="s">
        <v>4809</v>
      </c>
      <c r="O424" s="2" t="s">
        <v>29</v>
      </c>
      <c r="P424" s="2" t="s">
        <v>4810</v>
      </c>
      <c r="Q424" s="2" t="s">
        <v>4811</v>
      </c>
      <c r="R424" s="2" t="s">
        <v>36</v>
      </c>
      <c r="S424" s="2" t="s">
        <v>37</v>
      </c>
      <c r="T424" s="2" t="s">
        <v>69</v>
      </c>
      <c r="U424" s="2" t="s">
        <v>56</v>
      </c>
      <c r="V424" s="2" t="n">
        <v>1</v>
      </c>
    </row>
    <row r="425">
      <c r="A425" s="2" t="n">
        <v>424</v>
      </c>
      <c r="B425" s="2" t="s">
        <v>4812</v>
      </c>
      <c r="C425" s="2" t="n">
        <v>306.944394876</v>
      </c>
      <c r="D425" s="2" t="n">
        <v>8.13040600839193</v>
      </c>
      <c r="E425" s="2" t="s">
        <v>4813</v>
      </c>
      <c r="F425" s="2" t="s">
        <v>683</v>
      </c>
      <c r="G425" s="2" t="s">
        <v>4814</v>
      </c>
      <c r="H425" s="2" t="s">
        <v>4815</v>
      </c>
      <c r="I425" s="2" t="s">
        <v>4816</v>
      </c>
      <c r="J425" s="2" t="s">
        <v>4817</v>
      </c>
      <c r="K425" s="2" t="s">
        <v>29</v>
      </c>
      <c r="L425" s="2" t="s">
        <v>29</v>
      </c>
      <c r="M425" s="2" t="s">
        <v>4818</v>
      </c>
      <c r="N425" s="2" t="s">
        <v>4819</v>
      </c>
      <c r="O425" s="2" t="s">
        <v>29</v>
      </c>
      <c r="P425" s="2" t="s">
        <v>4820</v>
      </c>
      <c r="Q425" s="2" t="s">
        <v>4821</v>
      </c>
      <c r="R425" s="2" t="s">
        <v>644</v>
      </c>
      <c r="S425" s="2" t="s">
        <v>1197</v>
      </c>
      <c r="T425" s="2" t="s">
        <v>215</v>
      </c>
      <c r="U425" s="2" t="s">
        <v>29</v>
      </c>
      <c r="V425" s="2" t="n">
        <v>1</v>
      </c>
    </row>
    <row r="426">
      <c r="A426" s="2" t="n">
        <v>425</v>
      </c>
      <c r="B426" s="2" t="s">
        <v>4822</v>
      </c>
      <c r="C426" s="2" t="n">
        <v>307.118712372</v>
      </c>
      <c r="D426" s="2" t="n">
        <v>2.53050312814831</v>
      </c>
      <c r="E426" s="2" t="s">
        <v>4823</v>
      </c>
      <c r="F426" s="2" t="s">
        <v>24</v>
      </c>
      <c r="G426" s="2" t="s">
        <v>4824</v>
      </c>
      <c r="H426" s="2" t="s">
        <v>4825</v>
      </c>
      <c r="I426" s="2" t="s">
        <v>4826</v>
      </c>
      <c r="J426" s="2" t="s">
        <v>4827</v>
      </c>
      <c r="K426" s="2" t="s">
        <v>91</v>
      </c>
      <c r="L426" s="2" t="s">
        <v>91</v>
      </c>
      <c r="M426" s="2" t="s">
        <v>4828</v>
      </c>
      <c r="N426" s="2" t="s">
        <v>4829</v>
      </c>
      <c r="O426" s="2" t="s">
        <v>4830</v>
      </c>
      <c r="P426" s="2" t="s">
        <v>4831</v>
      </c>
      <c r="Q426" s="2" t="s">
        <v>4832</v>
      </c>
      <c r="R426" s="2" t="s">
        <v>4649</v>
      </c>
      <c r="S426" s="2" t="s">
        <v>4833</v>
      </c>
      <c r="T426" s="2" t="s">
        <v>4834</v>
      </c>
      <c r="U426" s="2" t="s">
        <v>56</v>
      </c>
      <c r="V426" s="2" t="n">
        <v>2</v>
      </c>
    </row>
    <row r="427">
      <c r="A427" s="2" t="n">
        <v>426</v>
      </c>
      <c r="B427" s="2" t="s">
        <v>4835</v>
      </c>
      <c r="C427" s="2" t="n">
        <v>307.158265401</v>
      </c>
      <c r="D427" s="2" t="n">
        <v>5.89438412847769</v>
      </c>
      <c r="E427" s="2" t="s">
        <v>4836</v>
      </c>
      <c r="F427" s="2" t="s">
        <v>86</v>
      </c>
      <c r="G427" s="2" t="s">
        <v>4837</v>
      </c>
      <c r="H427" s="2" t="s">
        <v>4838</v>
      </c>
      <c r="I427" s="2" t="s">
        <v>4839</v>
      </c>
      <c r="J427" s="2" t="s">
        <v>4840</v>
      </c>
      <c r="K427" s="2" t="s">
        <v>29</v>
      </c>
      <c r="L427" s="2" t="s">
        <v>29</v>
      </c>
      <c r="M427" s="2" t="s">
        <v>4841</v>
      </c>
      <c r="N427" s="2" t="s">
        <v>4842</v>
      </c>
      <c r="O427" s="2" t="s">
        <v>29</v>
      </c>
      <c r="P427" s="2" t="s">
        <v>4843</v>
      </c>
      <c r="Q427" s="2" t="s">
        <v>4844</v>
      </c>
      <c r="R427" s="2" t="s">
        <v>36</v>
      </c>
      <c r="S427" s="2" t="s">
        <v>37</v>
      </c>
      <c r="T427" s="2" t="s">
        <v>69</v>
      </c>
      <c r="U427" s="2" t="s">
        <v>29</v>
      </c>
      <c r="V427" s="2" t="n">
        <v>1</v>
      </c>
    </row>
    <row r="428">
      <c r="A428" s="2" t="n">
        <v>427</v>
      </c>
      <c r="B428" s="2" t="s">
        <v>4845</v>
      </c>
      <c r="C428" s="2" t="n">
        <v>307.19093307</v>
      </c>
      <c r="D428" s="2" t="n">
        <v>4.0563687928414</v>
      </c>
      <c r="E428" s="2" t="s">
        <v>4846</v>
      </c>
      <c r="F428" s="2" t="s">
        <v>161</v>
      </c>
      <c r="G428" s="2" t="s">
        <v>4847</v>
      </c>
      <c r="H428" s="2" t="s">
        <v>4848</v>
      </c>
      <c r="I428" s="2" t="s">
        <v>4849</v>
      </c>
      <c r="J428" s="2" t="s">
        <v>4850</v>
      </c>
      <c r="K428" s="2" t="s">
        <v>29</v>
      </c>
      <c r="L428" s="2" t="s">
        <v>29</v>
      </c>
      <c r="M428" s="2" t="s">
        <v>4851</v>
      </c>
      <c r="N428" s="2" t="s">
        <v>4852</v>
      </c>
      <c r="O428" s="2" t="s">
        <v>29</v>
      </c>
      <c r="P428" s="2" t="s">
        <v>4853</v>
      </c>
      <c r="Q428" s="2" t="s">
        <v>4854</v>
      </c>
      <c r="R428" s="2" t="s">
        <v>114</v>
      </c>
      <c r="S428" s="2" t="s">
        <v>4855</v>
      </c>
      <c r="T428" s="2" t="s">
        <v>215</v>
      </c>
      <c r="U428" s="2" t="s">
        <v>56</v>
      </c>
      <c r="V428" s="2" t="n">
        <v>1</v>
      </c>
    </row>
    <row r="429">
      <c r="A429" s="2" t="n">
        <v>428</v>
      </c>
      <c r="B429" s="2" t="s">
        <v>4856</v>
      </c>
      <c r="C429" s="2" t="n">
        <v>307.264254396</v>
      </c>
      <c r="D429" s="2" t="n">
        <v>5.87864201712701</v>
      </c>
      <c r="E429" s="2" t="s">
        <v>4857</v>
      </c>
      <c r="F429" s="2" t="s">
        <v>24</v>
      </c>
      <c r="G429" s="2" t="s">
        <v>4858</v>
      </c>
      <c r="H429" s="2" t="s">
        <v>4859</v>
      </c>
      <c r="I429" s="2" t="s">
        <v>4860</v>
      </c>
      <c r="J429" s="2" t="s">
        <v>4861</v>
      </c>
      <c r="K429" s="2" t="s">
        <v>4862</v>
      </c>
      <c r="L429" s="2" t="s">
        <v>4863</v>
      </c>
      <c r="M429" s="2" t="s">
        <v>4864</v>
      </c>
      <c r="N429" s="2" t="s">
        <v>4865</v>
      </c>
      <c r="O429" s="2" t="s">
        <v>4866</v>
      </c>
      <c r="P429" s="2" t="s">
        <v>4867</v>
      </c>
      <c r="Q429" s="2" t="s">
        <v>4868</v>
      </c>
      <c r="R429" s="2" t="s">
        <v>412</v>
      </c>
      <c r="S429" s="2" t="s">
        <v>4869</v>
      </c>
      <c r="T429" s="2" t="s">
        <v>4870</v>
      </c>
      <c r="U429" s="2" t="s">
        <v>56</v>
      </c>
      <c r="V429" s="2" t="n">
        <v>2</v>
      </c>
    </row>
    <row r="430">
      <c r="A430" s="2" t="n">
        <v>429</v>
      </c>
      <c r="B430" s="2" t="s">
        <v>4871</v>
      </c>
      <c r="C430" s="2" t="n">
        <v>308.186732357</v>
      </c>
      <c r="D430" s="2" t="n">
        <v>16.8381302993249</v>
      </c>
      <c r="E430" s="2" t="s">
        <v>4872</v>
      </c>
      <c r="F430" s="2" t="s">
        <v>24</v>
      </c>
      <c r="G430" s="2" t="s">
        <v>4873</v>
      </c>
      <c r="H430" s="2" t="s">
        <v>4874</v>
      </c>
      <c r="I430" s="2" t="s">
        <v>4875</v>
      </c>
      <c r="J430" s="2" t="s">
        <v>4876</v>
      </c>
      <c r="K430" s="2" t="s">
        <v>91</v>
      </c>
      <c r="L430" s="2" t="s">
        <v>4877</v>
      </c>
      <c r="M430" s="2" t="s">
        <v>4878</v>
      </c>
      <c r="N430" s="2" t="s">
        <v>4879</v>
      </c>
      <c r="O430" s="2" t="s">
        <v>4880</v>
      </c>
      <c r="P430" s="2" t="s">
        <v>4881</v>
      </c>
      <c r="Q430" s="2" t="s">
        <v>4882</v>
      </c>
      <c r="R430" s="2" t="s">
        <v>770</v>
      </c>
      <c r="S430" s="2" t="s">
        <v>4883</v>
      </c>
      <c r="T430" s="2" t="s">
        <v>543</v>
      </c>
      <c r="U430" s="2" t="s">
        <v>56</v>
      </c>
      <c r="V430" s="2" t="n">
        <v>2</v>
      </c>
    </row>
    <row r="431">
      <c r="A431" s="2" t="n">
        <v>430</v>
      </c>
      <c r="B431" s="2" t="s">
        <v>4884</v>
      </c>
      <c r="C431" s="2" t="n">
        <v>309.085636156</v>
      </c>
      <c r="D431" s="2" t="n">
        <v>0.68618277576628</v>
      </c>
      <c r="E431" s="2" t="s">
        <v>4885</v>
      </c>
      <c r="F431" s="2" t="s">
        <v>24</v>
      </c>
      <c r="G431" s="2" t="s">
        <v>4886</v>
      </c>
      <c r="H431" s="2" t="s">
        <v>4887</v>
      </c>
      <c r="I431" s="2" t="s">
        <v>4888</v>
      </c>
      <c r="J431" s="2" t="s">
        <v>29</v>
      </c>
      <c r="K431" s="2" t="s">
        <v>29</v>
      </c>
      <c r="L431" s="2" t="s">
        <v>29</v>
      </c>
      <c r="M431" s="2" t="s">
        <v>29</v>
      </c>
      <c r="N431" s="2" t="s">
        <v>4889</v>
      </c>
      <c r="O431" s="2" t="s">
        <v>29</v>
      </c>
      <c r="P431" s="2" t="s">
        <v>4890</v>
      </c>
      <c r="Q431" s="2" t="s">
        <v>4891</v>
      </c>
      <c r="R431" s="2" t="s">
        <v>186</v>
      </c>
      <c r="S431" s="2" t="s">
        <v>187</v>
      </c>
      <c r="T431" s="2" t="s">
        <v>1760</v>
      </c>
      <c r="U431" s="2" t="s">
        <v>29</v>
      </c>
      <c r="V431" s="2" t="n">
        <v>1</v>
      </c>
    </row>
    <row r="432">
      <c r="A432" s="2" t="n">
        <v>431</v>
      </c>
      <c r="B432" s="2" t="s">
        <v>4892</v>
      </c>
      <c r="C432" s="2" t="n">
        <v>309.13569984</v>
      </c>
      <c r="D432" s="2" t="n">
        <v>5.94004790336181</v>
      </c>
      <c r="E432" s="2" t="s">
        <v>4893</v>
      </c>
      <c r="F432" s="2" t="s">
        <v>24</v>
      </c>
      <c r="G432" s="2" t="s">
        <v>4894</v>
      </c>
      <c r="H432" s="2" t="s">
        <v>4895</v>
      </c>
      <c r="I432" s="2" t="s">
        <v>4896</v>
      </c>
      <c r="J432" s="2" t="s">
        <v>4897</v>
      </c>
      <c r="K432" s="2" t="s">
        <v>29</v>
      </c>
      <c r="L432" s="2" t="s">
        <v>29</v>
      </c>
      <c r="M432" s="2" t="s">
        <v>29</v>
      </c>
      <c r="N432" s="2" t="s">
        <v>4898</v>
      </c>
      <c r="O432" s="2" t="s">
        <v>29</v>
      </c>
      <c r="P432" s="2" t="s">
        <v>4899</v>
      </c>
      <c r="Q432" s="2" t="s">
        <v>4900</v>
      </c>
      <c r="R432" s="2" t="s">
        <v>129</v>
      </c>
      <c r="S432" s="2" t="s">
        <v>130</v>
      </c>
      <c r="T432" s="2" t="s">
        <v>4901</v>
      </c>
      <c r="U432" s="2" t="s">
        <v>29</v>
      </c>
      <c r="V432" s="2" t="n">
        <v>1</v>
      </c>
    </row>
    <row r="433">
      <c r="A433" s="2" t="n">
        <v>432</v>
      </c>
      <c r="B433" s="2" t="s">
        <v>4902</v>
      </c>
      <c r="C433" s="2" t="n">
        <v>309.1757453</v>
      </c>
      <c r="D433" s="2" t="n">
        <v>5.32044576792119</v>
      </c>
      <c r="E433" s="2" t="s">
        <v>4903</v>
      </c>
      <c r="F433" s="2" t="s">
        <v>86</v>
      </c>
      <c r="G433" s="2" t="s">
        <v>4904</v>
      </c>
      <c r="H433" s="2" t="s">
        <v>4905</v>
      </c>
      <c r="I433" s="2" t="s">
        <v>4906</v>
      </c>
      <c r="J433" s="2" t="s">
        <v>4907</v>
      </c>
      <c r="K433" s="2" t="s">
        <v>4908</v>
      </c>
      <c r="L433" s="2" t="s">
        <v>91</v>
      </c>
      <c r="M433" s="2" t="s">
        <v>91</v>
      </c>
      <c r="N433" s="2" t="s">
        <v>4909</v>
      </c>
      <c r="O433" s="2" t="s">
        <v>91</v>
      </c>
      <c r="P433" s="2" t="s">
        <v>4910</v>
      </c>
      <c r="Q433" s="2" t="s">
        <v>4911</v>
      </c>
      <c r="R433" s="2" t="s">
        <v>690</v>
      </c>
      <c r="S433" s="2" t="s">
        <v>4912</v>
      </c>
      <c r="T433" s="2" t="s">
        <v>4913</v>
      </c>
      <c r="U433" s="2" t="s">
        <v>29</v>
      </c>
      <c r="V433" s="2" t="n">
        <v>2</v>
      </c>
    </row>
    <row r="434">
      <c r="A434" s="2" t="n">
        <v>433</v>
      </c>
      <c r="B434" s="2" t="s">
        <v>4914</v>
      </c>
      <c r="C434" s="2" t="n">
        <v>309.217816518</v>
      </c>
      <c r="D434" s="2" t="n">
        <v>13.7943913810386</v>
      </c>
      <c r="E434" s="2" t="s">
        <v>4915</v>
      </c>
      <c r="F434" s="2" t="s">
        <v>161</v>
      </c>
      <c r="G434" s="2" t="s">
        <v>4916</v>
      </c>
      <c r="H434" s="2" t="s">
        <v>4917</v>
      </c>
      <c r="I434" s="2" t="s">
        <v>4918</v>
      </c>
      <c r="J434" s="2" t="s">
        <v>29</v>
      </c>
      <c r="K434" s="2" t="s">
        <v>29</v>
      </c>
      <c r="L434" s="2" t="s">
        <v>29</v>
      </c>
      <c r="M434" s="2" t="s">
        <v>29</v>
      </c>
      <c r="N434" s="2" t="s">
        <v>4919</v>
      </c>
      <c r="O434" s="2" t="s">
        <v>29</v>
      </c>
      <c r="P434" s="2" t="s">
        <v>4920</v>
      </c>
      <c r="Q434" s="2" t="s">
        <v>4921</v>
      </c>
      <c r="R434" s="2" t="s">
        <v>36</v>
      </c>
      <c r="S434" s="2" t="s">
        <v>37</v>
      </c>
      <c r="T434" s="2" t="s">
        <v>69</v>
      </c>
      <c r="U434" s="2" t="s">
        <v>29</v>
      </c>
      <c r="V434" s="2" t="n">
        <v>1</v>
      </c>
    </row>
    <row r="435">
      <c r="A435" s="2" t="n">
        <v>434</v>
      </c>
      <c r="B435" s="2" t="s">
        <v>4922</v>
      </c>
      <c r="C435" s="2" t="n">
        <v>309.27990446</v>
      </c>
      <c r="D435" s="2" t="n">
        <v>13.6449353317567</v>
      </c>
      <c r="E435" s="2" t="s">
        <v>4923</v>
      </c>
      <c r="F435" s="2" t="s">
        <v>24</v>
      </c>
      <c r="G435" s="2" t="s">
        <v>4924</v>
      </c>
      <c r="H435" s="2" t="s">
        <v>4925</v>
      </c>
      <c r="I435" s="2" t="s">
        <v>4926</v>
      </c>
      <c r="J435" s="2" t="s">
        <v>4927</v>
      </c>
      <c r="K435" s="2" t="s">
        <v>4928</v>
      </c>
      <c r="L435" s="2" t="s">
        <v>4929</v>
      </c>
      <c r="M435" s="2" t="s">
        <v>4930</v>
      </c>
      <c r="N435" s="2" t="s">
        <v>4931</v>
      </c>
      <c r="O435" s="2" t="s">
        <v>4932</v>
      </c>
      <c r="P435" s="2" t="s">
        <v>4933</v>
      </c>
      <c r="Q435" s="2" t="s">
        <v>4934</v>
      </c>
      <c r="R435" s="2" t="s">
        <v>412</v>
      </c>
      <c r="S435" s="2" t="s">
        <v>413</v>
      </c>
      <c r="T435" s="2" t="s">
        <v>4935</v>
      </c>
      <c r="U435" s="2" t="s">
        <v>56</v>
      </c>
      <c r="V435" s="2" t="n">
        <v>2</v>
      </c>
    </row>
    <row r="436">
      <c r="A436" s="2" t="n">
        <v>435</v>
      </c>
      <c r="B436" s="2" t="s">
        <v>4936</v>
      </c>
      <c r="C436" s="2" t="n">
        <v>310.044079222</v>
      </c>
      <c r="D436" s="2" t="n">
        <v>1.61319105208997</v>
      </c>
      <c r="E436" s="2" t="s">
        <v>4937</v>
      </c>
      <c r="F436" s="2" t="s">
        <v>86</v>
      </c>
      <c r="G436" s="2" t="s">
        <v>4938</v>
      </c>
      <c r="H436" s="2" t="s">
        <v>4939</v>
      </c>
      <c r="I436" s="2" t="s">
        <v>4940</v>
      </c>
      <c r="J436" s="2" t="s">
        <v>4941</v>
      </c>
      <c r="K436" s="2" t="s">
        <v>29</v>
      </c>
      <c r="L436" s="2" t="s">
        <v>4942</v>
      </c>
      <c r="M436" s="2" t="s">
        <v>4943</v>
      </c>
      <c r="N436" s="2" t="s">
        <v>4944</v>
      </c>
      <c r="O436" s="2" t="s">
        <v>4945</v>
      </c>
      <c r="P436" s="2" t="s">
        <v>4946</v>
      </c>
      <c r="Q436" s="2" t="s">
        <v>4947</v>
      </c>
      <c r="R436" s="2" t="s">
        <v>114</v>
      </c>
      <c r="S436" s="2" t="s">
        <v>877</v>
      </c>
      <c r="T436" s="2" t="s">
        <v>215</v>
      </c>
      <c r="U436" s="2" t="s">
        <v>101</v>
      </c>
      <c r="V436" s="2" t="n">
        <v>1</v>
      </c>
    </row>
    <row r="437">
      <c r="A437" s="2" t="n">
        <v>436</v>
      </c>
      <c r="B437" s="2" t="s">
        <v>4948</v>
      </c>
      <c r="C437" s="2" t="n">
        <v>310.114350967</v>
      </c>
      <c r="D437" s="2" t="n">
        <v>0.78769477202045</v>
      </c>
      <c r="E437" s="2" t="s">
        <v>4949</v>
      </c>
      <c r="F437" s="2" t="s">
        <v>205</v>
      </c>
      <c r="G437" s="2" t="s">
        <v>4950</v>
      </c>
      <c r="H437" s="2" t="s">
        <v>4951</v>
      </c>
      <c r="I437" s="2" t="s">
        <v>4952</v>
      </c>
      <c r="J437" s="2" t="s">
        <v>29</v>
      </c>
      <c r="K437" s="2" t="s">
        <v>29</v>
      </c>
      <c r="L437" s="2" t="s">
        <v>29</v>
      </c>
      <c r="M437" s="2" t="s">
        <v>4953</v>
      </c>
      <c r="N437" s="2" t="s">
        <v>4954</v>
      </c>
      <c r="O437" s="2" t="s">
        <v>4955</v>
      </c>
      <c r="P437" s="2" t="s">
        <v>4956</v>
      </c>
      <c r="Q437" s="2" t="s">
        <v>4957</v>
      </c>
      <c r="R437" s="2" t="s">
        <v>36</v>
      </c>
      <c r="S437" s="2" t="s">
        <v>37</v>
      </c>
      <c r="T437" s="2" t="s">
        <v>69</v>
      </c>
      <c r="U437" s="2" t="s">
        <v>39</v>
      </c>
      <c r="V437" s="2" t="n">
        <v>1</v>
      </c>
    </row>
    <row r="438">
      <c r="A438" s="2" t="n">
        <v>437</v>
      </c>
      <c r="B438" s="2" t="s">
        <v>4958</v>
      </c>
      <c r="C438" s="2" t="n">
        <v>310.156100928</v>
      </c>
      <c r="D438" s="2" t="n">
        <v>5.22625839552557</v>
      </c>
      <c r="E438" s="2" t="s">
        <v>4959</v>
      </c>
      <c r="F438" s="2" t="s">
        <v>24</v>
      </c>
      <c r="G438" s="2" t="s">
        <v>4960</v>
      </c>
      <c r="H438" s="2" t="s">
        <v>4961</v>
      </c>
      <c r="I438" s="2" t="s">
        <v>4962</v>
      </c>
      <c r="J438" s="2" t="s">
        <v>4963</v>
      </c>
      <c r="K438" s="2" t="s">
        <v>29</v>
      </c>
      <c r="L438" s="2" t="s">
        <v>29</v>
      </c>
      <c r="M438" s="2" t="s">
        <v>29</v>
      </c>
      <c r="N438" s="2" t="s">
        <v>4964</v>
      </c>
      <c r="O438" s="2" t="s">
        <v>29</v>
      </c>
      <c r="P438" s="2" t="s">
        <v>4965</v>
      </c>
      <c r="Q438" s="2" t="s">
        <v>4966</v>
      </c>
      <c r="R438" s="2" t="s">
        <v>114</v>
      </c>
      <c r="S438" s="2" t="s">
        <v>4967</v>
      </c>
      <c r="T438" s="2" t="s">
        <v>215</v>
      </c>
      <c r="U438" s="2" t="s">
        <v>29</v>
      </c>
      <c r="V438" s="2" t="n">
        <v>1</v>
      </c>
    </row>
    <row r="439">
      <c r="A439" s="2" t="n">
        <v>438</v>
      </c>
      <c r="B439" s="2" t="s">
        <v>4968</v>
      </c>
      <c r="C439" s="2" t="n">
        <v>310.217638555</v>
      </c>
      <c r="D439" s="2" t="n">
        <v>4.37919911401144</v>
      </c>
      <c r="E439" s="2" t="s">
        <v>4969</v>
      </c>
      <c r="F439" s="2" t="s">
        <v>24</v>
      </c>
      <c r="G439" s="2" t="s">
        <v>4970</v>
      </c>
      <c r="H439" s="2" t="s">
        <v>4971</v>
      </c>
      <c r="I439" s="2" t="s">
        <v>4972</v>
      </c>
      <c r="J439" s="2" t="s">
        <v>4973</v>
      </c>
      <c r="K439" s="2" t="s">
        <v>29</v>
      </c>
      <c r="L439" s="2" t="s">
        <v>4974</v>
      </c>
      <c r="M439" s="2" t="s">
        <v>4975</v>
      </c>
      <c r="N439" s="2" t="s">
        <v>4976</v>
      </c>
      <c r="O439" s="2" t="s">
        <v>4977</v>
      </c>
      <c r="P439" s="2" t="s">
        <v>4978</v>
      </c>
      <c r="Q439" s="2" t="s">
        <v>4979</v>
      </c>
      <c r="R439" s="2" t="s">
        <v>601</v>
      </c>
      <c r="S439" s="2" t="s">
        <v>602</v>
      </c>
      <c r="T439" s="2" t="s">
        <v>1800</v>
      </c>
      <c r="U439" s="2" t="s">
        <v>101</v>
      </c>
      <c r="V439" s="2" t="n">
        <v>1</v>
      </c>
    </row>
    <row r="440">
      <c r="A440" s="2" t="n">
        <v>439</v>
      </c>
      <c r="B440" s="2" t="s">
        <v>4980</v>
      </c>
      <c r="C440" s="2" t="n">
        <v>311.113622686</v>
      </c>
      <c r="D440" s="2" t="n">
        <v>0.323681983324717</v>
      </c>
      <c r="E440" s="2" t="s">
        <v>4981</v>
      </c>
      <c r="F440" s="2" t="s">
        <v>205</v>
      </c>
      <c r="G440" s="2" t="s">
        <v>4982</v>
      </c>
      <c r="H440" s="2" t="s">
        <v>4983</v>
      </c>
      <c r="I440" s="2" t="s">
        <v>4984</v>
      </c>
      <c r="J440" s="2" t="s">
        <v>4985</v>
      </c>
      <c r="K440" s="2" t="s">
        <v>91</v>
      </c>
      <c r="L440" s="2" t="s">
        <v>91</v>
      </c>
      <c r="M440" s="2" t="s">
        <v>4986</v>
      </c>
      <c r="N440" s="2" t="s">
        <v>4987</v>
      </c>
      <c r="O440" s="2" t="s">
        <v>4988</v>
      </c>
      <c r="P440" s="2" t="s">
        <v>4989</v>
      </c>
      <c r="Q440" s="2" t="s">
        <v>4990</v>
      </c>
      <c r="R440" s="2" t="s">
        <v>4649</v>
      </c>
      <c r="S440" s="2" t="s">
        <v>4991</v>
      </c>
      <c r="T440" s="2" t="s">
        <v>4992</v>
      </c>
      <c r="U440" s="2" t="s">
        <v>29</v>
      </c>
      <c r="V440" s="2" t="n">
        <v>2</v>
      </c>
    </row>
    <row r="441">
      <c r="A441" s="2" t="n">
        <v>440</v>
      </c>
      <c r="B441" s="2" t="s">
        <v>4993</v>
      </c>
      <c r="C441" s="2" t="n">
        <v>311.22278351</v>
      </c>
      <c r="D441" s="2" t="n">
        <v>18.1163268649823</v>
      </c>
      <c r="E441" s="2" t="s">
        <v>4994</v>
      </c>
      <c r="F441" s="2" t="s">
        <v>24</v>
      </c>
      <c r="G441" s="2" t="s">
        <v>4995</v>
      </c>
      <c r="H441" s="2" t="s">
        <v>4996</v>
      </c>
      <c r="I441" s="2" t="s">
        <v>4997</v>
      </c>
      <c r="J441" s="2" t="s">
        <v>4998</v>
      </c>
      <c r="K441" s="2" t="s">
        <v>4999</v>
      </c>
      <c r="L441" s="2" t="s">
        <v>5000</v>
      </c>
      <c r="M441" s="2" t="s">
        <v>5001</v>
      </c>
      <c r="N441" s="2" t="s">
        <v>5002</v>
      </c>
      <c r="O441" s="2" t="s">
        <v>5003</v>
      </c>
      <c r="P441" s="2" t="s">
        <v>5004</v>
      </c>
      <c r="Q441" s="2" t="s">
        <v>5005</v>
      </c>
      <c r="R441" s="2" t="s">
        <v>412</v>
      </c>
      <c r="S441" s="2" t="s">
        <v>413</v>
      </c>
      <c r="T441" s="2" t="s">
        <v>5006</v>
      </c>
      <c r="U441" s="2" t="s">
        <v>56</v>
      </c>
      <c r="V441" s="2" t="n">
        <v>2</v>
      </c>
    </row>
    <row r="442">
      <c r="A442" s="2" t="n">
        <v>441</v>
      </c>
      <c r="B442" s="2" t="s">
        <v>5007</v>
      </c>
      <c r="C442" s="2" t="n">
        <v>312.090914115</v>
      </c>
      <c r="D442" s="2" t="n">
        <v>0.354124382876229</v>
      </c>
      <c r="E442" s="2" t="s">
        <v>5008</v>
      </c>
      <c r="F442" s="2" t="s">
        <v>86</v>
      </c>
      <c r="G442" s="2" t="s">
        <v>5009</v>
      </c>
      <c r="H442" s="2" t="s">
        <v>5010</v>
      </c>
      <c r="I442" s="2" t="s">
        <v>5011</v>
      </c>
      <c r="J442" s="2" t="s">
        <v>29</v>
      </c>
      <c r="K442" s="2" t="s">
        <v>29</v>
      </c>
      <c r="L442" s="2" t="s">
        <v>29</v>
      </c>
      <c r="M442" s="2" t="s">
        <v>29</v>
      </c>
      <c r="N442" s="2" t="s">
        <v>29</v>
      </c>
      <c r="O442" s="2" t="s">
        <v>29</v>
      </c>
      <c r="P442" s="2" t="s">
        <v>5012</v>
      </c>
      <c r="Q442" s="2" t="s">
        <v>5013</v>
      </c>
      <c r="R442" s="2" t="s">
        <v>114</v>
      </c>
      <c r="S442" s="2" t="s">
        <v>5014</v>
      </c>
      <c r="T442" s="2" t="s">
        <v>215</v>
      </c>
      <c r="U442" s="2" t="s">
        <v>29</v>
      </c>
      <c r="V442" s="2" t="n">
        <v>1</v>
      </c>
    </row>
    <row r="443">
      <c r="A443" s="2" t="n">
        <v>442</v>
      </c>
      <c r="B443" s="2" t="s">
        <v>5015</v>
      </c>
      <c r="C443" s="2" t="n">
        <v>313.103574626</v>
      </c>
      <c r="D443" s="2" t="n">
        <v>0.705819648981813</v>
      </c>
      <c r="E443" s="2" t="s">
        <v>5016</v>
      </c>
      <c r="F443" s="2" t="s">
        <v>161</v>
      </c>
      <c r="G443" s="2" t="s">
        <v>5017</v>
      </c>
      <c r="H443" s="2" t="s">
        <v>5018</v>
      </c>
      <c r="I443" s="2" t="s">
        <v>5019</v>
      </c>
      <c r="J443" s="2" t="s">
        <v>29</v>
      </c>
      <c r="K443" s="2" t="s">
        <v>29</v>
      </c>
      <c r="L443" s="2" t="s">
        <v>29</v>
      </c>
      <c r="M443" s="2" t="s">
        <v>29</v>
      </c>
      <c r="N443" s="2" t="s">
        <v>29</v>
      </c>
      <c r="O443" s="2" t="s">
        <v>5020</v>
      </c>
      <c r="P443" s="2" t="s">
        <v>5021</v>
      </c>
      <c r="Q443" s="2" t="s">
        <v>5022</v>
      </c>
      <c r="R443" s="2" t="s">
        <v>36</v>
      </c>
      <c r="S443" s="2" t="s">
        <v>37</v>
      </c>
      <c r="T443" s="2" t="s">
        <v>69</v>
      </c>
      <c r="U443" s="2" t="s">
        <v>56</v>
      </c>
      <c r="V443" s="2" t="n">
        <v>1</v>
      </c>
    </row>
    <row r="444">
      <c r="A444" s="2" t="n">
        <v>443</v>
      </c>
      <c r="B444" s="2" t="s">
        <v>5023</v>
      </c>
      <c r="C444" s="2" t="n">
        <v>313.180918698</v>
      </c>
      <c r="D444" s="2" t="n">
        <v>13.9477667185442</v>
      </c>
      <c r="E444" s="2" t="s">
        <v>5024</v>
      </c>
      <c r="F444" s="2" t="s">
        <v>24</v>
      </c>
      <c r="G444" s="2" t="s">
        <v>5025</v>
      </c>
      <c r="H444" s="2" t="s">
        <v>5026</v>
      </c>
      <c r="I444" s="2" t="s">
        <v>5027</v>
      </c>
      <c r="J444" s="2" t="s">
        <v>5028</v>
      </c>
      <c r="K444" s="2" t="s">
        <v>5029</v>
      </c>
      <c r="L444" s="2" t="s">
        <v>5030</v>
      </c>
      <c r="M444" s="2" t="s">
        <v>5031</v>
      </c>
      <c r="N444" s="2" t="s">
        <v>5032</v>
      </c>
      <c r="O444" s="2" t="s">
        <v>5033</v>
      </c>
      <c r="P444" s="2" t="s">
        <v>5034</v>
      </c>
      <c r="Q444" s="2" t="s">
        <v>5035</v>
      </c>
      <c r="R444" s="2" t="s">
        <v>794</v>
      </c>
      <c r="S444" s="2" t="s">
        <v>1098</v>
      </c>
      <c r="T444" s="2" t="s">
        <v>5036</v>
      </c>
      <c r="U444" s="2" t="s">
        <v>39</v>
      </c>
      <c r="V444" s="2" t="n">
        <v>1</v>
      </c>
    </row>
    <row r="445">
      <c r="A445" s="2" t="n">
        <v>444</v>
      </c>
      <c r="B445" s="2" t="s">
        <v>5037</v>
      </c>
      <c r="C445" s="2" t="n">
        <v>314.994486493</v>
      </c>
      <c r="D445" s="2" t="n">
        <v>7.24311687851693</v>
      </c>
      <c r="E445" s="2" t="s">
        <v>5038</v>
      </c>
      <c r="F445" s="2" t="s">
        <v>86</v>
      </c>
      <c r="G445" s="2" t="s">
        <v>5039</v>
      </c>
      <c r="H445" s="2" t="s">
        <v>5040</v>
      </c>
      <c r="I445" s="2" t="s">
        <v>5041</v>
      </c>
      <c r="J445" s="2" t="s">
        <v>29</v>
      </c>
      <c r="K445" s="2" t="s">
        <v>29</v>
      </c>
      <c r="L445" s="2" t="s">
        <v>29</v>
      </c>
      <c r="M445" s="2" t="s">
        <v>29</v>
      </c>
      <c r="N445" s="2" t="s">
        <v>29</v>
      </c>
      <c r="O445" s="2" t="s">
        <v>29</v>
      </c>
      <c r="P445" s="2" t="s">
        <v>5042</v>
      </c>
      <c r="Q445" s="2" t="s">
        <v>5043</v>
      </c>
      <c r="R445" s="2" t="s">
        <v>36</v>
      </c>
      <c r="S445" s="2" t="s">
        <v>37</v>
      </c>
      <c r="T445" s="2" t="s">
        <v>69</v>
      </c>
      <c r="U445" s="2" t="s">
        <v>29</v>
      </c>
      <c r="V445" s="2" t="n">
        <v>1</v>
      </c>
    </row>
    <row r="446">
      <c r="A446" s="2" t="n">
        <v>445</v>
      </c>
      <c r="B446" s="2" t="s">
        <v>5044</v>
      </c>
      <c r="C446" s="2" t="n">
        <v>315.07751195</v>
      </c>
      <c r="D446" s="2" t="n">
        <v>1.83622846135408</v>
      </c>
      <c r="E446" s="2" t="s">
        <v>5045</v>
      </c>
      <c r="F446" s="2" t="s">
        <v>205</v>
      </c>
      <c r="G446" s="2" t="s">
        <v>5046</v>
      </c>
      <c r="H446" s="2" t="s">
        <v>5047</v>
      </c>
      <c r="I446" s="2" t="s">
        <v>5048</v>
      </c>
      <c r="J446" s="2" t="s">
        <v>5049</v>
      </c>
      <c r="K446" s="2" t="s">
        <v>29</v>
      </c>
      <c r="L446" s="2" t="s">
        <v>29</v>
      </c>
      <c r="M446" s="2" t="s">
        <v>29</v>
      </c>
      <c r="N446" s="2" t="s">
        <v>5050</v>
      </c>
      <c r="O446" s="2" t="s">
        <v>29</v>
      </c>
      <c r="P446" s="2" t="s">
        <v>5051</v>
      </c>
      <c r="Q446" s="2" t="s">
        <v>5052</v>
      </c>
      <c r="R446" s="2" t="s">
        <v>114</v>
      </c>
      <c r="S446" s="2" t="s">
        <v>5053</v>
      </c>
      <c r="T446" s="2" t="s">
        <v>5054</v>
      </c>
      <c r="U446" s="2" t="s">
        <v>29</v>
      </c>
      <c r="V446" s="2" t="n">
        <v>1</v>
      </c>
    </row>
    <row r="447">
      <c r="A447" s="2" t="n">
        <v>446</v>
      </c>
      <c r="B447" s="2" t="s">
        <v>5055</v>
      </c>
      <c r="C447" s="2" t="n">
        <v>315.113901763</v>
      </c>
      <c r="D447" s="2" t="n">
        <v>1.04594342431525</v>
      </c>
      <c r="E447" s="2" t="s">
        <v>5056</v>
      </c>
      <c r="F447" s="2" t="s">
        <v>24</v>
      </c>
      <c r="G447" s="2" t="s">
        <v>5057</v>
      </c>
      <c r="H447" s="2" t="s">
        <v>5058</v>
      </c>
      <c r="I447" s="2" t="s">
        <v>5059</v>
      </c>
      <c r="J447" s="2" t="s">
        <v>91</v>
      </c>
      <c r="K447" s="2" t="s">
        <v>91</v>
      </c>
      <c r="L447" s="2" t="s">
        <v>91</v>
      </c>
      <c r="M447" s="2" t="s">
        <v>91</v>
      </c>
      <c r="N447" s="2" t="s">
        <v>5060</v>
      </c>
      <c r="O447" s="2" t="s">
        <v>91</v>
      </c>
      <c r="P447" s="2" t="s">
        <v>5061</v>
      </c>
      <c r="Q447" s="2" t="s">
        <v>5062</v>
      </c>
      <c r="R447" s="2" t="s">
        <v>5063</v>
      </c>
      <c r="S447" s="2" t="s">
        <v>5064</v>
      </c>
      <c r="T447" s="2" t="s">
        <v>5065</v>
      </c>
      <c r="U447" s="2" t="s">
        <v>29</v>
      </c>
      <c r="V447" s="2" t="n">
        <v>2</v>
      </c>
    </row>
    <row r="448">
      <c r="A448" s="2" t="n">
        <v>447</v>
      </c>
      <c r="B448" s="2" t="s">
        <v>5066</v>
      </c>
      <c r="C448" s="2" t="n">
        <v>315.196568762</v>
      </c>
      <c r="D448" s="2" t="n">
        <v>3.25272758878932</v>
      </c>
      <c r="E448" s="2" t="s">
        <v>5067</v>
      </c>
      <c r="F448" s="2" t="s">
        <v>24</v>
      </c>
      <c r="G448" s="2" t="s">
        <v>5068</v>
      </c>
      <c r="H448" s="2" t="s">
        <v>5069</v>
      </c>
      <c r="I448" s="2" t="s">
        <v>5070</v>
      </c>
      <c r="J448" s="2" t="s">
        <v>5071</v>
      </c>
      <c r="K448" s="2" t="s">
        <v>5072</v>
      </c>
      <c r="L448" s="2" t="s">
        <v>5073</v>
      </c>
      <c r="M448" s="2" t="s">
        <v>5074</v>
      </c>
      <c r="N448" s="2" t="s">
        <v>5075</v>
      </c>
      <c r="O448" s="2" t="s">
        <v>5076</v>
      </c>
      <c r="P448" s="2" t="s">
        <v>5077</v>
      </c>
      <c r="Q448" s="2" t="s">
        <v>5078</v>
      </c>
      <c r="R448" s="2" t="s">
        <v>794</v>
      </c>
      <c r="S448" s="2" t="s">
        <v>1098</v>
      </c>
      <c r="T448" s="2" t="s">
        <v>5036</v>
      </c>
      <c r="U448" s="2" t="s">
        <v>39</v>
      </c>
      <c r="V448" s="2" t="n">
        <v>1</v>
      </c>
    </row>
    <row r="449">
      <c r="A449" s="2" t="n">
        <v>448</v>
      </c>
      <c r="B449" s="2" t="s">
        <v>5079</v>
      </c>
      <c r="C449" s="2" t="n">
        <v>316.118191492</v>
      </c>
      <c r="D449" s="2" t="n">
        <v>3.01778971969975</v>
      </c>
      <c r="E449" s="2" t="s">
        <v>5080</v>
      </c>
      <c r="F449" s="2" t="s">
        <v>86</v>
      </c>
      <c r="G449" s="2" t="s">
        <v>5081</v>
      </c>
      <c r="H449" s="2" t="s">
        <v>5082</v>
      </c>
      <c r="I449" s="2" t="s">
        <v>5083</v>
      </c>
      <c r="J449" s="2" t="s">
        <v>29</v>
      </c>
      <c r="K449" s="2" t="s">
        <v>29</v>
      </c>
      <c r="L449" s="2" t="s">
        <v>29</v>
      </c>
      <c r="M449" s="2" t="s">
        <v>29</v>
      </c>
      <c r="N449" s="2" t="s">
        <v>5084</v>
      </c>
      <c r="O449" s="2" t="s">
        <v>29</v>
      </c>
      <c r="P449" s="2" t="s">
        <v>5085</v>
      </c>
      <c r="Q449" s="2" t="s">
        <v>5086</v>
      </c>
      <c r="R449" s="2" t="s">
        <v>114</v>
      </c>
      <c r="S449" s="2" t="s">
        <v>730</v>
      </c>
      <c r="T449" s="2" t="s">
        <v>731</v>
      </c>
      <c r="U449" s="2" t="s">
        <v>29</v>
      </c>
      <c r="V449" s="2" t="n">
        <v>1</v>
      </c>
    </row>
    <row r="450">
      <c r="A450" s="2" t="n">
        <v>449</v>
      </c>
      <c r="B450" s="2" t="s">
        <v>5087</v>
      </c>
      <c r="C450" s="2" t="n">
        <v>316.191817735</v>
      </c>
      <c r="D450" s="2" t="n">
        <v>2.61072234781633</v>
      </c>
      <c r="E450" s="2" t="s">
        <v>5088</v>
      </c>
      <c r="F450" s="2" t="s">
        <v>24</v>
      </c>
      <c r="G450" s="2" t="s">
        <v>5089</v>
      </c>
      <c r="H450" s="2" t="s">
        <v>5090</v>
      </c>
      <c r="I450" s="2" t="s">
        <v>5091</v>
      </c>
      <c r="J450" s="2" t="s">
        <v>5092</v>
      </c>
      <c r="K450" s="2" t="s">
        <v>91</v>
      </c>
      <c r="L450" s="2" t="s">
        <v>5093</v>
      </c>
      <c r="M450" s="2" t="s">
        <v>5094</v>
      </c>
      <c r="N450" s="2" t="s">
        <v>5095</v>
      </c>
      <c r="O450" s="2" t="s">
        <v>5096</v>
      </c>
      <c r="P450" s="2" t="s">
        <v>5097</v>
      </c>
      <c r="Q450" s="2" t="s">
        <v>5098</v>
      </c>
      <c r="R450" s="2" t="s">
        <v>5099</v>
      </c>
      <c r="S450" s="2" t="s">
        <v>5100</v>
      </c>
      <c r="T450" s="2" t="s">
        <v>5101</v>
      </c>
      <c r="U450" s="2" t="s">
        <v>56</v>
      </c>
      <c r="V450" s="2" t="n">
        <v>2</v>
      </c>
    </row>
    <row r="451">
      <c r="A451" s="2" t="n">
        <v>450</v>
      </c>
      <c r="B451" s="2" t="s">
        <v>5102</v>
      </c>
      <c r="C451" s="2" t="n">
        <v>316.241266747</v>
      </c>
      <c r="D451" s="2" t="n">
        <v>2.8092070848118</v>
      </c>
      <c r="E451" s="2" t="s">
        <v>5103</v>
      </c>
      <c r="F451" s="2" t="s">
        <v>86</v>
      </c>
      <c r="G451" s="2" t="s">
        <v>5104</v>
      </c>
      <c r="H451" s="2" t="s">
        <v>5105</v>
      </c>
      <c r="I451" s="2" t="s">
        <v>5106</v>
      </c>
      <c r="J451" s="2" t="s">
        <v>5107</v>
      </c>
      <c r="K451" s="2" t="s">
        <v>5108</v>
      </c>
      <c r="L451" s="2" t="s">
        <v>5109</v>
      </c>
      <c r="M451" s="2" t="s">
        <v>5110</v>
      </c>
      <c r="N451" s="2" t="s">
        <v>5111</v>
      </c>
      <c r="O451" s="2" t="s">
        <v>5112</v>
      </c>
      <c r="P451" s="2" t="s">
        <v>5113</v>
      </c>
      <c r="Q451" s="2" t="s">
        <v>5114</v>
      </c>
      <c r="R451" s="2" t="s">
        <v>794</v>
      </c>
      <c r="S451" s="2" t="s">
        <v>795</v>
      </c>
      <c r="T451" s="2" t="s">
        <v>5115</v>
      </c>
      <c r="U451" s="2" t="s">
        <v>39</v>
      </c>
      <c r="V451" s="2" t="n">
        <v>1</v>
      </c>
    </row>
    <row r="452">
      <c r="A452" s="2" t="n">
        <v>451</v>
      </c>
      <c r="B452" s="2" t="s">
        <v>5116</v>
      </c>
      <c r="C452" s="2" t="n">
        <v>317.17583332</v>
      </c>
      <c r="D452" s="2" t="n">
        <v>2.33498070347158</v>
      </c>
      <c r="E452" s="2" t="s">
        <v>5117</v>
      </c>
      <c r="F452" s="2" t="s">
        <v>24</v>
      </c>
      <c r="G452" s="2" t="s">
        <v>5118</v>
      </c>
      <c r="H452" s="2" t="s">
        <v>5119</v>
      </c>
      <c r="I452" s="2" t="s">
        <v>5120</v>
      </c>
      <c r="J452" s="2" t="s">
        <v>5121</v>
      </c>
      <c r="K452" s="2" t="s">
        <v>5122</v>
      </c>
      <c r="L452" s="2" t="s">
        <v>91</v>
      </c>
      <c r="M452" s="2" t="s">
        <v>5123</v>
      </c>
      <c r="N452" s="2" t="s">
        <v>5124</v>
      </c>
      <c r="O452" s="2" t="s">
        <v>5125</v>
      </c>
      <c r="P452" s="2" t="s">
        <v>5126</v>
      </c>
      <c r="Q452" s="2" t="s">
        <v>5127</v>
      </c>
      <c r="R452" s="2" t="s">
        <v>412</v>
      </c>
      <c r="S452" s="2" t="s">
        <v>4869</v>
      </c>
      <c r="T452" s="2" t="s">
        <v>5128</v>
      </c>
      <c r="U452" s="2" t="s">
        <v>56</v>
      </c>
      <c r="V452" s="2" t="n">
        <v>2</v>
      </c>
    </row>
    <row r="453">
      <c r="A453" s="2" t="n">
        <v>452</v>
      </c>
      <c r="B453" s="2" t="s">
        <v>5129</v>
      </c>
      <c r="C453" s="2" t="n">
        <v>317.219425158</v>
      </c>
      <c r="D453" s="2" t="n">
        <v>4.07221716215876</v>
      </c>
      <c r="E453" s="2" t="s">
        <v>5130</v>
      </c>
      <c r="F453" s="2" t="s">
        <v>205</v>
      </c>
      <c r="G453" s="2" t="s">
        <v>5131</v>
      </c>
      <c r="H453" s="2" t="s">
        <v>5132</v>
      </c>
      <c r="I453" s="2" t="s">
        <v>5133</v>
      </c>
      <c r="J453" s="2" t="s">
        <v>29</v>
      </c>
      <c r="K453" s="2" t="s">
        <v>29</v>
      </c>
      <c r="L453" s="2" t="s">
        <v>29</v>
      </c>
      <c r="M453" s="2" t="s">
        <v>29</v>
      </c>
      <c r="N453" s="2" t="s">
        <v>5134</v>
      </c>
      <c r="O453" s="2" t="s">
        <v>29</v>
      </c>
      <c r="P453" s="2" t="s">
        <v>5135</v>
      </c>
      <c r="Q453" s="2" t="s">
        <v>5136</v>
      </c>
      <c r="R453" s="2" t="s">
        <v>601</v>
      </c>
      <c r="S453" s="2" t="s">
        <v>602</v>
      </c>
      <c r="T453" s="2" t="s">
        <v>5137</v>
      </c>
      <c r="U453" s="2" t="s">
        <v>29</v>
      </c>
      <c r="V453" s="2" t="n">
        <v>1</v>
      </c>
    </row>
    <row r="454">
      <c r="A454" s="2" t="n">
        <v>453</v>
      </c>
      <c r="B454" s="2" t="s">
        <v>5138</v>
      </c>
      <c r="C454" s="2" t="n">
        <v>317.248600024</v>
      </c>
      <c r="D454" s="2" t="n">
        <v>4.79270510575356</v>
      </c>
      <c r="E454" s="2" t="s">
        <v>5139</v>
      </c>
      <c r="F454" s="2" t="s">
        <v>205</v>
      </c>
      <c r="G454" s="2" t="s">
        <v>5140</v>
      </c>
      <c r="H454" s="2" t="s">
        <v>5141</v>
      </c>
      <c r="I454" s="2" t="s">
        <v>5142</v>
      </c>
      <c r="J454" s="2" t="s">
        <v>5143</v>
      </c>
      <c r="K454" s="2" t="s">
        <v>5144</v>
      </c>
      <c r="L454" s="2" t="s">
        <v>5145</v>
      </c>
      <c r="M454" s="2" t="s">
        <v>5146</v>
      </c>
      <c r="N454" s="2" t="s">
        <v>5147</v>
      </c>
      <c r="O454" s="2" t="s">
        <v>195</v>
      </c>
      <c r="P454" s="2" t="s">
        <v>5148</v>
      </c>
      <c r="Q454" s="2" t="s">
        <v>5149</v>
      </c>
      <c r="R454" s="2" t="s">
        <v>255</v>
      </c>
      <c r="S454" s="2" t="s">
        <v>1728</v>
      </c>
      <c r="T454" s="2" t="s">
        <v>5150</v>
      </c>
      <c r="U454" s="2" t="s">
        <v>101</v>
      </c>
      <c r="V454" s="2" t="n">
        <v>3</v>
      </c>
    </row>
    <row r="455">
      <c r="A455" s="2" t="n">
        <v>454</v>
      </c>
      <c r="B455" s="2" t="s">
        <v>5151</v>
      </c>
      <c r="C455" s="2" t="n">
        <v>318.005324</v>
      </c>
      <c r="D455" s="2" t="n">
        <v>3.03362684033044</v>
      </c>
      <c r="E455" s="2" t="s">
        <v>5152</v>
      </c>
      <c r="F455" s="2" t="s">
        <v>218</v>
      </c>
      <c r="G455" s="2" t="s">
        <v>5153</v>
      </c>
      <c r="H455" s="2" t="s">
        <v>5154</v>
      </c>
      <c r="I455" s="2" t="s">
        <v>5155</v>
      </c>
      <c r="J455" s="2" t="s">
        <v>5156</v>
      </c>
      <c r="K455" s="2" t="s">
        <v>29</v>
      </c>
      <c r="L455" s="2" t="s">
        <v>29</v>
      </c>
      <c r="M455" s="2" t="s">
        <v>29</v>
      </c>
      <c r="N455" s="2" t="s">
        <v>5157</v>
      </c>
      <c r="O455" s="2" t="s">
        <v>29</v>
      </c>
      <c r="P455" s="2" t="s">
        <v>5158</v>
      </c>
      <c r="Q455" s="2" t="s">
        <v>5159</v>
      </c>
      <c r="R455" s="2" t="s">
        <v>1355</v>
      </c>
      <c r="S455" s="2" t="s">
        <v>5160</v>
      </c>
      <c r="T455" s="2" t="s">
        <v>215</v>
      </c>
      <c r="U455" s="2" t="s">
        <v>29</v>
      </c>
      <c r="V455" s="2" t="n">
        <v>1</v>
      </c>
    </row>
    <row r="456">
      <c r="A456" s="2" t="n">
        <v>455</v>
      </c>
      <c r="B456" s="2" t="s">
        <v>5161</v>
      </c>
      <c r="C456" s="2" t="n">
        <v>319.227318576</v>
      </c>
      <c r="D456" s="2" t="n">
        <v>18.5032805894632</v>
      </c>
      <c r="E456" s="2" t="s">
        <v>5162</v>
      </c>
      <c r="F456" s="2" t="s">
        <v>161</v>
      </c>
      <c r="G456" s="2" t="s">
        <v>5163</v>
      </c>
      <c r="H456" s="2" t="s">
        <v>5164</v>
      </c>
      <c r="I456" s="2" t="s">
        <v>5165</v>
      </c>
      <c r="J456" s="2" t="s">
        <v>5166</v>
      </c>
      <c r="K456" s="2" t="s">
        <v>5167</v>
      </c>
      <c r="L456" s="2" t="s">
        <v>5168</v>
      </c>
      <c r="M456" s="2" t="s">
        <v>5169</v>
      </c>
      <c r="N456" s="2" t="s">
        <v>5170</v>
      </c>
      <c r="O456" s="2" t="s">
        <v>29</v>
      </c>
      <c r="P456" s="2" t="s">
        <v>5171</v>
      </c>
      <c r="Q456" s="2" t="s">
        <v>5172</v>
      </c>
      <c r="R456" s="2" t="s">
        <v>794</v>
      </c>
      <c r="S456" s="2" t="s">
        <v>795</v>
      </c>
      <c r="T456" s="2" t="s">
        <v>3692</v>
      </c>
      <c r="U456" s="2" t="s">
        <v>56</v>
      </c>
      <c r="V456" s="2" t="n">
        <v>1</v>
      </c>
    </row>
    <row r="457">
      <c r="A457" s="2" t="n">
        <v>456</v>
      </c>
      <c r="B457" s="2" t="s">
        <v>5173</v>
      </c>
      <c r="C457" s="2" t="n">
        <v>320.080396343</v>
      </c>
      <c r="D457" s="2" t="n">
        <v>1.63301741374308</v>
      </c>
      <c r="E457" s="2" t="s">
        <v>5174</v>
      </c>
      <c r="F457" s="2" t="s">
        <v>161</v>
      </c>
      <c r="G457" s="2" t="s">
        <v>5175</v>
      </c>
      <c r="H457" s="2" t="s">
        <v>5176</v>
      </c>
      <c r="I457" s="2" t="s">
        <v>5177</v>
      </c>
      <c r="J457" s="2" t="s">
        <v>5178</v>
      </c>
      <c r="K457" s="2" t="s">
        <v>29</v>
      </c>
      <c r="L457" s="2" t="s">
        <v>5179</v>
      </c>
      <c r="M457" s="2" t="s">
        <v>5180</v>
      </c>
      <c r="N457" s="2" t="s">
        <v>5181</v>
      </c>
      <c r="O457" s="2" t="s">
        <v>5182</v>
      </c>
      <c r="P457" s="2" t="s">
        <v>5183</v>
      </c>
      <c r="Q457" s="2" t="s">
        <v>5184</v>
      </c>
      <c r="R457" s="2" t="s">
        <v>114</v>
      </c>
      <c r="S457" s="2" t="s">
        <v>5185</v>
      </c>
      <c r="T457" s="2" t="s">
        <v>215</v>
      </c>
      <c r="U457" s="2" t="s">
        <v>56</v>
      </c>
      <c r="V457" s="2" t="n">
        <v>1</v>
      </c>
    </row>
    <row r="458">
      <c r="A458" s="2" t="n">
        <v>457</v>
      </c>
      <c r="B458" s="2" t="s">
        <v>5186</v>
      </c>
      <c r="C458" s="2" t="n">
        <v>323.032790116</v>
      </c>
      <c r="D458" s="2" t="n">
        <v>2.39198752973809</v>
      </c>
      <c r="E458" s="2" t="s">
        <v>5187</v>
      </c>
      <c r="F458" s="2" t="s">
        <v>86</v>
      </c>
      <c r="G458" s="2" t="s">
        <v>5188</v>
      </c>
      <c r="H458" s="2" t="s">
        <v>5189</v>
      </c>
      <c r="I458" s="2" t="s">
        <v>5190</v>
      </c>
      <c r="J458" s="2" t="s">
        <v>5191</v>
      </c>
      <c r="K458" s="2" t="s">
        <v>5192</v>
      </c>
      <c r="L458" s="2" t="s">
        <v>5193</v>
      </c>
      <c r="M458" s="2" t="s">
        <v>5194</v>
      </c>
      <c r="N458" s="2" t="s">
        <v>5195</v>
      </c>
      <c r="O458" s="2" t="s">
        <v>5196</v>
      </c>
      <c r="P458" s="2" t="s">
        <v>5197</v>
      </c>
      <c r="Q458" s="2" t="s">
        <v>5198</v>
      </c>
      <c r="R458" s="2" t="s">
        <v>1355</v>
      </c>
      <c r="S458" s="2" t="s">
        <v>5199</v>
      </c>
      <c r="T458" s="2" t="s">
        <v>5200</v>
      </c>
      <c r="U458" s="2" t="s">
        <v>56</v>
      </c>
      <c r="V458" s="2" t="n">
        <v>1</v>
      </c>
    </row>
    <row r="459">
      <c r="A459" s="2" t="n">
        <v>458</v>
      </c>
      <c r="B459" s="2" t="s">
        <v>5201</v>
      </c>
      <c r="C459" s="2" t="n">
        <v>323.186398006</v>
      </c>
      <c r="D459" s="2" t="n">
        <v>5.56644106140919</v>
      </c>
      <c r="E459" s="2" t="s">
        <v>5202</v>
      </c>
      <c r="F459" s="2" t="s">
        <v>24</v>
      </c>
      <c r="G459" s="2" t="s">
        <v>5203</v>
      </c>
      <c r="H459" s="2" t="s">
        <v>5204</v>
      </c>
      <c r="I459" s="2" t="s">
        <v>5205</v>
      </c>
      <c r="J459" s="2" t="s">
        <v>5206</v>
      </c>
      <c r="K459" s="2" t="s">
        <v>91</v>
      </c>
      <c r="L459" s="2" t="s">
        <v>91</v>
      </c>
      <c r="M459" s="2" t="s">
        <v>5207</v>
      </c>
      <c r="N459" s="2" t="s">
        <v>5208</v>
      </c>
      <c r="O459" s="2" t="s">
        <v>5209</v>
      </c>
      <c r="P459" s="2" t="s">
        <v>5210</v>
      </c>
      <c r="Q459" s="2" t="s">
        <v>5211</v>
      </c>
      <c r="R459" s="2" t="s">
        <v>412</v>
      </c>
      <c r="S459" s="2" t="s">
        <v>5212</v>
      </c>
      <c r="T459" s="2" t="s">
        <v>5213</v>
      </c>
      <c r="U459" s="2" t="s">
        <v>56</v>
      </c>
      <c r="V459" s="2" t="n">
        <v>2</v>
      </c>
    </row>
    <row r="460">
      <c r="A460" s="2" t="n">
        <v>459</v>
      </c>
      <c r="B460" s="2" t="s">
        <v>5214</v>
      </c>
      <c r="C460" s="2" t="n">
        <v>323.259169018</v>
      </c>
      <c r="D460" s="2" t="n">
        <v>16.0439047221785</v>
      </c>
      <c r="E460" s="2" t="s">
        <v>5215</v>
      </c>
      <c r="F460" s="2" t="s">
        <v>24</v>
      </c>
      <c r="G460" s="2" t="s">
        <v>5216</v>
      </c>
      <c r="H460" s="2" t="s">
        <v>5217</v>
      </c>
      <c r="I460" s="2" t="s">
        <v>5218</v>
      </c>
      <c r="J460" s="2" t="s">
        <v>5219</v>
      </c>
      <c r="K460" s="2" t="s">
        <v>195</v>
      </c>
      <c r="L460" s="2" t="s">
        <v>195</v>
      </c>
      <c r="M460" s="2" t="s">
        <v>195</v>
      </c>
      <c r="N460" s="2" t="s">
        <v>5220</v>
      </c>
      <c r="O460" s="2" t="s">
        <v>5221</v>
      </c>
      <c r="P460" s="2" t="s">
        <v>5222</v>
      </c>
      <c r="Q460" s="2" t="s">
        <v>5223</v>
      </c>
      <c r="R460" s="2" t="s">
        <v>255</v>
      </c>
      <c r="S460" s="2" t="s">
        <v>5224</v>
      </c>
      <c r="T460" s="2" t="s">
        <v>5225</v>
      </c>
      <c r="U460" s="2" t="s">
        <v>56</v>
      </c>
      <c r="V460" s="2" t="n">
        <v>3</v>
      </c>
    </row>
    <row r="461">
      <c r="A461" s="2" t="n">
        <v>460</v>
      </c>
      <c r="B461" s="2" t="s">
        <v>5226</v>
      </c>
      <c r="C461" s="2" t="n">
        <v>324.0328598</v>
      </c>
      <c r="D461" s="2" t="n">
        <v>4.99506975773773</v>
      </c>
      <c r="E461" s="2" t="s">
        <v>5227</v>
      </c>
      <c r="F461" s="2" t="s">
        <v>24</v>
      </c>
      <c r="G461" s="2" t="s">
        <v>5228</v>
      </c>
      <c r="H461" s="2" t="s">
        <v>5229</v>
      </c>
      <c r="I461" s="2" t="s">
        <v>5230</v>
      </c>
      <c r="J461" s="2" t="s">
        <v>29</v>
      </c>
      <c r="K461" s="2" t="s">
        <v>29</v>
      </c>
      <c r="L461" s="2" t="s">
        <v>29</v>
      </c>
      <c r="M461" s="2" t="s">
        <v>29</v>
      </c>
      <c r="N461" s="2" t="s">
        <v>5231</v>
      </c>
      <c r="O461" s="2" t="s">
        <v>29</v>
      </c>
      <c r="P461" s="2" t="s">
        <v>5232</v>
      </c>
      <c r="Q461" s="2" t="s">
        <v>5233</v>
      </c>
      <c r="R461" s="2" t="s">
        <v>186</v>
      </c>
      <c r="S461" s="2" t="s">
        <v>187</v>
      </c>
      <c r="T461" s="2" t="s">
        <v>2791</v>
      </c>
      <c r="U461" s="2" t="s">
        <v>29</v>
      </c>
      <c r="V461" s="2" t="n">
        <v>1</v>
      </c>
    </row>
    <row r="462">
      <c r="A462" s="2" t="n">
        <v>461</v>
      </c>
      <c r="B462" s="2" t="s">
        <v>5234</v>
      </c>
      <c r="C462" s="2" t="n">
        <v>325.03559459</v>
      </c>
      <c r="D462" s="2" t="n">
        <v>3.15100077481027</v>
      </c>
      <c r="E462" s="2" t="s">
        <v>5235</v>
      </c>
      <c r="F462" s="2" t="s">
        <v>24</v>
      </c>
      <c r="G462" s="2" t="s">
        <v>5236</v>
      </c>
      <c r="H462" s="2" t="s">
        <v>5237</v>
      </c>
      <c r="I462" s="2" t="s">
        <v>5238</v>
      </c>
      <c r="J462" s="2" t="s">
        <v>29</v>
      </c>
      <c r="K462" s="2" t="s">
        <v>29</v>
      </c>
      <c r="L462" s="2" t="s">
        <v>29</v>
      </c>
      <c r="M462" s="2" t="s">
        <v>29</v>
      </c>
      <c r="N462" s="2" t="s">
        <v>5239</v>
      </c>
      <c r="O462" s="2" t="s">
        <v>29</v>
      </c>
      <c r="P462" s="2" t="s">
        <v>5240</v>
      </c>
      <c r="Q462" s="2" t="s">
        <v>5241</v>
      </c>
      <c r="R462" s="2" t="s">
        <v>36</v>
      </c>
      <c r="S462" s="2" t="s">
        <v>37</v>
      </c>
      <c r="T462" s="2" t="s">
        <v>69</v>
      </c>
      <c r="U462" s="2" t="s">
        <v>29</v>
      </c>
      <c r="V462" s="2" t="n">
        <v>1</v>
      </c>
    </row>
    <row r="463">
      <c r="A463" s="2" t="n">
        <v>462</v>
      </c>
      <c r="B463" s="2" t="s">
        <v>5242</v>
      </c>
      <c r="C463" s="2" t="n">
        <v>325.11883076</v>
      </c>
      <c r="D463" s="2" t="n">
        <v>2.49843465050855</v>
      </c>
      <c r="E463" s="2" t="s">
        <v>5243</v>
      </c>
      <c r="F463" s="2" t="s">
        <v>161</v>
      </c>
      <c r="G463" s="2" t="s">
        <v>5244</v>
      </c>
      <c r="H463" s="2" t="s">
        <v>5245</v>
      </c>
      <c r="I463" s="2" t="s">
        <v>5246</v>
      </c>
      <c r="J463" s="2" t="s">
        <v>29</v>
      </c>
      <c r="K463" s="2" t="s">
        <v>29</v>
      </c>
      <c r="L463" s="2" t="s">
        <v>29</v>
      </c>
      <c r="M463" s="2" t="s">
        <v>5247</v>
      </c>
      <c r="N463" s="2" t="s">
        <v>29</v>
      </c>
      <c r="O463" s="2" t="s">
        <v>29</v>
      </c>
      <c r="P463" s="2" t="s">
        <v>5248</v>
      </c>
      <c r="Q463" s="2" t="s">
        <v>5249</v>
      </c>
      <c r="R463" s="2" t="s">
        <v>36</v>
      </c>
      <c r="S463" s="2" t="s">
        <v>37</v>
      </c>
      <c r="T463" s="2" t="s">
        <v>69</v>
      </c>
      <c r="U463" s="2" t="s">
        <v>56</v>
      </c>
      <c r="V463" s="2" t="n">
        <v>1</v>
      </c>
    </row>
    <row r="464">
      <c r="A464" s="2" t="n">
        <v>463</v>
      </c>
      <c r="B464" s="2" t="s">
        <v>5250</v>
      </c>
      <c r="C464" s="2" t="n">
        <v>325.274268768</v>
      </c>
      <c r="D464" s="2" t="n">
        <v>6.83132546889607</v>
      </c>
      <c r="E464" s="2" t="s">
        <v>5251</v>
      </c>
      <c r="F464" s="2" t="s">
        <v>161</v>
      </c>
      <c r="G464" s="2" t="s">
        <v>5252</v>
      </c>
      <c r="H464" s="2" t="s">
        <v>5253</v>
      </c>
      <c r="I464" s="2" t="s">
        <v>5254</v>
      </c>
      <c r="J464" s="2" t="s">
        <v>5255</v>
      </c>
      <c r="K464" s="2" t="s">
        <v>91</v>
      </c>
      <c r="L464" s="2" t="s">
        <v>91</v>
      </c>
      <c r="M464" s="2" t="s">
        <v>5256</v>
      </c>
      <c r="N464" s="2" t="s">
        <v>5257</v>
      </c>
      <c r="O464" s="2" t="s">
        <v>5258</v>
      </c>
      <c r="P464" s="2" t="s">
        <v>5259</v>
      </c>
      <c r="Q464" s="2" t="s">
        <v>5260</v>
      </c>
      <c r="R464" s="2" t="s">
        <v>412</v>
      </c>
      <c r="S464" s="2" t="s">
        <v>5261</v>
      </c>
      <c r="T464" s="2" t="s">
        <v>5262</v>
      </c>
      <c r="U464" s="2" t="s">
        <v>56</v>
      </c>
      <c r="V464" s="2" t="n">
        <v>2</v>
      </c>
    </row>
    <row r="465">
      <c r="A465" s="2" t="n">
        <v>464</v>
      </c>
      <c r="B465" s="2" t="s">
        <v>5263</v>
      </c>
      <c r="C465" s="2" t="n">
        <v>326.076051899</v>
      </c>
      <c r="D465" s="2" t="n">
        <v>2.55683209606334</v>
      </c>
      <c r="E465" s="2" t="s">
        <v>5264</v>
      </c>
      <c r="F465" s="2" t="s">
        <v>86</v>
      </c>
      <c r="G465" s="2" t="s">
        <v>5265</v>
      </c>
      <c r="H465" s="2" t="s">
        <v>5266</v>
      </c>
      <c r="I465" s="2" t="s">
        <v>5267</v>
      </c>
      <c r="J465" s="2" t="s">
        <v>29</v>
      </c>
      <c r="K465" s="2" t="s">
        <v>29</v>
      </c>
      <c r="L465" s="2" t="s">
        <v>29</v>
      </c>
      <c r="M465" s="2" t="s">
        <v>29</v>
      </c>
      <c r="N465" s="2" t="s">
        <v>29</v>
      </c>
      <c r="O465" s="2" t="s">
        <v>29</v>
      </c>
      <c r="P465" s="2" t="s">
        <v>5268</v>
      </c>
      <c r="Q465" s="2" t="s">
        <v>5269</v>
      </c>
      <c r="R465" s="2" t="s">
        <v>36</v>
      </c>
      <c r="S465" s="2" t="s">
        <v>37</v>
      </c>
      <c r="T465" s="2" t="s">
        <v>69</v>
      </c>
      <c r="U465" s="2" t="s">
        <v>29</v>
      </c>
      <c r="V465" s="2" t="n">
        <v>1</v>
      </c>
    </row>
    <row r="466">
      <c r="A466" s="2" t="n">
        <v>465</v>
      </c>
      <c r="B466" s="2" t="s">
        <v>5270</v>
      </c>
      <c r="C466" s="2" t="n">
        <v>326.119627426</v>
      </c>
      <c r="D466" s="2" t="n">
        <v>1.78414201099382</v>
      </c>
      <c r="E466" s="2" t="s">
        <v>5271</v>
      </c>
      <c r="F466" s="2" t="s">
        <v>86</v>
      </c>
      <c r="G466" s="2" t="s">
        <v>5272</v>
      </c>
      <c r="H466" s="2" t="s">
        <v>5273</v>
      </c>
      <c r="I466" s="2" t="s">
        <v>5274</v>
      </c>
      <c r="J466" s="2" t="s">
        <v>5275</v>
      </c>
      <c r="K466" s="2" t="s">
        <v>29</v>
      </c>
      <c r="L466" s="2" t="s">
        <v>29</v>
      </c>
      <c r="M466" s="2" t="s">
        <v>29</v>
      </c>
      <c r="N466" s="2" t="s">
        <v>5276</v>
      </c>
      <c r="O466" s="2" t="s">
        <v>5277</v>
      </c>
      <c r="P466" s="2" t="s">
        <v>5278</v>
      </c>
      <c r="Q466" s="2" t="s">
        <v>5279</v>
      </c>
      <c r="R466" s="2" t="s">
        <v>114</v>
      </c>
      <c r="S466" s="2" t="s">
        <v>2057</v>
      </c>
      <c r="T466" s="2" t="s">
        <v>5280</v>
      </c>
      <c r="U466" s="2" t="s">
        <v>29</v>
      </c>
      <c r="V466" s="2" t="n">
        <v>1</v>
      </c>
    </row>
    <row r="467">
      <c r="A467" s="2" t="n">
        <v>466</v>
      </c>
      <c r="B467" s="2" t="s">
        <v>5281</v>
      </c>
      <c r="C467" s="2" t="n">
        <v>327.144927122</v>
      </c>
      <c r="D467" s="2" t="n">
        <v>0.990030135349796</v>
      </c>
      <c r="E467" s="2" t="s">
        <v>5282</v>
      </c>
      <c r="F467" s="2" t="s">
        <v>24</v>
      </c>
      <c r="G467" s="2" t="s">
        <v>5283</v>
      </c>
      <c r="H467" s="2" t="s">
        <v>5284</v>
      </c>
      <c r="I467" s="2" t="s">
        <v>5285</v>
      </c>
      <c r="J467" s="2" t="s">
        <v>5286</v>
      </c>
      <c r="K467" s="2" t="s">
        <v>195</v>
      </c>
      <c r="L467" s="2" t="s">
        <v>195</v>
      </c>
      <c r="M467" s="2" t="s">
        <v>5287</v>
      </c>
      <c r="N467" s="2" t="s">
        <v>5288</v>
      </c>
      <c r="O467" s="2" t="s">
        <v>5289</v>
      </c>
      <c r="P467" s="2" t="s">
        <v>5290</v>
      </c>
      <c r="Q467" s="2" t="s">
        <v>5291</v>
      </c>
      <c r="R467" s="2" t="s">
        <v>5292</v>
      </c>
      <c r="S467" s="2" t="s">
        <v>5293</v>
      </c>
      <c r="T467" s="2" t="s">
        <v>5294</v>
      </c>
      <c r="U467" s="2" t="s">
        <v>56</v>
      </c>
      <c r="V467" s="2" t="n">
        <v>3</v>
      </c>
    </row>
    <row r="468">
      <c r="A468" s="2" t="n">
        <v>467</v>
      </c>
      <c r="B468" s="2" t="s">
        <v>5295</v>
      </c>
      <c r="C468" s="2" t="n">
        <v>327.232403954</v>
      </c>
      <c r="D468" s="2" t="n">
        <v>8.95461310554108</v>
      </c>
      <c r="E468" s="2" t="s">
        <v>5296</v>
      </c>
      <c r="F468" s="2" t="s">
        <v>161</v>
      </c>
      <c r="G468" s="2" t="s">
        <v>5297</v>
      </c>
      <c r="H468" s="2" t="s">
        <v>5298</v>
      </c>
      <c r="I468" s="2" t="s">
        <v>5299</v>
      </c>
      <c r="J468" s="2" t="s">
        <v>91</v>
      </c>
      <c r="K468" s="2" t="s">
        <v>91</v>
      </c>
      <c r="L468" s="2" t="s">
        <v>91</v>
      </c>
      <c r="M468" s="2" t="s">
        <v>91</v>
      </c>
      <c r="N468" s="2" t="s">
        <v>5300</v>
      </c>
      <c r="O468" s="2" t="s">
        <v>5301</v>
      </c>
      <c r="P468" s="2" t="s">
        <v>5302</v>
      </c>
      <c r="Q468" s="2" t="s">
        <v>5303</v>
      </c>
      <c r="R468" s="2" t="s">
        <v>412</v>
      </c>
      <c r="S468" s="2" t="s">
        <v>5304</v>
      </c>
      <c r="T468" s="2" t="s">
        <v>5305</v>
      </c>
      <c r="U468" s="2" t="s">
        <v>56</v>
      </c>
      <c r="V468" s="2" t="n">
        <v>2</v>
      </c>
    </row>
    <row r="469">
      <c r="A469" s="2" t="n">
        <v>468</v>
      </c>
      <c r="B469" s="2" t="s">
        <v>5306</v>
      </c>
      <c r="C469" s="2" t="n">
        <v>328.116854095</v>
      </c>
      <c r="D469" s="2" t="n">
        <v>2.75137804510268</v>
      </c>
      <c r="E469" s="2" t="s">
        <v>5307</v>
      </c>
      <c r="F469" s="2" t="s">
        <v>86</v>
      </c>
      <c r="G469" s="2" t="s">
        <v>5308</v>
      </c>
      <c r="H469" s="2" t="s">
        <v>5309</v>
      </c>
      <c r="I469" s="2" t="s">
        <v>5310</v>
      </c>
      <c r="J469" s="2" t="s">
        <v>91</v>
      </c>
      <c r="K469" s="2" t="s">
        <v>91</v>
      </c>
      <c r="L469" s="2" t="s">
        <v>91</v>
      </c>
      <c r="M469" s="2" t="s">
        <v>5311</v>
      </c>
      <c r="N469" s="2" t="s">
        <v>5312</v>
      </c>
      <c r="O469" s="2" t="s">
        <v>5313</v>
      </c>
      <c r="P469" s="2" t="s">
        <v>5314</v>
      </c>
      <c r="Q469" s="2" t="s">
        <v>5315</v>
      </c>
      <c r="R469" s="2" t="s">
        <v>144</v>
      </c>
      <c r="S469" s="2" t="s">
        <v>145</v>
      </c>
      <c r="T469" s="2" t="s">
        <v>146</v>
      </c>
      <c r="U469" s="2" t="s">
        <v>39</v>
      </c>
      <c r="V469" s="2" t="n">
        <v>2</v>
      </c>
    </row>
    <row r="470">
      <c r="A470" s="2" t="n">
        <v>469</v>
      </c>
      <c r="B470" s="2" t="s">
        <v>5316</v>
      </c>
      <c r="C470" s="2" t="n">
        <v>329.171806261</v>
      </c>
      <c r="D470" s="2" t="n">
        <v>1.0994084441883</v>
      </c>
      <c r="E470" s="2" t="s">
        <v>5317</v>
      </c>
      <c r="F470" s="2" t="s">
        <v>205</v>
      </c>
      <c r="G470" s="2" t="s">
        <v>5318</v>
      </c>
      <c r="H470" s="2" t="s">
        <v>5319</v>
      </c>
      <c r="I470" s="2" t="s">
        <v>5320</v>
      </c>
      <c r="J470" s="2" t="s">
        <v>5321</v>
      </c>
      <c r="K470" s="2" t="s">
        <v>29</v>
      </c>
      <c r="L470" s="2" t="s">
        <v>29</v>
      </c>
      <c r="M470" s="2" t="s">
        <v>29</v>
      </c>
      <c r="N470" s="2" t="s">
        <v>5322</v>
      </c>
      <c r="O470" s="2" t="s">
        <v>29</v>
      </c>
      <c r="P470" s="2" t="s">
        <v>5323</v>
      </c>
      <c r="Q470" s="2" t="s">
        <v>5324</v>
      </c>
      <c r="R470" s="2" t="s">
        <v>114</v>
      </c>
      <c r="S470" s="2" t="s">
        <v>4121</v>
      </c>
      <c r="T470" s="2" t="s">
        <v>4122</v>
      </c>
      <c r="U470" s="2" t="s">
        <v>29</v>
      </c>
      <c r="V470" s="2" t="n">
        <v>1</v>
      </c>
    </row>
    <row r="471">
      <c r="A471" s="2" t="n">
        <v>470</v>
      </c>
      <c r="B471" s="2" t="s">
        <v>5325</v>
      </c>
      <c r="C471" s="2" t="n">
        <v>329.259837723</v>
      </c>
      <c r="D471" s="2" t="n">
        <v>16.314464841836</v>
      </c>
      <c r="E471" s="2" t="s">
        <v>5326</v>
      </c>
      <c r="F471" s="2" t="s">
        <v>24</v>
      </c>
      <c r="G471" s="2" t="s">
        <v>5327</v>
      </c>
      <c r="H471" s="2" t="s">
        <v>5328</v>
      </c>
      <c r="I471" s="2" t="s">
        <v>5329</v>
      </c>
      <c r="J471" s="2" t="s">
        <v>5330</v>
      </c>
      <c r="K471" s="2" t="s">
        <v>29</v>
      </c>
      <c r="L471" s="2" t="s">
        <v>29</v>
      </c>
      <c r="M471" s="2" t="s">
        <v>29</v>
      </c>
      <c r="N471" s="2" t="s">
        <v>5331</v>
      </c>
      <c r="O471" s="2" t="s">
        <v>29</v>
      </c>
      <c r="P471" s="2" t="s">
        <v>5332</v>
      </c>
      <c r="Q471" s="2" t="s">
        <v>5333</v>
      </c>
      <c r="R471" s="2" t="s">
        <v>114</v>
      </c>
      <c r="S471" s="2" t="s">
        <v>4121</v>
      </c>
      <c r="T471" s="2" t="s">
        <v>5334</v>
      </c>
      <c r="U471" s="2" t="s">
        <v>29</v>
      </c>
      <c r="V471" s="2" t="n">
        <v>1</v>
      </c>
    </row>
    <row r="472">
      <c r="A472" s="2" t="n">
        <v>471</v>
      </c>
      <c r="B472" s="2" t="s">
        <v>5335</v>
      </c>
      <c r="C472" s="2" t="n">
        <v>330.053133237</v>
      </c>
      <c r="D472" s="2" t="n">
        <v>4.58303619217485</v>
      </c>
      <c r="E472" s="2" t="s">
        <v>5336</v>
      </c>
      <c r="F472" s="2" t="s">
        <v>161</v>
      </c>
      <c r="G472" s="2" t="s">
        <v>5337</v>
      </c>
      <c r="H472" s="2" t="s">
        <v>5338</v>
      </c>
      <c r="I472" s="2" t="s">
        <v>5339</v>
      </c>
      <c r="J472" s="2" t="s">
        <v>29</v>
      </c>
      <c r="K472" s="2" t="s">
        <v>29</v>
      </c>
      <c r="L472" s="2" t="s">
        <v>29</v>
      </c>
      <c r="M472" s="2" t="s">
        <v>29</v>
      </c>
      <c r="N472" s="2" t="s">
        <v>5340</v>
      </c>
      <c r="O472" s="2" t="s">
        <v>29</v>
      </c>
      <c r="P472" s="2" t="s">
        <v>5341</v>
      </c>
      <c r="Q472" s="2" t="s">
        <v>5342</v>
      </c>
      <c r="R472" s="2" t="s">
        <v>114</v>
      </c>
      <c r="S472" s="2" t="s">
        <v>5343</v>
      </c>
      <c r="T472" s="2" t="s">
        <v>5344</v>
      </c>
      <c r="U472" s="2" t="s">
        <v>29</v>
      </c>
      <c r="V472" s="2" t="n">
        <v>1</v>
      </c>
    </row>
    <row r="473">
      <c r="A473" s="2" t="n">
        <v>472</v>
      </c>
      <c r="B473" s="2" t="s">
        <v>5345</v>
      </c>
      <c r="C473" s="2" t="n">
        <v>330.181765367</v>
      </c>
      <c r="D473" s="2" t="n">
        <v>7.33615345407698</v>
      </c>
      <c r="E473" s="2" t="s">
        <v>5346</v>
      </c>
      <c r="F473" s="2" t="s">
        <v>161</v>
      </c>
      <c r="G473" s="2" t="s">
        <v>5347</v>
      </c>
      <c r="H473" s="2" t="s">
        <v>5348</v>
      </c>
      <c r="I473" s="2" t="s">
        <v>5349</v>
      </c>
      <c r="J473" s="2" t="s">
        <v>5350</v>
      </c>
      <c r="K473" s="2" t="s">
        <v>29</v>
      </c>
      <c r="L473" s="2" t="s">
        <v>5351</v>
      </c>
      <c r="M473" s="2" t="s">
        <v>29</v>
      </c>
      <c r="N473" s="2" t="s">
        <v>5352</v>
      </c>
      <c r="O473" s="2" t="s">
        <v>29</v>
      </c>
      <c r="P473" s="2" t="s">
        <v>5353</v>
      </c>
      <c r="Q473" s="2" t="s">
        <v>5354</v>
      </c>
      <c r="R473" s="2" t="s">
        <v>186</v>
      </c>
      <c r="S473" s="2" t="s">
        <v>187</v>
      </c>
      <c r="T473" s="2" t="s">
        <v>3454</v>
      </c>
      <c r="U473" s="2" t="s">
        <v>56</v>
      </c>
      <c r="V473" s="2" t="n">
        <v>1</v>
      </c>
    </row>
    <row r="474">
      <c r="A474" s="2" t="n">
        <v>473</v>
      </c>
      <c r="B474" s="2" t="s">
        <v>5355</v>
      </c>
      <c r="C474" s="2" t="n">
        <v>331.075802177</v>
      </c>
      <c r="D474" s="2" t="n">
        <v>1.26768454639386</v>
      </c>
      <c r="E474" s="2" t="s">
        <v>5356</v>
      </c>
      <c r="F474" s="2" t="s">
        <v>24</v>
      </c>
      <c r="G474" s="2" t="s">
        <v>5357</v>
      </c>
      <c r="H474" s="2" t="s">
        <v>5358</v>
      </c>
      <c r="I474" s="2" t="s">
        <v>5359</v>
      </c>
      <c r="J474" s="2" t="s">
        <v>29</v>
      </c>
      <c r="K474" s="2" t="s">
        <v>29</v>
      </c>
      <c r="L474" s="2" t="s">
        <v>29</v>
      </c>
      <c r="M474" s="2" t="s">
        <v>5360</v>
      </c>
      <c r="N474" s="2" t="s">
        <v>5361</v>
      </c>
      <c r="O474" s="2" t="s">
        <v>29</v>
      </c>
      <c r="P474" s="2" t="s">
        <v>5362</v>
      </c>
      <c r="Q474" s="2" t="s">
        <v>5363</v>
      </c>
      <c r="R474" s="2" t="s">
        <v>186</v>
      </c>
      <c r="S474" s="2" t="s">
        <v>187</v>
      </c>
      <c r="T474" s="2" t="s">
        <v>4711</v>
      </c>
      <c r="U474" s="2" t="s">
        <v>29</v>
      </c>
      <c r="V474" s="2" t="n">
        <v>1</v>
      </c>
    </row>
    <row r="475">
      <c r="A475" s="2" t="n">
        <v>474</v>
      </c>
      <c r="B475" s="2" t="s">
        <v>5364</v>
      </c>
      <c r="C475" s="2" t="n">
        <v>331.166326958</v>
      </c>
      <c r="D475" s="2" t="n">
        <v>0.101242736091323</v>
      </c>
      <c r="E475" s="2" t="s">
        <v>5365</v>
      </c>
      <c r="F475" s="2" t="s">
        <v>205</v>
      </c>
      <c r="G475" s="2" t="s">
        <v>5366</v>
      </c>
      <c r="H475" s="2" t="s">
        <v>5367</v>
      </c>
      <c r="I475" s="2" t="s">
        <v>5368</v>
      </c>
      <c r="J475" s="2" t="s">
        <v>29</v>
      </c>
      <c r="K475" s="2" t="s">
        <v>29</v>
      </c>
      <c r="L475" s="2" t="s">
        <v>29</v>
      </c>
      <c r="M475" s="2" t="s">
        <v>29</v>
      </c>
      <c r="N475" s="2" t="s">
        <v>5369</v>
      </c>
      <c r="O475" s="2" t="s">
        <v>29</v>
      </c>
      <c r="P475" s="2" t="s">
        <v>5370</v>
      </c>
      <c r="Q475" s="2" t="s">
        <v>5371</v>
      </c>
      <c r="R475" s="2" t="s">
        <v>3003</v>
      </c>
      <c r="S475" s="2" t="s">
        <v>4720</v>
      </c>
      <c r="T475" s="2" t="s">
        <v>5372</v>
      </c>
      <c r="U475" s="2" t="s">
        <v>29</v>
      </c>
      <c r="V475" s="2" t="n">
        <v>1</v>
      </c>
    </row>
    <row r="476">
      <c r="A476" s="2" t="n">
        <v>475</v>
      </c>
      <c r="B476" s="2" t="s">
        <v>5373</v>
      </c>
      <c r="C476" s="2" t="n">
        <v>331.191479076</v>
      </c>
      <c r="D476" s="2" t="n">
        <v>3.22551138135087</v>
      </c>
      <c r="E476" s="2" t="s">
        <v>5374</v>
      </c>
      <c r="F476" s="2" t="s">
        <v>205</v>
      </c>
      <c r="G476" s="2" t="s">
        <v>5375</v>
      </c>
      <c r="H476" s="2" t="s">
        <v>5376</v>
      </c>
      <c r="I476" s="2" t="s">
        <v>5377</v>
      </c>
      <c r="J476" s="2" t="s">
        <v>5378</v>
      </c>
      <c r="K476" s="2" t="s">
        <v>5379</v>
      </c>
      <c r="L476" s="2" t="s">
        <v>5380</v>
      </c>
      <c r="M476" s="2" t="s">
        <v>5381</v>
      </c>
      <c r="N476" s="2" t="s">
        <v>5382</v>
      </c>
      <c r="O476" s="2" t="s">
        <v>5383</v>
      </c>
      <c r="P476" s="2" t="s">
        <v>5384</v>
      </c>
      <c r="Q476" s="2" t="s">
        <v>5385</v>
      </c>
      <c r="R476" s="2" t="s">
        <v>794</v>
      </c>
      <c r="S476" s="2" t="s">
        <v>2971</v>
      </c>
      <c r="T476" s="2" t="s">
        <v>3921</v>
      </c>
      <c r="U476" s="2" t="s">
        <v>56</v>
      </c>
      <c r="V476" s="2" t="n">
        <v>1</v>
      </c>
    </row>
    <row r="477">
      <c r="A477" s="2" t="n">
        <v>476</v>
      </c>
      <c r="B477" s="2" t="s">
        <v>5386</v>
      </c>
      <c r="C477" s="2" t="n">
        <v>331.264250095</v>
      </c>
      <c r="D477" s="2" t="n">
        <v>4.53733309605757</v>
      </c>
      <c r="E477" s="2" t="s">
        <v>5387</v>
      </c>
      <c r="F477" s="2" t="s">
        <v>205</v>
      </c>
      <c r="G477" s="2" t="s">
        <v>5388</v>
      </c>
      <c r="H477" s="2" t="s">
        <v>5389</v>
      </c>
      <c r="I477" s="2" t="s">
        <v>5390</v>
      </c>
      <c r="J477" s="2" t="s">
        <v>29</v>
      </c>
      <c r="K477" s="2" t="s">
        <v>29</v>
      </c>
      <c r="L477" s="2" t="s">
        <v>29</v>
      </c>
      <c r="M477" s="2" t="s">
        <v>29</v>
      </c>
      <c r="N477" s="2" t="s">
        <v>29</v>
      </c>
      <c r="O477" s="2" t="s">
        <v>29</v>
      </c>
      <c r="P477" s="2" t="s">
        <v>5391</v>
      </c>
      <c r="Q477" s="2" t="s">
        <v>5392</v>
      </c>
      <c r="R477" s="2" t="s">
        <v>794</v>
      </c>
      <c r="S477" s="2" t="s">
        <v>2971</v>
      </c>
      <c r="T477" s="2" t="s">
        <v>5393</v>
      </c>
      <c r="U477" s="2" t="s">
        <v>29</v>
      </c>
      <c r="V477" s="2" t="n">
        <v>1</v>
      </c>
    </row>
    <row r="478">
      <c r="A478" s="2" t="n">
        <v>477</v>
      </c>
      <c r="B478" s="2" t="s">
        <v>5394</v>
      </c>
      <c r="C478" s="2" t="n">
        <v>333.100457142</v>
      </c>
      <c r="D478" s="2" t="n">
        <v>2.3730209242389</v>
      </c>
      <c r="E478" s="2" t="s">
        <v>5395</v>
      </c>
      <c r="F478" s="2" t="s">
        <v>24</v>
      </c>
      <c r="G478" s="2" t="s">
        <v>5396</v>
      </c>
      <c r="H478" s="2" t="s">
        <v>5397</v>
      </c>
      <c r="I478" s="2" t="s">
        <v>5398</v>
      </c>
      <c r="J478" s="2" t="s">
        <v>29</v>
      </c>
      <c r="K478" s="2" t="s">
        <v>29</v>
      </c>
      <c r="L478" s="2" t="s">
        <v>29</v>
      </c>
      <c r="M478" s="2" t="s">
        <v>29</v>
      </c>
      <c r="N478" s="2" t="s">
        <v>29</v>
      </c>
      <c r="O478" s="2" t="s">
        <v>29</v>
      </c>
      <c r="P478" s="2" t="s">
        <v>5399</v>
      </c>
      <c r="Q478" s="2" t="s">
        <v>5400</v>
      </c>
      <c r="R478" s="2" t="s">
        <v>114</v>
      </c>
      <c r="S478" s="2" t="s">
        <v>1254</v>
      </c>
      <c r="T478" s="2" t="s">
        <v>5401</v>
      </c>
      <c r="U478" s="2" t="s">
        <v>29</v>
      </c>
      <c r="V478" s="2" t="n">
        <v>1</v>
      </c>
    </row>
    <row r="479">
      <c r="A479" s="2" t="n">
        <v>478</v>
      </c>
      <c r="B479" s="2" t="s">
        <v>5402</v>
      </c>
      <c r="C479" s="2" t="n">
        <v>333.177954276</v>
      </c>
      <c r="D479" s="2" t="n">
        <v>3.97015129601278</v>
      </c>
      <c r="E479" s="2" t="s">
        <v>5403</v>
      </c>
      <c r="F479" s="2" t="s">
        <v>205</v>
      </c>
      <c r="G479" s="2" t="s">
        <v>5404</v>
      </c>
      <c r="H479" s="2" t="s">
        <v>5405</v>
      </c>
      <c r="I479" s="2" t="s">
        <v>5406</v>
      </c>
      <c r="J479" s="2" t="s">
        <v>5407</v>
      </c>
      <c r="K479" s="2" t="s">
        <v>29</v>
      </c>
      <c r="L479" s="2" t="s">
        <v>29</v>
      </c>
      <c r="M479" s="2" t="s">
        <v>29</v>
      </c>
      <c r="N479" s="2" t="s">
        <v>5408</v>
      </c>
      <c r="O479" s="2" t="s">
        <v>5409</v>
      </c>
      <c r="P479" s="2" t="s">
        <v>5410</v>
      </c>
      <c r="Q479" s="2" t="s">
        <v>5411</v>
      </c>
      <c r="R479" s="2" t="s">
        <v>36</v>
      </c>
      <c r="S479" s="2" t="s">
        <v>37</v>
      </c>
      <c r="T479" s="2" t="s">
        <v>69</v>
      </c>
      <c r="U479" s="2" t="s">
        <v>56</v>
      </c>
      <c r="V479" s="2" t="n">
        <v>1</v>
      </c>
    </row>
    <row r="480">
      <c r="A480" s="2" t="n">
        <v>479</v>
      </c>
      <c r="B480" s="2" t="s">
        <v>5412</v>
      </c>
      <c r="C480" s="2" t="n">
        <v>333.210500444</v>
      </c>
      <c r="D480" s="2" t="n">
        <v>3.09638020695867</v>
      </c>
      <c r="E480" s="2" t="s">
        <v>5413</v>
      </c>
      <c r="F480" s="2" t="s">
        <v>205</v>
      </c>
      <c r="G480" s="2" t="s">
        <v>5414</v>
      </c>
      <c r="H480" s="2" t="s">
        <v>5415</v>
      </c>
      <c r="I480" s="2" t="s">
        <v>5416</v>
      </c>
      <c r="J480" s="2" t="s">
        <v>91</v>
      </c>
      <c r="K480" s="2" t="s">
        <v>91</v>
      </c>
      <c r="L480" s="2" t="s">
        <v>91</v>
      </c>
      <c r="M480" s="2" t="s">
        <v>91</v>
      </c>
      <c r="N480" s="2" t="s">
        <v>5417</v>
      </c>
      <c r="O480" s="2" t="s">
        <v>91</v>
      </c>
      <c r="P480" s="2" t="s">
        <v>5418</v>
      </c>
      <c r="Q480" s="2" t="s">
        <v>5419</v>
      </c>
      <c r="R480" s="2" t="s">
        <v>412</v>
      </c>
      <c r="S480" s="2" t="s">
        <v>413</v>
      </c>
      <c r="T480" s="2" t="s">
        <v>414</v>
      </c>
      <c r="U480" s="2" t="s">
        <v>29</v>
      </c>
      <c r="V480" s="2" t="n">
        <v>2</v>
      </c>
    </row>
    <row r="481">
      <c r="A481" s="2" t="n">
        <v>480</v>
      </c>
      <c r="B481" s="2" t="s">
        <v>5420</v>
      </c>
      <c r="C481" s="2" t="n">
        <v>334.0037723</v>
      </c>
      <c r="D481" s="2" t="n">
        <v>1.00841129512713</v>
      </c>
      <c r="E481" s="2" t="s">
        <v>5421</v>
      </c>
      <c r="F481" s="2" t="s">
        <v>161</v>
      </c>
      <c r="G481" s="2" t="s">
        <v>5422</v>
      </c>
      <c r="H481" s="2" t="s">
        <v>5423</v>
      </c>
      <c r="I481" s="2" t="s">
        <v>5424</v>
      </c>
      <c r="J481" s="2" t="s">
        <v>29</v>
      </c>
      <c r="K481" s="2" t="s">
        <v>29</v>
      </c>
      <c r="L481" s="2" t="s">
        <v>29</v>
      </c>
      <c r="M481" s="2" t="s">
        <v>5425</v>
      </c>
      <c r="N481" s="2" t="s">
        <v>5426</v>
      </c>
      <c r="O481" s="2" t="s">
        <v>29</v>
      </c>
      <c r="P481" s="2" t="s">
        <v>5427</v>
      </c>
      <c r="Q481" s="2" t="s">
        <v>5428</v>
      </c>
      <c r="R481" s="2" t="s">
        <v>186</v>
      </c>
      <c r="S481" s="2" t="s">
        <v>187</v>
      </c>
      <c r="T481" s="2" t="s">
        <v>2791</v>
      </c>
      <c r="U481" s="2" t="s">
        <v>29</v>
      </c>
      <c r="V481" s="2" t="n">
        <v>1</v>
      </c>
    </row>
    <row r="482">
      <c r="A482" s="2" t="n">
        <v>481</v>
      </c>
      <c r="B482" s="2" t="s">
        <v>5429</v>
      </c>
      <c r="C482" s="2" t="n">
        <v>334.063378737</v>
      </c>
      <c r="D482" s="2" t="n">
        <v>1.97164906057962</v>
      </c>
      <c r="E482" s="2" t="s">
        <v>5430</v>
      </c>
      <c r="F482" s="2" t="s">
        <v>86</v>
      </c>
      <c r="G482" s="2" t="s">
        <v>5431</v>
      </c>
      <c r="H482" s="2" t="s">
        <v>5432</v>
      </c>
      <c r="I482" s="2" t="s">
        <v>5433</v>
      </c>
      <c r="J482" s="2" t="s">
        <v>5434</v>
      </c>
      <c r="K482" s="2" t="s">
        <v>29</v>
      </c>
      <c r="L482" s="2" t="s">
        <v>5435</v>
      </c>
      <c r="M482" s="2" t="s">
        <v>5436</v>
      </c>
      <c r="N482" s="2" t="s">
        <v>5437</v>
      </c>
      <c r="O482" s="2" t="s">
        <v>5438</v>
      </c>
      <c r="P482" s="2" t="s">
        <v>5439</v>
      </c>
      <c r="Q482" s="2" t="s">
        <v>5440</v>
      </c>
      <c r="R482" s="2" t="s">
        <v>114</v>
      </c>
      <c r="S482" s="2" t="s">
        <v>5441</v>
      </c>
      <c r="T482" s="2" t="s">
        <v>5442</v>
      </c>
      <c r="U482" s="2" t="s">
        <v>101</v>
      </c>
      <c r="V482" s="2" t="n">
        <v>1</v>
      </c>
    </row>
    <row r="483">
      <c r="A483" s="2" t="n">
        <v>482</v>
      </c>
      <c r="B483" s="2" t="s">
        <v>5443</v>
      </c>
      <c r="C483" s="2" t="n">
        <v>334.10201463</v>
      </c>
      <c r="D483" s="2" t="n">
        <v>4.21917725328914</v>
      </c>
      <c r="E483" s="2" t="s">
        <v>5444</v>
      </c>
      <c r="F483" s="2" t="s">
        <v>24</v>
      </c>
      <c r="G483" s="2" t="s">
        <v>5445</v>
      </c>
      <c r="H483" s="2" t="s">
        <v>5446</v>
      </c>
      <c r="I483" s="2" t="s">
        <v>5447</v>
      </c>
      <c r="J483" s="2" t="s">
        <v>5448</v>
      </c>
      <c r="K483" s="2" t="s">
        <v>29</v>
      </c>
      <c r="L483" s="2" t="s">
        <v>5449</v>
      </c>
      <c r="M483" s="2" t="s">
        <v>5450</v>
      </c>
      <c r="N483" s="2" t="s">
        <v>5451</v>
      </c>
      <c r="O483" s="2" t="s">
        <v>5452</v>
      </c>
      <c r="P483" s="2" t="s">
        <v>5453</v>
      </c>
      <c r="Q483" s="2" t="s">
        <v>5454</v>
      </c>
      <c r="R483" s="2" t="s">
        <v>186</v>
      </c>
      <c r="S483" s="2" t="s">
        <v>187</v>
      </c>
      <c r="T483" s="2" t="s">
        <v>5455</v>
      </c>
      <c r="U483" s="2" t="s">
        <v>101</v>
      </c>
      <c r="V483" s="2" t="n">
        <v>1</v>
      </c>
    </row>
    <row r="484">
      <c r="A484" s="2" t="n">
        <v>483</v>
      </c>
      <c r="B484" s="2" t="s">
        <v>5456</v>
      </c>
      <c r="C484" s="2" t="n">
        <v>334.21495848</v>
      </c>
      <c r="D484" s="2" t="n">
        <v>9.91209702305829</v>
      </c>
      <c r="E484" s="2" t="s">
        <v>5457</v>
      </c>
      <c r="F484" s="2" t="s">
        <v>24</v>
      </c>
      <c r="G484" s="2" t="s">
        <v>5458</v>
      </c>
      <c r="H484" s="2" t="s">
        <v>5459</v>
      </c>
      <c r="I484" s="2" t="s">
        <v>5460</v>
      </c>
      <c r="J484" s="2" t="s">
        <v>91</v>
      </c>
      <c r="K484" s="2" t="s">
        <v>91</v>
      </c>
      <c r="L484" s="2" t="s">
        <v>91</v>
      </c>
      <c r="M484" s="2" t="s">
        <v>91</v>
      </c>
      <c r="N484" s="2" t="s">
        <v>5461</v>
      </c>
      <c r="O484" s="2" t="s">
        <v>91</v>
      </c>
      <c r="P484" s="2" t="s">
        <v>5462</v>
      </c>
      <c r="Q484" s="2" t="s">
        <v>5463</v>
      </c>
      <c r="R484" s="2" t="s">
        <v>412</v>
      </c>
      <c r="S484" s="2" t="s">
        <v>413</v>
      </c>
      <c r="T484" s="2" t="s">
        <v>414</v>
      </c>
      <c r="U484" s="2" t="s">
        <v>29</v>
      </c>
      <c r="V484" s="2" t="n">
        <v>2</v>
      </c>
    </row>
    <row r="485">
      <c r="A485" s="2" t="n">
        <v>484</v>
      </c>
      <c r="B485" s="2" t="s">
        <v>5464</v>
      </c>
      <c r="C485" s="2" t="n">
        <v>335.058827656</v>
      </c>
      <c r="D485" s="2" t="n">
        <v>2.74725683740708</v>
      </c>
      <c r="E485" s="2" t="s">
        <v>5465</v>
      </c>
      <c r="F485" s="2" t="s">
        <v>205</v>
      </c>
      <c r="G485" s="2" t="s">
        <v>5466</v>
      </c>
      <c r="H485" s="2" t="s">
        <v>5467</v>
      </c>
      <c r="I485" s="2" t="s">
        <v>5468</v>
      </c>
      <c r="J485" s="2" t="s">
        <v>29</v>
      </c>
      <c r="K485" s="2" t="s">
        <v>29</v>
      </c>
      <c r="L485" s="2" t="s">
        <v>29</v>
      </c>
      <c r="M485" s="2" t="s">
        <v>29</v>
      </c>
      <c r="N485" s="2" t="s">
        <v>5469</v>
      </c>
      <c r="O485" s="2" t="s">
        <v>29</v>
      </c>
      <c r="P485" s="2" t="s">
        <v>5470</v>
      </c>
      <c r="Q485" s="2" t="s">
        <v>5471</v>
      </c>
      <c r="R485" s="2" t="s">
        <v>36</v>
      </c>
      <c r="S485" s="2" t="s">
        <v>1857</v>
      </c>
      <c r="T485" s="2" t="s">
        <v>215</v>
      </c>
      <c r="U485" s="2" t="s">
        <v>29</v>
      </c>
      <c r="V485" s="2" t="n">
        <v>1</v>
      </c>
    </row>
    <row r="486">
      <c r="A486" s="2" t="n">
        <v>485</v>
      </c>
      <c r="B486" s="2" t="s">
        <v>5472</v>
      </c>
      <c r="C486" s="2" t="n">
        <v>335.099703947</v>
      </c>
      <c r="D486" s="2" t="n">
        <v>2.96694212335222</v>
      </c>
      <c r="E486" s="2" t="s">
        <v>5473</v>
      </c>
      <c r="F486" s="2" t="s">
        <v>205</v>
      </c>
      <c r="G486" s="2" t="s">
        <v>5474</v>
      </c>
      <c r="H486" s="2" t="s">
        <v>5475</v>
      </c>
      <c r="I486" s="2" t="s">
        <v>5476</v>
      </c>
      <c r="J486" s="2" t="s">
        <v>29</v>
      </c>
      <c r="K486" s="2" t="s">
        <v>29</v>
      </c>
      <c r="L486" s="2" t="s">
        <v>29</v>
      </c>
      <c r="M486" s="2" t="s">
        <v>29</v>
      </c>
      <c r="N486" s="2" t="s">
        <v>5477</v>
      </c>
      <c r="O486" s="2" t="s">
        <v>29</v>
      </c>
      <c r="P486" s="2" t="s">
        <v>5478</v>
      </c>
      <c r="Q486" s="2" t="s">
        <v>5479</v>
      </c>
      <c r="R486" s="2" t="s">
        <v>186</v>
      </c>
      <c r="S486" s="2" t="s">
        <v>187</v>
      </c>
      <c r="T486" s="2" t="s">
        <v>3454</v>
      </c>
      <c r="U486" s="2" t="s">
        <v>29</v>
      </c>
      <c r="V486" s="2" t="n">
        <v>1</v>
      </c>
    </row>
    <row r="487">
      <c r="A487" s="2" t="n">
        <v>486</v>
      </c>
      <c r="B487" s="2" t="s">
        <v>5480</v>
      </c>
      <c r="C487" s="2" t="n">
        <v>335.186393698</v>
      </c>
      <c r="D487" s="2" t="n">
        <v>5.54276153026199</v>
      </c>
      <c r="E487" s="2" t="s">
        <v>5481</v>
      </c>
      <c r="F487" s="2" t="s">
        <v>205</v>
      </c>
      <c r="G487" s="2" t="s">
        <v>5482</v>
      </c>
      <c r="H487" s="2" t="s">
        <v>5483</v>
      </c>
      <c r="I487" s="2" t="s">
        <v>5484</v>
      </c>
      <c r="J487" s="2" t="s">
        <v>5485</v>
      </c>
      <c r="K487" s="2" t="s">
        <v>29</v>
      </c>
      <c r="L487" s="2" t="s">
        <v>29</v>
      </c>
      <c r="M487" s="2" t="s">
        <v>5486</v>
      </c>
      <c r="N487" s="2" t="s">
        <v>5487</v>
      </c>
      <c r="O487" s="2" t="s">
        <v>5488</v>
      </c>
      <c r="P487" s="2" t="s">
        <v>5489</v>
      </c>
      <c r="Q487" s="2" t="s">
        <v>5490</v>
      </c>
      <c r="R487" s="2" t="s">
        <v>794</v>
      </c>
      <c r="S487" s="2" t="s">
        <v>795</v>
      </c>
      <c r="T487" s="2" t="s">
        <v>2391</v>
      </c>
      <c r="U487" s="2" t="s">
        <v>56</v>
      </c>
      <c r="V487" s="2" t="n">
        <v>1</v>
      </c>
    </row>
    <row r="488">
      <c r="A488" s="2" t="n">
        <v>487</v>
      </c>
      <c r="B488" s="2" t="s">
        <v>5491</v>
      </c>
      <c r="C488" s="2" t="n">
        <v>335.222783512</v>
      </c>
      <c r="D488" s="2" t="n">
        <v>13.7866048889619</v>
      </c>
      <c r="E488" s="2" t="s">
        <v>5492</v>
      </c>
      <c r="F488" s="2" t="s">
        <v>24</v>
      </c>
      <c r="G488" s="2" t="s">
        <v>5493</v>
      </c>
      <c r="H488" s="2" t="s">
        <v>5494</v>
      </c>
      <c r="I488" s="2" t="s">
        <v>5495</v>
      </c>
      <c r="J488" s="2" t="s">
        <v>5496</v>
      </c>
      <c r="K488" s="2" t="s">
        <v>5497</v>
      </c>
      <c r="L488" s="2" t="s">
        <v>5498</v>
      </c>
      <c r="M488" s="2" t="s">
        <v>5499</v>
      </c>
      <c r="N488" s="2" t="s">
        <v>5500</v>
      </c>
      <c r="O488" s="2" t="s">
        <v>5501</v>
      </c>
      <c r="P488" s="2" t="s">
        <v>5502</v>
      </c>
      <c r="Q488" s="2" t="s">
        <v>5503</v>
      </c>
      <c r="R488" s="2" t="s">
        <v>962</v>
      </c>
      <c r="S488" s="2" t="s">
        <v>963</v>
      </c>
      <c r="T488" s="2" t="s">
        <v>5504</v>
      </c>
      <c r="U488" s="2" t="s">
        <v>56</v>
      </c>
      <c r="V488" s="2" t="n">
        <v>3</v>
      </c>
    </row>
    <row r="489">
      <c r="A489" s="2" t="n">
        <v>488</v>
      </c>
      <c r="B489" s="2" t="s">
        <v>5505</v>
      </c>
      <c r="C489" s="2" t="n">
        <v>336.098979975</v>
      </c>
      <c r="D489" s="2" t="n">
        <v>4.69043973550725</v>
      </c>
      <c r="E489" s="2" t="s">
        <v>5506</v>
      </c>
      <c r="F489" s="2" t="s">
        <v>24</v>
      </c>
      <c r="G489" s="2" t="s">
        <v>5507</v>
      </c>
      <c r="H489" s="2" t="s">
        <v>5508</v>
      </c>
      <c r="I489" s="2" t="s">
        <v>5509</v>
      </c>
      <c r="J489" s="2" t="s">
        <v>29</v>
      </c>
      <c r="K489" s="2" t="s">
        <v>29</v>
      </c>
      <c r="L489" s="2" t="s">
        <v>29</v>
      </c>
      <c r="M489" s="2" t="s">
        <v>29</v>
      </c>
      <c r="N489" s="2" t="s">
        <v>29</v>
      </c>
      <c r="O489" s="2" t="s">
        <v>29</v>
      </c>
      <c r="P489" s="2" t="s">
        <v>5510</v>
      </c>
      <c r="Q489" s="2" t="s">
        <v>5511</v>
      </c>
      <c r="R489" s="2" t="s">
        <v>186</v>
      </c>
      <c r="S489" s="2" t="s">
        <v>187</v>
      </c>
      <c r="T489" s="2" t="s">
        <v>3454</v>
      </c>
      <c r="U489" s="2" t="s">
        <v>29</v>
      </c>
      <c r="V489" s="2" t="n">
        <v>1</v>
      </c>
    </row>
    <row r="490">
      <c r="A490" s="2" t="n">
        <v>489</v>
      </c>
      <c r="B490" s="2" t="s">
        <v>5512</v>
      </c>
      <c r="C490" s="2" t="n">
        <v>337.084825686</v>
      </c>
      <c r="D490" s="2" t="n">
        <v>2.53008333989125</v>
      </c>
      <c r="E490" s="2" t="s">
        <v>5513</v>
      </c>
      <c r="F490" s="2" t="s">
        <v>86</v>
      </c>
      <c r="G490" s="2" t="s">
        <v>5514</v>
      </c>
      <c r="H490" s="2" t="s">
        <v>5515</v>
      </c>
      <c r="I490" s="2" t="s">
        <v>5516</v>
      </c>
      <c r="J490" s="2" t="s">
        <v>29</v>
      </c>
      <c r="K490" s="2" t="s">
        <v>29</v>
      </c>
      <c r="L490" s="2" t="s">
        <v>29</v>
      </c>
      <c r="M490" s="2" t="s">
        <v>5517</v>
      </c>
      <c r="N490" s="2" t="s">
        <v>5518</v>
      </c>
      <c r="O490" s="2" t="s">
        <v>5519</v>
      </c>
      <c r="P490" s="2" t="s">
        <v>5520</v>
      </c>
      <c r="Q490" s="2" t="s">
        <v>5521</v>
      </c>
      <c r="R490" s="2" t="s">
        <v>1355</v>
      </c>
      <c r="S490" s="2" t="s">
        <v>3653</v>
      </c>
      <c r="T490" s="2" t="s">
        <v>5522</v>
      </c>
      <c r="U490" s="2" t="s">
        <v>56</v>
      </c>
      <c r="V490" s="2" t="n">
        <v>1</v>
      </c>
    </row>
    <row r="491">
      <c r="A491" s="2" t="n">
        <v>490</v>
      </c>
      <c r="B491" s="2" t="s">
        <v>5523</v>
      </c>
      <c r="C491" s="2" t="n">
        <v>337.20204807</v>
      </c>
      <c r="D491" s="2" t="n">
        <v>12.405472781144</v>
      </c>
      <c r="E491" s="2" t="s">
        <v>5524</v>
      </c>
      <c r="F491" s="2" t="s">
        <v>24</v>
      </c>
      <c r="G491" s="2" t="s">
        <v>5525</v>
      </c>
      <c r="H491" s="2" t="s">
        <v>5526</v>
      </c>
      <c r="I491" s="2" t="s">
        <v>5527</v>
      </c>
      <c r="J491" s="2" t="s">
        <v>5528</v>
      </c>
      <c r="K491" s="2" t="s">
        <v>29</v>
      </c>
      <c r="L491" s="2" t="s">
        <v>29</v>
      </c>
      <c r="M491" s="2" t="s">
        <v>5529</v>
      </c>
      <c r="N491" s="2" t="s">
        <v>5530</v>
      </c>
      <c r="O491" s="2" t="s">
        <v>5531</v>
      </c>
      <c r="P491" s="2" t="s">
        <v>5532</v>
      </c>
      <c r="Q491" s="2" t="s">
        <v>5533</v>
      </c>
      <c r="R491" s="2" t="s">
        <v>794</v>
      </c>
      <c r="S491" s="2" t="s">
        <v>795</v>
      </c>
      <c r="T491" s="2" t="s">
        <v>1370</v>
      </c>
      <c r="U491" s="2" t="s">
        <v>56</v>
      </c>
      <c r="V491" s="2" t="n">
        <v>1</v>
      </c>
    </row>
    <row r="492">
      <c r="A492" s="2" t="n">
        <v>491</v>
      </c>
      <c r="B492" s="2" t="s">
        <v>5534</v>
      </c>
      <c r="C492" s="2" t="n">
        <v>338.244365619</v>
      </c>
      <c r="D492" s="2" t="n">
        <v>0.41981205302468</v>
      </c>
      <c r="E492" s="2" t="s">
        <v>5535</v>
      </c>
      <c r="F492" s="2" t="s">
        <v>161</v>
      </c>
      <c r="G492" s="2" t="s">
        <v>5536</v>
      </c>
      <c r="H492" s="2" t="s">
        <v>5537</v>
      </c>
      <c r="I492" s="2" t="s">
        <v>5538</v>
      </c>
      <c r="J492" s="2" t="s">
        <v>5539</v>
      </c>
      <c r="K492" s="2" t="s">
        <v>29</v>
      </c>
      <c r="L492" s="2" t="s">
        <v>29</v>
      </c>
      <c r="M492" s="2" t="s">
        <v>29</v>
      </c>
      <c r="N492" s="2" t="s">
        <v>5540</v>
      </c>
      <c r="O492" s="2" t="s">
        <v>29</v>
      </c>
      <c r="P492" s="2" t="s">
        <v>5541</v>
      </c>
      <c r="Q492" s="2" t="s">
        <v>5542</v>
      </c>
      <c r="R492" s="2" t="s">
        <v>36</v>
      </c>
      <c r="S492" s="2" t="s">
        <v>37</v>
      </c>
      <c r="T492" s="2" t="s">
        <v>69</v>
      </c>
      <c r="U492" s="2" t="s">
        <v>56</v>
      </c>
      <c r="V492" s="2" t="n">
        <v>1</v>
      </c>
    </row>
    <row r="493">
      <c r="A493" s="2" t="n">
        <v>492</v>
      </c>
      <c r="B493" s="2" t="s">
        <v>5543</v>
      </c>
      <c r="C493" s="2" t="n">
        <v>339.060502637</v>
      </c>
      <c r="D493" s="2" t="n">
        <v>4.18359124581572</v>
      </c>
      <c r="E493" s="2" t="s">
        <v>5544</v>
      </c>
      <c r="F493" s="2" t="s">
        <v>86</v>
      </c>
      <c r="G493" s="2" t="s">
        <v>5545</v>
      </c>
      <c r="H493" s="2" t="s">
        <v>5546</v>
      </c>
      <c r="I493" s="2" t="s">
        <v>5547</v>
      </c>
      <c r="J493" s="2" t="s">
        <v>29</v>
      </c>
      <c r="K493" s="2" t="s">
        <v>29</v>
      </c>
      <c r="L493" s="2" t="s">
        <v>29</v>
      </c>
      <c r="M493" s="2" t="s">
        <v>29</v>
      </c>
      <c r="N493" s="2" t="s">
        <v>29</v>
      </c>
      <c r="O493" s="2" t="s">
        <v>29</v>
      </c>
      <c r="P493" s="2" t="s">
        <v>5548</v>
      </c>
      <c r="Q493" s="2" t="s">
        <v>5549</v>
      </c>
      <c r="R493" s="2" t="s">
        <v>129</v>
      </c>
      <c r="S493" s="2" t="s">
        <v>130</v>
      </c>
      <c r="T493" s="2" t="s">
        <v>131</v>
      </c>
      <c r="U493" s="2" t="s">
        <v>29</v>
      </c>
      <c r="V493" s="2" t="n">
        <v>1</v>
      </c>
    </row>
    <row r="494">
      <c r="A494" s="2" t="n">
        <v>493</v>
      </c>
      <c r="B494" s="2" t="s">
        <v>5550</v>
      </c>
      <c r="C494" s="2" t="n">
        <v>339.196568762</v>
      </c>
      <c r="D494" s="2" t="n">
        <v>6.92254452912206</v>
      </c>
      <c r="E494" s="2" t="s">
        <v>5551</v>
      </c>
      <c r="F494" s="2" t="s">
        <v>24</v>
      </c>
      <c r="G494" s="2" t="s">
        <v>5552</v>
      </c>
      <c r="H494" s="2" t="s">
        <v>5553</v>
      </c>
      <c r="I494" s="2" t="s">
        <v>5554</v>
      </c>
      <c r="J494" s="2" t="s">
        <v>5555</v>
      </c>
      <c r="K494" s="2" t="s">
        <v>91</v>
      </c>
      <c r="L494" s="2" t="s">
        <v>91</v>
      </c>
      <c r="M494" s="2" t="s">
        <v>5556</v>
      </c>
      <c r="N494" s="2" t="s">
        <v>5557</v>
      </c>
      <c r="O494" s="2" t="s">
        <v>5558</v>
      </c>
      <c r="P494" s="2" t="s">
        <v>5559</v>
      </c>
      <c r="Q494" s="2" t="s">
        <v>5560</v>
      </c>
      <c r="R494" s="2" t="s">
        <v>412</v>
      </c>
      <c r="S494" s="2" t="s">
        <v>5561</v>
      </c>
      <c r="T494" s="2" t="s">
        <v>5562</v>
      </c>
      <c r="U494" s="2" t="s">
        <v>56</v>
      </c>
      <c r="V494" s="2" t="n">
        <v>2</v>
      </c>
    </row>
    <row r="495">
      <c r="A495" s="2" t="n">
        <v>494</v>
      </c>
      <c r="B495" s="2" t="s">
        <v>5563</v>
      </c>
      <c r="C495" s="2" t="n">
        <v>339.253533326</v>
      </c>
      <c r="D495" s="2" t="n">
        <v>18.3474007625909</v>
      </c>
      <c r="E495" s="2" t="s">
        <v>5564</v>
      </c>
      <c r="F495" s="2" t="s">
        <v>161</v>
      </c>
      <c r="G495" s="2" t="s">
        <v>5565</v>
      </c>
      <c r="H495" s="2" t="s">
        <v>5566</v>
      </c>
      <c r="I495" s="2" t="s">
        <v>5567</v>
      </c>
      <c r="J495" s="2" t="s">
        <v>29</v>
      </c>
      <c r="K495" s="2" t="s">
        <v>29</v>
      </c>
      <c r="L495" s="2" t="s">
        <v>29</v>
      </c>
      <c r="M495" s="2" t="s">
        <v>5568</v>
      </c>
      <c r="N495" s="2" t="s">
        <v>5569</v>
      </c>
      <c r="O495" s="2" t="s">
        <v>29</v>
      </c>
      <c r="P495" s="2" t="s">
        <v>5570</v>
      </c>
      <c r="Q495" s="2" t="s">
        <v>5571</v>
      </c>
      <c r="R495" s="2" t="s">
        <v>794</v>
      </c>
      <c r="S495" s="2" t="s">
        <v>795</v>
      </c>
      <c r="T495" s="2" t="s">
        <v>3692</v>
      </c>
      <c r="U495" s="2" t="s">
        <v>56</v>
      </c>
      <c r="V495" s="2" t="n">
        <v>1</v>
      </c>
    </row>
    <row r="496">
      <c r="A496" s="2" t="n">
        <v>495</v>
      </c>
      <c r="B496" s="2" t="s">
        <v>5572</v>
      </c>
      <c r="C496" s="2" t="n">
        <v>341.006969296</v>
      </c>
      <c r="D496" s="2" t="n">
        <v>7.46470192843636</v>
      </c>
      <c r="E496" s="2" t="s">
        <v>5573</v>
      </c>
      <c r="F496" s="2" t="s">
        <v>86</v>
      </c>
      <c r="G496" s="2" t="s">
        <v>5574</v>
      </c>
      <c r="H496" s="2" t="s">
        <v>5575</v>
      </c>
      <c r="I496" s="2" t="s">
        <v>5576</v>
      </c>
      <c r="J496" s="2" t="s">
        <v>29</v>
      </c>
      <c r="K496" s="2" t="s">
        <v>29</v>
      </c>
      <c r="L496" s="2" t="s">
        <v>5577</v>
      </c>
      <c r="M496" s="2" t="s">
        <v>5578</v>
      </c>
      <c r="N496" s="2" t="s">
        <v>5579</v>
      </c>
      <c r="O496" s="2" t="s">
        <v>29</v>
      </c>
      <c r="P496" s="2" t="s">
        <v>5580</v>
      </c>
      <c r="Q496" s="2" t="s">
        <v>5581</v>
      </c>
      <c r="R496" s="2" t="s">
        <v>1355</v>
      </c>
      <c r="S496" s="2" t="s">
        <v>5582</v>
      </c>
      <c r="T496" s="2" t="s">
        <v>215</v>
      </c>
      <c r="U496" s="2" t="s">
        <v>56</v>
      </c>
      <c r="V496" s="2" t="n">
        <v>1</v>
      </c>
    </row>
    <row r="497">
      <c r="A497" s="2" t="n">
        <v>496</v>
      </c>
      <c r="B497" s="2" t="s">
        <v>5583</v>
      </c>
      <c r="C497" s="2" t="n">
        <v>341.208196074</v>
      </c>
      <c r="D497" s="2" t="n">
        <v>0.153743148212472</v>
      </c>
      <c r="E497" s="2" t="s">
        <v>5584</v>
      </c>
      <c r="F497" s="2" t="s">
        <v>24</v>
      </c>
      <c r="G497" s="2" t="s">
        <v>5585</v>
      </c>
      <c r="H497" s="2" t="s">
        <v>5586</v>
      </c>
      <c r="I497" s="2" t="s">
        <v>5587</v>
      </c>
      <c r="J497" s="2" t="s">
        <v>29</v>
      </c>
      <c r="K497" s="2" t="s">
        <v>29</v>
      </c>
      <c r="L497" s="2" t="s">
        <v>29</v>
      </c>
      <c r="M497" s="2" t="s">
        <v>29</v>
      </c>
      <c r="N497" s="2" t="s">
        <v>5588</v>
      </c>
      <c r="O497" s="2" t="s">
        <v>29</v>
      </c>
      <c r="P497" s="2" t="s">
        <v>5589</v>
      </c>
      <c r="Q497" s="2" t="s">
        <v>5590</v>
      </c>
      <c r="R497" s="2" t="s">
        <v>36</v>
      </c>
      <c r="S497" s="2" t="s">
        <v>37</v>
      </c>
      <c r="T497" s="2" t="s">
        <v>69</v>
      </c>
      <c r="U497" s="2" t="s">
        <v>29</v>
      </c>
      <c r="V497" s="2" t="n">
        <v>1</v>
      </c>
    </row>
    <row r="498">
      <c r="A498" s="2" t="n">
        <v>497</v>
      </c>
      <c r="B498" s="2" t="s">
        <v>5591</v>
      </c>
      <c r="C498" s="2" t="n">
        <v>342.218701187</v>
      </c>
      <c r="D498" s="2" t="n">
        <v>9.06861945302402</v>
      </c>
      <c r="E498" s="2" t="s">
        <v>5592</v>
      </c>
      <c r="F498" s="2" t="s">
        <v>24</v>
      </c>
      <c r="G498" s="2" t="s">
        <v>5593</v>
      </c>
      <c r="H498" s="2" t="s">
        <v>5594</v>
      </c>
      <c r="I498" s="2" t="s">
        <v>5595</v>
      </c>
      <c r="J498" s="2" t="s">
        <v>5596</v>
      </c>
      <c r="K498" s="2" t="s">
        <v>29</v>
      </c>
      <c r="L498" s="2" t="s">
        <v>5597</v>
      </c>
      <c r="M498" s="2" t="s">
        <v>5598</v>
      </c>
      <c r="N498" s="2" t="s">
        <v>5599</v>
      </c>
      <c r="O498" s="2" t="s">
        <v>5600</v>
      </c>
      <c r="P498" s="2" t="s">
        <v>5601</v>
      </c>
      <c r="Q498" s="2" t="s">
        <v>5602</v>
      </c>
      <c r="R498" s="2" t="s">
        <v>114</v>
      </c>
      <c r="S498" s="2" t="s">
        <v>2057</v>
      </c>
      <c r="T498" s="2" t="s">
        <v>5603</v>
      </c>
      <c r="U498" s="2" t="s">
        <v>56</v>
      </c>
      <c r="V498" s="2" t="n">
        <v>1</v>
      </c>
    </row>
    <row r="499">
      <c r="A499" s="2" t="n">
        <v>498</v>
      </c>
      <c r="B499" s="2" t="s">
        <v>5604</v>
      </c>
      <c r="C499" s="2" t="n">
        <v>343.225461954</v>
      </c>
      <c r="D499" s="2" t="n">
        <v>16.134640975055</v>
      </c>
      <c r="E499" s="2" t="s">
        <v>5605</v>
      </c>
      <c r="F499" s="2" t="s">
        <v>531</v>
      </c>
      <c r="G499" s="2" t="s">
        <v>5606</v>
      </c>
      <c r="H499" s="2" t="s">
        <v>5607</v>
      </c>
      <c r="I499" s="2" t="s">
        <v>5608</v>
      </c>
      <c r="J499" s="2" t="s">
        <v>5609</v>
      </c>
      <c r="K499" s="2" t="s">
        <v>5610</v>
      </c>
      <c r="L499" s="2" t="s">
        <v>29</v>
      </c>
      <c r="M499" s="2" t="s">
        <v>5611</v>
      </c>
      <c r="N499" s="2" t="s">
        <v>5612</v>
      </c>
      <c r="O499" s="2" t="s">
        <v>5613</v>
      </c>
      <c r="P499" s="2" t="s">
        <v>5614</v>
      </c>
      <c r="Q499" s="2" t="s">
        <v>5615</v>
      </c>
      <c r="R499" s="2" t="s">
        <v>794</v>
      </c>
      <c r="S499" s="2" t="s">
        <v>795</v>
      </c>
      <c r="T499" s="2" t="s">
        <v>3692</v>
      </c>
      <c r="U499" s="2" t="s">
        <v>56</v>
      </c>
      <c r="V499" s="2" t="n">
        <v>1</v>
      </c>
    </row>
    <row r="500">
      <c r="A500" s="2" t="n">
        <v>499</v>
      </c>
      <c r="B500" s="2" t="s">
        <v>5616</v>
      </c>
      <c r="C500" s="2" t="n">
        <v>344.139735654</v>
      </c>
      <c r="D500" s="2" t="n">
        <v>4.49430163216372</v>
      </c>
      <c r="E500" s="2" t="s">
        <v>5617</v>
      </c>
      <c r="F500" s="2" t="s">
        <v>24</v>
      </c>
      <c r="G500" s="2" t="s">
        <v>5618</v>
      </c>
      <c r="H500" s="2" t="s">
        <v>5619</v>
      </c>
      <c r="I500" s="2" t="s">
        <v>5620</v>
      </c>
      <c r="J500" s="2" t="s">
        <v>29</v>
      </c>
      <c r="K500" s="2" t="s">
        <v>29</v>
      </c>
      <c r="L500" s="2" t="s">
        <v>29</v>
      </c>
      <c r="M500" s="2" t="s">
        <v>29</v>
      </c>
      <c r="N500" s="2" t="s">
        <v>5621</v>
      </c>
      <c r="O500" s="2" t="s">
        <v>29</v>
      </c>
      <c r="P500" s="2" t="s">
        <v>5622</v>
      </c>
      <c r="Q500" s="2" t="s">
        <v>5623</v>
      </c>
      <c r="R500" s="2" t="s">
        <v>36</v>
      </c>
      <c r="S500" s="2" t="s">
        <v>2572</v>
      </c>
      <c r="T500" s="2" t="s">
        <v>2637</v>
      </c>
      <c r="U500" s="2" t="s">
        <v>29</v>
      </c>
      <c r="V500" s="2" t="n">
        <v>1</v>
      </c>
    </row>
    <row r="501">
      <c r="A501" s="2" t="n">
        <v>500</v>
      </c>
      <c r="B501" s="2" t="s">
        <v>5624</v>
      </c>
      <c r="C501" s="2" t="n">
        <v>344.910726205</v>
      </c>
      <c r="D501" s="2" t="n">
        <v>10.8966222931054</v>
      </c>
      <c r="E501" s="2" t="s">
        <v>5625</v>
      </c>
      <c r="F501" s="2" t="s">
        <v>218</v>
      </c>
      <c r="G501" s="2" t="s">
        <v>5626</v>
      </c>
      <c r="H501" s="2" t="s">
        <v>5627</v>
      </c>
      <c r="I501" s="2" t="s">
        <v>5628</v>
      </c>
      <c r="J501" s="2" t="s">
        <v>29</v>
      </c>
      <c r="K501" s="2" t="s">
        <v>29</v>
      </c>
      <c r="L501" s="2" t="s">
        <v>29</v>
      </c>
      <c r="M501" s="2" t="s">
        <v>29</v>
      </c>
      <c r="N501" s="2" t="s">
        <v>5629</v>
      </c>
      <c r="O501" s="2" t="s">
        <v>5630</v>
      </c>
      <c r="P501" s="2" t="s">
        <v>5631</v>
      </c>
      <c r="Q501" s="2" t="s">
        <v>5632</v>
      </c>
      <c r="R501" s="2" t="s">
        <v>129</v>
      </c>
      <c r="S501" s="2" t="s">
        <v>130</v>
      </c>
      <c r="T501" s="2" t="s">
        <v>1681</v>
      </c>
      <c r="U501" s="2" t="s">
        <v>29</v>
      </c>
      <c r="V501" s="2" t="n">
        <v>1</v>
      </c>
    </row>
    <row r="502">
      <c r="A502" s="2" t="n">
        <v>501</v>
      </c>
      <c r="B502" s="2" t="s">
        <v>5633</v>
      </c>
      <c r="C502" s="2" t="n">
        <v>345.1568249</v>
      </c>
      <c r="D502" s="2" t="n">
        <v>2.03182411533474</v>
      </c>
      <c r="E502" s="2" t="s">
        <v>5634</v>
      </c>
      <c r="F502" s="2" t="s">
        <v>205</v>
      </c>
      <c r="G502" s="2" t="s">
        <v>5635</v>
      </c>
      <c r="H502" s="2" t="s">
        <v>5636</v>
      </c>
      <c r="I502" s="2" t="s">
        <v>5637</v>
      </c>
      <c r="J502" s="2" t="s">
        <v>29</v>
      </c>
      <c r="K502" s="2" t="s">
        <v>29</v>
      </c>
      <c r="L502" s="2" t="s">
        <v>29</v>
      </c>
      <c r="M502" s="2" t="s">
        <v>5638</v>
      </c>
      <c r="N502" s="2" t="s">
        <v>5639</v>
      </c>
      <c r="O502" s="2" t="s">
        <v>29</v>
      </c>
      <c r="P502" s="2" t="s">
        <v>5640</v>
      </c>
      <c r="Q502" s="2" t="s">
        <v>5641</v>
      </c>
      <c r="R502" s="2" t="s">
        <v>114</v>
      </c>
      <c r="S502" s="2" t="s">
        <v>2206</v>
      </c>
      <c r="T502" s="2" t="s">
        <v>3383</v>
      </c>
      <c r="U502" s="2" t="s">
        <v>29</v>
      </c>
      <c r="V502" s="2" t="n">
        <v>1</v>
      </c>
    </row>
    <row r="503">
      <c r="A503" s="2" t="n">
        <v>502</v>
      </c>
      <c r="B503" s="2" t="s">
        <v>5642</v>
      </c>
      <c r="C503" s="2" t="n">
        <v>346.055808339</v>
      </c>
      <c r="D503" s="2" t="n">
        <v>7.35015186817222</v>
      </c>
      <c r="E503" s="2" t="s">
        <v>5643</v>
      </c>
      <c r="F503" s="2" t="s">
        <v>24</v>
      </c>
      <c r="G503" s="2" t="s">
        <v>5644</v>
      </c>
      <c r="H503" s="2" t="s">
        <v>5645</v>
      </c>
      <c r="I503" s="2" t="s">
        <v>5646</v>
      </c>
      <c r="J503" s="2" t="s">
        <v>5647</v>
      </c>
      <c r="K503" s="2" t="s">
        <v>91</v>
      </c>
      <c r="L503" s="2" t="s">
        <v>5648</v>
      </c>
      <c r="M503" s="2" t="s">
        <v>5649</v>
      </c>
      <c r="N503" s="2" t="s">
        <v>5650</v>
      </c>
      <c r="O503" s="2" t="s">
        <v>5651</v>
      </c>
      <c r="P503" s="2" t="s">
        <v>5652</v>
      </c>
      <c r="Q503" s="2" t="s">
        <v>5653</v>
      </c>
      <c r="R503" s="2" t="s">
        <v>3638</v>
      </c>
      <c r="S503" s="2" t="s">
        <v>5654</v>
      </c>
      <c r="T503" s="2" t="s">
        <v>5655</v>
      </c>
      <c r="U503" s="2" t="s">
        <v>39</v>
      </c>
      <c r="V503" s="2" t="n">
        <v>2</v>
      </c>
    </row>
    <row r="504">
      <c r="A504" s="2" t="n">
        <v>503</v>
      </c>
      <c r="B504" s="2" t="s">
        <v>5656</v>
      </c>
      <c r="C504" s="2" t="n">
        <v>346.130948807</v>
      </c>
      <c r="D504" s="2" t="n">
        <v>1.27655426801869</v>
      </c>
      <c r="E504" s="2" t="s">
        <v>5657</v>
      </c>
      <c r="F504" s="2" t="s">
        <v>24</v>
      </c>
      <c r="G504" s="2" t="s">
        <v>5658</v>
      </c>
      <c r="H504" s="2" t="s">
        <v>5659</v>
      </c>
      <c r="I504" s="2" t="s">
        <v>5660</v>
      </c>
      <c r="J504" s="2" t="s">
        <v>29</v>
      </c>
      <c r="K504" s="2" t="s">
        <v>29</v>
      </c>
      <c r="L504" s="2" t="s">
        <v>29</v>
      </c>
      <c r="M504" s="2" t="s">
        <v>29</v>
      </c>
      <c r="N504" s="2" t="s">
        <v>5661</v>
      </c>
      <c r="O504" s="2" t="s">
        <v>29</v>
      </c>
      <c r="P504" s="2" t="s">
        <v>5662</v>
      </c>
      <c r="Q504" s="2" t="s">
        <v>5663</v>
      </c>
      <c r="R504" s="2" t="s">
        <v>186</v>
      </c>
      <c r="S504" s="2" t="s">
        <v>187</v>
      </c>
      <c r="T504" s="2" t="s">
        <v>3454</v>
      </c>
      <c r="U504" s="2" t="s">
        <v>29</v>
      </c>
      <c r="V504" s="2" t="n">
        <v>1</v>
      </c>
    </row>
    <row r="505">
      <c r="A505" s="2" t="n">
        <v>504</v>
      </c>
      <c r="B505" s="2" t="s">
        <v>5664</v>
      </c>
      <c r="C505" s="2" t="n">
        <v>347.044222492</v>
      </c>
      <c r="D505" s="2" t="n">
        <v>0.0352586738060765</v>
      </c>
      <c r="E505" s="2" t="s">
        <v>5665</v>
      </c>
      <c r="F505" s="2" t="s">
        <v>205</v>
      </c>
      <c r="G505" s="2" t="s">
        <v>5666</v>
      </c>
      <c r="H505" s="2" t="s">
        <v>5667</v>
      </c>
      <c r="I505" s="2" t="s">
        <v>5668</v>
      </c>
      <c r="J505" s="2" t="s">
        <v>29</v>
      </c>
      <c r="K505" s="2" t="s">
        <v>29</v>
      </c>
      <c r="L505" s="2" t="s">
        <v>29</v>
      </c>
      <c r="M505" s="2" t="s">
        <v>5669</v>
      </c>
      <c r="N505" s="2" t="s">
        <v>5670</v>
      </c>
      <c r="O505" s="2" t="s">
        <v>29</v>
      </c>
      <c r="P505" s="2" t="s">
        <v>5671</v>
      </c>
      <c r="Q505" s="2" t="s">
        <v>5672</v>
      </c>
      <c r="R505" s="2" t="s">
        <v>36</v>
      </c>
      <c r="S505" s="2" t="s">
        <v>1857</v>
      </c>
      <c r="T505" s="2" t="s">
        <v>1858</v>
      </c>
      <c r="U505" s="2" t="s">
        <v>56</v>
      </c>
      <c r="V505" s="2" t="n">
        <v>1</v>
      </c>
    </row>
    <row r="506">
      <c r="A506" s="2" t="n">
        <v>505</v>
      </c>
      <c r="B506" s="2" t="s">
        <v>5673</v>
      </c>
      <c r="C506" s="2" t="n">
        <v>347.187735409</v>
      </c>
      <c r="D506" s="2" t="n">
        <v>5.60209838205726</v>
      </c>
      <c r="E506" s="2" t="s">
        <v>5674</v>
      </c>
      <c r="F506" s="2" t="s">
        <v>24</v>
      </c>
      <c r="G506" s="2" t="s">
        <v>5675</v>
      </c>
      <c r="H506" s="2" t="s">
        <v>5676</v>
      </c>
      <c r="I506" s="2" t="s">
        <v>5677</v>
      </c>
      <c r="J506" s="2" t="s">
        <v>5678</v>
      </c>
      <c r="K506" s="2" t="s">
        <v>91</v>
      </c>
      <c r="L506" s="2" t="s">
        <v>91</v>
      </c>
      <c r="M506" s="2" t="s">
        <v>91</v>
      </c>
      <c r="N506" s="2" t="s">
        <v>5679</v>
      </c>
      <c r="O506" s="2" t="s">
        <v>91</v>
      </c>
      <c r="P506" s="2" t="s">
        <v>5680</v>
      </c>
      <c r="Q506" s="2" t="s">
        <v>5681</v>
      </c>
      <c r="R506" s="2" t="s">
        <v>541</v>
      </c>
      <c r="S506" s="2" t="s">
        <v>5682</v>
      </c>
      <c r="T506" s="2" t="s">
        <v>5683</v>
      </c>
      <c r="U506" s="2" t="s">
        <v>29</v>
      </c>
      <c r="V506" s="2" t="n">
        <v>2</v>
      </c>
    </row>
    <row r="507">
      <c r="A507" s="2" t="n">
        <v>506</v>
      </c>
      <c r="B507" s="2" t="s">
        <v>5684</v>
      </c>
      <c r="C507" s="2" t="n">
        <v>347.226150509</v>
      </c>
      <c r="D507" s="2" t="n">
        <v>9.36315099051583</v>
      </c>
      <c r="E507" s="2" t="s">
        <v>5685</v>
      </c>
      <c r="F507" s="2" t="s">
        <v>205</v>
      </c>
      <c r="G507" s="2" t="s">
        <v>5686</v>
      </c>
      <c r="H507" s="2" t="s">
        <v>5687</v>
      </c>
      <c r="I507" s="2" t="s">
        <v>5688</v>
      </c>
      <c r="J507" s="2" t="s">
        <v>5689</v>
      </c>
      <c r="K507" s="2" t="s">
        <v>29</v>
      </c>
      <c r="L507" s="2" t="s">
        <v>29</v>
      </c>
      <c r="M507" s="2" t="s">
        <v>29</v>
      </c>
      <c r="N507" s="2" t="s">
        <v>5690</v>
      </c>
      <c r="O507" s="2" t="s">
        <v>29</v>
      </c>
      <c r="P507" s="2" t="s">
        <v>5691</v>
      </c>
      <c r="Q507" s="2" t="s">
        <v>5692</v>
      </c>
      <c r="R507" s="2" t="s">
        <v>794</v>
      </c>
      <c r="S507" s="2" t="s">
        <v>795</v>
      </c>
      <c r="T507" s="2" t="s">
        <v>796</v>
      </c>
      <c r="U507" s="2" t="s">
        <v>29</v>
      </c>
      <c r="V507" s="2" t="n">
        <v>1</v>
      </c>
    </row>
    <row r="508">
      <c r="A508" s="2" t="n">
        <v>507</v>
      </c>
      <c r="B508" s="2" t="s">
        <v>5693</v>
      </c>
      <c r="C508" s="2" t="n">
        <v>347.26637966</v>
      </c>
      <c r="D508" s="2" t="n">
        <v>5.15099221119057</v>
      </c>
      <c r="E508" s="2" t="s">
        <v>5694</v>
      </c>
      <c r="F508" s="2" t="s">
        <v>683</v>
      </c>
      <c r="G508" s="2" t="s">
        <v>5695</v>
      </c>
      <c r="H508" s="2" t="s">
        <v>5696</v>
      </c>
      <c r="I508" s="2" t="s">
        <v>5697</v>
      </c>
      <c r="J508" s="2" t="s">
        <v>29</v>
      </c>
      <c r="K508" s="2" t="s">
        <v>29</v>
      </c>
      <c r="L508" s="2" t="s">
        <v>5698</v>
      </c>
      <c r="M508" s="2" t="s">
        <v>5699</v>
      </c>
      <c r="N508" s="2" t="s">
        <v>5700</v>
      </c>
      <c r="O508" s="2" t="s">
        <v>29</v>
      </c>
      <c r="P508" s="2" t="s">
        <v>5701</v>
      </c>
      <c r="Q508" s="2" t="s">
        <v>5702</v>
      </c>
      <c r="R508" s="2" t="s">
        <v>36</v>
      </c>
      <c r="S508" s="2" t="s">
        <v>37</v>
      </c>
      <c r="T508" s="2" t="s">
        <v>69</v>
      </c>
      <c r="U508" s="2" t="s">
        <v>56</v>
      </c>
      <c r="V508" s="2" t="n">
        <v>1</v>
      </c>
    </row>
    <row r="509">
      <c r="A509" s="2" t="n">
        <v>508</v>
      </c>
      <c r="B509" s="2" t="s">
        <v>5703</v>
      </c>
      <c r="C509" s="2" t="n">
        <v>348.049168447</v>
      </c>
      <c r="D509" s="2" t="n">
        <v>2.77810617813201</v>
      </c>
      <c r="E509" s="2" t="s">
        <v>5704</v>
      </c>
      <c r="F509" s="2" t="s">
        <v>86</v>
      </c>
      <c r="G509" s="2" t="s">
        <v>5705</v>
      </c>
      <c r="H509" s="2" t="s">
        <v>5706</v>
      </c>
      <c r="I509" s="2" t="s">
        <v>5707</v>
      </c>
      <c r="J509" s="2" t="s">
        <v>29</v>
      </c>
      <c r="K509" s="2" t="s">
        <v>29</v>
      </c>
      <c r="L509" s="2" t="s">
        <v>29</v>
      </c>
      <c r="M509" s="2" t="s">
        <v>29</v>
      </c>
      <c r="N509" s="2" t="s">
        <v>29</v>
      </c>
      <c r="O509" s="2" t="s">
        <v>29</v>
      </c>
      <c r="P509" s="2" t="s">
        <v>5708</v>
      </c>
      <c r="Q509" s="2" t="s">
        <v>5709</v>
      </c>
      <c r="R509" s="2" t="s">
        <v>129</v>
      </c>
      <c r="S509" s="2" t="s">
        <v>130</v>
      </c>
      <c r="T509" s="2" t="s">
        <v>1681</v>
      </c>
      <c r="U509" s="2" t="s">
        <v>29</v>
      </c>
      <c r="V509" s="2" t="n">
        <v>1</v>
      </c>
    </row>
    <row r="510">
      <c r="A510" s="2" t="n">
        <v>509</v>
      </c>
      <c r="B510" s="2" t="s">
        <v>5710</v>
      </c>
      <c r="C510" s="2" t="n">
        <v>348.092744</v>
      </c>
      <c r="D510" s="2" t="n">
        <v>1.07347342066901</v>
      </c>
      <c r="E510" s="2" t="s">
        <v>5711</v>
      </c>
      <c r="F510" s="2" t="s">
        <v>86</v>
      </c>
      <c r="G510" s="2" t="s">
        <v>5712</v>
      </c>
      <c r="H510" s="2" t="s">
        <v>5713</v>
      </c>
      <c r="I510" s="2" t="s">
        <v>5714</v>
      </c>
      <c r="J510" s="2" t="s">
        <v>29</v>
      </c>
      <c r="K510" s="2" t="s">
        <v>29</v>
      </c>
      <c r="L510" s="2" t="s">
        <v>29</v>
      </c>
      <c r="M510" s="2" t="s">
        <v>29</v>
      </c>
      <c r="N510" s="2" t="s">
        <v>5715</v>
      </c>
      <c r="O510" s="2" t="s">
        <v>29</v>
      </c>
      <c r="P510" s="2" t="s">
        <v>5716</v>
      </c>
      <c r="Q510" s="2" t="s">
        <v>5717</v>
      </c>
      <c r="R510" s="2" t="s">
        <v>114</v>
      </c>
      <c r="S510" s="2" t="s">
        <v>3757</v>
      </c>
      <c r="T510" s="2" t="s">
        <v>215</v>
      </c>
      <c r="U510" s="2" t="s">
        <v>29</v>
      </c>
      <c r="V510" s="2" t="n">
        <v>1</v>
      </c>
    </row>
    <row r="511">
      <c r="A511" s="2" t="n">
        <v>510</v>
      </c>
      <c r="B511" s="2" t="s">
        <v>5718</v>
      </c>
      <c r="C511" s="2" t="n">
        <v>348.156490548</v>
      </c>
      <c r="D511" s="2" t="n">
        <v>2.32970616399138</v>
      </c>
      <c r="E511" s="2" t="s">
        <v>5719</v>
      </c>
      <c r="F511" s="2" t="s">
        <v>205</v>
      </c>
      <c r="G511" s="2" t="s">
        <v>5720</v>
      </c>
      <c r="H511" s="2" t="s">
        <v>5721</v>
      </c>
      <c r="I511" s="2" t="s">
        <v>5722</v>
      </c>
      <c r="J511" s="2" t="s">
        <v>5723</v>
      </c>
      <c r="K511" s="2" t="s">
        <v>91</v>
      </c>
      <c r="L511" s="2" t="s">
        <v>91</v>
      </c>
      <c r="M511" s="2" t="s">
        <v>91</v>
      </c>
      <c r="N511" s="2" t="s">
        <v>5724</v>
      </c>
      <c r="O511" s="2" t="s">
        <v>5725</v>
      </c>
      <c r="P511" s="2" t="s">
        <v>5726</v>
      </c>
      <c r="Q511" s="2" t="s">
        <v>5727</v>
      </c>
      <c r="R511" s="2" t="s">
        <v>144</v>
      </c>
      <c r="S511" s="2" t="s">
        <v>145</v>
      </c>
      <c r="T511" s="2" t="s">
        <v>146</v>
      </c>
      <c r="U511" s="2" t="s">
        <v>56</v>
      </c>
      <c r="V511" s="2" t="n">
        <v>2</v>
      </c>
    </row>
    <row r="512">
      <c r="A512" s="2" t="n">
        <v>511</v>
      </c>
      <c r="B512" s="2" t="s">
        <v>5728</v>
      </c>
      <c r="C512" s="2" t="n">
        <v>349.063044386</v>
      </c>
      <c r="D512" s="2" t="n">
        <v>0.327669577112397</v>
      </c>
      <c r="E512" s="2" t="s">
        <v>5729</v>
      </c>
      <c r="F512" s="2" t="s">
        <v>86</v>
      </c>
      <c r="G512" s="2" t="s">
        <v>5730</v>
      </c>
      <c r="H512" s="2" t="s">
        <v>5731</v>
      </c>
      <c r="I512" s="2" t="s">
        <v>5732</v>
      </c>
      <c r="J512" s="2" t="s">
        <v>5733</v>
      </c>
      <c r="K512" s="2" t="s">
        <v>91</v>
      </c>
      <c r="L512" s="2" t="s">
        <v>91</v>
      </c>
      <c r="M512" s="2" t="s">
        <v>5734</v>
      </c>
      <c r="N512" s="2" t="s">
        <v>5735</v>
      </c>
      <c r="O512" s="2" t="s">
        <v>5736</v>
      </c>
      <c r="P512" s="2" t="s">
        <v>5737</v>
      </c>
      <c r="Q512" s="2" t="s">
        <v>5738</v>
      </c>
      <c r="R512" s="2" t="s">
        <v>770</v>
      </c>
      <c r="S512" s="2" t="s">
        <v>771</v>
      </c>
      <c r="T512" s="2" t="s">
        <v>5739</v>
      </c>
      <c r="U512" s="2" t="s">
        <v>29</v>
      </c>
      <c r="V512" s="2" t="n">
        <v>2</v>
      </c>
    </row>
    <row r="513">
      <c r="A513" s="2" t="n">
        <v>512</v>
      </c>
      <c r="B513" s="2" t="s">
        <v>5740</v>
      </c>
      <c r="C513" s="2" t="n">
        <v>349.155766576</v>
      </c>
      <c r="D513" s="2" t="n">
        <v>2.63791252129087</v>
      </c>
      <c r="E513" s="2" t="s">
        <v>5741</v>
      </c>
      <c r="F513" s="2" t="s">
        <v>24</v>
      </c>
      <c r="G513" s="2" t="s">
        <v>5742</v>
      </c>
      <c r="H513" s="2" t="s">
        <v>5743</v>
      </c>
      <c r="I513" s="2" t="s">
        <v>5744</v>
      </c>
      <c r="J513" s="2" t="s">
        <v>5745</v>
      </c>
      <c r="K513" s="2" t="s">
        <v>195</v>
      </c>
      <c r="L513" s="2" t="s">
        <v>195</v>
      </c>
      <c r="M513" s="2" t="s">
        <v>195</v>
      </c>
      <c r="N513" s="2" t="s">
        <v>5746</v>
      </c>
      <c r="O513" s="2" t="s">
        <v>195</v>
      </c>
      <c r="P513" s="2" t="s">
        <v>5747</v>
      </c>
      <c r="Q513" s="2" t="s">
        <v>5748</v>
      </c>
      <c r="R513" s="2" t="s">
        <v>5749</v>
      </c>
      <c r="S513" s="2" t="s">
        <v>5750</v>
      </c>
      <c r="T513" s="2" t="s">
        <v>5751</v>
      </c>
      <c r="U513" s="2" t="s">
        <v>29</v>
      </c>
      <c r="V513" s="2" t="n">
        <v>3</v>
      </c>
    </row>
    <row r="514">
      <c r="A514" s="2" t="n">
        <v>513</v>
      </c>
      <c r="B514" s="2" t="s">
        <v>5752</v>
      </c>
      <c r="C514" s="2" t="n">
        <v>349.247260027</v>
      </c>
      <c r="D514" s="2" t="n">
        <v>8.99505754841817</v>
      </c>
      <c r="E514" s="2" t="s">
        <v>5753</v>
      </c>
      <c r="F514" s="2" t="s">
        <v>531</v>
      </c>
      <c r="G514" s="2" t="s">
        <v>5754</v>
      </c>
      <c r="H514" s="2" t="s">
        <v>5755</v>
      </c>
      <c r="I514" s="2" t="s">
        <v>5756</v>
      </c>
      <c r="J514" s="2" t="s">
        <v>29</v>
      </c>
      <c r="K514" s="2" t="s">
        <v>29</v>
      </c>
      <c r="L514" s="2" t="s">
        <v>29</v>
      </c>
      <c r="M514" s="2" t="s">
        <v>29</v>
      </c>
      <c r="N514" s="2" t="s">
        <v>5757</v>
      </c>
      <c r="O514" s="2" t="s">
        <v>29</v>
      </c>
      <c r="P514" s="2" t="s">
        <v>5758</v>
      </c>
      <c r="Q514" s="2" t="s">
        <v>5759</v>
      </c>
      <c r="R514" s="2" t="s">
        <v>36</v>
      </c>
      <c r="S514" s="2" t="s">
        <v>37</v>
      </c>
      <c r="T514" s="2" t="s">
        <v>69</v>
      </c>
      <c r="U514" s="2" t="s">
        <v>29</v>
      </c>
      <c r="V514" s="2" t="n">
        <v>1</v>
      </c>
    </row>
    <row r="515">
      <c r="A515" s="2" t="n">
        <v>514</v>
      </c>
      <c r="B515" s="2" t="s">
        <v>5760</v>
      </c>
      <c r="C515" s="2" t="n">
        <v>349.9800203</v>
      </c>
      <c r="D515" s="2" t="n">
        <v>4.50424465346074</v>
      </c>
      <c r="E515" s="2" t="s">
        <v>5761</v>
      </c>
      <c r="F515" s="2" t="s">
        <v>531</v>
      </c>
      <c r="G515" s="2" t="s">
        <v>5762</v>
      </c>
      <c r="H515" s="2" t="s">
        <v>5763</v>
      </c>
      <c r="I515" s="2" t="s">
        <v>5764</v>
      </c>
      <c r="J515" s="2" t="s">
        <v>29</v>
      </c>
      <c r="K515" s="2" t="s">
        <v>29</v>
      </c>
      <c r="L515" s="2" t="s">
        <v>29</v>
      </c>
      <c r="M515" s="2" t="s">
        <v>29</v>
      </c>
      <c r="N515" s="2" t="s">
        <v>5765</v>
      </c>
      <c r="O515" s="2" t="s">
        <v>29</v>
      </c>
      <c r="P515" s="2" t="s">
        <v>5766</v>
      </c>
      <c r="Q515" s="2" t="s">
        <v>5767</v>
      </c>
      <c r="R515" s="2" t="s">
        <v>36</v>
      </c>
      <c r="S515" s="2" t="s">
        <v>37</v>
      </c>
      <c r="T515" s="2" t="s">
        <v>69</v>
      </c>
      <c r="U515" s="2" t="s">
        <v>29</v>
      </c>
      <c r="V515" s="2" t="n">
        <v>1</v>
      </c>
    </row>
    <row r="516">
      <c r="A516" s="2" t="n">
        <v>515</v>
      </c>
      <c r="B516" s="2" t="s">
        <v>5768</v>
      </c>
      <c r="C516" s="2" t="n">
        <v>350.042657569</v>
      </c>
      <c r="D516" s="2" t="n">
        <v>1.17052189915913</v>
      </c>
      <c r="E516" s="2" t="s">
        <v>5769</v>
      </c>
      <c r="F516" s="2" t="s">
        <v>86</v>
      </c>
      <c r="G516" s="2" t="s">
        <v>5770</v>
      </c>
      <c r="H516" s="2" t="s">
        <v>5771</v>
      </c>
      <c r="I516" s="2" t="s">
        <v>5772</v>
      </c>
      <c r="J516" s="2" t="s">
        <v>29</v>
      </c>
      <c r="K516" s="2" t="s">
        <v>29</v>
      </c>
      <c r="L516" s="2" t="s">
        <v>29</v>
      </c>
      <c r="M516" s="2" t="s">
        <v>29</v>
      </c>
      <c r="N516" s="2" t="s">
        <v>5773</v>
      </c>
      <c r="O516" s="2" t="s">
        <v>29</v>
      </c>
      <c r="P516" s="2" t="s">
        <v>5774</v>
      </c>
      <c r="Q516" s="2" t="s">
        <v>5775</v>
      </c>
      <c r="R516" s="2" t="s">
        <v>114</v>
      </c>
      <c r="S516" s="2" t="s">
        <v>730</v>
      </c>
      <c r="T516" s="2" t="s">
        <v>731</v>
      </c>
      <c r="U516" s="2" t="s">
        <v>29</v>
      </c>
      <c r="V516" s="2" t="n">
        <v>1</v>
      </c>
    </row>
    <row r="517">
      <c r="A517" s="2" t="n">
        <v>516</v>
      </c>
      <c r="B517" s="2" t="s">
        <v>5776</v>
      </c>
      <c r="C517" s="2" t="n">
        <v>350.109269897</v>
      </c>
      <c r="D517" s="2" t="n">
        <v>3.05385615116224</v>
      </c>
      <c r="E517" s="2" t="s">
        <v>5777</v>
      </c>
      <c r="F517" s="2" t="s">
        <v>24</v>
      </c>
      <c r="G517" s="2" t="s">
        <v>5778</v>
      </c>
      <c r="H517" s="2" t="s">
        <v>5779</v>
      </c>
      <c r="I517" s="2" t="s">
        <v>5780</v>
      </c>
      <c r="J517" s="2" t="s">
        <v>5781</v>
      </c>
      <c r="K517" s="2" t="s">
        <v>195</v>
      </c>
      <c r="L517" s="2" t="s">
        <v>5782</v>
      </c>
      <c r="M517" s="2" t="s">
        <v>5783</v>
      </c>
      <c r="N517" s="2" t="s">
        <v>5784</v>
      </c>
      <c r="O517" s="2" t="s">
        <v>5785</v>
      </c>
      <c r="P517" s="2" t="s">
        <v>5786</v>
      </c>
      <c r="Q517" s="2" t="s">
        <v>5787</v>
      </c>
      <c r="R517" s="2" t="s">
        <v>5788</v>
      </c>
      <c r="S517" s="2" t="s">
        <v>5789</v>
      </c>
      <c r="T517" s="2" t="s">
        <v>5790</v>
      </c>
      <c r="U517" s="2" t="s">
        <v>56</v>
      </c>
      <c r="V517" s="2" t="n">
        <v>3</v>
      </c>
    </row>
    <row r="518">
      <c r="A518" s="2" t="n">
        <v>517</v>
      </c>
      <c r="B518" s="2" t="s">
        <v>5791</v>
      </c>
      <c r="C518" s="2" t="n">
        <v>350.210360547</v>
      </c>
      <c r="D518" s="2" t="n">
        <v>0.395343639809071</v>
      </c>
      <c r="E518" s="2" t="s">
        <v>5792</v>
      </c>
      <c r="F518" s="2" t="s">
        <v>86</v>
      </c>
      <c r="G518" s="2" t="s">
        <v>5793</v>
      </c>
      <c r="H518" s="2" t="s">
        <v>5794</v>
      </c>
      <c r="I518" s="2" t="s">
        <v>5795</v>
      </c>
      <c r="J518" s="2" t="s">
        <v>5796</v>
      </c>
      <c r="K518" s="2" t="s">
        <v>5797</v>
      </c>
      <c r="L518" s="2" t="s">
        <v>5798</v>
      </c>
      <c r="M518" s="2" t="s">
        <v>5799</v>
      </c>
      <c r="N518" s="2" t="s">
        <v>5800</v>
      </c>
      <c r="O518" s="2" t="s">
        <v>5801</v>
      </c>
      <c r="P518" s="2" t="s">
        <v>5802</v>
      </c>
      <c r="Q518" s="2" t="s">
        <v>5803</v>
      </c>
      <c r="R518" s="2" t="s">
        <v>794</v>
      </c>
      <c r="S518" s="2" t="s">
        <v>795</v>
      </c>
      <c r="T518" s="2" t="s">
        <v>1870</v>
      </c>
      <c r="U518" s="2" t="s">
        <v>56</v>
      </c>
      <c r="V518" s="2" t="n">
        <v>1</v>
      </c>
    </row>
    <row r="519">
      <c r="A519" s="2" t="n">
        <v>518</v>
      </c>
      <c r="B519" s="2" t="s">
        <v>5804</v>
      </c>
      <c r="C519" s="2" t="n">
        <v>351.064090244</v>
      </c>
      <c r="D519" s="2" t="n">
        <v>1.21098899809738</v>
      </c>
      <c r="E519" s="2" t="s">
        <v>5805</v>
      </c>
      <c r="F519" s="2" t="s">
        <v>86</v>
      </c>
      <c r="G519" s="2" t="s">
        <v>5806</v>
      </c>
      <c r="H519" s="2" t="s">
        <v>5807</v>
      </c>
      <c r="I519" s="2" t="s">
        <v>5808</v>
      </c>
      <c r="J519" s="2" t="s">
        <v>5809</v>
      </c>
      <c r="K519" s="2" t="s">
        <v>5810</v>
      </c>
      <c r="L519" s="2" t="s">
        <v>5811</v>
      </c>
      <c r="M519" s="2" t="s">
        <v>5812</v>
      </c>
      <c r="N519" s="2" t="s">
        <v>5813</v>
      </c>
      <c r="O519" s="2" t="s">
        <v>5814</v>
      </c>
      <c r="P519" s="2" t="s">
        <v>5815</v>
      </c>
      <c r="Q519" s="2" t="s">
        <v>5816</v>
      </c>
      <c r="R519" s="2" t="s">
        <v>5817</v>
      </c>
      <c r="S519" s="2" t="s">
        <v>5818</v>
      </c>
      <c r="T519" s="2" t="s">
        <v>5819</v>
      </c>
      <c r="U519" s="2" t="s">
        <v>101</v>
      </c>
      <c r="V519" s="2" t="n">
        <v>3</v>
      </c>
    </row>
    <row r="520">
      <c r="A520" s="2" t="n">
        <v>519</v>
      </c>
      <c r="B520" s="2" t="s">
        <v>5820</v>
      </c>
      <c r="C520" s="2" t="n">
        <v>351.114827923</v>
      </c>
      <c r="D520" s="2" t="n">
        <v>0.578212090789994</v>
      </c>
      <c r="E520" s="2" t="s">
        <v>5821</v>
      </c>
      <c r="F520" s="2" t="s">
        <v>24</v>
      </c>
      <c r="G520" s="2" t="s">
        <v>5822</v>
      </c>
      <c r="H520" s="2" t="s">
        <v>5823</v>
      </c>
      <c r="I520" s="2" t="s">
        <v>5824</v>
      </c>
      <c r="J520" s="2" t="s">
        <v>5825</v>
      </c>
      <c r="K520" s="2" t="s">
        <v>29</v>
      </c>
      <c r="L520" s="2" t="s">
        <v>29</v>
      </c>
      <c r="M520" s="2" t="s">
        <v>5826</v>
      </c>
      <c r="N520" s="2" t="s">
        <v>5827</v>
      </c>
      <c r="O520" s="2" t="s">
        <v>5828</v>
      </c>
      <c r="P520" s="2" t="s">
        <v>5829</v>
      </c>
      <c r="Q520" s="2" t="s">
        <v>5830</v>
      </c>
      <c r="R520" s="2" t="s">
        <v>114</v>
      </c>
      <c r="S520" s="2" t="s">
        <v>5831</v>
      </c>
      <c r="T520" s="2" t="s">
        <v>5832</v>
      </c>
      <c r="U520" s="2" t="s">
        <v>56</v>
      </c>
      <c r="V520" s="2" t="n">
        <v>1</v>
      </c>
    </row>
    <row r="521">
      <c r="A521" s="2" t="n">
        <v>520</v>
      </c>
      <c r="B521" s="2" t="s">
        <v>5833</v>
      </c>
      <c r="C521" s="2" t="n">
        <v>351.20780215</v>
      </c>
      <c r="D521" s="2" t="n">
        <v>4.86051695497448</v>
      </c>
      <c r="E521" s="2" t="s">
        <v>5834</v>
      </c>
      <c r="F521" s="2" t="s">
        <v>24</v>
      </c>
      <c r="G521" s="2" t="s">
        <v>5835</v>
      </c>
      <c r="H521" s="2" t="s">
        <v>5836</v>
      </c>
      <c r="I521" s="2" t="s">
        <v>5837</v>
      </c>
      <c r="J521" s="2" t="s">
        <v>5838</v>
      </c>
      <c r="K521" s="2" t="s">
        <v>91</v>
      </c>
      <c r="L521" s="2" t="s">
        <v>5839</v>
      </c>
      <c r="M521" s="2" t="s">
        <v>5840</v>
      </c>
      <c r="N521" s="2" t="s">
        <v>5841</v>
      </c>
      <c r="O521" s="2" t="s">
        <v>5842</v>
      </c>
      <c r="P521" s="2" t="s">
        <v>5843</v>
      </c>
      <c r="Q521" s="2" t="s">
        <v>5844</v>
      </c>
      <c r="R521" s="2" t="s">
        <v>770</v>
      </c>
      <c r="S521" s="2" t="s">
        <v>771</v>
      </c>
      <c r="T521" s="2" t="s">
        <v>5845</v>
      </c>
      <c r="U521" s="2" t="s">
        <v>101</v>
      </c>
      <c r="V521" s="2" t="n">
        <v>2</v>
      </c>
    </row>
    <row r="522">
      <c r="A522" s="2" t="n">
        <v>521</v>
      </c>
      <c r="B522" s="2" t="s">
        <v>5846</v>
      </c>
      <c r="C522" s="2" t="n">
        <v>352.212942799</v>
      </c>
      <c r="D522" s="2" t="n">
        <v>12.1353133500254</v>
      </c>
      <c r="E522" s="2" t="s">
        <v>5847</v>
      </c>
      <c r="F522" s="2" t="s">
        <v>205</v>
      </c>
      <c r="G522" s="2" t="s">
        <v>5848</v>
      </c>
      <c r="H522" s="2" t="s">
        <v>5849</v>
      </c>
      <c r="I522" s="2" t="s">
        <v>5850</v>
      </c>
      <c r="J522" s="2" t="s">
        <v>5851</v>
      </c>
      <c r="K522" s="2" t="s">
        <v>5852</v>
      </c>
      <c r="L522" s="2" t="s">
        <v>5853</v>
      </c>
      <c r="M522" s="2" t="s">
        <v>5854</v>
      </c>
      <c r="N522" s="2" t="s">
        <v>5855</v>
      </c>
      <c r="O522" s="2" t="s">
        <v>5856</v>
      </c>
      <c r="P522" s="2" t="s">
        <v>5857</v>
      </c>
      <c r="Q522" s="2" t="s">
        <v>5858</v>
      </c>
      <c r="R522" s="2" t="s">
        <v>186</v>
      </c>
      <c r="S522" s="2" t="s">
        <v>357</v>
      </c>
      <c r="T522" s="2" t="s">
        <v>5859</v>
      </c>
      <c r="U522" s="2" t="s">
        <v>56</v>
      </c>
      <c r="V522" s="2" t="n">
        <v>1</v>
      </c>
    </row>
    <row r="523">
      <c r="A523" s="2" t="n">
        <v>522</v>
      </c>
      <c r="B523" s="2" t="s">
        <v>5860</v>
      </c>
      <c r="C523" s="2" t="n">
        <v>353.171806266</v>
      </c>
      <c r="D523" s="2" t="n">
        <v>4.91664228032356</v>
      </c>
      <c r="E523" s="2" t="s">
        <v>5861</v>
      </c>
      <c r="F523" s="2" t="s">
        <v>205</v>
      </c>
      <c r="G523" s="2" t="s">
        <v>5862</v>
      </c>
      <c r="H523" s="2" t="s">
        <v>5863</v>
      </c>
      <c r="I523" s="2" t="s">
        <v>5864</v>
      </c>
      <c r="J523" s="2" t="s">
        <v>5865</v>
      </c>
      <c r="K523" s="2" t="s">
        <v>29</v>
      </c>
      <c r="L523" s="2" t="s">
        <v>29</v>
      </c>
      <c r="M523" s="2" t="s">
        <v>29</v>
      </c>
      <c r="N523" s="2" t="s">
        <v>5866</v>
      </c>
      <c r="O523" s="2" t="s">
        <v>5867</v>
      </c>
      <c r="P523" s="2" t="s">
        <v>5868</v>
      </c>
      <c r="Q523" s="2" t="s">
        <v>5869</v>
      </c>
      <c r="R523" s="2" t="s">
        <v>114</v>
      </c>
      <c r="S523" s="2" t="s">
        <v>2057</v>
      </c>
      <c r="T523" s="2" t="s">
        <v>5603</v>
      </c>
      <c r="U523" s="2" t="s">
        <v>56</v>
      </c>
      <c r="V523" s="2" t="n">
        <v>1</v>
      </c>
    </row>
    <row r="524">
      <c r="A524" s="2" t="n">
        <v>523</v>
      </c>
      <c r="B524" s="2" t="s">
        <v>5870</v>
      </c>
      <c r="C524" s="2" t="n">
        <v>354.074774967</v>
      </c>
      <c r="D524" s="2" t="n">
        <v>3.30131100279813</v>
      </c>
      <c r="E524" s="2" t="s">
        <v>5871</v>
      </c>
      <c r="F524" s="2" t="s">
        <v>531</v>
      </c>
      <c r="G524" s="2" t="s">
        <v>5872</v>
      </c>
      <c r="H524" s="2" t="s">
        <v>5873</v>
      </c>
      <c r="I524" s="2" t="s">
        <v>5874</v>
      </c>
      <c r="J524" s="2" t="s">
        <v>5875</v>
      </c>
      <c r="K524" s="2" t="s">
        <v>29</v>
      </c>
      <c r="L524" s="2" t="s">
        <v>5876</v>
      </c>
      <c r="M524" s="2" t="s">
        <v>29</v>
      </c>
      <c r="N524" s="2" t="s">
        <v>5877</v>
      </c>
      <c r="O524" s="2" t="s">
        <v>5878</v>
      </c>
      <c r="P524" s="2" t="s">
        <v>5879</v>
      </c>
      <c r="Q524" s="2" t="s">
        <v>5880</v>
      </c>
      <c r="R524" s="2" t="s">
        <v>114</v>
      </c>
      <c r="S524" s="2" t="s">
        <v>2057</v>
      </c>
      <c r="T524" s="2" t="s">
        <v>3067</v>
      </c>
      <c r="U524" s="2" t="s">
        <v>101</v>
      </c>
      <c r="V524" s="2" t="n">
        <v>1</v>
      </c>
    </row>
    <row r="525">
      <c r="A525" s="2" t="n">
        <v>524</v>
      </c>
      <c r="B525" s="2" t="s">
        <v>5881</v>
      </c>
      <c r="C525" s="2" t="n">
        <v>354.162324819</v>
      </c>
      <c r="D525" s="2" t="n">
        <v>2.62906821937549</v>
      </c>
      <c r="E525" s="2" t="s">
        <v>5882</v>
      </c>
      <c r="F525" s="2" t="s">
        <v>205</v>
      </c>
      <c r="G525" s="2" t="s">
        <v>5883</v>
      </c>
      <c r="H525" s="2" t="s">
        <v>5884</v>
      </c>
      <c r="I525" s="2" t="s">
        <v>5885</v>
      </c>
      <c r="J525" s="2" t="s">
        <v>5886</v>
      </c>
      <c r="K525" s="2" t="s">
        <v>29</v>
      </c>
      <c r="L525" s="2" t="s">
        <v>5887</v>
      </c>
      <c r="M525" s="2" t="s">
        <v>29</v>
      </c>
      <c r="N525" s="2" t="s">
        <v>5888</v>
      </c>
      <c r="O525" s="2" t="s">
        <v>5889</v>
      </c>
      <c r="P525" s="2" t="s">
        <v>5890</v>
      </c>
      <c r="Q525" s="2" t="s">
        <v>5891</v>
      </c>
      <c r="R525" s="2" t="s">
        <v>114</v>
      </c>
      <c r="S525" s="2" t="s">
        <v>3757</v>
      </c>
      <c r="T525" s="2" t="s">
        <v>215</v>
      </c>
      <c r="U525" s="2" t="s">
        <v>101</v>
      </c>
      <c r="V525" s="2" t="n">
        <v>1</v>
      </c>
    </row>
    <row r="526">
      <c r="A526" s="2" t="n">
        <v>525</v>
      </c>
      <c r="B526" s="2" t="s">
        <v>5892</v>
      </c>
      <c r="C526" s="2" t="n">
        <v>354.220531307</v>
      </c>
      <c r="D526" s="2" t="n">
        <v>2.61628637066926</v>
      </c>
      <c r="E526" s="2" t="s">
        <v>5893</v>
      </c>
      <c r="F526" s="2" t="s">
        <v>86</v>
      </c>
      <c r="G526" s="2" t="s">
        <v>5894</v>
      </c>
      <c r="H526" s="2" t="s">
        <v>5895</v>
      </c>
      <c r="I526" s="2" t="s">
        <v>5896</v>
      </c>
      <c r="J526" s="2" t="s">
        <v>29</v>
      </c>
      <c r="K526" s="2" t="s">
        <v>29</v>
      </c>
      <c r="L526" s="2" t="s">
        <v>29</v>
      </c>
      <c r="M526" s="2" t="s">
        <v>29</v>
      </c>
      <c r="N526" s="2" t="s">
        <v>29</v>
      </c>
      <c r="O526" s="2" t="s">
        <v>29</v>
      </c>
      <c r="P526" s="2" t="s">
        <v>5897</v>
      </c>
      <c r="Q526" s="2" t="s">
        <v>5898</v>
      </c>
      <c r="R526" s="2" t="s">
        <v>114</v>
      </c>
      <c r="S526" s="2" t="s">
        <v>936</v>
      </c>
      <c r="T526" s="2" t="s">
        <v>1749</v>
      </c>
      <c r="U526" s="2" t="s">
        <v>29</v>
      </c>
      <c r="V526" s="2" t="n">
        <v>1</v>
      </c>
    </row>
    <row r="527">
      <c r="A527" s="2" t="n">
        <v>526</v>
      </c>
      <c r="B527" s="2" t="s">
        <v>5899</v>
      </c>
      <c r="C527" s="2" t="n">
        <v>354.9282946</v>
      </c>
      <c r="D527" s="2" t="n">
        <v>3.76926707476985</v>
      </c>
      <c r="E527" s="2" t="s">
        <v>5900</v>
      </c>
      <c r="F527" s="2" t="s">
        <v>161</v>
      </c>
      <c r="G527" s="2" t="s">
        <v>5901</v>
      </c>
      <c r="H527" s="2" t="s">
        <v>5902</v>
      </c>
      <c r="I527" s="2" t="s">
        <v>5903</v>
      </c>
      <c r="J527" s="2" t="s">
        <v>29</v>
      </c>
      <c r="K527" s="2" t="s">
        <v>29</v>
      </c>
      <c r="L527" s="2" t="s">
        <v>29</v>
      </c>
      <c r="M527" s="2" t="s">
        <v>29</v>
      </c>
      <c r="N527" s="2" t="s">
        <v>5904</v>
      </c>
      <c r="O527" s="2" t="s">
        <v>29</v>
      </c>
      <c r="P527" s="2" t="s">
        <v>5905</v>
      </c>
      <c r="Q527" s="2" t="s">
        <v>5906</v>
      </c>
      <c r="R527" s="2" t="s">
        <v>186</v>
      </c>
      <c r="S527" s="2" t="s">
        <v>187</v>
      </c>
      <c r="T527" s="2" t="s">
        <v>2791</v>
      </c>
      <c r="U527" s="2" t="s">
        <v>29</v>
      </c>
      <c r="V527" s="2" t="n">
        <v>1</v>
      </c>
    </row>
    <row r="528">
      <c r="A528" s="2" t="n">
        <v>527</v>
      </c>
      <c r="B528" s="2" t="s">
        <v>5907</v>
      </c>
      <c r="C528" s="2" t="n">
        <v>355.035430703</v>
      </c>
      <c r="D528" s="2" t="n">
        <v>3.40284238738928</v>
      </c>
      <c r="E528" s="2" t="s">
        <v>5908</v>
      </c>
      <c r="F528" s="2" t="s">
        <v>86</v>
      </c>
      <c r="G528" s="2" t="s">
        <v>5909</v>
      </c>
      <c r="H528" s="2" t="s">
        <v>5910</v>
      </c>
      <c r="I528" s="2" t="s">
        <v>5911</v>
      </c>
      <c r="J528" s="2" t="s">
        <v>5912</v>
      </c>
      <c r="K528" s="2" t="s">
        <v>29</v>
      </c>
      <c r="L528" s="2" t="s">
        <v>29</v>
      </c>
      <c r="M528" s="2" t="s">
        <v>29</v>
      </c>
      <c r="N528" s="2" t="s">
        <v>5913</v>
      </c>
      <c r="O528" s="2" t="s">
        <v>29</v>
      </c>
      <c r="P528" s="2" t="s">
        <v>5914</v>
      </c>
      <c r="Q528" s="2" t="s">
        <v>5915</v>
      </c>
      <c r="R528" s="2" t="s">
        <v>1355</v>
      </c>
      <c r="S528" s="2" t="s">
        <v>3298</v>
      </c>
      <c r="T528" s="2" t="s">
        <v>215</v>
      </c>
      <c r="U528" s="2" t="s">
        <v>29</v>
      </c>
      <c r="V528" s="2" t="n">
        <v>1</v>
      </c>
    </row>
    <row r="529">
      <c r="A529" s="2" t="n">
        <v>528</v>
      </c>
      <c r="B529" s="2" t="s">
        <v>5916</v>
      </c>
      <c r="C529" s="2" t="n">
        <v>355.088200104</v>
      </c>
      <c r="D529" s="2" t="n">
        <v>2.83290123164981</v>
      </c>
      <c r="E529" s="2" t="s">
        <v>5917</v>
      </c>
      <c r="F529" s="2" t="s">
        <v>24</v>
      </c>
      <c r="G529" s="2" t="s">
        <v>5918</v>
      </c>
      <c r="H529" s="2" t="s">
        <v>5919</v>
      </c>
      <c r="I529" s="2" t="s">
        <v>5920</v>
      </c>
      <c r="J529" s="2" t="s">
        <v>29</v>
      </c>
      <c r="K529" s="2" t="s">
        <v>29</v>
      </c>
      <c r="L529" s="2" t="s">
        <v>29</v>
      </c>
      <c r="M529" s="2" t="s">
        <v>5921</v>
      </c>
      <c r="N529" s="2" t="s">
        <v>5922</v>
      </c>
      <c r="O529" s="2" t="s">
        <v>5923</v>
      </c>
      <c r="P529" s="2" t="s">
        <v>5924</v>
      </c>
      <c r="Q529" s="2" t="s">
        <v>5925</v>
      </c>
      <c r="R529" s="2" t="s">
        <v>129</v>
      </c>
      <c r="S529" s="2" t="s">
        <v>130</v>
      </c>
      <c r="T529" s="2" t="s">
        <v>1681</v>
      </c>
      <c r="U529" s="2" t="s">
        <v>56</v>
      </c>
      <c r="V529" s="2" t="n">
        <v>1</v>
      </c>
    </row>
    <row r="530">
      <c r="A530" s="2" t="n">
        <v>529</v>
      </c>
      <c r="B530" s="2" t="s">
        <v>5926</v>
      </c>
      <c r="C530" s="2" t="n">
        <v>355.186788824</v>
      </c>
      <c r="D530" s="2" t="n">
        <v>4.65898415225123</v>
      </c>
      <c r="E530" s="2" t="s">
        <v>5927</v>
      </c>
      <c r="F530" s="2" t="s">
        <v>86</v>
      </c>
      <c r="G530" s="2" t="s">
        <v>5928</v>
      </c>
      <c r="H530" s="2" t="s">
        <v>5929</v>
      </c>
      <c r="I530" s="2" t="s">
        <v>5930</v>
      </c>
      <c r="J530" s="2" t="s">
        <v>29</v>
      </c>
      <c r="K530" s="2" t="s">
        <v>29</v>
      </c>
      <c r="L530" s="2" t="s">
        <v>29</v>
      </c>
      <c r="M530" s="2" t="s">
        <v>29</v>
      </c>
      <c r="N530" s="2" t="s">
        <v>5931</v>
      </c>
      <c r="O530" s="2" t="s">
        <v>29</v>
      </c>
      <c r="P530" s="2" t="s">
        <v>5932</v>
      </c>
      <c r="Q530" s="2" t="s">
        <v>5933</v>
      </c>
      <c r="R530" s="2" t="s">
        <v>794</v>
      </c>
      <c r="S530" s="2" t="s">
        <v>2971</v>
      </c>
      <c r="T530" s="2" t="s">
        <v>5934</v>
      </c>
      <c r="U530" s="2" t="s">
        <v>29</v>
      </c>
      <c r="V530" s="2" t="n">
        <v>1</v>
      </c>
    </row>
    <row r="531">
      <c r="A531" s="2" t="n">
        <v>530</v>
      </c>
      <c r="B531" s="2" t="s">
        <v>5935</v>
      </c>
      <c r="C531" s="2" t="n">
        <v>355.26184746</v>
      </c>
      <c r="D531" s="2" t="n">
        <v>13.733142123731</v>
      </c>
      <c r="E531" s="2" t="s">
        <v>5936</v>
      </c>
      <c r="F531" s="2" t="s">
        <v>531</v>
      </c>
      <c r="G531" s="2" t="s">
        <v>5937</v>
      </c>
      <c r="H531" s="2" t="s">
        <v>5938</v>
      </c>
      <c r="I531" s="2" t="s">
        <v>5939</v>
      </c>
      <c r="J531" s="2" t="s">
        <v>5940</v>
      </c>
      <c r="K531" s="2" t="s">
        <v>5941</v>
      </c>
      <c r="L531" s="2" t="s">
        <v>29</v>
      </c>
      <c r="M531" s="2" t="s">
        <v>5942</v>
      </c>
      <c r="N531" s="2" t="s">
        <v>5943</v>
      </c>
      <c r="O531" s="2" t="s">
        <v>5944</v>
      </c>
      <c r="P531" s="2" t="s">
        <v>5945</v>
      </c>
      <c r="Q531" s="2" t="s">
        <v>5946</v>
      </c>
      <c r="R531" s="2" t="s">
        <v>794</v>
      </c>
      <c r="S531" s="2" t="s">
        <v>795</v>
      </c>
      <c r="T531" s="2" t="s">
        <v>796</v>
      </c>
      <c r="U531" s="2" t="s">
        <v>56</v>
      </c>
      <c r="V531" s="2" t="n">
        <v>1</v>
      </c>
    </row>
    <row r="532">
      <c r="A532" s="2" t="n">
        <v>531</v>
      </c>
      <c r="B532" s="2" t="s">
        <v>5947</v>
      </c>
      <c r="C532" s="2" t="n">
        <v>356.117332639</v>
      </c>
      <c r="D532" s="2" t="n">
        <v>1.21581382472107</v>
      </c>
      <c r="E532" s="2" t="s">
        <v>5948</v>
      </c>
      <c r="F532" s="2" t="s">
        <v>24</v>
      </c>
      <c r="G532" s="2" t="s">
        <v>5949</v>
      </c>
      <c r="H532" s="2" t="s">
        <v>5950</v>
      </c>
      <c r="I532" s="2" t="s">
        <v>5951</v>
      </c>
      <c r="J532" s="2" t="s">
        <v>29</v>
      </c>
      <c r="K532" s="2" t="s">
        <v>29</v>
      </c>
      <c r="L532" s="2" t="s">
        <v>29</v>
      </c>
      <c r="M532" s="2" t="s">
        <v>29</v>
      </c>
      <c r="N532" s="2" t="s">
        <v>5952</v>
      </c>
      <c r="O532" s="2" t="s">
        <v>5953</v>
      </c>
      <c r="P532" s="2" t="s">
        <v>5954</v>
      </c>
      <c r="Q532" s="2" t="s">
        <v>5955</v>
      </c>
      <c r="R532" s="2" t="s">
        <v>129</v>
      </c>
      <c r="S532" s="2" t="s">
        <v>130</v>
      </c>
      <c r="T532" s="2" t="s">
        <v>1681</v>
      </c>
      <c r="U532" s="2" t="s">
        <v>56</v>
      </c>
      <c r="V532" s="2" t="n">
        <v>1</v>
      </c>
    </row>
    <row r="533">
      <c r="A533" s="2" t="n">
        <v>532</v>
      </c>
      <c r="B533" s="2" t="s">
        <v>5956</v>
      </c>
      <c r="C533" s="2" t="n">
        <v>356.193942989</v>
      </c>
      <c r="D533" s="2" t="n">
        <v>1.10634429952796</v>
      </c>
      <c r="E533" s="2" t="s">
        <v>5957</v>
      </c>
      <c r="F533" s="2" t="s">
        <v>24</v>
      </c>
      <c r="G533" s="2" t="s">
        <v>5958</v>
      </c>
      <c r="H533" s="2" t="s">
        <v>5959</v>
      </c>
      <c r="I533" s="2" t="s">
        <v>5960</v>
      </c>
      <c r="J533" s="2" t="s">
        <v>29</v>
      </c>
      <c r="K533" s="2" t="s">
        <v>29</v>
      </c>
      <c r="L533" s="2" t="s">
        <v>29</v>
      </c>
      <c r="M533" s="2" t="s">
        <v>29</v>
      </c>
      <c r="N533" s="2" t="s">
        <v>5961</v>
      </c>
      <c r="O533" s="2" t="s">
        <v>29</v>
      </c>
      <c r="P533" s="2" t="s">
        <v>5962</v>
      </c>
      <c r="Q533" s="2" t="s">
        <v>5963</v>
      </c>
      <c r="R533" s="2" t="s">
        <v>36</v>
      </c>
      <c r="S533" s="2" t="s">
        <v>37</v>
      </c>
      <c r="T533" s="2" t="s">
        <v>69</v>
      </c>
      <c r="U533" s="2" t="s">
        <v>29</v>
      </c>
      <c r="V533" s="2" t="n">
        <v>1</v>
      </c>
    </row>
    <row r="534">
      <c r="A534" s="2" t="n">
        <v>533</v>
      </c>
      <c r="B534" s="2" t="s">
        <v>5964</v>
      </c>
      <c r="C534" s="2" t="n">
        <v>357.096653665</v>
      </c>
      <c r="D534" s="2" t="n">
        <v>2.71798742524348</v>
      </c>
      <c r="E534" s="2" t="s">
        <v>5965</v>
      </c>
      <c r="F534" s="2" t="s">
        <v>86</v>
      </c>
      <c r="G534" s="2" t="s">
        <v>5966</v>
      </c>
      <c r="H534" s="2" t="s">
        <v>5967</v>
      </c>
      <c r="I534" s="2" t="s">
        <v>5968</v>
      </c>
      <c r="J534" s="2" t="s">
        <v>29</v>
      </c>
      <c r="K534" s="2" t="s">
        <v>29</v>
      </c>
      <c r="L534" s="2" t="s">
        <v>29</v>
      </c>
      <c r="M534" s="2" t="s">
        <v>29</v>
      </c>
      <c r="N534" s="2" t="s">
        <v>5969</v>
      </c>
      <c r="O534" s="2" t="s">
        <v>29</v>
      </c>
      <c r="P534" s="2" t="s">
        <v>5970</v>
      </c>
      <c r="Q534" s="2" t="s">
        <v>5971</v>
      </c>
      <c r="R534" s="2" t="s">
        <v>36</v>
      </c>
      <c r="S534" s="2" t="s">
        <v>37</v>
      </c>
      <c r="T534" s="2" t="s">
        <v>242</v>
      </c>
      <c r="U534" s="2" t="s">
        <v>29</v>
      </c>
      <c r="V534" s="2" t="n">
        <v>1</v>
      </c>
    </row>
    <row r="535">
      <c r="A535" s="2" t="n">
        <v>534</v>
      </c>
      <c r="B535" s="2" t="s">
        <v>5972</v>
      </c>
      <c r="C535" s="2" t="n">
        <v>357.18937538</v>
      </c>
      <c r="D535" s="2" t="n">
        <v>2.07512087074887</v>
      </c>
      <c r="E535" s="2" t="s">
        <v>5973</v>
      </c>
      <c r="F535" s="2" t="s">
        <v>24</v>
      </c>
      <c r="G535" s="2" t="s">
        <v>5974</v>
      </c>
      <c r="H535" s="2" t="s">
        <v>5975</v>
      </c>
      <c r="I535" s="2" t="s">
        <v>5976</v>
      </c>
      <c r="J535" s="2" t="s">
        <v>91</v>
      </c>
      <c r="K535" s="2" t="s">
        <v>91</v>
      </c>
      <c r="L535" s="2" t="s">
        <v>91</v>
      </c>
      <c r="M535" s="2" t="s">
        <v>91</v>
      </c>
      <c r="N535" s="2" t="s">
        <v>5977</v>
      </c>
      <c r="O535" s="2" t="s">
        <v>91</v>
      </c>
      <c r="P535" s="2" t="s">
        <v>5978</v>
      </c>
      <c r="Q535" s="2" t="s">
        <v>5979</v>
      </c>
      <c r="R535" s="2" t="s">
        <v>5980</v>
      </c>
      <c r="S535" s="2" t="s">
        <v>5981</v>
      </c>
      <c r="T535" s="2" t="s">
        <v>5982</v>
      </c>
      <c r="U535" s="2" t="s">
        <v>29</v>
      </c>
      <c r="V535" s="2" t="n">
        <v>2</v>
      </c>
    </row>
    <row r="536">
      <c r="A536" s="2" t="n">
        <v>535</v>
      </c>
      <c r="B536" s="2" t="s">
        <v>5983</v>
      </c>
      <c r="C536" s="2" t="n">
        <v>357.27990446</v>
      </c>
      <c r="D536" s="2" t="n">
        <v>11.8549787127218</v>
      </c>
      <c r="E536" s="2" t="s">
        <v>5984</v>
      </c>
      <c r="F536" s="2" t="s">
        <v>24</v>
      </c>
      <c r="G536" s="2" t="s">
        <v>5985</v>
      </c>
      <c r="H536" s="2" t="s">
        <v>5986</v>
      </c>
      <c r="I536" s="2" t="s">
        <v>5987</v>
      </c>
      <c r="J536" s="2" t="s">
        <v>5988</v>
      </c>
      <c r="K536" s="2" t="s">
        <v>5989</v>
      </c>
      <c r="L536" s="2" t="s">
        <v>91</v>
      </c>
      <c r="M536" s="2" t="s">
        <v>5990</v>
      </c>
      <c r="N536" s="2" t="s">
        <v>5991</v>
      </c>
      <c r="O536" s="2" t="s">
        <v>91</v>
      </c>
      <c r="P536" s="2" t="s">
        <v>5992</v>
      </c>
      <c r="Q536" s="2" t="s">
        <v>5993</v>
      </c>
      <c r="R536" s="2" t="s">
        <v>412</v>
      </c>
      <c r="S536" s="2" t="s">
        <v>413</v>
      </c>
      <c r="T536" s="2" t="s">
        <v>414</v>
      </c>
      <c r="U536" s="2" t="s">
        <v>56</v>
      </c>
      <c r="V536" s="2" t="n">
        <v>2</v>
      </c>
    </row>
    <row r="537">
      <c r="A537" s="2" t="n">
        <v>536</v>
      </c>
      <c r="B537" s="2" t="s">
        <v>5994</v>
      </c>
      <c r="C537" s="2" t="n">
        <v>358.288216939</v>
      </c>
      <c r="D537" s="2" t="n">
        <v>10.5447652797708</v>
      </c>
      <c r="E537" s="2" t="s">
        <v>5995</v>
      </c>
      <c r="F537" s="2" t="s">
        <v>86</v>
      </c>
      <c r="G537" s="2" t="s">
        <v>5996</v>
      </c>
      <c r="H537" s="2" t="s">
        <v>5997</v>
      </c>
      <c r="I537" s="2" t="s">
        <v>5998</v>
      </c>
      <c r="J537" s="2" t="s">
        <v>5999</v>
      </c>
      <c r="K537" s="2" t="s">
        <v>29</v>
      </c>
      <c r="L537" s="2" t="s">
        <v>29</v>
      </c>
      <c r="M537" s="2" t="s">
        <v>29</v>
      </c>
      <c r="N537" s="2" t="s">
        <v>6000</v>
      </c>
      <c r="O537" s="2" t="s">
        <v>6001</v>
      </c>
      <c r="P537" s="2" t="s">
        <v>6002</v>
      </c>
      <c r="Q537" s="2" t="s">
        <v>6003</v>
      </c>
      <c r="R537" s="2" t="s">
        <v>114</v>
      </c>
      <c r="S537" s="2" t="s">
        <v>6004</v>
      </c>
      <c r="T537" s="2" t="s">
        <v>6005</v>
      </c>
      <c r="U537" s="2" t="s">
        <v>56</v>
      </c>
      <c r="V537" s="2" t="n">
        <v>1</v>
      </c>
    </row>
    <row r="538">
      <c r="A538" s="2" t="n">
        <v>537</v>
      </c>
      <c r="B538" s="2" t="s">
        <v>6006</v>
      </c>
      <c r="C538" s="2" t="n">
        <v>359.116794516</v>
      </c>
      <c r="D538" s="2" t="n">
        <v>0.520906824669469</v>
      </c>
      <c r="E538" s="2" t="s">
        <v>6007</v>
      </c>
      <c r="F538" s="2" t="s">
        <v>86</v>
      </c>
      <c r="G538" s="2" t="s">
        <v>6008</v>
      </c>
      <c r="H538" s="2" t="s">
        <v>6009</v>
      </c>
      <c r="I538" s="2" t="s">
        <v>6010</v>
      </c>
      <c r="J538" s="2" t="s">
        <v>29</v>
      </c>
      <c r="K538" s="2" t="s">
        <v>29</v>
      </c>
      <c r="L538" s="2" t="s">
        <v>6011</v>
      </c>
      <c r="M538" s="2" t="s">
        <v>29</v>
      </c>
      <c r="N538" s="2" t="s">
        <v>6012</v>
      </c>
      <c r="O538" s="2" t="s">
        <v>6013</v>
      </c>
      <c r="P538" s="2" t="s">
        <v>6014</v>
      </c>
      <c r="Q538" s="2" t="s">
        <v>6015</v>
      </c>
      <c r="R538" s="2" t="s">
        <v>114</v>
      </c>
      <c r="S538" s="2" t="s">
        <v>994</v>
      </c>
      <c r="T538" s="2" t="s">
        <v>1611</v>
      </c>
      <c r="U538" s="2" t="s">
        <v>56</v>
      </c>
      <c r="V538" s="2" t="n">
        <v>1</v>
      </c>
    </row>
    <row r="539">
      <c r="A539" s="2" t="n">
        <v>538</v>
      </c>
      <c r="B539" s="2" t="s">
        <v>6016</v>
      </c>
      <c r="C539" s="2" t="n">
        <v>359.29500421</v>
      </c>
      <c r="D539" s="2" t="n">
        <v>8.4306942033071</v>
      </c>
      <c r="E539" s="2" t="s">
        <v>6017</v>
      </c>
      <c r="F539" s="2" t="s">
        <v>161</v>
      </c>
      <c r="G539" s="2" t="s">
        <v>6018</v>
      </c>
      <c r="H539" s="2" t="s">
        <v>6019</v>
      </c>
      <c r="I539" s="2" t="s">
        <v>6020</v>
      </c>
      <c r="J539" s="2" t="s">
        <v>6021</v>
      </c>
      <c r="K539" s="2" t="s">
        <v>6022</v>
      </c>
      <c r="L539" s="2" t="s">
        <v>29</v>
      </c>
      <c r="M539" s="2" t="s">
        <v>29</v>
      </c>
      <c r="N539" s="2" t="s">
        <v>6023</v>
      </c>
      <c r="O539" s="2" t="s">
        <v>6024</v>
      </c>
      <c r="P539" s="2" t="s">
        <v>6025</v>
      </c>
      <c r="Q539" s="2" t="s">
        <v>6026</v>
      </c>
      <c r="R539" s="2" t="s">
        <v>794</v>
      </c>
      <c r="S539" s="2" t="s">
        <v>795</v>
      </c>
      <c r="T539" s="2" t="s">
        <v>796</v>
      </c>
      <c r="U539" s="2" t="s">
        <v>56</v>
      </c>
      <c r="V539" s="2" t="n">
        <v>1</v>
      </c>
    </row>
    <row r="540">
      <c r="A540" s="2" t="n">
        <v>539</v>
      </c>
      <c r="B540" s="2" t="s">
        <v>6027</v>
      </c>
      <c r="C540" s="2" t="n">
        <v>359.999732623</v>
      </c>
      <c r="D540" s="2" t="n">
        <v>0.518202608565889</v>
      </c>
      <c r="E540" s="2" t="s">
        <v>6028</v>
      </c>
      <c r="F540" s="2" t="s">
        <v>86</v>
      </c>
      <c r="G540" s="2" t="s">
        <v>6029</v>
      </c>
      <c r="H540" s="2" t="s">
        <v>6030</v>
      </c>
      <c r="I540" s="2" t="s">
        <v>6031</v>
      </c>
      <c r="J540" s="2" t="s">
        <v>6032</v>
      </c>
      <c r="K540" s="2" t="s">
        <v>29</v>
      </c>
      <c r="L540" s="2" t="s">
        <v>29</v>
      </c>
      <c r="M540" s="2" t="s">
        <v>6033</v>
      </c>
      <c r="N540" s="2" t="s">
        <v>6034</v>
      </c>
      <c r="O540" s="2" t="s">
        <v>6035</v>
      </c>
      <c r="P540" s="2" t="s">
        <v>6036</v>
      </c>
      <c r="Q540" s="2" t="s">
        <v>6037</v>
      </c>
      <c r="R540" s="2" t="s">
        <v>114</v>
      </c>
      <c r="S540" s="2" t="s">
        <v>680</v>
      </c>
      <c r="T540" s="2" t="s">
        <v>3543</v>
      </c>
      <c r="U540" s="2" t="s">
        <v>29</v>
      </c>
      <c r="V540" s="2" t="n">
        <v>1</v>
      </c>
    </row>
    <row r="541">
      <c r="A541" s="2" t="n">
        <v>540</v>
      </c>
      <c r="B541" s="2" t="s">
        <v>6038</v>
      </c>
      <c r="C541" s="2" t="n">
        <v>360.131338427</v>
      </c>
      <c r="D541" s="2" t="n">
        <v>1.49066476594898</v>
      </c>
      <c r="E541" s="2" t="s">
        <v>6039</v>
      </c>
      <c r="F541" s="2" t="s">
        <v>205</v>
      </c>
      <c r="G541" s="2" t="s">
        <v>6040</v>
      </c>
      <c r="H541" s="2" t="s">
        <v>6041</v>
      </c>
      <c r="I541" s="2" t="s">
        <v>6042</v>
      </c>
      <c r="J541" s="2" t="s">
        <v>29</v>
      </c>
      <c r="K541" s="2" t="s">
        <v>29</v>
      </c>
      <c r="L541" s="2" t="s">
        <v>29</v>
      </c>
      <c r="M541" s="2" t="s">
        <v>29</v>
      </c>
      <c r="N541" s="2" t="s">
        <v>6043</v>
      </c>
      <c r="O541" s="2" t="s">
        <v>29</v>
      </c>
      <c r="P541" s="2" t="s">
        <v>6044</v>
      </c>
      <c r="Q541" s="2" t="s">
        <v>6045</v>
      </c>
      <c r="R541" s="2" t="s">
        <v>114</v>
      </c>
      <c r="S541" s="2" t="s">
        <v>730</v>
      </c>
      <c r="T541" s="2" t="s">
        <v>731</v>
      </c>
      <c r="U541" s="2" t="s">
        <v>29</v>
      </c>
      <c r="V541" s="2" t="n">
        <v>1</v>
      </c>
    </row>
    <row r="542">
      <c r="A542" s="2" t="n">
        <v>541</v>
      </c>
      <c r="B542" s="2" t="s">
        <v>6046</v>
      </c>
      <c r="C542" s="2" t="n">
        <v>360.231095991</v>
      </c>
      <c r="D542" s="2" t="n">
        <v>2.84072708616264</v>
      </c>
      <c r="E542" s="2" t="s">
        <v>6047</v>
      </c>
      <c r="F542" s="2" t="s">
        <v>86</v>
      </c>
      <c r="G542" s="2" t="s">
        <v>6048</v>
      </c>
      <c r="H542" s="2" t="s">
        <v>6049</v>
      </c>
      <c r="I542" s="2" t="s">
        <v>6050</v>
      </c>
      <c r="J542" s="2" t="s">
        <v>29</v>
      </c>
      <c r="K542" s="2" t="s">
        <v>29</v>
      </c>
      <c r="L542" s="2" t="s">
        <v>29</v>
      </c>
      <c r="M542" s="2" t="s">
        <v>29</v>
      </c>
      <c r="N542" s="2" t="s">
        <v>6051</v>
      </c>
      <c r="O542" s="2" t="s">
        <v>29</v>
      </c>
      <c r="P542" s="2" t="s">
        <v>6052</v>
      </c>
      <c r="Q542" s="2" t="s">
        <v>6053</v>
      </c>
      <c r="R542" s="2" t="s">
        <v>36</v>
      </c>
      <c r="S542" s="2" t="s">
        <v>37</v>
      </c>
      <c r="T542" s="2" t="s">
        <v>69</v>
      </c>
      <c r="U542" s="2" t="s">
        <v>29</v>
      </c>
      <c r="V542" s="2" t="n">
        <v>1</v>
      </c>
    </row>
    <row r="543">
      <c r="A543" s="2" t="n">
        <v>542</v>
      </c>
      <c r="B543" s="2" t="s">
        <v>6054</v>
      </c>
      <c r="C543" s="2" t="n">
        <v>360.898962911</v>
      </c>
      <c r="D543" s="2" t="n">
        <v>15.6099100717276</v>
      </c>
      <c r="E543" s="2" t="s">
        <v>6055</v>
      </c>
      <c r="F543" s="2" t="s">
        <v>531</v>
      </c>
      <c r="G543" s="2" t="s">
        <v>6056</v>
      </c>
      <c r="H543" s="2" t="s">
        <v>6057</v>
      </c>
      <c r="I543" s="2" t="s">
        <v>6058</v>
      </c>
      <c r="J543" s="2" t="s">
        <v>29</v>
      </c>
      <c r="K543" s="2" t="s">
        <v>29</v>
      </c>
      <c r="L543" s="2" t="s">
        <v>29</v>
      </c>
      <c r="M543" s="2" t="s">
        <v>29</v>
      </c>
      <c r="N543" s="2" t="s">
        <v>6059</v>
      </c>
      <c r="O543" s="2" t="s">
        <v>29</v>
      </c>
      <c r="P543" s="2" t="s">
        <v>6060</v>
      </c>
      <c r="Q543" s="2" t="s">
        <v>6061</v>
      </c>
      <c r="R543" s="2" t="s">
        <v>186</v>
      </c>
      <c r="S543" s="2" t="s">
        <v>187</v>
      </c>
      <c r="T543" s="2" t="s">
        <v>3996</v>
      </c>
      <c r="U543" s="2" t="s">
        <v>29</v>
      </c>
      <c r="V543" s="2" t="n">
        <v>1</v>
      </c>
    </row>
    <row r="544">
      <c r="A544" s="2" t="n">
        <v>543</v>
      </c>
      <c r="B544" s="2" t="s">
        <v>6062</v>
      </c>
      <c r="C544" s="2" t="n">
        <v>360.993583591</v>
      </c>
      <c r="D544" s="2" t="n">
        <v>3.89338246803081</v>
      </c>
      <c r="E544" s="2" t="s">
        <v>6063</v>
      </c>
      <c r="F544" s="2" t="s">
        <v>218</v>
      </c>
      <c r="G544" s="2" t="s">
        <v>6064</v>
      </c>
      <c r="H544" s="2" t="s">
        <v>6065</v>
      </c>
      <c r="I544" s="2" t="s">
        <v>6066</v>
      </c>
      <c r="J544" s="2" t="s">
        <v>91</v>
      </c>
      <c r="K544" s="2" t="s">
        <v>91</v>
      </c>
      <c r="L544" s="2" t="s">
        <v>91</v>
      </c>
      <c r="M544" s="2" t="s">
        <v>91</v>
      </c>
      <c r="N544" s="2" t="s">
        <v>6067</v>
      </c>
      <c r="O544" s="2" t="s">
        <v>91</v>
      </c>
      <c r="P544" s="2" t="s">
        <v>6068</v>
      </c>
      <c r="Q544" s="2" t="s">
        <v>6069</v>
      </c>
      <c r="R544" s="2" t="s">
        <v>144</v>
      </c>
      <c r="S544" s="2" t="s">
        <v>145</v>
      </c>
      <c r="T544" s="2" t="s">
        <v>146</v>
      </c>
      <c r="U544" s="2" t="s">
        <v>29</v>
      </c>
      <c r="V544" s="2" t="n">
        <v>2</v>
      </c>
    </row>
    <row r="545">
      <c r="A545" s="2" t="n">
        <v>544</v>
      </c>
      <c r="B545" s="2" t="s">
        <v>6070</v>
      </c>
      <c r="C545" s="2" t="n">
        <v>361.18339892</v>
      </c>
      <c r="D545" s="2" t="n">
        <v>6.47766106504116</v>
      </c>
      <c r="E545" s="2" t="s">
        <v>6071</v>
      </c>
      <c r="F545" s="2" t="s">
        <v>24</v>
      </c>
      <c r="G545" s="2" t="s">
        <v>6072</v>
      </c>
      <c r="H545" s="2" t="s">
        <v>6073</v>
      </c>
      <c r="I545" s="2" t="s">
        <v>6074</v>
      </c>
      <c r="J545" s="2" t="s">
        <v>29</v>
      </c>
      <c r="K545" s="2" t="s">
        <v>29</v>
      </c>
      <c r="L545" s="2" t="s">
        <v>29</v>
      </c>
      <c r="M545" s="2" t="s">
        <v>29</v>
      </c>
      <c r="N545" s="2" t="s">
        <v>6075</v>
      </c>
      <c r="O545" s="2" t="s">
        <v>29</v>
      </c>
      <c r="P545" s="2" t="s">
        <v>6076</v>
      </c>
      <c r="Q545" s="2" t="s">
        <v>6077</v>
      </c>
      <c r="R545" s="2" t="s">
        <v>114</v>
      </c>
      <c r="S545" s="2" t="s">
        <v>6078</v>
      </c>
      <c r="T545" s="2" t="s">
        <v>215</v>
      </c>
      <c r="U545" s="2" t="s">
        <v>29</v>
      </c>
      <c r="V545" s="2" t="n">
        <v>1</v>
      </c>
    </row>
    <row r="546">
      <c r="A546" s="2" t="n">
        <v>545</v>
      </c>
      <c r="B546" s="2" t="s">
        <v>6079</v>
      </c>
      <c r="C546" s="2" t="n">
        <v>361.238433576</v>
      </c>
      <c r="D546" s="2" t="n">
        <v>19.3013108387241</v>
      </c>
      <c r="E546" s="2" t="s">
        <v>6080</v>
      </c>
      <c r="F546" s="2" t="s">
        <v>24</v>
      </c>
      <c r="G546" s="2" t="s">
        <v>6081</v>
      </c>
      <c r="H546" s="2" t="s">
        <v>6082</v>
      </c>
      <c r="I546" s="2" t="s">
        <v>6083</v>
      </c>
      <c r="J546" s="2" t="s">
        <v>6084</v>
      </c>
      <c r="K546" s="2" t="s">
        <v>6085</v>
      </c>
      <c r="L546" s="2" t="s">
        <v>195</v>
      </c>
      <c r="M546" s="2" t="s">
        <v>6086</v>
      </c>
      <c r="N546" s="2" t="s">
        <v>6087</v>
      </c>
      <c r="O546" s="2" t="s">
        <v>6088</v>
      </c>
      <c r="P546" s="2" t="s">
        <v>6089</v>
      </c>
      <c r="Q546" s="2" t="s">
        <v>6090</v>
      </c>
      <c r="R546" s="2" t="s">
        <v>255</v>
      </c>
      <c r="S546" s="2" t="s">
        <v>6091</v>
      </c>
      <c r="T546" s="2" t="s">
        <v>6092</v>
      </c>
      <c r="U546" s="2" t="s">
        <v>56</v>
      </c>
      <c r="V546" s="2" t="n">
        <v>3</v>
      </c>
    </row>
    <row r="547">
      <c r="A547" s="2" t="n">
        <v>546</v>
      </c>
      <c r="B547" s="2" t="s">
        <v>6093</v>
      </c>
      <c r="C547" s="2" t="n">
        <v>361.992736216</v>
      </c>
      <c r="D547" s="2" t="n">
        <v>1.62965494889945</v>
      </c>
      <c r="E547" s="2" t="s">
        <v>6094</v>
      </c>
      <c r="F547" s="2" t="s">
        <v>205</v>
      </c>
      <c r="G547" s="2" t="s">
        <v>6095</v>
      </c>
      <c r="H547" s="2" t="s">
        <v>6096</v>
      </c>
      <c r="I547" s="2" t="s">
        <v>6097</v>
      </c>
      <c r="J547" s="2" t="s">
        <v>6098</v>
      </c>
      <c r="K547" s="2" t="s">
        <v>29</v>
      </c>
      <c r="L547" s="2" t="s">
        <v>6099</v>
      </c>
      <c r="M547" s="2" t="s">
        <v>6100</v>
      </c>
      <c r="N547" s="2" t="s">
        <v>6101</v>
      </c>
      <c r="O547" s="2" t="s">
        <v>6102</v>
      </c>
      <c r="P547" s="2" t="s">
        <v>6103</v>
      </c>
      <c r="Q547" s="2" t="s">
        <v>6104</v>
      </c>
      <c r="R547" s="2" t="s">
        <v>114</v>
      </c>
      <c r="S547" s="2" t="s">
        <v>6105</v>
      </c>
      <c r="T547" s="2" t="s">
        <v>6106</v>
      </c>
      <c r="U547" s="2" t="s">
        <v>101</v>
      </c>
      <c r="V547" s="2" t="n">
        <v>1</v>
      </c>
    </row>
    <row r="548">
      <c r="A548" s="2" t="n">
        <v>547</v>
      </c>
      <c r="B548" s="2" t="s">
        <v>6107</v>
      </c>
      <c r="C548" s="2" t="n">
        <v>362.057643315</v>
      </c>
      <c r="D548" s="2" t="n">
        <v>1.42732724784609</v>
      </c>
      <c r="E548" s="2" t="s">
        <v>6108</v>
      </c>
      <c r="F548" s="2" t="s">
        <v>86</v>
      </c>
      <c r="G548" s="2" t="s">
        <v>6109</v>
      </c>
      <c r="H548" s="2" t="s">
        <v>6110</v>
      </c>
      <c r="I548" s="2" t="s">
        <v>6111</v>
      </c>
      <c r="J548" s="2" t="s">
        <v>6112</v>
      </c>
      <c r="K548" s="2" t="s">
        <v>29</v>
      </c>
      <c r="L548" s="2" t="s">
        <v>29</v>
      </c>
      <c r="M548" s="2" t="s">
        <v>6113</v>
      </c>
      <c r="N548" s="2" t="s">
        <v>6114</v>
      </c>
      <c r="O548" s="2" t="s">
        <v>29</v>
      </c>
      <c r="P548" s="2" t="s">
        <v>6115</v>
      </c>
      <c r="Q548" s="2" t="s">
        <v>6116</v>
      </c>
      <c r="R548" s="2" t="s">
        <v>186</v>
      </c>
      <c r="S548" s="2" t="s">
        <v>187</v>
      </c>
      <c r="T548" s="2" t="s">
        <v>5455</v>
      </c>
      <c r="U548" s="2" t="s">
        <v>29</v>
      </c>
      <c r="V548" s="2" t="n">
        <v>1</v>
      </c>
    </row>
    <row r="549">
      <c r="A549" s="2" t="n">
        <v>548</v>
      </c>
      <c r="B549" s="2" t="s">
        <v>6117</v>
      </c>
      <c r="C549" s="2" t="n">
        <v>362.237053849</v>
      </c>
      <c r="D549" s="2" t="n">
        <v>8.28974872654516</v>
      </c>
      <c r="E549" s="2" t="s">
        <v>6118</v>
      </c>
      <c r="F549" s="2" t="s">
        <v>24</v>
      </c>
      <c r="G549" s="2" t="s">
        <v>6119</v>
      </c>
      <c r="H549" s="2" t="s">
        <v>6120</v>
      </c>
      <c r="I549" s="2" t="s">
        <v>6121</v>
      </c>
      <c r="J549" s="2" t="s">
        <v>6122</v>
      </c>
      <c r="K549" s="2" t="s">
        <v>6123</v>
      </c>
      <c r="L549" s="2" t="s">
        <v>29</v>
      </c>
      <c r="M549" s="2" t="s">
        <v>6124</v>
      </c>
      <c r="N549" s="2" t="s">
        <v>6125</v>
      </c>
      <c r="O549" s="2" t="s">
        <v>6126</v>
      </c>
      <c r="P549" s="2" t="s">
        <v>6127</v>
      </c>
      <c r="Q549" s="2" t="s">
        <v>6128</v>
      </c>
      <c r="R549" s="2" t="s">
        <v>794</v>
      </c>
      <c r="S549" s="2" t="s">
        <v>795</v>
      </c>
      <c r="T549" s="2" t="s">
        <v>5115</v>
      </c>
      <c r="U549" s="2" t="s">
        <v>29</v>
      </c>
      <c r="V549" s="2" t="n">
        <v>1</v>
      </c>
    </row>
    <row r="550">
      <c r="A550" s="2" t="n">
        <v>549</v>
      </c>
      <c r="B550" s="2" t="s">
        <v>6129</v>
      </c>
      <c r="C550" s="2" t="n">
        <v>363.062255818</v>
      </c>
      <c r="D550" s="2" t="n">
        <v>0.457359633176157</v>
      </c>
      <c r="E550" s="2" t="s">
        <v>6130</v>
      </c>
      <c r="F550" s="2" t="s">
        <v>205</v>
      </c>
      <c r="G550" s="2" t="s">
        <v>6131</v>
      </c>
      <c r="H550" s="2" t="s">
        <v>6132</v>
      </c>
      <c r="I550" s="2" t="s">
        <v>6133</v>
      </c>
      <c r="J550" s="2" t="s">
        <v>6134</v>
      </c>
      <c r="K550" s="2" t="s">
        <v>29</v>
      </c>
      <c r="L550" s="2" t="s">
        <v>6135</v>
      </c>
      <c r="M550" s="2" t="s">
        <v>6136</v>
      </c>
      <c r="N550" s="2" t="s">
        <v>6137</v>
      </c>
      <c r="O550" s="2" t="s">
        <v>6138</v>
      </c>
      <c r="P550" s="2" t="s">
        <v>6139</v>
      </c>
      <c r="Q550" s="2" t="s">
        <v>6140</v>
      </c>
      <c r="R550" s="2" t="s">
        <v>186</v>
      </c>
      <c r="S550" s="2" t="s">
        <v>6141</v>
      </c>
      <c r="T550" s="2" t="s">
        <v>215</v>
      </c>
      <c r="U550" s="2" t="s">
        <v>56</v>
      </c>
      <c r="V550" s="2" t="n">
        <v>1</v>
      </c>
    </row>
    <row r="551">
      <c r="A551" s="2" t="n">
        <v>550</v>
      </c>
      <c r="B551" s="2" t="s">
        <v>6142</v>
      </c>
      <c r="C551" s="2" t="n">
        <v>363.199389749</v>
      </c>
      <c r="D551" s="2" t="n">
        <v>2.21413128789025</v>
      </c>
      <c r="E551" s="2" t="s">
        <v>6143</v>
      </c>
      <c r="F551" s="2" t="s">
        <v>161</v>
      </c>
      <c r="G551" s="2" t="s">
        <v>6144</v>
      </c>
      <c r="H551" s="2" t="s">
        <v>6145</v>
      </c>
      <c r="I551" s="2" t="s">
        <v>6146</v>
      </c>
      <c r="J551" s="2" t="s">
        <v>29</v>
      </c>
      <c r="K551" s="2" t="s">
        <v>29</v>
      </c>
      <c r="L551" s="2" t="s">
        <v>29</v>
      </c>
      <c r="M551" s="2" t="s">
        <v>29</v>
      </c>
      <c r="N551" s="2" t="s">
        <v>6147</v>
      </c>
      <c r="O551" s="2" t="s">
        <v>29</v>
      </c>
      <c r="P551" s="2" t="s">
        <v>6148</v>
      </c>
      <c r="Q551" s="2" t="s">
        <v>6149</v>
      </c>
      <c r="R551" s="2" t="s">
        <v>794</v>
      </c>
      <c r="S551" s="2" t="s">
        <v>1098</v>
      </c>
      <c r="T551" s="2" t="s">
        <v>4662</v>
      </c>
      <c r="U551" s="2" t="s">
        <v>29</v>
      </c>
      <c r="V551" s="2" t="n">
        <v>1</v>
      </c>
    </row>
    <row r="552">
      <c r="A552" s="2" t="n">
        <v>551</v>
      </c>
      <c r="B552" s="2" t="s">
        <v>6150</v>
      </c>
      <c r="C552" s="2" t="n">
        <v>363.255421046</v>
      </c>
      <c r="D552" s="2" t="n">
        <v>3.42790317201205</v>
      </c>
      <c r="E552" s="2" t="s">
        <v>6151</v>
      </c>
      <c r="F552" s="2" t="s">
        <v>24</v>
      </c>
      <c r="G552" s="2" t="s">
        <v>6152</v>
      </c>
      <c r="H552" s="2" t="s">
        <v>6153</v>
      </c>
      <c r="I552" s="2" t="s">
        <v>6154</v>
      </c>
      <c r="J552" s="2" t="s">
        <v>29</v>
      </c>
      <c r="K552" s="2" t="s">
        <v>29</v>
      </c>
      <c r="L552" s="2" t="s">
        <v>29</v>
      </c>
      <c r="M552" s="2" t="s">
        <v>29</v>
      </c>
      <c r="N552" s="2" t="s">
        <v>6155</v>
      </c>
      <c r="O552" s="2" t="s">
        <v>29</v>
      </c>
      <c r="P552" s="2" t="s">
        <v>6156</v>
      </c>
      <c r="Q552" s="2" t="s">
        <v>6157</v>
      </c>
      <c r="R552" s="2" t="s">
        <v>114</v>
      </c>
      <c r="S552" s="2" t="s">
        <v>397</v>
      </c>
      <c r="T552" s="2" t="s">
        <v>6158</v>
      </c>
      <c r="U552" s="2" t="s">
        <v>29</v>
      </c>
      <c r="V552" s="2" t="n">
        <v>1</v>
      </c>
    </row>
    <row r="553">
      <c r="A553" s="2" t="n">
        <v>552</v>
      </c>
      <c r="B553" s="2" t="s">
        <v>6159</v>
      </c>
      <c r="C553" s="2" t="n">
        <v>364.072150564</v>
      </c>
      <c r="D553" s="2" t="n">
        <v>1.15728795504867</v>
      </c>
      <c r="E553" s="2" t="s">
        <v>6160</v>
      </c>
      <c r="F553" s="2" t="s">
        <v>86</v>
      </c>
      <c r="G553" s="2" t="s">
        <v>6161</v>
      </c>
      <c r="H553" s="2" t="s">
        <v>6162</v>
      </c>
      <c r="I553" s="2" t="s">
        <v>6163</v>
      </c>
      <c r="J553" s="2" t="s">
        <v>6164</v>
      </c>
      <c r="K553" s="2" t="s">
        <v>29</v>
      </c>
      <c r="L553" s="2" t="s">
        <v>6165</v>
      </c>
      <c r="M553" s="2" t="s">
        <v>29</v>
      </c>
      <c r="N553" s="2" t="s">
        <v>6166</v>
      </c>
      <c r="O553" s="2" t="s">
        <v>6167</v>
      </c>
      <c r="P553" s="2" t="s">
        <v>6168</v>
      </c>
      <c r="Q553" s="2" t="s">
        <v>6169</v>
      </c>
      <c r="R553" s="2" t="s">
        <v>114</v>
      </c>
      <c r="S553" s="2" t="s">
        <v>936</v>
      </c>
      <c r="T553" s="2" t="s">
        <v>2291</v>
      </c>
      <c r="U553" s="2" t="s">
        <v>101</v>
      </c>
      <c r="V553" s="2" t="n">
        <v>1</v>
      </c>
    </row>
    <row r="554">
      <c r="A554" s="2" t="n">
        <v>553</v>
      </c>
      <c r="B554" s="2" t="s">
        <v>6170</v>
      </c>
      <c r="C554" s="2" t="n">
        <v>364.106958104</v>
      </c>
      <c r="D554" s="2" t="n">
        <v>4.53780855673632</v>
      </c>
      <c r="E554" s="2" t="s">
        <v>6171</v>
      </c>
      <c r="F554" s="2" t="s">
        <v>86</v>
      </c>
      <c r="G554" s="2" t="s">
        <v>6172</v>
      </c>
      <c r="H554" s="2" t="s">
        <v>6173</v>
      </c>
      <c r="I554" s="2" t="s">
        <v>6174</v>
      </c>
      <c r="J554" s="2" t="s">
        <v>91</v>
      </c>
      <c r="K554" s="2" t="s">
        <v>91</v>
      </c>
      <c r="L554" s="2" t="s">
        <v>91</v>
      </c>
      <c r="M554" s="2" t="s">
        <v>91</v>
      </c>
      <c r="N554" s="2" t="s">
        <v>6175</v>
      </c>
      <c r="O554" s="2" t="s">
        <v>91</v>
      </c>
      <c r="P554" s="2" t="s">
        <v>6176</v>
      </c>
      <c r="Q554" s="2" t="s">
        <v>6177</v>
      </c>
      <c r="R554" s="2" t="s">
        <v>2242</v>
      </c>
      <c r="S554" s="2" t="s">
        <v>6178</v>
      </c>
      <c r="T554" s="2" t="s">
        <v>6179</v>
      </c>
      <c r="U554" s="2" t="s">
        <v>29</v>
      </c>
      <c r="V554" s="2" t="n">
        <v>2</v>
      </c>
    </row>
    <row r="555">
      <c r="A555" s="2" t="n">
        <v>554</v>
      </c>
      <c r="B555" s="2" t="s">
        <v>6180</v>
      </c>
      <c r="C555" s="2" t="n">
        <v>364.260015683</v>
      </c>
      <c r="D555" s="2" t="n">
        <v>3.38785436445289</v>
      </c>
      <c r="E555" s="2" t="s">
        <v>6181</v>
      </c>
      <c r="F555" s="2" t="s">
        <v>161</v>
      </c>
      <c r="G555" s="2" t="s">
        <v>6182</v>
      </c>
      <c r="H555" s="2" t="s">
        <v>6183</v>
      </c>
      <c r="I555" s="2" t="s">
        <v>6184</v>
      </c>
      <c r="J555" s="2" t="s">
        <v>91</v>
      </c>
      <c r="K555" s="2" t="s">
        <v>91</v>
      </c>
      <c r="L555" s="2" t="s">
        <v>91</v>
      </c>
      <c r="M555" s="2" t="s">
        <v>91</v>
      </c>
      <c r="N555" s="2" t="s">
        <v>6185</v>
      </c>
      <c r="O555" s="2" t="s">
        <v>91</v>
      </c>
      <c r="P555" s="2" t="s">
        <v>6186</v>
      </c>
      <c r="Q555" s="2" t="s">
        <v>6187</v>
      </c>
      <c r="R555" s="2" t="s">
        <v>144</v>
      </c>
      <c r="S555" s="2" t="s">
        <v>145</v>
      </c>
      <c r="T555" s="2" t="s">
        <v>146</v>
      </c>
      <c r="U555" s="2" t="s">
        <v>29</v>
      </c>
      <c r="V555" s="2" t="n">
        <v>2</v>
      </c>
    </row>
    <row r="556">
      <c r="A556" s="2" t="n">
        <v>555</v>
      </c>
      <c r="B556" s="2" t="s">
        <v>6188</v>
      </c>
      <c r="C556" s="2" t="n">
        <v>365.0577554</v>
      </c>
      <c r="D556" s="2" t="n">
        <v>0.0733896913365778</v>
      </c>
      <c r="E556" s="2" t="s">
        <v>6189</v>
      </c>
      <c r="F556" s="2" t="s">
        <v>86</v>
      </c>
      <c r="G556" s="2" t="s">
        <v>6190</v>
      </c>
      <c r="H556" s="2" t="s">
        <v>6191</v>
      </c>
      <c r="I556" s="2" t="s">
        <v>6192</v>
      </c>
      <c r="J556" s="2" t="s">
        <v>91</v>
      </c>
      <c r="K556" s="2" t="s">
        <v>91</v>
      </c>
      <c r="L556" s="2" t="s">
        <v>91</v>
      </c>
      <c r="M556" s="2" t="s">
        <v>91</v>
      </c>
      <c r="N556" s="2" t="s">
        <v>6193</v>
      </c>
      <c r="O556" s="2" t="s">
        <v>91</v>
      </c>
      <c r="P556" s="2" t="s">
        <v>6194</v>
      </c>
      <c r="Q556" s="2" t="s">
        <v>6195</v>
      </c>
      <c r="R556" s="2" t="s">
        <v>541</v>
      </c>
      <c r="S556" s="2" t="s">
        <v>6196</v>
      </c>
      <c r="T556" s="2" t="s">
        <v>6197</v>
      </c>
      <c r="U556" s="2" t="s">
        <v>29</v>
      </c>
      <c r="V556" s="2" t="n">
        <v>2</v>
      </c>
    </row>
    <row r="557">
      <c r="A557" s="2" t="n">
        <v>556</v>
      </c>
      <c r="B557" s="2" t="s">
        <v>6198</v>
      </c>
      <c r="C557" s="2" t="n">
        <v>365.210026198</v>
      </c>
      <c r="D557" s="2" t="n">
        <v>3.44159447047063</v>
      </c>
      <c r="E557" s="2" t="s">
        <v>6199</v>
      </c>
      <c r="F557" s="2" t="s">
        <v>86</v>
      </c>
      <c r="G557" s="2" t="s">
        <v>6200</v>
      </c>
      <c r="H557" s="2" t="s">
        <v>6201</v>
      </c>
      <c r="I557" s="2" t="s">
        <v>6202</v>
      </c>
      <c r="J557" s="2" t="s">
        <v>6203</v>
      </c>
      <c r="K557" s="2" t="s">
        <v>6204</v>
      </c>
      <c r="L557" s="2" t="s">
        <v>6205</v>
      </c>
      <c r="M557" s="2" t="s">
        <v>6206</v>
      </c>
      <c r="N557" s="2" t="s">
        <v>6207</v>
      </c>
      <c r="O557" s="2" t="s">
        <v>29</v>
      </c>
      <c r="P557" s="2" t="s">
        <v>6208</v>
      </c>
      <c r="Q557" s="2" t="s">
        <v>6209</v>
      </c>
      <c r="R557" s="2" t="s">
        <v>794</v>
      </c>
      <c r="S557" s="2" t="s">
        <v>795</v>
      </c>
      <c r="T557" s="2" t="s">
        <v>796</v>
      </c>
      <c r="U557" s="2" t="s">
        <v>56</v>
      </c>
      <c r="V557" s="2" t="n">
        <v>1</v>
      </c>
    </row>
    <row r="558">
      <c r="A558" s="2" t="n">
        <v>557</v>
      </c>
      <c r="B558" s="2" t="s">
        <v>6210</v>
      </c>
      <c r="C558" s="2" t="n">
        <v>366.111374787</v>
      </c>
      <c r="D558" s="2" t="n">
        <v>2.97959955632807</v>
      </c>
      <c r="E558" s="2" t="s">
        <v>6211</v>
      </c>
      <c r="F558" s="2" t="s">
        <v>86</v>
      </c>
      <c r="G558" s="2" t="s">
        <v>6212</v>
      </c>
      <c r="H558" s="2" t="s">
        <v>6213</v>
      </c>
      <c r="I558" s="2" t="s">
        <v>6214</v>
      </c>
      <c r="J558" s="2" t="s">
        <v>6215</v>
      </c>
      <c r="K558" s="2" t="s">
        <v>29</v>
      </c>
      <c r="L558" s="2" t="s">
        <v>6216</v>
      </c>
      <c r="M558" s="2" t="s">
        <v>29</v>
      </c>
      <c r="N558" s="2" t="s">
        <v>6217</v>
      </c>
      <c r="O558" s="2" t="s">
        <v>6218</v>
      </c>
      <c r="P558" s="2" t="s">
        <v>6219</v>
      </c>
      <c r="Q558" s="2" t="s">
        <v>6220</v>
      </c>
      <c r="R558" s="2" t="s">
        <v>3003</v>
      </c>
      <c r="S558" s="2" t="s">
        <v>6221</v>
      </c>
      <c r="T558" s="2" t="s">
        <v>6222</v>
      </c>
      <c r="U558" s="2" t="s">
        <v>101</v>
      </c>
      <c r="V558" s="2" t="n">
        <v>1</v>
      </c>
    </row>
    <row r="559">
      <c r="A559" s="2" t="n">
        <v>558</v>
      </c>
      <c r="B559" s="2" t="s">
        <v>6223</v>
      </c>
      <c r="C559" s="2" t="n">
        <v>366.207467799</v>
      </c>
      <c r="D559" s="2" t="n">
        <v>9.8285250374252</v>
      </c>
      <c r="E559" s="2" t="s">
        <v>6224</v>
      </c>
      <c r="F559" s="2" t="s">
        <v>24</v>
      </c>
      <c r="G559" s="2" t="s">
        <v>6225</v>
      </c>
      <c r="H559" s="2" t="s">
        <v>6226</v>
      </c>
      <c r="I559" s="2" t="s">
        <v>6227</v>
      </c>
      <c r="J559" s="2" t="s">
        <v>6228</v>
      </c>
      <c r="K559" s="2" t="s">
        <v>29</v>
      </c>
      <c r="L559" s="2" t="s">
        <v>29</v>
      </c>
      <c r="M559" s="2" t="s">
        <v>6229</v>
      </c>
      <c r="N559" s="2" t="s">
        <v>6230</v>
      </c>
      <c r="O559" s="2" t="s">
        <v>6231</v>
      </c>
      <c r="P559" s="2" t="s">
        <v>6232</v>
      </c>
      <c r="Q559" s="2" t="s">
        <v>6233</v>
      </c>
      <c r="R559" s="2" t="s">
        <v>114</v>
      </c>
      <c r="S559" s="2" t="s">
        <v>6234</v>
      </c>
      <c r="T559" s="2" t="s">
        <v>215</v>
      </c>
      <c r="U559" s="2" t="s">
        <v>56</v>
      </c>
      <c r="V559" s="2" t="n">
        <v>1</v>
      </c>
    </row>
    <row r="560">
      <c r="A560" s="2" t="n">
        <v>559</v>
      </c>
      <c r="B560" s="2" t="s">
        <v>6235</v>
      </c>
      <c r="C560" s="2" t="n">
        <v>367.026127</v>
      </c>
      <c r="D560" s="2" t="n">
        <v>0.244296261540803</v>
      </c>
      <c r="E560" s="2" t="s">
        <v>6236</v>
      </c>
      <c r="F560" s="2" t="s">
        <v>161</v>
      </c>
      <c r="G560" s="2" t="s">
        <v>6237</v>
      </c>
      <c r="H560" s="2" t="s">
        <v>6238</v>
      </c>
      <c r="I560" s="2" t="s">
        <v>6239</v>
      </c>
      <c r="J560" s="2" t="s">
        <v>29</v>
      </c>
      <c r="K560" s="2" t="s">
        <v>29</v>
      </c>
      <c r="L560" s="2" t="s">
        <v>29</v>
      </c>
      <c r="M560" s="2" t="s">
        <v>29</v>
      </c>
      <c r="N560" s="2" t="s">
        <v>6240</v>
      </c>
      <c r="O560" s="2" t="s">
        <v>29</v>
      </c>
      <c r="P560" s="2" t="s">
        <v>6241</v>
      </c>
      <c r="Q560" s="2" t="s">
        <v>6242</v>
      </c>
      <c r="R560" s="2" t="s">
        <v>114</v>
      </c>
      <c r="S560" s="2" t="s">
        <v>4523</v>
      </c>
      <c r="T560" s="2" t="s">
        <v>4524</v>
      </c>
      <c r="U560" s="2" t="s">
        <v>29</v>
      </c>
      <c r="V560" s="2" t="n">
        <v>1</v>
      </c>
    </row>
    <row r="561">
      <c r="A561" s="2" t="n">
        <v>560</v>
      </c>
      <c r="B561" s="2" t="s">
        <v>6243</v>
      </c>
      <c r="C561" s="2" t="n">
        <v>367.11163737</v>
      </c>
      <c r="D561" s="2" t="n">
        <v>2.34478231974991</v>
      </c>
      <c r="E561" s="2" t="s">
        <v>6244</v>
      </c>
      <c r="F561" s="2" t="s">
        <v>161</v>
      </c>
      <c r="G561" s="2" t="s">
        <v>6245</v>
      </c>
      <c r="H561" s="2" t="s">
        <v>6246</v>
      </c>
      <c r="I561" s="2" t="s">
        <v>6247</v>
      </c>
      <c r="J561" s="2" t="s">
        <v>29</v>
      </c>
      <c r="K561" s="2" t="s">
        <v>29</v>
      </c>
      <c r="L561" s="2" t="s">
        <v>29</v>
      </c>
      <c r="M561" s="2" t="s">
        <v>29</v>
      </c>
      <c r="N561" s="2" t="s">
        <v>6248</v>
      </c>
      <c r="O561" s="2" t="s">
        <v>29</v>
      </c>
      <c r="P561" s="2" t="s">
        <v>6249</v>
      </c>
      <c r="Q561" s="2" t="s">
        <v>6250</v>
      </c>
      <c r="R561" s="2" t="s">
        <v>114</v>
      </c>
      <c r="S561" s="2" t="s">
        <v>6251</v>
      </c>
      <c r="T561" s="2" t="s">
        <v>215</v>
      </c>
      <c r="U561" s="2" t="s">
        <v>29</v>
      </c>
      <c r="V561" s="2" t="n">
        <v>1</v>
      </c>
    </row>
    <row r="562">
      <c r="A562" s="2" t="n">
        <v>561</v>
      </c>
      <c r="B562" s="2" t="s">
        <v>6252</v>
      </c>
      <c r="C562" s="2" t="n">
        <v>367.248998262</v>
      </c>
      <c r="D562" s="2" t="n">
        <v>5.13281292209064</v>
      </c>
      <c r="E562" s="2" t="s">
        <v>6253</v>
      </c>
      <c r="F562" s="2" t="s">
        <v>24</v>
      </c>
      <c r="G562" s="2" t="s">
        <v>6254</v>
      </c>
      <c r="H562" s="2" t="s">
        <v>6255</v>
      </c>
      <c r="I562" s="2" t="s">
        <v>6256</v>
      </c>
      <c r="J562" s="2" t="s">
        <v>6257</v>
      </c>
      <c r="K562" s="2" t="s">
        <v>6258</v>
      </c>
      <c r="L562" s="2" t="s">
        <v>6259</v>
      </c>
      <c r="M562" s="2" t="s">
        <v>6260</v>
      </c>
      <c r="N562" s="2" t="s">
        <v>6261</v>
      </c>
      <c r="O562" s="2" t="s">
        <v>6262</v>
      </c>
      <c r="P562" s="2" t="s">
        <v>6263</v>
      </c>
      <c r="Q562" s="2" t="s">
        <v>6264</v>
      </c>
      <c r="R562" s="2" t="s">
        <v>412</v>
      </c>
      <c r="S562" s="2" t="s">
        <v>6265</v>
      </c>
      <c r="T562" s="2" t="s">
        <v>6266</v>
      </c>
      <c r="U562" s="2" t="s">
        <v>56</v>
      </c>
      <c r="V562" s="2" t="n">
        <v>2</v>
      </c>
    </row>
    <row r="563">
      <c r="A563" s="2" t="n">
        <v>562</v>
      </c>
      <c r="B563" s="2" t="s">
        <v>6267</v>
      </c>
      <c r="C563" s="2" t="n">
        <v>367.35815478</v>
      </c>
      <c r="D563" s="2" t="n">
        <v>18.0618337781129</v>
      </c>
      <c r="E563" s="2" t="s">
        <v>6268</v>
      </c>
      <c r="F563" s="2" t="s">
        <v>24</v>
      </c>
      <c r="G563" s="2" t="s">
        <v>6269</v>
      </c>
      <c r="H563" s="2" t="s">
        <v>6270</v>
      </c>
      <c r="I563" s="2" t="s">
        <v>6271</v>
      </c>
      <c r="J563" s="2" t="s">
        <v>6272</v>
      </c>
      <c r="K563" s="2" t="s">
        <v>6273</v>
      </c>
      <c r="L563" s="2" t="s">
        <v>6274</v>
      </c>
      <c r="M563" s="2" t="s">
        <v>6275</v>
      </c>
      <c r="N563" s="2" t="s">
        <v>6276</v>
      </c>
      <c r="O563" s="2" t="s">
        <v>6277</v>
      </c>
      <c r="P563" s="2" t="s">
        <v>6278</v>
      </c>
      <c r="Q563" s="2" t="s">
        <v>6279</v>
      </c>
      <c r="R563" s="2" t="s">
        <v>794</v>
      </c>
      <c r="S563" s="2" t="s">
        <v>795</v>
      </c>
      <c r="T563" s="2" t="s">
        <v>796</v>
      </c>
      <c r="U563" s="2" t="s">
        <v>39</v>
      </c>
      <c r="V563" s="2" t="n">
        <v>1</v>
      </c>
    </row>
    <row r="564">
      <c r="A564" s="2" t="n">
        <v>563</v>
      </c>
      <c r="B564" s="2" t="s">
        <v>6280</v>
      </c>
      <c r="C564" s="2" t="n">
        <v>368.223117863</v>
      </c>
      <c r="D564" s="2" t="n">
        <v>9.41669980331911</v>
      </c>
      <c r="E564" s="2" t="s">
        <v>6281</v>
      </c>
      <c r="F564" s="2" t="s">
        <v>24</v>
      </c>
      <c r="G564" s="2" t="s">
        <v>6282</v>
      </c>
      <c r="H564" s="2" t="s">
        <v>6283</v>
      </c>
      <c r="I564" s="2" t="s">
        <v>6284</v>
      </c>
      <c r="J564" s="2" t="s">
        <v>29</v>
      </c>
      <c r="K564" s="2" t="s">
        <v>29</v>
      </c>
      <c r="L564" s="2" t="s">
        <v>29</v>
      </c>
      <c r="M564" s="2" t="s">
        <v>6285</v>
      </c>
      <c r="N564" s="2" t="s">
        <v>6286</v>
      </c>
      <c r="O564" s="2" t="s">
        <v>6287</v>
      </c>
      <c r="P564" s="2" t="s">
        <v>6288</v>
      </c>
      <c r="Q564" s="2" t="s">
        <v>6289</v>
      </c>
      <c r="R564" s="2" t="s">
        <v>794</v>
      </c>
      <c r="S564" s="2" t="s">
        <v>2971</v>
      </c>
      <c r="T564" s="2" t="s">
        <v>6290</v>
      </c>
      <c r="U564" s="2" t="s">
        <v>56</v>
      </c>
      <c r="V564" s="2" t="n">
        <v>1</v>
      </c>
    </row>
    <row r="565">
      <c r="A565" s="2" t="n">
        <v>564</v>
      </c>
      <c r="B565" s="2" t="s">
        <v>6291</v>
      </c>
      <c r="C565" s="2" t="n">
        <v>368.257096433</v>
      </c>
      <c r="D565" s="2" t="n">
        <v>8.46317527220123</v>
      </c>
      <c r="E565" s="2" t="s">
        <v>6292</v>
      </c>
      <c r="F565" s="2" t="s">
        <v>531</v>
      </c>
      <c r="G565" s="2" t="s">
        <v>6293</v>
      </c>
      <c r="H565" s="2" t="s">
        <v>6294</v>
      </c>
      <c r="I565" s="2" t="s">
        <v>6295</v>
      </c>
      <c r="J565" s="2" t="s">
        <v>6296</v>
      </c>
      <c r="K565" s="2" t="s">
        <v>6297</v>
      </c>
      <c r="L565" s="2" t="s">
        <v>6298</v>
      </c>
      <c r="M565" s="2" t="s">
        <v>6299</v>
      </c>
      <c r="N565" s="2" t="s">
        <v>6300</v>
      </c>
      <c r="O565" s="2" t="s">
        <v>6301</v>
      </c>
      <c r="P565" s="2" t="s">
        <v>6302</v>
      </c>
      <c r="Q565" s="2" t="s">
        <v>6303</v>
      </c>
      <c r="R565" s="2" t="s">
        <v>601</v>
      </c>
      <c r="S565" s="2" t="s">
        <v>602</v>
      </c>
      <c r="T565" s="2" t="s">
        <v>1800</v>
      </c>
      <c r="U565" s="2" t="s">
        <v>56</v>
      </c>
      <c r="V565" s="2" t="n">
        <v>1</v>
      </c>
    </row>
    <row r="566">
      <c r="A566" s="2" t="n">
        <v>565</v>
      </c>
      <c r="B566" s="2" t="s">
        <v>6304</v>
      </c>
      <c r="C566" s="2" t="n">
        <v>369.0277585</v>
      </c>
      <c r="D566" s="2" t="n">
        <v>0.821899723259881</v>
      </c>
      <c r="E566" s="2" t="s">
        <v>6305</v>
      </c>
      <c r="F566" s="2" t="s">
        <v>86</v>
      </c>
      <c r="G566" s="2" t="s">
        <v>6306</v>
      </c>
      <c r="H566" s="2" t="s">
        <v>6307</v>
      </c>
      <c r="I566" s="2" t="s">
        <v>6308</v>
      </c>
      <c r="J566" s="2" t="s">
        <v>29</v>
      </c>
      <c r="K566" s="2" t="s">
        <v>29</v>
      </c>
      <c r="L566" s="2" t="s">
        <v>29</v>
      </c>
      <c r="M566" s="2" t="s">
        <v>29</v>
      </c>
      <c r="N566" s="2" t="s">
        <v>6309</v>
      </c>
      <c r="O566" s="2" t="s">
        <v>29</v>
      </c>
      <c r="P566" s="2" t="s">
        <v>6310</v>
      </c>
      <c r="Q566" s="2" t="s">
        <v>6311</v>
      </c>
      <c r="R566" s="2" t="s">
        <v>114</v>
      </c>
      <c r="S566" s="2" t="s">
        <v>6312</v>
      </c>
      <c r="T566" s="2" t="s">
        <v>6313</v>
      </c>
      <c r="U566" s="2" t="s">
        <v>29</v>
      </c>
      <c r="V566" s="2" t="n">
        <v>1</v>
      </c>
    </row>
    <row r="567">
      <c r="A567" s="2" t="n">
        <v>566</v>
      </c>
      <c r="B567" s="2" t="s">
        <v>6314</v>
      </c>
      <c r="C567" s="2" t="n">
        <v>369.17322816</v>
      </c>
      <c r="D567" s="2" t="n">
        <v>0.726129917170257</v>
      </c>
      <c r="E567" s="2" t="s">
        <v>6315</v>
      </c>
      <c r="F567" s="2" t="s">
        <v>24</v>
      </c>
      <c r="G567" s="2" t="s">
        <v>6316</v>
      </c>
      <c r="H567" s="2" t="s">
        <v>6317</v>
      </c>
      <c r="I567" s="2" t="s">
        <v>6318</v>
      </c>
      <c r="J567" s="2" t="s">
        <v>29</v>
      </c>
      <c r="K567" s="2" t="s">
        <v>29</v>
      </c>
      <c r="L567" s="2" t="s">
        <v>29</v>
      </c>
      <c r="M567" s="2" t="s">
        <v>29</v>
      </c>
      <c r="N567" s="2" t="s">
        <v>6319</v>
      </c>
      <c r="O567" s="2" t="s">
        <v>29</v>
      </c>
      <c r="P567" s="2" t="s">
        <v>6320</v>
      </c>
      <c r="Q567" s="2" t="s">
        <v>6321</v>
      </c>
      <c r="R567" s="2" t="s">
        <v>114</v>
      </c>
      <c r="S567" s="2" t="s">
        <v>994</v>
      </c>
      <c r="T567" s="2" t="s">
        <v>215</v>
      </c>
      <c r="U567" s="2" t="s">
        <v>29</v>
      </c>
      <c r="V567" s="2" t="n">
        <v>1</v>
      </c>
    </row>
    <row r="568">
      <c r="A568" s="2" t="n">
        <v>567</v>
      </c>
      <c r="B568" s="2" t="s">
        <v>6322</v>
      </c>
      <c r="C568" s="2" t="n">
        <v>369.22826282</v>
      </c>
      <c r="D568" s="2" t="n">
        <v>3.83544571092399</v>
      </c>
      <c r="E568" s="2" t="s">
        <v>6323</v>
      </c>
      <c r="F568" s="2" t="s">
        <v>24</v>
      </c>
      <c r="G568" s="2" t="s">
        <v>6324</v>
      </c>
      <c r="H568" s="2" t="s">
        <v>6325</v>
      </c>
      <c r="I568" s="2" t="s">
        <v>6326</v>
      </c>
      <c r="J568" s="2" t="s">
        <v>6327</v>
      </c>
      <c r="K568" s="2" t="s">
        <v>6328</v>
      </c>
      <c r="L568" s="2" t="s">
        <v>6329</v>
      </c>
      <c r="M568" s="2" t="s">
        <v>6330</v>
      </c>
      <c r="N568" s="2" t="s">
        <v>6331</v>
      </c>
      <c r="O568" s="2" t="s">
        <v>6332</v>
      </c>
      <c r="P568" s="2" t="s">
        <v>6333</v>
      </c>
      <c r="Q568" s="2" t="s">
        <v>6334</v>
      </c>
      <c r="R568" s="2" t="s">
        <v>412</v>
      </c>
      <c r="S568" s="2" t="s">
        <v>413</v>
      </c>
      <c r="T568" s="2" t="s">
        <v>6335</v>
      </c>
      <c r="U568" s="2" t="s">
        <v>56</v>
      </c>
      <c r="V568" s="2" t="n">
        <v>2</v>
      </c>
    </row>
    <row r="569">
      <c r="A569" s="2" t="n">
        <v>568</v>
      </c>
      <c r="B569" s="2" t="s">
        <v>6336</v>
      </c>
      <c r="C569" s="2" t="n">
        <v>371.179474999</v>
      </c>
      <c r="D569" s="2" t="n">
        <v>2.32837030760859</v>
      </c>
      <c r="E569" s="2" t="s">
        <v>6337</v>
      </c>
      <c r="F569" s="2" t="s">
        <v>86</v>
      </c>
      <c r="G569" s="2" t="s">
        <v>6338</v>
      </c>
      <c r="H569" s="2" t="s">
        <v>6339</v>
      </c>
      <c r="I569" s="2" t="s">
        <v>6340</v>
      </c>
      <c r="J569" s="2" t="s">
        <v>6341</v>
      </c>
      <c r="K569" s="2" t="s">
        <v>6342</v>
      </c>
      <c r="L569" s="2" t="s">
        <v>29</v>
      </c>
      <c r="M569" s="2" t="s">
        <v>6343</v>
      </c>
      <c r="N569" s="2" t="s">
        <v>6344</v>
      </c>
      <c r="O569" s="2" t="s">
        <v>6345</v>
      </c>
      <c r="P569" s="2" t="s">
        <v>6346</v>
      </c>
      <c r="Q569" s="2" t="s">
        <v>6347</v>
      </c>
      <c r="R569" s="2" t="s">
        <v>794</v>
      </c>
      <c r="S569" s="2" t="s">
        <v>2971</v>
      </c>
      <c r="T569" s="2" t="s">
        <v>3921</v>
      </c>
      <c r="U569" s="2" t="s">
        <v>29</v>
      </c>
      <c r="V569" s="2" t="n">
        <v>1</v>
      </c>
    </row>
    <row r="570">
      <c r="A570" s="2" t="n">
        <v>569</v>
      </c>
      <c r="B570" s="2" t="s">
        <v>6348</v>
      </c>
      <c r="C570" s="2" t="n">
        <v>372.947046282</v>
      </c>
      <c r="D570" s="2" t="n">
        <v>16.3290375995222</v>
      </c>
      <c r="E570" s="2" t="s">
        <v>6349</v>
      </c>
      <c r="F570" s="2" t="s">
        <v>86</v>
      </c>
      <c r="G570" s="2" t="s">
        <v>6350</v>
      </c>
      <c r="H570" s="2" t="s">
        <v>6351</v>
      </c>
      <c r="I570" s="2" t="s">
        <v>6352</v>
      </c>
      <c r="J570" s="2" t="s">
        <v>6353</v>
      </c>
      <c r="K570" s="2" t="s">
        <v>29</v>
      </c>
      <c r="L570" s="2" t="s">
        <v>29</v>
      </c>
      <c r="M570" s="2" t="s">
        <v>6354</v>
      </c>
      <c r="N570" s="2" t="s">
        <v>6355</v>
      </c>
      <c r="O570" s="2" t="s">
        <v>29</v>
      </c>
      <c r="P570" s="2" t="s">
        <v>6356</v>
      </c>
      <c r="Q570" s="2" t="s">
        <v>6357</v>
      </c>
      <c r="R570" s="2" t="s">
        <v>213</v>
      </c>
      <c r="S570" s="2" t="s">
        <v>214</v>
      </c>
      <c r="T570" s="2" t="s">
        <v>215</v>
      </c>
      <c r="U570" s="2" t="s">
        <v>29</v>
      </c>
      <c r="V570" s="2" t="n">
        <v>1</v>
      </c>
    </row>
    <row r="571">
      <c r="A571" s="2" t="n">
        <v>570</v>
      </c>
      <c r="B571" s="2" t="s">
        <v>6358</v>
      </c>
      <c r="C571" s="2" t="n">
        <v>373.191601772</v>
      </c>
      <c r="D571" s="2" t="n">
        <v>3.96839187938041</v>
      </c>
      <c r="E571" s="2" t="s">
        <v>6359</v>
      </c>
      <c r="F571" s="2" t="s">
        <v>161</v>
      </c>
      <c r="G571" s="2" t="s">
        <v>6360</v>
      </c>
      <c r="H571" s="2" t="s">
        <v>6361</v>
      </c>
      <c r="I571" s="2" t="s">
        <v>6362</v>
      </c>
      <c r="J571" s="2" t="s">
        <v>6363</v>
      </c>
      <c r="K571" s="2" t="s">
        <v>91</v>
      </c>
      <c r="L571" s="2" t="s">
        <v>91</v>
      </c>
      <c r="M571" s="2" t="s">
        <v>6364</v>
      </c>
      <c r="N571" s="2" t="s">
        <v>6365</v>
      </c>
      <c r="O571" s="2" t="s">
        <v>6366</v>
      </c>
      <c r="P571" s="2" t="s">
        <v>6367</v>
      </c>
      <c r="Q571" s="2" t="s">
        <v>6368</v>
      </c>
      <c r="R571" s="2" t="s">
        <v>809</v>
      </c>
      <c r="S571" s="2" t="s">
        <v>6369</v>
      </c>
      <c r="T571" s="2" t="s">
        <v>6370</v>
      </c>
      <c r="U571" s="2" t="s">
        <v>56</v>
      </c>
      <c r="V571" s="2" t="n">
        <v>2</v>
      </c>
    </row>
    <row r="572">
      <c r="A572" s="2" t="n">
        <v>571</v>
      </c>
      <c r="B572" s="2" t="s">
        <v>6371</v>
      </c>
      <c r="C572" s="2" t="n">
        <v>374.93351792</v>
      </c>
      <c r="D572" s="2" t="n">
        <v>4.81463532507733</v>
      </c>
      <c r="E572" s="2" t="s">
        <v>6372</v>
      </c>
      <c r="F572" s="2" t="s">
        <v>24</v>
      </c>
      <c r="G572" s="2" t="s">
        <v>6373</v>
      </c>
      <c r="H572" s="2" t="s">
        <v>6374</v>
      </c>
      <c r="I572" s="2" t="s">
        <v>6375</v>
      </c>
      <c r="J572" s="2" t="s">
        <v>29</v>
      </c>
      <c r="K572" s="2" t="s">
        <v>29</v>
      </c>
      <c r="L572" s="2" t="s">
        <v>29</v>
      </c>
      <c r="M572" s="2" t="s">
        <v>29</v>
      </c>
      <c r="N572" s="2" t="s">
        <v>6376</v>
      </c>
      <c r="O572" s="2" t="s">
        <v>29</v>
      </c>
      <c r="P572" s="2" t="s">
        <v>6377</v>
      </c>
      <c r="Q572" s="2" t="s">
        <v>6378</v>
      </c>
      <c r="R572" s="2" t="s">
        <v>186</v>
      </c>
      <c r="S572" s="2" t="s">
        <v>187</v>
      </c>
      <c r="T572" s="2" t="s">
        <v>6379</v>
      </c>
      <c r="U572" s="2" t="s">
        <v>29</v>
      </c>
      <c r="V572" s="2" t="n">
        <v>1</v>
      </c>
    </row>
    <row r="573">
      <c r="A573" s="2" t="n">
        <v>572</v>
      </c>
      <c r="B573" s="2" t="s">
        <v>6380</v>
      </c>
      <c r="C573" s="2" t="n">
        <v>375.027921208</v>
      </c>
      <c r="D573" s="2" t="n">
        <v>4.2035222002221</v>
      </c>
      <c r="E573" s="2" t="s">
        <v>6381</v>
      </c>
      <c r="F573" s="2" t="s">
        <v>86</v>
      </c>
      <c r="G573" s="2" t="s">
        <v>6382</v>
      </c>
      <c r="H573" s="2" t="s">
        <v>6383</v>
      </c>
      <c r="I573" s="2" t="s">
        <v>6384</v>
      </c>
      <c r="J573" s="2" t="s">
        <v>6385</v>
      </c>
      <c r="K573" s="2" t="s">
        <v>195</v>
      </c>
      <c r="L573" s="2" t="s">
        <v>195</v>
      </c>
      <c r="M573" s="2" t="s">
        <v>195</v>
      </c>
      <c r="N573" s="2" t="s">
        <v>6386</v>
      </c>
      <c r="O573" s="2" t="s">
        <v>195</v>
      </c>
      <c r="P573" s="2" t="s">
        <v>6387</v>
      </c>
      <c r="Q573" s="2" t="s">
        <v>6388</v>
      </c>
      <c r="R573" s="2" t="s">
        <v>1558</v>
      </c>
      <c r="S573" s="2" t="s">
        <v>1844</v>
      </c>
      <c r="T573" s="2" t="s">
        <v>1845</v>
      </c>
      <c r="U573" s="2" t="s">
        <v>29</v>
      </c>
      <c r="V573" s="2" t="n">
        <v>3</v>
      </c>
    </row>
    <row r="574">
      <c r="A574" s="2" t="n">
        <v>573</v>
      </c>
      <c r="B574" s="2" t="s">
        <v>6389</v>
      </c>
      <c r="C574" s="2" t="n">
        <v>375.157493604</v>
      </c>
      <c r="D574" s="2" t="n">
        <v>0.539999121697443</v>
      </c>
      <c r="E574" s="2" t="s">
        <v>6390</v>
      </c>
      <c r="F574" s="2" t="s">
        <v>205</v>
      </c>
      <c r="G574" s="2" t="s">
        <v>6391</v>
      </c>
      <c r="H574" s="2" t="s">
        <v>6392</v>
      </c>
      <c r="I574" s="2" t="s">
        <v>6393</v>
      </c>
      <c r="J574" s="2" t="s">
        <v>29</v>
      </c>
      <c r="K574" s="2" t="s">
        <v>29</v>
      </c>
      <c r="L574" s="2" t="s">
        <v>29</v>
      </c>
      <c r="M574" s="2" t="s">
        <v>29</v>
      </c>
      <c r="N574" s="2" t="s">
        <v>6394</v>
      </c>
      <c r="O574" s="2" t="s">
        <v>29</v>
      </c>
      <c r="P574" s="2" t="s">
        <v>6395</v>
      </c>
      <c r="Q574" s="2" t="s">
        <v>6396</v>
      </c>
      <c r="R574" s="2" t="s">
        <v>186</v>
      </c>
      <c r="S574" s="2" t="s">
        <v>187</v>
      </c>
      <c r="T574" s="2" t="s">
        <v>1656</v>
      </c>
      <c r="U574" s="2" t="s">
        <v>29</v>
      </c>
      <c r="V574" s="2" t="n">
        <v>1</v>
      </c>
    </row>
    <row r="575">
      <c r="A575" s="2" t="n">
        <v>574</v>
      </c>
      <c r="B575" s="2" t="s">
        <v>6397</v>
      </c>
      <c r="C575" s="2" t="n">
        <v>375.224908776</v>
      </c>
      <c r="D575" s="2" t="n">
        <v>1.85859913318154</v>
      </c>
      <c r="E575" s="2" t="s">
        <v>6398</v>
      </c>
      <c r="F575" s="2" t="s">
        <v>683</v>
      </c>
      <c r="G575" s="2" t="s">
        <v>6399</v>
      </c>
      <c r="H575" s="2" t="s">
        <v>6400</v>
      </c>
      <c r="I575" s="2" t="s">
        <v>6401</v>
      </c>
      <c r="J575" s="2" t="s">
        <v>6402</v>
      </c>
      <c r="K575" s="2" t="s">
        <v>29</v>
      </c>
      <c r="L575" s="2" t="s">
        <v>6403</v>
      </c>
      <c r="M575" s="2" t="s">
        <v>6404</v>
      </c>
      <c r="N575" s="2" t="s">
        <v>6405</v>
      </c>
      <c r="O575" s="2" t="s">
        <v>6406</v>
      </c>
      <c r="P575" s="2" t="s">
        <v>6407</v>
      </c>
      <c r="Q575" s="2" t="s">
        <v>6408</v>
      </c>
      <c r="R575" s="2" t="s">
        <v>36</v>
      </c>
      <c r="S575" s="2" t="s">
        <v>37</v>
      </c>
      <c r="T575" s="2" t="s">
        <v>69</v>
      </c>
      <c r="U575" s="2" t="s">
        <v>39</v>
      </c>
      <c r="V575" s="2" t="n">
        <v>1</v>
      </c>
    </row>
    <row r="576">
      <c r="A576" s="2" t="n">
        <v>575</v>
      </c>
      <c r="B576" s="2" t="s">
        <v>6409</v>
      </c>
      <c r="C576" s="2" t="n">
        <v>376.106958104</v>
      </c>
      <c r="D576" s="2" t="n">
        <v>2.95422617926523</v>
      </c>
      <c r="E576" s="2" t="s">
        <v>6410</v>
      </c>
      <c r="F576" s="2" t="s">
        <v>86</v>
      </c>
      <c r="G576" s="2" t="s">
        <v>6411</v>
      </c>
      <c r="H576" s="2" t="s">
        <v>6412</v>
      </c>
      <c r="I576" s="2" t="s">
        <v>6413</v>
      </c>
      <c r="J576" s="2" t="s">
        <v>195</v>
      </c>
      <c r="K576" s="2" t="s">
        <v>195</v>
      </c>
      <c r="L576" s="2" t="s">
        <v>195</v>
      </c>
      <c r="M576" s="2" t="s">
        <v>6414</v>
      </c>
      <c r="N576" s="2" t="s">
        <v>6415</v>
      </c>
      <c r="O576" s="2" t="s">
        <v>195</v>
      </c>
      <c r="P576" s="2" t="s">
        <v>6416</v>
      </c>
      <c r="Q576" s="2" t="s">
        <v>6417</v>
      </c>
      <c r="R576" s="2" t="s">
        <v>6418</v>
      </c>
      <c r="S576" s="2" t="s">
        <v>6419</v>
      </c>
      <c r="T576" s="2" t="s">
        <v>6420</v>
      </c>
      <c r="U576" s="2" t="s">
        <v>29</v>
      </c>
      <c r="V576" s="2" t="n">
        <v>3</v>
      </c>
    </row>
    <row r="577">
      <c r="A577" s="2" t="n">
        <v>576</v>
      </c>
      <c r="B577" s="2" t="s">
        <v>6421</v>
      </c>
      <c r="C577" s="2" t="n">
        <v>376.226010611</v>
      </c>
      <c r="D577" s="2" t="n">
        <v>9.21224041999089</v>
      </c>
      <c r="E577" s="2" t="s">
        <v>6422</v>
      </c>
      <c r="F577" s="2" t="s">
        <v>86</v>
      </c>
      <c r="G577" s="2" t="s">
        <v>6423</v>
      </c>
      <c r="H577" s="2" t="s">
        <v>6424</v>
      </c>
      <c r="I577" s="2" t="s">
        <v>6425</v>
      </c>
      <c r="J577" s="2" t="s">
        <v>29</v>
      </c>
      <c r="K577" s="2" t="s">
        <v>29</v>
      </c>
      <c r="L577" s="2" t="s">
        <v>29</v>
      </c>
      <c r="M577" s="2" t="s">
        <v>6426</v>
      </c>
      <c r="N577" s="2" t="s">
        <v>6427</v>
      </c>
      <c r="O577" s="2" t="s">
        <v>29</v>
      </c>
      <c r="P577" s="2" t="s">
        <v>6428</v>
      </c>
      <c r="Q577" s="2" t="s">
        <v>6429</v>
      </c>
      <c r="R577" s="2" t="s">
        <v>794</v>
      </c>
      <c r="S577" s="2" t="s">
        <v>795</v>
      </c>
      <c r="T577" s="2" t="s">
        <v>1870</v>
      </c>
      <c r="U577" s="2" t="s">
        <v>56</v>
      </c>
      <c r="V577" s="2" t="n">
        <v>1</v>
      </c>
    </row>
    <row r="578">
      <c r="A578" s="2" t="n">
        <v>577</v>
      </c>
      <c r="B578" s="2" t="s">
        <v>6430</v>
      </c>
      <c r="C578" s="2" t="n">
        <v>377.028037095</v>
      </c>
      <c r="D578" s="2" t="n">
        <v>0.533251843368121</v>
      </c>
      <c r="E578" s="2" t="s">
        <v>6431</v>
      </c>
      <c r="F578" s="2" t="s">
        <v>218</v>
      </c>
      <c r="G578" s="2" t="s">
        <v>6432</v>
      </c>
      <c r="H578" s="2" t="s">
        <v>6433</v>
      </c>
      <c r="I578" s="2" t="s">
        <v>6434</v>
      </c>
      <c r="J578" s="2" t="s">
        <v>29</v>
      </c>
      <c r="K578" s="2" t="s">
        <v>29</v>
      </c>
      <c r="L578" s="2" t="s">
        <v>29</v>
      </c>
      <c r="M578" s="2" t="s">
        <v>29</v>
      </c>
      <c r="N578" s="2" t="s">
        <v>29</v>
      </c>
      <c r="O578" s="2" t="s">
        <v>29</v>
      </c>
      <c r="P578" s="2" t="s">
        <v>6435</v>
      </c>
      <c r="Q578" s="2" t="s">
        <v>6436</v>
      </c>
      <c r="R578" s="2" t="s">
        <v>129</v>
      </c>
      <c r="S578" s="2" t="s">
        <v>130</v>
      </c>
      <c r="T578" s="2" t="s">
        <v>1681</v>
      </c>
      <c r="U578" s="2" t="s">
        <v>56</v>
      </c>
      <c r="V578" s="2" t="n">
        <v>1</v>
      </c>
    </row>
    <row r="579">
      <c r="A579" s="2" t="n">
        <v>578</v>
      </c>
      <c r="B579" s="2" t="s">
        <v>6437</v>
      </c>
      <c r="C579" s="2" t="n">
        <v>377.090973696</v>
      </c>
      <c r="D579" s="2" t="n">
        <v>2.3153880912917</v>
      </c>
      <c r="E579" s="2" t="s">
        <v>6438</v>
      </c>
      <c r="F579" s="2" t="s">
        <v>86</v>
      </c>
      <c r="G579" s="2" t="s">
        <v>6439</v>
      </c>
      <c r="H579" s="2" t="s">
        <v>6440</v>
      </c>
      <c r="I579" s="2" t="s">
        <v>6441</v>
      </c>
      <c r="J579" s="2" t="s">
        <v>6442</v>
      </c>
      <c r="K579" s="2" t="s">
        <v>29</v>
      </c>
      <c r="L579" s="2" t="s">
        <v>29</v>
      </c>
      <c r="M579" s="2" t="s">
        <v>6443</v>
      </c>
      <c r="N579" s="2" t="s">
        <v>6444</v>
      </c>
      <c r="O579" s="2" t="s">
        <v>29</v>
      </c>
      <c r="P579" s="2" t="s">
        <v>6445</v>
      </c>
      <c r="Q579" s="2" t="s">
        <v>6446</v>
      </c>
      <c r="R579" s="2" t="s">
        <v>114</v>
      </c>
      <c r="S579" s="2" t="s">
        <v>1254</v>
      </c>
      <c r="T579" s="2" t="s">
        <v>1255</v>
      </c>
      <c r="U579" s="2" t="s">
        <v>56</v>
      </c>
      <c r="V579" s="2" t="n">
        <v>1</v>
      </c>
    </row>
    <row r="580">
      <c r="A580" s="2" t="n">
        <v>579</v>
      </c>
      <c r="B580" s="2" t="s">
        <v>6447</v>
      </c>
      <c r="C580" s="2" t="n">
        <v>377.166901218</v>
      </c>
      <c r="D580" s="2" t="n">
        <v>2.71847341949056</v>
      </c>
      <c r="E580" s="2" t="s">
        <v>6448</v>
      </c>
      <c r="F580" s="2" t="s">
        <v>531</v>
      </c>
      <c r="G580" s="2" t="s">
        <v>6449</v>
      </c>
      <c r="H580" s="2" t="s">
        <v>6450</v>
      </c>
      <c r="I580" s="2" t="s">
        <v>6451</v>
      </c>
      <c r="J580" s="2" t="s">
        <v>91</v>
      </c>
      <c r="K580" s="2" t="s">
        <v>91</v>
      </c>
      <c r="L580" s="2" t="s">
        <v>91</v>
      </c>
      <c r="M580" s="2" t="s">
        <v>6452</v>
      </c>
      <c r="N580" s="2" t="s">
        <v>6453</v>
      </c>
      <c r="O580" s="2" t="s">
        <v>91</v>
      </c>
      <c r="P580" s="2" t="s">
        <v>6454</v>
      </c>
      <c r="Q580" s="2" t="s">
        <v>6455</v>
      </c>
      <c r="R580" s="2" t="s">
        <v>4649</v>
      </c>
      <c r="S580" s="2" t="s">
        <v>6456</v>
      </c>
      <c r="T580" s="2" t="s">
        <v>6457</v>
      </c>
      <c r="U580" s="2" t="s">
        <v>29</v>
      </c>
      <c r="V580" s="2" t="n">
        <v>2</v>
      </c>
    </row>
    <row r="581">
      <c r="A581" s="2" t="n">
        <v>580</v>
      </c>
      <c r="B581" s="2" t="s">
        <v>6458</v>
      </c>
      <c r="C581" s="2" t="n">
        <v>377.225282335</v>
      </c>
      <c r="D581" s="2" t="n">
        <v>3.48328043139316</v>
      </c>
      <c r="E581" s="2" t="s">
        <v>6459</v>
      </c>
      <c r="F581" s="2" t="s">
        <v>86</v>
      </c>
      <c r="G581" s="2" t="s">
        <v>6460</v>
      </c>
      <c r="H581" s="2" t="s">
        <v>6461</v>
      </c>
      <c r="I581" s="2" t="s">
        <v>6462</v>
      </c>
      <c r="J581" s="2" t="s">
        <v>195</v>
      </c>
      <c r="K581" s="2" t="s">
        <v>195</v>
      </c>
      <c r="L581" s="2" t="s">
        <v>195</v>
      </c>
      <c r="M581" s="2" t="s">
        <v>195</v>
      </c>
      <c r="N581" s="2" t="s">
        <v>6463</v>
      </c>
      <c r="O581" s="2" t="s">
        <v>195</v>
      </c>
      <c r="P581" s="2" t="s">
        <v>6464</v>
      </c>
      <c r="Q581" s="2" t="s">
        <v>6465</v>
      </c>
      <c r="R581" s="2" t="s">
        <v>255</v>
      </c>
      <c r="S581" s="2" t="s">
        <v>6466</v>
      </c>
      <c r="T581" s="2" t="s">
        <v>6467</v>
      </c>
      <c r="U581" s="2" t="s">
        <v>29</v>
      </c>
      <c r="V581" s="2" t="n">
        <v>3</v>
      </c>
    </row>
    <row r="582">
      <c r="A582" s="2" t="n">
        <v>581</v>
      </c>
      <c r="B582" s="2" t="s">
        <v>6468</v>
      </c>
      <c r="C582" s="2" t="n">
        <v>379.08514737</v>
      </c>
      <c r="D582" s="2" t="n">
        <v>2.89592377570986</v>
      </c>
      <c r="E582" s="2" t="s">
        <v>6469</v>
      </c>
      <c r="F582" s="2" t="s">
        <v>161</v>
      </c>
      <c r="G582" s="2" t="s">
        <v>6470</v>
      </c>
      <c r="H582" s="2" t="s">
        <v>6471</v>
      </c>
      <c r="I582" s="2" t="s">
        <v>6472</v>
      </c>
      <c r="J582" s="2" t="s">
        <v>6473</v>
      </c>
      <c r="K582" s="2" t="s">
        <v>29</v>
      </c>
      <c r="L582" s="2" t="s">
        <v>29</v>
      </c>
      <c r="M582" s="2" t="s">
        <v>29</v>
      </c>
      <c r="N582" s="2" t="s">
        <v>6474</v>
      </c>
      <c r="O582" s="2" t="s">
        <v>6475</v>
      </c>
      <c r="P582" s="2" t="s">
        <v>6476</v>
      </c>
      <c r="Q582" s="2" t="s">
        <v>6477</v>
      </c>
      <c r="R582" s="2" t="s">
        <v>1355</v>
      </c>
      <c r="S582" s="2" t="s">
        <v>6478</v>
      </c>
      <c r="T582" s="2" t="s">
        <v>6479</v>
      </c>
      <c r="U582" s="2" t="s">
        <v>56</v>
      </c>
      <c r="V582" s="2" t="n">
        <v>1</v>
      </c>
    </row>
    <row r="583">
      <c r="A583" s="2" t="n">
        <v>582</v>
      </c>
      <c r="B583" s="2" t="s">
        <v>6480</v>
      </c>
      <c r="C583" s="2" t="n">
        <v>379.173541897</v>
      </c>
      <c r="D583" s="2" t="n">
        <v>4.34436667837848</v>
      </c>
      <c r="E583" s="2" t="s">
        <v>6481</v>
      </c>
      <c r="F583" s="2" t="s">
        <v>24</v>
      </c>
      <c r="G583" s="2" t="s">
        <v>6482</v>
      </c>
      <c r="H583" s="2" t="s">
        <v>6483</v>
      </c>
      <c r="I583" s="2" t="s">
        <v>6484</v>
      </c>
      <c r="J583" s="2" t="s">
        <v>29</v>
      </c>
      <c r="K583" s="2" t="s">
        <v>29</v>
      </c>
      <c r="L583" s="2" t="s">
        <v>29</v>
      </c>
      <c r="M583" s="2" t="s">
        <v>29</v>
      </c>
      <c r="N583" s="2" t="s">
        <v>6485</v>
      </c>
      <c r="O583" s="2" t="s">
        <v>29</v>
      </c>
      <c r="P583" s="2" t="s">
        <v>6486</v>
      </c>
      <c r="Q583" s="2" t="s">
        <v>6487</v>
      </c>
      <c r="R583" s="2" t="s">
        <v>2416</v>
      </c>
      <c r="S583" s="2" t="s">
        <v>2417</v>
      </c>
      <c r="T583" s="2" t="s">
        <v>2418</v>
      </c>
      <c r="U583" s="2" t="s">
        <v>29</v>
      </c>
      <c r="V583" s="2" t="n">
        <v>1</v>
      </c>
    </row>
    <row r="584">
      <c r="A584" s="2" t="n">
        <v>583</v>
      </c>
      <c r="B584" s="2" t="s">
        <v>6488</v>
      </c>
      <c r="C584" s="2" t="n">
        <v>379.248998262</v>
      </c>
      <c r="D584" s="2" t="n">
        <v>9.82425288031168</v>
      </c>
      <c r="E584" s="2" t="s">
        <v>6489</v>
      </c>
      <c r="F584" s="2" t="s">
        <v>24</v>
      </c>
      <c r="G584" s="2" t="s">
        <v>6490</v>
      </c>
      <c r="H584" s="2" t="s">
        <v>6491</v>
      </c>
      <c r="I584" s="2" t="s">
        <v>6492</v>
      </c>
      <c r="J584" s="2" t="s">
        <v>6493</v>
      </c>
      <c r="K584" s="2" t="s">
        <v>6494</v>
      </c>
      <c r="L584" s="2" t="s">
        <v>29</v>
      </c>
      <c r="M584" s="2" t="s">
        <v>6495</v>
      </c>
      <c r="N584" s="2" t="s">
        <v>6496</v>
      </c>
      <c r="O584" s="2" t="s">
        <v>29</v>
      </c>
      <c r="P584" s="2" t="s">
        <v>6497</v>
      </c>
      <c r="Q584" s="2" t="s">
        <v>6498</v>
      </c>
      <c r="R584" s="2" t="s">
        <v>794</v>
      </c>
      <c r="S584" s="2" t="s">
        <v>2971</v>
      </c>
      <c r="T584" s="2" t="s">
        <v>6499</v>
      </c>
      <c r="U584" s="2" t="s">
        <v>56</v>
      </c>
      <c r="V584" s="2" t="n">
        <v>1</v>
      </c>
    </row>
    <row r="585">
      <c r="A585" s="2" t="n">
        <v>584</v>
      </c>
      <c r="B585" s="2" t="s">
        <v>6500</v>
      </c>
      <c r="C585" s="2" t="n">
        <v>380.061283339</v>
      </c>
      <c r="D585" s="2" t="n">
        <v>0.830730808632635</v>
      </c>
      <c r="E585" s="2" t="s">
        <v>6501</v>
      </c>
      <c r="F585" s="2" t="s">
        <v>205</v>
      </c>
      <c r="G585" s="2" t="s">
        <v>6502</v>
      </c>
      <c r="H585" s="2" t="s">
        <v>6503</v>
      </c>
      <c r="I585" s="2" t="s">
        <v>6504</v>
      </c>
      <c r="J585" s="2" t="s">
        <v>6505</v>
      </c>
      <c r="K585" s="2" t="s">
        <v>29</v>
      </c>
      <c r="L585" s="2" t="s">
        <v>6506</v>
      </c>
      <c r="M585" s="2" t="s">
        <v>6507</v>
      </c>
      <c r="N585" s="2" t="s">
        <v>6508</v>
      </c>
      <c r="O585" s="2" t="s">
        <v>6509</v>
      </c>
      <c r="P585" s="2" t="s">
        <v>6510</v>
      </c>
      <c r="Q585" s="2" t="s">
        <v>6511</v>
      </c>
      <c r="R585" s="2" t="s">
        <v>114</v>
      </c>
      <c r="S585" s="2" t="s">
        <v>680</v>
      </c>
      <c r="T585" s="2" t="s">
        <v>3543</v>
      </c>
      <c r="U585" s="2" t="s">
        <v>101</v>
      </c>
      <c r="V585" s="2" t="n">
        <v>1</v>
      </c>
    </row>
    <row r="586">
      <c r="A586" s="2" t="n">
        <v>585</v>
      </c>
      <c r="B586" s="2" t="s">
        <v>6512</v>
      </c>
      <c r="C586" s="2" t="n">
        <v>381.110864079</v>
      </c>
      <c r="D586" s="2" t="n">
        <v>4.9016753769311</v>
      </c>
      <c r="E586" s="2" t="s">
        <v>6513</v>
      </c>
      <c r="F586" s="2" t="s">
        <v>24</v>
      </c>
      <c r="G586" s="2" t="s">
        <v>6514</v>
      </c>
      <c r="H586" s="2" t="s">
        <v>6515</v>
      </c>
      <c r="I586" s="2" t="s">
        <v>6516</v>
      </c>
      <c r="J586" s="2" t="s">
        <v>29</v>
      </c>
      <c r="K586" s="2" t="s">
        <v>29</v>
      </c>
      <c r="L586" s="2" t="s">
        <v>29</v>
      </c>
      <c r="M586" s="2" t="s">
        <v>29</v>
      </c>
      <c r="N586" s="2" t="s">
        <v>29</v>
      </c>
      <c r="O586" s="2" t="s">
        <v>29</v>
      </c>
      <c r="P586" s="2" t="s">
        <v>6517</v>
      </c>
      <c r="Q586" s="2" t="s">
        <v>6518</v>
      </c>
      <c r="R586" s="2" t="s">
        <v>36</v>
      </c>
      <c r="S586" s="2" t="s">
        <v>2572</v>
      </c>
      <c r="T586" s="2" t="s">
        <v>2637</v>
      </c>
      <c r="U586" s="2" t="s">
        <v>29</v>
      </c>
      <c r="V586" s="2" t="n">
        <v>1</v>
      </c>
    </row>
    <row r="587">
      <c r="A587" s="2" t="n">
        <v>586</v>
      </c>
      <c r="B587" s="2" t="s">
        <v>6519</v>
      </c>
      <c r="C587" s="2" t="n">
        <v>381.191877314</v>
      </c>
      <c r="D587" s="2" t="n">
        <v>0.21523490175061</v>
      </c>
      <c r="E587" s="2" t="s">
        <v>6520</v>
      </c>
      <c r="F587" s="2" t="s">
        <v>24</v>
      </c>
      <c r="G587" s="2" t="s">
        <v>6521</v>
      </c>
      <c r="H587" s="2" t="s">
        <v>6522</v>
      </c>
      <c r="I587" s="2" t="s">
        <v>6523</v>
      </c>
      <c r="J587" s="2" t="s">
        <v>6524</v>
      </c>
      <c r="K587" s="2" t="s">
        <v>29</v>
      </c>
      <c r="L587" s="2" t="s">
        <v>6525</v>
      </c>
      <c r="M587" s="2" t="s">
        <v>29</v>
      </c>
      <c r="N587" s="2" t="s">
        <v>6526</v>
      </c>
      <c r="O587" s="2" t="s">
        <v>6527</v>
      </c>
      <c r="P587" s="2" t="s">
        <v>6528</v>
      </c>
      <c r="Q587" s="2" t="s">
        <v>6529</v>
      </c>
      <c r="R587" s="2" t="s">
        <v>794</v>
      </c>
      <c r="S587" s="2" t="s">
        <v>1098</v>
      </c>
      <c r="T587" s="2" t="s">
        <v>3308</v>
      </c>
      <c r="U587" s="2" t="s">
        <v>56</v>
      </c>
      <c r="V587" s="2" t="n">
        <v>1</v>
      </c>
    </row>
    <row r="588">
      <c r="A588" s="2" t="n">
        <v>587</v>
      </c>
      <c r="B588" s="2" t="s">
        <v>6530</v>
      </c>
      <c r="C588" s="2" t="n">
        <v>381.243518954</v>
      </c>
      <c r="D588" s="2" t="n">
        <v>5.50291806298874</v>
      </c>
      <c r="E588" s="2" t="s">
        <v>6531</v>
      </c>
      <c r="F588" s="2" t="s">
        <v>24</v>
      </c>
      <c r="G588" s="2" t="s">
        <v>6532</v>
      </c>
      <c r="H588" s="2" t="s">
        <v>6533</v>
      </c>
      <c r="I588" s="2" t="s">
        <v>6534</v>
      </c>
      <c r="J588" s="2" t="s">
        <v>6535</v>
      </c>
      <c r="K588" s="2" t="s">
        <v>29</v>
      </c>
      <c r="L588" s="2" t="s">
        <v>29</v>
      </c>
      <c r="M588" s="2" t="s">
        <v>6536</v>
      </c>
      <c r="N588" s="2" t="s">
        <v>6537</v>
      </c>
      <c r="O588" s="2" t="s">
        <v>29</v>
      </c>
      <c r="P588" s="2" t="s">
        <v>6538</v>
      </c>
      <c r="Q588" s="2" t="s">
        <v>6539</v>
      </c>
      <c r="R588" s="2" t="s">
        <v>794</v>
      </c>
      <c r="S588" s="2" t="s">
        <v>1098</v>
      </c>
      <c r="T588" s="2" t="s">
        <v>4662</v>
      </c>
      <c r="U588" s="2" t="s">
        <v>56</v>
      </c>
      <c r="V588" s="2" t="n">
        <v>1</v>
      </c>
    </row>
    <row r="589">
      <c r="A589" s="2" t="n">
        <v>588</v>
      </c>
      <c r="B589" s="2" t="s">
        <v>6540</v>
      </c>
      <c r="C589" s="2" t="n">
        <v>381.986622</v>
      </c>
      <c r="D589" s="2" t="n">
        <v>5.24853339472808</v>
      </c>
      <c r="E589" s="2" t="s">
        <v>6541</v>
      </c>
      <c r="F589" s="2" t="s">
        <v>86</v>
      </c>
      <c r="G589" s="2" t="s">
        <v>6542</v>
      </c>
      <c r="H589" s="2" t="s">
        <v>6543</v>
      </c>
      <c r="I589" s="2" t="s">
        <v>6544</v>
      </c>
      <c r="J589" s="2" t="s">
        <v>6545</v>
      </c>
      <c r="K589" s="2" t="s">
        <v>29</v>
      </c>
      <c r="L589" s="2" t="s">
        <v>29</v>
      </c>
      <c r="M589" s="2" t="s">
        <v>29</v>
      </c>
      <c r="N589" s="2" t="s">
        <v>6546</v>
      </c>
      <c r="O589" s="2" t="s">
        <v>29</v>
      </c>
      <c r="P589" s="2" t="s">
        <v>6547</v>
      </c>
      <c r="Q589" s="2" t="s">
        <v>6548</v>
      </c>
      <c r="R589" s="2" t="s">
        <v>114</v>
      </c>
      <c r="S589" s="2" t="s">
        <v>3933</v>
      </c>
      <c r="T589" s="2" t="s">
        <v>215</v>
      </c>
      <c r="U589" s="2" t="s">
        <v>29</v>
      </c>
      <c r="V589" s="2" t="n">
        <v>1</v>
      </c>
    </row>
    <row r="590">
      <c r="A590" s="2" t="n">
        <v>589</v>
      </c>
      <c r="B590" s="2" t="s">
        <v>6549</v>
      </c>
      <c r="C590" s="2" t="n">
        <v>382.100436545</v>
      </c>
      <c r="D590" s="2" t="n">
        <v>3.84107216196094</v>
      </c>
      <c r="E590" s="2" t="s">
        <v>6550</v>
      </c>
      <c r="F590" s="2" t="s">
        <v>24</v>
      </c>
      <c r="G590" s="2" t="s">
        <v>6551</v>
      </c>
      <c r="H590" s="2" t="s">
        <v>6552</v>
      </c>
      <c r="I590" s="2" t="s">
        <v>6553</v>
      </c>
      <c r="J590" s="2" t="s">
        <v>6554</v>
      </c>
      <c r="K590" s="2" t="s">
        <v>29</v>
      </c>
      <c r="L590" s="2" t="s">
        <v>29</v>
      </c>
      <c r="M590" s="2" t="s">
        <v>6555</v>
      </c>
      <c r="N590" s="2" t="s">
        <v>6556</v>
      </c>
      <c r="O590" s="2" t="s">
        <v>6557</v>
      </c>
      <c r="P590" s="2" t="s">
        <v>6558</v>
      </c>
      <c r="Q590" s="2" t="s">
        <v>6559</v>
      </c>
      <c r="R590" s="2" t="s">
        <v>2416</v>
      </c>
      <c r="S590" s="2" t="s">
        <v>6560</v>
      </c>
      <c r="T590" s="2" t="s">
        <v>215</v>
      </c>
      <c r="U590" s="2" t="s">
        <v>39</v>
      </c>
      <c r="V590" s="2" t="n">
        <v>1</v>
      </c>
    </row>
    <row r="591">
      <c r="A591" s="2" t="n">
        <v>590</v>
      </c>
      <c r="B591" s="2" t="s">
        <v>6561</v>
      </c>
      <c r="C591" s="2" t="n">
        <v>382.242134925</v>
      </c>
      <c r="D591" s="2" t="n">
        <v>5.72744033691971</v>
      </c>
      <c r="E591" s="2" t="s">
        <v>6562</v>
      </c>
      <c r="F591" s="2" t="s">
        <v>205</v>
      </c>
      <c r="G591" s="2" t="s">
        <v>6563</v>
      </c>
      <c r="H591" s="2" t="s">
        <v>6564</v>
      </c>
      <c r="I591" s="2" t="s">
        <v>6565</v>
      </c>
      <c r="J591" s="2" t="s">
        <v>6566</v>
      </c>
      <c r="K591" s="2" t="s">
        <v>29</v>
      </c>
      <c r="L591" s="2" t="s">
        <v>29</v>
      </c>
      <c r="M591" s="2" t="s">
        <v>29</v>
      </c>
      <c r="N591" s="2" t="s">
        <v>6567</v>
      </c>
      <c r="O591" s="2" t="s">
        <v>6568</v>
      </c>
      <c r="P591" s="2" t="s">
        <v>6569</v>
      </c>
      <c r="Q591" s="2" t="s">
        <v>6570</v>
      </c>
      <c r="R591" s="2" t="s">
        <v>186</v>
      </c>
      <c r="S591" s="2" t="s">
        <v>187</v>
      </c>
      <c r="T591" s="2" t="s">
        <v>1895</v>
      </c>
      <c r="U591" s="2" t="s">
        <v>29</v>
      </c>
      <c r="V591" s="2" t="n">
        <v>1</v>
      </c>
    </row>
    <row r="592">
      <c r="A592" s="2" t="n">
        <v>591</v>
      </c>
      <c r="B592" s="2" t="s">
        <v>6571</v>
      </c>
      <c r="C592" s="2" t="n">
        <v>382.9877879</v>
      </c>
      <c r="D592" s="2" t="n">
        <v>7.07431107547681</v>
      </c>
      <c r="E592" s="2" t="s">
        <v>6572</v>
      </c>
      <c r="F592" s="2" t="s">
        <v>161</v>
      </c>
      <c r="G592" s="2" t="s">
        <v>6573</v>
      </c>
      <c r="H592" s="2" t="s">
        <v>6574</v>
      </c>
      <c r="I592" s="2" t="s">
        <v>6575</v>
      </c>
      <c r="J592" s="2" t="s">
        <v>195</v>
      </c>
      <c r="K592" s="2" t="s">
        <v>195</v>
      </c>
      <c r="L592" s="2" t="s">
        <v>195</v>
      </c>
      <c r="M592" s="2" t="s">
        <v>195</v>
      </c>
      <c r="N592" s="2" t="s">
        <v>6576</v>
      </c>
      <c r="O592" s="2" t="s">
        <v>195</v>
      </c>
      <c r="P592" s="2" t="s">
        <v>6577</v>
      </c>
      <c r="Q592" s="2" t="s">
        <v>6578</v>
      </c>
      <c r="R592" s="2" t="s">
        <v>490</v>
      </c>
      <c r="S592" s="2" t="s">
        <v>6579</v>
      </c>
      <c r="T592" s="2" t="s">
        <v>6580</v>
      </c>
      <c r="U592" s="2" t="s">
        <v>29</v>
      </c>
      <c r="V592" s="2" t="n">
        <v>3</v>
      </c>
    </row>
    <row r="593">
      <c r="A593" s="2" t="n">
        <v>592</v>
      </c>
      <c r="B593" s="2" t="s">
        <v>6581</v>
      </c>
      <c r="C593" s="2" t="n">
        <v>383.060948988</v>
      </c>
      <c r="D593" s="2" t="n">
        <v>4.94054194204392</v>
      </c>
      <c r="E593" s="2" t="s">
        <v>6582</v>
      </c>
      <c r="F593" s="2" t="s">
        <v>205</v>
      </c>
      <c r="G593" s="2" t="s">
        <v>6583</v>
      </c>
      <c r="H593" s="2" t="s">
        <v>6584</v>
      </c>
      <c r="I593" s="2" t="s">
        <v>6585</v>
      </c>
      <c r="J593" s="2" t="s">
        <v>6586</v>
      </c>
      <c r="K593" s="2" t="s">
        <v>29</v>
      </c>
      <c r="L593" s="2" t="s">
        <v>6587</v>
      </c>
      <c r="M593" s="2" t="s">
        <v>6588</v>
      </c>
      <c r="N593" s="2" t="s">
        <v>6589</v>
      </c>
      <c r="O593" s="2" t="s">
        <v>6590</v>
      </c>
      <c r="P593" s="2" t="s">
        <v>6591</v>
      </c>
      <c r="Q593" s="2" t="s">
        <v>6592</v>
      </c>
      <c r="R593" s="2" t="s">
        <v>2416</v>
      </c>
      <c r="S593" s="2" t="s">
        <v>3186</v>
      </c>
      <c r="T593" s="2" t="s">
        <v>3187</v>
      </c>
      <c r="U593" s="2" t="s">
        <v>56</v>
      </c>
      <c r="V593" s="2" t="n">
        <v>1</v>
      </c>
    </row>
    <row r="594">
      <c r="A594" s="2" t="n">
        <v>593</v>
      </c>
      <c r="B594" s="2" t="s">
        <v>6593</v>
      </c>
      <c r="C594" s="2" t="n">
        <v>383.1162439</v>
      </c>
      <c r="D594" s="2" t="n">
        <v>1.22380147577598</v>
      </c>
      <c r="E594" s="2" t="s">
        <v>6594</v>
      </c>
      <c r="F594" s="2" t="s">
        <v>161</v>
      </c>
      <c r="G594" s="2" t="s">
        <v>6595</v>
      </c>
      <c r="H594" s="2" t="s">
        <v>6596</v>
      </c>
      <c r="I594" s="2" t="s">
        <v>6597</v>
      </c>
      <c r="J594" s="2" t="s">
        <v>29</v>
      </c>
      <c r="K594" s="2" t="s">
        <v>29</v>
      </c>
      <c r="L594" s="2" t="s">
        <v>29</v>
      </c>
      <c r="M594" s="2" t="s">
        <v>29</v>
      </c>
      <c r="N594" s="2" t="s">
        <v>6598</v>
      </c>
      <c r="O594" s="2" t="s">
        <v>29</v>
      </c>
      <c r="P594" s="2" t="s">
        <v>6599</v>
      </c>
      <c r="Q594" s="2" t="s">
        <v>6600</v>
      </c>
      <c r="R594" s="2" t="s">
        <v>186</v>
      </c>
      <c r="S594" s="2" t="s">
        <v>187</v>
      </c>
      <c r="T594" s="2" t="s">
        <v>6601</v>
      </c>
      <c r="U594" s="2" t="s">
        <v>29</v>
      </c>
      <c r="V594" s="2" t="n">
        <v>1</v>
      </c>
    </row>
    <row r="595">
      <c r="A595" s="2" t="n">
        <v>594</v>
      </c>
      <c r="B595" s="2" t="s">
        <v>6602</v>
      </c>
      <c r="C595" s="2" t="n">
        <v>384.028725036</v>
      </c>
      <c r="D595" s="2" t="n">
        <v>9.77686952953928</v>
      </c>
      <c r="E595" s="2" t="s">
        <v>6603</v>
      </c>
      <c r="F595" s="2" t="s">
        <v>86</v>
      </c>
      <c r="G595" s="2" t="s">
        <v>6604</v>
      </c>
      <c r="H595" s="2" t="s">
        <v>6605</v>
      </c>
      <c r="I595" s="2" t="s">
        <v>6606</v>
      </c>
      <c r="J595" s="2" t="s">
        <v>1874</v>
      </c>
      <c r="K595" s="2" t="s">
        <v>29</v>
      </c>
      <c r="L595" s="2" t="s">
        <v>29</v>
      </c>
      <c r="M595" s="2" t="s">
        <v>29</v>
      </c>
      <c r="N595" s="2" t="s">
        <v>6607</v>
      </c>
      <c r="O595" s="2" t="s">
        <v>6608</v>
      </c>
      <c r="P595" s="2" t="s">
        <v>6609</v>
      </c>
      <c r="Q595" s="2" t="s">
        <v>6610</v>
      </c>
      <c r="R595" s="2" t="s">
        <v>36</v>
      </c>
      <c r="S595" s="2" t="s">
        <v>1857</v>
      </c>
      <c r="T595" s="2" t="s">
        <v>1858</v>
      </c>
      <c r="U595" s="2" t="s">
        <v>29</v>
      </c>
      <c r="V595" s="2" t="n">
        <v>1</v>
      </c>
    </row>
    <row r="596">
      <c r="A596" s="2" t="n">
        <v>595</v>
      </c>
      <c r="B596" s="2" t="s">
        <v>6611</v>
      </c>
      <c r="C596" s="2" t="n">
        <v>384.218032482</v>
      </c>
      <c r="D596" s="2" t="n">
        <v>8.0578453674639</v>
      </c>
      <c r="E596" s="2" t="s">
        <v>6612</v>
      </c>
      <c r="F596" s="2" t="s">
        <v>24</v>
      </c>
      <c r="G596" s="2" t="s">
        <v>6613</v>
      </c>
      <c r="H596" s="2" t="s">
        <v>6614</v>
      </c>
      <c r="I596" s="2" t="s">
        <v>6615</v>
      </c>
      <c r="J596" s="2" t="s">
        <v>29</v>
      </c>
      <c r="K596" s="2" t="s">
        <v>29</v>
      </c>
      <c r="L596" s="2" t="s">
        <v>29</v>
      </c>
      <c r="M596" s="2" t="s">
        <v>29</v>
      </c>
      <c r="N596" s="2" t="s">
        <v>6616</v>
      </c>
      <c r="O596" s="2" t="s">
        <v>29</v>
      </c>
      <c r="P596" s="2" t="s">
        <v>6617</v>
      </c>
      <c r="Q596" s="2" t="s">
        <v>6618</v>
      </c>
      <c r="R596" s="2" t="s">
        <v>114</v>
      </c>
      <c r="S596" s="2" t="s">
        <v>6312</v>
      </c>
      <c r="T596" s="2" t="s">
        <v>6313</v>
      </c>
      <c r="U596" s="2" t="s">
        <v>29</v>
      </c>
      <c r="V596" s="2" t="n">
        <v>1</v>
      </c>
    </row>
    <row r="597">
      <c r="A597" s="2" t="n">
        <v>596</v>
      </c>
      <c r="B597" s="2" t="s">
        <v>6619</v>
      </c>
      <c r="C597" s="2" t="n">
        <v>384.994248887</v>
      </c>
      <c r="D597" s="2" t="n">
        <v>1.74411781898905</v>
      </c>
      <c r="E597" s="2" t="s">
        <v>6620</v>
      </c>
      <c r="F597" s="2" t="s">
        <v>205</v>
      </c>
      <c r="G597" s="2" t="s">
        <v>6621</v>
      </c>
      <c r="H597" s="2" t="s">
        <v>6622</v>
      </c>
      <c r="I597" s="2" t="s">
        <v>6623</v>
      </c>
      <c r="J597" s="2" t="s">
        <v>29</v>
      </c>
      <c r="K597" s="2" t="s">
        <v>29</v>
      </c>
      <c r="L597" s="2" t="s">
        <v>29</v>
      </c>
      <c r="M597" s="2" t="s">
        <v>29</v>
      </c>
      <c r="N597" s="2" t="s">
        <v>29</v>
      </c>
      <c r="O597" s="2" t="s">
        <v>29</v>
      </c>
      <c r="P597" s="2" t="s">
        <v>6624</v>
      </c>
      <c r="Q597" s="2" t="s">
        <v>6625</v>
      </c>
      <c r="R597" s="2" t="s">
        <v>129</v>
      </c>
      <c r="S597" s="2" t="s">
        <v>130</v>
      </c>
      <c r="T597" s="2" t="s">
        <v>1681</v>
      </c>
      <c r="U597" s="2" t="s">
        <v>39</v>
      </c>
      <c r="V597" s="2" t="n">
        <v>1</v>
      </c>
    </row>
    <row r="598">
      <c r="A598" s="2" t="n">
        <v>597</v>
      </c>
      <c r="B598" s="2" t="s">
        <v>6626</v>
      </c>
      <c r="C598" s="2" t="n">
        <v>385.176895945</v>
      </c>
      <c r="D598" s="2" t="n">
        <v>6.58293096452869</v>
      </c>
      <c r="E598" s="2" t="s">
        <v>6627</v>
      </c>
      <c r="F598" s="2" t="s">
        <v>24</v>
      </c>
      <c r="G598" s="2" t="s">
        <v>6628</v>
      </c>
      <c r="H598" s="2" t="s">
        <v>6629</v>
      </c>
      <c r="I598" s="2" t="s">
        <v>6630</v>
      </c>
      <c r="J598" s="2" t="s">
        <v>29</v>
      </c>
      <c r="K598" s="2" t="s">
        <v>29</v>
      </c>
      <c r="L598" s="2" t="s">
        <v>29</v>
      </c>
      <c r="M598" s="2" t="s">
        <v>29</v>
      </c>
      <c r="N598" s="2" t="s">
        <v>6631</v>
      </c>
      <c r="O598" s="2" t="s">
        <v>29</v>
      </c>
      <c r="P598" s="2" t="s">
        <v>6632</v>
      </c>
      <c r="Q598" s="2" t="s">
        <v>6633</v>
      </c>
      <c r="R598" s="2" t="s">
        <v>114</v>
      </c>
      <c r="S598" s="2" t="s">
        <v>3933</v>
      </c>
      <c r="T598" s="2" t="s">
        <v>6634</v>
      </c>
      <c r="U598" s="2" t="s">
        <v>29</v>
      </c>
      <c r="V598" s="2" t="n">
        <v>1</v>
      </c>
    </row>
    <row r="599">
      <c r="A599" s="2" t="n">
        <v>598</v>
      </c>
      <c r="B599" s="2" t="s">
        <v>6635</v>
      </c>
      <c r="C599" s="2" t="n">
        <v>385.23133418</v>
      </c>
      <c r="D599" s="2" t="n">
        <v>2.07641357985868</v>
      </c>
      <c r="E599" s="2" t="s">
        <v>6636</v>
      </c>
      <c r="F599" s="2" t="s">
        <v>24</v>
      </c>
      <c r="G599" s="2" t="s">
        <v>6637</v>
      </c>
      <c r="H599" s="2" t="s">
        <v>6638</v>
      </c>
      <c r="I599" s="2" t="s">
        <v>6639</v>
      </c>
      <c r="J599" s="2" t="s">
        <v>29</v>
      </c>
      <c r="K599" s="2" t="s">
        <v>29</v>
      </c>
      <c r="L599" s="2" t="s">
        <v>29</v>
      </c>
      <c r="M599" s="2" t="s">
        <v>29</v>
      </c>
      <c r="N599" s="2" t="s">
        <v>6640</v>
      </c>
      <c r="O599" s="2" t="s">
        <v>29</v>
      </c>
      <c r="P599" s="2" t="s">
        <v>6641</v>
      </c>
      <c r="Q599" s="2" t="s">
        <v>6642</v>
      </c>
      <c r="R599" s="2" t="s">
        <v>36</v>
      </c>
      <c r="S599" s="2" t="s">
        <v>2572</v>
      </c>
      <c r="T599" s="2" t="s">
        <v>2637</v>
      </c>
      <c r="U599" s="2" t="s">
        <v>29</v>
      </c>
      <c r="V599" s="2" t="n">
        <v>1</v>
      </c>
    </row>
    <row r="600">
      <c r="A600" s="2" t="n">
        <v>599</v>
      </c>
      <c r="B600" s="2" t="s">
        <v>6643</v>
      </c>
      <c r="C600" s="2" t="n">
        <v>385.256510702</v>
      </c>
      <c r="D600" s="2" t="n">
        <v>19.3173199176667</v>
      </c>
      <c r="E600" s="2" t="s">
        <v>6644</v>
      </c>
      <c r="F600" s="2" t="s">
        <v>161</v>
      </c>
      <c r="G600" s="2" t="s">
        <v>6645</v>
      </c>
      <c r="H600" s="2" t="s">
        <v>6646</v>
      </c>
      <c r="I600" s="2" t="s">
        <v>6647</v>
      </c>
      <c r="J600" s="2" t="s">
        <v>29</v>
      </c>
      <c r="K600" s="2" t="s">
        <v>29</v>
      </c>
      <c r="L600" s="2" t="s">
        <v>29</v>
      </c>
      <c r="M600" s="2" t="s">
        <v>29</v>
      </c>
      <c r="N600" s="2" t="s">
        <v>6648</v>
      </c>
      <c r="O600" s="2" t="s">
        <v>29</v>
      </c>
      <c r="P600" s="2" t="s">
        <v>6649</v>
      </c>
      <c r="Q600" s="2" t="s">
        <v>6650</v>
      </c>
      <c r="R600" s="2" t="s">
        <v>794</v>
      </c>
      <c r="S600" s="2" t="s">
        <v>2971</v>
      </c>
      <c r="T600" s="2" t="s">
        <v>5934</v>
      </c>
      <c r="U600" s="2" t="s">
        <v>29</v>
      </c>
      <c r="V600" s="2" t="n">
        <v>1</v>
      </c>
    </row>
    <row r="601">
      <c r="A601" s="2" t="n">
        <v>600</v>
      </c>
      <c r="B601" s="2" t="s">
        <v>6651</v>
      </c>
      <c r="C601" s="2" t="n">
        <v>386.0212363</v>
      </c>
      <c r="D601" s="2" t="n">
        <v>0.606230986416001</v>
      </c>
      <c r="E601" s="2" t="s">
        <v>6652</v>
      </c>
      <c r="F601" s="2" t="s">
        <v>86</v>
      </c>
      <c r="G601" s="2" t="s">
        <v>6653</v>
      </c>
      <c r="H601" s="2" t="s">
        <v>6654</v>
      </c>
      <c r="I601" s="2" t="s">
        <v>6655</v>
      </c>
      <c r="J601" s="2" t="s">
        <v>29</v>
      </c>
      <c r="K601" s="2" t="s">
        <v>29</v>
      </c>
      <c r="L601" s="2" t="s">
        <v>29</v>
      </c>
      <c r="M601" s="2" t="s">
        <v>29</v>
      </c>
      <c r="N601" s="2" t="s">
        <v>6656</v>
      </c>
      <c r="O601" s="2" t="s">
        <v>29</v>
      </c>
      <c r="P601" s="2" t="s">
        <v>6657</v>
      </c>
      <c r="Q601" s="2" t="s">
        <v>6658</v>
      </c>
      <c r="R601" s="2" t="s">
        <v>186</v>
      </c>
      <c r="S601" s="2" t="s">
        <v>911</v>
      </c>
      <c r="T601" s="2" t="s">
        <v>215</v>
      </c>
      <c r="U601" s="2" t="s">
        <v>29</v>
      </c>
      <c r="V601" s="2" t="n">
        <v>1</v>
      </c>
    </row>
    <row r="602">
      <c r="A602" s="2" t="n">
        <v>601</v>
      </c>
      <c r="B602" s="2" t="s">
        <v>6659</v>
      </c>
      <c r="C602" s="2" t="n">
        <v>386.240342867</v>
      </c>
      <c r="D602" s="2" t="n">
        <v>3.65650263763707</v>
      </c>
      <c r="E602" s="2" t="s">
        <v>6660</v>
      </c>
      <c r="F602" s="2" t="s">
        <v>161</v>
      </c>
      <c r="G602" s="2" t="s">
        <v>6661</v>
      </c>
      <c r="H602" s="2" t="s">
        <v>6662</v>
      </c>
      <c r="I602" s="2" t="s">
        <v>6663</v>
      </c>
      <c r="J602" s="2" t="s">
        <v>29</v>
      </c>
      <c r="K602" s="2" t="s">
        <v>29</v>
      </c>
      <c r="L602" s="2" t="s">
        <v>29</v>
      </c>
      <c r="M602" s="2" t="s">
        <v>29</v>
      </c>
      <c r="N602" s="2" t="s">
        <v>6664</v>
      </c>
      <c r="O602" s="2" t="s">
        <v>29</v>
      </c>
      <c r="P602" s="2" t="s">
        <v>6665</v>
      </c>
      <c r="Q602" s="2" t="s">
        <v>6666</v>
      </c>
      <c r="R602" s="2" t="s">
        <v>129</v>
      </c>
      <c r="S602" s="2" t="s">
        <v>130</v>
      </c>
      <c r="T602" s="2" t="s">
        <v>1681</v>
      </c>
      <c r="U602" s="2" t="s">
        <v>29</v>
      </c>
      <c r="V602" s="2" t="n">
        <v>1</v>
      </c>
    </row>
    <row r="603">
      <c r="A603" s="2" t="n">
        <v>602</v>
      </c>
      <c r="B603" s="2" t="s">
        <v>6667</v>
      </c>
      <c r="C603" s="2" t="n">
        <v>387.018107511</v>
      </c>
      <c r="D603" s="2" t="n">
        <v>0.494700556241728</v>
      </c>
      <c r="E603" s="2" t="s">
        <v>6668</v>
      </c>
      <c r="F603" s="2" t="s">
        <v>531</v>
      </c>
      <c r="G603" s="2" t="s">
        <v>6669</v>
      </c>
      <c r="H603" s="2" t="s">
        <v>6670</v>
      </c>
      <c r="I603" s="2" t="s">
        <v>6671</v>
      </c>
      <c r="J603" s="2" t="s">
        <v>195</v>
      </c>
      <c r="K603" s="2" t="s">
        <v>195</v>
      </c>
      <c r="L603" s="2" t="s">
        <v>195</v>
      </c>
      <c r="M603" s="2" t="s">
        <v>195</v>
      </c>
      <c r="N603" s="2" t="s">
        <v>6672</v>
      </c>
      <c r="O603" s="2" t="s">
        <v>195</v>
      </c>
      <c r="P603" s="2" t="s">
        <v>6673</v>
      </c>
      <c r="Q603" s="2" t="s">
        <v>6674</v>
      </c>
      <c r="R603" s="2" t="s">
        <v>1558</v>
      </c>
      <c r="S603" s="2" t="s">
        <v>1844</v>
      </c>
      <c r="T603" s="2" t="s">
        <v>6675</v>
      </c>
      <c r="U603" s="2" t="s">
        <v>29</v>
      </c>
      <c r="V603" s="2" t="n">
        <v>3</v>
      </c>
    </row>
    <row r="604">
      <c r="A604" s="2" t="n">
        <v>603</v>
      </c>
      <c r="B604" s="2" t="s">
        <v>6676</v>
      </c>
      <c r="C604" s="2" t="n">
        <v>387.153475156</v>
      </c>
      <c r="D604" s="2" t="n">
        <v>2.21209773009243</v>
      </c>
      <c r="E604" s="2" t="s">
        <v>6677</v>
      </c>
      <c r="F604" s="2" t="s">
        <v>24</v>
      </c>
      <c r="G604" s="2" t="s">
        <v>6678</v>
      </c>
      <c r="H604" s="2" t="s">
        <v>6679</v>
      </c>
      <c r="I604" s="2" t="s">
        <v>6680</v>
      </c>
      <c r="J604" s="2" t="s">
        <v>29</v>
      </c>
      <c r="K604" s="2" t="s">
        <v>29</v>
      </c>
      <c r="L604" s="2" t="s">
        <v>29</v>
      </c>
      <c r="M604" s="2" t="s">
        <v>29</v>
      </c>
      <c r="N604" s="2" t="s">
        <v>6681</v>
      </c>
      <c r="O604" s="2" t="s">
        <v>29</v>
      </c>
      <c r="P604" s="2" t="s">
        <v>6682</v>
      </c>
      <c r="Q604" s="2" t="s">
        <v>6683</v>
      </c>
      <c r="R604" s="2" t="s">
        <v>601</v>
      </c>
      <c r="S604" s="2" t="s">
        <v>602</v>
      </c>
      <c r="T604" s="2" t="s">
        <v>1800</v>
      </c>
      <c r="U604" s="2" t="s">
        <v>29</v>
      </c>
      <c r="V604" s="2" t="n">
        <v>1</v>
      </c>
    </row>
    <row r="605">
      <c r="A605" s="2" t="n">
        <v>604</v>
      </c>
      <c r="B605" s="2" t="s">
        <v>6684</v>
      </c>
      <c r="C605" s="2" t="n">
        <v>387.199940064</v>
      </c>
      <c r="D605" s="2" t="n">
        <v>5.04703568599901</v>
      </c>
      <c r="E605" s="2" t="s">
        <v>6685</v>
      </c>
      <c r="F605" s="2" t="s">
        <v>24</v>
      </c>
      <c r="G605" s="2" t="s">
        <v>6686</v>
      </c>
      <c r="H605" s="2" t="s">
        <v>6687</v>
      </c>
      <c r="I605" s="2" t="s">
        <v>6688</v>
      </c>
      <c r="J605" s="2" t="s">
        <v>29</v>
      </c>
      <c r="K605" s="2" t="s">
        <v>29</v>
      </c>
      <c r="L605" s="2" t="s">
        <v>29</v>
      </c>
      <c r="M605" s="2" t="s">
        <v>6689</v>
      </c>
      <c r="N605" s="2" t="s">
        <v>6690</v>
      </c>
      <c r="O605" s="2" t="s">
        <v>29</v>
      </c>
      <c r="P605" s="2" t="s">
        <v>6691</v>
      </c>
      <c r="Q605" s="2" t="s">
        <v>6692</v>
      </c>
      <c r="R605" s="2" t="s">
        <v>794</v>
      </c>
      <c r="S605" s="2" t="s">
        <v>2971</v>
      </c>
      <c r="T605" s="2" t="s">
        <v>6693</v>
      </c>
      <c r="U605" s="2" t="s">
        <v>29</v>
      </c>
      <c r="V605" s="2" t="n">
        <v>1</v>
      </c>
    </row>
    <row r="606">
      <c r="A606" s="2" t="n">
        <v>605</v>
      </c>
      <c r="B606" s="2" t="s">
        <v>6694</v>
      </c>
      <c r="C606" s="2" t="n">
        <v>387.238827506</v>
      </c>
      <c r="D606" s="2" t="n">
        <v>1.48176161087471</v>
      </c>
      <c r="E606" s="2" t="s">
        <v>6695</v>
      </c>
      <c r="F606" s="2" t="s">
        <v>24</v>
      </c>
      <c r="G606" s="2" t="s">
        <v>6696</v>
      </c>
      <c r="H606" s="2" t="s">
        <v>6697</v>
      </c>
      <c r="I606" s="2" t="s">
        <v>6698</v>
      </c>
      <c r="J606" s="2" t="s">
        <v>29</v>
      </c>
      <c r="K606" s="2" t="s">
        <v>29</v>
      </c>
      <c r="L606" s="2" t="s">
        <v>6699</v>
      </c>
      <c r="M606" s="2" t="s">
        <v>6700</v>
      </c>
      <c r="N606" s="2" t="s">
        <v>6701</v>
      </c>
      <c r="O606" s="2" t="s">
        <v>6702</v>
      </c>
      <c r="P606" s="2" t="s">
        <v>6703</v>
      </c>
      <c r="Q606" s="2" t="s">
        <v>6704</v>
      </c>
      <c r="R606" s="2" t="s">
        <v>794</v>
      </c>
      <c r="S606" s="2" t="s">
        <v>795</v>
      </c>
      <c r="T606" s="2" t="s">
        <v>3692</v>
      </c>
      <c r="U606" s="2" t="s">
        <v>56</v>
      </c>
      <c r="V606" s="2" t="n">
        <v>1</v>
      </c>
    </row>
    <row r="607">
      <c r="A607" s="2" t="n">
        <v>606</v>
      </c>
      <c r="B607" s="2" t="s">
        <v>6705</v>
      </c>
      <c r="C607" s="2" t="n">
        <v>387.275208704</v>
      </c>
      <c r="D607" s="2" t="n">
        <v>17.6097751366638</v>
      </c>
      <c r="E607" s="2" t="s">
        <v>6706</v>
      </c>
      <c r="F607" s="2" t="s">
        <v>205</v>
      </c>
      <c r="G607" s="2" t="s">
        <v>6707</v>
      </c>
      <c r="H607" s="2" t="s">
        <v>6708</v>
      </c>
      <c r="I607" s="2" t="s">
        <v>6709</v>
      </c>
      <c r="J607" s="2" t="s">
        <v>6710</v>
      </c>
      <c r="K607" s="2" t="s">
        <v>6711</v>
      </c>
      <c r="L607" s="2" t="s">
        <v>195</v>
      </c>
      <c r="M607" s="2" t="s">
        <v>6712</v>
      </c>
      <c r="N607" s="2" t="s">
        <v>6713</v>
      </c>
      <c r="O607" s="2" t="s">
        <v>6714</v>
      </c>
      <c r="P607" s="2" t="s">
        <v>6715</v>
      </c>
      <c r="Q607" s="2" t="s">
        <v>6716</v>
      </c>
      <c r="R607" s="2" t="s">
        <v>255</v>
      </c>
      <c r="S607" s="2" t="s">
        <v>256</v>
      </c>
      <c r="T607" s="2" t="s">
        <v>6717</v>
      </c>
      <c r="U607" s="2" t="s">
        <v>29</v>
      </c>
      <c r="V607" s="2" t="n">
        <v>3</v>
      </c>
    </row>
    <row r="608">
      <c r="A608" s="2" t="n">
        <v>607</v>
      </c>
      <c r="B608" s="2" t="s">
        <v>6718</v>
      </c>
      <c r="C608" s="2" t="n">
        <v>388.92725506</v>
      </c>
      <c r="D608" s="2" t="n">
        <v>7.80401254898401</v>
      </c>
      <c r="E608" s="2" t="s">
        <v>6719</v>
      </c>
      <c r="F608" s="2" t="s">
        <v>86</v>
      </c>
      <c r="G608" s="2" t="s">
        <v>6720</v>
      </c>
      <c r="H608" s="2" t="s">
        <v>6721</v>
      </c>
      <c r="I608" s="2" t="s">
        <v>6722</v>
      </c>
      <c r="J608" s="2" t="s">
        <v>6723</v>
      </c>
      <c r="K608" s="2" t="s">
        <v>29</v>
      </c>
      <c r="L608" s="2" t="s">
        <v>6724</v>
      </c>
      <c r="M608" s="2" t="s">
        <v>6725</v>
      </c>
      <c r="N608" s="2" t="s">
        <v>6726</v>
      </c>
      <c r="O608" s="2" t="s">
        <v>6727</v>
      </c>
      <c r="P608" s="2" t="s">
        <v>6728</v>
      </c>
      <c r="Q608" s="2" t="s">
        <v>6729</v>
      </c>
      <c r="R608" s="2" t="s">
        <v>114</v>
      </c>
      <c r="S608" s="2" t="s">
        <v>1038</v>
      </c>
      <c r="T608" s="2" t="s">
        <v>1039</v>
      </c>
      <c r="U608" s="2" t="s">
        <v>101</v>
      </c>
      <c r="V608" s="2" t="n">
        <v>1</v>
      </c>
    </row>
    <row r="609">
      <c r="A609" s="2" t="n">
        <v>608</v>
      </c>
      <c r="B609" s="2" t="s">
        <v>6730</v>
      </c>
      <c r="C609" s="2" t="n">
        <v>389.028098668</v>
      </c>
      <c r="D609" s="2" t="n">
        <v>2.43682887577625</v>
      </c>
      <c r="E609" s="2" t="s">
        <v>6731</v>
      </c>
      <c r="F609" s="2" t="s">
        <v>86</v>
      </c>
      <c r="G609" s="2" t="s">
        <v>6732</v>
      </c>
      <c r="H609" s="2" t="s">
        <v>6733</v>
      </c>
      <c r="I609" s="2" t="s">
        <v>6734</v>
      </c>
      <c r="J609" s="2" t="s">
        <v>6735</v>
      </c>
      <c r="K609" s="2" t="s">
        <v>29</v>
      </c>
      <c r="L609" s="2" t="s">
        <v>29</v>
      </c>
      <c r="M609" s="2" t="s">
        <v>6736</v>
      </c>
      <c r="N609" s="2" t="s">
        <v>6737</v>
      </c>
      <c r="O609" s="2" t="s">
        <v>6738</v>
      </c>
      <c r="P609" s="2" t="s">
        <v>6739</v>
      </c>
      <c r="Q609" s="2" t="s">
        <v>6740</v>
      </c>
      <c r="R609" s="2" t="s">
        <v>1355</v>
      </c>
      <c r="S609" s="2" t="s">
        <v>6741</v>
      </c>
      <c r="T609" s="2" t="s">
        <v>6742</v>
      </c>
      <c r="U609" s="2" t="s">
        <v>29</v>
      </c>
      <c r="V609" s="2" t="n">
        <v>1</v>
      </c>
    </row>
    <row r="610">
      <c r="A610" s="2" t="n">
        <v>609</v>
      </c>
      <c r="B610" s="2" t="s">
        <v>6743</v>
      </c>
      <c r="C610" s="2" t="n">
        <v>389.138592584</v>
      </c>
      <c r="D610" s="2" t="n">
        <v>1.3313851072744</v>
      </c>
      <c r="E610" s="2" t="s">
        <v>6744</v>
      </c>
      <c r="F610" s="2" t="s">
        <v>86</v>
      </c>
      <c r="G610" s="2" t="s">
        <v>6745</v>
      </c>
      <c r="H610" s="2" t="s">
        <v>6746</v>
      </c>
      <c r="I610" s="2" t="s">
        <v>6747</v>
      </c>
      <c r="J610" s="2" t="s">
        <v>91</v>
      </c>
      <c r="K610" s="2" t="s">
        <v>91</v>
      </c>
      <c r="L610" s="2" t="s">
        <v>91</v>
      </c>
      <c r="M610" s="2" t="s">
        <v>6748</v>
      </c>
      <c r="N610" s="2" t="s">
        <v>6749</v>
      </c>
      <c r="O610" s="2" t="s">
        <v>91</v>
      </c>
      <c r="P610" s="2" t="s">
        <v>6750</v>
      </c>
      <c r="Q610" s="2" t="s">
        <v>6751</v>
      </c>
      <c r="R610" s="2" t="s">
        <v>541</v>
      </c>
      <c r="S610" s="2" t="s">
        <v>6752</v>
      </c>
      <c r="T610" s="2" t="s">
        <v>6753</v>
      </c>
      <c r="U610" s="2" t="s">
        <v>29</v>
      </c>
      <c r="V610" s="2" t="n">
        <v>2</v>
      </c>
    </row>
    <row r="611">
      <c r="A611" s="2" t="n">
        <v>610</v>
      </c>
      <c r="B611" s="2" t="s">
        <v>6754</v>
      </c>
      <c r="C611" s="2" t="n">
        <v>389.248604335</v>
      </c>
      <c r="D611" s="2" t="n">
        <v>5.91812095738561</v>
      </c>
      <c r="E611" s="2" t="s">
        <v>6755</v>
      </c>
      <c r="F611" s="2" t="s">
        <v>24</v>
      </c>
      <c r="G611" s="2" t="s">
        <v>6756</v>
      </c>
      <c r="H611" s="2" t="s">
        <v>6757</v>
      </c>
      <c r="I611" s="2" t="s">
        <v>6758</v>
      </c>
      <c r="J611" s="2" t="s">
        <v>29</v>
      </c>
      <c r="K611" s="2" t="s">
        <v>29</v>
      </c>
      <c r="L611" s="2" t="s">
        <v>29</v>
      </c>
      <c r="M611" s="2" t="s">
        <v>29</v>
      </c>
      <c r="N611" s="2" t="s">
        <v>6759</v>
      </c>
      <c r="O611" s="2" t="s">
        <v>29</v>
      </c>
      <c r="P611" s="2" t="s">
        <v>6760</v>
      </c>
      <c r="Q611" s="2" t="s">
        <v>6761</v>
      </c>
      <c r="R611" s="2" t="s">
        <v>794</v>
      </c>
      <c r="S611" s="2" t="s">
        <v>1098</v>
      </c>
      <c r="T611" s="2" t="s">
        <v>5036</v>
      </c>
      <c r="U611" s="2" t="s">
        <v>29</v>
      </c>
      <c r="V611" s="2" t="n">
        <v>1</v>
      </c>
    </row>
    <row r="612">
      <c r="A612" s="2" t="n">
        <v>611</v>
      </c>
      <c r="B612" s="2" t="s">
        <v>6762</v>
      </c>
      <c r="C612" s="2" t="n">
        <v>390.923919442</v>
      </c>
      <c r="D612" s="2" t="n">
        <v>15.9636887379912</v>
      </c>
      <c r="E612" s="2" t="s">
        <v>6763</v>
      </c>
      <c r="F612" s="2" t="s">
        <v>218</v>
      </c>
      <c r="G612" s="2" t="s">
        <v>6764</v>
      </c>
      <c r="H612" s="2" t="s">
        <v>6765</v>
      </c>
      <c r="I612" s="2" t="s">
        <v>6766</v>
      </c>
      <c r="J612" s="2" t="s">
        <v>91</v>
      </c>
      <c r="K612" s="2" t="s">
        <v>91</v>
      </c>
      <c r="L612" s="2" t="s">
        <v>91</v>
      </c>
      <c r="M612" s="2" t="s">
        <v>91</v>
      </c>
      <c r="N612" s="2" t="s">
        <v>91</v>
      </c>
      <c r="O612" s="2" t="s">
        <v>91</v>
      </c>
      <c r="P612" s="2" t="s">
        <v>6767</v>
      </c>
      <c r="Q612" s="2" t="s">
        <v>6768</v>
      </c>
      <c r="R612" s="2" t="s">
        <v>427</v>
      </c>
      <c r="S612" s="2" t="s">
        <v>6769</v>
      </c>
      <c r="T612" s="2" t="s">
        <v>6770</v>
      </c>
      <c r="U612" s="2" t="s">
        <v>29</v>
      </c>
      <c r="V612" s="2" t="n">
        <v>2</v>
      </c>
    </row>
    <row r="613">
      <c r="A613" s="2" t="n">
        <v>612</v>
      </c>
      <c r="B613" s="2" t="s">
        <v>6771</v>
      </c>
      <c r="C613" s="2" t="n">
        <v>391.165780952</v>
      </c>
      <c r="D613" s="2" t="n">
        <v>2.30204566361082</v>
      </c>
      <c r="E613" s="2" t="s">
        <v>6772</v>
      </c>
      <c r="F613" s="2" t="s">
        <v>161</v>
      </c>
      <c r="G613" s="2" t="s">
        <v>6773</v>
      </c>
      <c r="H613" s="2" t="s">
        <v>6774</v>
      </c>
      <c r="I613" s="2" t="s">
        <v>6775</v>
      </c>
      <c r="J613" s="2" t="s">
        <v>6776</v>
      </c>
      <c r="K613" s="2" t="s">
        <v>29</v>
      </c>
      <c r="L613" s="2" t="s">
        <v>29</v>
      </c>
      <c r="M613" s="2" t="s">
        <v>6777</v>
      </c>
      <c r="N613" s="2" t="s">
        <v>6778</v>
      </c>
      <c r="O613" s="2" t="s">
        <v>6779</v>
      </c>
      <c r="P613" s="2" t="s">
        <v>6780</v>
      </c>
      <c r="Q613" s="2" t="s">
        <v>6781</v>
      </c>
      <c r="R613" s="2" t="s">
        <v>36</v>
      </c>
      <c r="S613" s="2" t="s">
        <v>37</v>
      </c>
      <c r="T613" s="2" t="s">
        <v>69</v>
      </c>
      <c r="U613" s="2" t="s">
        <v>56</v>
      </c>
      <c r="V613" s="2" t="n">
        <v>1</v>
      </c>
    </row>
    <row r="614">
      <c r="A614" s="2" t="n">
        <v>613</v>
      </c>
      <c r="B614" s="2" t="s">
        <v>6782</v>
      </c>
      <c r="C614" s="2" t="n">
        <v>391.257546302</v>
      </c>
      <c r="D614" s="2" t="n">
        <v>0.744562107429932</v>
      </c>
      <c r="E614" s="2" t="s">
        <v>6783</v>
      </c>
      <c r="F614" s="2" t="s">
        <v>683</v>
      </c>
      <c r="G614" s="2" t="s">
        <v>6784</v>
      </c>
      <c r="H614" s="2" t="s">
        <v>6785</v>
      </c>
      <c r="I614" s="2" t="s">
        <v>6786</v>
      </c>
      <c r="J614" s="2" t="s">
        <v>29</v>
      </c>
      <c r="K614" s="2" t="s">
        <v>29</v>
      </c>
      <c r="L614" s="2" t="s">
        <v>29</v>
      </c>
      <c r="M614" s="2" t="s">
        <v>29</v>
      </c>
      <c r="N614" s="2" t="s">
        <v>6787</v>
      </c>
      <c r="O614" s="2" t="s">
        <v>29</v>
      </c>
      <c r="P614" s="2" t="s">
        <v>6788</v>
      </c>
      <c r="Q614" s="2" t="s">
        <v>6789</v>
      </c>
      <c r="R614" s="2" t="s">
        <v>114</v>
      </c>
      <c r="S614" s="2" t="s">
        <v>4121</v>
      </c>
      <c r="T614" s="2" t="s">
        <v>215</v>
      </c>
      <c r="U614" s="2" t="s">
        <v>29</v>
      </c>
      <c r="V614" s="2" t="n">
        <v>1</v>
      </c>
    </row>
    <row r="615">
      <c r="A615" s="2" t="n">
        <v>614</v>
      </c>
      <c r="B615" s="2" t="s">
        <v>6790</v>
      </c>
      <c r="C615" s="2" t="n">
        <v>393.264648326</v>
      </c>
      <c r="D615" s="2" t="n">
        <v>6.78228471901954</v>
      </c>
      <c r="E615" s="2" t="s">
        <v>6791</v>
      </c>
      <c r="F615" s="2" t="s">
        <v>24</v>
      </c>
      <c r="G615" s="2" t="s">
        <v>6792</v>
      </c>
      <c r="H615" s="2" t="s">
        <v>6793</v>
      </c>
      <c r="I615" s="2" t="s">
        <v>6794</v>
      </c>
      <c r="J615" s="2" t="s">
        <v>6795</v>
      </c>
      <c r="K615" s="2" t="s">
        <v>91</v>
      </c>
      <c r="L615" s="2" t="s">
        <v>91</v>
      </c>
      <c r="M615" s="2" t="s">
        <v>6796</v>
      </c>
      <c r="N615" s="2" t="s">
        <v>6797</v>
      </c>
      <c r="O615" s="2" t="s">
        <v>6798</v>
      </c>
      <c r="P615" s="2" t="s">
        <v>6799</v>
      </c>
      <c r="Q615" s="2" t="s">
        <v>6800</v>
      </c>
      <c r="R615" s="2" t="s">
        <v>412</v>
      </c>
      <c r="S615" s="2" t="s">
        <v>6801</v>
      </c>
      <c r="T615" s="2" t="s">
        <v>6802</v>
      </c>
      <c r="U615" s="2" t="s">
        <v>56</v>
      </c>
      <c r="V615" s="2" t="n">
        <v>2</v>
      </c>
    </row>
    <row r="616">
      <c r="A616" s="2" t="n">
        <v>615</v>
      </c>
      <c r="B616" s="2" t="s">
        <v>6803</v>
      </c>
      <c r="C616" s="2" t="n">
        <v>395.097820546</v>
      </c>
      <c r="D616" s="2" t="n">
        <v>1.17771033655128</v>
      </c>
      <c r="E616" s="2" t="s">
        <v>6804</v>
      </c>
      <c r="F616" s="2" t="s">
        <v>161</v>
      </c>
      <c r="G616" s="2" t="s">
        <v>6805</v>
      </c>
      <c r="H616" s="2" t="s">
        <v>6806</v>
      </c>
      <c r="I616" s="2" t="s">
        <v>6807</v>
      </c>
      <c r="J616" s="2" t="s">
        <v>91</v>
      </c>
      <c r="K616" s="2" t="s">
        <v>91</v>
      </c>
      <c r="L616" s="2" t="s">
        <v>91</v>
      </c>
      <c r="M616" s="2" t="s">
        <v>6808</v>
      </c>
      <c r="N616" s="2" t="s">
        <v>6809</v>
      </c>
      <c r="O616" s="2" t="s">
        <v>91</v>
      </c>
      <c r="P616" s="2" t="s">
        <v>6810</v>
      </c>
      <c r="Q616" s="2" t="s">
        <v>6811</v>
      </c>
      <c r="R616" s="2" t="s">
        <v>427</v>
      </c>
      <c r="S616" s="2" t="s">
        <v>428</v>
      </c>
      <c r="T616" s="2" t="s">
        <v>6812</v>
      </c>
      <c r="U616" s="2" t="s">
        <v>56</v>
      </c>
      <c r="V616" s="2" t="n">
        <v>2</v>
      </c>
    </row>
    <row r="617">
      <c r="A617" s="2" t="n">
        <v>616</v>
      </c>
      <c r="B617" s="2" t="s">
        <v>6813</v>
      </c>
      <c r="C617" s="2" t="n">
        <v>395.234012592</v>
      </c>
      <c r="D617" s="2" t="n">
        <v>0.026628926745309</v>
      </c>
      <c r="E617" s="2" t="s">
        <v>6814</v>
      </c>
      <c r="F617" s="2" t="s">
        <v>205</v>
      </c>
      <c r="G617" s="2" t="s">
        <v>6815</v>
      </c>
      <c r="H617" s="2" t="s">
        <v>6816</v>
      </c>
      <c r="I617" s="2" t="s">
        <v>6817</v>
      </c>
      <c r="J617" s="2" t="s">
        <v>195</v>
      </c>
      <c r="K617" s="2" t="s">
        <v>195</v>
      </c>
      <c r="L617" s="2" t="s">
        <v>195</v>
      </c>
      <c r="M617" s="2" t="s">
        <v>6818</v>
      </c>
      <c r="N617" s="2" t="s">
        <v>6819</v>
      </c>
      <c r="O617" s="2" t="s">
        <v>195</v>
      </c>
      <c r="P617" s="2" t="s">
        <v>6820</v>
      </c>
      <c r="Q617" s="2" t="s">
        <v>6821</v>
      </c>
      <c r="R617" s="2" t="s">
        <v>6822</v>
      </c>
      <c r="S617" s="2" t="s">
        <v>6823</v>
      </c>
      <c r="T617" s="2" t="s">
        <v>6824</v>
      </c>
      <c r="U617" s="2" t="s">
        <v>29</v>
      </c>
      <c r="V617" s="2" t="n">
        <v>3</v>
      </c>
    </row>
    <row r="618">
      <c r="A618" s="2" t="n">
        <v>617</v>
      </c>
      <c r="B618" s="2" t="s">
        <v>6825</v>
      </c>
      <c r="C618" s="2" t="n">
        <v>395.280294082</v>
      </c>
      <c r="D618" s="2" t="n">
        <v>0.649275363924554</v>
      </c>
      <c r="E618" s="2" t="s">
        <v>6826</v>
      </c>
      <c r="F618" s="2" t="s">
        <v>205</v>
      </c>
      <c r="G618" s="2" t="s">
        <v>6827</v>
      </c>
      <c r="H618" s="2" t="s">
        <v>6828</v>
      </c>
      <c r="I618" s="2" t="s">
        <v>6829</v>
      </c>
      <c r="J618" s="2" t="s">
        <v>6830</v>
      </c>
      <c r="K618" s="2" t="s">
        <v>6831</v>
      </c>
      <c r="L618" s="2" t="s">
        <v>91</v>
      </c>
      <c r="M618" s="2" t="s">
        <v>91</v>
      </c>
      <c r="N618" s="2" t="s">
        <v>6832</v>
      </c>
      <c r="O618" s="2" t="s">
        <v>6833</v>
      </c>
      <c r="P618" s="2" t="s">
        <v>6834</v>
      </c>
      <c r="Q618" s="2" t="s">
        <v>6835</v>
      </c>
      <c r="R618" s="2" t="s">
        <v>412</v>
      </c>
      <c r="S618" s="2" t="s">
        <v>413</v>
      </c>
      <c r="T618" s="2" t="s">
        <v>414</v>
      </c>
      <c r="U618" s="2" t="s">
        <v>56</v>
      </c>
      <c r="V618" s="2" t="n">
        <v>2</v>
      </c>
    </row>
    <row r="619">
      <c r="A619" s="2" t="n">
        <v>618</v>
      </c>
      <c r="B619" s="2" t="s">
        <v>6836</v>
      </c>
      <c r="C619" s="2" t="n">
        <v>396.994429541</v>
      </c>
      <c r="D619" s="2" t="n">
        <v>7.30654506048067</v>
      </c>
      <c r="E619" s="2" t="s">
        <v>6837</v>
      </c>
      <c r="F619" s="2" t="s">
        <v>86</v>
      </c>
      <c r="G619" s="2" t="s">
        <v>6838</v>
      </c>
      <c r="H619" s="2" t="s">
        <v>6839</v>
      </c>
      <c r="I619" s="2" t="s">
        <v>6840</v>
      </c>
      <c r="J619" s="2" t="s">
        <v>29</v>
      </c>
      <c r="K619" s="2" t="s">
        <v>29</v>
      </c>
      <c r="L619" s="2" t="s">
        <v>29</v>
      </c>
      <c r="M619" s="2" t="s">
        <v>29</v>
      </c>
      <c r="N619" s="2" t="s">
        <v>29</v>
      </c>
      <c r="O619" s="2" t="s">
        <v>29</v>
      </c>
      <c r="P619" s="2" t="s">
        <v>6841</v>
      </c>
      <c r="Q619" s="2" t="s">
        <v>6842</v>
      </c>
      <c r="R619" s="2" t="s">
        <v>129</v>
      </c>
      <c r="S619" s="2" t="s">
        <v>130</v>
      </c>
      <c r="T619" s="2" t="s">
        <v>1681</v>
      </c>
      <c r="U619" s="2" t="s">
        <v>29</v>
      </c>
      <c r="V619" s="2" t="n">
        <v>1</v>
      </c>
    </row>
    <row r="620">
      <c r="A620" s="2" t="n">
        <v>619</v>
      </c>
      <c r="B620" s="2" t="s">
        <v>6843</v>
      </c>
      <c r="C620" s="2" t="n">
        <v>397.105955048</v>
      </c>
      <c r="D620" s="2" t="n">
        <v>1.93010925592726</v>
      </c>
      <c r="E620" s="2" t="s">
        <v>6844</v>
      </c>
      <c r="F620" s="2" t="s">
        <v>86</v>
      </c>
      <c r="G620" s="2" t="s">
        <v>6845</v>
      </c>
      <c r="H620" s="2" t="s">
        <v>6846</v>
      </c>
      <c r="I620" s="2" t="s">
        <v>6847</v>
      </c>
      <c r="J620" s="2" t="s">
        <v>6848</v>
      </c>
      <c r="K620" s="2" t="s">
        <v>195</v>
      </c>
      <c r="L620" s="2" t="s">
        <v>195</v>
      </c>
      <c r="M620" s="2" t="s">
        <v>195</v>
      </c>
      <c r="N620" s="2" t="s">
        <v>6849</v>
      </c>
      <c r="O620" s="2" t="s">
        <v>6850</v>
      </c>
      <c r="P620" s="2" t="s">
        <v>6851</v>
      </c>
      <c r="Q620" s="2" t="s">
        <v>6852</v>
      </c>
      <c r="R620" s="2" t="s">
        <v>6853</v>
      </c>
      <c r="S620" s="2" t="s">
        <v>6854</v>
      </c>
      <c r="T620" s="2" t="s">
        <v>6855</v>
      </c>
      <c r="U620" s="2" t="s">
        <v>56</v>
      </c>
      <c r="V620" s="2" t="n">
        <v>3</v>
      </c>
    </row>
    <row r="621">
      <c r="A621" s="2" t="n">
        <v>620</v>
      </c>
      <c r="B621" s="2" t="s">
        <v>6856</v>
      </c>
      <c r="C621" s="2" t="n">
        <v>397.180267248</v>
      </c>
      <c r="D621" s="2" t="n">
        <v>0.351511739802361</v>
      </c>
      <c r="E621" s="2" t="s">
        <v>6857</v>
      </c>
      <c r="F621" s="2" t="s">
        <v>24</v>
      </c>
      <c r="G621" s="2" t="s">
        <v>6858</v>
      </c>
      <c r="H621" s="2" t="s">
        <v>6859</v>
      </c>
      <c r="I621" s="2" t="s">
        <v>6860</v>
      </c>
      <c r="J621" s="2" t="s">
        <v>29</v>
      </c>
      <c r="K621" s="2" t="s">
        <v>29</v>
      </c>
      <c r="L621" s="2" t="s">
        <v>29</v>
      </c>
      <c r="M621" s="2" t="s">
        <v>29</v>
      </c>
      <c r="N621" s="2" t="s">
        <v>6861</v>
      </c>
      <c r="O621" s="2" t="s">
        <v>29</v>
      </c>
      <c r="P621" s="2" t="s">
        <v>6862</v>
      </c>
      <c r="Q621" s="2" t="s">
        <v>6863</v>
      </c>
      <c r="R621" s="2" t="s">
        <v>36</v>
      </c>
      <c r="S621" s="2" t="s">
        <v>37</v>
      </c>
      <c r="T621" s="2" t="s">
        <v>69</v>
      </c>
      <c r="U621" s="2" t="s">
        <v>29</v>
      </c>
      <c r="V621" s="2" t="n">
        <v>1</v>
      </c>
    </row>
    <row r="622">
      <c r="A622" s="2" t="n">
        <v>621</v>
      </c>
      <c r="B622" s="2" t="s">
        <v>6864</v>
      </c>
      <c r="C622" s="2" t="n">
        <v>399.194376134</v>
      </c>
      <c r="D622" s="2" t="n">
        <v>1.76329492040138</v>
      </c>
      <c r="E622" s="2" t="s">
        <v>6865</v>
      </c>
      <c r="F622" s="2" t="s">
        <v>86</v>
      </c>
      <c r="G622" s="2" t="s">
        <v>6866</v>
      </c>
      <c r="H622" s="2" t="s">
        <v>6867</v>
      </c>
      <c r="I622" s="2" t="s">
        <v>6868</v>
      </c>
      <c r="J622" s="2" t="s">
        <v>6869</v>
      </c>
      <c r="K622" s="2" t="s">
        <v>6870</v>
      </c>
      <c r="L622" s="2" t="s">
        <v>6871</v>
      </c>
      <c r="M622" s="2" t="s">
        <v>6872</v>
      </c>
      <c r="N622" s="2" t="s">
        <v>6873</v>
      </c>
      <c r="O622" s="2" t="s">
        <v>6874</v>
      </c>
      <c r="P622" s="2" t="s">
        <v>6875</v>
      </c>
      <c r="Q622" s="2" t="s">
        <v>6876</v>
      </c>
      <c r="R622" s="2" t="s">
        <v>255</v>
      </c>
      <c r="S622" s="2" t="s">
        <v>6877</v>
      </c>
      <c r="T622" s="2" t="s">
        <v>6878</v>
      </c>
      <c r="U622" s="2" t="s">
        <v>56</v>
      </c>
      <c r="V622" s="2" t="n">
        <v>3</v>
      </c>
    </row>
    <row r="623">
      <c r="A623" s="2" t="n">
        <v>622</v>
      </c>
      <c r="B623" s="2" t="s">
        <v>6879</v>
      </c>
      <c r="C623" s="2" t="n">
        <v>399.264766712</v>
      </c>
      <c r="D623" s="2" t="n">
        <v>3.07510940323905</v>
      </c>
      <c r="E623" s="2" t="s">
        <v>6880</v>
      </c>
      <c r="F623" s="2" t="s">
        <v>161</v>
      </c>
      <c r="G623" s="2" t="s">
        <v>6881</v>
      </c>
      <c r="H623" s="2" t="s">
        <v>6882</v>
      </c>
      <c r="I623" s="2" t="s">
        <v>6883</v>
      </c>
      <c r="J623" s="2" t="s">
        <v>29</v>
      </c>
      <c r="K623" s="2" t="s">
        <v>29</v>
      </c>
      <c r="L623" s="2" t="s">
        <v>29</v>
      </c>
      <c r="M623" s="2" t="s">
        <v>29</v>
      </c>
      <c r="N623" s="2" t="s">
        <v>6884</v>
      </c>
      <c r="O623" s="2" t="s">
        <v>29</v>
      </c>
      <c r="P623" s="2" t="s">
        <v>6885</v>
      </c>
      <c r="Q623" s="2" t="s">
        <v>6886</v>
      </c>
      <c r="R623" s="2" t="s">
        <v>36</v>
      </c>
      <c r="S623" s="2" t="s">
        <v>37</v>
      </c>
      <c r="T623" s="2" t="s">
        <v>69</v>
      </c>
      <c r="U623" s="2" t="s">
        <v>29</v>
      </c>
      <c r="V623" s="2" t="n">
        <v>1</v>
      </c>
    </row>
    <row r="624">
      <c r="A624" s="2" t="n">
        <v>623</v>
      </c>
      <c r="B624" s="2" t="s">
        <v>6887</v>
      </c>
      <c r="C624" s="2" t="n">
        <v>400.005121117</v>
      </c>
      <c r="D624" s="2" t="n">
        <v>3.17853547393792</v>
      </c>
      <c r="E624" s="2" t="s">
        <v>6888</v>
      </c>
      <c r="F624" s="2" t="s">
        <v>205</v>
      </c>
      <c r="G624" s="2" t="s">
        <v>6889</v>
      </c>
      <c r="H624" s="2" t="s">
        <v>6890</v>
      </c>
      <c r="I624" s="2" t="s">
        <v>6891</v>
      </c>
      <c r="J624" s="2" t="s">
        <v>29</v>
      </c>
      <c r="K624" s="2" t="s">
        <v>29</v>
      </c>
      <c r="L624" s="2" t="s">
        <v>29</v>
      </c>
      <c r="M624" s="2" t="s">
        <v>29</v>
      </c>
      <c r="N624" s="2" t="s">
        <v>6892</v>
      </c>
      <c r="O624" s="2" t="s">
        <v>29</v>
      </c>
      <c r="P624" s="2" t="s">
        <v>6893</v>
      </c>
      <c r="Q624" s="2" t="s">
        <v>6894</v>
      </c>
      <c r="R624" s="2" t="s">
        <v>186</v>
      </c>
      <c r="S624" s="2" t="s">
        <v>187</v>
      </c>
      <c r="T624" s="2" t="s">
        <v>6895</v>
      </c>
      <c r="U624" s="2" t="s">
        <v>56</v>
      </c>
      <c r="V624" s="2" t="n">
        <v>1</v>
      </c>
    </row>
    <row r="625">
      <c r="A625" s="2" t="n">
        <v>624</v>
      </c>
      <c r="B625" s="2" t="s">
        <v>6896</v>
      </c>
      <c r="C625" s="2" t="n">
        <v>400.9584946</v>
      </c>
      <c r="D625" s="2" t="n">
        <v>1.7992819257405</v>
      </c>
      <c r="E625" s="2" t="s">
        <v>6897</v>
      </c>
      <c r="F625" s="2" t="s">
        <v>683</v>
      </c>
      <c r="G625" s="2" t="s">
        <v>6898</v>
      </c>
      <c r="H625" s="2" t="s">
        <v>6899</v>
      </c>
      <c r="I625" s="2" t="s">
        <v>6900</v>
      </c>
      <c r="J625" s="2" t="s">
        <v>6901</v>
      </c>
      <c r="K625" s="2" t="s">
        <v>29</v>
      </c>
      <c r="L625" s="2" t="s">
        <v>29</v>
      </c>
      <c r="M625" s="2" t="s">
        <v>29</v>
      </c>
      <c r="N625" s="2" t="s">
        <v>6902</v>
      </c>
      <c r="O625" s="2" t="s">
        <v>29</v>
      </c>
      <c r="P625" s="2" t="s">
        <v>6903</v>
      </c>
      <c r="Q625" s="2" t="s">
        <v>6904</v>
      </c>
      <c r="R625" s="2" t="s">
        <v>186</v>
      </c>
      <c r="S625" s="2" t="s">
        <v>187</v>
      </c>
      <c r="T625" s="2" t="s">
        <v>1206</v>
      </c>
      <c r="U625" s="2" t="s">
        <v>29</v>
      </c>
      <c r="V625" s="2" t="n">
        <v>1</v>
      </c>
    </row>
    <row r="626">
      <c r="A626" s="2" t="n">
        <v>625</v>
      </c>
      <c r="B626" s="2" t="s">
        <v>6905</v>
      </c>
      <c r="C626" s="2" t="n">
        <v>401.158384558</v>
      </c>
      <c r="D626" s="2" t="n">
        <v>0.90784002253208</v>
      </c>
      <c r="E626" s="2" t="s">
        <v>6906</v>
      </c>
      <c r="F626" s="2" t="s">
        <v>86</v>
      </c>
      <c r="G626" s="2" t="s">
        <v>6907</v>
      </c>
      <c r="H626" s="2" t="s">
        <v>6908</v>
      </c>
      <c r="I626" s="2" t="s">
        <v>6909</v>
      </c>
      <c r="J626" s="2" t="s">
        <v>6910</v>
      </c>
      <c r="K626" s="2" t="s">
        <v>195</v>
      </c>
      <c r="L626" s="2" t="s">
        <v>195</v>
      </c>
      <c r="M626" s="2" t="s">
        <v>6911</v>
      </c>
      <c r="N626" s="2" t="s">
        <v>6912</v>
      </c>
      <c r="O626" s="2" t="s">
        <v>6913</v>
      </c>
      <c r="P626" s="2" t="s">
        <v>6914</v>
      </c>
      <c r="Q626" s="2" t="s">
        <v>6915</v>
      </c>
      <c r="R626" s="2" t="s">
        <v>255</v>
      </c>
      <c r="S626" s="2" t="s">
        <v>6916</v>
      </c>
      <c r="T626" s="2" t="s">
        <v>6917</v>
      </c>
      <c r="U626" s="2" t="s">
        <v>56</v>
      </c>
      <c r="V626" s="2" t="n">
        <v>3</v>
      </c>
    </row>
    <row r="627">
      <c r="A627" s="2" t="n">
        <v>626</v>
      </c>
      <c r="B627" s="2" t="s">
        <v>6918</v>
      </c>
      <c r="C627" s="2" t="n">
        <v>401.208196074</v>
      </c>
      <c r="D627" s="2" t="n">
        <v>4.25980853917975</v>
      </c>
      <c r="E627" s="2" t="s">
        <v>6919</v>
      </c>
      <c r="F627" s="2" t="s">
        <v>24</v>
      </c>
      <c r="G627" s="2" t="s">
        <v>6920</v>
      </c>
      <c r="H627" s="2" t="s">
        <v>6921</v>
      </c>
      <c r="I627" s="2" t="s">
        <v>6922</v>
      </c>
      <c r="J627" s="2" t="s">
        <v>6923</v>
      </c>
      <c r="K627" s="2" t="s">
        <v>91</v>
      </c>
      <c r="L627" s="2" t="s">
        <v>91</v>
      </c>
      <c r="M627" s="2" t="s">
        <v>91</v>
      </c>
      <c r="N627" s="2" t="s">
        <v>6924</v>
      </c>
      <c r="O627" s="2" t="s">
        <v>6925</v>
      </c>
      <c r="P627" s="2" t="s">
        <v>6926</v>
      </c>
      <c r="Q627" s="2" t="s">
        <v>6927</v>
      </c>
      <c r="R627" s="2" t="s">
        <v>144</v>
      </c>
      <c r="S627" s="2" t="s">
        <v>145</v>
      </c>
      <c r="T627" s="2" t="s">
        <v>146</v>
      </c>
      <c r="U627" s="2" t="s">
        <v>29</v>
      </c>
      <c r="V627" s="2" t="n">
        <v>2</v>
      </c>
    </row>
    <row r="628">
      <c r="A628" s="2" t="n">
        <v>627</v>
      </c>
      <c r="B628" s="2" t="s">
        <v>6928</v>
      </c>
      <c r="C628" s="2" t="n">
        <v>401.259287407</v>
      </c>
      <c r="D628" s="2" t="n">
        <v>0.894162745736161</v>
      </c>
      <c r="E628" s="2" t="s">
        <v>6929</v>
      </c>
      <c r="F628" s="2" t="s">
        <v>161</v>
      </c>
      <c r="G628" s="2" t="s">
        <v>6930</v>
      </c>
      <c r="H628" s="2" t="s">
        <v>6931</v>
      </c>
      <c r="I628" s="2" t="s">
        <v>6932</v>
      </c>
      <c r="J628" s="2" t="s">
        <v>29</v>
      </c>
      <c r="K628" s="2" t="s">
        <v>29</v>
      </c>
      <c r="L628" s="2" t="s">
        <v>29</v>
      </c>
      <c r="M628" s="2" t="s">
        <v>29</v>
      </c>
      <c r="N628" s="2" t="s">
        <v>6933</v>
      </c>
      <c r="O628" s="2" t="s">
        <v>29</v>
      </c>
      <c r="P628" s="2" t="s">
        <v>6934</v>
      </c>
      <c r="Q628" s="2" t="s">
        <v>6935</v>
      </c>
      <c r="R628" s="2" t="s">
        <v>186</v>
      </c>
      <c r="S628" s="2" t="s">
        <v>911</v>
      </c>
      <c r="T628" s="2" t="s">
        <v>2144</v>
      </c>
      <c r="U628" s="2" t="s">
        <v>29</v>
      </c>
      <c r="V628" s="2" t="n">
        <v>1</v>
      </c>
    </row>
    <row r="629">
      <c r="A629" s="2" t="n">
        <v>628</v>
      </c>
      <c r="B629" s="2" t="s">
        <v>6936</v>
      </c>
      <c r="C629" s="2" t="n">
        <v>401.290863076</v>
      </c>
      <c r="D629" s="2" t="n">
        <v>9.07085922237275</v>
      </c>
      <c r="E629" s="2" t="s">
        <v>6937</v>
      </c>
      <c r="F629" s="2" t="s">
        <v>24</v>
      </c>
      <c r="G629" s="2" t="s">
        <v>6938</v>
      </c>
      <c r="H629" s="2" t="s">
        <v>1927</v>
      </c>
      <c r="I629" s="2" t="s">
        <v>6939</v>
      </c>
      <c r="J629" s="2" t="s">
        <v>6940</v>
      </c>
      <c r="K629" s="2" t="s">
        <v>6941</v>
      </c>
      <c r="L629" s="2" t="s">
        <v>29</v>
      </c>
      <c r="M629" s="2" t="s">
        <v>29</v>
      </c>
      <c r="N629" s="2" t="s">
        <v>6942</v>
      </c>
      <c r="O629" s="2" t="s">
        <v>6943</v>
      </c>
      <c r="P629" s="2" t="s">
        <v>6944</v>
      </c>
      <c r="Q629" s="2" t="s">
        <v>6945</v>
      </c>
      <c r="R629" s="2" t="s">
        <v>794</v>
      </c>
      <c r="S629" s="2" t="s">
        <v>795</v>
      </c>
      <c r="T629" s="2" t="s">
        <v>1870</v>
      </c>
      <c r="U629" s="2" t="s">
        <v>56</v>
      </c>
      <c r="V629" s="2" t="n">
        <v>1</v>
      </c>
    </row>
    <row r="630">
      <c r="A630" s="2" t="n">
        <v>629</v>
      </c>
      <c r="B630" s="2" t="s">
        <v>6946</v>
      </c>
      <c r="C630" s="2" t="n">
        <v>401.999063921</v>
      </c>
      <c r="D630" s="2" t="n">
        <v>4.83430289306648</v>
      </c>
      <c r="E630" s="2" t="s">
        <v>6947</v>
      </c>
      <c r="F630" s="2" t="s">
        <v>86</v>
      </c>
      <c r="G630" s="2" t="s">
        <v>6948</v>
      </c>
      <c r="H630" s="2" t="s">
        <v>6949</v>
      </c>
      <c r="I630" s="2" t="s">
        <v>6950</v>
      </c>
      <c r="J630" s="2" t="s">
        <v>6951</v>
      </c>
      <c r="K630" s="2" t="s">
        <v>29</v>
      </c>
      <c r="L630" s="2" t="s">
        <v>29</v>
      </c>
      <c r="M630" s="2" t="s">
        <v>29</v>
      </c>
      <c r="N630" s="2" t="s">
        <v>6952</v>
      </c>
      <c r="O630" s="2" t="s">
        <v>6953</v>
      </c>
      <c r="P630" s="2" t="s">
        <v>6954</v>
      </c>
      <c r="Q630" s="2" t="s">
        <v>6955</v>
      </c>
      <c r="R630" s="2" t="s">
        <v>114</v>
      </c>
      <c r="S630" s="2" t="s">
        <v>5831</v>
      </c>
      <c r="T630" s="2" t="s">
        <v>215</v>
      </c>
      <c r="U630" s="2" t="s">
        <v>29</v>
      </c>
      <c r="V630" s="2" t="n">
        <v>1</v>
      </c>
    </row>
    <row r="631">
      <c r="A631" s="2" t="n">
        <v>630</v>
      </c>
      <c r="B631" s="2" t="s">
        <v>6956</v>
      </c>
      <c r="C631" s="2" t="n">
        <v>403.009291</v>
      </c>
      <c r="D631" s="2" t="n">
        <v>3.46453215682663</v>
      </c>
      <c r="E631" s="2" t="s">
        <v>6957</v>
      </c>
      <c r="F631" s="2" t="s">
        <v>683</v>
      </c>
      <c r="G631" s="2" t="s">
        <v>6958</v>
      </c>
      <c r="H631" s="2" t="s">
        <v>6959</v>
      </c>
      <c r="I631" s="2" t="s">
        <v>6960</v>
      </c>
      <c r="J631" s="2" t="s">
        <v>29</v>
      </c>
      <c r="K631" s="2" t="s">
        <v>29</v>
      </c>
      <c r="L631" s="2" t="s">
        <v>29</v>
      </c>
      <c r="M631" s="2" t="s">
        <v>29</v>
      </c>
      <c r="N631" s="2" t="s">
        <v>6961</v>
      </c>
      <c r="O631" s="2" t="s">
        <v>29</v>
      </c>
      <c r="P631" s="2" t="s">
        <v>6962</v>
      </c>
      <c r="Q631" s="2" t="s">
        <v>6963</v>
      </c>
      <c r="R631" s="2" t="s">
        <v>213</v>
      </c>
      <c r="S631" s="2" t="s">
        <v>466</v>
      </c>
      <c r="T631" s="2" t="s">
        <v>215</v>
      </c>
      <c r="U631" s="2" t="s">
        <v>29</v>
      </c>
      <c r="V631" s="2" t="n">
        <v>1</v>
      </c>
    </row>
    <row r="632">
      <c r="A632" s="2" t="n">
        <v>631</v>
      </c>
      <c r="B632" s="2" t="s">
        <v>6964</v>
      </c>
      <c r="C632" s="2" t="n">
        <v>403.176222942</v>
      </c>
      <c r="D632" s="2" t="n">
        <v>0.230020991824031</v>
      </c>
      <c r="E632" s="2" t="s">
        <v>6965</v>
      </c>
      <c r="F632" s="2" t="s">
        <v>205</v>
      </c>
      <c r="G632" s="2" t="s">
        <v>6966</v>
      </c>
      <c r="H632" s="2" t="s">
        <v>6967</v>
      </c>
      <c r="I632" s="2" t="s">
        <v>6968</v>
      </c>
      <c r="J632" s="2" t="s">
        <v>6969</v>
      </c>
      <c r="K632" s="2" t="s">
        <v>91</v>
      </c>
      <c r="L632" s="2" t="s">
        <v>91</v>
      </c>
      <c r="M632" s="2" t="s">
        <v>6970</v>
      </c>
      <c r="N632" s="2" t="s">
        <v>6971</v>
      </c>
      <c r="O632" s="2" t="s">
        <v>6972</v>
      </c>
      <c r="P632" s="2" t="s">
        <v>6973</v>
      </c>
      <c r="Q632" s="2" t="s">
        <v>6974</v>
      </c>
      <c r="R632" s="2" t="s">
        <v>6975</v>
      </c>
      <c r="S632" s="2" t="s">
        <v>6976</v>
      </c>
      <c r="T632" s="2" t="s">
        <v>6977</v>
      </c>
      <c r="U632" s="2" t="s">
        <v>56</v>
      </c>
      <c r="V632" s="2" t="n">
        <v>2</v>
      </c>
    </row>
    <row r="633">
      <c r="A633" s="2" t="n">
        <v>632</v>
      </c>
      <c r="B633" s="2" t="s">
        <v>6978</v>
      </c>
      <c r="C633" s="2" t="n">
        <v>403.23105247</v>
      </c>
      <c r="D633" s="2" t="n">
        <v>0.324538791139795</v>
      </c>
      <c r="E633" s="2" t="s">
        <v>6979</v>
      </c>
      <c r="F633" s="2" t="s">
        <v>205</v>
      </c>
      <c r="G633" s="2" t="s">
        <v>6980</v>
      </c>
      <c r="H633" s="2" t="s">
        <v>6981</v>
      </c>
      <c r="I633" s="2" t="s">
        <v>6982</v>
      </c>
      <c r="J633" s="2" t="s">
        <v>6983</v>
      </c>
      <c r="K633" s="2" t="s">
        <v>29</v>
      </c>
      <c r="L633" s="2" t="s">
        <v>29</v>
      </c>
      <c r="M633" s="2" t="s">
        <v>6984</v>
      </c>
      <c r="N633" s="2" t="s">
        <v>6985</v>
      </c>
      <c r="O633" s="2" t="s">
        <v>6986</v>
      </c>
      <c r="P633" s="2" t="s">
        <v>6987</v>
      </c>
      <c r="Q633" s="2" t="s">
        <v>6988</v>
      </c>
      <c r="R633" s="2" t="s">
        <v>36</v>
      </c>
      <c r="S633" s="2" t="s">
        <v>37</v>
      </c>
      <c r="T633" s="2" t="s">
        <v>69</v>
      </c>
      <c r="U633" s="2" t="s">
        <v>56</v>
      </c>
      <c r="V633" s="2" t="n">
        <v>1</v>
      </c>
    </row>
    <row r="634">
      <c r="A634" s="2" t="n">
        <v>633</v>
      </c>
      <c r="B634" s="2" t="s">
        <v>6989</v>
      </c>
      <c r="C634" s="2" t="n">
        <v>403.999893957</v>
      </c>
      <c r="D634" s="2" t="n">
        <v>0.424604505481168</v>
      </c>
      <c r="E634" s="2" t="s">
        <v>6990</v>
      </c>
      <c r="F634" s="2" t="s">
        <v>86</v>
      </c>
      <c r="G634" s="2" t="s">
        <v>6991</v>
      </c>
      <c r="H634" s="2" t="s">
        <v>6992</v>
      </c>
      <c r="I634" s="2" t="s">
        <v>6993</v>
      </c>
      <c r="J634" s="2" t="s">
        <v>29</v>
      </c>
      <c r="K634" s="2" t="s">
        <v>29</v>
      </c>
      <c r="L634" s="2" t="s">
        <v>29</v>
      </c>
      <c r="M634" s="2" t="s">
        <v>29</v>
      </c>
      <c r="N634" s="2" t="s">
        <v>29</v>
      </c>
      <c r="O634" s="2" t="s">
        <v>29</v>
      </c>
      <c r="P634" s="2" t="s">
        <v>6994</v>
      </c>
      <c r="Q634" s="2" t="s">
        <v>6995</v>
      </c>
      <c r="R634" s="2" t="s">
        <v>186</v>
      </c>
      <c r="S634" s="2" t="s">
        <v>3046</v>
      </c>
      <c r="T634" s="2" t="s">
        <v>3047</v>
      </c>
      <c r="U634" s="2" t="s">
        <v>29</v>
      </c>
      <c r="V634" s="2" t="n">
        <v>1</v>
      </c>
    </row>
    <row r="635">
      <c r="A635" s="2" t="n">
        <v>634</v>
      </c>
      <c r="B635" s="2" t="s">
        <v>6996</v>
      </c>
      <c r="C635" s="2" t="n">
        <v>405.193214713</v>
      </c>
      <c r="D635" s="2" t="n">
        <v>6.37277229654575</v>
      </c>
      <c r="E635" s="2" t="s">
        <v>6997</v>
      </c>
      <c r="F635" s="2" t="s">
        <v>24</v>
      </c>
      <c r="G635" s="2" t="s">
        <v>6998</v>
      </c>
      <c r="H635" s="2" t="s">
        <v>6999</v>
      </c>
      <c r="I635" s="2" t="s">
        <v>7000</v>
      </c>
      <c r="J635" s="2" t="s">
        <v>29</v>
      </c>
      <c r="K635" s="2" t="s">
        <v>29</v>
      </c>
      <c r="L635" s="2" t="s">
        <v>29</v>
      </c>
      <c r="M635" s="2" t="s">
        <v>29</v>
      </c>
      <c r="N635" s="2" t="s">
        <v>29</v>
      </c>
      <c r="O635" s="2" t="s">
        <v>29</v>
      </c>
      <c r="P635" s="2" t="s">
        <v>7001</v>
      </c>
      <c r="Q635" s="2" t="s">
        <v>7002</v>
      </c>
      <c r="R635" s="2" t="s">
        <v>3003</v>
      </c>
      <c r="S635" s="2" t="s">
        <v>7003</v>
      </c>
      <c r="T635" s="2" t="s">
        <v>7004</v>
      </c>
      <c r="U635" s="2" t="s">
        <v>29</v>
      </c>
      <c r="V635" s="2" t="n">
        <v>1</v>
      </c>
    </row>
    <row r="636">
      <c r="A636" s="2" t="n">
        <v>635</v>
      </c>
      <c r="B636" s="2" t="s">
        <v>7005</v>
      </c>
      <c r="C636" s="2" t="n">
        <v>405.245448862</v>
      </c>
      <c r="D636" s="2" t="n">
        <v>3.80130765806855</v>
      </c>
      <c r="E636" s="2" t="s">
        <v>7006</v>
      </c>
      <c r="F636" s="2" t="s">
        <v>161</v>
      </c>
      <c r="G636" s="2" t="s">
        <v>7007</v>
      </c>
      <c r="H636" s="2" t="s">
        <v>7008</v>
      </c>
      <c r="I636" s="2" t="s">
        <v>7009</v>
      </c>
      <c r="J636" s="2" t="s">
        <v>29</v>
      </c>
      <c r="K636" s="2" t="s">
        <v>29</v>
      </c>
      <c r="L636" s="2" t="s">
        <v>29</v>
      </c>
      <c r="M636" s="2" t="s">
        <v>29</v>
      </c>
      <c r="N636" s="2" t="s">
        <v>7010</v>
      </c>
      <c r="O636" s="2" t="s">
        <v>29</v>
      </c>
      <c r="P636" s="2" t="s">
        <v>7011</v>
      </c>
      <c r="Q636" s="2" t="s">
        <v>7012</v>
      </c>
      <c r="R636" s="2" t="s">
        <v>186</v>
      </c>
      <c r="S636" s="2" t="s">
        <v>187</v>
      </c>
      <c r="T636" s="2" t="s">
        <v>7013</v>
      </c>
      <c r="U636" s="2" t="s">
        <v>29</v>
      </c>
      <c r="V636" s="2" t="n">
        <v>1</v>
      </c>
    </row>
    <row r="637">
      <c r="A637" s="2" t="n">
        <v>636</v>
      </c>
      <c r="B637" s="2" t="s">
        <v>7014</v>
      </c>
      <c r="C637" s="2" t="n">
        <v>406.013883331</v>
      </c>
      <c r="D637" s="2" t="n">
        <v>0.125267501929124</v>
      </c>
      <c r="E637" s="2" t="s">
        <v>7015</v>
      </c>
      <c r="F637" s="2" t="s">
        <v>86</v>
      </c>
      <c r="G637" s="2" t="s">
        <v>7016</v>
      </c>
      <c r="H637" s="2" t="s">
        <v>7017</v>
      </c>
      <c r="I637" s="2" t="s">
        <v>7018</v>
      </c>
      <c r="J637" s="2" t="s">
        <v>29</v>
      </c>
      <c r="K637" s="2" t="s">
        <v>29</v>
      </c>
      <c r="L637" s="2" t="s">
        <v>29</v>
      </c>
      <c r="M637" s="2" t="s">
        <v>7019</v>
      </c>
      <c r="N637" s="2" t="s">
        <v>7020</v>
      </c>
      <c r="O637" s="2" t="s">
        <v>7021</v>
      </c>
      <c r="P637" s="2" t="s">
        <v>7022</v>
      </c>
      <c r="Q637" s="2" t="s">
        <v>7023</v>
      </c>
      <c r="R637" s="2" t="s">
        <v>36</v>
      </c>
      <c r="S637" s="2" t="s">
        <v>37</v>
      </c>
      <c r="T637" s="2" t="s">
        <v>242</v>
      </c>
      <c r="U637" s="2" t="s">
        <v>29</v>
      </c>
      <c r="V637" s="2" t="n">
        <v>1</v>
      </c>
    </row>
    <row r="638">
      <c r="A638" s="2" t="n">
        <v>637</v>
      </c>
      <c r="B638" s="2" t="s">
        <v>7024</v>
      </c>
      <c r="C638" s="2" t="n">
        <v>406.242138745</v>
      </c>
      <c r="D638" s="2" t="n">
        <v>8.23258316978279</v>
      </c>
      <c r="E638" s="2" t="s">
        <v>7025</v>
      </c>
      <c r="F638" s="2" t="s">
        <v>24</v>
      </c>
      <c r="G638" s="2" t="s">
        <v>7026</v>
      </c>
      <c r="H638" s="2" t="s">
        <v>7027</v>
      </c>
      <c r="I638" s="2" t="s">
        <v>7028</v>
      </c>
      <c r="J638" s="2" t="s">
        <v>29</v>
      </c>
      <c r="K638" s="2" t="s">
        <v>29</v>
      </c>
      <c r="L638" s="2" t="s">
        <v>29</v>
      </c>
      <c r="M638" s="2" t="s">
        <v>29</v>
      </c>
      <c r="N638" s="2" t="s">
        <v>7029</v>
      </c>
      <c r="O638" s="2" t="s">
        <v>7030</v>
      </c>
      <c r="P638" s="2" t="s">
        <v>7031</v>
      </c>
      <c r="Q638" s="2" t="s">
        <v>7032</v>
      </c>
      <c r="R638" s="2" t="s">
        <v>794</v>
      </c>
      <c r="S638" s="2" t="s">
        <v>1098</v>
      </c>
      <c r="T638" s="2" t="s">
        <v>4662</v>
      </c>
      <c r="U638" s="2" t="s">
        <v>29</v>
      </c>
      <c r="V638" s="2" t="n">
        <v>1</v>
      </c>
    </row>
    <row r="639">
      <c r="A639" s="2" t="n">
        <v>638</v>
      </c>
      <c r="B639" s="2" t="s">
        <v>7033</v>
      </c>
      <c r="C639" s="2" t="n">
        <v>407.214738006</v>
      </c>
      <c r="D639" s="2" t="n">
        <v>0.904561003907197</v>
      </c>
      <c r="E639" s="2" t="s">
        <v>7034</v>
      </c>
      <c r="F639" s="2" t="s">
        <v>683</v>
      </c>
      <c r="G639" s="2" t="s">
        <v>7035</v>
      </c>
      <c r="H639" s="2" t="s">
        <v>7036</v>
      </c>
      <c r="I639" s="2" t="s">
        <v>7037</v>
      </c>
      <c r="J639" s="2" t="s">
        <v>7038</v>
      </c>
      <c r="K639" s="2" t="s">
        <v>29</v>
      </c>
      <c r="L639" s="2" t="s">
        <v>29</v>
      </c>
      <c r="M639" s="2" t="s">
        <v>7039</v>
      </c>
      <c r="N639" s="2" t="s">
        <v>7040</v>
      </c>
      <c r="O639" s="2" t="s">
        <v>7041</v>
      </c>
      <c r="P639" s="2" t="s">
        <v>7042</v>
      </c>
      <c r="Q639" s="2" t="s">
        <v>7043</v>
      </c>
      <c r="R639" s="2" t="s">
        <v>36</v>
      </c>
      <c r="S639" s="2" t="s">
        <v>37</v>
      </c>
      <c r="T639" s="2" t="s">
        <v>69</v>
      </c>
      <c r="U639" s="2" t="s">
        <v>39</v>
      </c>
      <c r="V639" s="2" t="n">
        <v>1</v>
      </c>
    </row>
    <row r="640">
      <c r="A640" s="2" t="n">
        <v>639</v>
      </c>
      <c r="B640" s="2" t="s">
        <v>7044</v>
      </c>
      <c r="C640" s="2" t="n">
        <v>407.259169018</v>
      </c>
      <c r="D640" s="2" t="n">
        <v>2.13617371449131</v>
      </c>
      <c r="E640" s="2" t="s">
        <v>7045</v>
      </c>
      <c r="F640" s="2" t="s">
        <v>24</v>
      </c>
      <c r="G640" s="2" t="s">
        <v>7046</v>
      </c>
      <c r="H640" s="2" t="s">
        <v>7047</v>
      </c>
      <c r="I640" s="2" t="s">
        <v>7048</v>
      </c>
      <c r="J640" s="2" t="s">
        <v>7049</v>
      </c>
      <c r="K640" s="2" t="s">
        <v>91</v>
      </c>
      <c r="L640" s="2" t="s">
        <v>91</v>
      </c>
      <c r="M640" s="2" t="s">
        <v>91</v>
      </c>
      <c r="N640" s="2" t="s">
        <v>7050</v>
      </c>
      <c r="O640" s="2" t="s">
        <v>7051</v>
      </c>
      <c r="P640" s="2" t="s">
        <v>7052</v>
      </c>
      <c r="Q640" s="2" t="s">
        <v>7053</v>
      </c>
      <c r="R640" s="2" t="s">
        <v>412</v>
      </c>
      <c r="S640" s="2" t="s">
        <v>5561</v>
      </c>
      <c r="T640" s="2" t="s">
        <v>7054</v>
      </c>
      <c r="U640" s="2" t="s">
        <v>29</v>
      </c>
      <c r="V640" s="2" t="n">
        <v>2</v>
      </c>
    </row>
    <row r="641">
      <c r="A641" s="2" t="n">
        <v>640</v>
      </c>
      <c r="B641" s="2" t="s">
        <v>7055</v>
      </c>
      <c r="C641" s="2" t="n">
        <v>408.22120001</v>
      </c>
      <c r="D641" s="2" t="n">
        <v>4.93260341196275</v>
      </c>
      <c r="E641" s="2" t="s">
        <v>7056</v>
      </c>
      <c r="F641" s="2" t="s">
        <v>86</v>
      </c>
      <c r="G641" s="2" t="s">
        <v>7057</v>
      </c>
      <c r="H641" s="2" t="s">
        <v>7058</v>
      </c>
      <c r="I641" s="2" t="s">
        <v>7059</v>
      </c>
      <c r="J641" s="2" t="s">
        <v>7060</v>
      </c>
      <c r="K641" s="2" t="s">
        <v>29</v>
      </c>
      <c r="L641" s="2" t="s">
        <v>29</v>
      </c>
      <c r="M641" s="2" t="s">
        <v>29</v>
      </c>
      <c r="N641" s="2" t="s">
        <v>7061</v>
      </c>
      <c r="O641" s="2" t="s">
        <v>29</v>
      </c>
      <c r="P641" s="2" t="s">
        <v>7062</v>
      </c>
      <c r="Q641" s="2" t="s">
        <v>7063</v>
      </c>
      <c r="R641" s="2" t="s">
        <v>186</v>
      </c>
      <c r="S641" s="2" t="s">
        <v>7064</v>
      </c>
      <c r="T641" s="2" t="s">
        <v>215</v>
      </c>
      <c r="U641" s="2" t="s">
        <v>29</v>
      </c>
      <c r="V641" s="2" t="n">
        <v>1</v>
      </c>
    </row>
    <row r="642">
      <c r="A642" s="2" t="n">
        <v>641</v>
      </c>
      <c r="B642" s="2" t="s">
        <v>7065</v>
      </c>
      <c r="C642" s="2" t="n">
        <v>409.238429268</v>
      </c>
      <c r="D642" s="2" t="n">
        <v>4.54054950488612</v>
      </c>
      <c r="E642" s="2" t="s">
        <v>7066</v>
      </c>
      <c r="F642" s="2" t="s">
        <v>205</v>
      </c>
      <c r="G642" s="2" t="s">
        <v>7067</v>
      </c>
      <c r="H642" s="2" t="s">
        <v>7068</v>
      </c>
      <c r="I642" s="2" t="s">
        <v>7069</v>
      </c>
      <c r="J642" s="2" t="s">
        <v>7070</v>
      </c>
      <c r="K642" s="2" t="s">
        <v>7071</v>
      </c>
      <c r="L642" s="2" t="s">
        <v>7072</v>
      </c>
      <c r="M642" s="2" t="s">
        <v>7073</v>
      </c>
      <c r="N642" s="2" t="s">
        <v>7074</v>
      </c>
      <c r="O642" s="2" t="s">
        <v>7075</v>
      </c>
      <c r="P642" s="2" t="s">
        <v>7076</v>
      </c>
      <c r="Q642" s="2" t="s">
        <v>7077</v>
      </c>
      <c r="R642" s="2" t="s">
        <v>794</v>
      </c>
      <c r="S642" s="2" t="s">
        <v>2971</v>
      </c>
      <c r="T642" s="2" t="s">
        <v>5934</v>
      </c>
      <c r="U642" s="2" t="s">
        <v>101</v>
      </c>
      <c r="V642" s="2" t="n">
        <v>1</v>
      </c>
    </row>
    <row r="643">
      <c r="A643" s="2" t="n">
        <v>642</v>
      </c>
      <c r="B643" s="2" t="s">
        <v>7078</v>
      </c>
      <c r="C643" s="2" t="n">
        <v>411.238827506</v>
      </c>
      <c r="D643" s="2" t="n">
        <v>5.94050996749109</v>
      </c>
      <c r="E643" s="2" t="s">
        <v>7079</v>
      </c>
      <c r="F643" s="2" t="s">
        <v>24</v>
      </c>
      <c r="G643" s="2" t="s">
        <v>7080</v>
      </c>
      <c r="H643" s="2" t="s">
        <v>7081</v>
      </c>
      <c r="I643" s="2" t="s">
        <v>7082</v>
      </c>
      <c r="J643" s="2" t="s">
        <v>29</v>
      </c>
      <c r="K643" s="2" t="s">
        <v>29</v>
      </c>
      <c r="L643" s="2" t="s">
        <v>29</v>
      </c>
      <c r="M643" s="2" t="s">
        <v>29</v>
      </c>
      <c r="N643" s="2" t="s">
        <v>7083</v>
      </c>
      <c r="O643" s="2" t="s">
        <v>29</v>
      </c>
      <c r="P643" s="2" t="s">
        <v>7084</v>
      </c>
      <c r="Q643" s="2" t="s">
        <v>7085</v>
      </c>
      <c r="R643" s="2" t="s">
        <v>794</v>
      </c>
      <c r="S643" s="2" t="s">
        <v>1098</v>
      </c>
      <c r="T643" s="2" t="s">
        <v>4662</v>
      </c>
      <c r="U643" s="2" t="s">
        <v>29</v>
      </c>
      <c r="V643" s="2" t="n">
        <v>1</v>
      </c>
    </row>
    <row r="644">
      <c r="A644" s="2" t="n">
        <v>643</v>
      </c>
      <c r="B644" s="2" t="s">
        <v>7086</v>
      </c>
      <c r="C644" s="2" t="n">
        <v>412.968899</v>
      </c>
      <c r="D644" s="2" t="n">
        <v>3.64603515092347</v>
      </c>
      <c r="E644" s="2" t="s">
        <v>7087</v>
      </c>
      <c r="F644" s="2" t="s">
        <v>531</v>
      </c>
      <c r="G644" s="2" t="s">
        <v>7088</v>
      </c>
      <c r="H644" s="2" t="s">
        <v>7089</v>
      </c>
      <c r="I644" s="2" t="s">
        <v>7090</v>
      </c>
      <c r="J644" s="2" t="s">
        <v>29</v>
      </c>
      <c r="K644" s="2" t="s">
        <v>29</v>
      </c>
      <c r="L644" s="2" t="s">
        <v>29</v>
      </c>
      <c r="M644" s="2" t="s">
        <v>29</v>
      </c>
      <c r="N644" s="2" t="s">
        <v>7091</v>
      </c>
      <c r="O644" s="2" t="s">
        <v>29</v>
      </c>
      <c r="P644" s="2" t="s">
        <v>7092</v>
      </c>
      <c r="Q644" s="2" t="s">
        <v>7093</v>
      </c>
      <c r="R644" s="2" t="s">
        <v>186</v>
      </c>
      <c r="S644" s="2" t="s">
        <v>187</v>
      </c>
      <c r="T644" s="2" t="s">
        <v>1206</v>
      </c>
      <c r="U644" s="2" t="s">
        <v>29</v>
      </c>
      <c r="V644" s="2" t="n">
        <v>1</v>
      </c>
    </row>
    <row r="645">
      <c r="A645" s="2" t="n">
        <v>644</v>
      </c>
      <c r="B645" s="2" t="s">
        <v>7094</v>
      </c>
      <c r="C645" s="2" t="n">
        <v>413.242388952</v>
      </c>
      <c r="D645" s="2" t="n">
        <v>1.4709289567048</v>
      </c>
      <c r="E645" s="2" t="s">
        <v>7095</v>
      </c>
      <c r="F645" s="2" t="s">
        <v>86</v>
      </c>
      <c r="G645" s="2" t="s">
        <v>7096</v>
      </c>
      <c r="H645" s="2" t="s">
        <v>7097</v>
      </c>
      <c r="I645" s="2" t="s">
        <v>7098</v>
      </c>
      <c r="J645" s="2" t="s">
        <v>29</v>
      </c>
      <c r="K645" s="2" t="s">
        <v>29</v>
      </c>
      <c r="L645" s="2" t="s">
        <v>29</v>
      </c>
      <c r="M645" s="2" t="s">
        <v>29</v>
      </c>
      <c r="N645" s="2" t="s">
        <v>29</v>
      </c>
      <c r="O645" s="2" t="s">
        <v>29</v>
      </c>
      <c r="P645" s="2" t="s">
        <v>7099</v>
      </c>
      <c r="Q645" s="2" t="s">
        <v>7100</v>
      </c>
      <c r="R645" s="2" t="s">
        <v>129</v>
      </c>
      <c r="S645" s="2" t="s">
        <v>130</v>
      </c>
      <c r="T645" s="2" t="s">
        <v>1681</v>
      </c>
      <c r="U645" s="2" t="s">
        <v>29</v>
      </c>
      <c r="V645" s="2" t="n">
        <v>1</v>
      </c>
    </row>
    <row r="646">
      <c r="A646" s="2" t="n">
        <v>645</v>
      </c>
      <c r="B646" s="2" t="s">
        <v>7101</v>
      </c>
      <c r="C646" s="2" t="n">
        <v>414.241660677</v>
      </c>
      <c r="D646" s="2" t="n">
        <v>0.996251008502798</v>
      </c>
      <c r="E646" s="2" t="s">
        <v>7102</v>
      </c>
      <c r="F646" s="2" t="s">
        <v>86</v>
      </c>
      <c r="G646" s="2" t="s">
        <v>7103</v>
      </c>
      <c r="H646" s="2" t="s">
        <v>7104</v>
      </c>
      <c r="I646" s="2" t="s">
        <v>7105</v>
      </c>
      <c r="J646" s="2" t="s">
        <v>7106</v>
      </c>
      <c r="K646" s="2" t="s">
        <v>7107</v>
      </c>
      <c r="L646" s="2" t="s">
        <v>29</v>
      </c>
      <c r="M646" s="2" t="s">
        <v>29</v>
      </c>
      <c r="N646" s="2" t="s">
        <v>7108</v>
      </c>
      <c r="O646" s="2" t="s">
        <v>7109</v>
      </c>
      <c r="P646" s="2" t="s">
        <v>7110</v>
      </c>
      <c r="Q646" s="2" t="s">
        <v>7111</v>
      </c>
      <c r="R646" s="2" t="s">
        <v>601</v>
      </c>
      <c r="S646" s="2" t="s">
        <v>602</v>
      </c>
      <c r="T646" s="2" t="s">
        <v>1800</v>
      </c>
      <c r="U646" s="2" t="s">
        <v>56</v>
      </c>
      <c r="V646" s="2" t="n">
        <v>1</v>
      </c>
    </row>
    <row r="647">
      <c r="A647" s="2" t="n">
        <v>646</v>
      </c>
      <c r="B647" s="2" t="s">
        <v>7112</v>
      </c>
      <c r="C647" s="2" t="n">
        <v>415.165792401</v>
      </c>
      <c r="D647" s="2" t="n">
        <v>1.84984077526809</v>
      </c>
      <c r="E647" s="2" t="s">
        <v>7113</v>
      </c>
      <c r="F647" s="2" t="s">
        <v>86</v>
      </c>
      <c r="G647" s="2" t="s">
        <v>7114</v>
      </c>
      <c r="H647" s="2" t="s">
        <v>7115</v>
      </c>
      <c r="I647" s="2" t="s">
        <v>7116</v>
      </c>
      <c r="J647" s="2" t="s">
        <v>7117</v>
      </c>
      <c r="K647" s="2" t="s">
        <v>7118</v>
      </c>
      <c r="L647" s="2" t="s">
        <v>29</v>
      </c>
      <c r="M647" s="2" t="s">
        <v>29</v>
      </c>
      <c r="N647" s="2" t="s">
        <v>7119</v>
      </c>
      <c r="O647" s="2" t="s">
        <v>29</v>
      </c>
      <c r="P647" s="2" t="s">
        <v>7120</v>
      </c>
      <c r="Q647" s="2" t="s">
        <v>7121</v>
      </c>
      <c r="R647" s="2" t="s">
        <v>794</v>
      </c>
      <c r="S647" s="2" t="s">
        <v>7122</v>
      </c>
      <c r="T647" s="2" t="s">
        <v>7123</v>
      </c>
      <c r="U647" s="2" t="s">
        <v>56</v>
      </c>
      <c r="V647" s="2" t="n">
        <v>1</v>
      </c>
    </row>
    <row r="648">
      <c r="A648" s="2" t="n">
        <v>647</v>
      </c>
      <c r="B648" s="2" t="s">
        <v>7124</v>
      </c>
      <c r="C648" s="2" t="n">
        <v>415.24631292</v>
      </c>
      <c r="D648" s="2" t="n">
        <v>0.987973823122997</v>
      </c>
      <c r="E648" s="2" t="s">
        <v>7125</v>
      </c>
      <c r="F648" s="2" t="s">
        <v>24</v>
      </c>
      <c r="G648" s="2" t="s">
        <v>7126</v>
      </c>
      <c r="H648" s="2" t="s">
        <v>7127</v>
      </c>
      <c r="I648" s="2" t="s">
        <v>7128</v>
      </c>
      <c r="J648" s="2" t="s">
        <v>7129</v>
      </c>
      <c r="K648" s="2" t="s">
        <v>29</v>
      </c>
      <c r="L648" s="2" t="s">
        <v>7130</v>
      </c>
      <c r="M648" s="2" t="s">
        <v>7131</v>
      </c>
      <c r="N648" s="2" t="s">
        <v>7132</v>
      </c>
      <c r="O648" s="2" t="s">
        <v>7133</v>
      </c>
      <c r="P648" s="2" t="s">
        <v>7134</v>
      </c>
      <c r="Q648" s="2" t="s">
        <v>7135</v>
      </c>
      <c r="R648" s="2" t="s">
        <v>186</v>
      </c>
      <c r="S648" s="2" t="s">
        <v>187</v>
      </c>
      <c r="T648" s="2" t="s">
        <v>4711</v>
      </c>
      <c r="U648" s="2" t="s">
        <v>56</v>
      </c>
      <c r="V648" s="2" t="n">
        <v>1</v>
      </c>
    </row>
    <row r="649">
      <c r="A649" s="2" t="n">
        <v>648</v>
      </c>
      <c r="B649" s="2" t="s">
        <v>7136</v>
      </c>
      <c r="C649" s="2" t="n">
        <v>417.1838112</v>
      </c>
      <c r="D649" s="2" t="n">
        <v>1.77854842585444</v>
      </c>
      <c r="E649" s="2" t="s">
        <v>7137</v>
      </c>
      <c r="F649" s="2" t="s">
        <v>24</v>
      </c>
      <c r="G649" s="2" t="s">
        <v>7138</v>
      </c>
      <c r="H649" s="2" t="s">
        <v>7139</v>
      </c>
      <c r="I649" s="2" t="s">
        <v>7140</v>
      </c>
      <c r="J649" s="2" t="s">
        <v>29</v>
      </c>
      <c r="K649" s="2" t="s">
        <v>29</v>
      </c>
      <c r="L649" s="2" t="s">
        <v>29</v>
      </c>
      <c r="M649" s="2" t="s">
        <v>29</v>
      </c>
      <c r="N649" s="2" t="s">
        <v>7141</v>
      </c>
      <c r="O649" s="2" t="s">
        <v>29</v>
      </c>
      <c r="P649" s="2" t="s">
        <v>7142</v>
      </c>
      <c r="Q649" s="2" t="s">
        <v>7143</v>
      </c>
      <c r="R649" s="2" t="s">
        <v>186</v>
      </c>
      <c r="S649" s="2" t="s">
        <v>357</v>
      </c>
      <c r="T649" s="2" t="s">
        <v>5859</v>
      </c>
      <c r="U649" s="2" t="s">
        <v>29</v>
      </c>
      <c r="V649" s="2" t="n">
        <v>1</v>
      </c>
    </row>
    <row r="650">
      <c r="A650" s="2" t="n">
        <v>649</v>
      </c>
      <c r="B650" s="2" t="s">
        <v>7144</v>
      </c>
      <c r="C650" s="2" t="n">
        <v>417.264098012</v>
      </c>
      <c r="D650" s="2" t="n">
        <v>5.48195265518007</v>
      </c>
      <c r="E650" s="2" t="s">
        <v>7145</v>
      </c>
      <c r="F650" s="2" t="s">
        <v>161</v>
      </c>
      <c r="G650" s="2" t="s">
        <v>7146</v>
      </c>
      <c r="H650" s="2" t="s">
        <v>7147</v>
      </c>
      <c r="I650" s="2" t="s">
        <v>7148</v>
      </c>
      <c r="J650" s="2" t="s">
        <v>7149</v>
      </c>
      <c r="K650" s="2" t="s">
        <v>29</v>
      </c>
      <c r="L650" s="2" t="s">
        <v>29</v>
      </c>
      <c r="M650" s="2" t="s">
        <v>29</v>
      </c>
      <c r="N650" s="2" t="s">
        <v>7150</v>
      </c>
      <c r="O650" s="2" t="s">
        <v>7151</v>
      </c>
      <c r="P650" s="2" t="s">
        <v>7152</v>
      </c>
      <c r="Q650" s="2" t="s">
        <v>7153</v>
      </c>
      <c r="R650" s="2" t="s">
        <v>36</v>
      </c>
      <c r="S650" s="2" t="s">
        <v>82</v>
      </c>
      <c r="T650" s="2" t="s">
        <v>1594</v>
      </c>
      <c r="U650" s="2" t="s">
        <v>56</v>
      </c>
      <c r="V650" s="2" t="n">
        <v>1</v>
      </c>
    </row>
    <row r="651">
      <c r="A651" s="2" t="n">
        <v>650</v>
      </c>
      <c r="B651" s="2" t="s">
        <v>7154</v>
      </c>
      <c r="C651" s="2" t="n">
        <v>419.203500314</v>
      </c>
      <c r="D651" s="2" t="n">
        <v>1.47365475222543</v>
      </c>
      <c r="E651" s="2" t="s">
        <v>7155</v>
      </c>
      <c r="F651" s="2" t="s">
        <v>205</v>
      </c>
      <c r="G651" s="2" t="s">
        <v>7156</v>
      </c>
      <c r="H651" s="2" t="s">
        <v>7157</v>
      </c>
      <c r="I651" s="2" t="s">
        <v>7158</v>
      </c>
      <c r="J651" s="2" t="s">
        <v>29</v>
      </c>
      <c r="K651" s="2" t="s">
        <v>29</v>
      </c>
      <c r="L651" s="2" t="s">
        <v>29</v>
      </c>
      <c r="M651" s="2" t="s">
        <v>29</v>
      </c>
      <c r="N651" s="2" t="s">
        <v>7159</v>
      </c>
      <c r="O651" s="2" t="s">
        <v>29</v>
      </c>
      <c r="P651" s="2" t="s">
        <v>7160</v>
      </c>
      <c r="Q651" s="2" t="s">
        <v>7161</v>
      </c>
      <c r="R651" s="2" t="s">
        <v>114</v>
      </c>
      <c r="S651" s="2" t="s">
        <v>7162</v>
      </c>
      <c r="T651" s="2" t="s">
        <v>7163</v>
      </c>
      <c r="U651" s="2" t="s">
        <v>29</v>
      </c>
      <c r="V651" s="2" t="n">
        <v>1</v>
      </c>
    </row>
    <row r="652">
      <c r="A652" s="2" t="n">
        <v>651</v>
      </c>
      <c r="B652" s="2" t="s">
        <v>7164</v>
      </c>
      <c r="C652" s="2" t="n">
        <v>419.971418361</v>
      </c>
      <c r="D652" s="2" t="n">
        <v>6.39674889078561</v>
      </c>
      <c r="E652" s="2" t="s">
        <v>7165</v>
      </c>
      <c r="F652" s="2" t="s">
        <v>531</v>
      </c>
      <c r="G652" s="2" t="s">
        <v>7166</v>
      </c>
      <c r="H652" s="2" t="s">
        <v>7167</v>
      </c>
      <c r="I652" s="2" t="s">
        <v>7168</v>
      </c>
      <c r="J652" s="2" t="s">
        <v>7169</v>
      </c>
      <c r="K652" s="2" t="s">
        <v>29</v>
      </c>
      <c r="L652" s="2" t="s">
        <v>29</v>
      </c>
      <c r="M652" s="2" t="s">
        <v>29</v>
      </c>
      <c r="N652" s="2" t="s">
        <v>7170</v>
      </c>
      <c r="O652" s="2" t="s">
        <v>7171</v>
      </c>
      <c r="P652" s="2" t="s">
        <v>7172</v>
      </c>
      <c r="Q652" s="2" t="s">
        <v>7173</v>
      </c>
      <c r="R652" s="2" t="s">
        <v>36</v>
      </c>
      <c r="S652" s="2" t="s">
        <v>37</v>
      </c>
      <c r="T652" s="2" t="s">
        <v>69</v>
      </c>
      <c r="U652" s="2" t="s">
        <v>56</v>
      </c>
      <c r="V652" s="2" t="n">
        <v>1</v>
      </c>
    </row>
    <row r="653">
      <c r="A653" s="2" t="n">
        <v>652</v>
      </c>
      <c r="B653" s="2" t="s">
        <v>7174</v>
      </c>
      <c r="C653" s="2" t="n">
        <v>421.23842927</v>
      </c>
      <c r="D653" s="2" t="n">
        <v>1.31676235253377</v>
      </c>
      <c r="E653" s="2" t="s">
        <v>7175</v>
      </c>
      <c r="F653" s="2" t="s">
        <v>205</v>
      </c>
      <c r="G653" s="2" t="s">
        <v>7176</v>
      </c>
      <c r="H653" s="2" t="s">
        <v>7177</v>
      </c>
      <c r="I653" s="2" t="s">
        <v>7178</v>
      </c>
      <c r="J653" s="2" t="s">
        <v>29</v>
      </c>
      <c r="K653" s="2" t="s">
        <v>29</v>
      </c>
      <c r="L653" s="2" t="s">
        <v>29</v>
      </c>
      <c r="M653" s="2" t="s">
        <v>29</v>
      </c>
      <c r="N653" s="2" t="s">
        <v>7179</v>
      </c>
      <c r="O653" s="2" t="s">
        <v>29</v>
      </c>
      <c r="P653" s="2" t="s">
        <v>7180</v>
      </c>
      <c r="Q653" s="2" t="s">
        <v>7181</v>
      </c>
      <c r="R653" s="2" t="s">
        <v>1355</v>
      </c>
      <c r="S653" s="2" t="s">
        <v>3249</v>
      </c>
      <c r="T653" s="2" t="s">
        <v>215</v>
      </c>
      <c r="U653" s="2" t="s">
        <v>29</v>
      </c>
      <c r="V653" s="2" t="n">
        <v>1</v>
      </c>
    </row>
    <row r="654">
      <c r="A654" s="2" t="n">
        <v>653</v>
      </c>
      <c r="B654" s="2" t="s">
        <v>7182</v>
      </c>
      <c r="C654" s="2" t="n">
        <v>422.233678242</v>
      </c>
      <c r="D654" s="2" t="n">
        <v>4.43403817299391</v>
      </c>
      <c r="E654" s="2" t="s">
        <v>7183</v>
      </c>
      <c r="F654" s="2" t="s">
        <v>205</v>
      </c>
      <c r="G654" s="2" t="s">
        <v>7184</v>
      </c>
      <c r="H654" s="2" t="s">
        <v>7185</v>
      </c>
      <c r="I654" s="2" t="s">
        <v>7186</v>
      </c>
      <c r="J654" s="2" t="s">
        <v>29</v>
      </c>
      <c r="K654" s="2" t="s">
        <v>29</v>
      </c>
      <c r="L654" s="2" t="s">
        <v>29</v>
      </c>
      <c r="M654" s="2" t="s">
        <v>29</v>
      </c>
      <c r="N654" s="2" t="s">
        <v>7187</v>
      </c>
      <c r="O654" s="2" t="s">
        <v>29</v>
      </c>
      <c r="P654" s="2" t="s">
        <v>7188</v>
      </c>
      <c r="Q654" s="2" t="s">
        <v>7189</v>
      </c>
      <c r="R654" s="2" t="s">
        <v>794</v>
      </c>
      <c r="S654" s="2" t="s">
        <v>2971</v>
      </c>
      <c r="T654" s="2" t="s">
        <v>3921</v>
      </c>
      <c r="U654" s="2" t="s">
        <v>29</v>
      </c>
      <c r="V654" s="2" t="n">
        <v>1</v>
      </c>
    </row>
    <row r="655">
      <c r="A655" s="2" t="n">
        <v>654</v>
      </c>
      <c r="B655" s="2" t="s">
        <v>7190</v>
      </c>
      <c r="C655" s="2" t="n">
        <v>423.199389749</v>
      </c>
      <c r="D655" s="2" t="n">
        <v>0.0365740803603274</v>
      </c>
      <c r="E655" s="2" t="s">
        <v>7191</v>
      </c>
      <c r="F655" s="2" t="s">
        <v>161</v>
      </c>
      <c r="G655" s="2" t="s">
        <v>7192</v>
      </c>
      <c r="H655" s="2" t="s">
        <v>7193</v>
      </c>
      <c r="I655" s="2" t="s">
        <v>7194</v>
      </c>
      <c r="J655" s="2" t="s">
        <v>91</v>
      </c>
      <c r="K655" s="2" t="s">
        <v>91</v>
      </c>
      <c r="L655" s="2" t="s">
        <v>91</v>
      </c>
      <c r="M655" s="2" t="s">
        <v>91</v>
      </c>
      <c r="N655" s="2" t="s">
        <v>7195</v>
      </c>
      <c r="O655" s="2" t="s">
        <v>91</v>
      </c>
      <c r="P655" s="2" t="s">
        <v>7196</v>
      </c>
      <c r="Q655" s="2" t="s">
        <v>7197</v>
      </c>
      <c r="R655" s="2" t="s">
        <v>7198</v>
      </c>
      <c r="S655" s="2" t="s">
        <v>7199</v>
      </c>
      <c r="T655" s="2" t="s">
        <v>543</v>
      </c>
      <c r="U655" s="2" t="s">
        <v>29</v>
      </c>
      <c r="V655" s="2" t="n">
        <v>2</v>
      </c>
    </row>
    <row r="656">
      <c r="A656" s="2" t="n">
        <v>655</v>
      </c>
      <c r="B656" s="2" t="s">
        <v>7200</v>
      </c>
      <c r="C656" s="2" t="n">
        <v>423.247375542</v>
      </c>
      <c r="D656" s="2" t="n">
        <v>2.52827426022844</v>
      </c>
      <c r="E656" s="2" t="s">
        <v>7201</v>
      </c>
      <c r="F656" s="2" t="s">
        <v>24</v>
      </c>
      <c r="G656" s="2" t="s">
        <v>7202</v>
      </c>
      <c r="H656" s="2" t="s">
        <v>7203</v>
      </c>
      <c r="I656" s="2" t="s">
        <v>7204</v>
      </c>
      <c r="J656" s="2" t="s">
        <v>29</v>
      </c>
      <c r="K656" s="2" t="s">
        <v>29</v>
      </c>
      <c r="L656" s="2" t="s">
        <v>29</v>
      </c>
      <c r="M656" s="2" t="s">
        <v>29</v>
      </c>
      <c r="N656" s="2" t="s">
        <v>7205</v>
      </c>
      <c r="O656" s="2" t="s">
        <v>29</v>
      </c>
      <c r="P656" s="2" t="s">
        <v>7206</v>
      </c>
      <c r="Q656" s="2" t="s">
        <v>7207</v>
      </c>
      <c r="R656" s="2" t="s">
        <v>36</v>
      </c>
      <c r="S656" s="2" t="s">
        <v>37</v>
      </c>
      <c r="T656" s="2" t="s">
        <v>69</v>
      </c>
      <c r="U656" s="2" t="s">
        <v>29</v>
      </c>
      <c r="V656" s="2" t="n">
        <v>1</v>
      </c>
    </row>
    <row r="657">
      <c r="A657" s="2" t="n">
        <v>656</v>
      </c>
      <c r="B657" s="2" t="s">
        <v>7208</v>
      </c>
      <c r="C657" s="2" t="n">
        <v>424.26239612</v>
      </c>
      <c r="D657" s="2" t="n">
        <v>2.34874751636718</v>
      </c>
      <c r="E657" s="2" t="s">
        <v>7209</v>
      </c>
      <c r="F657" s="2" t="s">
        <v>86</v>
      </c>
      <c r="G657" s="2" t="s">
        <v>7210</v>
      </c>
      <c r="H657" s="2" t="s">
        <v>7211</v>
      </c>
      <c r="I657" s="2" t="s">
        <v>7212</v>
      </c>
      <c r="J657" s="2" t="s">
        <v>29</v>
      </c>
      <c r="K657" s="2" t="s">
        <v>29</v>
      </c>
      <c r="L657" s="2" t="s">
        <v>29</v>
      </c>
      <c r="M657" s="2" t="s">
        <v>29</v>
      </c>
      <c r="N657" s="2" t="s">
        <v>29</v>
      </c>
      <c r="O657" s="2" t="s">
        <v>29</v>
      </c>
      <c r="P657" s="2" t="s">
        <v>7213</v>
      </c>
      <c r="Q657" s="2" t="s">
        <v>7214</v>
      </c>
      <c r="R657" s="2" t="s">
        <v>36</v>
      </c>
      <c r="S657" s="2" t="s">
        <v>37</v>
      </c>
      <c r="T657" s="2" t="s">
        <v>69</v>
      </c>
      <c r="U657" s="2" t="s">
        <v>56</v>
      </c>
      <c r="V657" s="2" t="n">
        <v>1</v>
      </c>
    </row>
    <row r="658">
      <c r="A658" s="2" t="n">
        <v>657</v>
      </c>
      <c r="B658" s="2" t="s">
        <v>7215</v>
      </c>
      <c r="C658" s="2" t="n">
        <v>425.265710952</v>
      </c>
      <c r="D658" s="2" t="n">
        <v>3.74502748437935</v>
      </c>
      <c r="E658" s="2" t="s">
        <v>7216</v>
      </c>
      <c r="F658" s="2" t="s">
        <v>683</v>
      </c>
      <c r="G658" s="2" t="s">
        <v>7217</v>
      </c>
      <c r="H658" s="2" t="s">
        <v>7218</v>
      </c>
      <c r="I658" s="2" t="s">
        <v>7219</v>
      </c>
      <c r="J658" s="2" t="s">
        <v>195</v>
      </c>
      <c r="K658" s="2" t="s">
        <v>195</v>
      </c>
      <c r="L658" s="2" t="s">
        <v>195</v>
      </c>
      <c r="M658" s="2" t="s">
        <v>195</v>
      </c>
      <c r="N658" s="2" t="s">
        <v>195</v>
      </c>
      <c r="O658" s="2" t="s">
        <v>195</v>
      </c>
      <c r="P658" s="2" t="s">
        <v>7220</v>
      </c>
      <c r="Q658" s="2" t="s">
        <v>7221</v>
      </c>
      <c r="R658" s="2" t="s">
        <v>1558</v>
      </c>
      <c r="S658" s="2" t="s">
        <v>1844</v>
      </c>
      <c r="T658" s="2" t="s">
        <v>1845</v>
      </c>
      <c r="U658" s="2" t="s">
        <v>56</v>
      </c>
      <c r="V658" s="2" t="n">
        <v>3</v>
      </c>
    </row>
    <row r="659">
      <c r="A659" s="2" t="n">
        <v>658</v>
      </c>
      <c r="B659" s="2" t="s">
        <v>7222</v>
      </c>
      <c r="C659" s="2" t="n">
        <v>426.033216899</v>
      </c>
      <c r="D659" s="2" t="n">
        <v>4.47773218522551</v>
      </c>
      <c r="E659" s="2" t="s">
        <v>7223</v>
      </c>
      <c r="F659" s="2" t="s">
        <v>205</v>
      </c>
      <c r="G659" s="2" t="s">
        <v>7224</v>
      </c>
      <c r="H659" s="2" t="s">
        <v>7225</v>
      </c>
      <c r="I659" s="2" t="s">
        <v>7226</v>
      </c>
      <c r="J659" s="2" t="s">
        <v>29</v>
      </c>
      <c r="K659" s="2" t="s">
        <v>29</v>
      </c>
      <c r="L659" s="2" t="s">
        <v>29</v>
      </c>
      <c r="M659" s="2" t="s">
        <v>7227</v>
      </c>
      <c r="N659" s="2" t="s">
        <v>29</v>
      </c>
      <c r="O659" s="2" t="s">
        <v>29</v>
      </c>
      <c r="P659" s="2" t="s">
        <v>7228</v>
      </c>
      <c r="Q659" s="2" t="s">
        <v>7229</v>
      </c>
      <c r="R659" s="2" t="s">
        <v>114</v>
      </c>
      <c r="S659" s="2" t="s">
        <v>172</v>
      </c>
      <c r="T659" s="2" t="s">
        <v>173</v>
      </c>
      <c r="U659" s="2" t="s">
        <v>29</v>
      </c>
      <c r="V659" s="2" t="n">
        <v>1</v>
      </c>
    </row>
    <row r="660">
      <c r="A660" s="2" t="n">
        <v>659</v>
      </c>
      <c r="B660" s="2" t="s">
        <v>7230</v>
      </c>
      <c r="C660" s="2" t="n">
        <v>426.28610774</v>
      </c>
      <c r="D660" s="2" t="n">
        <v>2.59876680039967</v>
      </c>
      <c r="E660" s="2" t="s">
        <v>7231</v>
      </c>
      <c r="F660" s="2" t="s">
        <v>205</v>
      </c>
      <c r="G660" s="2" t="s">
        <v>7232</v>
      </c>
      <c r="H660" s="2" t="s">
        <v>7233</v>
      </c>
      <c r="I660" s="2" t="s">
        <v>7234</v>
      </c>
      <c r="J660" s="2" t="s">
        <v>195</v>
      </c>
      <c r="K660" s="2" t="s">
        <v>195</v>
      </c>
      <c r="L660" s="2" t="s">
        <v>195</v>
      </c>
      <c r="M660" s="2" t="s">
        <v>195</v>
      </c>
      <c r="N660" s="2" t="s">
        <v>195</v>
      </c>
      <c r="O660" s="2" t="s">
        <v>195</v>
      </c>
      <c r="P660" s="2" t="s">
        <v>7235</v>
      </c>
      <c r="Q660" s="2" t="s">
        <v>7236</v>
      </c>
      <c r="R660" s="2" t="s">
        <v>255</v>
      </c>
      <c r="S660" s="2" t="s">
        <v>256</v>
      </c>
      <c r="T660" s="2" t="s">
        <v>668</v>
      </c>
      <c r="U660" s="2" t="s">
        <v>29</v>
      </c>
      <c r="V660" s="2" t="n">
        <v>3</v>
      </c>
    </row>
    <row r="661">
      <c r="A661" s="2" t="n">
        <v>660</v>
      </c>
      <c r="B661" s="2" t="s">
        <v>7237</v>
      </c>
      <c r="C661" s="2" t="n">
        <v>427.02843104</v>
      </c>
      <c r="D661" s="2" t="n">
        <v>0.672789029215991</v>
      </c>
      <c r="E661" s="2" t="s">
        <v>7238</v>
      </c>
      <c r="F661" s="2" t="s">
        <v>218</v>
      </c>
      <c r="G661" s="2" t="s">
        <v>7239</v>
      </c>
      <c r="H661" s="2" t="s">
        <v>7240</v>
      </c>
      <c r="I661" s="2" t="s">
        <v>7241</v>
      </c>
      <c r="J661" s="2" t="s">
        <v>7242</v>
      </c>
      <c r="K661" s="2" t="s">
        <v>29</v>
      </c>
      <c r="L661" s="2" t="s">
        <v>29</v>
      </c>
      <c r="M661" s="2" t="s">
        <v>29</v>
      </c>
      <c r="N661" s="2" t="s">
        <v>7243</v>
      </c>
      <c r="O661" s="2" t="s">
        <v>29</v>
      </c>
      <c r="P661" s="2" t="s">
        <v>7244</v>
      </c>
      <c r="Q661" s="2" t="s">
        <v>7245</v>
      </c>
      <c r="R661" s="2" t="s">
        <v>129</v>
      </c>
      <c r="S661" s="2" t="s">
        <v>130</v>
      </c>
      <c r="T661" s="2" t="s">
        <v>1681</v>
      </c>
      <c r="U661" s="2" t="s">
        <v>29</v>
      </c>
      <c r="V661" s="2" t="n">
        <v>1</v>
      </c>
    </row>
    <row r="662">
      <c r="A662" s="2" t="n">
        <v>661</v>
      </c>
      <c r="B662" s="2" t="s">
        <v>7246</v>
      </c>
      <c r="C662" s="2" t="n">
        <v>427.235079526</v>
      </c>
      <c r="D662" s="2" t="n">
        <v>3.19990725878079</v>
      </c>
      <c r="E662" s="2" t="s">
        <v>7247</v>
      </c>
      <c r="F662" s="2" t="s">
        <v>24</v>
      </c>
      <c r="G662" s="2" t="s">
        <v>7248</v>
      </c>
      <c r="H662" s="2" t="s">
        <v>7249</v>
      </c>
      <c r="I662" s="2" t="s">
        <v>7250</v>
      </c>
      <c r="J662" s="2" t="s">
        <v>29</v>
      </c>
      <c r="K662" s="2" t="s">
        <v>29</v>
      </c>
      <c r="L662" s="2" t="s">
        <v>29</v>
      </c>
      <c r="M662" s="2" t="s">
        <v>29</v>
      </c>
      <c r="N662" s="2" t="s">
        <v>7251</v>
      </c>
      <c r="O662" s="2" t="s">
        <v>29</v>
      </c>
      <c r="P662" s="2" t="s">
        <v>7252</v>
      </c>
      <c r="Q662" s="2" t="s">
        <v>7253</v>
      </c>
      <c r="R662" s="2" t="s">
        <v>114</v>
      </c>
      <c r="S662" s="2" t="s">
        <v>4121</v>
      </c>
      <c r="T662" s="2" t="s">
        <v>7254</v>
      </c>
      <c r="U662" s="2" t="s">
        <v>29</v>
      </c>
      <c r="V662" s="2" t="n">
        <v>1</v>
      </c>
    </row>
    <row r="663">
      <c r="A663" s="2" t="n">
        <v>662</v>
      </c>
      <c r="B663" s="2" t="s">
        <v>7255</v>
      </c>
      <c r="C663" s="2" t="n">
        <v>427.298447277</v>
      </c>
      <c r="D663" s="2" t="n">
        <v>9.36151897168165</v>
      </c>
      <c r="E663" s="2" t="s">
        <v>7256</v>
      </c>
      <c r="F663" s="2" t="s">
        <v>86</v>
      </c>
      <c r="G663" s="2" t="s">
        <v>7257</v>
      </c>
      <c r="H663" s="2" t="s">
        <v>7258</v>
      </c>
      <c r="I663" s="2" t="s">
        <v>7259</v>
      </c>
      <c r="J663" s="2" t="s">
        <v>29</v>
      </c>
      <c r="K663" s="2" t="s">
        <v>7260</v>
      </c>
      <c r="L663" s="2" t="s">
        <v>29</v>
      </c>
      <c r="M663" s="2" t="s">
        <v>29</v>
      </c>
      <c r="N663" s="2" t="s">
        <v>7261</v>
      </c>
      <c r="O663" s="2" t="s">
        <v>7262</v>
      </c>
      <c r="P663" s="2" t="s">
        <v>7263</v>
      </c>
      <c r="Q663" s="2" t="s">
        <v>7264</v>
      </c>
      <c r="R663" s="2" t="s">
        <v>794</v>
      </c>
      <c r="S663" s="2" t="s">
        <v>795</v>
      </c>
      <c r="T663" s="2" t="s">
        <v>796</v>
      </c>
      <c r="U663" s="2" t="s">
        <v>56</v>
      </c>
      <c r="V663" s="2" t="n">
        <v>1</v>
      </c>
    </row>
    <row r="664">
      <c r="A664" s="2" t="n">
        <v>663</v>
      </c>
      <c r="B664" s="2" t="s">
        <v>7265</v>
      </c>
      <c r="C664" s="2" t="n">
        <v>428.043905867</v>
      </c>
      <c r="D664" s="2" t="n">
        <v>8.94393385894925</v>
      </c>
      <c r="E664" s="2" t="s">
        <v>7266</v>
      </c>
      <c r="F664" s="2" t="s">
        <v>205</v>
      </c>
      <c r="G664" s="2" t="s">
        <v>7267</v>
      </c>
      <c r="H664" s="2" t="s">
        <v>7268</v>
      </c>
      <c r="I664" s="2" t="s">
        <v>7269</v>
      </c>
      <c r="J664" s="2" t="s">
        <v>29</v>
      </c>
      <c r="K664" s="2" t="s">
        <v>29</v>
      </c>
      <c r="L664" s="2" t="s">
        <v>29</v>
      </c>
      <c r="M664" s="2" t="s">
        <v>29</v>
      </c>
      <c r="N664" s="2" t="s">
        <v>29</v>
      </c>
      <c r="O664" s="2" t="s">
        <v>29</v>
      </c>
      <c r="P664" s="2" t="s">
        <v>7270</v>
      </c>
      <c r="Q664" s="2" t="s">
        <v>7271</v>
      </c>
      <c r="R664" s="2" t="s">
        <v>36</v>
      </c>
      <c r="S664" s="2" t="s">
        <v>37</v>
      </c>
      <c r="T664" s="2" t="s">
        <v>7272</v>
      </c>
      <c r="U664" s="2" t="s">
        <v>29</v>
      </c>
      <c r="V664" s="2" t="n">
        <v>1</v>
      </c>
    </row>
    <row r="665">
      <c r="A665" s="2" t="n">
        <v>664</v>
      </c>
      <c r="B665" s="2" t="s">
        <v>7273</v>
      </c>
      <c r="C665" s="2" t="n">
        <v>428.293696249</v>
      </c>
      <c r="D665" s="2" t="n">
        <v>0.0850448389006554</v>
      </c>
      <c r="E665" s="2" t="s">
        <v>7274</v>
      </c>
      <c r="F665" s="2" t="s">
        <v>86</v>
      </c>
      <c r="G665" s="2" t="s">
        <v>7275</v>
      </c>
      <c r="H665" s="2" t="s">
        <v>7276</v>
      </c>
      <c r="I665" s="2" t="s">
        <v>7277</v>
      </c>
      <c r="J665" s="2" t="s">
        <v>29</v>
      </c>
      <c r="K665" s="2" t="s">
        <v>29</v>
      </c>
      <c r="L665" s="2" t="s">
        <v>29</v>
      </c>
      <c r="M665" s="2" t="s">
        <v>29</v>
      </c>
      <c r="N665" s="2" t="s">
        <v>7278</v>
      </c>
      <c r="O665" s="2" t="s">
        <v>29</v>
      </c>
      <c r="P665" s="2" t="s">
        <v>7279</v>
      </c>
      <c r="Q665" s="2" t="s">
        <v>7280</v>
      </c>
      <c r="R665" s="2" t="s">
        <v>36</v>
      </c>
      <c r="S665" s="2" t="s">
        <v>37</v>
      </c>
      <c r="T665" s="2" t="s">
        <v>69</v>
      </c>
      <c r="U665" s="2" t="s">
        <v>29</v>
      </c>
      <c r="V665" s="2" t="n">
        <v>1</v>
      </c>
    </row>
    <row r="666">
      <c r="A666" s="2" t="n">
        <v>665</v>
      </c>
      <c r="B666" s="2" t="s">
        <v>7281</v>
      </c>
      <c r="C666" s="2" t="n">
        <v>429.203110694</v>
      </c>
      <c r="D666" s="2" t="n">
        <v>8.65303083209974</v>
      </c>
      <c r="E666" s="2" t="s">
        <v>7282</v>
      </c>
      <c r="F666" s="2" t="s">
        <v>24</v>
      </c>
      <c r="G666" s="2" t="s">
        <v>7283</v>
      </c>
      <c r="H666" s="2" t="s">
        <v>7284</v>
      </c>
      <c r="I666" s="2" t="s">
        <v>7285</v>
      </c>
      <c r="J666" s="2" t="s">
        <v>29</v>
      </c>
      <c r="K666" s="2" t="s">
        <v>29</v>
      </c>
      <c r="L666" s="2" t="s">
        <v>29</v>
      </c>
      <c r="M666" s="2" t="s">
        <v>29</v>
      </c>
      <c r="N666" s="2" t="s">
        <v>7286</v>
      </c>
      <c r="O666" s="2" t="s">
        <v>29</v>
      </c>
      <c r="P666" s="2" t="s">
        <v>7287</v>
      </c>
      <c r="Q666" s="2" t="s">
        <v>7288</v>
      </c>
      <c r="R666" s="2" t="s">
        <v>114</v>
      </c>
      <c r="S666" s="2" t="s">
        <v>936</v>
      </c>
      <c r="T666" s="2" t="s">
        <v>7289</v>
      </c>
      <c r="U666" s="2" t="s">
        <v>29</v>
      </c>
      <c r="V666" s="2" t="n">
        <v>1</v>
      </c>
    </row>
    <row r="667">
      <c r="A667" s="2" t="n">
        <v>666</v>
      </c>
      <c r="B667" s="2" t="s">
        <v>7290</v>
      </c>
      <c r="C667" s="2" t="n">
        <v>429.250725286</v>
      </c>
      <c r="D667" s="2" t="n">
        <v>3.10687407651036</v>
      </c>
      <c r="E667" s="2" t="s">
        <v>7291</v>
      </c>
      <c r="F667" s="2" t="s">
        <v>205</v>
      </c>
      <c r="G667" s="2" t="s">
        <v>7292</v>
      </c>
      <c r="H667" s="2" t="s">
        <v>7293</v>
      </c>
      <c r="I667" s="2" t="s">
        <v>7294</v>
      </c>
      <c r="J667" s="2" t="s">
        <v>29</v>
      </c>
      <c r="K667" s="2" t="s">
        <v>29</v>
      </c>
      <c r="L667" s="2" t="s">
        <v>29</v>
      </c>
      <c r="M667" s="2" t="s">
        <v>29</v>
      </c>
      <c r="N667" s="2" t="s">
        <v>7295</v>
      </c>
      <c r="O667" s="2" t="s">
        <v>29</v>
      </c>
      <c r="P667" s="2" t="s">
        <v>7296</v>
      </c>
      <c r="Q667" s="2" t="s">
        <v>7297</v>
      </c>
      <c r="R667" s="2" t="s">
        <v>114</v>
      </c>
      <c r="S667" s="2" t="s">
        <v>7298</v>
      </c>
      <c r="T667" s="2" t="s">
        <v>215</v>
      </c>
      <c r="U667" s="2" t="s">
        <v>29</v>
      </c>
      <c r="V667" s="2" t="n">
        <v>1</v>
      </c>
    </row>
    <row r="668">
      <c r="A668" s="2" t="n">
        <v>667</v>
      </c>
      <c r="B668" s="2" t="s">
        <v>7299</v>
      </c>
      <c r="C668" s="2" t="n">
        <v>431.097820546</v>
      </c>
      <c r="D668" s="2" t="n">
        <v>5.6147189371706</v>
      </c>
      <c r="E668" s="2" t="s">
        <v>7300</v>
      </c>
      <c r="F668" s="2" t="s">
        <v>161</v>
      </c>
      <c r="G668" s="2" t="s">
        <v>7301</v>
      </c>
      <c r="H668" s="2" t="s">
        <v>7302</v>
      </c>
      <c r="I668" s="2" t="s">
        <v>7303</v>
      </c>
      <c r="J668" s="2" t="s">
        <v>7304</v>
      </c>
      <c r="K668" s="2" t="s">
        <v>29</v>
      </c>
      <c r="L668" s="2" t="s">
        <v>29</v>
      </c>
      <c r="M668" s="2" t="s">
        <v>29</v>
      </c>
      <c r="N668" s="2" t="s">
        <v>7305</v>
      </c>
      <c r="O668" s="2" t="s">
        <v>29</v>
      </c>
      <c r="P668" s="2" t="s">
        <v>7306</v>
      </c>
      <c r="Q668" s="2" t="s">
        <v>7307</v>
      </c>
      <c r="R668" s="2" t="s">
        <v>1355</v>
      </c>
      <c r="S668" s="2" t="s">
        <v>5199</v>
      </c>
      <c r="T668" s="2" t="s">
        <v>7308</v>
      </c>
      <c r="U668" s="2" t="s">
        <v>56</v>
      </c>
      <c r="V668" s="2" t="n">
        <v>1</v>
      </c>
    </row>
    <row r="669">
      <c r="A669" s="2" t="n">
        <v>668</v>
      </c>
      <c r="B669" s="2" t="s">
        <v>7309</v>
      </c>
      <c r="C669" s="2" t="n">
        <v>431.147327158</v>
      </c>
      <c r="D669" s="2" t="n">
        <v>3.09749824848137</v>
      </c>
      <c r="E669" s="2" t="s">
        <v>7310</v>
      </c>
      <c r="F669" s="2" t="s">
        <v>24</v>
      </c>
      <c r="G669" s="2" t="s">
        <v>7311</v>
      </c>
      <c r="H669" s="2" t="s">
        <v>7312</v>
      </c>
      <c r="I669" s="2" t="s">
        <v>7313</v>
      </c>
      <c r="J669" s="2" t="s">
        <v>29</v>
      </c>
      <c r="K669" s="2" t="s">
        <v>29</v>
      </c>
      <c r="L669" s="2" t="s">
        <v>29</v>
      </c>
      <c r="M669" s="2" t="s">
        <v>29</v>
      </c>
      <c r="N669" s="2" t="s">
        <v>29</v>
      </c>
      <c r="O669" s="2" t="s">
        <v>29</v>
      </c>
      <c r="P669" s="2" t="s">
        <v>7314</v>
      </c>
      <c r="Q669" s="2" t="s">
        <v>7315</v>
      </c>
      <c r="R669" s="2" t="s">
        <v>129</v>
      </c>
      <c r="S669" s="2" t="s">
        <v>130</v>
      </c>
      <c r="T669" s="2" t="s">
        <v>4901</v>
      </c>
      <c r="U669" s="2" t="s">
        <v>29</v>
      </c>
      <c r="V669" s="2" t="n">
        <v>1</v>
      </c>
    </row>
    <row r="670">
      <c r="A670" s="2" t="n">
        <v>669</v>
      </c>
      <c r="B670" s="2" t="s">
        <v>7316</v>
      </c>
      <c r="C670" s="2" t="n">
        <v>431.235847019</v>
      </c>
      <c r="D670" s="2" t="n">
        <v>1.42923216774995</v>
      </c>
      <c r="E670" s="2" t="s">
        <v>7317</v>
      </c>
      <c r="F670" s="2" t="s">
        <v>86</v>
      </c>
      <c r="G670" s="2" t="s">
        <v>7318</v>
      </c>
      <c r="H670" s="2" t="s">
        <v>7319</v>
      </c>
      <c r="I670" s="2" t="s">
        <v>7320</v>
      </c>
      <c r="J670" s="2" t="s">
        <v>195</v>
      </c>
      <c r="K670" s="2" t="s">
        <v>195</v>
      </c>
      <c r="L670" s="2" t="s">
        <v>195</v>
      </c>
      <c r="M670" s="2" t="s">
        <v>195</v>
      </c>
      <c r="N670" s="2" t="s">
        <v>7321</v>
      </c>
      <c r="O670" s="2" t="s">
        <v>195</v>
      </c>
      <c r="P670" s="2" t="s">
        <v>7322</v>
      </c>
      <c r="Q670" s="2" t="s">
        <v>7323</v>
      </c>
      <c r="R670" s="2" t="s">
        <v>255</v>
      </c>
      <c r="S670" s="2" t="s">
        <v>7324</v>
      </c>
      <c r="T670" s="2" t="s">
        <v>7325</v>
      </c>
      <c r="U670" s="2" t="s">
        <v>29</v>
      </c>
      <c r="V670" s="2" t="n">
        <v>3</v>
      </c>
    </row>
    <row r="671">
      <c r="A671" s="2" t="n">
        <v>670</v>
      </c>
      <c r="B671" s="2" t="s">
        <v>7326</v>
      </c>
      <c r="C671" s="2" t="n">
        <v>433.28069232</v>
      </c>
      <c r="D671" s="2" t="n">
        <v>3.65683620982741</v>
      </c>
      <c r="E671" s="2" t="s">
        <v>7327</v>
      </c>
      <c r="F671" s="2" t="s">
        <v>24</v>
      </c>
      <c r="G671" s="2" t="s">
        <v>7328</v>
      </c>
      <c r="H671" s="2" t="s">
        <v>7329</v>
      </c>
      <c r="I671" s="2" t="s">
        <v>7330</v>
      </c>
      <c r="J671" s="2" t="s">
        <v>7331</v>
      </c>
      <c r="K671" s="2" t="s">
        <v>29</v>
      </c>
      <c r="L671" s="2" t="s">
        <v>29</v>
      </c>
      <c r="M671" s="2" t="s">
        <v>7332</v>
      </c>
      <c r="N671" s="2" t="s">
        <v>7333</v>
      </c>
      <c r="O671" s="2" t="s">
        <v>7334</v>
      </c>
      <c r="P671" s="2" t="s">
        <v>7335</v>
      </c>
      <c r="Q671" s="2" t="s">
        <v>7336</v>
      </c>
      <c r="R671" s="2" t="s">
        <v>794</v>
      </c>
      <c r="S671" s="2" t="s">
        <v>795</v>
      </c>
      <c r="T671" s="2" t="s">
        <v>1870</v>
      </c>
      <c r="U671" s="2" t="s">
        <v>56</v>
      </c>
      <c r="V671" s="2" t="n">
        <v>1</v>
      </c>
    </row>
    <row r="672">
      <c r="A672" s="2" t="n">
        <v>671</v>
      </c>
      <c r="B672" s="2" t="s">
        <v>7337</v>
      </c>
      <c r="C672" s="2" t="n">
        <v>434.952235844</v>
      </c>
      <c r="D672" s="2" t="n">
        <v>6.69190363491464</v>
      </c>
      <c r="E672" s="2" t="s">
        <v>7338</v>
      </c>
      <c r="F672" s="2" t="s">
        <v>683</v>
      </c>
      <c r="G672" s="2" t="s">
        <v>7339</v>
      </c>
      <c r="H672" s="2" t="s">
        <v>7340</v>
      </c>
      <c r="I672" s="2" t="s">
        <v>7341</v>
      </c>
      <c r="J672" s="2" t="s">
        <v>29</v>
      </c>
      <c r="K672" s="2" t="s">
        <v>29</v>
      </c>
      <c r="L672" s="2" t="s">
        <v>29</v>
      </c>
      <c r="M672" s="2" t="s">
        <v>29</v>
      </c>
      <c r="N672" s="2" t="s">
        <v>29</v>
      </c>
      <c r="O672" s="2" t="s">
        <v>29</v>
      </c>
      <c r="P672" s="2" t="s">
        <v>7342</v>
      </c>
      <c r="Q672" s="2" t="s">
        <v>7343</v>
      </c>
      <c r="R672" s="2" t="s">
        <v>114</v>
      </c>
      <c r="S672" s="2" t="s">
        <v>7344</v>
      </c>
      <c r="T672" s="2" t="s">
        <v>215</v>
      </c>
      <c r="U672" s="2" t="s">
        <v>29</v>
      </c>
      <c r="V672" s="2" t="n">
        <v>1</v>
      </c>
    </row>
    <row r="673">
      <c r="A673" s="2" t="n">
        <v>672</v>
      </c>
      <c r="B673" s="2" t="s">
        <v>7345</v>
      </c>
      <c r="C673" s="2" t="n">
        <v>435.223567055</v>
      </c>
      <c r="D673" s="2" t="n">
        <v>4.39182688887641</v>
      </c>
      <c r="E673" s="2" t="s">
        <v>7346</v>
      </c>
      <c r="F673" s="2" t="s">
        <v>205</v>
      </c>
      <c r="G673" s="2" t="s">
        <v>7347</v>
      </c>
      <c r="H673" s="2" t="s">
        <v>7348</v>
      </c>
      <c r="I673" s="2" t="s">
        <v>7349</v>
      </c>
      <c r="J673" s="2" t="s">
        <v>7350</v>
      </c>
      <c r="K673" s="2" t="s">
        <v>7351</v>
      </c>
      <c r="L673" s="2" t="s">
        <v>91</v>
      </c>
      <c r="M673" s="2" t="s">
        <v>7352</v>
      </c>
      <c r="N673" s="2" t="s">
        <v>7353</v>
      </c>
      <c r="O673" s="2" t="s">
        <v>7354</v>
      </c>
      <c r="P673" s="2" t="s">
        <v>7355</v>
      </c>
      <c r="Q673" s="2" t="s">
        <v>7356</v>
      </c>
      <c r="R673" s="2" t="s">
        <v>412</v>
      </c>
      <c r="S673" s="2" t="s">
        <v>413</v>
      </c>
      <c r="T673" s="2" t="s">
        <v>7357</v>
      </c>
      <c r="U673" s="2" t="s">
        <v>56</v>
      </c>
      <c r="V673" s="2" t="n">
        <v>2</v>
      </c>
    </row>
    <row r="674">
      <c r="A674" s="2" t="n">
        <v>673</v>
      </c>
      <c r="B674" s="2" t="s">
        <v>7358</v>
      </c>
      <c r="C674" s="2" t="n">
        <v>435.303532652</v>
      </c>
      <c r="D674" s="2" t="n">
        <v>6.05790191165913</v>
      </c>
      <c r="E674" s="2" t="s">
        <v>7359</v>
      </c>
      <c r="F674" s="2" t="s">
        <v>86</v>
      </c>
      <c r="G674" s="2" t="s">
        <v>7360</v>
      </c>
      <c r="H674" s="2" t="s">
        <v>7361</v>
      </c>
      <c r="I674" s="2" t="s">
        <v>7362</v>
      </c>
      <c r="J674" s="2" t="s">
        <v>7363</v>
      </c>
      <c r="K674" s="2" t="s">
        <v>7364</v>
      </c>
      <c r="L674" s="2" t="s">
        <v>7365</v>
      </c>
      <c r="M674" s="2" t="s">
        <v>7366</v>
      </c>
      <c r="N674" s="2" t="s">
        <v>7367</v>
      </c>
      <c r="O674" s="2" t="s">
        <v>7368</v>
      </c>
      <c r="P674" s="2" t="s">
        <v>7369</v>
      </c>
      <c r="Q674" s="2" t="s">
        <v>7370</v>
      </c>
      <c r="R674" s="2" t="s">
        <v>794</v>
      </c>
      <c r="S674" s="2" t="s">
        <v>2971</v>
      </c>
      <c r="T674" s="2" t="s">
        <v>7371</v>
      </c>
      <c r="U674" s="2" t="s">
        <v>39</v>
      </c>
      <c r="V674" s="2" t="n">
        <v>1</v>
      </c>
    </row>
    <row r="675">
      <c r="A675" s="2" t="n">
        <v>674</v>
      </c>
      <c r="B675" s="2" t="s">
        <v>7372</v>
      </c>
      <c r="C675" s="2" t="n">
        <v>436.298720067</v>
      </c>
      <c r="D675" s="2" t="n">
        <v>5.05847130530115</v>
      </c>
      <c r="E675" s="2" t="s">
        <v>7373</v>
      </c>
      <c r="F675" s="2" t="s">
        <v>218</v>
      </c>
      <c r="G675" s="2" t="s">
        <v>7374</v>
      </c>
      <c r="H675" s="2" t="s">
        <v>7375</v>
      </c>
      <c r="I675" s="2" t="s">
        <v>7376</v>
      </c>
      <c r="J675" s="2" t="s">
        <v>7377</v>
      </c>
      <c r="K675" s="2" t="s">
        <v>29</v>
      </c>
      <c r="L675" s="2" t="s">
        <v>29</v>
      </c>
      <c r="M675" s="2" t="s">
        <v>29</v>
      </c>
      <c r="N675" s="2" t="s">
        <v>7378</v>
      </c>
      <c r="O675" s="2" t="s">
        <v>7379</v>
      </c>
      <c r="P675" s="2" t="s">
        <v>7380</v>
      </c>
      <c r="Q675" s="2" t="s">
        <v>7381</v>
      </c>
      <c r="R675" s="2" t="s">
        <v>794</v>
      </c>
      <c r="S675" s="2" t="s">
        <v>2971</v>
      </c>
      <c r="T675" s="2" t="s">
        <v>7382</v>
      </c>
      <c r="U675" s="2" t="s">
        <v>56</v>
      </c>
      <c r="V675" s="2" t="n">
        <v>1</v>
      </c>
    </row>
    <row r="676">
      <c r="A676" s="2" t="n">
        <v>675</v>
      </c>
      <c r="B676" s="2" t="s">
        <v>7383</v>
      </c>
      <c r="C676" s="2" t="n">
        <v>437.244581583</v>
      </c>
      <c r="D676" s="2" t="n">
        <v>9.63515669169677</v>
      </c>
      <c r="E676" s="2" t="s">
        <v>7384</v>
      </c>
      <c r="F676" s="2" t="s">
        <v>24</v>
      </c>
      <c r="G676" s="2" t="s">
        <v>7385</v>
      </c>
      <c r="H676" s="2" t="s">
        <v>7386</v>
      </c>
      <c r="I676" s="2" t="s">
        <v>7387</v>
      </c>
      <c r="J676" s="2" t="s">
        <v>29</v>
      </c>
      <c r="K676" s="2" t="s">
        <v>29</v>
      </c>
      <c r="L676" s="2" t="s">
        <v>29</v>
      </c>
      <c r="M676" s="2" t="s">
        <v>29</v>
      </c>
      <c r="N676" s="2" t="s">
        <v>7388</v>
      </c>
      <c r="O676" s="2" t="s">
        <v>29</v>
      </c>
      <c r="P676" s="2" t="s">
        <v>7389</v>
      </c>
      <c r="Q676" s="2" t="s">
        <v>7390</v>
      </c>
      <c r="R676" s="2" t="s">
        <v>186</v>
      </c>
      <c r="S676" s="2" t="s">
        <v>187</v>
      </c>
      <c r="T676" s="2" t="s">
        <v>1895</v>
      </c>
      <c r="U676" s="2" t="s">
        <v>29</v>
      </c>
      <c r="V676" s="2" t="n">
        <v>1</v>
      </c>
    </row>
    <row r="677">
      <c r="A677" s="2" t="n">
        <v>676</v>
      </c>
      <c r="B677" s="2" t="s">
        <v>7391</v>
      </c>
      <c r="C677" s="2" t="n">
        <v>437.304795958</v>
      </c>
      <c r="D677" s="2" t="n">
        <v>0.472625451546845</v>
      </c>
      <c r="E677" s="2" t="s">
        <v>7392</v>
      </c>
      <c r="F677" s="2" t="s">
        <v>86</v>
      </c>
      <c r="G677" s="2" t="s">
        <v>7393</v>
      </c>
      <c r="H677" s="2" t="s">
        <v>7394</v>
      </c>
      <c r="I677" s="2" t="s">
        <v>7395</v>
      </c>
      <c r="J677" s="2" t="s">
        <v>29</v>
      </c>
      <c r="K677" s="2" t="s">
        <v>29</v>
      </c>
      <c r="L677" s="2" t="s">
        <v>29</v>
      </c>
      <c r="M677" s="2" t="s">
        <v>7396</v>
      </c>
      <c r="N677" s="2" t="s">
        <v>7397</v>
      </c>
      <c r="O677" s="2" t="s">
        <v>29</v>
      </c>
      <c r="P677" s="2" t="s">
        <v>7398</v>
      </c>
      <c r="Q677" s="2" t="s">
        <v>7399</v>
      </c>
      <c r="R677" s="2" t="s">
        <v>644</v>
      </c>
      <c r="S677" s="2" t="s">
        <v>3129</v>
      </c>
      <c r="T677" s="2" t="s">
        <v>7400</v>
      </c>
      <c r="U677" s="2" t="s">
        <v>56</v>
      </c>
      <c r="V677" s="2" t="n">
        <v>1</v>
      </c>
    </row>
    <row r="678">
      <c r="A678" s="2" t="n">
        <v>677</v>
      </c>
      <c r="B678" s="2" t="s">
        <v>7401</v>
      </c>
      <c r="C678" s="2" t="n">
        <v>438.2473196</v>
      </c>
      <c r="D678" s="2" t="n">
        <v>6.46033921714384</v>
      </c>
      <c r="E678" s="2" t="s">
        <v>7402</v>
      </c>
      <c r="F678" s="2" t="s">
        <v>531</v>
      </c>
      <c r="G678" s="2" t="s">
        <v>7403</v>
      </c>
      <c r="H678" s="2" t="s">
        <v>7404</v>
      </c>
      <c r="I678" s="2" t="s">
        <v>7405</v>
      </c>
      <c r="J678" s="2" t="s">
        <v>195</v>
      </c>
      <c r="K678" s="2" t="s">
        <v>195</v>
      </c>
      <c r="L678" s="2" t="s">
        <v>195</v>
      </c>
      <c r="M678" s="2" t="s">
        <v>195</v>
      </c>
      <c r="N678" s="2" t="s">
        <v>195</v>
      </c>
      <c r="O678" s="2" t="s">
        <v>195</v>
      </c>
      <c r="P678" s="2" t="s">
        <v>7406</v>
      </c>
      <c r="Q678" s="2" t="s">
        <v>7407</v>
      </c>
      <c r="R678" s="2" t="s">
        <v>255</v>
      </c>
      <c r="S678" s="2" t="s">
        <v>256</v>
      </c>
      <c r="T678" s="2" t="s">
        <v>668</v>
      </c>
      <c r="U678" s="2" t="s">
        <v>29</v>
      </c>
      <c r="V678" s="2" t="n">
        <v>3</v>
      </c>
    </row>
    <row r="679">
      <c r="A679" s="2" t="n">
        <v>678</v>
      </c>
      <c r="B679" s="2" t="s">
        <v>7408</v>
      </c>
      <c r="C679" s="2" t="n">
        <v>439.088200104</v>
      </c>
      <c r="D679" s="2" t="n">
        <v>4.61389756950803</v>
      </c>
      <c r="E679" s="2" t="s">
        <v>7409</v>
      </c>
      <c r="F679" s="2" t="s">
        <v>24</v>
      </c>
      <c r="G679" s="2" t="s">
        <v>7410</v>
      </c>
      <c r="H679" s="2" t="s">
        <v>7411</v>
      </c>
      <c r="I679" s="2" t="s">
        <v>7412</v>
      </c>
      <c r="J679" s="2" t="s">
        <v>7413</v>
      </c>
      <c r="K679" s="2" t="s">
        <v>29</v>
      </c>
      <c r="L679" s="2" t="s">
        <v>29</v>
      </c>
      <c r="M679" s="2" t="s">
        <v>7414</v>
      </c>
      <c r="N679" s="2" t="s">
        <v>7415</v>
      </c>
      <c r="O679" s="2" t="s">
        <v>7416</v>
      </c>
      <c r="P679" s="2" t="s">
        <v>7417</v>
      </c>
      <c r="Q679" s="2" t="s">
        <v>7418</v>
      </c>
      <c r="R679" s="2" t="s">
        <v>129</v>
      </c>
      <c r="S679" s="2" t="s">
        <v>130</v>
      </c>
      <c r="T679" s="2" t="s">
        <v>1681</v>
      </c>
      <c r="U679" s="2" t="s">
        <v>56</v>
      </c>
      <c r="V679" s="2" t="n">
        <v>1</v>
      </c>
    </row>
    <row r="680">
      <c r="A680" s="2" t="n">
        <v>679</v>
      </c>
      <c r="B680" s="2" t="s">
        <v>7419</v>
      </c>
      <c r="C680" s="2" t="n">
        <v>439.16344702</v>
      </c>
      <c r="D680" s="2" t="n">
        <v>0.650056218507172</v>
      </c>
      <c r="E680" s="2" t="s">
        <v>7420</v>
      </c>
      <c r="F680" s="2" t="s">
        <v>205</v>
      </c>
      <c r="G680" s="2" t="s">
        <v>7421</v>
      </c>
      <c r="H680" s="2" t="s">
        <v>7422</v>
      </c>
      <c r="I680" s="2" t="s">
        <v>7423</v>
      </c>
      <c r="J680" s="2" t="s">
        <v>29</v>
      </c>
      <c r="K680" s="2" t="s">
        <v>29</v>
      </c>
      <c r="L680" s="2" t="s">
        <v>29</v>
      </c>
      <c r="M680" s="2" t="s">
        <v>29</v>
      </c>
      <c r="N680" s="2" t="s">
        <v>7424</v>
      </c>
      <c r="O680" s="2" t="s">
        <v>29</v>
      </c>
      <c r="P680" s="2" t="s">
        <v>7425</v>
      </c>
      <c r="Q680" s="2" t="s">
        <v>7426</v>
      </c>
      <c r="R680" s="2" t="s">
        <v>114</v>
      </c>
      <c r="S680" s="2" t="s">
        <v>1038</v>
      </c>
      <c r="T680" s="2" t="s">
        <v>1039</v>
      </c>
      <c r="U680" s="2" t="s">
        <v>29</v>
      </c>
      <c r="V680" s="2" t="n">
        <v>1</v>
      </c>
    </row>
    <row r="681">
      <c r="A681" s="2" t="n">
        <v>680</v>
      </c>
      <c r="B681" s="2" t="s">
        <v>7427</v>
      </c>
      <c r="C681" s="2" t="n">
        <v>439.249785351</v>
      </c>
      <c r="D681" s="2" t="n">
        <v>5.76926407813325</v>
      </c>
      <c r="E681" s="2" t="s">
        <v>7428</v>
      </c>
      <c r="F681" s="2" t="s">
        <v>161</v>
      </c>
      <c r="G681" s="2" t="s">
        <v>7429</v>
      </c>
      <c r="H681" s="2" t="s">
        <v>7430</v>
      </c>
      <c r="I681" s="2" t="s">
        <v>7431</v>
      </c>
      <c r="J681" s="2" t="s">
        <v>29</v>
      </c>
      <c r="K681" s="2" t="s">
        <v>29</v>
      </c>
      <c r="L681" s="2" t="s">
        <v>29</v>
      </c>
      <c r="M681" s="2" t="s">
        <v>29</v>
      </c>
      <c r="N681" s="2" t="s">
        <v>7432</v>
      </c>
      <c r="O681" s="2" t="s">
        <v>29</v>
      </c>
      <c r="P681" s="2" t="s">
        <v>7433</v>
      </c>
      <c r="Q681" s="2" t="s">
        <v>7434</v>
      </c>
      <c r="R681" s="2" t="s">
        <v>114</v>
      </c>
      <c r="S681" s="2" t="s">
        <v>3757</v>
      </c>
      <c r="T681" s="2" t="s">
        <v>215</v>
      </c>
      <c r="U681" s="2" t="s">
        <v>29</v>
      </c>
      <c r="V681" s="2" t="n">
        <v>1</v>
      </c>
    </row>
    <row r="682">
      <c r="A682" s="2" t="n">
        <v>681</v>
      </c>
      <c r="B682" s="2" t="s">
        <v>7435</v>
      </c>
      <c r="C682" s="2" t="n">
        <v>440.083028985</v>
      </c>
      <c r="D682" s="2" t="n">
        <v>1.91575828628394</v>
      </c>
      <c r="E682" s="2" t="s">
        <v>7436</v>
      </c>
      <c r="F682" s="2" t="s">
        <v>86</v>
      </c>
      <c r="G682" s="2" t="s">
        <v>7437</v>
      </c>
      <c r="H682" s="2" t="s">
        <v>7438</v>
      </c>
      <c r="I682" s="2" t="s">
        <v>7439</v>
      </c>
      <c r="J682" s="2" t="s">
        <v>29</v>
      </c>
      <c r="K682" s="2" t="s">
        <v>29</v>
      </c>
      <c r="L682" s="2" t="s">
        <v>29</v>
      </c>
      <c r="M682" s="2" t="s">
        <v>29</v>
      </c>
      <c r="N682" s="2" t="s">
        <v>7440</v>
      </c>
      <c r="O682" s="2" t="s">
        <v>29</v>
      </c>
      <c r="P682" s="2" t="s">
        <v>7441</v>
      </c>
      <c r="Q682" s="2" t="s">
        <v>7442</v>
      </c>
      <c r="R682" s="2" t="s">
        <v>114</v>
      </c>
      <c r="S682" s="2" t="s">
        <v>936</v>
      </c>
      <c r="T682" s="2" t="s">
        <v>1749</v>
      </c>
      <c r="U682" s="2" t="s">
        <v>29</v>
      </c>
      <c r="V682" s="2" t="n">
        <v>1</v>
      </c>
    </row>
    <row r="683">
      <c r="A683" s="2" t="n">
        <v>682</v>
      </c>
      <c r="B683" s="2" t="s">
        <v>7443</v>
      </c>
      <c r="C683" s="2" t="n">
        <v>440.255480619</v>
      </c>
      <c r="D683" s="2" t="n">
        <v>5.82373218696425</v>
      </c>
      <c r="E683" s="2" t="s">
        <v>7444</v>
      </c>
      <c r="F683" s="2" t="s">
        <v>24</v>
      </c>
      <c r="G683" s="2" t="s">
        <v>7445</v>
      </c>
      <c r="H683" s="2" t="s">
        <v>7446</v>
      </c>
      <c r="I683" s="2" t="s">
        <v>7447</v>
      </c>
      <c r="J683" s="2" t="s">
        <v>29</v>
      </c>
      <c r="K683" s="2" t="s">
        <v>29</v>
      </c>
      <c r="L683" s="2" t="s">
        <v>29</v>
      </c>
      <c r="M683" s="2" t="s">
        <v>29</v>
      </c>
      <c r="N683" s="2" t="s">
        <v>7448</v>
      </c>
      <c r="O683" s="2" t="s">
        <v>29</v>
      </c>
      <c r="P683" s="2" t="s">
        <v>7449</v>
      </c>
      <c r="Q683" s="2" t="s">
        <v>7450</v>
      </c>
      <c r="R683" s="2" t="s">
        <v>36</v>
      </c>
      <c r="S683" s="2" t="s">
        <v>37</v>
      </c>
      <c r="T683" s="2" t="s">
        <v>69</v>
      </c>
      <c r="U683" s="2" t="s">
        <v>29</v>
      </c>
      <c r="V683" s="2" t="n">
        <v>1</v>
      </c>
    </row>
    <row r="684">
      <c r="A684" s="2" t="n">
        <v>683</v>
      </c>
      <c r="B684" s="2" t="s">
        <v>7451</v>
      </c>
      <c r="C684" s="2" t="n">
        <v>441.264648326</v>
      </c>
      <c r="D684" s="2" t="n">
        <v>3.43290951590684</v>
      </c>
      <c r="E684" s="2" t="s">
        <v>7452</v>
      </c>
      <c r="F684" s="2" t="s">
        <v>24</v>
      </c>
      <c r="G684" s="2" t="s">
        <v>7453</v>
      </c>
      <c r="H684" s="2" t="s">
        <v>7454</v>
      </c>
      <c r="I684" s="2" t="s">
        <v>7455</v>
      </c>
      <c r="J684" s="2" t="s">
        <v>7456</v>
      </c>
      <c r="K684" s="2" t="s">
        <v>91</v>
      </c>
      <c r="L684" s="2" t="s">
        <v>91</v>
      </c>
      <c r="M684" s="2" t="s">
        <v>7457</v>
      </c>
      <c r="N684" s="2" t="s">
        <v>7458</v>
      </c>
      <c r="O684" s="2" t="s">
        <v>7459</v>
      </c>
      <c r="P684" s="2" t="s">
        <v>7460</v>
      </c>
      <c r="Q684" s="2" t="s">
        <v>7461</v>
      </c>
      <c r="R684" s="2" t="s">
        <v>412</v>
      </c>
      <c r="S684" s="2" t="s">
        <v>7462</v>
      </c>
      <c r="T684" s="2" t="s">
        <v>7463</v>
      </c>
      <c r="U684" s="2" t="s">
        <v>56</v>
      </c>
      <c r="V684" s="2" t="n">
        <v>2</v>
      </c>
    </row>
    <row r="685">
      <c r="A685" s="2" t="n">
        <v>684</v>
      </c>
      <c r="B685" s="2" t="s">
        <v>7464</v>
      </c>
      <c r="C685" s="2" t="n">
        <v>442.007245345</v>
      </c>
      <c r="D685" s="2" t="n">
        <v>7.7612290439642</v>
      </c>
      <c r="E685" s="2" t="s">
        <v>7465</v>
      </c>
      <c r="F685" s="2" t="s">
        <v>86</v>
      </c>
      <c r="G685" s="2" t="s">
        <v>7466</v>
      </c>
      <c r="H685" s="2" t="s">
        <v>7467</v>
      </c>
      <c r="I685" s="2" t="s">
        <v>7468</v>
      </c>
      <c r="J685" s="2" t="s">
        <v>7469</v>
      </c>
      <c r="K685" s="2" t="s">
        <v>91</v>
      </c>
      <c r="L685" s="2" t="s">
        <v>91</v>
      </c>
      <c r="M685" s="2" t="s">
        <v>91</v>
      </c>
      <c r="N685" s="2" t="s">
        <v>7470</v>
      </c>
      <c r="O685" s="2" t="s">
        <v>91</v>
      </c>
      <c r="P685" s="2" t="s">
        <v>7471</v>
      </c>
      <c r="Q685" s="2" t="s">
        <v>7472</v>
      </c>
      <c r="R685" s="2" t="s">
        <v>427</v>
      </c>
      <c r="S685" s="2" t="s">
        <v>428</v>
      </c>
      <c r="T685" s="2" t="s">
        <v>6812</v>
      </c>
      <c r="U685" s="2" t="s">
        <v>29</v>
      </c>
      <c r="V685" s="2" t="n">
        <v>2</v>
      </c>
    </row>
    <row r="686">
      <c r="A686" s="2" t="n">
        <v>685</v>
      </c>
      <c r="B686" s="2" t="s">
        <v>7473</v>
      </c>
      <c r="C686" s="2" t="n">
        <v>442.189428052</v>
      </c>
      <c r="D686" s="2" t="n">
        <v>1.39308353631476</v>
      </c>
      <c r="E686" s="2" t="s">
        <v>7474</v>
      </c>
      <c r="F686" s="2" t="s">
        <v>531</v>
      </c>
      <c r="G686" s="2" t="s">
        <v>7475</v>
      </c>
      <c r="H686" s="2" t="s">
        <v>7476</v>
      </c>
      <c r="I686" s="2" t="s">
        <v>7477</v>
      </c>
      <c r="J686" s="2" t="s">
        <v>29</v>
      </c>
      <c r="K686" s="2" t="s">
        <v>29</v>
      </c>
      <c r="L686" s="2" t="s">
        <v>29</v>
      </c>
      <c r="M686" s="2" t="s">
        <v>29</v>
      </c>
      <c r="N686" s="2" t="s">
        <v>29</v>
      </c>
      <c r="O686" s="2" t="s">
        <v>29</v>
      </c>
      <c r="P686" s="2" t="s">
        <v>7478</v>
      </c>
      <c r="Q686" s="2" t="s">
        <v>7479</v>
      </c>
      <c r="R686" s="2" t="s">
        <v>114</v>
      </c>
      <c r="S686" s="2" t="s">
        <v>4121</v>
      </c>
      <c r="T686" s="2" t="s">
        <v>7480</v>
      </c>
      <c r="U686" s="2" t="s">
        <v>29</v>
      </c>
      <c r="V686" s="2" t="n">
        <v>1</v>
      </c>
    </row>
    <row r="687">
      <c r="A687" s="2" t="n">
        <v>686</v>
      </c>
      <c r="B687" s="2" t="s">
        <v>7481</v>
      </c>
      <c r="C687" s="2" t="n">
        <v>442.266557616</v>
      </c>
      <c r="D687" s="2" t="n">
        <v>1.88558653761443</v>
      </c>
      <c r="E687" s="2" t="s">
        <v>7482</v>
      </c>
      <c r="F687" s="2" t="s">
        <v>161</v>
      </c>
      <c r="G687" s="2" t="s">
        <v>7483</v>
      </c>
      <c r="H687" s="2" t="s">
        <v>7484</v>
      </c>
      <c r="I687" s="2" t="s">
        <v>7485</v>
      </c>
      <c r="J687" s="2" t="s">
        <v>29</v>
      </c>
      <c r="K687" s="2" t="s">
        <v>29</v>
      </c>
      <c r="L687" s="2" t="s">
        <v>29</v>
      </c>
      <c r="M687" s="2" t="s">
        <v>29</v>
      </c>
      <c r="N687" s="2" t="s">
        <v>7486</v>
      </c>
      <c r="O687" s="2" t="s">
        <v>29</v>
      </c>
      <c r="P687" s="2" t="s">
        <v>7487</v>
      </c>
      <c r="Q687" s="2" t="s">
        <v>7488</v>
      </c>
      <c r="R687" s="2" t="s">
        <v>129</v>
      </c>
      <c r="S687" s="2" t="s">
        <v>130</v>
      </c>
      <c r="T687" s="2" t="s">
        <v>1681</v>
      </c>
      <c r="U687" s="2" t="s">
        <v>29</v>
      </c>
      <c r="V687" s="2" t="n">
        <v>1</v>
      </c>
    </row>
    <row r="688">
      <c r="A688" s="2" t="n">
        <v>687</v>
      </c>
      <c r="B688" s="2" t="s">
        <v>7489</v>
      </c>
      <c r="C688" s="2" t="n">
        <v>443.0147688</v>
      </c>
      <c r="D688" s="2" t="n">
        <v>6.55017619228028</v>
      </c>
      <c r="E688" s="2" t="s">
        <v>7490</v>
      </c>
      <c r="F688" s="2" t="s">
        <v>161</v>
      </c>
      <c r="G688" s="2" t="s">
        <v>7491</v>
      </c>
      <c r="H688" s="2" t="s">
        <v>7492</v>
      </c>
      <c r="I688" s="2" t="s">
        <v>7493</v>
      </c>
      <c r="J688" s="2" t="s">
        <v>29</v>
      </c>
      <c r="K688" s="2" t="s">
        <v>29</v>
      </c>
      <c r="L688" s="2" t="s">
        <v>29</v>
      </c>
      <c r="M688" s="2" t="s">
        <v>29</v>
      </c>
      <c r="N688" s="2" t="s">
        <v>7494</v>
      </c>
      <c r="O688" s="2" t="s">
        <v>29</v>
      </c>
      <c r="P688" s="2" t="s">
        <v>7495</v>
      </c>
      <c r="Q688" s="2" t="s">
        <v>7496</v>
      </c>
      <c r="R688" s="2" t="s">
        <v>186</v>
      </c>
      <c r="S688" s="2" t="s">
        <v>187</v>
      </c>
      <c r="T688" s="2" t="s">
        <v>3996</v>
      </c>
      <c r="U688" s="2" t="s">
        <v>29</v>
      </c>
      <c r="V688" s="2" t="n">
        <v>1</v>
      </c>
    </row>
    <row r="689">
      <c r="A689" s="2" t="n">
        <v>688</v>
      </c>
      <c r="B689" s="2" t="s">
        <v>7497</v>
      </c>
      <c r="C689" s="2" t="n">
        <v>443.286171616</v>
      </c>
      <c r="D689" s="2" t="n">
        <v>6.59170425539435</v>
      </c>
      <c r="E689" s="2" t="s">
        <v>7498</v>
      </c>
      <c r="F689" s="2" t="s">
        <v>683</v>
      </c>
      <c r="G689" s="2" t="s">
        <v>7499</v>
      </c>
      <c r="H689" s="2" t="s">
        <v>7500</v>
      </c>
      <c r="I689" s="2" t="s">
        <v>7501</v>
      </c>
      <c r="J689" s="2" t="s">
        <v>29</v>
      </c>
      <c r="K689" s="2" t="s">
        <v>29</v>
      </c>
      <c r="L689" s="2" t="s">
        <v>29</v>
      </c>
      <c r="M689" s="2" t="s">
        <v>7502</v>
      </c>
      <c r="N689" s="2" t="s">
        <v>29</v>
      </c>
      <c r="O689" s="2" t="s">
        <v>29</v>
      </c>
      <c r="P689" s="2" t="s">
        <v>7503</v>
      </c>
      <c r="Q689" s="2" t="s">
        <v>7504</v>
      </c>
      <c r="R689" s="2" t="s">
        <v>129</v>
      </c>
      <c r="S689" s="2" t="s">
        <v>130</v>
      </c>
      <c r="T689" s="2" t="s">
        <v>4901</v>
      </c>
      <c r="U689" s="2" t="s">
        <v>29</v>
      </c>
      <c r="V689" s="2" t="n">
        <v>1</v>
      </c>
    </row>
    <row r="690">
      <c r="A690" s="2" t="n">
        <v>689</v>
      </c>
      <c r="B690" s="2" t="s">
        <v>7505</v>
      </c>
      <c r="C690" s="2" t="n">
        <v>445.05902164</v>
      </c>
      <c r="D690" s="2" t="n">
        <v>1.27290121945508</v>
      </c>
      <c r="E690" s="2" t="s">
        <v>7506</v>
      </c>
      <c r="F690" s="2" t="s">
        <v>86</v>
      </c>
      <c r="G690" s="2" t="s">
        <v>7507</v>
      </c>
      <c r="H690" s="2" t="s">
        <v>7508</v>
      </c>
      <c r="I690" s="2" t="s">
        <v>7509</v>
      </c>
      <c r="J690" s="2" t="s">
        <v>7510</v>
      </c>
      <c r="K690" s="2" t="s">
        <v>29</v>
      </c>
      <c r="L690" s="2" t="s">
        <v>7511</v>
      </c>
      <c r="M690" s="2" t="s">
        <v>7512</v>
      </c>
      <c r="N690" s="2" t="s">
        <v>7513</v>
      </c>
      <c r="O690" s="2" t="s">
        <v>7514</v>
      </c>
      <c r="P690" s="2" t="s">
        <v>7515</v>
      </c>
      <c r="Q690" s="2" t="s">
        <v>7516</v>
      </c>
      <c r="R690" s="2" t="s">
        <v>186</v>
      </c>
      <c r="S690" s="2" t="s">
        <v>187</v>
      </c>
      <c r="T690" s="2" t="s">
        <v>3454</v>
      </c>
      <c r="U690" s="2" t="s">
        <v>101</v>
      </c>
      <c r="V690" s="2" t="n">
        <v>1</v>
      </c>
    </row>
    <row r="691">
      <c r="A691" s="2" t="n">
        <v>690</v>
      </c>
      <c r="B691" s="2" t="s">
        <v>7517</v>
      </c>
      <c r="C691" s="2" t="n">
        <v>445.188129333</v>
      </c>
      <c r="D691" s="2" t="n">
        <v>2.19437899689935</v>
      </c>
      <c r="E691" s="2" t="s">
        <v>7518</v>
      </c>
      <c r="F691" s="2" t="s">
        <v>24</v>
      </c>
      <c r="G691" s="2" t="s">
        <v>7519</v>
      </c>
      <c r="H691" s="2" t="s">
        <v>7520</v>
      </c>
      <c r="I691" s="2" t="s">
        <v>7521</v>
      </c>
      <c r="J691" s="2" t="s">
        <v>29</v>
      </c>
      <c r="K691" s="2" t="s">
        <v>29</v>
      </c>
      <c r="L691" s="2" t="s">
        <v>29</v>
      </c>
      <c r="M691" s="2" t="s">
        <v>29</v>
      </c>
      <c r="N691" s="2" t="s">
        <v>7522</v>
      </c>
      <c r="O691" s="2" t="s">
        <v>29</v>
      </c>
      <c r="P691" s="2" t="s">
        <v>7523</v>
      </c>
      <c r="Q691" s="2" t="s">
        <v>7524</v>
      </c>
      <c r="R691" s="2" t="s">
        <v>114</v>
      </c>
      <c r="S691" s="2" t="s">
        <v>936</v>
      </c>
      <c r="T691" s="2" t="s">
        <v>2291</v>
      </c>
      <c r="U691" s="2" t="s">
        <v>29</v>
      </c>
      <c r="V691" s="2" t="n">
        <v>1</v>
      </c>
    </row>
    <row r="692">
      <c r="A692" s="2" t="n">
        <v>691</v>
      </c>
      <c r="B692" s="2" t="s">
        <v>7525</v>
      </c>
      <c r="C692" s="2" t="n">
        <v>445.245644211</v>
      </c>
      <c r="D692" s="2" t="n">
        <v>2.5142885573819</v>
      </c>
      <c r="E692" s="2" t="s">
        <v>7526</v>
      </c>
      <c r="F692" s="2" t="s">
        <v>24</v>
      </c>
      <c r="G692" s="2" t="s">
        <v>7527</v>
      </c>
      <c r="H692" s="2" t="s">
        <v>7528</v>
      </c>
      <c r="I692" s="2" t="s">
        <v>7529</v>
      </c>
      <c r="J692" s="2" t="s">
        <v>29</v>
      </c>
      <c r="K692" s="2" t="s">
        <v>29</v>
      </c>
      <c r="L692" s="2" t="s">
        <v>29</v>
      </c>
      <c r="M692" s="2" t="s">
        <v>29</v>
      </c>
      <c r="N692" s="2" t="s">
        <v>7530</v>
      </c>
      <c r="O692" s="2" t="s">
        <v>29</v>
      </c>
      <c r="P692" s="2" t="s">
        <v>7531</v>
      </c>
      <c r="Q692" s="2" t="s">
        <v>7532</v>
      </c>
      <c r="R692" s="2" t="s">
        <v>186</v>
      </c>
      <c r="S692" s="2" t="s">
        <v>911</v>
      </c>
      <c r="T692" s="2" t="s">
        <v>215</v>
      </c>
      <c r="U692" s="2" t="s">
        <v>29</v>
      </c>
      <c r="V692" s="2" t="n">
        <v>1</v>
      </c>
    </row>
    <row r="693">
      <c r="A693" s="2" t="n">
        <v>692</v>
      </c>
      <c r="B693" s="2" t="s">
        <v>7533</v>
      </c>
      <c r="C693" s="2" t="n">
        <v>447.198304166</v>
      </c>
      <c r="D693" s="2" t="n">
        <v>0.558989027603624</v>
      </c>
      <c r="E693" s="2" t="s">
        <v>7534</v>
      </c>
      <c r="F693" s="2" t="s">
        <v>161</v>
      </c>
      <c r="G693" s="2" t="s">
        <v>7535</v>
      </c>
      <c r="H693" s="2" t="s">
        <v>7536</v>
      </c>
      <c r="I693" s="2" t="s">
        <v>7537</v>
      </c>
      <c r="J693" s="2" t="s">
        <v>7538</v>
      </c>
      <c r="K693" s="2" t="s">
        <v>29</v>
      </c>
      <c r="L693" s="2" t="s">
        <v>29</v>
      </c>
      <c r="M693" s="2" t="s">
        <v>29</v>
      </c>
      <c r="N693" s="2" t="s">
        <v>7539</v>
      </c>
      <c r="O693" s="2" t="s">
        <v>29</v>
      </c>
      <c r="P693" s="2" t="s">
        <v>7540</v>
      </c>
      <c r="Q693" s="2" t="s">
        <v>7541</v>
      </c>
      <c r="R693" s="2" t="s">
        <v>794</v>
      </c>
      <c r="S693" s="2" t="s">
        <v>2971</v>
      </c>
      <c r="T693" s="2" t="s">
        <v>7542</v>
      </c>
      <c r="U693" s="2" t="s">
        <v>29</v>
      </c>
      <c r="V693" s="2" t="n">
        <v>1</v>
      </c>
    </row>
    <row r="694">
      <c r="A694" s="2" t="n">
        <v>693</v>
      </c>
      <c r="B694" s="2" t="s">
        <v>7543</v>
      </c>
      <c r="C694" s="2" t="n">
        <v>447.238823198</v>
      </c>
      <c r="D694" s="2" t="n">
        <v>1.37401535625427</v>
      </c>
      <c r="E694" s="2" t="s">
        <v>7544</v>
      </c>
      <c r="F694" s="2" t="s">
        <v>205</v>
      </c>
      <c r="G694" s="2" t="s">
        <v>7545</v>
      </c>
      <c r="H694" s="2" t="s">
        <v>7546</v>
      </c>
      <c r="I694" s="2" t="s">
        <v>7547</v>
      </c>
      <c r="J694" s="2" t="s">
        <v>29</v>
      </c>
      <c r="K694" s="2" t="s">
        <v>29</v>
      </c>
      <c r="L694" s="2" t="s">
        <v>29</v>
      </c>
      <c r="M694" s="2" t="s">
        <v>29</v>
      </c>
      <c r="N694" s="2" t="s">
        <v>7548</v>
      </c>
      <c r="O694" s="2" t="s">
        <v>7549</v>
      </c>
      <c r="P694" s="2" t="s">
        <v>7550</v>
      </c>
      <c r="Q694" s="2" t="s">
        <v>7551</v>
      </c>
      <c r="R694" s="2" t="s">
        <v>794</v>
      </c>
      <c r="S694" s="2" t="s">
        <v>2971</v>
      </c>
      <c r="T694" s="2" t="s">
        <v>7552</v>
      </c>
      <c r="U694" s="2" t="s">
        <v>56</v>
      </c>
      <c r="V694" s="2" t="n">
        <v>1</v>
      </c>
    </row>
    <row r="695">
      <c r="A695" s="2" t="n">
        <v>694</v>
      </c>
      <c r="B695" s="2" t="s">
        <v>7553</v>
      </c>
      <c r="C695" s="2" t="n">
        <v>448.010648136</v>
      </c>
      <c r="D695" s="2" t="n">
        <v>1.25714588166989</v>
      </c>
      <c r="E695" s="2" t="s">
        <v>7554</v>
      </c>
      <c r="F695" s="2" t="s">
        <v>86</v>
      </c>
      <c r="G695" s="2" t="s">
        <v>7555</v>
      </c>
      <c r="H695" s="2" t="s">
        <v>7556</v>
      </c>
      <c r="I695" s="2" t="s">
        <v>7557</v>
      </c>
      <c r="J695" s="2" t="s">
        <v>29</v>
      </c>
      <c r="K695" s="2" t="s">
        <v>29</v>
      </c>
      <c r="L695" s="2" t="s">
        <v>29</v>
      </c>
      <c r="M695" s="2" t="s">
        <v>7558</v>
      </c>
      <c r="N695" s="2" t="s">
        <v>29</v>
      </c>
      <c r="O695" s="2" t="s">
        <v>29</v>
      </c>
      <c r="P695" s="2" t="s">
        <v>7559</v>
      </c>
      <c r="Q695" s="2" t="s">
        <v>7560</v>
      </c>
      <c r="R695" s="2" t="s">
        <v>129</v>
      </c>
      <c r="S695" s="2" t="s">
        <v>130</v>
      </c>
      <c r="T695" s="2" t="s">
        <v>131</v>
      </c>
      <c r="U695" s="2" t="s">
        <v>29</v>
      </c>
      <c r="V695" s="2" t="n">
        <v>1</v>
      </c>
    </row>
    <row r="696">
      <c r="A696" s="2" t="n">
        <v>695</v>
      </c>
      <c r="B696" s="2" t="s">
        <v>7561</v>
      </c>
      <c r="C696" s="2" t="n">
        <v>449.033006831</v>
      </c>
      <c r="D696" s="2" t="n">
        <v>3.04113738553199</v>
      </c>
      <c r="E696" s="2" t="s">
        <v>7562</v>
      </c>
      <c r="F696" s="2" t="s">
        <v>205</v>
      </c>
      <c r="G696" s="2" t="s">
        <v>7563</v>
      </c>
      <c r="H696" s="2" t="s">
        <v>7564</v>
      </c>
      <c r="I696" s="2" t="s">
        <v>7565</v>
      </c>
      <c r="J696" s="2" t="s">
        <v>91</v>
      </c>
      <c r="K696" s="2" t="s">
        <v>91</v>
      </c>
      <c r="L696" s="2" t="s">
        <v>91</v>
      </c>
      <c r="M696" s="2" t="s">
        <v>91</v>
      </c>
      <c r="N696" s="2" t="s">
        <v>7566</v>
      </c>
      <c r="O696" s="2" t="s">
        <v>91</v>
      </c>
      <c r="P696" s="2" t="s">
        <v>7567</v>
      </c>
      <c r="Q696" s="2" t="s">
        <v>7568</v>
      </c>
      <c r="R696" s="2" t="s">
        <v>144</v>
      </c>
      <c r="S696" s="2" t="s">
        <v>145</v>
      </c>
      <c r="T696" s="2" t="s">
        <v>7569</v>
      </c>
      <c r="U696" s="2" t="s">
        <v>29</v>
      </c>
      <c r="V696" s="2" t="n">
        <v>2</v>
      </c>
    </row>
    <row r="697">
      <c r="A697" s="2" t="n">
        <v>696</v>
      </c>
      <c r="B697" s="2" t="s">
        <v>7570</v>
      </c>
      <c r="C697" s="2" t="n">
        <v>449.282735652</v>
      </c>
      <c r="D697" s="2" t="n">
        <v>1.01430789798543</v>
      </c>
      <c r="E697" s="2" t="s">
        <v>7571</v>
      </c>
      <c r="F697" s="2" t="s">
        <v>218</v>
      </c>
      <c r="G697" s="2" t="s">
        <v>7572</v>
      </c>
      <c r="H697" s="2" t="s">
        <v>7573</v>
      </c>
      <c r="I697" s="2" t="s">
        <v>7574</v>
      </c>
      <c r="J697" s="2" t="s">
        <v>7575</v>
      </c>
      <c r="K697" s="2" t="s">
        <v>7576</v>
      </c>
      <c r="L697" s="2" t="s">
        <v>195</v>
      </c>
      <c r="M697" s="2" t="s">
        <v>195</v>
      </c>
      <c r="N697" s="2" t="s">
        <v>7577</v>
      </c>
      <c r="O697" s="2" t="s">
        <v>7578</v>
      </c>
      <c r="P697" s="2" t="s">
        <v>7579</v>
      </c>
      <c r="Q697" s="2" t="s">
        <v>7580</v>
      </c>
      <c r="R697" s="2" t="s">
        <v>255</v>
      </c>
      <c r="S697" s="2" t="s">
        <v>6877</v>
      </c>
      <c r="T697" s="2" t="s">
        <v>7581</v>
      </c>
      <c r="U697" s="2" t="s">
        <v>56</v>
      </c>
      <c r="V697" s="2" t="n">
        <v>3</v>
      </c>
    </row>
    <row r="698">
      <c r="A698" s="2" t="n">
        <v>697</v>
      </c>
      <c r="B698" s="2" t="s">
        <v>7582</v>
      </c>
      <c r="C698" s="2" t="n">
        <v>450.9304534</v>
      </c>
      <c r="D698" s="2" t="n">
        <v>4.9148698580307</v>
      </c>
      <c r="E698" s="2" t="s">
        <v>7583</v>
      </c>
      <c r="F698" s="2" t="s">
        <v>531</v>
      </c>
      <c r="G698" s="2" t="s">
        <v>7584</v>
      </c>
      <c r="H698" s="2" t="s">
        <v>7585</v>
      </c>
      <c r="I698" s="2" t="s">
        <v>7586</v>
      </c>
      <c r="J698" s="2" t="s">
        <v>29</v>
      </c>
      <c r="K698" s="2" t="s">
        <v>29</v>
      </c>
      <c r="L698" s="2" t="s">
        <v>29</v>
      </c>
      <c r="M698" s="2" t="s">
        <v>29</v>
      </c>
      <c r="N698" s="2" t="s">
        <v>29</v>
      </c>
      <c r="O698" s="2" t="s">
        <v>29</v>
      </c>
      <c r="P698" s="2" t="s">
        <v>7587</v>
      </c>
      <c r="Q698" s="2" t="s">
        <v>7588</v>
      </c>
      <c r="R698" s="2" t="s">
        <v>1355</v>
      </c>
      <c r="S698" s="2" t="s">
        <v>3249</v>
      </c>
      <c r="T698" s="2" t="s">
        <v>215</v>
      </c>
      <c r="U698" s="2" t="s">
        <v>29</v>
      </c>
      <c r="V698" s="2" t="n">
        <v>1</v>
      </c>
    </row>
    <row r="699">
      <c r="A699" s="2" t="n">
        <v>698</v>
      </c>
      <c r="B699" s="2" t="s">
        <v>7589</v>
      </c>
      <c r="C699" s="2" t="n">
        <v>452.293634689</v>
      </c>
      <c r="D699" s="2" t="n">
        <v>6.31270389461123</v>
      </c>
      <c r="E699" s="2" t="s">
        <v>7590</v>
      </c>
      <c r="F699" s="2" t="s">
        <v>218</v>
      </c>
      <c r="G699" s="2" t="s">
        <v>7591</v>
      </c>
      <c r="H699" s="2" t="s">
        <v>7592</v>
      </c>
      <c r="I699" s="2" t="s">
        <v>7593</v>
      </c>
      <c r="J699" s="2" t="s">
        <v>29</v>
      </c>
      <c r="K699" s="2" t="s">
        <v>29</v>
      </c>
      <c r="L699" s="2" t="s">
        <v>7594</v>
      </c>
      <c r="M699" s="2" t="s">
        <v>7595</v>
      </c>
      <c r="N699" s="2" t="s">
        <v>7596</v>
      </c>
      <c r="O699" s="2" t="s">
        <v>7597</v>
      </c>
      <c r="P699" s="2" t="s">
        <v>7598</v>
      </c>
      <c r="Q699" s="2" t="s">
        <v>7599</v>
      </c>
      <c r="R699" s="2" t="s">
        <v>794</v>
      </c>
      <c r="S699" s="2" t="s">
        <v>2971</v>
      </c>
      <c r="T699" s="2" t="s">
        <v>7382</v>
      </c>
      <c r="U699" s="2" t="s">
        <v>56</v>
      </c>
      <c r="V699" s="2" t="n">
        <v>1</v>
      </c>
    </row>
    <row r="700">
      <c r="A700" s="2" t="n">
        <v>699</v>
      </c>
      <c r="B700" s="2" t="s">
        <v>7600</v>
      </c>
      <c r="C700" s="2" t="n">
        <v>453.028393814</v>
      </c>
      <c r="D700" s="2" t="n">
        <v>1.93753661012573</v>
      </c>
      <c r="E700" s="2" t="s">
        <v>7601</v>
      </c>
      <c r="F700" s="2" t="s">
        <v>683</v>
      </c>
      <c r="G700" s="2" t="s">
        <v>7602</v>
      </c>
      <c r="H700" s="2" t="s">
        <v>7603</v>
      </c>
      <c r="I700" s="2" t="s">
        <v>7604</v>
      </c>
      <c r="J700" s="2" t="s">
        <v>7605</v>
      </c>
      <c r="K700" s="2" t="s">
        <v>29</v>
      </c>
      <c r="L700" s="2" t="s">
        <v>7606</v>
      </c>
      <c r="M700" s="2" t="s">
        <v>7607</v>
      </c>
      <c r="N700" s="2" t="s">
        <v>7608</v>
      </c>
      <c r="O700" s="2" t="s">
        <v>7609</v>
      </c>
      <c r="P700" s="2" t="s">
        <v>7610</v>
      </c>
      <c r="Q700" s="2" t="s">
        <v>7611</v>
      </c>
      <c r="R700" s="2" t="s">
        <v>186</v>
      </c>
      <c r="S700" s="2" t="s">
        <v>187</v>
      </c>
      <c r="T700" s="2" t="s">
        <v>1206</v>
      </c>
      <c r="U700" s="2" t="s">
        <v>101</v>
      </c>
      <c r="V700" s="2" t="n">
        <v>1</v>
      </c>
    </row>
    <row r="701">
      <c r="A701" s="2" t="n">
        <v>700</v>
      </c>
      <c r="B701" s="2" t="s">
        <v>7612</v>
      </c>
      <c r="C701" s="2" t="n">
        <v>453.081315</v>
      </c>
      <c r="D701" s="2" t="n">
        <v>2.50566791152576</v>
      </c>
      <c r="E701" s="2" t="s">
        <v>7613</v>
      </c>
      <c r="F701" s="2" t="s">
        <v>161</v>
      </c>
      <c r="G701" s="2" t="s">
        <v>7614</v>
      </c>
      <c r="H701" s="2" t="s">
        <v>7615</v>
      </c>
      <c r="I701" s="2" t="s">
        <v>7616</v>
      </c>
      <c r="J701" s="2" t="s">
        <v>29</v>
      </c>
      <c r="K701" s="2" t="s">
        <v>29</v>
      </c>
      <c r="L701" s="2" t="s">
        <v>29</v>
      </c>
      <c r="M701" s="2" t="s">
        <v>29</v>
      </c>
      <c r="N701" s="2" t="s">
        <v>7617</v>
      </c>
      <c r="O701" s="2" t="s">
        <v>29</v>
      </c>
      <c r="P701" s="2" t="s">
        <v>7618</v>
      </c>
      <c r="Q701" s="2" t="s">
        <v>7619</v>
      </c>
      <c r="R701" s="2" t="s">
        <v>186</v>
      </c>
      <c r="S701" s="2" t="s">
        <v>187</v>
      </c>
      <c r="T701" s="2" t="s">
        <v>3454</v>
      </c>
      <c r="U701" s="2" t="s">
        <v>29</v>
      </c>
      <c r="V701" s="2" t="n">
        <v>1</v>
      </c>
    </row>
    <row r="702">
      <c r="A702" s="2" t="n">
        <v>701</v>
      </c>
      <c r="B702" s="2" t="s">
        <v>7620</v>
      </c>
      <c r="C702" s="2" t="n">
        <v>453.239491898</v>
      </c>
      <c r="D702" s="2" t="n">
        <v>0.703126365718749</v>
      </c>
      <c r="E702" s="2" t="s">
        <v>7621</v>
      </c>
      <c r="F702" s="2" t="s">
        <v>205</v>
      </c>
      <c r="G702" s="2" t="s">
        <v>7622</v>
      </c>
      <c r="H702" s="2" t="s">
        <v>7623</v>
      </c>
      <c r="I702" s="2" t="s">
        <v>7624</v>
      </c>
      <c r="J702" s="2" t="s">
        <v>29</v>
      </c>
      <c r="K702" s="2" t="s">
        <v>29</v>
      </c>
      <c r="L702" s="2" t="s">
        <v>29</v>
      </c>
      <c r="M702" s="2" t="s">
        <v>7625</v>
      </c>
      <c r="N702" s="2" t="s">
        <v>7626</v>
      </c>
      <c r="O702" s="2" t="s">
        <v>29</v>
      </c>
      <c r="P702" s="2" t="s">
        <v>7627</v>
      </c>
      <c r="Q702" s="2" t="s">
        <v>7628</v>
      </c>
      <c r="R702" s="2" t="s">
        <v>114</v>
      </c>
      <c r="S702" s="2" t="s">
        <v>4121</v>
      </c>
      <c r="T702" s="2" t="s">
        <v>7629</v>
      </c>
      <c r="U702" s="2" t="s">
        <v>29</v>
      </c>
      <c r="V702" s="2" t="n">
        <v>1</v>
      </c>
    </row>
    <row r="703">
      <c r="A703" s="2" t="n">
        <v>702</v>
      </c>
      <c r="B703" s="2" t="s">
        <v>7630</v>
      </c>
      <c r="C703" s="2" t="n">
        <v>454.316861857</v>
      </c>
      <c r="D703" s="2" t="n">
        <v>9.24928360239858</v>
      </c>
      <c r="E703" s="2" t="s">
        <v>7631</v>
      </c>
      <c r="F703" s="2" t="s">
        <v>161</v>
      </c>
      <c r="G703" s="2" t="s">
        <v>7632</v>
      </c>
      <c r="H703" s="2" t="s">
        <v>7633</v>
      </c>
      <c r="I703" s="2" t="s">
        <v>7634</v>
      </c>
      <c r="J703" s="2" t="s">
        <v>91</v>
      </c>
      <c r="K703" s="2" t="s">
        <v>91</v>
      </c>
      <c r="L703" s="2" t="s">
        <v>91</v>
      </c>
      <c r="M703" s="2" t="s">
        <v>91</v>
      </c>
      <c r="N703" s="2" t="s">
        <v>91</v>
      </c>
      <c r="O703" s="2" t="s">
        <v>91</v>
      </c>
      <c r="P703" s="2" t="s">
        <v>7635</v>
      </c>
      <c r="Q703" s="2" t="s">
        <v>7636</v>
      </c>
      <c r="R703" s="2" t="s">
        <v>412</v>
      </c>
      <c r="S703" s="2" t="s">
        <v>413</v>
      </c>
      <c r="T703" s="2" t="s">
        <v>3680</v>
      </c>
      <c r="U703" s="2" t="s">
        <v>29</v>
      </c>
      <c r="V703" s="2" t="n">
        <v>2</v>
      </c>
    </row>
    <row r="704">
      <c r="A704" s="2" t="n">
        <v>703</v>
      </c>
      <c r="B704" s="2" t="s">
        <v>7637</v>
      </c>
      <c r="C704" s="2" t="n">
        <v>455.243912884</v>
      </c>
      <c r="D704" s="2" t="n">
        <v>4.94056693598927</v>
      </c>
      <c r="E704" s="2" t="s">
        <v>7638</v>
      </c>
      <c r="F704" s="2" t="s">
        <v>24</v>
      </c>
      <c r="G704" s="2" t="s">
        <v>7639</v>
      </c>
      <c r="H704" s="2" t="s">
        <v>7640</v>
      </c>
      <c r="I704" s="2" t="s">
        <v>7641</v>
      </c>
      <c r="J704" s="2" t="s">
        <v>7642</v>
      </c>
      <c r="K704" s="2" t="s">
        <v>29</v>
      </c>
      <c r="L704" s="2" t="s">
        <v>29</v>
      </c>
      <c r="M704" s="2" t="s">
        <v>29</v>
      </c>
      <c r="N704" s="2" t="s">
        <v>7643</v>
      </c>
      <c r="O704" s="2" t="s">
        <v>29</v>
      </c>
      <c r="P704" s="2" t="s">
        <v>7644</v>
      </c>
      <c r="Q704" s="2" t="s">
        <v>7645</v>
      </c>
      <c r="R704" s="2" t="s">
        <v>794</v>
      </c>
      <c r="S704" s="2" t="s">
        <v>1098</v>
      </c>
      <c r="T704" s="2" t="s">
        <v>7646</v>
      </c>
      <c r="U704" s="2" t="s">
        <v>56</v>
      </c>
      <c r="V704" s="2" t="n">
        <v>1</v>
      </c>
    </row>
    <row r="705">
      <c r="A705" s="2" t="n">
        <v>704</v>
      </c>
      <c r="B705" s="2" t="s">
        <v>7647</v>
      </c>
      <c r="C705" s="2" t="n">
        <v>455.32736697</v>
      </c>
      <c r="D705" s="2" t="n">
        <v>8.34143535898287</v>
      </c>
      <c r="E705" s="2" t="s">
        <v>7648</v>
      </c>
      <c r="F705" s="2" t="s">
        <v>161</v>
      </c>
      <c r="G705" s="2" t="s">
        <v>7649</v>
      </c>
      <c r="H705" s="2" t="s">
        <v>7650</v>
      </c>
      <c r="I705" s="2" t="s">
        <v>7651</v>
      </c>
      <c r="J705" s="2" t="s">
        <v>7652</v>
      </c>
      <c r="K705" s="2" t="s">
        <v>29</v>
      </c>
      <c r="L705" s="2" t="s">
        <v>29</v>
      </c>
      <c r="M705" s="2" t="s">
        <v>29</v>
      </c>
      <c r="N705" s="2" t="s">
        <v>7653</v>
      </c>
      <c r="O705" s="2" t="s">
        <v>7654</v>
      </c>
      <c r="P705" s="2" t="s">
        <v>7655</v>
      </c>
      <c r="Q705" s="2" t="s">
        <v>7656</v>
      </c>
      <c r="R705" s="2" t="s">
        <v>1355</v>
      </c>
      <c r="S705" s="2" t="s">
        <v>6478</v>
      </c>
      <c r="T705" s="2" t="s">
        <v>215</v>
      </c>
      <c r="U705" s="2" t="s">
        <v>56</v>
      </c>
      <c r="V705" s="2" t="n">
        <v>1</v>
      </c>
    </row>
    <row r="706">
      <c r="A706" s="2" t="n">
        <v>705</v>
      </c>
      <c r="B706" s="2" t="s">
        <v>7657</v>
      </c>
      <c r="C706" s="2" t="n">
        <v>456.038559461</v>
      </c>
      <c r="D706" s="2" t="n">
        <v>1.76240394245398</v>
      </c>
      <c r="E706" s="2" t="s">
        <v>7658</v>
      </c>
      <c r="F706" s="2" t="s">
        <v>218</v>
      </c>
      <c r="G706" s="2" t="s">
        <v>7659</v>
      </c>
      <c r="H706" s="2" t="s">
        <v>7660</v>
      </c>
      <c r="I706" s="2" t="s">
        <v>7661</v>
      </c>
      <c r="J706" s="2" t="s">
        <v>195</v>
      </c>
      <c r="K706" s="2" t="s">
        <v>195</v>
      </c>
      <c r="L706" s="2" t="s">
        <v>195</v>
      </c>
      <c r="M706" s="2" t="s">
        <v>195</v>
      </c>
      <c r="N706" s="2" t="s">
        <v>7662</v>
      </c>
      <c r="O706" s="2" t="s">
        <v>195</v>
      </c>
      <c r="P706" s="2" t="s">
        <v>7663</v>
      </c>
      <c r="Q706" s="2" t="s">
        <v>7664</v>
      </c>
      <c r="R706" s="2" t="s">
        <v>7665</v>
      </c>
      <c r="S706" s="2" t="s">
        <v>7666</v>
      </c>
      <c r="T706" s="2" t="s">
        <v>7667</v>
      </c>
      <c r="U706" s="2" t="s">
        <v>29</v>
      </c>
      <c r="V706" s="2" t="n">
        <v>3</v>
      </c>
    </row>
    <row r="707">
      <c r="A707" s="2" t="n">
        <v>706</v>
      </c>
      <c r="B707" s="2" t="s">
        <v>7668</v>
      </c>
      <c r="C707" s="2" t="n">
        <v>457.22654826</v>
      </c>
      <c r="D707" s="2" t="n">
        <v>8.32238350682376</v>
      </c>
      <c r="E707" s="2" t="s">
        <v>7669</v>
      </c>
      <c r="F707" s="2" t="s">
        <v>24</v>
      </c>
      <c r="G707" s="2" t="s">
        <v>7670</v>
      </c>
      <c r="H707" s="2" t="s">
        <v>7671</v>
      </c>
      <c r="I707" s="2" t="s">
        <v>7672</v>
      </c>
      <c r="J707" s="2" t="s">
        <v>29</v>
      </c>
      <c r="K707" s="2" t="s">
        <v>29</v>
      </c>
      <c r="L707" s="2" t="s">
        <v>29</v>
      </c>
      <c r="M707" s="2" t="s">
        <v>7673</v>
      </c>
      <c r="N707" s="2" t="s">
        <v>7674</v>
      </c>
      <c r="O707" s="2" t="s">
        <v>7675</v>
      </c>
      <c r="P707" s="2" t="s">
        <v>7676</v>
      </c>
      <c r="Q707" s="2" t="s">
        <v>7677</v>
      </c>
      <c r="R707" s="2" t="s">
        <v>794</v>
      </c>
      <c r="S707" s="2" t="s">
        <v>2971</v>
      </c>
      <c r="T707" s="2" t="s">
        <v>7678</v>
      </c>
      <c r="U707" s="2" t="s">
        <v>56</v>
      </c>
      <c r="V707" s="2" t="n">
        <v>1</v>
      </c>
    </row>
    <row r="708">
      <c r="A708" s="2" t="n">
        <v>707</v>
      </c>
      <c r="B708" s="2" t="s">
        <v>7679</v>
      </c>
      <c r="C708" s="2" t="n">
        <v>457.28605247</v>
      </c>
      <c r="D708" s="2" t="n">
        <v>1.49178010207013</v>
      </c>
      <c r="E708" s="2" t="s">
        <v>7680</v>
      </c>
      <c r="F708" s="2" t="s">
        <v>683</v>
      </c>
      <c r="G708" s="2" t="s">
        <v>7681</v>
      </c>
      <c r="H708" s="2" t="s">
        <v>7682</v>
      </c>
      <c r="I708" s="2" t="s">
        <v>7683</v>
      </c>
      <c r="J708" s="2" t="s">
        <v>7684</v>
      </c>
      <c r="K708" s="2" t="s">
        <v>7685</v>
      </c>
      <c r="L708" s="2" t="s">
        <v>91</v>
      </c>
      <c r="M708" s="2" t="s">
        <v>91</v>
      </c>
      <c r="N708" s="2" t="s">
        <v>7686</v>
      </c>
      <c r="O708" s="2" t="s">
        <v>7687</v>
      </c>
      <c r="P708" s="2" t="s">
        <v>7688</v>
      </c>
      <c r="Q708" s="2" t="s">
        <v>7689</v>
      </c>
      <c r="R708" s="2" t="s">
        <v>412</v>
      </c>
      <c r="S708" s="2" t="s">
        <v>413</v>
      </c>
      <c r="T708" s="2" t="s">
        <v>7690</v>
      </c>
      <c r="U708" s="2" t="s">
        <v>56</v>
      </c>
      <c r="V708" s="2" t="n">
        <v>2</v>
      </c>
    </row>
    <row r="709">
      <c r="A709" s="2" t="n">
        <v>708</v>
      </c>
      <c r="B709" s="2" t="s">
        <v>7691</v>
      </c>
      <c r="C709" s="2" t="n">
        <v>457.33233396</v>
      </c>
      <c r="D709" s="2" t="n">
        <v>5.70959919820864</v>
      </c>
      <c r="E709" s="2" t="s">
        <v>7692</v>
      </c>
      <c r="F709" s="2" t="s">
        <v>24</v>
      </c>
      <c r="G709" s="2" t="s">
        <v>7693</v>
      </c>
      <c r="H709" s="2" t="s">
        <v>7694</v>
      </c>
      <c r="I709" s="2" t="s">
        <v>7695</v>
      </c>
      <c r="J709" s="2" t="s">
        <v>7696</v>
      </c>
      <c r="K709" s="2" t="s">
        <v>195</v>
      </c>
      <c r="L709" s="2" t="s">
        <v>195</v>
      </c>
      <c r="M709" s="2" t="s">
        <v>7697</v>
      </c>
      <c r="N709" s="2" t="s">
        <v>7698</v>
      </c>
      <c r="O709" s="2" t="s">
        <v>7699</v>
      </c>
      <c r="P709" s="2" t="s">
        <v>7700</v>
      </c>
      <c r="Q709" s="2" t="s">
        <v>7701</v>
      </c>
      <c r="R709" s="2" t="s">
        <v>255</v>
      </c>
      <c r="S709" s="2" t="s">
        <v>7702</v>
      </c>
      <c r="T709" s="2" t="s">
        <v>7703</v>
      </c>
      <c r="U709" s="2" t="s">
        <v>56</v>
      </c>
      <c r="V709" s="2" t="n">
        <v>3</v>
      </c>
    </row>
    <row r="710">
      <c r="A710" s="2" t="n">
        <v>709</v>
      </c>
      <c r="B710" s="2" t="s">
        <v>7704</v>
      </c>
      <c r="C710" s="2" t="n">
        <v>458.291197424</v>
      </c>
      <c r="D710" s="2" t="n">
        <v>8.22315015205184</v>
      </c>
      <c r="E710" s="2" t="s">
        <v>7705</v>
      </c>
      <c r="F710" s="2" t="s">
        <v>24</v>
      </c>
      <c r="G710" s="2" t="s">
        <v>7706</v>
      </c>
      <c r="H710" s="2" t="s">
        <v>7707</v>
      </c>
      <c r="I710" s="2" t="s">
        <v>7708</v>
      </c>
      <c r="J710" s="2" t="s">
        <v>29</v>
      </c>
      <c r="K710" s="2" t="s">
        <v>29</v>
      </c>
      <c r="L710" s="2" t="s">
        <v>29</v>
      </c>
      <c r="M710" s="2" t="s">
        <v>29</v>
      </c>
      <c r="N710" s="2" t="s">
        <v>29</v>
      </c>
      <c r="O710" s="2" t="s">
        <v>29</v>
      </c>
      <c r="P710" s="2" t="s">
        <v>7709</v>
      </c>
      <c r="Q710" s="2" t="s">
        <v>7710</v>
      </c>
      <c r="R710" s="2" t="s">
        <v>794</v>
      </c>
      <c r="S710" s="2" t="s">
        <v>795</v>
      </c>
      <c r="T710" s="2" t="s">
        <v>3692</v>
      </c>
      <c r="U710" s="2" t="s">
        <v>29</v>
      </c>
      <c r="V710" s="2" t="n">
        <v>1</v>
      </c>
    </row>
    <row r="711">
      <c r="A711" s="2" t="n">
        <v>710</v>
      </c>
      <c r="B711" s="2" t="s">
        <v>7711</v>
      </c>
      <c r="C711" s="2" t="n">
        <v>459.157990628</v>
      </c>
      <c r="D711" s="2" t="n">
        <v>5.90432680885633</v>
      </c>
      <c r="E711" s="2" t="s">
        <v>7712</v>
      </c>
      <c r="F711" s="2" t="s">
        <v>86</v>
      </c>
      <c r="G711" s="2" t="s">
        <v>7713</v>
      </c>
      <c r="H711" s="2" t="s">
        <v>7714</v>
      </c>
      <c r="I711" s="2" t="s">
        <v>7715</v>
      </c>
      <c r="J711" s="2" t="s">
        <v>7716</v>
      </c>
      <c r="K711" s="2" t="s">
        <v>7717</v>
      </c>
      <c r="L711" s="2" t="s">
        <v>195</v>
      </c>
      <c r="M711" s="2" t="s">
        <v>7718</v>
      </c>
      <c r="N711" s="2" t="s">
        <v>7719</v>
      </c>
      <c r="O711" s="2" t="s">
        <v>7720</v>
      </c>
      <c r="P711" s="2" t="s">
        <v>7721</v>
      </c>
      <c r="Q711" s="2" t="s">
        <v>7722</v>
      </c>
      <c r="R711" s="2" t="s">
        <v>7723</v>
      </c>
      <c r="S711" s="2" t="s">
        <v>7724</v>
      </c>
      <c r="T711" s="2" t="s">
        <v>7725</v>
      </c>
      <c r="U711" s="2" t="s">
        <v>56</v>
      </c>
      <c r="V711" s="2" t="n">
        <v>3</v>
      </c>
    </row>
    <row r="712">
      <c r="A712" s="2" t="n">
        <v>711</v>
      </c>
      <c r="B712" s="2" t="s">
        <v>7726</v>
      </c>
      <c r="C712" s="2" t="n">
        <v>459.298472141</v>
      </c>
      <c r="D712" s="2" t="n">
        <v>3.43857910471769</v>
      </c>
      <c r="E712" s="2" t="s">
        <v>7727</v>
      </c>
      <c r="F712" s="2" t="s">
        <v>161</v>
      </c>
      <c r="G712" s="2" t="s">
        <v>7728</v>
      </c>
      <c r="H712" s="2" t="s">
        <v>7729</v>
      </c>
      <c r="I712" s="2" t="s">
        <v>7730</v>
      </c>
      <c r="J712" s="2" t="s">
        <v>91</v>
      </c>
      <c r="K712" s="2" t="s">
        <v>91</v>
      </c>
      <c r="L712" s="2" t="s">
        <v>91</v>
      </c>
      <c r="M712" s="2" t="s">
        <v>91</v>
      </c>
      <c r="N712" s="2" t="s">
        <v>91</v>
      </c>
      <c r="O712" s="2" t="s">
        <v>91</v>
      </c>
      <c r="P712" s="2" t="s">
        <v>7731</v>
      </c>
      <c r="Q712" s="2" t="s">
        <v>7732</v>
      </c>
      <c r="R712" s="2" t="s">
        <v>412</v>
      </c>
      <c r="S712" s="2" t="s">
        <v>413</v>
      </c>
      <c r="T712" s="2" t="s">
        <v>3680</v>
      </c>
      <c r="U712" s="2" t="s">
        <v>29</v>
      </c>
      <c r="V712" s="2" t="n">
        <v>2</v>
      </c>
    </row>
    <row r="713">
      <c r="A713" s="2" t="n">
        <v>712</v>
      </c>
      <c r="B713" s="2" t="s">
        <v>7733</v>
      </c>
      <c r="C713" s="2" t="n">
        <v>460.294697321</v>
      </c>
      <c r="D713" s="2" t="n">
        <v>9.62837423978289</v>
      </c>
      <c r="E713" s="2" t="s">
        <v>7734</v>
      </c>
      <c r="F713" s="2" t="s">
        <v>218</v>
      </c>
      <c r="G713" s="2" t="s">
        <v>7735</v>
      </c>
      <c r="H713" s="2" t="s">
        <v>7736</v>
      </c>
      <c r="I713" s="2" t="s">
        <v>7737</v>
      </c>
      <c r="J713" s="2" t="s">
        <v>7738</v>
      </c>
      <c r="K713" s="2" t="s">
        <v>29</v>
      </c>
      <c r="L713" s="2" t="s">
        <v>29</v>
      </c>
      <c r="M713" s="2" t="s">
        <v>7739</v>
      </c>
      <c r="N713" s="2" t="s">
        <v>7740</v>
      </c>
      <c r="O713" s="2" t="s">
        <v>7741</v>
      </c>
      <c r="P713" s="2" t="s">
        <v>7742</v>
      </c>
      <c r="Q713" s="2" t="s">
        <v>7743</v>
      </c>
      <c r="R713" s="2" t="s">
        <v>186</v>
      </c>
      <c r="S713" s="2" t="s">
        <v>911</v>
      </c>
      <c r="T713" s="2" t="s">
        <v>215</v>
      </c>
      <c r="U713" s="2" t="s">
        <v>29</v>
      </c>
      <c r="V713" s="2" t="n">
        <v>1</v>
      </c>
    </row>
    <row r="714">
      <c r="A714" s="2" t="n">
        <v>713</v>
      </c>
      <c r="B714" s="2" t="s">
        <v>7744</v>
      </c>
      <c r="C714" s="2" t="n">
        <v>461.244581583</v>
      </c>
      <c r="D714" s="2" t="n">
        <v>6.58796189814021</v>
      </c>
      <c r="E714" s="2" t="s">
        <v>7745</v>
      </c>
      <c r="F714" s="2" t="s">
        <v>24</v>
      </c>
      <c r="G714" s="2" t="s">
        <v>7746</v>
      </c>
      <c r="H714" s="2" t="s">
        <v>7747</v>
      </c>
      <c r="I714" s="2" t="s">
        <v>7748</v>
      </c>
      <c r="J714" s="2" t="s">
        <v>29</v>
      </c>
      <c r="K714" s="2" t="s">
        <v>29</v>
      </c>
      <c r="L714" s="2" t="s">
        <v>29</v>
      </c>
      <c r="M714" s="2" t="s">
        <v>29</v>
      </c>
      <c r="N714" s="2" t="s">
        <v>7749</v>
      </c>
      <c r="O714" s="2" t="s">
        <v>29</v>
      </c>
      <c r="P714" s="2" t="s">
        <v>7750</v>
      </c>
      <c r="Q714" s="2" t="s">
        <v>7751</v>
      </c>
      <c r="R714" s="2" t="s">
        <v>114</v>
      </c>
      <c r="S714" s="2" t="s">
        <v>4523</v>
      </c>
      <c r="T714" s="2" t="s">
        <v>7752</v>
      </c>
      <c r="U714" s="2" t="s">
        <v>29</v>
      </c>
      <c r="V714" s="2" t="n">
        <v>1</v>
      </c>
    </row>
    <row r="715">
      <c r="A715" s="2" t="n">
        <v>714</v>
      </c>
      <c r="B715" s="2" t="s">
        <v>7753</v>
      </c>
      <c r="C715" s="2" t="n">
        <v>461.319182716</v>
      </c>
      <c r="D715" s="2" t="n">
        <v>1.63342721216755</v>
      </c>
      <c r="E715" s="2" t="s">
        <v>7754</v>
      </c>
      <c r="F715" s="2" t="s">
        <v>86</v>
      </c>
      <c r="G715" s="2" t="s">
        <v>7755</v>
      </c>
      <c r="H715" s="2" t="s">
        <v>7756</v>
      </c>
      <c r="I715" s="2" t="s">
        <v>7757</v>
      </c>
      <c r="J715" s="2" t="s">
        <v>195</v>
      </c>
      <c r="K715" s="2" t="s">
        <v>7758</v>
      </c>
      <c r="L715" s="2" t="s">
        <v>195</v>
      </c>
      <c r="M715" s="2" t="s">
        <v>7759</v>
      </c>
      <c r="N715" s="2" t="s">
        <v>7760</v>
      </c>
      <c r="O715" s="2" t="s">
        <v>7761</v>
      </c>
      <c r="P715" s="2" t="s">
        <v>7762</v>
      </c>
      <c r="Q715" s="2" t="s">
        <v>7763</v>
      </c>
      <c r="R715" s="2" t="s">
        <v>255</v>
      </c>
      <c r="S715" s="2" t="s">
        <v>7764</v>
      </c>
      <c r="T715" s="2" t="s">
        <v>7765</v>
      </c>
      <c r="U715" s="2" t="s">
        <v>56</v>
      </c>
      <c r="V715" s="2" t="n">
        <v>3</v>
      </c>
    </row>
    <row r="716">
      <c r="A716" s="2" t="n">
        <v>715</v>
      </c>
      <c r="B716" s="2" t="s">
        <v>7766</v>
      </c>
      <c r="C716" s="2" t="n">
        <v>463.17939477</v>
      </c>
      <c r="D716" s="2" t="n">
        <v>4.2441342620272</v>
      </c>
      <c r="E716" s="2" t="s">
        <v>7767</v>
      </c>
      <c r="F716" s="2" t="s">
        <v>86</v>
      </c>
      <c r="G716" s="2" t="s">
        <v>7768</v>
      </c>
      <c r="H716" s="2" t="s">
        <v>7769</v>
      </c>
      <c r="I716" s="2" t="s">
        <v>7770</v>
      </c>
      <c r="J716" s="2" t="s">
        <v>29</v>
      </c>
      <c r="K716" s="2" t="s">
        <v>29</v>
      </c>
      <c r="L716" s="2" t="s">
        <v>29</v>
      </c>
      <c r="M716" s="2" t="s">
        <v>29</v>
      </c>
      <c r="N716" s="2" t="s">
        <v>7771</v>
      </c>
      <c r="O716" s="2" t="s">
        <v>29</v>
      </c>
      <c r="P716" s="2" t="s">
        <v>7772</v>
      </c>
      <c r="Q716" s="2" t="s">
        <v>7773</v>
      </c>
      <c r="R716" s="2" t="s">
        <v>186</v>
      </c>
      <c r="S716" s="2" t="s">
        <v>187</v>
      </c>
      <c r="T716" s="2" t="s">
        <v>2461</v>
      </c>
      <c r="U716" s="2" t="s">
        <v>29</v>
      </c>
      <c r="V716" s="2" t="n">
        <v>1</v>
      </c>
    </row>
    <row r="717">
      <c r="A717" s="2" t="n">
        <v>716</v>
      </c>
      <c r="B717" s="2" t="s">
        <v>7774</v>
      </c>
      <c r="C717" s="2" t="n">
        <v>463.330633684</v>
      </c>
      <c r="D717" s="2" t="n">
        <v>2.87126538401629</v>
      </c>
      <c r="E717" s="2" t="s">
        <v>7775</v>
      </c>
      <c r="F717" s="2" t="s">
        <v>24</v>
      </c>
      <c r="G717" s="2" t="s">
        <v>7776</v>
      </c>
      <c r="H717" s="2" t="s">
        <v>7777</v>
      </c>
      <c r="I717" s="2" t="s">
        <v>7778</v>
      </c>
      <c r="J717" s="2" t="s">
        <v>29</v>
      </c>
      <c r="K717" s="2" t="s">
        <v>29</v>
      </c>
      <c r="L717" s="2" t="s">
        <v>29</v>
      </c>
      <c r="M717" s="2" t="s">
        <v>29</v>
      </c>
      <c r="N717" s="2" t="s">
        <v>29</v>
      </c>
      <c r="O717" s="2" t="s">
        <v>29</v>
      </c>
      <c r="P717" s="2" t="s">
        <v>7779</v>
      </c>
      <c r="Q717" s="2" t="s">
        <v>7780</v>
      </c>
      <c r="R717" s="2" t="s">
        <v>794</v>
      </c>
      <c r="S717" s="2" t="s">
        <v>7781</v>
      </c>
      <c r="T717" s="2" t="s">
        <v>7782</v>
      </c>
      <c r="U717" s="2" t="s">
        <v>29</v>
      </c>
      <c r="V717" s="2" t="n">
        <v>1</v>
      </c>
    </row>
    <row r="718">
      <c r="A718" s="2" t="n">
        <v>717</v>
      </c>
      <c r="B718" s="2" t="s">
        <v>7783</v>
      </c>
      <c r="C718" s="2" t="n">
        <v>463.998996371</v>
      </c>
      <c r="D718" s="2" t="n">
        <v>8.62486795741263</v>
      </c>
      <c r="E718" s="2" t="s">
        <v>7784</v>
      </c>
      <c r="F718" s="2" t="s">
        <v>531</v>
      </c>
      <c r="G718" s="2" t="s">
        <v>7785</v>
      </c>
      <c r="H718" s="2" t="s">
        <v>7786</v>
      </c>
      <c r="I718" s="2" t="s">
        <v>7787</v>
      </c>
      <c r="J718" s="2" t="s">
        <v>7788</v>
      </c>
      <c r="K718" s="2" t="s">
        <v>29</v>
      </c>
      <c r="L718" s="2" t="s">
        <v>7789</v>
      </c>
      <c r="M718" s="2" t="s">
        <v>7790</v>
      </c>
      <c r="N718" s="2" t="s">
        <v>7791</v>
      </c>
      <c r="O718" s="2" t="s">
        <v>7792</v>
      </c>
      <c r="P718" s="2" t="s">
        <v>7793</v>
      </c>
      <c r="Q718" s="2" t="s">
        <v>7794</v>
      </c>
      <c r="R718" s="2" t="s">
        <v>2416</v>
      </c>
      <c r="S718" s="2" t="s">
        <v>7795</v>
      </c>
      <c r="T718" s="2" t="s">
        <v>7796</v>
      </c>
      <c r="U718" s="2" t="s">
        <v>56</v>
      </c>
      <c r="V718" s="2" t="n">
        <v>1</v>
      </c>
    </row>
    <row r="719">
      <c r="A719" s="2" t="n">
        <v>718</v>
      </c>
      <c r="B719" s="2" t="s">
        <v>7797</v>
      </c>
      <c r="C719" s="2" t="n">
        <v>464.312991192</v>
      </c>
      <c r="D719" s="2" t="n">
        <v>5.48150665578301</v>
      </c>
      <c r="E719" s="2" t="s">
        <v>7798</v>
      </c>
      <c r="F719" s="2" t="s">
        <v>205</v>
      </c>
      <c r="G719" s="2" t="s">
        <v>7799</v>
      </c>
      <c r="H719" s="2" t="s">
        <v>7800</v>
      </c>
      <c r="I719" s="2" t="s">
        <v>7801</v>
      </c>
      <c r="J719" s="2" t="s">
        <v>29</v>
      </c>
      <c r="K719" s="2" t="s">
        <v>29</v>
      </c>
      <c r="L719" s="2" t="s">
        <v>29</v>
      </c>
      <c r="M719" s="2" t="s">
        <v>29</v>
      </c>
      <c r="N719" s="2" t="s">
        <v>7802</v>
      </c>
      <c r="O719" s="2" t="s">
        <v>29</v>
      </c>
      <c r="P719" s="2" t="s">
        <v>7803</v>
      </c>
      <c r="Q719" s="2" t="s">
        <v>7804</v>
      </c>
      <c r="R719" s="2" t="s">
        <v>36</v>
      </c>
      <c r="S719" s="2" t="s">
        <v>37</v>
      </c>
      <c r="T719" s="2" t="s">
        <v>69</v>
      </c>
      <c r="U719" s="2" t="s">
        <v>29</v>
      </c>
      <c r="V719" s="2" t="n">
        <v>1</v>
      </c>
    </row>
    <row r="720">
      <c r="A720" s="2" t="n">
        <v>719</v>
      </c>
      <c r="B720" s="2" t="s">
        <v>7805</v>
      </c>
      <c r="C720" s="2" t="n">
        <v>465.300483518</v>
      </c>
      <c r="D720" s="2" t="n">
        <v>4.97908303419715</v>
      </c>
      <c r="E720" s="2" t="s">
        <v>7806</v>
      </c>
      <c r="F720" s="2" t="s">
        <v>161</v>
      </c>
      <c r="G720" s="2" t="s">
        <v>7807</v>
      </c>
      <c r="H720" s="2" t="s">
        <v>7808</v>
      </c>
      <c r="I720" s="2" t="s">
        <v>7809</v>
      </c>
      <c r="J720" s="2" t="s">
        <v>7810</v>
      </c>
      <c r="K720" s="2" t="s">
        <v>195</v>
      </c>
      <c r="L720" s="2" t="s">
        <v>195</v>
      </c>
      <c r="M720" s="2" t="s">
        <v>195</v>
      </c>
      <c r="N720" s="2" t="s">
        <v>7811</v>
      </c>
      <c r="O720" s="2" t="s">
        <v>7812</v>
      </c>
      <c r="P720" s="2" t="s">
        <v>7813</v>
      </c>
      <c r="Q720" s="2" t="s">
        <v>7814</v>
      </c>
      <c r="R720" s="2" t="s">
        <v>255</v>
      </c>
      <c r="S720" s="2" t="s">
        <v>1728</v>
      </c>
      <c r="T720" s="2" t="s">
        <v>7815</v>
      </c>
      <c r="U720" s="2" t="s">
        <v>56</v>
      </c>
      <c r="V720" s="2" t="n">
        <v>3</v>
      </c>
    </row>
    <row r="721">
      <c r="A721" s="2" t="n">
        <v>720</v>
      </c>
      <c r="B721" s="2" t="s">
        <v>7816</v>
      </c>
      <c r="C721" s="2" t="n">
        <v>466.004744856</v>
      </c>
      <c r="D721" s="2" t="n">
        <v>7.35907712740104</v>
      </c>
      <c r="E721" s="2" t="s">
        <v>7817</v>
      </c>
      <c r="F721" s="2" t="s">
        <v>86</v>
      </c>
      <c r="G721" s="2" t="s">
        <v>7818</v>
      </c>
      <c r="H721" s="2" t="s">
        <v>7819</v>
      </c>
      <c r="I721" s="2" t="s">
        <v>7820</v>
      </c>
      <c r="J721" s="2" t="s">
        <v>7821</v>
      </c>
      <c r="K721" s="2" t="s">
        <v>29</v>
      </c>
      <c r="L721" s="2" t="s">
        <v>7822</v>
      </c>
      <c r="M721" s="2" t="s">
        <v>7823</v>
      </c>
      <c r="N721" s="2" t="s">
        <v>7824</v>
      </c>
      <c r="O721" s="2" t="s">
        <v>7825</v>
      </c>
      <c r="P721" s="2" t="s">
        <v>7826</v>
      </c>
      <c r="Q721" s="2" t="s">
        <v>7827</v>
      </c>
      <c r="R721" s="2" t="s">
        <v>186</v>
      </c>
      <c r="S721" s="2" t="s">
        <v>187</v>
      </c>
      <c r="T721" s="2" t="s">
        <v>7828</v>
      </c>
      <c r="U721" s="2" t="s">
        <v>101</v>
      </c>
      <c r="V721" s="2" t="n">
        <v>1</v>
      </c>
    </row>
    <row r="722">
      <c r="A722" s="2" t="n">
        <v>721</v>
      </c>
      <c r="B722" s="2" t="s">
        <v>7829</v>
      </c>
      <c r="C722" s="2" t="n">
        <v>466.127418781</v>
      </c>
      <c r="D722" s="2" t="n">
        <v>0.353614257817956</v>
      </c>
      <c r="E722" s="2" t="s">
        <v>7830</v>
      </c>
      <c r="F722" s="2" t="s">
        <v>86</v>
      </c>
      <c r="G722" s="2" t="s">
        <v>7831</v>
      </c>
      <c r="H722" s="2" t="s">
        <v>7832</v>
      </c>
      <c r="I722" s="2" t="s">
        <v>7833</v>
      </c>
      <c r="J722" s="2" t="s">
        <v>7834</v>
      </c>
      <c r="K722" s="2" t="s">
        <v>29</v>
      </c>
      <c r="L722" s="2" t="s">
        <v>29</v>
      </c>
      <c r="M722" s="2" t="s">
        <v>29</v>
      </c>
      <c r="N722" s="2" t="s">
        <v>7835</v>
      </c>
      <c r="O722" s="2" t="s">
        <v>7836</v>
      </c>
      <c r="P722" s="2" t="s">
        <v>7837</v>
      </c>
      <c r="Q722" s="2" t="s">
        <v>7838</v>
      </c>
      <c r="R722" s="2" t="s">
        <v>1355</v>
      </c>
      <c r="S722" s="2" t="s">
        <v>3249</v>
      </c>
      <c r="T722" s="2" t="s">
        <v>215</v>
      </c>
      <c r="U722" s="2" t="s">
        <v>56</v>
      </c>
      <c r="V722" s="2" t="n">
        <v>1</v>
      </c>
    </row>
    <row r="723">
      <c r="A723" s="2" t="n">
        <v>722</v>
      </c>
      <c r="B723" s="2" t="s">
        <v>7839</v>
      </c>
      <c r="C723" s="2" t="n">
        <v>467.301423452</v>
      </c>
      <c r="D723" s="2" t="n">
        <v>0.252894695754021</v>
      </c>
      <c r="E723" s="2" t="s">
        <v>7840</v>
      </c>
      <c r="F723" s="2" t="s">
        <v>205</v>
      </c>
      <c r="G723" s="2" t="s">
        <v>7841</v>
      </c>
      <c r="H723" s="2" t="s">
        <v>7842</v>
      </c>
      <c r="I723" s="2" t="s">
        <v>7843</v>
      </c>
      <c r="J723" s="2" t="s">
        <v>91</v>
      </c>
      <c r="K723" s="2" t="s">
        <v>91</v>
      </c>
      <c r="L723" s="2" t="s">
        <v>91</v>
      </c>
      <c r="M723" s="2" t="s">
        <v>91</v>
      </c>
      <c r="N723" s="2" t="s">
        <v>7844</v>
      </c>
      <c r="O723" s="2" t="s">
        <v>91</v>
      </c>
      <c r="P723" s="2" t="s">
        <v>7845</v>
      </c>
      <c r="Q723" s="2" t="s">
        <v>7846</v>
      </c>
      <c r="R723" s="2" t="s">
        <v>412</v>
      </c>
      <c r="S723" s="2" t="s">
        <v>6265</v>
      </c>
      <c r="T723" s="2" t="s">
        <v>7847</v>
      </c>
      <c r="U723" s="2" t="s">
        <v>29</v>
      </c>
      <c r="V723" s="2" t="n">
        <v>2</v>
      </c>
    </row>
    <row r="724">
      <c r="A724" s="2" t="n">
        <v>723</v>
      </c>
      <c r="B724" s="2" t="s">
        <v>7848</v>
      </c>
      <c r="C724" s="2" t="n">
        <v>468.133172853</v>
      </c>
      <c r="D724" s="2" t="n">
        <v>1.93523282898183</v>
      </c>
      <c r="E724" s="2" t="s">
        <v>7849</v>
      </c>
      <c r="F724" s="2" t="s">
        <v>86</v>
      </c>
      <c r="G724" s="2" t="s">
        <v>7850</v>
      </c>
      <c r="H724" s="2" t="s">
        <v>7851</v>
      </c>
      <c r="I724" s="2" t="s">
        <v>7852</v>
      </c>
      <c r="J724" s="2" t="s">
        <v>7853</v>
      </c>
      <c r="K724" s="2" t="s">
        <v>29</v>
      </c>
      <c r="L724" s="2" t="s">
        <v>29</v>
      </c>
      <c r="M724" s="2" t="s">
        <v>29</v>
      </c>
      <c r="N724" s="2" t="s">
        <v>7854</v>
      </c>
      <c r="O724" s="2" t="s">
        <v>29</v>
      </c>
      <c r="P724" s="2" t="s">
        <v>7855</v>
      </c>
      <c r="Q724" s="2" t="s">
        <v>7856</v>
      </c>
      <c r="R724" s="2" t="s">
        <v>186</v>
      </c>
      <c r="S724" s="2" t="s">
        <v>187</v>
      </c>
      <c r="T724" s="2" t="s">
        <v>6895</v>
      </c>
      <c r="U724" s="2" t="s">
        <v>29</v>
      </c>
      <c r="V724" s="2" t="n">
        <v>1</v>
      </c>
    </row>
    <row r="725">
      <c r="A725" s="2" t="n">
        <v>724</v>
      </c>
      <c r="B725" s="2" t="s">
        <v>7857</v>
      </c>
      <c r="C725" s="2" t="n">
        <v>469.054313418</v>
      </c>
      <c r="D725" s="2" t="n">
        <v>2.94274078279638</v>
      </c>
      <c r="E725" s="2" t="s">
        <v>7858</v>
      </c>
      <c r="F725" s="2" t="s">
        <v>86</v>
      </c>
      <c r="G725" s="2" t="s">
        <v>7859</v>
      </c>
      <c r="H725" s="2" t="s">
        <v>7860</v>
      </c>
      <c r="I725" s="2" t="s">
        <v>7861</v>
      </c>
      <c r="J725" s="2" t="s">
        <v>7862</v>
      </c>
      <c r="K725" s="2" t="s">
        <v>195</v>
      </c>
      <c r="L725" s="2" t="s">
        <v>195</v>
      </c>
      <c r="M725" s="2" t="s">
        <v>7863</v>
      </c>
      <c r="N725" s="2" t="s">
        <v>7864</v>
      </c>
      <c r="O725" s="2" t="s">
        <v>7865</v>
      </c>
      <c r="P725" s="2" t="s">
        <v>7866</v>
      </c>
      <c r="Q725" s="2" t="s">
        <v>7867</v>
      </c>
      <c r="R725" s="2" t="s">
        <v>5817</v>
      </c>
      <c r="S725" s="2" t="s">
        <v>7868</v>
      </c>
      <c r="T725" s="2" t="s">
        <v>7869</v>
      </c>
      <c r="U725" s="2" t="s">
        <v>29</v>
      </c>
      <c r="V725" s="2" t="n">
        <v>3</v>
      </c>
    </row>
    <row r="726">
      <c r="A726" s="2" t="n">
        <v>725</v>
      </c>
      <c r="B726" s="2" t="s">
        <v>7870</v>
      </c>
      <c r="C726" s="2" t="n">
        <v>469.135150277</v>
      </c>
      <c r="D726" s="2" t="n">
        <v>5.76734707591378</v>
      </c>
      <c r="E726" s="2" t="s">
        <v>7871</v>
      </c>
      <c r="F726" s="2" t="s">
        <v>24</v>
      </c>
      <c r="G726" s="2" t="s">
        <v>7872</v>
      </c>
      <c r="H726" s="2" t="s">
        <v>7873</v>
      </c>
      <c r="I726" s="2" t="s">
        <v>7874</v>
      </c>
      <c r="J726" s="2" t="s">
        <v>29</v>
      </c>
      <c r="K726" s="2" t="s">
        <v>29</v>
      </c>
      <c r="L726" s="2" t="s">
        <v>29</v>
      </c>
      <c r="M726" s="2" t="s">
        <v>29</v>
      </c>
      <c r="N726" s="2" t="s">
        <v>7875</v>
      </c>
      <c r="O726" s="2" t="s">
        <v>29</v>
      </c>
      <c r="P726" s="2" t="s">
        <v>7876</v>
      </c>
      <c r="Q726" s="2" t="s">
        <v>7877</v>
      </c>
      <c r="R726" s="2" t="s">
        <v>794</v>
      </c>
      <c r="S726" s="2" t="s">
        <v>1098</v>
      </c>
      <c r="T726" s="2" t="s">
        <v>7878</v>
      </c>
      <c r="U726" s="2" t="s">
        <v>29</v>
      </c>
      <c r="V726" s="2" t="n">
        <v>1</v>
      </c>
    </row>
    <row r="727">
      <c r="A727" s="2" t="n">
        <v>726</v>
      </c>
      <c r="B727" s="2" t="s">
        <v>7879</v>
      </c>
      <c r="C727" s="2" t="n">
        <v>469.238651502</v>
      </c>
      <c r="D727" s="2" t="n">
        <v>0.040012652402331</v>
      </c>
      <c r="E727" s="2" t="s">
        <v>7880</v>
      </c>
      <c r="F727" s="2" t="s">
        <v>24</v>
      </c>
      <c r="G727" s="2" t="s">
        <v>7881</v>
      </c>
      <c r="H727" s="2" t="s">
        <v>7882</v>
      </c>
      <c r="I727" s="2" t="s">
        <v>7883</v>
      </c>
      <c r="J727" s="2" t="s">
        <v>29</v>
      </c>
      <c r="K727" s="2" t="s">
        <v>29</v>
      </c>
      <c r="L727" s="2" t="s">
        <v>29</v>
      </c>
      <c r="M727" s="2" t="s">
        <v>29</v>
      </c>
      <c r="N727" s="2" t="s">
        <v>7884</v>
      </c>
      <c r="O727" s="2" t="s">
        <v>29</v>
      </c>
      <c r="P727" s="2" t="s">
        <v>7885</v>
      </c>
      <c r="Q727" s="2" t="s">
        <v>7886</v>
      </c>
      <c r="R727" s="2" t="s">
        <v>601</v>
      </c>
      <c r="S727" s="2" t="s">
        <v>602</v>
      </c>
      <c r="T727" s="2" t="s">
        <v>7887</v>
      </c>
      <c r="U727" s="2" t="s">
        <v>29</v>
      </c>
      <c r="V727" s="2" t="n">
        <v>1</v>
      </c>
    </row>
    <row r="728">
      <c r="A728" s="2" t="n">
        <v>727</v>
      </c>
      <c r="B728" s="2" t="s">
        <v>7888</v>
      </c>
      <c r="C728" s="2" t="n">
        <v>469.30901196</v>
      </c>
      <c r="D728" s="2" t="n">
        <v>7.16909485724189</v>
      </c>
      <c r="E728" s="2" t="s">
        <v>7889</v>
      </c>
      <c r="F728" s="2" t="s">
        <v>86</v>
      </c>
      <c r="G728" s="2" t="s">
        <v>7890</v>
      </c>
      <c r="H728" s="2" t="s">
        <v>7891</v>
      </c>
      <c r="I728" s="2" t="s">
        <v>7892</v>
      </c>
      <c r="J728" s="2" t="s">
        <v>7893</v>
      </c>
      <c r="K728" s="2" t="s">
        <v>7894</v>
      </c>
      <c r="L728" s="2" t="s">
        <v>7895</v>
      </c>
      <c r="M728" s="2" t="s">
        <v>7896</v>
      </c>
      <c r="N728" s="2" t="s">
        <v>7897</v>
      </c>
      <c r="O728" s="2" t="s">
        <v>7898</v>
      </c>
      <c r="P728" s="2" t="s">
        <v>7899</v>
      </c>
      <c r="Q728" s="2" t="s">
        <v>7900</v>
      </c>
      <c r="R728" s="2" t="s">
        <v>794</v>
      </c>
      <c r="S728" s="2" t="s">
        <v>2971</v>
      </c>
      <c r="T728" s="2" t="s">
        <v>6499</v>
      </c>
      <c r="U728" s="2" t="s">
        <v>56</v>
      </c>
      <c r="V728" s="2" t="n">
        <v>1</v>
      </c>
    </row>
    <row r="729">
      <c r="A729" s="2" t="n">
        <v>728</v>
      </c>
      <c r="B729" s="2" t="s">
        <v>7901</v>
      </c>
      <c r="C729" s="2" t="n">
        <v>471.238827506</v>
      </c>
      <c r="D729" s="2" t="n">
        <v>2.21617081974288</v>
      </c>
      <c r="E729" s="2" t="s">
        <v>7902</v>
      </c>
      <c r="F729" s="2" t="s">
        <v>24</v>
      </c>
      <c r="G729" s="2" t="s">
        <v>7903</v>
      </c>
      <c r="H729" s="2" t="s">
        <v>7904</v>
      </c>
      <c r="I729" s="2" t="s">
        <v>7905</v>
      </c>
      <c r="J729" s="2" t="s">
        <v>7906</v>
      </c>
      <c r="K729" s="2" t="s">
        <v>29</v>
      </c>
      <c r="L729" s="2" t="s">
        <v>29</v>
      </c>
      <c r="M729" s="2" t="s">
        <v>29</v>
      </c>
      <c r="N729" s="2" t="s">
        <v>7907</v>
      </c>
      <c r="O729" s="2" t="s">
        <v>29</v>
      </c>
      <c r="P729" s="2" t="s">
        <v>7908</v>
      </c>
      <c r="Q729" s="2" t="s">
        <v>7909</v>
      </c>
      <c r="R729" s="2" t="s">
        <v>794</v>
      </c>
      <c r="S729" s="2" t="s">
        <v>1098</v>
      </c>
      <c r="T729" s="2" t="s">
        <v>7646</v>
      </c>
      <c r="U729" s="2" t="s">
        <v>56</v>
      </c>
      <c r="V729" s="2" t="n">
        <v>1</v>
      </c>
    </row>
    <row r="730">
      <c r="A730" s="2" t="n">
        <v>729</v>
      </c>
      <c r="B730" s="2" t="s">
        <v>7910</v>
      </c>
      <c r="C730" s="2" t="n">
        <v>472.9082879</v>
      </c>
      <c r="D730" s="2" t="n">
        <v>3.78275307787544</v>
      </c>
      <c r="E730" s="2" t="s">
        <v>7911</v>
      </c>
      <c r="F730" s="2" t="s">
        <v>531</v>
      </c>
      <c r="G730" s="2" t="s">
        <v>7912</v>
      </c>
      <c r="H730" s="2" t="s">
        <v>7913</v>
      </c>
      <c r="I730" s="2" t="s">
        <v>7914</v>
      </c>
      <c r="J730" s="2" t="s">
        <v>29</v>
      </c>
      <c r="K730" s="2" t="s">
        <v>29</v>
      </c>
      <c r="L730" s="2" t="s">
        <v>29</v>
      </c>
      <c r="M730" s="2" t="s">
        <v>7915</v>
      </c>
      <c r="N730" s="2" t="s">
        <v>7916</v>
      </c>
      <c r="O730" s="2" t="s">
        <v>29</v>
      </c>
      <c r="P730" s="2" t="s">
        <v>7917</v>
      </c>
      <c r="Q730" s="2" t="s">
        <v>7918</v>
      </c>
      <c r="R730" s="2" t="s">
        <v>114</v>
      </c>
      <c r="S730" s="2" t="s">
        <v>172</v>
      </c>
      <c r="T730" s="2" t="s">
        <v>4451</v>
      </c>
      <c r="U730" s="2" t="s">
        <v>29</v>
      </c>
      <c r="V730" s="2" t="n">
        <v>1</v>
      </c>
    </row>
    <row r="731">
      <c r="A731" s="2" t="n">
        <v>730</v>
      </c>
      <c r="B731" s="2" t="s">
        <v>7919</v>
      </c>
      <c r="C731" s="2" t="n">
        <v>473.2616882</v>
      </c>
      <c r="D731" s="2" t="n">
        <v>3.39297608389913</v>
      </c>
      <c r="E731" s="2" t="s">
        <v>7920</v>
      </c>
      <c r="F731" s="2" t="s">
        <v>24</v>
      </c>
      <c r="G731" s="2" t="s">
        <v>7921</v>
      </c>
      <c r="H731" s="2" t="s">
        <v>7922</v>
      </c>
      <c r="I731" s="2" t="s">
        <v>7923</v>
      </c>
      <c r="J731" s="2" t="s">
        <v>29</v>
      </c>
      <c r="K731" s="2" t="s">
        <v>29</v>
      </c>
      <c r="L731" s="2" t="s">
        <v>29</v>
      </c>
      <c r="M731" s="2" t="s">
        <v>29</v>
      </c>
      <c r="N731" s="2" t="s">
        <v>7924</v>
      </c>
      <c r="O731" s="2" t="s">
        <v>29</v>
      </c>
      <c r="P731" s="2" t="s">
        <v>7925</v>
      </c>
      <c r="Q731" s="2" t="s">
        <v>7926</v>
      </c>
      <c r="R731" s="2" t="s">
        <v>36</v>
      </c>
      <c r="S731" s="2" t="s">
        <v>7927</v>
      </c>
      <c r="T731" s="2" t="s">
        <v>7928</v>
      </c>
      <c r="U731" s="2" t="s">
        <v>29</v>
      </c>
      <c r="V731" s="2" t="n">
        <v>1</v>
      </c>
    </row>
    <row r="732">
      <c r="A732" s="2" t="n">
        <v>731</v>
      </c>
      <c r="B732" s="2" t="s">
        <v>7929</v>
      </c>
      <c r="C732" s="2" t="n">
        <v>475.05126426</v>
      </c>
      <c r="D732" s="2" t="n">
        <v>4.20959956667092</v>
      </c>
      <c r="E732" s="2" t="s">
        <v>7930</v>
      </c>
      <c r="F732" s="2" t="s">
        <v>161</v>
      </c>
      <c r="G732" s="2" t="s">
        <v>7931</v>
      </c>
      <c r="H732" s="2" t="s">
        <v>7932</v>
      </c>
      <c r="I732" s="2" t="s">
        <v>7933</v>
      </c>
      <c r="J732" s="2" t="s">
        <v>29</v>
      </c>
      <c r="K732" s="2" t="s">
        <v>29</v>
      </c>
      <c r="L732" s="2" t="s">
        <v>29</v>
      </c>
      <c r="M732" s="2" t="s">
        <v>29</v>
      </c>
      <c r="N732" s="2" t="s">
        <v>7934</v>
      </c>
      <c r="O732" s="2" t="s">
        <v>29</v>
      </c>
      <c r="P732" s="2" t="s">
        <v>7935</v>
      </c>
      <c r="Q732" s="2" t="s">
        <v>7936</v>
      </c>
      <c r="R732" s="2" t="s">
        <v>1355</v>
      </c>
      <c r="S732" s="2" t="s">
        <v>5199</v>
      </c>
      <c r="T732" s="2" t="s">
        <v>7308</v>
      </c>
      <c r="U732" s="2" t="s">
        <v>29</v>
      </c>
      <c r="V732" s="2" t="n">
        <v>1</v>
      </c>
    </row>
    <row r="733">
      <c r="A733" s="2" t="n">
        <v>732</v>
      </c>
      <c r="B733" s="2" t="s">
        <v>7937</v>
      </c>
      <c r="C733" s="2" t="n">
        <v>475.290187468</v>
      </c>
      <c r="D733" s="2" t="n">
        <v>0.773633909589968</v>
      </c>
      <c r="E733" s="2" t="s">
        <v>7938</v>
      </c>
      <c r="F733" s="2" t="s">
        <v>531</v>
      </c>
      <c r="G733" s="2" t="s">
        <v>7939</v>
      </c>
      <c r="H733" s="2" t="s">
        <v>7940</v>
      </c>
      <c r="I733" s="2" t="s">
        <v>7941</v>
      </c>
      <c r="J733" s="2" t="s">
        <v>7942</v>
      </c>
      <c r="K733" s="2" t="s">
        <v>29</v>
      </c>
      <c r="L733" s="2" t="s">
        <v>29</v>
      </c>
      <c r="M733" s="2" t="s">
        <v>29</v>
      </c>
      <c r="N733" s="2" t="s">
        <v>7943</v>
      </c>
      <c r="O733" s="2" t="s">
        <v>29</v>
      </c>
      <c r="P733" s="2" t="s">
        <v>7944</v>
      </c>
      <c r="Q733" s="2" t="s">
        <v>7945</v>
      </c>
      <c r="R733" s="2" t="s">
        <v>36</v>
      </c>
      <c r="S733" s="2" t="s">
        <v>37</v>
      </c>
      <c r="T733" s="2" t="s">
        <v>69</v>
      </c>
      <c r="U733" s="2" t="s">
        <v>29</v>
      </c>
      <c r="V733" s="2" t="n">
        <v>1</v>
      </c>
    </row>
    <row r="734">
      <c r="A734" s="2" t="n">
        <v>733</v>
      </c>
      <c r="B734" s="2" t="s">
        <v>7946</v>
      </c>
      <c r="C734" s="2" t="n">
        <v>476.283453727</v>
      </c>
      <c r="D734" s="2" t="n">
        <v>8.63585692122473</v>
      </c>
      <c r="E734" s="2" t="s">
        <v>7947</v>
      </c>
      <c r="F734" s="2" t="s">
        <v>161</v>
      </c>
      <c r="G734" s="2" t="s">
        <v>7948</v>
      </c>
      <c r="H734" s="2" t="s">
        <v>7949</v>
      </c>
      <c r="I734" s="2" t="s">
        <v>7950</v>
      </c>
      <c r="J734" s="2" t="s">
        <v>29</v>
      </c>
      <c r="K734" s="2" t="s">
        <v>29</v>
      </c>
      <c r="L734" s="2" t="s">
        <v>29</v>
      </c>
      <c r="M734" s="2" t="s">
        <v>29</v>
      </c>
      <c r="N734" s="2" t="s">
        <v>29</v>
      </c>
      <c r="O734" s="2" t="s">
        <v>29</v>
      </c>
      <c r="P734" s="2" t="s">
        <v>7951</v>
      </c>
      <c r="Q734" s="2" t="s">
        <v>7952</v>
      </c>
      <c r="R734" s="2" t="s">
        <v>794</v>
      </c>
      <c r="S734" s="2" t="s">
        <v>2971</v>
      </c>
      <c r="T734" s="2" t="s">
        <v>6499</v>
      </c>
      <c r="U734" s="2" t="s">
        <v>29</v>
      </c>
      <c r="V734" s="2" t="n">
        <v>1</v>
      </c>
    </row>
    <row r="735">
      <c r="A735" s="2" t="n">
        <v>734</v>
      </c>
      <c r="B735" s="2" t="s">
        <v>7953</v>
      </c>
      <c r="C735" s="2" t="n">
        <v>477.046254618</v>
      </c>
      <c r="D735" s="2" t="n">
        <v>8.26780100555987</v>
      </c>
      <c r="E735" s="2" t="s">
        <v>7954</v>
      </c>
      <c r="F735" s="2" t="s">
        <v>161</v>
      </c>
      <c r="G735" s="2" t="s">
        <v>7955</v>
      </c>
      <c r="H735" s="2" t="s">
        <v>7956</v>
      </c>
      <c r="I735" s="2" t="s">
        <v>7957</v>
      </c>
      <c r="J735" s="2" t="s">
        <v>29</v>
      </c>
      <c r="K735" s="2" t="s">
        <v>29</v>
      </c>
      <c r="L735" s="2" t="s">
        <v>29</v>
      </c>
      <c r="M735" s="2" t="s">
        <v>29</v>
      </c>
      <c r="N735" s="2" t="s">
        <v>7958</v>
      </c>
      <c r="O735" s="2" t="s">
        <v>29</v>
      </c>
      <c r="P735" s="2" t="s">
        <v>7959</v>
      </c>
      <c r="Q735" s="2" t="s">
        <v>7960</v>
      </c>
      <c r="R735" s="2" t="s">
        <v>36</v>
      </c>
      <c r="S735" s="2" t="s">
        <v>37</v>
      </c>
      <c r="T735" s="2" t="s">
        <v>69</v>
      </c>
      <c r="U735" s="2" t="s">
        <v>29</v>
      </c>
      <c r="V735" s="2" t="n">
        <v>1</v>
      </c>
    </row>
    <row r="736">
      <c r="A736" s="2" t="n">
        <v>735</v>
      </c>
      <c r="B736" s="2" t="s">
        <v>7961</v>
      </c>
      <c r="C736" s="2" t="n">
        <v>477.235908604</v>
      </c>
      <c r="D736" s="2" t="n">
        <v>4.95177819056047</v>
      </c>
      <c r="E736" s="2" t="s">
        <v>7962</v>
      </c>
      <c r="F736" s="2" t="s">
        <v>24</v>
      </c>
      <c r="G736" s="2" t="s">
        <v>7963</v>
      </c>
      <c r="H736" s="2" t="s">
        <v>7964</v>
      </c>
      <c r="I736" s="2" t="s">
        <v>7965</v>
      </c>
      <c r="J736" s="2" t="s">
        <v>29</v>
      </c>
      <c r="K736" s="2" t="s">
        <v>29</v>
      </c>
      <c r="L736" s="2" t="s">
        <v>29</v>
      </c>
      <c r="M736" s="2" t="s">
        <v>29</v>
      </c>
      <c r="N736" s="2" t="s">
        <v>29</v>
      </c>
      <c r="O736" s="2" t="s">
        <v>29</v>
      </c>
      <c r="P736" s="2" t="s">
        <v>7966</v>
      </c>
      <c r="Q736" s="2" t="s">
        <v>7967</v>
      </c>
      <c r="R736" s="2" t="s">
        <v>114</v>
      </c>
      <c r="S736" s="2" t="s">
        <v>4121</v>
      </c>
      <c r="T736" s="2" t="s">
        <v>7480</v>
      </c>
      <c r="U736" s="2" t="s">
        <v>29</v>
      </c>
      <c r="V736" s="2" t="n">
        <v>1</v>
      </c>
    </row>
    <row r="737">
      <c r="A737" s="2" t="n">
        <v>736</v>
      </c>
      <c r="B737" s="2" t="s">
        <v>7968</v>
      </c>
      <c r="C737" s="2" t="n">
        <v>477.314097338</v>
      </c>
      <c r="D737" s="2" t="n">
        <v>6.8882765147692</v>
      </c>
      <c r="E737" s="2" t="s">
        <v>7969</v>
      </c>
      <c r="F737" s="2" t="s">
        <v>86</v>
      </c>
      <c r="G737" s="2" t="s">
        <v>7970</v>
      </c>
      <c r="H737" s="2" t="s">
        <v>7971</v>
      </c>
      <c r="I737" s="2" t="s">
        <v>7972</v>
      </c>
      <c r="J737" s="2" t="s">
        <v>7973</v>
      </c>
      <c r="K737" s="2" t="s">
        <v>91</v>
      </c>
      <c r="L737" s="2" t="s">
        <v>7974</v>
      </c>
      <c r="M737" s="2" t="s">
        <v>7975</v>
      </c>
      <c r="N737" s="2" t="s">
        <v>7976</v>
      </c>
      <c r="O737" s="2" t="s">
        <v>91</v>
      </c>
      <c r="P737" s="2" t="s">
        <v>7977</v>
      </c>
      <c r="Q737" s="2" t="s">
        <v>7978</v>
      </c>
      <c r="R737" s="2" t="s">
        <v>412</v>
      </c>
      <c r="S737" s="2" t="s">
        <v>5304</v>
      </c>
      <c r="T737" s="2" t="s">
        <v>7979</v>
      </c>
      <c r="U737" s="2" t="s">
        <v>56</v>
      </c>
      <c r="V737" s="2" t="n">
        <v>2</v>
      </c>
    </row>
    <row r="738">
      <c r="A738" s="2" t="n">
        <v>737</v>
      </c>
      <c r="B738" s="2" t="s">
        <v>7980</v>
      </c>
      <c r="C738" s="2" t="n">
        <v>479.090643452</v>
      </c>
      <c r="D738" s="2" t="n">
        <v>5.26995363625615</v>
      </c>
      <c r="E738" s="2" t="s">
        <v>7981</v>
      </c>
      <c r="F738" s="2" t="s">
        <v>161</v>
      </c>
      <c r="G738" s="2" t="s">
        <v>7982</v>
      </c>
      <c r="H738" s="2" t="s">
        <v>7983</v>
      </c>
      <c r="I738" s="2" t="s">
        <v>7984</v>
      </c>
      <c r="J738" s="2" t="s">
        <v>7985</v>
      </c>
      <c r="K738" s="2" t="s">
        <v>29</v>
      </c>
      <c r="L738" s="2" t="s">
        <v>29</v>
      </c>
      <c r="M738" s="2" t="s">
        <v>7986</v>
      </c>
      <c r="N738" s="2" t="s">
        <v>7987</v>
      </c>
      <c r="O738" s="2" t="s">
        <v>7988</v>
      </c>
      <c r="P738" s="2" t="s">
        <v>7989</v>
      </c>
      <c r="Q738" s="2" t="s">
        <v>7990</v>
      </c>
      <c r="R738" s="2" t="s">
        <v>36</v>
      </c>
      <c r="S738" s="2" t="s">
        <v>37</v>
      </c>
      <c r="T738" s="2" t="s">
        <v>69</v>
      </c>
      <c r="U738" s="2" t="s">
        <v>56</v>
      </c>
      <c r="V738" s="2" t="n">
        <v>1</v>
      </c>
    </row>
    <row r="739">
      <c r="A739" s="2" t="n">
        <v>738</v>
      </c>
      <c r="B739" s="2" t="s">
        <v>7991</v>
      </c>
      <c r="C739" s="2" t="n">
        <v>479.317822408</v>
      </c>
      <c r="D739" s="2" t="n">
        <v>0.495855293531</v>
      </c>
      <c r="E739" s="2" t="s">
        <v>7992</v>
      </c>
      <c r="F739" s="2" t="s">
        <v>205</v>
      </c>
      <c r="G739" s="2" t="s">
        <v>7993</v>
      </c>
      <c r="H739" s="2" t="s">
        <v>7994</v>
      </c>
      <c r="I739" s="2" t="s">
        <v>7995</v>
      </c>
      <c r="J739" s="2" t="s">
        <v>29</v>
      </c>
      <c r="K739" s="2" t="s">
        <v>29</v>
      </c>
      <c r="L739" s="2" t="s">
        <v>29</v>
      </c>
      <c r="M739" s="2" t="s">
        <v>29</v>
      </c>
      <c r="N739" s="2" t="s">
        <v>7996</v>
      </c>
      <c r="O739" s="2" t="s">
        <v>29</v>
      </c>
      <c r="P739" s="2" t="s">
        <v>7997</v>
      </c>
      <c r="Q739" s="2" t="s">
        <v>7998</v>
      </c>
      <c r="R739" s="2" t="s">
        <v>794</v>
      </c>
      <c r="S739" s="2" t="s">
        <v>2971</v>
      </c>
      <c r="T739" s="2" t="s">
        <v>7999</v>
      </c>
      <c r="U739" s="2" t="s">
        <v>29</v>
      </c>
      <c r="V739" s="2" t="n">
        <v>1</v>
      </c>
    </row>
    <row r="740">
      <c r="A740" s="2" t="n">
        <v>739</v>
      </c>
      <c r="B740" s="2" t="s">
        <v>8000</v>
      </c>
      <c r="C740" s="2" t="n">
        <v>480.311382553</v>
      </c>
      <c r="D740" s="2" t="n">
        <v>4.97495058105697</v>
      </c>
      <c r="E740" s="2" t="s">
        <v>8001</v>
      </c>
      <c r="F740" s="2" t="s">
        <v>161</v>
      </c>
      <c r="G740" s="2" t="s">
        <v>8002</v>
      </c>
      <c r="H740" s="2" t="s">
        <v>8003</v>
      </c>
      <c r="I740" s="2" t="s">
        <v>8004</v>
      </c>
      <c r="J740" s="2" t="s">
        <v>29</v>
      </c>
      <c r="K740" s="2" t="s">
        <v>29</v>
      </c>
      <c r="L740" s="2" t="s">
        <v>29</v>
      </c>
      <c r="M740" s="2" t="s">
        <v>29</v>
      </c>
      <c r="N740" s="2" t="s">
        <v>29</v>
      </c>
      <c r="O740" s="2" t="s">
        <v>29</v>
      </c>
      <c r="P740" s="2" t="s">
        <v>8005</v>
      </c>
      <c r="Q740" s="2" t="s">
        <v>8006</v>
      </c>
      <c r="R740" s="2" t="s">
        <v>794</v>
      </c>
      <c r="S740" s="2" t="s">
        <v>795</v>
      </c>
      <c r="T740" s="2" t="s">
        <v>1870</v>
      </c>
      <c r="U740" s="2" t="s">
        <v>29</v>
      </c>
      <c r="V740" s="2" t="n">
        <v>1</v>
      </c>
    </row>
    <row r="741">
      <c r="A741" s="2" t="n">
        <v>740</v>
      </c>
      <c r="B741" s="2" t="s">
        <v>8007</v>
      </c>
      <c r="C741" s="2" t="n">
        <v>481.29539814</v>
      </c>
      <c r="D741" s="2" t="n">
        <v>5.19040698606849</v>
      </c>
      <c r="E741" s="2" t="s">
        <v>8008</v>
      </c>
      <c r="F741" s="2" t="s">
        <v>161</v>
      </c>
      <c r="G741" s="2" t="s">
        <v>8009</v>
      </c>
      <c r="H741" s="2" t="s">
        <v>8010</v>
      </c>
      <c r="I741" s="2" t="s">
        <v>8011</v>
      </c>
      <c r="J741" s="2" t="s">
        <v>8012</v>
      </c>
      <c r="K741" s="2" t="s">
        <v>195</v>
      </c>
      <c r="L741" s="2" t="s">
        <v>195</v>
      </c>
      <c r="M741" s="2" t="s">
        <v>8013</v>
      </c>
      <c r="N741" s="2" t="s">
        <v>8014</v>
      </c>
      <c r="O741" s="2" t="s">
        <v>8015</v>
      </c>
      <c r="P741" s="2" t="s">
        <v>8016</v>
      </c>
      <c r="Q741" s="2" t="s">
        <v>8017</v>
      </c>
      <c r="R741" s="2" t="s">
        <v>255</v>
      </c>
      <c r="S741" s="2" t="s">
        <v>7764</v>
      </c>
      <c r="T741" s="2" t="s">
        <v>8018</v>
      </c>
      <c r="U741" s="2" t="s">
        <v>56</v>
      </c>
      <c r="V741" s="2" t="n">
        <v>3</v>
      </c>
    </row>
    <row r="742">
      <c r="A742" s="2" t="n">
        <v>741</v>
      </c>
      <c r="B742" s="2" t="s">
        <v>8019</v>
      </c>
      <c r="C742" s="2" t="n">
        <v>481.977235771</v>
      </c>
      <c r="D742" s="2" t="n">
        <v>0.0827930705506689</v>
      </c>
      <c r="E742" s="2" t="s">
        <v>8020</v>
      </c>
      <c r="F742" s="2" t="s">
        <v>24</v>
      </c>
      <c r="G742" s="2" t="s">
        <v>8021</v>
      </c>
      <c r="H742" s="2" t="s">
        <v>8022</v>
      </c>
      <c r="I742" s="2" t="s">
        <v>8023</v>
      </c>
      <c r="J742" s="2" t="s">
        <v>8024</v>
      </c>
      <c r="K742" s="2" t="s">
        <v>29</v>
      </c>
      <c r="L742" s="2" t="s">
        <v>8025</v>
      </c>
      <c r="M742" s="2" t="s">
        <v>8026</v>
      </c>
      <c r="N742" s="2" t="s">
        <v>8027</v>
      </c>
      <c r="O742" s="2" t="s">
        <v>8028</v>
      </c>
      <c r="P742" s="2" t="s">
        <v>8029</v>
      </c>
      <c r="Q742" s="2" t="s">
        <v>8030</v>
      </c>
      <c r="R742" s="2" t="s">
        <v>129</v>
      </c>
      <c r="S742" s="2" t="s">
        <v>130</v>
      </c>
      <c r="T742" s="2" t="s">
        <v>1681</v>
      </c>
      <c r="U742" s="2" t="s">
        <v>56</v>
      </c>
      <c r="V742" s="2" t="n">
        <v>1</v>
      </c>
    </row>
    <row r="743">
      <c r="A743" s="2" t="n">
        <v>742</v>
      </c>
      <c r="B743" s="2" t="s">
        <v>8031</v>
      </c>
      <c r="C743" s="2" t="n">
        <v>482.288823657</v>
      </c>
      <c r="D743" s="2" t="n">
        <v>5.79525069125589</v>
      </c>
      <c r="E743" s="2" t="s">
        <v>8032</v>
      </c>
      <c r="F743" s="2" t="s">
        <v>205</v>
      </c>
      <c r="G743" s="2" t="s">
        <v>8033</v>
      </c>
      <c r="H743" s="2" t="s">
        <v>8034</v>
      </c>
      <c r="I743" s="2" t="s">
        <v>8035</v>
      </c>
      <c r="J743" s="2" t="s">
        <v>8036</v>
      </c>
      <c r="K743" s="2" t="s">
        <v>8037</v>
      </c>
      <c r="L743" s="2" t="s">
        <v>29</v>
      </c>
      <c r="M743" s="2" t="s">
        <v>29</v>
      </c>
      <c r="N743" s="2" t="s">
        <v>8038</v>
      </c>
      <c r="O743" s="2" t="s">
        <v>8039</v>
      </c>
      <c r="P743" s="2" t="s">
        <v>8040</v>
      </c>
      <c r="Q743" s="2" t="s">
        <v>8041</v>
      </c>
      <c r="R743" s="2" t="s">
        <v>794</v>
      </c>
      <c r="S743" s="2" t="s">
        <v>7122</v>
      </c>
      <c r="T743" s="2" t="s">
        <v>8042</v>
      </c>
      <c r="U743" s="2" t="s">
        <v>39</v>
      </c>
      <c r="V743" s="2" t="n">
        <v>1</v>
      </c>
    </row>
    <row r="744">
      <c r="A744" s="2" t="n">
        <v>743</v>
      </c>
      <c r="B744" s="2" t="s">
        <v>8043</v>
      </c>
      <c r="C744" s="2" t="n">
        <v>483.297679788</v>
      </c>
      <c r="D744" s="2" t="n">
        <v>3.96712684804045</v>
      </c>
      <c r="E744" s="2" t="s">
        <v>8044</v>
      </c>
      <c r="F744" s="2" t="s">
        <v>24</v>
      </c>
      <c r="G744" s="2" t="s">
        <v>8045</v>
      </c>
      <c r="H744" s="2" t="s">
        <v>8046</v>
      </c>
      <c r="I744" s="2" t="s">
        <v>8047</v>
      </c>
      <c r="J744" s="2" t="s">
        <v>8048</v>
      </c>
      <c r="K744" s="2" t="s">
        <v>29</v>
      </c>
      <c r="L744" s="2" t="s">
        <v>29</v>
      </c>
      <c r="M744" s="2" t="s">
        <v>8049</v>
      </c>
      <c r="N744" s="2" t="s">
        <v>8050</v>
      </c>
      <c r="O744" s="2" t="s">
        <v>8051</v>
      </c>
      <c r="P744" s="2" t="s">
        <v>8052</v>
      </c>
      <c r="Q744" s="2" t="s">
        <v>8053</v>
      </c>
      <c r="R744" s="2" t="s">
        <v>36</v>
      </c>
      <c r="S744" s="2" t="s">
        <v>37</v>
      </c>
      <c r="T744" s="2" t="s">
        <v>69</v>
      </c>
      <c r="U744" s="2" t="s">
        <v>56</v>
      </c>
      <c r="V744" s="2" t="n">
        <v>1</v>
      </c>
    </row>
    <row r="745">
      <c r="A745" s="2" t="n">
        <v>744</v>
      </c>
      <c r="B745" s="2" t="s">
        <v>8054</v>
      </c>
      <c r="C745" s="2" t="n">
        <v>485.232691962</v>
      </c>
      <c r="D745" s="2" t="n">
        <v>0.0391805648154382</v>
      </c>
      <c r="E745" s="2" t="s">
        <v>8055</v>
      </c>
      <c r="F745" s="2" t="s">
        <v>205</v>
      </c>
      <c r="G745" s="2" t="s">
        <v>8056</v>
      </c>
      <c r="H745" s="2" t="s">
        <v>8057</v>
      </c>
      <c r="I745" s="2" t="s">
        <v>8058</v>
      </c>
      <c r="J745" s="2" t="s">
        <v>8059</v>
      </c>
      <c r="K745" s="2" t="s">
        <v>29</v>
      </c>
      <c r="L745" s="2" t="s">
        <v>8060</v>
      </c>
      <c r="M745" s="2" t="s">
        <v>8061</v>
      </c>
      <c r="N745" s="2" t="s">
        <v>8062</v>
      </c>
      <c r="O745" s="2" t="s">
        <v>8063</v>
      </c>
      <c r="P745" s="2" t="s">
        <v>8064</v>
      </c>
      <c r="Q745" s="2" t="s">
        <v>8065</v>
      </c>
      <c r="R745" s="2" t="s">
        <v>36</v>
      </c>
      <c r="S745" s="2" t="s">
        <v>37</v>
      </c>
      <c r="T745" s="2" t="s">
        <v>69</v>
      </c>
      <c r="U745" s="2" t="s">
        <v>101</v>
      </c>
      <c r="V745" s="2" t="n">
        <v>1</v>
      </c>
    </row>
    <row r="746">
      <c r="A746" s="2" t="n">
        <v>745</v>
      </c>
      <c r="B746" s="2" t="s">
        <v>8066</v>
      </c>
      <c r="C746" s="2" t="n">
        <v>487.183433573</v>
      </c>
      <c r="D746" s="2" t="n">
        <v>1.13005277968097</v>
      </c>
      <c r="E746" s="2" t="s">
        <v>8067</v>
      </c>
      <c r="F746" s="2" t="s">
        <v>205</v>
      </c>
      <c r="G746" s="2" t="s">
        <v>8068</v>
      </c>
      <c r="H746" s="2" t="s">
        <v>8069</v>
      </c>
      <c r="I746" s="2" t="s">
        <v>8070</v>
      </c>
      <c r="J746" s="2" t="s">
        <v>29</v>
      </c>
      <c r="K746" s="2" t="s">
        <v>29</v>
      </c>
      <c r="L746" s="2" t="s">
        <v>29</v>
      </c>
      <c r="M746" s="2" t="s">
        <v>29</v>
      </c>
      <c r="N746" s="2" t="s">
        <v>8071</v>
      </c>
      <c r="O746" s="2" t="s">
        <v>29</v>
      </c>
      <c r="P746" s="2" t="s">
        <v>8072</v>
      </c>
      <c r="Q746" s="2" t="s">
        <v>8073</v>
      </c>
      <c r="R746" s="2" t="s">
        <v>36</v>
      </c>
      <c r="S746" s="2" t="s">
        <v>37</v>
      </c>
      <c r="T746" s="2" t="s">
        <v>69</v>
      </c>
      <c r="U746" s="2" t="s">
        <v>29</v>
      </c>
      <c r="V746" s="2" t="n">
        <v>1</v>
      </c>
    </row>
    <row r="747">
      <c r="A747" s="2" t="n">
        <v>746</v>
      </c>
      <c r="B747" s="2" t="s">
        <v>8074</v>
      </c>
      <c r="C747" s="2" t="n">
        <v>487.319576646</v>
      </c>
      <c r="D747" s="2" t="n">
        <v>2.74534027996534</v>
      </c>
      <c r="E747" s="2" t="s">
        <v>8075</v>
      </c>
      <c r="F747" s="2" t="s">
        <v>86</v>
      </c>
      <c r="G747" s="2" t="s">
        <v>8076</v>
      </c>
      <c r="H747" s="2" t="s">
        <v>8077</v>
      </c>
      <c r="I747" s="2" t="s">
        <v>8078</v>
      </c>
      <c r="J747" s="2" t="s">
        <v>8079</v>
      </c>
      <c r="K747" s="2" t="s">
        <v>8080</v>
      </c>
      <c r="L747" s="2" t="s">
        <v>195</v>
      </c>
      <c r="M747" s="2" t="s">
        <v>195</v>
      </c>
      <c r="N747" s="2" t="s">
        <v>8081</v>
      </c>
      <c r="O747" s="2" t="s">
        <v>8082</v>
      </c>
      <c r="P747" s="2" t="s">
        <v>8083</v>
      </c>
      <c r="Q747" s="2" t="s">
        <v>8084</v>
      </c>
      <c r="R747" s="2" t="s">
        <v>255</v>
      </c>
      <c r="S747" s="2" t="s">
        <v>6877</v>
      </c>
      <c r="T747" s="2" t="s">
        <v>8085</v>
      </c>
      <c r="U747" s="2" t="s">
        <v>56</v>
      </c>
      <c r="V747" s="2" t="n">
        <v>3</v>
      </c>
    </row>
    <row r="748">
      <c r="A748" s="2" t="n">
        <v>747</v>
      </c>
      <c r="B748" s="2" t="s">
        <v>8086</v>
      </c>
      <c r="C748" s="2" t="n">
        <v>488.170620989</v>
      </c>
      <c r="D748" s="2" t="n">
        <v>5.10549311969368</v>
      </c>
      <c r="E748" s="2" t="s">
        <v>8087</v>
      </c>
      <c r="F748" s="2" t="s">
        <v>86</v>
      </c>
      <c r="G748" s="2" t="s">
        <v>8088</v>
      </c>
      <c r="H748" s="2" t="s">
        <v>8089</v>
      </c>
      <c r="I748" s="2" t="s">
        <v>8090</v>
      </c>
      <c r="J748" s="2" t="s">
        <v>29</v>
      </c>
      <c r="K748" s="2" t="s">
        <v>29</v>
      </c>
      <c r="L748" s="2" t="s">
        <v>29</v>
      </c>
      <c r="M748" s="2" t="s">
        <v>29</v>
      </c>
      <c r="N748" s="2" t="s">
        <v>8091</v>
      </c>
      <c r="O748" s="2" t="s">
        <v>29</v>
      </c>
      <c r="P748" s="2" t="s">
        <v>8092</v>
      </c>
      <c r="Q748" s="2" t="s">
        <v>8093</v>
      </c>
      <c r="R748" s="2" t="s">
        <v>36</v>
      </c>
      <c r="S748" s="2" t="s">
        <v>37</v>
      </c>
      <c r="T748" s="2" t="s">
        <v>69</v>
      </c>
      <c r="U748" s="2" t="s">
        <v>29</v>
      </c>
      <c r="V748" s="2" t="n">
        <v>1</v>
      </c>
    </row>
    <row r="749">
      <c r="A749" s="2" t="n">
        <v>748</v>
      </c>
      <c r="B749" s="2" t="s">
        <v>8094</v>
      </c>
      <c r="C749" s="2" t="n">
        <v>489.350482844</v>
      </c>
      <c r="D749" s="2" t="n">
        <v>5.18883255415701</v>
      </c>
      <c r="E749" s="2" t="s">
        <v>8095</v>
      </c>
      <c r="F749" s="2" t="s">
        <v>86</v>
      </c>
      <c r="G749" s="2" t="s">
        <v>8096</v>
      </c>
      <c r="H749" s="2" t="s">
        <v>8097</v>
      </c>
      <c r="I749" s="2" t="s">
        <v>8098</v>
      </c>
      <c r="J749" s="2" t="s">
        <v>8099</v>
      </c>
      <c r="K749" s="2" t="s">
        <v>29</v>
      </c>
      <c r="L749" s="2" t="s">
        <v>29</v>
      </c>
      <c r="M749" s="2" t="s">
        <v>29</v>
      </c>
      <c r="N749" s="2" t="s">
        <v>8100</v>
      </c>
      <c r="O749" s="2" t="s">
        <v>8101</v>
      </c>
      <c r="P749" s="2" t="s">
        <v>8102</v>
      </c>
      <c r="Q749" s="2" t="s">
        <v>8103</v>
      </c>
      <c r="R749" s="2" t="s">
        <v>794</v>
      </c>
      <c r="S749" s="2" t="s">
        <v>2971</v>
      </c>
      <c r="T749" s="2" t="s">
        <v>8104</v>
      </c>
      <c r="U749" s="2" t="s">
        <v>56</v>
      </c>
      <c r="V749" s="2" t="n">
        <v>1</v>
      </c>
    </row>
    <row r="750">
      <c r="A750" s="2" t="n">
        <v>749</v>
      </c>
      <c r="B750" s="2" t="s">
        <v>8105</v>
      </c>
      <c r="C750" s="2" t="n">
        <v>490.112101073</v>
      </c>
      <c r="D750" s="2" t="n">
        <v>3.78593975115902</v>
      </c>
      <c r="E750" s="2" t="s">
        <v>8106</v>
      </c>
      <c r="F750" s="2" t="s">
        <v>218</v>
      </c>
      <c r="G750" s="2" t="s">
        <v>8107</v>
      </c>
      <c r="H750" s="2" t="s">
        <v>8108</v>
      </c>
      <c r="I750" s="2" t="s">
        <v>8109</v>
      </c>
      <c r="J750" s="2" t="s">
        <v>29</v>
      </c>
      <c r="K750" s="2" t="s">
        <v>29</v>
      </c>
      <c r="L750" s="2" t="s">
        <v>29</v>
      </c>
      <c r="M750" s="2" t="s">
        <v>29</v>
      </c>
      <c r="N750" s="2" t="s">
        <v>8110</v>
      </c>
      <c r="O750" s="2" t="s">
        <v>8111</v>
      </c>
      <c r="P750" s="2" t="s">
        <v>8112</v>
      </c>
      <c r="Q750" s="2" t="s">
        <v>8113</v>
      </c>
      <c r="R750" s="2" t="s">
        <v>129</v>
      </c>
      <c r="S750" s="2" t="s">
        <v>130</v>
      </c>
      <c r="T750" s="2" t="s">
        <v>1681</v>
      </c>
      <c r="U750" s="2" t="s">
        <v>29</v>
      </c>
      <c r="V750" s="2" t="n">
        <v>1</v>
      </c>
    </row>
    <row r="751">
      <c r="A751" s="2" t="n">
        <v>750</v>
      </c>
      <c r="B751" s="2" t="s">
        <v>8114</v>
      </c>
      <c r="C751" s="2" t="n">
        <v>491.032859</v>
      </c>
      <c r="D751" s="2" t="n">
        <v>2.6798428788282</v>
      </c>
      <c r="E751" s="2" t="s">
        <v>8115</v>
      </c>
      <c r="F751" s="2" t="s">
        <v>161</v>
      </c>
      <c r="G751" s="2" t="s">
        <v>8116</v>
      </c>
      <c r="H751" s="2" t="s">
        <v>8117</v>
      </c>
      <c r="I751" s="2" t="s">
        <v>8118</v>
      </c>
      <c r="J751" s="2" t="s">
        <v>29</v>
      </c>
      <c r="K751" s="2" t="s">
        <v>29</v>
      </c>
      <c r="L751" s="2" t="s">
        <v>29</v>
      </c>
      <c r="M751" s="2" t="s">
        <v>8119</v>
      </c>
      <c r="N751" s="2" t="s">
        <v>8120</v>
      </c>
      <c r="O751" s="2" t="s">
        <v>29</v>
      </c>
      <c r="P751" s="2" t="s">
        <v>8121</v>
      </c>
      <c r="Q751" s="2" t="s">
        <v>8122</v>
      </c>
      <c r="R751" s="2" t="s">
        <v>2416</v>
      </c>
      <c r="S751" s="2" t="s">
        <v>6560</v>
      </c>
      <c r="T751" s="2" t="s">
        <v>215</v>
      </c>
      <c r="U751" s="2" t="s">
        <v>29</v>
      </c>
      <c r="V751" s="2" t="n">
        <v>1</v>
      </c>
    </row>
    <row r="752">
      <c r="A752" s="2" t="n">
        <v>751</v>
      </c>
      <c r="B752" s="2" t="s">
        <v>8123</v>
      </c>
      <c r="C752" s="2" t="n">
        <v>491.293300338</v>
      </c>
      <c r="D752" s="2" t="n">
        <v>1.32695106987271</v>
      </c>
      <c r="E752" s="2" t="s">
        <v>8124</v>
      </c>
      <c r="F752" s="2" t="s">
        <v>218</v>
      </c>
      <c r="G752" s="2" t="s">
        <v>8125</v>
      </c>
      <c r="H752" s="2" t="s">
        <v>8126</v>
      </c>
      <c r="I752" s="2" t="s">
        <v>8127</v>
      </c>
      <c r="J752" s="2" t="s">
        <v>8128</v>
      </c>
      <c r="K752" s="2" t="s">
        <v>91</v>
      </c>
      <c r="L752" s="2" t="s">
        <v>8129</v>
      </c>
      <c r="M752" s="2" t="s">
        <v>8130</v>
      </c>
      <c r="N752" s="2" t="s">
        <v>8131</v>
      </c>
      <c r="O752" s="2" t="s">
        <v>8132</v>
      </c>
      <c r="P752" s="2" t="s">
        <v>8133</v>
      </c>
      <c r="Q752" s="2" t="s">
        <v>8134</v>
      </c>
      <c r="R752" s="2" t="s">
        <v>412</v>
      </c>
      <c r="S752" s="2" t="s">
        <v>5304</v>
      </c>
      <c r="T752" s="2" t="s">
        <v>7979</v>
      </c>
      <c r="U752" s="2" t="s">
        <v>101</v>
      </c>
      <c r="V752" s="2" t="n">
        <v>2</v>
      </c>
    </row>
    <row r="753">
      <c r="A753" s="2" t="n">
        <v>752</v>
      </c>
      <c r="B753" s="2" t="s">
        <v>8135</v>
      </c>
      <c r="C753" s="2" t="n">
        <v>492.296676729</v>
      </c>
      <c r="D753" s="2" t="n">
        <v>0.71033035469179</v>
      </c>
      <c r="E753" s="2" t="s">
        <v>8136</v>
      </c>
      <c r="F753" s="2" t="s">
        <v>24</v>
      </c>
      <c r="G753" s="2" t="s">
        <v>8137</v>
      </c>
      <c r="H753" s="2" t="s">
        <v>8138</v>
      </c>
      <c r="I753" s="2" t="s">
        <v>8139</v>
      </c>
      <c r="J753" s="2" t="s">
        <v>29</v>
      </c>
      <c r="K753" s="2" t="s">
        <v>29</v>
      </c>
      <c r="L753" s="2" t="s">
        <v>29</v>
      </c>
      <c r="M753" s="2" t="s">
        <v>29</v>
      </c>
      <c r="N753" s="2" t="s">
        <v>29</v>
      </c>
      <c r="O753" s="2" t="s">
        <v>29</v>
      </c>
      <c r="P753" s="2" t="s">
        <v>8140</v>
      </c>
      <c r="Q753" s="2" t="s">
        <v>8141</v>
      </c>
      <c r="R753" s="2" t="s">
        <v>794</v>
      </c>
      <c r="S753" s="2" t="s">
        <v>795</v>
      </c>
      <c r="T753" s="2" t="s">
        <v>3692</v>
      </c>
      <c r="U753" s="2" t="s">
        <v>29</v>
      </c>
      <c r="V753" s="2" t="n">
        <v>1</v>
      </c>
    </row>
    <row r="754">
      <c r="A754" s="2" t="n">
        <v>753</v>
      </c>
      <c r="B754" s="2" t="s">
        <v>8142</v>
      </c>
      <c r="C754" s="2" t="n">
        <v>493.026589</v>
      </c>
      <c r="D754" s="2" t="n">
        <v>4.65108658726777</v>
      </c>
      <c r="E754" s="2" t="s">
        <v>8143</v>
      </c>
      <c r="F754" s="2" t="s">
        <v>205</v>
      </c>
      <c r="G754" s="2" t="s">
        <v>8144</v>
      </c>
      <c r="H754" s="2" t="s">
        <v>8145</v>
      </c>
      <c r="I754" s="2" t="s">
        <v>8146</v>
      </c>
      <c r="J754" s="2" t="s">
        <v>29</v>
      </c>
      <c r="K754" s="2" t="s">
        <v>29</v>
      </c>
      <c r="L754" s="2" t="s">
        <v>29</v>
      </c>
      <c r="M754" s="2" t="s">
        <v>29</v>
      </c>
      <c r="N754" s="2" t="s">
        <v>8147</v>
      </c>
      <c r="O754" s="2" t="s">
        <v>29</v>
      </c>
      <c r="P754" s="2" t="s">
        <v>8148</v>
      </c>
      <c r="Q754" s="2" t="s">
        <v>8149</v>
      </c>
      <c r="R754" s="2" t="s">
        <v>114</v>
      </c>
      <c r="S754" s="2" t="s">
        <v>369</v>
      </c>
      <c r="T754" s="2" t="s">
        <v>370</v>
      </c>
      <c r="U754" s="2" t="s">
        <v>29</v>
      </c>
      <c r="V754" s="2" t="n">
        <v>1</v>
      </c>
    </row>
    <row r="755">
      <c r="A755" s="2" t="n">
        <v>754</v>
      </c>
      <c r="B755" s="2" t="s">
        <v>8150</v>
      </c>
      <c r="C755" s="2" t="n">
        <v>493.308950406</v>
      </c>
      <c r="D755" s="2" t="n">
        <v>0.0612847595271589</v>
      </c>
      <c r="E755" s="2" t="s">
        <v>8151</v>
      </c>
      <c r="F755" s="2" t="s">
        <v>218</v>
      </c>
      <c r="G755" s="2" t="s">
        <v>8152</v>
      </c>
      <c r="H755" s="2" t="s">
        <v>8153</v>
      </c>
      <c r="I755" s="2" t="s">
        <v>8154</v>
      </c>
      <c r="J755" s="2" t="s">
        <v>8155</v>
      </c>
      <c r="K755" s="2" t="s">
        <v>8156</v>
      </c>
      <c r="L755" s="2" t="s">
        <v>8157</v>
      </c>
      <c r="M755" s="2" t="s">
        <v>8158</v>
      </c>
      <c r="N755" s="2" t="s">
        <v>8159</v>
      </c>
      <c r="O755" s="2" t="s">
        <v>8160</v>
      </c>
      <c r="P755" s="2" t="s">
        <v>8161</v>
      </c>
      <c r="Q755" s="2" t="s">
        <v>8162</v>
      </c>
      <c r="R755" s="2" t="s">
        <v>255</v>
      </c>
      <c r="S755" s="2" t="s">
        <v>1728</v>
      </c>
      <c r="T755" s="2" t="s">
        <v>7815</v>
      </c>
      <c r="U755" s="2" t="s">
        <v>101</v>
      </c>
      <c r="V755" s="2" t="n">
        <v>3</v>
      </c>
    </row>
    <row r="756">
      <c r="A756" s="2" t="n">
        <v>755</v>
      </c>
      <c r="B756" s="2" t="s">
        <v>8163</v>
      </c>
      <c r="C756" s="2" t="n">
        <v>495.05374132</v>
      </c>
      <c r="D756" s="2" t="n">
        <v>1.11577656215386</v>
      </c>
      <c r="E756" s="2" t="s">
        <v>8164</v>
      </c>
      <c r="F756" s="2" t="s">
        <v>205</v>
      </c>
      <c r="G756" s="2" t="s">
        <v>8165</v>
      </c>
      <c r="H756" s="2" t="s">
        <v>8166</v>
      </c>
      <c r="I756" s="2" t="s">
        <v>8167</v>
      </c>
      <c r="J756" s="2" t="s">
        <v>29</v>
      </c>
      <c r="K756" s="2" t="s">
        <v>29</v>
      </c>
      <c r="L756" s="2" t="s">
        <v>29</v>
      </c>
      <c r="M756" s="2" t="s">
        <v>29</v>
      </c>
      <c r="N756" s="2" t="s">
        <v>29</v>
      </c>
      <c r="O756" s="2" t="s">
        <v>8168</v>
      </c>
      <c r="P756" s="2" t="s">
        <v>8169</v>
      </c>
      <c r="Q756" s="2" t="s">
        <v>8170</v>
      </c>
      <c r="R756" s="2" t="s">
        <v>186</v>
      </c>
      <c r="S756" s="2" t="s">
        <v>4086</v>
      </c>
      <c r="T756" s="2" t="s">
        <v>4087</v>
      </c>
      <c r="U756" s="2" t="s">
        <v>29</v>
      </c>
      <c r="V756" s="2" t="n">
        <v>1</v>
      </c>
    </row>
    <row r="757">
      <c r="A757" s="2" t="n">
        <v>756</v>
      </c>
      <c r="B757" s="2" t="s">
        <v>8171</v>
      </c>
      <c r="C757" s="2" t="n">
        <v>495.309405886</v>
      </c>
      <c r="D757" s="2" t="n">
        <v>6.94076840179107</v>
      </c>
      <c r="E757" s="2" t="s">
        <v>8172</v>
      </c>
      <c r="F757" s="2" t="s">
        <v>86</v>
      </c>
      <c r="G757" s="2" t="s">
        <v>8173</v>
      </c>
      <c r="H757" s="2" t="s">
        <v>8174</v>
      </c>
      <c r="I757" s="2" t="s">
        <v>8175</v>
      </c>
      <c r="J757" s="2" t="s">
        <v>29</v>
      </c>
      <c r="K757" s="2" t="s">
        <v>29</v>
      </c>
      <c r="L757" s="2" t="s">
        <v>29</v>
      </c>
      <c r="M757" s="2" t="s">
        <v>29</v>
      </c>
      <c r="N757" s="2" t="s">
        <v>8176</v>
      </c>
      <c r="O757" s="2" t="s">
        <v>29</v>
      </c>
      <c r="P757" s="2" t="s">
        <v>8177</v>
      </c>
      <c r="Q757" s="2" t="s">
        <v>8178</v>
      </c>
      <c r="R757" s="2" t="s">
        <v>794</v>
      </c>
      <c r="S757" s="2" t="s">
        <v>795</v>
      </c>
      <c r="T757" s="2" t="s">
        <v>3273</v>
      </c>
      <c r="U757" s="2" t="s">
        <v>29</v>
      </c>
      <c r="V757" s="2" t="n">
        <v>1</v>
      </c>
    </row>
    <row r="758">
      <c r="A758" s="2" t="n">
        <v>757</v>
      </c>
      <c r="B758" s="2" t="s">
        <v>8179</v>
      </c>
      <c r="C758" s="2" t="n">
        <v>496.273282489</v>
      </c>
      <c r="D758" s="2" t="n">
        <v>0.0811599877241973</v>
      </c>
      <c r="E758" s="2" t="s">
        <v>8180</v>
      </c>
      <c r="F758" s="2" t="s">
        <v>161</v>
      </c>
      <c r="G758" s="2" t="s">
        <v>8181</v>
      </c>
      <c r="H758" s="2" t="s">
        <v>8182</v>
      </c>
      <c r="I758" s="2" t="s">
        <v>8183</v>
      </c>
      <c r="J758" s="2" t="s">
        <v>8184</v>
      </c>
      <c r="K758" s="2" t="s">
        <v>8185</v>
      </c>
      <c r="L758" s="2" t="s">
        <v>8186</v>
      </c>
      <c r="M758" s="2" t="s">
        <v>8187</v>
      </c>
      <c r="N758" s="2" t="s">
        <v>8188</v>
      </c>
      <c r="O758" s="2" t="s">
        <v>8189</v>
      </c>
      <c r="P758" s="2" t="s">
        <v>8190</v>
      </c>
      <c r="Q758" s="2" t="s">
        <v>8191</v>
      </c>
      <c r="R758" s="2" t="s">
        <v>794</v>
      </c>
      <c r="S758" s="2" t="s">
        <v>2971</v>
      </c>
      <c r="T758" s="2" t="s">
        <v>6499</v>
      </c>
      <c r="U758" s="2" t="s">
        <v>39</v>
      </c>
      <c r="V758" s="2" t="n">
        <v>1</v>
      </c>
    </row>
    <row r="759">
      <c r="A759" s="2" t="n">
        <v>758</v>
      </c>
      <c r="B759" s="2" t="s">
        <v>8192</v>
      </c>
      <c r="C759" s="2" t="n">
        <v>497.173640692</v>
      </c>
      <c r="D759" s="2" t="n">
        <v>2.61541726508576</v>
      </c>
      <c r="E759" s="2" t="s">
        <v>8193</v>
      </c>
      <c r="F759" s="2" t="s">
        <v>86</v>
      </c>
      <c r="G759" s="2" t="s">
        <v>8194</v>
      </c>
      <c r="H759" s="2" t="s">
        <v>8195</v>
      </c>
      <c r="I759" s="2" t="s">
        <v>8196</v>
      </c>
      <c r="J759" s="2" t="s">
        <v>8197</v>
      </c>
      <c r="K759" s="2" t="s">
        <v>29</v>
      </c>
      <c r="L759" s="2" t="s">
        <v>29</v>
      </c>
      <c r="M759" s="2" t="s">
        <v>29</v>
      </c>
      <c r="N759" s="2" t="s">
        <v>8198</v>
      </c>
      <c r="O759" s="2" t="s">
        <v>29</v>
      </c>
      <c r="P759" s="2" t="s">
        <v>8199</v>
      </c>
      <c r="Q759" s="2" t="s">
        <v>8200</v>
      </c>
      <c r="R759" s="2" t="s">
        <v>114</v>
      </c>
      <c r="S759" s="2" t="s">
        <v>6312</v>
      </c>
      <c r="T759" s="2" t="s">
        <v>6313</v>
      </c>
      <c r="U759" s="2" t="s">
        <v>56</v>
      </c>
      <c r="V759" s="2" t="n">
        <v>1</v>
      </c>
    </row>
    <row r="760">
      <c r="A760" s="2" t="n">
        <v>759</v>
      </c>
      <c r="B760" s="2" t="s">
        <v>8201</v>
      </c>
      <c r="C760" s="2" t="n">
        <v>497.272921588</v>
      </c>
      <c r="D760" s="2" t="n">
        <v>6.48359403172778</v>
      </c>
      <c r="E760" s="2" t="s">
        <v>8202</v>
      </c>
      <c r="F760" s="2" t="s">
        <v>24</v>
      </c>
      <c r="G760" s="2" t="s">
        <v>8203</v>
      </c>
      <c r="H760" s="2" t="s">
        <v>8204</v>
      </c>
      <c r="I760" s="2" t="s">
        <v>8205</v>
      </c>
      <c r="J760" s="2" t="s">
        <v>29</v>
      </c>
      <c r="K760" s="2" t="s">
        <v>29</v>
      </c>
      <c r="L760" s="2" t="s">
        <v>29</v>
      </c>
      <c r="M760" s="2" t="s">
        <v>29</v>
      </c>
      <c r="N760" s="2" t="s">
        <v>8206</v>
      </c>
      <c r="O760" s="2" t="s">
        <v>29</v>
      </c>
      <c r="P760" s="2" t="s">
        <v>8207</v>
      </c>
      <c r="Q760" s="2" t="s">
        <v>8208</v>
      </c>
      <c r="R760" s="2" t="s">
        <v>36</v>
      </c>
      <c r="S760" s="2" t="s">
        <v>37</v>
      </c>
      <c r="T760" s="2" t="s">
        <v>69</v>
      </c>
      <c r="U760" s="2" t="s">
        <v>29</v>
      </c>
      <c r="V760" s="2" t="n">
        <v>1</v>
      </c>
    </row>
    <row r="761">
      <c r="A761" s="2" t="n">
        <v>760</v>
      </c>
      <c r="B761" s="2" t="s">
        <v>8209</v>
      </c>
      <c r="C761" s="2" t="n">
        <v>498.054289713</v>
      </c>
      <c r="D761" s="2" t="n">
        <v>0.0631125946905128</v>
      </c>
      <c r="E761" s="2" t="s">
        <v>8210</v>
      </c>
      <c r="F761" s="2" t="s">
        <v>218</v>
      </c>
      <c r="G761" s="2" t="s">
        <v>8211</v>
      </c>
      <c r="H761" s="2" t="s">
        <v>8212</v>
      </c>
      <c r="I761" s="2" t="s">
        <v>8213</v>
      </c>
      <c r="J761" s="2" t="s">
        <v>8214</v>
      </c>
      <c r="K761" s="2" t="s">
        <v>29</v>
      </c>
      <c r="L761" s="2" t="s">
        <v>29</v>
      </c>
      <c r="M761" s="2" t="s">
        <v>29</v>
      </c>
      <c r="N761" s="2" t="s">
        <v>8215</v>
      </c>
      <c r="O761" s="2" t="s">
        <v>29</v>
      </c>
      <c r="P761" s="2" t="s">
        <v>8216</v>
      </c>
      <c r="Q761" s="2" t="s">
        <v>8217</v>
      </c>
      <c r="R761" s="2" t="s">
        <v>114</v>
      </c>
      <c r="S761" s="2" t="s">
        <v>2057</v>
      </c>
      <c r="T761" s="2" t="s">
        <v>3625</v>
      </c>
      <c r="U761" s="2" t="s">
        <v>29</v>
      </c>
      <c r="V761" s="2" t="n">
        <v>1</v>
      </c>
    </row>
    <row r="762">
      <c r="A762" s="2" t="n">
        <v>761</v>
      </c>
      <c r="B762" s="2" t="s">
        <v>8218</v>
      </c>
      <c r="C762" s="2" t="n">
        <v>498.290915755</v>
      </c>
      <c r="D762" s="2" t="n">
        <v>0.633235148749549</v>
      </c>
      <c r="E762" s="2" t="s">
        <v>8219</v>
      </c>
      <c r="F762" s="2" t="s">
        <v>531</v>
      </c>
      <c r="G762" s="2" t="s">
        <v>8220</v>
      </c>
      <c r="H762" s="2" t="s">
        <v>8221</v>
      </c>
      <c r="I762" s="2" t="s">
        <v>8222</v>
      </c>
      <c r="J762" s="2" t="s">
        <v>8223</v>
      </c>
      <c r="K762" s="2" t="s">
        <v>29</v>
      </c>
      <c r="L762" s="2" t="s">
        <v>8224</v>
      </c>
      <c r="M762" s="2" t="s">
        <v>29</v>
      </c>
      <c r="N762" s="2" t="s">
        <v>8225</v>
      </c>
      <c r="O762" s="2" t="s">
        <v>8226</v>
      </c>
      <c r="P762" s="2" t="s">
        <v>8227</v>
      </c>
      <c r="Q762" s="2" t="s">
        <v>8228</v>
      </c>
      <c r="R762" s="2" t="s">
        <v>129</v>
      </c>
      <c r="S762" s="2" t="s">
        <v>130</v>
      </c>
      <c r="T762" s="2" t="s">
        <v>1681</v>
      </c>
      <c r="U762" s="2" t="s">
        <v>56</v>
      </c>
      <c r="V762" s="2" t="n">
        <v>1</v>
      </c>
    </row>
    <row r="763">
      <c r="A763" s="2" t="n">
        <v>762</v>
      </c>
      <c r="B763" s="2" t="s">
        <v>8229</v>
      </c>
      <c r="C763" s="2" t="n">
        <v>499.299805052</v>
      </c>
      <c r="D763" s="2" t="n">
        <v>1.02162895409259</v>
      </c>
      <c r="E763" s="2" t="s">
        <v>8230</v>
      </c>
      <c r="F763" s="2" t="s">
        <v>24</v>
      </c>
      <c r="G763" s="2" t="s">
        <v>8231</v>
      </c>
      <c r="H763" s="2" t="s">
        <v>8232</v>
      </c>
      <c r="I763" s="2" t="s">
        <v>8233</v>
      </c>
      <c r="J763" s="2" t="s">
        <v>8234</v>
      </c>
      <c r="K763" s="2" t="s">
        <v>91</v>
      </c>
      <c r="L763" s="2" t="s">
        <v>91</v>
      </c>
      <c r="M763" s="2" t="s">
        <v>8235</v>
      </c>
      <c r="N763" s="2" t="s">
        <v>8236</v>
      </c>
      <c r="O763" s="2" t="s">
        <v>8237</v>
      </c>
      <c r="P763" s="2" t="s">
        <v>8238</v>
      </c>
      <c r="Q763" s="2" t="s">
        <v>8239</v>
      </c>
      <c r="R763" s="2" t="s">
        <v>144</v>
      </c>
      <c r="S763" s="2" t="s">
        <v>145</v>
      </c>
      <c r="T763" s="2" t="s">
        <v>146</v>
      </c>
      <c r="U763" s="2" t="s">
        <v>29</v>
      </c>
      <c r="V763" s="2" t="n">
        <v>2</v>
      </c>
    </row>
    <row r="764">
      <c r="A764" s="2" t="n">
        <v>763</v>
      </c>
      <c r="B764" s="2" t="s">
        <v>8240</v>
      </c>
      <c r="C764" s="2" t="n">
        <v>500.284004043</v>
      </c>
      <c r="D764" s="2" t="n">
        <v>2.37792399804672</v>
      </c>
      <c r="E764" s="2" t="s">
        <v>8241</v>
      </c>
      <c r="F764" s="2" t="s">
        <v>24</v>
      </c>
      <c r="G764" s="2" t="s">
        <v>8242</v>
      </c>
      <c r="H764" s="2" t="s">
        <v>8243</v>
      </c>
      <c r="I764" s="2" t="s">
        <v>8244</v>
      </c>
      <c r="J764" s="2" t="s">
        <v>8245</v>
      </c>
      <c r="K764" s="2" t="s">
        <v>29</v>
      </c>
      <c r="L764" s="2" t="s">
        <v>29</v>
      </c>
      <c r="M764" s="2" t="s">
        <v>29</v>
      </c>
      <c r="N764" s="2" t="s">
        <v>8246</v>
      </c>
      <c r="O764" s="2" t="s">
        <v>29</v>
      </c>
      <c r="P764" s="2" t="s">
        <v>8247</v>
      </c>
      <c r="Q764" s="2" t="s">
        <v>8248</v>
      </c>
      <c r="R764" s="2" t="s">
        <v>794</v>
      </c>
      <c r="S764" s="2" t="s">
        <v>1098</v>
      </c>
      <c r="T764" s="2" t="s">
        <v>1099</v>
      </c>
      <c r="U764" s="2" t="s">
        <v>29</v>
      </c>
      <c r="V764" s="2" t="n">
        <v>1</v>
      </c>
    </row>
    <row r="765">
      <c r="A765" s="2" t="n">
        <v>764</v>
      </c>
      <c r="B765" s="2" t="s">
        <v>8249</v>
      </c>
      <c r="C765" s="2" t="n">
        <v>501.297006776</v>
      </c>
      <c r="D765" s="2" t="n">
        <v>4.97818024585228</v>
      </c>
      <c r="E765" s="2" t="s">
        <v>8250</v>
      </c>
      <c r="F765" s="2" t="s">
        <v>205</v>
      </c>
      <c r="G765" s="2" t="s">
        <v>8251</v>
      </c>
      <c r="H765" s="2" t="s">
        <v>8252</v>
      </c>
      <c r="I765" s="2" t="s">
        <v>8253</v>
      </c>
      <c r="J765" s="2" t="s">
        <v>29</v>
      </c>
      <c r="K765" s="2" t="s">
        <v>29</v>
      </c>
      <c r="L765" s="2" t="s">
        <v>29</v>
      </c>
      <c r="M765" s="2" t="s">
        <v>29</v>
      </c>
      <c r="N765" s="2" t="s">
        <v>29</v>
      </c>
      <c r="O765" s="2" t="s">
        <v>29</v>
      </c>
      <c r="P765" s="2" t="s">
        <v>8254</v>
      </c>
      <c r="Q765" s="2" t="s">
        <v>8255</v>
      </c>
      <c r="R765" s="2" t="s">
        <v>36</v>
      </c>
      <c r="S765" s="2" t="s">
        <v>37</v>
      </c>
      <c r="T765" s="2" t="s">
        <v>69</v>
      </c>
      <c r="U765" s="2" t="s">
        <v>29</v>
      </c>
      <c r="V765" s="2" t="n">
        <v>1</v>
      </c>
    </row>
    <row r="766">
      <c r="A766" s="2" t="n">
        <v>765</v>
      </c>
      <c r="B766" s="2" t="s">
        <v>8256</v>
      </c>
      <c r="C766" s="2" t="n">
        <v>502.228529807</v>
      </c>
      <c r="D766" s="2" t="n">
        <v>2.50661694362996</v>
      </c>
      <c r="E766" s="2" t="s">
        <v>8257</v>
      </c>
      <c r="F766" s="2" t="s">
        <v>86</v>
      </c>
      <c r="G766" s="2" t="s">
        <v>8258</v>
      </c>
      <c r="H766" s="2" t="s">
        <v>8259</v>
      </c>
      <c r="I766" s="2" t="s">
        <v>8260</v>
      </c>
      <c r="J766" s="2" t="s">
        <v>8261</v>
      </c>
      <c r="K766" s="2" t="s">
        <v>29</v>
      </c>
      <c r="L766" s="2" t="s">
        <v>8262</v>
      </c>
      <c r="M766" s="2" t="s">
        <v>8263</v>
      </c>
      <c r="N766" s="2" t="s">
        <v>8264</v>
      </c>
      <c r="O766" s="2" t="s">
        <v>8265</v>
      </c>
      <c r="P766" s="2" t="s">
        <v>8266</v>
      </c>
      <c r="Q766" s="2" t="s">
        <v>8267</v>
      </c>
      <c r="R766" s="2" t="s">
        <v>129</v>
      </c>
      <c r="S766" s="2" t="s">
        <v>130</v>
      </c>
      <c r="T766" s="2" t="s">
        <v>1681</v>
      </c>
      <c r="U766" s="2" t="s">
        <v>56</v>
      </c>
      <c r="V766" s="2" t="n">
        <v>1</v>
      </c>
    </row>
    <row r="767">
      <c r="A767" s="2" t="n">
        <v>766</v>
      </c>
      <c r="B767" s="2" t="s">
        <v>8268</v>
      </c>
      <c r="C767" s="2" t="n">
        <v>503.241720256</v>
      </c>
      <c r="D767" s="2" t="n">
        <v>0.866414568745034</v>
      </c>
      <c r="E767" s="2" t="s">
        <v>8269</v>
      </c>
      <c r="F767" s="2" t="s">
        <v>86</v>
      </c>
      <c r="G767" s="2" t="s">
        <v>8270</v>
      </c>
      <c r="H767" s="2" t="s">
        <v>8271</v>
      </c>
      <c r="I767" s="2" t="s">
        <v>8272</v>
      </c>
      <c r="J767" s="2" t="s">
        <v>8273</v>
      </c>
      <c r="K767" s="2" t="s">
        <v>195</v>
      </c>
      <c r="L767" s="2" t="s">
        <v>195</v>
      </c>
      <c r="M767" s="2" t="s">
        <v>8274</v>
      </c>
      <c r="N767" s="2" t="s">
        <v>8275</v>
      </c>
      <c r="O767" s="2" t="s">
        <v>8276</v>
      </c>
      <c r="P767" s="2" t="s">
        <v>8277</v>
      </c>
      <c r="Q767" s="2" t="s">
        <v>8278</v>
      </c>
      <c r="R767" s="2" t="s">
        <v>255</v>
      </c>
      <c r="S767" s="2" t="s">
        <v>6877</v>
      </c>
      <c r="T767" s="2" t="s">
        <v>8279</v>
      </c>
      <c r="U767" s="2" t="s">
        <v>56</v>
      </c>
      <c r="V767" s="2" t="n">
        <v>3</v>
      </c>
    </row>
    <row r="768">
      <c r="A768" s="2" t="n">
        <v>767</v>
      </c>
      <c r="B768" s="2" t="s">
        <v>8280</v>
      </c>
      <c r="C768" s="2" t="n">
        <v>504.180791749</v>
      </c>
      <c r="D768" s="2" t="n">
        <v>9.63969094279616</v>
      </c>
      <c r="E768" s="2" t="s">
        <v>8281</v>
      </c>
      <c r="F768" s="2" t="s">
        <v>86</v>
      </c>
      <c r="G768" s="2" t="s">
        <v>8282</v>
      </c>
      <c r="H768" s="2" t="s">
        <v>8283</v>
      </c>
      <c r="I768" s="2" t="s">
        <v>8284</v>
      </c>
      <c r="J768" s="2" t="s">
        <v>29</v>
      </c>
      <c r="K768" s="2" t="s">
        <v>29</v>
      </c>
      <c r="L768" s="2" t="s">
        <v>29</v>
      </c>
      <c r="M768" s="2" t="s">
        <v>8285</v>
      </c>
      <c r="N768" s="2" t="s">
        <v>8286</v>
      </c>
      <c r="O768" s="2" t="s">
        <v>29</v>
      </c>
      <c r="P768" s="2" t="s">
        <v>8287</v>
      </c>
      <c r="Q768" s="2" t="s">
        <v>8288</v>
      </c>
      <c r="R768" s="2" t="s">
        <v>114</v>
      </c>
      <c r="S768" s="2" t="s">
        <v>1254</v>
      </c>
      <c r="T768" s="2" t="s">
        <v>1255</v>
      </c>
      <c r="U768" s="2" t="s">
        <v>29</v>
      </c>
      <c r="V768" s="2" t="n">
        <v>1</v>
      </c>
    </row>
    <row r="769">
      <c r="A769" s="2" t="n">
        <v>768</v>
      </c>
      <c r="B769" s="2" t="s">
        <v>8289</v>
      </c>
      <c r="C769" s="2" t="n">
        <v>504.324934822</v>
      </c>
      <c r="D769" s="2" t="n">
        <v>9.00702488525332</v>
      </c>
      <c r="E769" s="2" t="s">
        <v>8290</v>
      </c>
      <c r="F769" s="2" t="s">
        <v>218</v>
      </c>
      <c r="G769" s="2" t="s">
        <v>8291</v>
      </c>
      <c r="H769" s="2" t="s">
        <v>8292</v>
      </c>
      <c r="I769" s="2" t="s">
        <v>8293</v>
      </c>
      <c r="J769" s="2" t="s">
        <v>29</v>
      </c>
      <c r="K769" s="2" t="s">
        <v>29</v>
      </c>
      <c r="L769" s="2" t="s">
        <v>29</v>
      </c>
      <c r="M769" s="2" t="s">
        <v>29</v>
      </c>
      <c r="N769" s="2" t="s">
        <v>8294</v>
      </c>
      <c r="O769" s="2" t="s">
        <v>29</v>
      </c>
      <c r="P769" s="2" t="s">
        <v>8295</v>
      </c>
      <c r="Q769" s="2" t="s">
        <v>8296</v>
      </c>
      <c r="R769" s="2" t="s">
        <v>186</v>
      </c>
      <c r="S769" s="2" t="s">
        <v>187</v>
      </c>
      <c r="T769" s="2" t="s">
        <v>1895</v>
      </c>
      <c r="U769" s="2" t="s">
        <v>29</v>
      </c>
      <c r="V769" s="2" t="n">
        <v>1</v>
      </c>
    </row>
    <row r="770">
      <c r="A770" s="2" t="n">
        <v>769</v>
      </c>
      <c r="B770" s="2" t="s">
        <v>8297</v>
      </c>
      <c r="C770" s="2" t="n">
        <v>507.299448349</v>
      </c>
      <c r="D770" s="2" t="n">
        <v>0.0606028475188152</v>
      </c>
      <c r="E770" s="2" t="s">
        <v>8298</v>
      </c>
      <c r="F770" s="2" t="s">
        <v>218</v>
      </c>
      <c r="G770" s="2" t="s">
        <v>8299</v>
      </c>
      <c r="H770" s="2" t="s">
        <v>8300</v>
      </c>
      <c r="I770" s="2" t="s">
        <v>8301</v>
      </c>
      <c r="J770" s="2" t="s">
        <v>29</v>
      </c>
      <c r="K770" s="2" t="s">
        <v>29</v>
      </c>
      <c r="L770" s="2" t="s">
        <v>29</v>
      </c>
      <c r="M770" s="2" t="s">
        <v>29</v>
      </c>
      <c r="N770" s="2" t="s">
        <v>8302</v>
      </c>
      <c r="O770" s="2" t="s">
        <v>29</v>
      </c>
      <c r="P770" s="2" t="s">
        <v>8303</v>
      </c>
      <c r="Q770" s="2" t="s">
        <v>8304</v>
      </c>
      <c r="R770" s="2" t="s">
        <v>36</v>
      </c>
      <c r="S770" s="2" t="s">
        <v>37</v>
      </c>
      <c r="T770" s="2" t="s">
        <v>69</v>
      </c>
      <c r="U770" s="2" t="s">
        <v>29</v>
      </c>
      <c r="V770" s="2" t="n">
        <v>1</v>
      </c>
    </row>
    <row r="771">
      <c r="A771" s="2" t="n">
        <v>770</v>
      </c>
      <c r="B771" s="2" t="s">
        <v>8305</v>
      </c>
      <c r="C771" s="2" t="n">
        <v>509.311988137</v>
      </c>
      <c r="D771" s="2" t="n">
        <v>7.29112718580889</v>
      </c>
      <c r="E771" s="2" t="s">
        <v>8306</v>
      </c>
      <c r="F771" s="2" t="s">
        <v>205</v>
      </c>
      <c r="G771" s="2" t="s">
        <v>8307</v>
      </c>
      <c r="H771" s="2" t="s">
        <v>8308</v>
      </c>
      <c r="I771" s="2" t="s">
        <v>8309</v>
      </c>
      <c r="J771" s="2" t="s">
        <v>91</v>
      </c>
      <c r="K771" s="2" t="s">
        <v>91</v>
      </c>
      <c r="L771" s="2" t="s">
        <v>91</v>
      </c>
      <c r="M771" s="2" t="s">
        <v>91</v>
      </c>
      <c r="N771" s="2" t="s">
        <v>8310</v>
      </c>
      <c r="O771" s="2" t="s">
        <v>91</v>
      </c>
      <c r="P771" s="2" t="s">
        <v>8311</v>
      </c>
      <c r="Q771" s="2" t="s">
        <v>8312</v>
      </c>
      <c r="R771" s="2" t="s">
        <v>412</v>
      </c>
      <c r="S771" s="2" t="s">
        <v>6265</v>
      </c>
      <c r="T771" s="2" t="s">
        <v>8313</v>
      </c>
      <c r="U771" s="2" t="s">
        <v>29</v>
      </c>
      <c r="V771" s="2" t="n">
        <v>2</v>
      </c>
    </row>
    <row r="772">
      <c r="A772" s="2" t="n">
        <v>771</v>
      </c>
      <c r="B772" s="2" t="s">
        <v>8314</v>
      </c>
      <c r="C772" s="2" t="n">
        <v>510.257509</v>
      </c>
      <c r="D772" s="2" t="n">
        <v>3.72874329057372</v>
      </c>
      <c r="E772" s="2" t="s">
        <v>8315</v>
      </c>
      <c r="F772" s="2" t="s">
        <v>161</v>
      </c>
      <c r="G772" s="2" t="s">
        <v>8316</v>
      </c>
      <c r="H772" s="2" t="s">
        <v>8317</v>
      </c>
      <c r="I772" s="2" t="s">
        <v>8318</v>
      </c>
      <c r="J772" s="2" t="s">
        <v>29</v>
      </c>
      <c r="K772" s="2" t="s">
        <v>29</v>
      </c>
      <c r="L772" s="2" t="s">
        <v>29</v>
      </c>
      <c r="M772" s="2" t="s">
        <v>29</v>
      </c>
      <c r="N772" s="2" t="s">
        <v>8319</v>
      </c>
      <c r="O772" s="2" t="s">
        <v>29</v>
      </c>
      <c r="P772" s="2" t="s">
        <v>8320</v>
      </c>
      <c r="Q772" s="2" t="s">
        <v>8321</v>
      </c>
      <c r="R772" s="2" t="s">
        <v>129</v>
      </c>
      <c r="S772" s="2" t="s">
        <v>130</v>
      </c>
      <c r="T772" s="2" t="s">
        <v>131</v>
      </c>
      <c r="U772" s="2" t="s">
        <v>29</v>
      </c>
      <c r="V772" s="2" t="n">
        <v>1</v>
      </c>
    </row>
    <row r="773">
      <c r="A773" s="2" t="n">
        <v>772</v>
      </c>
      <c r="B773" s="2" t="s">
        <v>8322</v>
      </c>
      <c r="C773" s="2" t="n">
        <v>510.320124268</v>
      </c>
      <c r="D773" s="2" t="n">
        <v>1.37322210204699</v>
      </c>
      <c r="E773" s="2" t="s">
        <v>8323</v>
      </c>
      <c r="F773" s="2" t="s">
        <v>205</v>
      </c>
      <c r="G773" s="2" t="s">
        <v>8324</v>
      </c>
      <c r="H773" s="2" t="s">
        <v>8325</v>
      </c>
      <c r="I773" s="2" t="s">
        <v>8326</v>
      </c>
      <c r="J773" s="2" t="s">
        <v>8327</v>
      </c>
      <c r="K773" s="2" t="s">
        <v>8328</v>
      </c>
      <c r="L773" s="2" t="s">
        <v>29</v>
      </c>
      <c r="M773" s="2" t="s">
        <v>8329</v>
      </c>
      <c r="N773" s="2" t="s">
        <v>8330</v>
      </c>
      <c r="O773" s="2" t="s">
        <v>8331</v>
      </c>
      <c r="P773" s="2" t="s">
        <v>8332</v>
      </c>
      <c r="Q773" s="2" t="s">
        <v>8333</v>
      </c>
      <c r="R773" s="2" t="s">
        <v>794</v>
      </c>
      <c r="S773" s="2" t="s">
        <v>7122</v>
      </c>
      <c r="T773" s="2" t="s">
        <v>8042</v>
      </c>
      <c r="U773" s="2" t="s">
        <v>29</v>
      </c>
      <c r="V773" s="2" t="n">
        <v>1</v>
      </c>
    </row>
    <row r="774">
      <c r="A774" s="2" t="n">
        <v>773</v>
      </c>
      <c r="B774" s="2" t="s">
        <v>8334</v>
      </c>
      <c r="C774" s="2" t="n">
        <v>512.091524764</v>
      </c>
      <c r="D774" s="2" t="n">
        <v>5.91165217274176</v>
      </c>
      <c r="E774" s="2" t="s">
        <v>8335</v>
      </c>
      <c r="F774" s="2" t="s">
        <v>205</v>
      </c>
      <c r="G774" s="2" t="s">
        <v>8336</v>
      </c>
      <c r="H774" s="2" t="s">
        <v>8337</v>
      </c>
      <c r="I774" s="2" t="s">
        <v>8338</v>
      </c>
      <c r="J774" s="2" t="s">
        <v>29</v>
      </c>
      <c r="K774" s="2" t="s">
        <v>29</v>
      </c>
      <c r="L774" s="2" t="s">
        <v>29</v>
      </c>
      <c r="M774" s="2" t="s">
        <v>29</v>
      </c>
      <c r="N774" s="2" t="s">
        <v>8339</v>
      </c>
      <c r="O774" s="2" t="s">
        <v>29</v>
      </c>
      <c r="P774" s="2" t="s">
        <v>8340</v>
      </c>
      <c r="Q774" s="2" t="s">
        <v>8341</v>
      </c>
      <c r="R774" s="2" t="s">
        <v>36</v>
      </c>
      <c r="S774" s="2" t="s">
        <v>37</v>
      </c>
      <c r="T774" s="2" t="s">
        <v>69</v>
      </c>
      <c r="U774" s="2" t="s">
        <v>29</v>
      </c>
      <c r="V774" s="2" t="n">
        <v>1</v>
      </c>
    </row>
    <row r="775">
      <c r="A775" s="2" t="n">
        <v>774</v>
      </c>
      <c r="B775" s="2" t="s">
        <v>8342</v>
      </c>
      <c r="C775" s="2" t="n">
        <v>512.278225804</v>
      </c>
      <c r="D775" s="2" t="n">
        <v>5.49109022842488</v>
      </c>
      <c r="E775" s="2" t="s">
        <v>8343</v>
      </c>
      <c r="F775" s="2" t="s">
        <v>531</v>
      </c>
      <c r="G775" s="2" t="s">
        <v>8344</v>
      </c>
      <c r="H775" s="2" t="s">
        <v>8345</v>
      </c>
      <c r="I775" s="2" t="s">
        <v>8346</v>
      </c>
      <c r="J775" s="2" t="s">
        <v>29</v>
      </c>
      <c r="K775" s="2" t="s">
        <v>29</v>
      </c>
      <c r="L775" s="2" t="s">
        <v>29</v>
      </c>
      <c r="M775" s="2" t="s">
        <v>29</v>
      </c>
      <c r="N775" s="2" t="s">
        <v>8347</v>
      </c>
      <c r="O775" s="2" t="s">
        <v>29</v>
      </c>
      <c r="P775" s="2" t="s">
        <v>8348</v>
      </c>
      <c r="Q775" s="2" t="s">
        <v>8349</v>
      </c>
      <c r="R775" s="2" t="s">
        <v>129</v>
      </c>
      <c r="S775" s="2" t="s">
        <v>130</v>
      </c>
      <c r="T775" s="2" t="s">
        <v>131</v>
      </c>
      <c r="U775" s="2" t="s">
        <v>29</v>
      </c>
      <c r="V775" s="2" t="n">
        <v>1</v>
      </c>
    </row>
    <row r="776">
      <c r="A776" s="2" t="n">
        <v>775</v>
      </c>
      <c r="B776" s="2" t="s">
        <v>8350</v>
      </c>
      <c r="C776" s="2" t="n">
        <v>512.335740682</v>
      </c>
      <c r="D776" s="2" t="n">
        <v>6.8059829539869</v>
      </c>
      <c r="E776" s="2" t="s">
        <v>8351</v>
      </c>
      <c r="F776" s="2" t="s">
        <v>531</v>
      </c>
      <c r="G776" s="2" t="s">
        <v>8352</v>
      </c>
      <c r="H776" s="2" t="s">
        <v>8353</v>
      </c>
      <c r="I776" s="2" t="s">
        <v>8354</v>
      </c>
      <c r="J776" s="2" t="s">
        <v>195</v>
      </c>
      <c r="K776" s="2" t="s">
        <v>195</v>
      </c>
      <c r="L776" s="2" t="s">
        <v>195</v>
      </c>
      <c r="M776" s="2" t="s">
        <v>195</v>
      </c>
      <c r="N776" s="2" t="s">
        <v>195</v>
      </c>
      <c r="O776" s="2" t="s">
        <v>195</v>
      </c>
      <c r="P776" s="2" t="s">
        <v>8355</v>
      </c>
      <c r="Q776" s="2" t="s">
        <v>8356</v>
      </c>
      <c r="R776" s="2" t="s">
        <v>255</v>
      </c>
      <c r="S776" s="2" t="s">
        <v>256</v>
      </c>
      <c r="T776" s="2" t="s">
        <v>668</v>
      </c>
      <c r="U776" s="2" t="s">
        <v>29</v>
      </c>
      <c r="V776" s="2" t="n">
        <v>3</v>
      </c>
    </row>
    <row r="777">
      <c r="A777" s="2" t="n">
        <v>776</v>
      </c>
      <c r="B777" s="2" t="s">
        <v>8357</v>
      </c>
      <c r="C777" s="2" t="n">
        <v>513.340607226</v>
      </c>
      <c r="D777" s="2" t="n">
        <v>0.286346141904548</v>
      </c>
      <c r="E777" s="2" t="s">
        <v>8358</v>
      </c>
      <c r="F777" s="2" t="s">
        <v>683</v>
      </c>
      <c r="G777" s="2" t="s">
        <v>8359</v>
      </c>
      <c r="H777" s="2" t="s">
        <v>8360</v>
      </c>
      <c r="I777" s="2" t="s">
        <v>8361</v>
      </c>
      <c r="J777" s="2" t="s">
        <v>29</v>
      </c>
      <c r="K777" s="2" t="s">
        <v>29</v>
      </c>
      <c r="L777" s="2" t="s">
        <v>29</v>
      </c>
      <c r="M777" s="2" t="s">
        <v>29</v>
      </c>
      <c r="N777" s="2" t="s">
        <v>29</v>
      </c>
      <c r="O777" s="2" t="s">
        <v>29</v>
      </c>
      <c r="P777" s="2" t="s">
        <v>8362</v>
      </c>
      <c r="Q777" s="2" t="s">
        <v>8363</v>
      </c>
      <c r="R777" s="2" t="s">
        <v>36</v>
      </c>
      <c r="S777" s="2" t="s">
        <v>37</v>
      </c>
      <c r="T777" s="2" t="s">
        <v>69</v>
      </c>
      <c r="U777" s="2" t="s">
        <v>29</v>
      </c>
      <c r="V777" s="2" t="n">
        <v>1</v>
      </c>
    </row>
    <row r="778">
      <c r="A778" s="2" t="n">
        <v>777</v>
      </c>
      <c r="B778" s="2" t="s">
        <v>8364</v>
      </c>
      <c r="C778" s="2" t="n">
        <v>514.294090173</v>
      </c>
      <c r="D778" s="2" t="n">
        <v>8.9447317516379</v>
      </c>
      <c r="E778" s="2" t="s">
        <v>8365</v>
      </c>
      <c r="F778" s="2" t="s">
        <v>86</v>
      </c>
      <c r="G778" s="2" t="s">
        <v>8366</v>
      </c>
      <c r="H778" s="2" t="s">
        <v>8367</v>
      </c>
      <c r="I778" s="2" t="s">
        <v>8368</v>
      </c>
      <c r="J778" s="2" t="s">
        <v>195</v>
      </c>
      <c r="K778" s="2" t="s">
        <v>195</v>
      </c>
      <c r="L778" s="2" t="s">
        <v>195</v>
      </c>
      <c r="M778" s="2" t="s">
        <v>195</v>
      </c>
      <c r="N778" s="2" t="s">
        <v>195</v>
      </c>
      <c r="O778" s="2" t="s">
        <v>195</v>
      </c>
      <c r="P778" s="2" t="s">
        <v>8369</v>
      </c>
      <c r="Q778" s="2" t="s">
        <v>8370</v>
      </c>
      <c r="R778" s="2" t="s">
        <v>255</v>
      </c>
      <c r="S778" s="2" t="s">
        <v>256</v>
      </c>
      <c r="T778" s="2" t="s">
        <v>8371</v>
      </c>
      <c r="U778" s="2" t="s">
        <v>29</v>
      </c>
      <c r="V778" s="2" t="n">
        <v>3</v>
      </c>
    </row>
    <row r="779">
      <c r="A779" s="2" t="n">
        <v>778</v>
      </c>
      <c r="B779" s="2" t="s">
        <v>8372</v>
      </c>
      <c r="C779" s="2" t="n">
        <v>517.317077826</v>
      </c>
      <c r="D779" s="2" t="n">
        <v>0.763816197364488</v>
      </c>
      <c r="E779" s="2" t="s">
        <v>8373</v>
      </c>
      <c r="F779" s="2" t="s">
        <v>24</v>
      </c>
      <c r="G779" s="2" t="s">
        <v>8374</v>
      </c>
      <c r="H779" s="2" t="s">
        <v>8375</v>
      </c>
      <c r="I779" s="2" t="s">
        <v>8376</v>
      </c>
      <c r="J779" s="2" t="s">
        <v>8377</v>
      </c>
      <c r="K779" s="2" t="s">
        <v>195</v>
      </c>
      <c r="L779" s="2" t="s">
        <v>195</v>
      </c>
      <c r="M779" s="2" t="s">
        <v>195</v>
      </c>
      <c r="N779" s="2" t="s">
        <v>8378</v>
      </c>
      <c r="O779" s="2" t="s">
        <v>8379</v>
      </c>
      <c r="P779" s="2" t="s">
        <v>8380</v>
      </c>
      <c r="Q779" s="2" t="s">
        <v>8381</v>
      </c>
      <c r="R779" s="2" t="s">
        <v>255</v>
      </c>
      <c r="S779" s="2" t="s">
        <v>7702</v>
      </c>
      <c r="T779" s="2" t="s">
        <v>8382</v>
      </c>
      <c r="U779" s="2" t="s">
        <v>56</v>
      </c>
      <c r="V779" s="2" t="n">
        <v>3</v>
      </c>
    </row>
    <row r="780">
      <c r="A780" s="2" t="n">
        <v>779</v>
      </c>
      <c r="B780" s="2" t="s">
        <v>8383</v>
      </c>
      <c r="C780" s="2" t="n">
        <v>523.299805052</v>
      </c>
      <c r="D780" s="2" t="n">
        <v>3.27817088258172</v>
      </c>
      <c r="E780" s="2" t="s">
        <v>8384</v>
      </c>
      <c r="F780" s="2" t="s">
        <v>24</v>
      </c>
      <c r="G780" s="2" t="s">
        <v>8385</v>
      </c>
      <c r="H780" s="2" t="s">
        <v>8386</v>
      </c>
      <c r="I780" s="2" t="s">
        <v>8387</v>
      </c>
      <c r="J780" s="2" t="s">
        <v>8388</v>
      </c>
      <c r="K780" s="2" t="s">
        <v>29</v>
      </c>
      <c r="L780" s="2" t="s">
        <v>29</v>
      </c>
      <c r="M780" s="2" t="s">
        <v>29</v>
      </c>
      <c r="N780" s="2" t="s">
        <v>8389</v>
      </c>
      <c r="O780" s="2" t="s">
        <v>8390</v>
      </c>
      <c r="P780" s="2" t="s">
        <v>8391</v>
      </c>
      <c r="Q780" s="2" t="s">
        <v>8392</v>
      </c>
      <c r="R780" s="2" t="s">
        <v>36</v>
      </c>
      <c r="S780" s="2" t="s">
        <v>37</v>
      </c>
      <c r="T780" s="2" t="s">
        <v>69</v>
      </c>
      <c r="U780" s="2" t="s">
        <v>29</v>
      </c>
      <c r="V780" s="2" t="n">
        <v>1</v>
      </c>
    </row>
    <row r="781">
      <c r="A781" s="2" t="n">
        <v>780</v>
      </c>
      <c r="B781" s="2" t="s">
        <v>8393</v>
      </c>
      <c r="C781" s="2" t="n">
        <v>524.285650745</v>
      </c>
      <c r="D781" s="2" t="n">
        <v>1.33193049761442</v>
      </c>
      <c r="E781" s="2" t="s">
        <v>8394</v>
      </c>
      <c r="F781" s="2" t="s">
        <v>86</v>
      </c>
      <c r="G781" s="2" t="s">
        <v>8395</v>
      </c>
      <c r="H781" s="2" t="s">
        <v>8396</v>
      </c>
      <c r="I781" s="2" t="s">
        <v>8397</v>
      </c>
      <c r="J781" s="2" t="s">
        <v>29</v>
      </c>
      <c r="K781" s="2" t="s">
        <v>29</v>
      </c>
      <c r="L781" s="2" t="s">
        <v>29</v>
      </c>
      <c r="M781" s="2" t="s">
        <v>29</v>
      </c>
      <c r="N781" s="2" t="s">
        <v>8398</v>
      </c>
      <c r="O781" s="2" t="s">
        <v>29</v>
      </c>
      <c r="P781" s="2" t="s">
        <v>8399</v>
      </c>
      <c r="Q781" s="2" t="s">
        <v>8400</v>
      </c>
      <c r="R781" s="2" t="s">
        <v>129</v>
      </c>
      <c r="S781" s="2" t="s">
        <v>130</v>
      </c>
      <c r="T781" s="2" t="s">
        <v>1681</v>
      </c>
      <c r="U781" s="2" t="s">
        <v>29</v>
      </c>
      <c r="V781" s="2" t="n">
        <v>1</v>
      </c>
    </row>
    <row r="782">
      <c r="A782" s="2" t="n">
        <v>781</v>
      </c>
      <c r="B782" s="2" t="s">
        <v>8401</v>
      </c>
      <c r="C782" s="2" t="n">
        <v>524.9593331</v>
      </c>
      <c r="D782" s="2" t="n">
        <v>8.96852037384374</v>
      </c>
      <c r="E782" s="2" t="s">
        <v>8402</v>
      </c>
      <c r="F782" s="2" t="s">
        <v>86</v>
      </c>
      <c r="G782" s="2" t="s">
        <v>8403</v>
      </c>
      <c r="H782" s="2" t="s">
        <v>8404</v>
      </c>
      <c r="I782" s="2" t="s">
        <v>8405</v>
      </c>
      <c r="J782" s="2" t="s">
        <v>29</v>
      </c>
      <c r="K782" s="2" t="s">
        <v>29</v>
      </c>
      <c r="L782" s="2" t="s">
        <v>29</v>
      </c>
      <c r="M782" s="2" t="s">
        <v>29</v>
      </c>
      <c r="N782" s="2" t="s">
        <v>8406</v>
      </c>
      <c r="O782" s="2" t="s">
        <v>29</v>
      </c>
      <c r="P782" s="2" t="s">
        <v>8407</v>
      </c>
      <c r="Q782" s="2" t="s">
        <v>8408</v>
      </c>
      <c r="R782" s="2" t="s">
        <v>186</v>
      </c>
      <c r="S782" s="2" t="s">
        <v>187</v>
      </c>
      <c r="T782" s="2" t="s">
        <v>8409</v>
      </c>
      <c r="U782" s="2" t="s">
        <v>29</v>
      </c>
      <c r="V782" s="2" t="n">
        <v>1</v>
      </c>
    </row>
    <row r="783">
      <c r="A783" s="2" t="n">
        <v>782</v>
      </c>
      <c r="B783" s="2" t="s">
        <v>8410</v>
      </c>
      <c r="C783" s="2" t="n">
        <v>525.305990282</v>
      </c>
      <c r="D783" s="2" t="n">
        <v>1.74262382943641</v>
      </c>
      <c r="E783" s="2" t="s">
        <v>8411</v>
      </c>
      <c r="F783" s="2" t="s">
        <v>218</v>
      </c>
      <c r="G783" s="2" t="s">
        <v>8412</v>
      </c>
      <c r="H783" s="2" t="s">
        <v>8413</v>
      </c>
      <c r="I783" s="2" t="s">
        <v>8414</v>
      </c>
      <c r="J783" s="2" t="s">
        <v>29</v>
      </c>
      <c r="K783" s="2" t="s">
        <v>29</v>
      </c>
      <c r="L783" s="2" t="s">
        <v>29</v>
      </c>
      <c r="M783" s="2" t="s">
        <v>29</v>
      </c>
      <c r="N783" s="2" t="s">
        <v>29</v>
      </c>
      <c r="O783" s="2" t="s">
        <v>29</v>
      </c>
      <c r="P783" s="2" t="s">
        <v>8415</v>
      </c>
      <c r="Q783" s="2" t="s">
        <v>8416</v>
      </c>
      <c r="R783" s="2" t="s">
        <v>601</v>
      </c>
      <c r="S783" s="2" t="s">
        <v>602</v>
      </c>
      <c r="T783" s="2" t="s">
        <v>1800</v>
      </c>
      <c r="U783" s="2" t="s">
        <v>29</v>
      </c>
      <c r="V783" s="2" t="n">
        <v>1</v>
      </c>
    </row>
    <row r="784">
      <c r="A784" s="2" t="n">
        <v>783</v>
      </c>
      <c r="B784" s="2" t="s">
        <v>8417</v>
      </c>
      <c r="C784" s="2" t="n">
        <v>526.299749097</v>
      </c>
      <c r="D784" s="2" t="n">
        <v>0.584882198062987</v>
      </c>
      <c r="E784" s="2" t="s">
        <v>8418</v>
      </c>
      <c r="F784" s="2" t="s">
        <v>531</v>
      </c>
      <c r="G784" s="2" t="s">
        <v>8419</v>
      </c>
      <c r="H784" s="2" t="s">
        <v>8420</v>
      </c>
      <c r="I784" s="2" t="s">
        <v>8421</v>
      </c>
      <c r="J784" s="2" t="s">
        <v>29</v>
      </c>
      <c r="K784" s="2" t="s">
        <v>29</v>
      </c>
      <c r="L784" s="2" t="s">
        <v>29</v>
      </c>
      <c r="M784" s="2" t="s">
        <v>29</v>
      </c>
      <c r="N784" s="2" t="s">
        <v>29</v>
      </c>
      <c r="O784" s="2" t="s">
        <v>29</v>
      </c>
      <c r="P784" s="2" t="s">
        <v>8422</v>
      </c>
      <c r="Q784" s="2" t="s">
        <v>8423</v>
      </c>
      <c r="R784" s="2" t="s">
        <v>794</v>
      </c>
      <c r="S784" s="2" t="s">
        <v>795</v>
      </c>
      <c r="T784" s="2" t="s">
        <v>8424</v>
      </c>
      <c r="U784" s="2" t="s">
        <v>29</v>
      </c>
      <c r="V784" s="2" t="n">
        <v>1</v>
      </c>
    </row>
    <row r="785">
      <c r="A785" s="2" t="n">
        <v>784</v>
      </c>
      <c r="B785" s="2" t="s">
        <v>8425</v>
      </c>
      <c r="C785" s="2" t="n">
        <v>528.276511727</v>
      </c>
      <c r="D785" s="2" t="n">
        <v>7.38457460734458</v>
      </c>
      <c r="E785" s="2" t="s">
        <v>8426</v>
      </c>
      <c r="F785" s="2" t="s">
        <v>531</v>
      </c>
      <c r="G785" s="2" t="s">
        <v>8427</v>
      </c>
      <c r="H785" s="2" t="s">
        <v>8428</v>
      </c>
      <c r="I785" s="2" t="s">
        <v>8429</v>
      </c>
      <c r="J785" s="2" t="s">
        <v>29</v>
      </c>
      <c r="K785" s="2" t="s">
        <v>29</v>
      </c>
      <c r="L785" s="2" t="s">
        <v>29</v>
      </c>
      <c r="M785" s="2" t="s">
        <v>29</v>
      </c>
      <c r="N785" s="2" t="s">
        <v>8430</v>
      </c>
      <c r="O785" s="2" t="s">
        <v>29</v>
      </c>
      <c r="P785" s="2" t="s">
        <v>8431</v>
      </c>
      <c r="Q785" s="2" t="s">
        <v>8432</v>
      </c>
      <c r="R785" s="2" t="s">
        <v>794</v>
      </c>
      <c r="S785" s="2" t="s">
        <v>1098</v>
      </c>
      <c r="T785" s="2" t="s">
        <v>4662</v>
      </c>
      <c r="U785" s="2" t="s">
        <v>29</v>
      </c>
      <c r="V785" s="2" t="n">
        <v>1</v>
      </c>
    </row>
    <row r="786">
      <c r="A786" s="2" t="n">
        <v>785</v>
      </c>
      <c r="B786" s="2" t="s">
        <v>8433</v>
      </c>
      <c r="C786" s="2" t="n">
        <v>529.303159096</v>
      </c>
      <c r="D786" s="2" t="n">
        <v>7.68020060010603</v>
      </c>
      <c r="E786" s="2" t="s">
        <v>8434</v>
      </c>
      <c r="F786" s="2" t="s">
        <v>24</v>
      </c>
      <c r="G786" s="2" t="s">
        <v>8435</v>
      </c>
      <c r="H786" s="2" t="s">
        <v>8436</v>
      </c>
      <c r="I786" s="2" t="s">
        <v>8437</v>
      </c>
      <c r="J786" s="2" t="s">
        <v>8438</v>
      </c>
      <c r="K786" s="2" t="s">
        <v>195</v>
      </c>
      <c r="L786" s="2" t="s">
        <v>8439</v>
      </c>
      <c r="M786" s="2" t="s">
        <v>8440</v>
      </c>
      <c r="N786" s="2" t="s">
        <v>8441</v>
      </c>
      <c r="O786" s="2" t="s">
        <v>8442</v>
      </c>
      <c r="P786" s="2" t="s">
        <v>8443</v>
      </c>
      <c r="Q786" s="2" t="s">
        <v>8444</v>
      </c>
      <c r="R786" s="2" t="s">
        <v>2520</v>
      </c>
      <c r="S786" s="2" t="s">
        <v>8445</v>
      </c>
      <c r="T786" s="2" t="s">
        <v>8446</v>
      </c>
      <c r="U786" s="2" t="s">
        <v>101</v>
      </c>
      <c r="V786" s="2" t="n">
        <v>3</v>
      </c>
    </row>
    <row r="787">
      <c r="A787" s="2" t="n">
        <v>786</v>
      </c>
      <c r="B787" s="2" t="s">
        <v>8447</v>
      </c>
      <c r="C787" s="2" t="n">
        <v>530.301891471</v>
      </c>
      <c r="D787" s="2" t="n">
        <v>1.3931739227148</v>
      </c>
      <c r="E787" s="2" t="s">
        <v>8448</v>
      </c>
      <c r="F787" s="2" t="s">
        <v>86</v>
      </c>
      <c r="G787" s="2" t="s">
        <v>8449</v>
      </c>
      <c r="H787" s="2" t="s">
        <v>8450</v>
      </c>
      <c r="I787" s="2" t="s">
        <v>8451</v>
      </c>
      <c r="J787" s="2" t="s">
        <v>8452</v>
      </c>
      <c r="K787" s="2" t="s">
        <v>8453</v>
      </c>
      <c r="L787" s="2" t="s">
        <v>8454</v>
      </c>
      <c r="M787" s="2" t="s">
        <v>8455</v>
      </c>
      <c r="N787" s="2" t="s">
        <v>8456</v>
      </c>
      <c r="O787" s="2" t="s">
        <v>8457</v>
      </c>
      <c r="P787" s="2" t="s">
        <v>8458</v>
      </c>
      <c r="Q787" s="2" t="s">
        <v>8459</v>
      </c>
      <c r="R787" s="2" t="s">
        <v>794</v>
      </c>
      <c r="S787" s="2" t="s">
        <v>7122</v>
      </c>
      <c r="T787" s="2" t="s">
        <v>8460</v>
      </c>
      <c r="U787" s="2" t="s">
        <v>39</v>
      </c>
      <c r="V787" s="2" t="n">
        <v>1</v>
      </c>
    </row>
    <row r="788">
      <c r="A788" s="2" t="n">
        <v>787</v>
      </c>
      <c r="B788" s="2" t="s">
        <v>8461</v>
      </c>
      <c r="C788" s="2" t="n">
        <v>531.296342384</v>
      </c>
      <c r="D788" s="2" t="n">
        <v>0.163430923553815</v>
      </c>
      <c r="E788" s="2" t="s">
        <v>8462</v>
      </c>
      <c r="F788" s="2" t="s">
        <v>683</v>
      </c>
      <c r="G788" s="2" t="s">
        <v>8463</v>
      </c>
      <c r="H788" s="2" t="s">
        <v>8464</v>
      </c>
      <c r="I788" s="2" t="s">
        <v>8465</v>
      </c>
      <c r="J788" s="2" t="s">
        <v>29</v>
      </c>
      <c r="K788" s="2" t="s">
        <v>29</v>
      </c>
      <c r="L788" s="2" t="s">
        <v>29</v>
      </c>
      <c r="M788" s="2" t="s">
        <v>29</v>
      </c>
      <c r="N788" s="2" t="s">
        <v>8466</v>
      </c>
      <c r="O788" s="2" t="s">
        <v>29</v>
      </c>
      <c r="P788" s="2" t="s">
        <v>8467</v>
      </c>
      <c r="Q788" s="2" t="s">
        <v>8468</v>
      </c>
      <c r="R788" s="2" t="s">
        <v>114</v>
      </c>
      <c r="S788" s="2" t="s">
        <v>8469</v>
      </c>
      <c r="T788" s="2" t="s">
        <v>215</v>
      </c>
      <c r="U788" s="2" t="s">
        <v>56</v>
      </c>
      <c r="V788" s="2" t="n">
        <v>1</v>
      </c>
    </row>
    <row r="789">
      <c r="A789" s="2" t="n">
        <v>788</v>
      </c>
      <c r="B789" s="2" t="s">
        <v>8470</v>
      </c>
      <c r="C789" s="2" t="n">
        <v>537.488834605</v>
      </c>
      <c r="D789" s="2" t="n">
        <v>6.52750806327101</v>
      </c>
      <c r="E789" s="2" t="s">
        <v>8471</v>
      </c>
      <c r="F789" s="2" t="s">
        <v>24</v>
      </c>
      <c r="G789" s="2" t="s">
        <v>8472</v>
      </c>
      <c r="H789" s="2" t="s">
        <v>8473</v>
      </c>
      <c r="I789" s="2" t="s">
        <v>8474</v>
      </c>
      <c r="J789" s="2" t="s">
        <v>195</v>
      </c>
      <c r="K789" s="2" t="s">
        <v>8475</v>
      </c>
      <c r="L789" s="2" t="s">
        <v>195</v>
      </c>
      <c r="M789" s="2" t="s">
        <v>8476</v>
      </c>
      <c r="N789" s="2" t="s">
        <v>8477</v>
      </c>
      <c r="O789" s="2" t="s">
        <v>8478</v>
      </c>
      <c r="P789" s="2" t="s">
        <v>8479</v>
      </c>
      <c r="Q789" s="2" t="s">
        <v>8480</v>
      </c>
      <c r="R789" s="2" t="s">
        <v>255</v>
      </c>
      <c r="S789" s="2" t="s">
        <v>256</v>
      </c>
      <c r="T789" s="2" t="s">
        <v>257</v>
      </c>
      <c r="U789" s="2" t="s">
        <v>29</v>
      </c>
      <c r="V789" s="2" t="n">
        <v>3</v>
      </c>
    </row>
    <row r="790">
      <c r="A790" s="2" t="n">
        <v>789</v>
      </c>
      <c r="B790" s="2" t="s">
        <v>8481</v>
      </c>
      <c r="C790" s="2" t="n">
        <v>537.9335996</v>
      </c>
      <c r="D790" s="2" t="n">
        <v>1.372905793316</v>
      </c>
      <c r="E790" s="2" t="s">
        <v>8482</v>
      </c>
      <c r="F790" s="2" t="s">
        <v>86</v>
      </c>
      <c r="G790" s="2" t="s">
        <v>8483</v>
      </c>
      <c r="H790" s="2" t="s">
        <v>8484</v>
      </c>
      <c r="I790" s="2" t="s">
        <v>8485</v>
      </c>
      <c r="J790" s="2" t="s">
        <v>8486</v>
      </c>
      <c r="K790" s="2" t="s">
        <v>29</v>
      </c>
      <c r="L790" s="2" t="s">
        <v>29</v>
      </c>
      <c r="M790" s="2" t="s">
        <v>29</v>
      </c>
      <c r="N790" s="2" t="s">
        <v>8487</v>
      </c>
      <c r="O790" s="2" t="s">
        <v>8488</v>
      </c>
      <c r="P790" s="2" t="s">
        <v>8489</v>
      </c>
      <c r="Q790" s="2" t="s">
        <v>8490</v>
      </c>
      <c r="R790" s="2" t="s">
        <v>186</v>
      </c>
      <c r="S790" s="2" t="s">
        <v>8491</v>
      </c>
      <c r="T790" s="2" t="s">
        <v>215</v>
      </c>
      <c r="U790" s="2" t="s">
        <v>29</v>
      </c>
      <c r="V790" s="2" t="n">
        <v>1</v>
      </c>
    </row>
    <row r="791">
      <c r="A791" s="2" t="n">
        <v>790</v>
      </c>
      <c r="B791" s="2" t="s">
        <v>8492</v>
      </c>
      <c r="C791" s="2" t="n">
        <v>539.141295184</v>
      </c>
      <c r="D791" s="2" t="n">
        <v>4.50584963122731</v>
      </c>
      <c r="E791" s="2" t="s">
        <v>8493</v>
      </c>
      <c r="F791" s="2" t="s">
        <v>86</v>
      </c>
      <c r="G791" s="2" t="s">
        <v>8494</v>
      </c>
      <c r="H791" s="2" t="s">
        <v>8495</v>
      </c>
      <c r="I791" s="2" t="s">
        <v>8496</v>
      </c>
      <c r="J791" s="2" t="s">
        <v>29</v>
      </c>
      <c r="K791" s="2" t="s">
        <v>29</v>
      </c>
      <c r="L791" s="2" t="s">
        <v>29</v>
      </c>
      <c r="M791" s="2" t="s">
        <v>29</v>
      </c>
      <c r="N791" s="2" t="s">
        <v>29</v>
      </c>
      <c r="O791" s="2" t="s">
        <v>29</v>
      </c>
      <c r="P791" s="2" t="s">
        <v>8497</v>
      </c>
      <c r="Q791" s="2" t="s">
        <v>8498</v>
      </c>
      <c r="R791" s="2" t="s">
        <v>186</v>
      </c>
      <c r="S791" s="2" t="s">
        <v>187</v>
      </c>
      <c r="T791" s="2" t="s">
        <v>8409</v>
      </c>
      <c r="U791" s="2" t="s">
        <v>29</v>
      </c>
      <c r="V791" s="2" t="n">
        <v>1</v>
      </c>
    </row>
    <row r="792">
      <c r="A792" s="2" t="n">
        <v>791</v>
      </c>
      <c r="B792" s="2" t="s">
        <v>8499</v>
      </c>
      <c r="C792" s="2" t="n">
        <v>539.919358495</v>
      </c>
      <c r="D792" s="2" t="n">
        <v>1.43883242716477</v>
      </c>
      <c r="E792" s="2" t="s">
        <v>8500</v>
      </c>
      <c r="F792" s="2" t="s">
        <v>218</v>
      </c>
      <c r="G792" s="2" t="s">
        <v>8501</v>
      </c>
      <c r="H792" s="2" t="s">
        <v>8502</v>
      </c>
      <c r="I792" s="2" t="s">
        <v>8503</v>
      </c>
      <c r="J792" s="2" t="s">
        <v>91</v>
      </c>
      <c r="K792" s="2" t="s">
        <v>91</v>
      </c>
      <c r="L792" s="2" t="s">
        <v>91</v>
      </c>
      <c r="M792" s="2" t="s">
        <v>91</v>
      </c>
      <c r="N792" s="2" t="s">
        <v>8504</v>
      </c>
      <c r="O792" s="2" t="s">
        <v>91</v>
      </c>
      <c r="P792" s="2" t="s">
        <v>8505</v>
      </c>
      <c r="Q792" s="2" t="s">
        <v>8506</v>
      </c>
      <c r="R792" s="2" t="s">
        <v>8507</v>
      </c>
      <c r="S792" s="2" t="s">
        <v>8508</v>
      </c>
      <c r="T792" s="2" t="s">
        <v>8509</v>
      </c>
      <c r="U792" s="2" t="s">
        <v>29</v>
      </c>
      <c r="V792" s="2" t="n">
        <v>2</v>
      </c>
    </row>
    <row r="793">
      <c r="A793" s="2" t="n">
        <v>792</v>
      </c>
      <c r="B793" s="2" t="s">
        <v>8510</v>
      </c>
      <c r="C793" s="2" t="n">
        <v>540.054803677</v>
      </c>
      <c r="D793" s="2" t="n">
        <v>8.28654674138557</v>
      </c>
      <c r="E793" s="2" t="s">
        <v>8511</v>
      </c>
      <c r="F793" s="2" t="s">
        <v>86</v>
      </c>
      <c r="G793" s="2" t="s">
        <v>8512</v>
      </c>
      <c r="H793" s="2" t="s">
        <v>8513</v>
      </c>
      <c r="I793" s="2" t="s">
        <v>8514</v>
      </c>
      <c r="J793" s="2" t="s">
        <v>29</v>
      </c>
      <c r="K793" s="2" t="s">
        <v>29</v>
      </c>
      <c r="L793" s="2" t="s">
        <v>29</v>
      </c>
      <c r="M793" s="2" t="s">
        <v>29</v>
      </c>
      <c r="N793" s="2" t="s">
        <v>8515</v>
      </c>
      <c r="O793" s="2" t="s">
        <v>29</v>
      </c>
      <c r="P793" s="2" t="s">
        <v>8516</v>
      </c>
      <c r="Q793" s="2" t="s">
        <v>8517</v>
      </c>
      <c r="R793" s="2" t="s">
        <v>186</v>
      </c>
      <c r="S793" s="2" t="s">
        <v>187</v>
      </c>
      <c r="T793" s="2" t="s">
        <v>8409</v>
      </c>
      <c r="U793" s="2" t="s">
        <v>29</v>
      </c>
      <c r="V793" s="2" t="n">
        <v>1</v>
      </c>
    </row>
    <row r="794">
      <c r="A794" s="2" t="n">
        <v>793</v>
      </c>
      <c r="B794" s="2" t="s">
        <v>8518</v>
      </c>
      <c r="C794" s="2" t="n">
        <v>540.323166257</v>
      </c>
      <c r="D794" s="2" t="n">
        <v>3.18027329535514</v>
      </c>
      <c r="E794" s="2" t="s">
        <v>8519</v>
      </c>
      <c r="F794" s="2" t="s">
        <v>24</v>
      </c>
      <c r="G794" s="2" t="s">
        <v>8520</v>
      </c>
      <c r="H794" s="2" t="s">
        <v>8521</v>
      </c>
      <c r="I794" s="2" t="s">
        <v>8522</v>
      </c>
      <c r="J794" s="2" t="s">
        <v>29</v>
      </c>
      <c r="K794" s="2" t="s">
        <v>29</v>
      </c>
      <c r="L794" s="2" t="s">
        <v>29</v>
      </c>
      <c r="M794" s="2" t="s">
        <v>29</v>
      </c>
      <c r="N794" s="2" t="s">
        <v>8523</v>
      </c>
      <c r="O794" s="2" t="s">
        <v>29</v>
      </c>
      <c r="P794" s="2" t="s">
        <v>8524</v>
      </c>
      <c r="Q794" s="2" t="s">
        <v>8525</v>
      </c>
      <c r="R794" s="2" t="s">
        <v>186</v>
      </c>
      <c r="S794" s="2" t="s">
        <v>4086</v>
      </c>
      <c r="T794" s="2" t="s">
        <v>8526</v>
      </c>
      <c r="U794" s="2" t="s">
        <v>29</v>
      </c>
      <c r="V794" s="2" t="n">
        <v>1</v>
      </c>
    </row>
    <row r="795">
      <c r="A795" s="2" t="n">
        <v>794</v>
      </c>
      <c r="B795" s="2" t="s">
        <v>8527</v>
      </c>
      <c r="C795" s="2" t="n">
        <v>541.0572598</v>
      </c>
      <c r="D795" s="2" t="n">
        <v>2.38411355329412</v>
      </c>
      <c r="E795" s="2" t="s">
        <v>8528</v>
      </c>
      <c r="F795" s="2" t="s">
        <v>205</v>
      </c>
      <c r="G795" s="2" t="s">
        <v>8529</v>
      </c>
      <c r="H795" s="2" t="s">
        <v>8530</v>
      </c>
      <c r="I795" s="2" t="s">
        <v>8531</v>
      </c>
      <c r="J795" s="2" t="s">
        <v>8532</v>
      </c>
      <c r="K795" s="2" t="s">
        <v>29</v>
      </c>
      <c r="L795" s="2" t="s">
        <v>29</v>
      </c>
      <c r="M795" s="2" t="s">
        <v>29</v>
      </c>
      <c r="N795" s="2" t="s">
        <v>8533</v>
      </c>
      <c r="O795" s="2" t="s">
        <v>8534</v>
      </c>
      <c r="P795" s="2" t="s">
        <v>8535</v>
      </c>
      <c r="Q795" s="2" t="s">
        <v>8536</v>
      </c>
      <c r="R795" s="2" t="s">
        <v>186</v>
      </c>
      <c r="S795" s="2" t="s">
        <v>187</v>
      </c>
      <c r="T795" s="2" t="s">
        <v>8537</v>
      </c>
      <c r="U795" s="2" t="s">
        <v>29</v>
      </c>
      <c r="V795" s="2" t="n">
        <v>1</v>
      </c>
    </row>
    <row r="796">
      <c r="A796" s="2" t="n">
        <v>795</v>
      </c>
      <c r="B796" s="2" t="s">
        <v>8538</v>
      </c>
      <c r="C796" s="2" t="n">
        <v>541.325904274</v>
      </c>
      <c r="D796" s="2" t="n">
        <v>1.07633946339843</v>
      </c>
      <c r="E796" s="2" t="s">
        <v>8539</v>
      </c>
      <c r="F796" s="2" t="s">
        <v>531</v>
      </c>
      <c r="G796" s="2" t="s">
        <v>8540</v>
      </c>
      <c r="H796" s="2" t="s">
        <v>8541</v>
      </c>
      <c r="I796" s="2" t="s">
        <v>8542</v>
      </c>
      <c r="J796" s="2" t="s">
        <v>29</v>
      </c>
      <c r="K796" s="2" t="s">
        <v>29</v>
      </c>
      <c r="L796" s="2" t="s">
        <v>29</v>
      </c>
      <c r="M796" s="2" t="s">
        <v>29</v>
      </c>
      <c r="N796" s="2" t="s">
        <v>29</v>
      </c>
      <c r="O796" s="2" t="s">
        <v>29</v>
      </c>
      <c r="P796" s="2" t="s">
        <v>8543</v>
      </c>
      <c r="Q796" s="2" t="s">
        <v>8544</v>
      </c>
      <c r="R796" s="2" t="s">
        <v>794</v>
      </c>
      <c r="S796" s="2" t="s">
        <v>2971</v>
      </c>
      <c r="T796" s="2" t="s">
        <v>6499</v>
      </c>
      <c r="U796" s="2" t="s">
        <v>29</v>
      </c>
      <c r="V796" s="2" t="n">
        <v>1</v>
      </c>
    </row>
    <row r="797">
      <c r="A797" s="2" t="n">
        <v>796</v>
      </c>
      <c r="B797" s="2" t="s">
        <v>8545</v>
      </c>
      <c r="C797" s="2" t="n">
        <v>542.325390302</v>
      </c>
      <c r="D797" s="2" t="n">
        <v>9.15456761053695</v>
      </c>
      <c r="E797" s="2" t="s">
        <v>8546</v>
      </c>
      <c r="F797" s="2" t="s">
        <v>86</v>
      </c>
      <c r="G797" s="2" t="s">
        <v>8547</v>
      </c>
      <c r="H797" s="2" t="s">
        <v>8548</v>
      </c>
      <c r="I797" s="2" t="s">
        <v>8549</v>
      </c>
      <c r="J797" s="2" t="s">
        <v>29</v>
      </c>
      <c r="K797" s="2" t="s">
        <v>29</v>
      </c>
      <c r="L797" s="2" t="s">
        <v>29</v>
      </c>
      <c r="M797" s="2" t="s">
        <v>29</v>
      </c>
      <c r="N797" s="2" t="s">
        <v>8550</v>
      </c>
      <c r="O797" s="2" t="s">
        <v>29</v>
      </c>
      <c r="P797" s="2" t="s">
        <v>8551</v>
      </c>
      <c r="Q797" s="2" t="s">
        <v>8552</v>
      </c>
      <c r="R797" s="2" t="s">
        <v>794</v>
      </c>
      <c r="S797" s="2" t="s">
        <v>2971</v>
      </c>
      <c r="T797" s="2" t="s">
        <v>6499</v>
      </c>
      <c r="U797" s="2" t="s">
        <v>29</v>
      </c>
      <c r="V797" s="2" t="n">
        <v>1</v>
      </c>
    </row>
    <row r="798">
      <c r="A798" s="2" t="n">
        <v>797</v>
      </c>
      <c r="B798" s="2" t="s">
        <v>8553</v>
      </c>
      <c r="C798" s="2" t="n">
        <v>543.339918158</v>
      </c>
      <c r="D798" s="2" t="n">
        <v>6.4532828116026</v>
      </c>
      <c r="E798" s="2" t="s">
        <v>8554</v>
      </c>
      <c r="F798" s="2" t="s">
        <v>86</v>
      </c>
      <c r="G798" s="2" t="s">
        <v>8555</v>
      </c>
      <c r="H798" s="2" t="s">
        <v>8556</v>
      </c>
      <c r="I798" s="2" t="s">
        <v>8557</v>
      </c>
      <c r="J798" s="2" t="s">
        <v>8558</v>
      </c>
      <c r="K798" s="2" t="s">
        <v>29</v>
      </c>
      <c r="L798" s="2" t="s">
        <v>29</v>
      </c>
      <c r="M798" s="2" t="s">
        <v>29</v>
      </c>
      <c r="N798" s="2" t="s">
        <v>8559</v>
      </c>
      <c r="O798" s="2" t="s">
        <v>8560</v>
      </c>
      <c r="P798" s="2" t="s">
        <v>8561</v>
      </c>
      <c r="Q798" s="2" t="s">
        <v>8562</v>
      </c>
      <c r="R798" s="2" t="s">
        <v>794</v>
      </c>
      <c r="S798" s="2" t="s">
        <v>1098</v>
      </c>
      <c r="T798" s="2" t="s">
        <v>8563</v>
      </c>
      <c r="U798" s="2" t="s">
        <v>56</v>
      </c>
      <c r="V798" s="2" t="n">
        <v>1</v>
      </c>
    </row>
    <row r="799">
      <c r="A799" s="2" t="n">
        <v>798</v>
      </c>
      <c r="B799" s="2" t="s">
        <v>8564</v>
      </c>
      <c r="C799" s="2" t="n">
        <v>544.273629507</v>
      </c>
      <c r="D799" s="2" t="n">
        <v>3.47025627208641</v>
      </c>
      <c r="E799" s="2" t="s">
        <v>8565</v>
      </c>
      <c r="F799" s="2" t="s">
        <v>86</v>
      </c>
      <c r="G799" s="2" t="s">
        <v>8566</v>
      </c>
      <c r="H799" s="2" t="s">
        <v>8567</v>
      </c>
      <c r="I799" s="2" t="s">
        <v>8568</v>
      </c>
      <c r="J799" s="2" t="s">
        <v>8569</v>
      </c>
      <c r="K799" s="2" t="s">
        <v>29</v>
      </c>
      <c r="L799" s="2" t="s">
        <v>29</v>
      </c>
      <c r="M799" s="2" t="s">
        <v>29</v>
      </c>
      <c r="N799" s="2" t="s">
        <v>8570</v>
      </c>
      <c r="O799" s="2" t="s">
        <v>8571</v>
      </c>
      <c r="P799" s="2" t="s">
        <v>8572</v>
      </c>
      <c r="Q799" s="2" t="s">
        <v>8573</v>
      </c>
      <c r="R799" s="2" t="s">
        <v>186</v>
      </c>
      <c r="S799" s="2" t="s">
        <v>911</v>
      </c>
      <c r="T799" s="2" t="s">
        <v>215</v>
      </c>
      <c r="U799" s="2" t="s">
        <v>56</v>
      </c>
      <c r="V799" s="2" t="n">
        <v>1</v>
      </c>
    </row>
    <row r="800">
      <c r="A800" s="2" t="n">
        <v>799</v>
      </c>
      <c r="B800" s="2" t="s">
        <v>8574</v>
      </c>
      <c r="C800" s="2" t="n">
        <v>546.336349079</v>
      </c>
      <c r="D800" s="2" t="n">
        <v>6.15103671842437</v>
      </c>
      <c r="E800" s="2" t="s">
        <v>8575</v>
      </c>
      <c r="F800" s="2" t="s">
        <v>531</v>
      </c>
      <c r="G800" s="2" t="s">
        <v>8576</v>
      </c>
      <c r="H800" s="2" t="s">
        <v>8577</v>
      </c>
      <c r="I800" s="2" t="s">
        <v>8578</v>
      </c>
      <c r="J800" s="2" t="s">
        <v>8579</v>
      </c>
      <c r="K800" s="2" t="s">
        <v>29</v>
      </c>
      <c r="L800" s="2" t="s">
        <v>29</v>
      </c>
      <c r="M800" s="2" t="s">
        <v>29</v>
      </c>
      <c r="N800" s="2" t="s">
        <v>8580</v>
      </c>
      <c r="O800" s="2" t="s">
        <v>29</v>
      </c>
      <c r="P800" s="2" t="s">
        <v>8581</v>
      </c>
      <c r="Q800" s="2" t="s">
        <v>8582</v>
      </c>
      <c r="R800" s="2" t="s">
        <v>601</v>
      </c>
      <c r="S800" s="2" t="s">
        <v>602</v>
      </c>
      <c r="T800" s="2" t="s">
        <v>8583</v>
      </c>
      <c r="U800" s="2" t="s">
        <v>29</v>
      </c>
      <c r="V800" s="2" t="n">
        <v>1</v>
      </c>
    </row>
    <row r="801">
      <c r="A801" s="2" t="n">
        <v>800</v>
      </c>
      <c r="B801" s="2" t="s">
        <v>8584</v>
      </c>
      <c r="C801" s="2" t="n">
        <v>547.319576646</v>
      </c>
      <c r="D801" s="2" t="n">
        <v>6.82367158777991</v>
      </c>
      <c r="E801" s="2" t="s">
        <v>8585</v>
      </c>
      <c r="F801" s="2" t="s">
        <v>86</v>
      </c>
      <c r="G801" s="2" t="s">
        <v>8586</v>
      </c>
      <c r="H801" s="2" t="s">
        <v>8587</v>
      </c>
      <c r="I801" s="2" t="s">
        <v>8588</v>
      </c>
      <c r="J801" s="2" t="s">
        <v>8589</v>
      </c>
      <c r="K801" s="2" t="s">
        <v>195</v>
      </c>
      <c r="L801" s="2" t="s">
        <v>195</v>
      </c>
      <c r="M801" s="2" t="s">
        <v>195</v>
      </c>
      <c r="N801" s="2" t="s">
        <v>8590</v>
      </c>
      <c r="O801" s="2" t="s">
        <v>8591</v>
      </c>
      <c r="P801" s="2" t="s">
        <v>8592</v>
      </c>
      <c r="Q801" s="2" t="s">
        <v>8593</v>
      </c>
      <c r="R801" s="2" t="s">
        <v>255</v>
      </c>
      <c r="S801" s="2" t="s">
        <v>1728</v>
      </c>
      <c r="T801" s="2" t="s">
        <v>7815</v>
      </c>
      <c r="U801" s="2" t="s">
        <v>56</v>
      </c>
      <c r="V801" s="2" t="n">
        <v>3</v>
      </c>
    </row>
    <row r="802">
      <c r="A802" s="2" t="n">
        <v>801</v>
      </c>
      <c r="B802" s="2" t="s">
        <v>8594</v>
      </c>
      <c r="C802" s="2" t="n">
        <v>548.322887173</v>
      </c>
      <c r="D802" s="2" t="n">
        <v>0.853729431229458</v>
      </c>
      <c r="E802" s="2" t="s">
        <v>8595</v>
      </c>
      <c r="F802" s="2" t="s">
        <v>205</v>
      </c>
      <c r="G802" s="2" t="s">
        <v>8596</v>
      </c>
      <c r="H802" s="2" t="s">
        <v>8597</v>
      </c>
      <c r="I802" s="2" t="s">
        <v>8598</v>
      </c>
      <c r="J802" s="2" t="s">
        <v>29</v>
      </c>
      <c r="K802" s="2" t="s">
        <v>29</v>
      </c>
      <c r="L802" s="2" t="s">
        <v>29</v>
      </c>
      <c r="M802" s="2" t="s">
        <v>29</v>
      </c>
      <c r="N802" s="2" t="s">
        <v>29</v>
      </c>
      <c r="O802" s="2" t="s">
        <v>29</v>
      </c>
      <c r="P802" s="2" t="s">
        <v>8599</v>
      </c>
      <c r="Q802" s="2" t="s">
        <v>8600</v>
      </c>
      <c r="R802" s="2" t="s">
        <v>794</v>
      </c>
      <c r="S802" s="2" t="s">
        <v>795</v>
      </c>
      <c r="T802" s="2" t="s">
        <v>1870</v>
      </c>
      <c r="U802" s="2" t="s">
        <v>29</v>
      </c>
      <c r="V802" s="2" t="n">
        <v>1</v>
      </c>
    </row>
    <row r="803">
      <c r="A803" s="2" t="n">
        <v>802</v>
      </c>
      <c r="B803" s="2" t="s">
        <v>8601</v>
      </c>
      <c r="C803" s="2" t="n">
        <v>549.173935822</v>
      </c>
      <c r="D803" s="2" t="n">
        <v>1.00473698610413</v>
      </c>
      <c r="E803" s="2" t="s">
        <v>8602</v>
      </c>
      <c r="F803" s="2" t="s">
        <v>683</v>
      </c>
      <c r="G803" s="2" t="s">
        <v>8603</v>
      </c>
      <c r="H803" s="2" t="s">
        <v>8604</v>
      </c>
      <c r="I803" s="2" t="s">
        <v>8605</v>
      </c>
      <c r="J803" s="2" t="s">
        <v>8606</v>
      </c>
      <c r="K803" s="2" t="s">
        <v>29</v>
      </c>
      <c r="L803" s="2" t="s">
        <v>29</v>
      </c>
      <c r="M803" s="2" t="s">
        <v>8607</v>
      </c>
      <c r="N803" s="2" t="s">
        <v>8608</v>
      </c>
      <c r="O803" s="2" t="s">
        <v>29</v>
      </c>
      <c r="P803" s="2" t="s">
        <v>8609</v>
      </c>
      <c r="Q803" s="2" t="s">
        <v>8610</v>
      </c>
      <c r="R803" s="2" t="s">
        <v>186</v>
      </c>
      <c r="S803" s="2" t="s">
        <v>187</v>
      </c>
      <c r="T803" s="2" t="s">
        <v>3454</v>
      </c>
      <c r="U803" s="2" t="s">
        <v>29</v>
      </c>
      <c r="V803" s="2" t="n">
        <v>1</v>
      </c>
    </row>
    <row r="804">
      <c r="A804" s="2" t="n">
        <v>803</v>
      </c>
      <c r="B804" s="2" t="s">
        <v>8611</v>
      </c>
      <c r="C804" s="2" t="n">
        <v>549.335165152</v>
      </c>
      <c r="D804" s="2" t="n">
        <v>3.65357644823825</v>
      </c>
      <c r="E804" s="2" t="s">
        <v>8612</v>
      </c>
      <c r="F804" s="2" t="s">
        <v>218</v>
      </c>
      <c r="G804" s="2" t="s">
        <v>8613</v>
      </c>
      <c r="H804" s="2" t="s">
        <v>8614</v>
      </c>
      <c r="I804" s="2" t="s">
        <v>8615</v>
      </c>
      <c r="J804" s="2" t="s">
        <v>8616</v>
      </c>
      <c r="K804" s="2" t="s">
        <v>29</v>
      </c>
      <c r="L804" s="2" t="s">
        <v>29</v>
      </c>
      <c r="M804" s="2" t="s">
        <v>8617</v>
      </c>
      <c r="N804" s="2" t="s">
        <v>8618</v>
      </c>
      <c r="O804" s="2" t="s">
        <v>29</v>
      </c>
      <c r="P804" s="2" t="s">
        <v>8619</v>
      </c>
      <c r="Q804" s="2" t="s">
        <v>8620</v>
      </c>
      <c r="R804" s="2" t="s">
        <v>794</v>
      </c>
      <c r="S804" s="2" t="s">
        <v>1098</v>
      </c>
      <c r="T804" s="2" t="s">
        <v>7646</v>
      </c>
      <c r="U804" s="2" t="s">
        <v>29</v>
      </c>
      <c r="V804" s="2" t="n">
        <v>1</v>
      </c>
    </row>
    <row r="805">
      <c r="A805" s="2" t="n">
        <v>804</v>
      </c>
      <c r="B805" s="2" t="s">
        <v>8621</v>
      </c>
      <c r="C805" s="2" t="n">
        <v>557.457530164</v>
      </c>
      <c r="D805" s="2" t="n">
        <v>8.37592851142437</v>
      </c>
      <c r="E805" s="2" t="s">
        <v>8622</v>
      </c>
      <c r="F805" s="2" t="s">
        <v>205</v>
      </c>
      <c r="G805" s="2" t="s">
        <v>8623</v>
      </c>
      <c r="H805" s="2" t="s">
        <v>8624</v>
      </c>
      <c r="I805" s="2" t="s">
        <v>8625</v>
      </c>
      <c r="J805" s="2" t="s">
        <v>195</v>
      </c>
      <c r="K805" s="2" t="s">
        <v>195</v>
      </c>
      <c r="L805" s="2" t="s">
        <v>195</v>
      </c>
      <c r="M805" s="2" t="s">
        <v>195</v>
      </c>
      <c r="N805" s="2" t="s">
        <v>8626</v>
      </c>
      <c r="O805" s="2" t="s">
        <v>8627</v>
      </c>
      <c r="P805" s="2" t="s">
        <v>8628</v>
      </c>
      <c r="Q805" s="2" t="s">
        <v>8629</v>
      </c>
      <c r="R805" s="2" t="s">
        <v>255</v>
      </c>
      <c r="S805" s="2" t="s">
        <v>8630</v>
      </c>
      <c r="T805" s="2" t="s">
        <v>8631</v>
      </c>
      <c r="U805" s="2" t="s">
        <v>29</v>
      </c>
      <c r="V805" s="2" t="n">
        <v>3</v>
      </c>
    </row>
    <row r="806">
      <c r="A806" s="2" t="n">
        <v>805</v>
      </c>
      <c r="B806" s="2" t="s">
        <v>8632</v>
      </c>
      <c r="C806" s="2" t="n">
        <v>558.063847179</v>
      </c>
      <c r="D806" s="2" t="n">
        <v>0.471207029135444</v>
      </c>
      <c r="E806" s="2" t="s">
        <v>8633</v>
      </c>
      <c r="F806" s="2" t="s">
        <v>161</v>
      </c>
      <c r="G806" s="2" t="s">
        <v>8634</v>
      </c>
      <c r="H806" s="2" t="s">
        <v>8635</v>
      </c>
      <c r="I806" s="2" t="s">
        <v>8636</v>
      </c>
      <c r="J806" s="2" t="s">
        <v>91</v>
      </c>
      <c r="K806" s="2" t="s">
        <v>91</v>
      </c>
      <c r="L806" s="2" t="s">
        <v>8637</v>
      </c>
      <c r="M806" s="2" t="s">
        <v>8638</v>
      </c>
      <c r="N806" s="2" t="s">
        <v>8639</v>
      </c>
      <c r="O806" s="2" t="s">
        <v>8640</v>
      </c>
      <c r="P806" s="2" t="s">
        <v>8641</v>
      </c>
      <c r="Q806" s="2" t="s">
        <v>8642</v>
      </c>
      <c r="R806" s="2" t="s">
        <v>3638</v>
      </c>
      <c r="S806" s="2" t="s">
        <v>8643</v>
      </c>
      <c r="T806" s="2" t="s">
        <v>8644</v>
      </c>
      <c r="U806" s="2" t="s">
        <v>56</v>
      </c>
      <c r="V806" s="2" t="n">
        <v>2</v>
      </c>
    </row>
    <row r="807">
      <c r="A807" s="2" t="n">
        <v>806</v>
      </c>
      <c r="B807" s="2" t="s">
        <v>8645</v>
      </c>
      <c r="C807" s="2" t="n">
        <v>559.101049302</v>
      </c>
      <c r="D807" s="2" t="n">
        <v>0.523369685574966</v>
      </c>
      <c r="E807" s="2" t="s">
        <v>8646</v>
      </c>
      <c r="F807" s="2" t="s">
        <v>531</v>
      </c>
      <c r="G807" s="2" t="s">
        <v>8647</v>
      </c>
      <c r="H807" s="2" t="s">
        <v>8648</v>
      </c>
      <c r="I807" s="2" t="s">
        <v>8649</v>
      </c>
      <c r="J807" s="2" t="s">
        <v>8650</v>
      </c>
      <c r="K807" s="2" t="s">
        <v>29</v>
      </c>
      <c r="L807" s="2" t="s">
        <v>29</v>
      </c>
      <c r="M807" s="2" t="s">
        <v>8651</v>
      </c>
      <c r="N807" s="2" t="s">
        <v>8652</v>
      </c>
      <c r="O807" s="2" t="s">
        <v>29</v>
      </c>
      <c r="P807" s="2" t="s">
        <v>8653</v>
      </c>
      <c r="Q807" s="2" t="s">
        <v>8654</v>
      </c>
      <c r="R807" s="2" t="s">
        <v>186</v>
      </c>
      <c r="S807" s="2" t="s">
        <v>6141</v>
      </c>
      <c r="T807" s="2" t="s">
        <v>8655</v>
      </c>
      <c r="U807" s="2" t="s">
        <v>29</v>
      </c>
      <c r="V807" s="2" t="n">
        <v>1</v>
      </c>
    </row>
    <row r="808">
      <c r="A808" s="2" t="n">
        <v>807</v>
      </c>
      <c r="B808" s="2" t="s">
        <v>8656</v>
      </c>
      <c r="C808" s="2" t="n">
        <v>561.975891467</v>
      </c>
      <c r="D808" s="2" t="n">
        <v>2.59525673336558</v>
      </c>
      <c r="E808" s="2" t="s">
        <v>8657</v>
      </c>
      <c r="F808" s="2" t="s">
        <v>531</v>
      </c>
      <c r="G808" s="2" t="s">
        <v>8658</v>
      </c>
      <c r="H808" s="2" t="s">
        <v>8659</v>
      </c>
      <c r="I808" s="2" t="s">
        <v>8660</v>
      </c>
      <c r="J808" s="2" t="s">
        <v>8661</v>
      </c>
      <c r="K808" s="2" t="s">
        <v>29</v>
      </c>
      <c r="L808" s="2" t="s">
        <v>8662</v>
      </c>
      <c r="M808" s="2" t="s">
        <v>8663</v>
      </c>
      <c r="N808" s="2" t="s">
        <v>8664</v>
      </c>
      <c r="O808" s="2" t="s">
        <v>29</v>
      </c>
      <c r="P808" s="2" t="s">
        <v>8665</v>
      </c>
      <c r="Q808" s="2" t="s">
        <v>8666</v>
      </c>
      <c r="R808" s="2" t="s">
        <v>129</v>
      </c>
      <c r="S808" s="2" t="s">
        <v>130</v>
      </c>
      <c r="T808" s="2" t="s">
        <v>1681</v>
      </c>
      <c r="U808" s="2" t="s">
        <v>56</v>
      </c>
      <c r="V808" s="2" t="n">
        <v>1</v>
      </c>
    </row>
    <row r="809">
      <c r="A809" s="2" t="n">
        <v>808</v>
      </c>
      <c r="B809" s="2" t="s">
        <v>8667</v>
      </c>
      <c r="C809" s="2" t="n">
        <v>565.0577156</v>
      </c>
      <c r="D809" s="2" t="n">
        <v>9.91177682129711</v>
      </c>
      <c r="E809" s="2" t="s">
        <v>8668</v>
      </c>
      <c r="F809" s="2" t="s">
        <v>205</v>
      </c>
      <c r="G809" s="2" t="s">
        <v>8669</v>
      </c>
      <c r="H809" s="2" t="s">
        <v>8670</v>
      </c>
      <c r="I809" s="2" t="s">
        <v>8671</v>
      </c>
      <c r="J809" s="2" t="s">
        <v>29</v>
      </c>
      <c r="K809" s="2" t="s">
        <v>29</v>
      </c>
      <c r="L809" s="2" t="s">
        <v>29</v>
      </c>
      <c r="M809" s="2" t="s">
        <v>29</v>
      </c>
      <c r="N809" s="2" t="s">
        <v>8672</v>
      </c>
      <c r="O809" s="2" t="s">
        <v>29</v>
      </c>
      <c r="P809" s="2" t="s">
        <v>8673</v>
      </c>
      <c r="Q809" s="2" t="s">
        <v>8674</v>
      </c>
      <c r="R809" s="2" t="s">
        <v>114</v>
      </c>
      <c r="S809" s="2" t="s">
        <v>172</v>
      </c>
      <c r="T809" s="2" t="s">
        <v>8675</v>
      </c>
      <c r="U809" s="2" t="s">
        <v>29</v>
      </c>
      <c r="V809" s="2" t="n">
        <v>1</v>
      </c>
    </row>
    <row r="810">
      <c r="A810" s="2" t="n">
        <v>809</v>
      </c>
      <c r="B810" s="2" t="s">
        <v>8676</v>
      </c>
      <c r="C810" s="2" t="n">
        <v>568.984621146</v>
      </c>
      <c r="D810" s="2" t="n">
        <v>6.25490994978513</v>
      </c>
      <c r="E810" s="2" t="s">
        <v>8677</v>
      </c>
      <c r="F810" s="2" t="s">
        <v>683</v>
      </c>
      <c r="G810" s="2" t="s">
        <v>8678</v>
      </c>
      <c r="H810" s="2" t="s">
        <v>8679</v>
      </c>
      <c r="I810" s="2" t="s">
        <v>8680</v>
      </c>
      <c r="J810" s="2" t="s">
        <v>8681</v>
      </c>
      <c r="K810" s="2" t="s">
        <v>29</v>
      </c>
      <c r="L810" s="2" t="s">
        <v>8682</v>
      </c>
      <c r="M810" s="2" t="s">
        <v>8683</v>
      </c>
      <c r="N810" s="2" t="s">
        <v>8684</v>
      </c>
      <c r="O810" s="2" t="s">
        <v>8685</v>
      </c>
      <c r="P810" s="2" t="s">
        <v>8686</v>
      </c>
      <c r="Q810" s="2" t="s">
        <v>8687</v>
      </c>
      <c r="R810" s="2" t="s">
        <v>186</v>
      </c>
      <c r="S810" s="2" t="s">
        <v>187</v>
      </c>
      <c r="T810" s="2" t="s">
        <v>2791</v>
      </c>
      <c r="U810" s="2" t="s">
        <v>101</v>
      </c>
      <c r="V810" s="2" t="n">
        <v>1</v>
      </c>
    </row>
    <row r="811">
      <c r="A811" s="2" t="n">
        <v>810</v>
      </c>
      <c r="B811" s="2" t="s">
        <v>8688</v>
      </c>
      <c r="C811" s="2" t="n">
        <v>569.360948746</v>
      </c>
      <c r="D811" s="2" t="n">
        <v>1.67038821582341</v>
      </c>
      <c r="E811" s="2" t="s">
        <v>8689</v>
      </c>
      <c r="F811" s="2" t="s">
        <v>683</v>
      </c>
      <c r="G811" s="2" t="s">
        <v>8690</v>
      </c>
      <c r="H811" s="2" t="s">
        <v>8691</v>
      </c>
      <c r="I811" s="2" t="s">
        <v>8692</v>
      </c>
      <c r="J811" s="2" t="s">
        <v>8693</v>
      </c>
      <c r="K811" s="2" t="s">
        <v>29</v>
      </c>
      <c r="L811" s="2" t="s">
        <v>8694</v>
      </c>
      <c r="M811" s="2" t="s">
        <v>8695</v>
      </c>
      <c r="N811" s="2" t="s">
        <v>8696</v>
      </c>
      <c r="O811" s="2" t="s">
        <v>8697</v>
      </c>
      <c r="P811" s="2" t="s">
        <v>8698</v>
      </c>
      <c r="Q811" s="2" t="s">
        <v>8699</v>
      </c>
      <c r="R811" s="2" t="s">
        <v>186</v>
      </c>
      <c r="S811" s="2" t="s">
        <v>187</v>
      </c>
      <c r="T811" s="2" t="s">
        <v>8700</v>
      </c>
      <c r="U811" s="2" t="s">
        <v>101</v>
      </c>
      <c r="V811" s="2" t="n">
        <v>1</v>
      </c>
    </row>
    <row r="812">
      <c r="A812" s="2" t="n">
        <v>811</v>
      </c>
      <c r="B812" s="2" t="s">
        <v>8701</v>
      </c>
      <c r="C812" s="2" t="n">
        <v>571.29980504</v>
      </c>
      <c r="D812" s="2" t="n">
        <v>8.27823221908891</v>
      </c>
      <c r="E812" s="2" t="s">
        <v>8702</v>
      </c>
      <c r="F812" s="2" t="s">
        <v>24</v>
      </c>
      <c r="G812" s="2" t="s">
        <v>8703</v>
      </c>
      <c r="H812" s="2" t="s">
        <v>8704</v>
      </c>
      <c r="I812" s="2" t="s">
        <v>8705</v>
      </c>
      <c r="J812" s="2" t="s">
        <v>29</v>
      </c>
      <c r="K812" s="2" t="s">
        <v>29</v>
      </c>
      <c r="L812" s="2" t="s">
        <v>29</v>
      </c>
      <c r="M812" s="2" t="s">
        <v>29</v>
      </c>
      <c r="N812" s="2" t="s">
        <v>8706</v>
      </c>
      <c r="O812" s="2" t="s">
        <v>29</v>
      </c>
      <c r="P812" s="2" t="s">
        <v>8707</v>
      </c>
      <c r="Q812" s="2" t="s">
        <v>8708</v>
      </c>
      <c r="R812" s="2" t="s">
        <v>36</v>
      </c>
      <c r="S812" s="2" t="s">
        <v>37</v>
      </c>
      <c r="T812" s="2" t="s">
        <v>69</v>
      </c>
      <c r="U812" s="2" t="s">
        <v>29</v>
      </c>
      <c r="V812" s="2" t="n">
        <v>1</v>
      </c>
    </row>
    <row r="813">
      <c r="A813" s="2" t="n">
        <v>812</v>
      </c>
      <c r="B813" s="2" t="s">
        <v>8709</v>
      </c>
      <c r="C813" s="2" t="n">
        <v>572.481497015</v>
      </c>
      <c r="D813" s="2" t="n">
        <v>1.43973536189364</v>
      </c>
      <c r="E813" s="2" t="s">
        <v>8710</v>
      </c>
      <c r="F813" s="2" t="s">
        <v>86</v>
      </c>
      <c r="G813" s="2" t="s">
        <v>8711</v>
      </c>
      <c r="H813" s="2" t="s">
        <v>8712</v>
      </c>
      <c r="I813" s="2" t="s">
        <v>8713</v>
      </c>
      <c r="J813" s="2" t="s">
        <v>8714</v>
      </c>
      <c r="K813" s="2" t="s">
        <v>8715</v>
      </c>
      <c r="L813" s="2" t="s">
        <v>8716</v>
      </c>
      <c r="M813" s="2" t="s">
        <v>8717</v>
      </c>
      <c r="N813" s="2" t="s">
        <v>8718</v>
      </c>
      <c r="O813" s="2" t="s">
        <v>8719</v>
      </c>
      <c r="P813" s="2" t="s">
        <v>8720</v>
      </c>
      <c r="Q813" s="2" t="s">
        <v>8721</v>
      </c>
      <c r="R813" s="2" t="s">
        <v>794</v>
      </c>
      <c r="S813" s="2" t="s">
        <v>7781</v>
      </c>
      <c r="T813" s="2" t="s">
        <v>8722</v>
      </c>
      <c r="U813" s="2" t="s">
        <v>39</v>
      </c>
      <c r="V813" s="2" t="n">
        <v>1</v>
      </c>
    </row>
    <row r="814">
      <c r="A814" s="2" t="n">
        <v>813</v>
      </c>
      <c r="B814" s="2" t="s">
        <v>8723</v>
      </c>
      <c r="C814" s="2" t="n">
        <v>573.312719227</v>
      </c>
      <c r="D814" s="2" t="n">
        <v>4.61454821020927</v>
      </c>
      <c r="E814" s="2" t="s">
        <v>8724</v>
      </c>
      <c r="F814" s="2" t="s">
        <v>161</v>
      </c>
      <c r="G814" s="2" t="s">
        <v>8725</v>
      </c>
      <c r="H814" s="2" t="s">
        <v>8726</v>
      </c>
      <c r="I814" s="2" t="s">
        <v>8727</v>
      </c>
      <c r="J814" s="2" t="s">
        <v>29</v>
      </c>
      <c r="K814" s="2" t="s">
        <v>29</v>
      </c>
      <c r="L814" s="2" t="s">
        <v>29</v>
      </c>
      <c r="M814" s="2" t="s">
        <v>29</v>
      </c>
      <c r="N814" s="2" t="s">
        <v>8728</v>
      </c>
      <c r="O814" s="2" t="s">
        <v>29</v>
      </c>
      <c r="P814" s="2" t="s">
        <v>8729</v>
      </c>
      <c r="Q814" s="2" t="s">
        <v>8730</v>
      </c>
      <c r="R814" s="2" t="s">
        <v>794</v>
      </c>
      <c r="S814" s="2" t="s">
        <v>7122</v>
      </c>
      <c r="T814" s="2" t="s">
        <v>215</v>
      </c>
      <c r="U814" s="2" t="s">
        <v>29</v>
      </c>
      <c r="V814" s="2" t="n">
        <v>1</v>
      </c>
    </row>
    <row r="815">
      <c r="A815" s="2" t="n">
        <v>814</v>
      </c>
      <c r="B815" s="2" t="s">
        <v>8731</v>
      </c>
      <c r="C815" s="2" t="n">
        <v>573.4888346</v>
      </c>
      <c r="D815" s="2" t="n">
        <v>2.15513243459923</v>
      </c>
      <c r="E815" s="2" t="s">
        <v>8732</v>
      </c>
      <c r="F815" s="2" t="s">
        <v>24</v>
      </c>
      <c r="G815" s="2" t="s">
        <v>8733</v>
      </c>
      <c r="H815" s="2" t="s">
        <v>8734</v>
      </c>
      <c r="I815" s="2" t="s">
        <v>8735</v>
      </c>
      <c r="J815" s="2" t="s">
        <v>29</v>
      </c>
      <c r="K815" s="2" t="s">
        <v>29</v>
      </c>
      <c r="L815" s="2" t="s">
        <v>29</v>
      </c>
      <c r="M815" s="2" t="s">
        <v>29</v>
      </c>
      <c r="N815" s="2" t="s">
        <v>8736</v>
      </c>
      <c r="O815" s="2" t="s">
        <v>8737</v>
      </c>
      <c r="P815" s="2" t="s">
        <v>8738</v>
      </c>
      <c r="Q815" s="2" t="s">
        <v>8739</v>
      </c>
      <c r="R815" s="2" t="s">
        <v>794</v>
      </c>
      <c r="S815" s="2" t="s">
        <v>795</v>
      </c>
      <c r="T815" s="2" t="s">
        <v>3273</v>
      </c>
      <c r="U815" s="2" t="s">
        <v>56</v>
      </c>
      <c r="V815" s="2" t="n">
        <v>1</v>
      </c>
    </row>
    <row r="816">
      <c r="A816" s="2" t="n">
        <v>815</v>
      </c>
      <c r="B816" s="2" t="s">
        <v>8740</v>
      </c>
      <c r="C816" s="2" t="n">
        <v>578.313113885</v>
      </c>
      <c r="D816" s="2" t="n">
        <v>6.6364553679476</v>
      </c>
      <c r="E816" s="2" t="s">
        <v>8741</v>
      </c>
      <c r="F816" s="2" t="s">
        <v>161</v>
      </c>
      <c r="G816" s="2" t="s">
        <v>8742</v>
      </c>
      <c r="H816" s="2" t="s">
        <v>8743</v>
      </c>
      <c r="I816" s="2" t="s">
        <v>8744</v>
      </c>
      <c r="J816" s="2" t="s">
        <v>29</v>
      </c>
      <c r="K816" s="2" t="s">
        <v>29</v>
      </c>
      <c r="L816" s="2" t="s">
        <v>29</v>
      </c>
      <c r="M816" s="2" t="s">
        <v>29</v>
      </c>
      <c r="N816" s="2" t="s">
        <v>8745</v>
      </c>
      <c r="O816" s="2" t="s">
        <v>29</v>
      </c>
      <c r="P816" s="2" t="s">
        <v>8746</v>
      </c>
      <c r="Q816" s="2" t="s">
        <v>8747</v>
      </c>
      <c r="R816" s="2" t="s">
        <v>114</v>
      </c>
      <c r="S816" s="2" t="s">
        <v>4121</v>
      </c>
      <c r="T816" s="2" t="s">
        <v>7480</v>
      </c>
      <c r="U816" s="2" t="s">
        <v>29</v>
      </c>
      <c r="V816" s="2" t="n">
        <v>1</v>
      </c>
    </row>
    <row r="817">
      <c r="A817" s="2" t="n">
        <v>816</v>
      </c>
      <c r="B817" s="2" t="s">
        <v>8748</v>
      </c>
      <c r="C817" s="2" t="n">
        <v>580.306297173</v>
      </c>
      <c r="D817" s="2" t="n">
        <v>1.79830528512462</v>
      </c>
      <c r="E817" s="2" t="s">
        <v>8749</v>
      </c>
      <c r="F817" s="2" t="s">
        <v>161</v>
      </c>
      <c r="G817" s="2" t="s">
        <v>8750</v>
      </c>
      <c r="H817" s="2" t="s">
        <v>8751</v>
      </c>
      <c r="I817" s="2" t="s">
        <v>8752</v>
      </c>
      <c r="J817" s="2" t="s">
        <v>29</v>
      </c>
      <c r="K817" s="2" t="s">
        <v>29</v>
      </c>
      <c r="L817" s="2" t="s">
        <v>29</v>
      </c>
      <c r="M817" s="2" t="s">
        <v>29</v>
      </c>
      <c r="N817" s="2" t="s">
        <v>29</v>
      </c>
      <c r="O817" s="2" t="s">
        <v>29</v>
      </c>
      <c r="P817" s="2" t="s">
        <v>8753</v>
      </c>
      <c r="Q817" s="2" t="s">
        <v>8754</v>
      </c>
      <c r="R817" s="2" t="s">
        <v>114</v>
      </c>
      <c r="S817" s="2" t="s">
        <v>8755</v>
      </c>
      <c r="T817" s="2" t="s">
        <v>215</v>
      </c>
      <c r="U817" s="2" t="s">
        <v>29</v>
      </c>
      <c r="V817" s="2" t="n">
        <v>1</v>
      </c>
    </row>
    <row r="818">
      <c r="A818" s="2" t="n">
        <v>817</v>
      </c>
      <c r="B818" s="2" t="s">
        <v>8756</v>
      </c>
      <c r="C818" s="2" t="n">
        <v>581.47038367</v>
      </c>
      <c r="D818" s="2" t="n">
        <v>0.507016267860528</v>
      </c>
      <c r="E818" s="2" t="s">
        <v>8757</v>
      </c>
      <c r="F818" s="2" t="s">
        <v>531</v>
      </c>
      <c r="G818" s="2" t="s">
        <v>8758</v>
      </c>
      <c r="H818" s="2" t="s">
        <v>8759</v>
      </c>
      <c r="I818" s="2" t="s">
        <v>8760</v>
      </c>
      <c r="J818" s="2" t="s">
        <v>8761</v>
      </c>
      <c r="K818" s="2" t="s">
        <v>91</v>
      </c>
      <c r="L818" s="2" t="s">
        <v>91</v>
      </c>
      <c r="M818" s="2" t="s">
        <v>91</v>
      </c>
      <c r="N818" s="2" t="s">
        <v>8762</v>
      </c>
      <c r="O818" s="2" t="s">
        <v>8763</v>
      </c>
      <c r="P818" s="2" t="s">
        <v>8764</v>
      </c>
      <c r="Q818" s="2" t="s">
        <v>8765</v>
      </c>
      <c r="R818" s="2" t="s">
        <v>412</v>
      </c>
      <c r="S818" s="2" t="s">
        <v>5304</v>
      </c>
      <c r="T818" s="2" t="s">
        <v>8766</v>
      </c>
      <c r="U818" s="2" t="s">
        <v>29</v>
      </c>
      <c r="V818" s="2" t="n">
        <v>2</v>
      </c>
    </row>
    <row r="819">
      <c r="A819" s="2" t="n">
        <v>818</v>
      </c>
      <c r="B819" s="2" t="s">
        <v>8767</v>
      </c>
      <c r="C819" s="2" t="n">
        <v>583.484413616</v>
      </c>
      <c r="D819" s="2" t="n">
        <v>3.08793262422547</v>
      </c>
      <c r="E819" s="2" t="s">
        <v>8768</v>
      </c>
      <c r="F819" s="2" t="s">
        <v>205</v>
      </c>
      <c r="G819" s="2" t="s">
        <v>8769</v>
      </c>
      <c r="H819" s="2" t="s">
        <v>8770</v>
      </c>
      <c r="I819" s="2" t="s">
        <v>8771</v>
      </c>
      <c r="J819" s="2" t="s">
        <v>8772</v>
      </c>
      <c r="K819" s="2" t="s">
        <v>29</v>
      </c>
      <c r="L819" s="2" t="s">
        <v>29</v>
      </c>
      <c r="M819" s="2" t="s">
        <v>8773</v>
      </c>
      <c r="N819" s="2" t="s">
        <v>8774</v>
      </c>
      <c r="O819" s="2" t="s">
        <v>8775</v>
      </c>
      <c r="P819" s="2" t="s">
        <v>8776</v>
      </c>
      <c r="Q819" s="2" t="s">
        <v>8777</v>
      </c>
      <c r="R819" s="2" t="s">
        <v>114</v>
      </c>
      <c r="S819" s="2" t="s">
        <v>994</v>
      </c>
      <c r="T819" s="2" t="s">
        <v>1468</v>
      </c>
      <c r="U819" s="2" t="s">
        <v>29</v>
      </c>
      <c r="V819" s="2" t="n">
        <v>1</v>
      </c>
    </row>
    <row r="820">
      <c r="A820" s="2" t="n">
        <v>819</v>
      </c>
      <c r="B820" s="2" t="s">
        <v>8778</v>
      </c>
      <c r="C820" s="2" t="n">
        <v>589.329648616</v>
      </c>
      <c r="D820" s="2" t="n">
        <v>0.480398501263034</v>
      </c>
      <c r="E820" s="2" t="s">
        <v>8779</v>
      </c>
      <c r="F820" s="2" t="s">
        <v>683</v>
      </c>
      <c r="G820" s="2" t="s">
        <v>8780</v>
      </c>
      <c r="H820" s="2" t="s">
        <v>8781</v>
      </c>
      <c r="I820" s="2" t="s">
        <v>8782</v>
      </c>
      <c r="J820" s="2" t="s">
        <v>29</v>
      </c>
      <c r="K820" s="2" t="s">
        <v>29</v>
      </c>
      <c r="L820" s="2" t="s">
        <v>29</v>
      </c>
      <c r="M820" s="2" t="s">
        <v>29</v>
      </c>
      <c r="N820" s="2" t="s">
        <v>8783</v>
      </c>
      <c r="O820" s="2" t="s">
        <v>29</v>
      </c>
      <c r="P820" s="2" t="s">
        <v>8784</v>
      </c>
      <c r="Q820" s="2" t="s">
        <v>8785</v>
      </c>
      <c r="R820" s="2" t="s">
        <v>114</v>
      </c>
      <c r="S820" s="2" t="s">
        <v>4523</v>
      </c>
      <c r="T820" s="2" t="s">
        <v>7752</v>
      </c>
      <c r="U820" s="2" t="s">
        <v>29</v>
      </c>
      <c r="V820" s="2" t="n">
        <v>1</v>
      </c>
    </row>
    <row r="821">
      <c r="A821" s="2" t="n">
        <v>820</v>
      </c>
      <c r="B821" s="2" t="s">
        <v>8786</v>
      </c>
      <c r="C821" s="2" t="n">
        <v>590.231505967</v>
      </c>
      <c r="D821" s="2" t="n">
        <v>5.95475438822147</v>
      </c>
      <c r="E821" s="2" t="s">
        <v>8787</v>
      </c>
      <c r="F821" s="2" t="s">
        <v>205</v>
      </c>
      <c r="G821" s="2" t="s">
        <v>8788</v>
      </c>
      <c r="H821" s="2" t="s">
        <v>8789</v>
      </c>
      <c r="I821" s="2" t="s">
        <v>8790</v>
      </c>
      <c r="J821" s="2" t="s">
        <v>29</v>
      </c>
      <c r="K821" s="2" t="s">
        <v>29</v>
      </c>
      <c r="L821" s="2" t="s">
        <v>29</v>
      </c>
      <c r="M821" s="2" t="s">
        <v>29</v>
      </c>
      <c r="N821" s="2" t="s">
        <v>29</v>
      </c>
      <c r="O821" s="2" t="s">
        <v>8791</v>
      </c>
      <c r="P821" s="2" t="s">
        <v>8792</v>
      </c>
      <c r="Q821" s="2" t="s">
        <v>8793</v>
      </c>
      <c r="R821" s="2" t="s">
        <v>794</v>
      </c>
      <c r="S821" s="2" t="s">
        <v>795</v>
      </c>
      <c r="T821" s="2" t="s">
        <v>8424</v>
      </c>
      <c r="U821" s="2" t="s">
        <v>56</v>
      </c>
      <c r="V821" s="2" t="n">
        <v>1</v>
      </c>
    </row>
    <row r="822">
      <c r="A822" s="2" t="n">
        <v>821</v>
      </c>
      <c r="B822" s="2" t="s">
        <v>8794</v>
      </c>
      <c r="C822" s="2" t="n">
        <v>592.309180149</v>
      </c>
      <c r="D822" s="2" t="n">
        <v>8.74660911356562</v>
      </c>
      <c r="E822" s="2" t="s">
        <v>8795</v>
      </c>
      <c r="F822" s="2" t="s">
        <v>86</v>
      </c>
      <c r="G822" s="2" t="s">
        <v>8796</v>
      </c>
      <c r="H822" s="2" t="s">
        <v>8797</v>
      </c>
      <c r="I822" s="2" t="s">
        <v>8798</v>
      </c>
      <c r="J822" s="2" t="s">
        <v>8799</v>
      </c>
      <c r="K822" s="2" t="s">
        <v>29</v>
      </c>
      <c r="L822" s="2" t="s">
        <v>29</v>
      </c>
      <c r="M822" s="2" t="s">
        <v>29</v>
      </c>
      <c r="N822" s="2" t="s">
        <v>8800</v>
      </c>
      <c r="O822" s="2" t="s">
        <v>29</v>
      </c>
      <c r="P822" s="2" t="s">
        <v>8801</v>
      </c>
      <c r="Q822" s="2" t="s">
        <v>8802</v>
      </c>
      <c r="R822" s="2" t="s">
        <v>36</v>
      </c>
      <c r="S822" s="2" t="s">
        <v>37</v>
      </c>
      <c r="T822" s="2" t="s">
        <v>69</v>
      </c>
      <c r="U822" s="2" t="s">
        <v>29</v>
      </c>
      <c r="V822" s="2" t="n">
        <v>1</v>
      </c>
    </row>
    <row r="823">
      <c r="A823" s="2" t="n">
        <v>822</v>
      </c>
      <c r="B823" s="2" t="s">
        <v>8803</v>
      </c>
      <c r="C823" s="2" t="n">
        <v>592.873067124</v>
      </c>
      <c r="D823" s="2" t="n">
        <v>8.16305283925879</v>
      </c>
      <c r="E823" s="2" t="s">
        <v>8804</v>
      </c>
      <c r="F823" s="2" t="s">
        <v>683</v>
      </c>
      <c r="G823" s="2" t="s">
        <v>8805</v>
      </c>
      <c r="H823" s="2" t="s">
        <v>8806</v>
      </c>
      <c r="I823" s="2" t="s">
        <v>8807</v>
      </c>
      <c r="J823" s="2" t="s">
        <v>29</v>
      </c>
      <c r="K823" s="2" t="s">
        <v>29</v>
      </c>
      <c r="L823" s="2" t="s">
        <v>29</v>
      </c>
      <c r="M823" s="2" t="s">
        <v>29</v>
      </c>
      <c r="N823" s="2" t="s">
        <v>29</v>
      </c>
      <c r="O823" s="2" t="s">
        <v>29</v>
      </c>
      <c r="P823" s="2" t="s">
        <v>8808</v>
      </c>
      <c r="Q823" s="2" t="s">
        <v>8809</v>
      </c>
      <c r="R823" s="2" t="s">
        <v>36</v>
      </c>
      <c r="S823" s="2" t="s">
        <v>2572</v>
      </c>
      <c r="T823" s="2" t="s">
        <v>2637</v>
      </c>
      <c r="U823" s="2" t="s">
        <v>29</v>
      </c>
      <c r="V823" s="2" t="n">
        <v>1</v>
      </c>
    </row>
    <row r="824">
      <c r="A824" s="2" t="n">
        <v>823</v>
      </c>
      <c r="B824" s="2" t="s">
        <v>8810</v>
      </c>
      <c r="C824" s="2" t="n">
        <v>595.228802588</v>
      </c>
      <c r="D824" s="2" t="n">
        <v>4.8061803015415</v>
      </c>
      <c r="E824" s="2" t="s">
        <v>8811</v>
      </c>
      <c r="F824" s="2" t="s">
        <v>218</v>
      </c>
      <c r="G824" s="2" t="s">
        <v>8812</v>
      </c>
      <c r="H824" s="2" t="s">
        <v>8813</v>
      </c>
      <c r="I824" s="2" t="s">
        <v>8814</v>
      </c>
      <c r="J824" s="2" t="s">
        <v>29</v>
      </c>
      <c r="K824" s="2" t="s">
        <v>29</v>
      </c>
      <c r="L824" s="2" t="s">
        <v>29</v>
      </c>
      <c r="M824" s="2" t="s">
        <v>29</v>
      </c>
      <c r="N824" s="2" t="s">
        <v>8815</v>
      </c>
      <c r="O824" s="2" t="s">
        <v>29</v>
      </c>
      <c r="P824" s="2" t="s">
        <v>8816</v>
      </c>
      <c r="Q824" s="2" t="s">
        <v>8817</v>
      </c>
      <c r="R824" s="2" t="s">
        <v>36</v>
      </c>
      <c r="S824" s="2" t="s">
        <v>37</v>
      </c>
      <c r="T824" s="2" t="s">
        <v>69</v>
      </c>
      <c r="U824" s="2" t="s">
        <v>29</v>
      </c>
      <c r="V824" s="2" t="n">
        <v>1</v>
      </c>
    </row>
    <row r="825">
      <c r="A825" s="2" t="n">
        <v>824</v>
      </c>
      <c r="B825" s="2" t="s">
        <v>8818</v>
      </c>
      <c r="C825" s="2" t="n">
        <v>599.327917285</v>
      </c>
      <c r="D825" s="2" t="n">
        <v>1.52472394588622</v>
      </c>
      <c r="E825" s="2" t="s">
        <v>8819</v>
      </c>
      <c r="F825" s="2" t="s">
        <v>24</v>
      </c>
      <c r="G825" s="2" t="s">
        <v>8820</v>
      </c>
      <c r="H825" s="2" t="s">
        <v>8821</v>
      </c>
      <c r="I825" s="2" t="s">
        <v>8822</v>
      </c>
      <c r="J825" s="2" t="s">
        <v>8823</v>
      </c>
      <c r="K825" s="2" t="s">
        <v>29</v>
      </c>
      <c r="L825" s="2" t="s">
        <v>29</v>
      </c>
      <c r="M825" s="2" t="s">
        <v>29</v>
      </c>
      <c r="N825" s="2" t="s">
        <v>8824</v>
      </c>
      <c r="O825" s="2" t="s">
        <v>29</v>
      </c>
      <c r="P825" s="2" t="s">
        <v>8825</v>
      </c>
      <c r="Q825" s="2" t="s">
        <v>8826</v>
      </c>
      <c r="R825" s="2" t="s">
        <v>114</v>
      </c>
      <c r="S825" s="2" t="s">
        <v>994</v>
      </c>
      <c r="T825" s="2" t="s">
        <v>8827</v>
      </c>
      <c r="U825" s="2" t="s">
        <v>29</v>
      </c>
      <c r="V825" s="2" t="n">
        <v>1</v>
      </c>
    </row>
    <row r="826">
      <c r="A826" s="2" t="n">
        <v>825</v>
      </c>
      <c r="B826" s="2" t="s">
        <v>8828</v>
      </c>
      <c r="C826" s="2" t="n">
        <v>599.452838716</v>
      </c>
      <c r="D826" s="2" t="n">
        <v>1.59289898157017</v>
      </c>
      <c r="E826" s="2" t="s">
        <v>8829</v>
      </c>
      <c r="F826" s="2" t="s">
        <v>205</v>
      </c>
      <c r="G826" s="2" t="s">
        <v>8830</v>
      </c>
      <c r="H826" s="2" t="s">
        <v>8831</v>
      </c>
      <c r="I826" s="2" t="s">
        <v>8832</v>
      </c>
      <c r="J826" s="2" t="s">
        <v>8833</v>
      </c>
      <c r="K826" s="2" t="s">
        <v>8834</v>
      </c>
      <c r="L826" s="2" t="s">
        <v>29</v>
      </c>
      <c r="M826" s="2" t="s">
        <v>8835</v>
      </c>
      <c r="N826" s="2" t="s">
        <v>8836</v>
      </c>
      <c r="O826" s="2" t="s">
        <v>8837</v>
      </c>
      <c r="P826" s="2" t="s">
        <v>8838</v>
      </c>
      <c r="Q826" s="2" t="s">
        <v>8839</v>
      </c>
      <c r="R826" s="2" t="s">
        <v>794</v>
      </c>
      <c r="S826" s="2" t="s">
        <v>2600</v>
      </c>
      <c r="T826" s="2" t="s">
        <v>8840</v>
      </c>
      <c r="U826" s="2" t="s">
        <v>29</v>
      </c>
      <c r="V826" s="2" t="n">
        <v>1</v>
      </c>
    </row>
    <row r="827">
      <c r="A827" s="2" t="n">
        <v>826</v>
      </c>
      <c r="B827" s="2" t="s">
        <v>8841</v>
      </c>
      <c r="C827" s="2" t="n">
        <v>599.928879443</v>
      </c>
      <c r="D827" s="2" t="n">
        <v>9.52184427911495</v>
      </c>
      <c r="E827" s="2" t="s">
        <v>8842</v>
      </c>
      <c r="F827" s="2" t="s">
        <v>205</v>
      </c>
      <c r="G827" s="2" t="s">
        <v>8843</v>
      </c>
      <c r="H827" s="2" t="s">
        <v>8844</v>
      </c>
      <c r="I827" s="2" t="s">
        <v>8845</v>
      </c>
      <c r="J827" s="2" t="s">
        <v>8846</v>
      </c>
      <c r="K827" s="2" t="s">
        <v>29</v>
      </c>
      <c r="L827" s="2" t="s">
        <v>8847</v>
      </c>
      <c r="M827" s="2" t="s">
        <v>8848</v>
      </c>
      <c r="N827" s="2" t="s">
        <v>8849</v>
      </c>
      <c r="O827" s="2" t="s">
        <v>29</v>
      </c>
      <c r="P827" s="2" t="s">
        <v>8850</v>
      </c>
      <c r="Q827" s="2" t="s">
        <v>8851</v>
      </c>
      <c r="R827" s="2" t="s">
        <v>2416</v>
      </c>
      <c r="S827" s="2" t="s">
        <v>7795</v>
      </c>
      <c r="T827" s="2" t="s">
        <v>7796</v>
      </c>
      <c r="U827" s="2" t="s">
        <v>101</v>
      </c>
      <c r="V827" s="2" t="n">
        <v>1</v>
      </c>
    </row>
    <row r="828">
      <c r="A828" s="2" t="n">
        <v>827</v>
      </c>
      <c r="B828" s="2" t="s">
        <v>8852</v>
      </c>
      <c r="C828" s="2" t="n">
        <v>601.144129478</v>
      </c>
      <c r="D828" s="2" t="n">
        <v>0.0804507206379348</v>
      </c>
      <c r="E828" s="2" t="s">
        <v>8853</v>
      </c>
      <c r="F828" s="2" t="s">
        <v>218</v>
      </c>
      <c r="G828" s="2" t="s">
        <v>8854</v>
      </c>
      <c r="H828" s="2" t="s">
        <v>8855</v>
      </c>
      <c r="I828" s="2" t="s">
        <v>8856</v>
      </c>
      <c r="J828" s="2" t="s">
        <v>29</v>
      </c>
      <c r="K828" s="2" t="s">
        <v>29</v>
      </c>
      <c r="L828" s="2" t="s">
        <v>29</v>
      </c>
      <c r="M828" s="2" t="s">
        <v>29</v>
      </c>
      <c r="N828" s="2" t="s">
        <v>29</v>
      </c>
      <c r="O828" s="2" t="s">
        <v>29</v>
      </c>
      <c r="P828" s="2" t="s">
        <v>8857</v>
      </c>
      <c r="Q828" s="2" t="s">
        <v>8858</v>
      </c>
      <c r="R828" s="2" t="s">
        <v>129</v>
      </c>
      <c r="S828" s="2" t="s">
        <v>130</v>
      </c>
      <c r="T828" s="2" t="s">
        <v>1681</v>
      </c>
      <c r="U828" s="2" t="s">
        <v>29</v>
      </c>
      <c r="V828" s="2" t="n">
        <v>1</v>
      </c>
    </row>
    <row r="829">
      <c r="A829" s="2" t="n">
        <v>828</v>
      </c>
      <c r="B829" s="2" t="s">
        <v>8859</v>
      </c>
      <c r="C829" s="2" t="n">
        <v>602.1401053</v>
      </c>
      <c r="D829" s="2" t="n">
        <v>5.43910505970778</v>
      </c>
      <c r="E829" s="2" t="s">
        <v>8860</v>
      </c>
      <c r="F829" s="2" t="s">
        <v>86</v>
      </c>
      <c r="G829" s="2" t="s">
        <v>8861</v>
      </c>
      <c r="H829" s="2" t="s">
        <v>8862</v>
      </c>
      <c r="I829" s="2" t="s">
        <v>8863</v>
      </c>
      <c r="J829" s="2" t="s">
        <v>29</v>
      </c>
      <c r="K829" s="2" t="s">
        <v>29</v>
      </c>
      <c r="L829" s="2" t="s">
        <v>29</v>
      </c>
      <c r="M829" s="2" t="s">
        <v>8864</v>
      </c>
      <c r="N829" s="2" t="s">
        <v>8865</v>
      </c>
      <c r="O829" s="2" t="s">
        <v>29</v>
      </c>
      <c r="P829" s="2" t="s">
        <v>8866</v>
      </c>
      <c r="Q829" s="2" t="s">
        <v>8867</v>
      </c>
      <c r="R829" s="2" t="s">
        <v>186</v>
      </c>
      <c r="S829" s="2" t="s">
        <v>187</v>
      </c>
      <c r="T829" s="2" t="s">
        <v>8409</v>
      </c>
      <c r="U829" s="2" t="s">
        <v>29</v>
      </c>
      <c r="V829" s="2" t="n">
        <v>1</v>
      </c>
    </row>
    <row r="830">
      <c r="A830" s="2" t="n">
        <v>829</v>
      </c>
      <c r="B830" s="2" t="s">
        <v>8868</v>
      </c>
      <c r="C830" s="2" t="n">
        <v>602.323021321</v>
      </c>
      <c r="D830" s="2" t="n">
        <v>7.49905684410545</v>
      </c>
      <c r="E830" s="2" t="s">
        <v>8869</v>
      </c>
      <c r="F830" s="2" t="s">
        <v>86</v>
      </c>
      <c r="G830" s="2" t="s">
        <v>8870</v>
      </c>
      <c r="H830" s="2" t="s">
        <v>8871</v>
      </c>
      <c r="I830" s="2" t="s">
        <v>8872</v>
      </c>
      <c r="J830" s="2" t="s">
        <v>29</v>
      </c>
      <c r="K830" s="2" t="s">
        <v>29</v>
      </c>
      <c r="L830" s="2" t="s">
        <v>29</v>
      </c>
      <c r="M830" s="2" t="s">
        <v>29</v>
      </c>
      <c r="N830" s="2" t="s">
        <v>8873</v>
      </c>
      <c r="O830" s="2" t="s">
        <v>29</v>
      </c>
      <c r="P830" s="2" t="s">
        <v>8874</v>
      </c>
      <c r="Q830" s="2" t="s">
        <v>8875</v>
      </c>
      <c r="R830" s="2" t="s">
        <v>794</v>
      </c>
      <c r="S830" s="2" t="s">
        <v>7122</v>
      </c>
      <c r="T830" s="2" t="s">
        <v>8876</v>
      </c>
      <c r="U830" s="2" t="s">
        <v>29</v>
      </c>
      <c r="V830" s="2" t="n">
        <v>1</v>
      </c>
    </row>
    <row r="831">
      <c r="A831" s="2" t="n">
        <v>830</v>
      </c>
      <c r="B831" s="2" t="s">
        <v>8877</v>
      </c>
      <c r="C831" s="2" t="n">
        <v>605.47053642</v>
      </c>
      <c r="D831" s="2" t="n">
        <v>5.51975019687618</v>
      </c>
      <c r="E831" s="2" t="s">
        <v>8878</v>
      </c>
      <c r="F831" s="2" t="s">
        <v>218</v>
      </c>
      <c r="G831" s="2" t="s">
        <v>8879</v>
      </c>
      <c r="H831" s="2" t="s">
        <v>8880</v>
      </c>
      <c r="I831" s="2" t="s">
        <v>8881</v>
      </c>
      <c r="J831" s="2" t="s">
        <v>8882</v>
      </c>
      <c r="K831" s="2" t="s">
        <v>8883</v>
      </c>
      <c r="L831" s="2" t="s">
        <v>8884</v>
      </c>
      <c r="M831" s="2" t="s">
        <v>29</v>
      </c>
      <c r="N831" s="2" t="s">
        <v>8885</v>
      </c>
      <c r="O831" s="2" t="s">
        <v>8886</v>
      </c>
      <c r="P831" s="2" t="s">
        <v>8887</v>
      </c>
      <c r="Q831" s="2" t="s">
        <v>8888</v>
      </c>
      <c r="R831" s="2" t="s">
        <v>794</v>
      </c>
      <c r="S831" s="2" t="s">
        <v>2971</v>
      </c>
      <c r="T831" s="2" t="s">
        <v>6290</v>
      </c>
      <c r="U831" s="2" t="s">
        <v>101</v>
      </c>
      <c r="V831" s="2" t="n">
        <v>1</v>
      </c>
    </row>
    <row r="832">
      <c r="A832" s="2" t="n">
        <v>831</v>
      </c>
      <c r="B832" s="2" t="s">
        <v>8889</v>
      </c>
      <c r="C832" s="2" t="n">
        <v>607.07381332</v>
      </c>
      <c r="D832" s="2" t="n">
        <v>5.89172648219097</v>
      </c>
      <c r="E832" s="2" t="s">
        <v>8890</v>
      </c>
      <c r="F832" s="2" t="s">
        <v>683</v>
      </c>
      <c r="G832" s="2" t="s">
        <v>8891</v>
      </c>
      <c r="H832" s="2" t="s">
        <v>8892</v>
      </c>
      <c r="I832" s="2" t="s">
        <v>8893</v>
      </c>
      <c r="J832" s="2" t="s">
        <v>29</v>
      </c>
      <c r="K832" s="2" t="s">
        <v>29</v>
      </c>
      <c r="L832" s="2" t="s">
        <v>29</v>
      </c>
      <c r="M832" s="2" t="s">
        <v>29</v>
      </c>
      <c r="N832" s="2" t="s">
        <v>8894</v>
      </c>
      <c r="O832" s="2" t="s">
        <v>29</v>
      </c>
      <c r="P832" s="2" t="s">
        <v>8895</v>
      </c>
      <c r="Q832" s="2" t="s">
        <v>8896</v>
      </c>
      <c r="R832" s="2" t="s">
        <v>186</v>
      </c>
      <c r="S832" s="2" t="s">
        <v>3898</v>
      </c>
      <c r="T832" s="2" t="s">
        <v>215</v>
      </c>
      <c r="U832" s="2" t="s">
        <v>29</v>
      </c>
      <c r="V832" s="2" t="n">
        <v>1</v>
      </c>
    </row>
    <row r="833">
      <c r="A833" s="2" t="n">
        <v>832</v>
      </c>
      <c r="B833" s="2" t="s">
        <v>8897</v>
      </c>
      <c r="C833" s="2" t="n">
        <v>609.509963972</v>
      </c>
      <c r="D833" s="2" t="n">
        <v>7.46780972584407</v>
      </c>
      <c r="E833" s="2" t="s">
        <v>8898</v>
      </c>
      <c r="F833" s="2" t="s">
        <v>24</v>
      </c>
      <c r="G833" s="2" t="s">
        <v>8899</v>
      </c>
      <c r="H833" s="2" t="s">
        <v>8900</v>
      </c>
      <c r="I833" s="2" t="s">
        <v>8901</v>
      </c>
      <c r="J833" s="2" t="s">
        <v>8902</v>
      </c>
      <c r="K833" s="2" t="s">
        <v>91</v>
      </c>
      <c r="L833" s="2" t="s">
        <v>91</v>
      </c>
      <c r="M833" s="2" t="s">
        <v>91</v>
      </c>
      <c r="N833" s="2" t="s">
        <v>8903</v>
      </c>
      <c r="O833" s="2" t="s">
        <v>8904</v>
      </c>
      <c r="P833" s="2" t="s">
        <v>8905</v>
      </c>
      <c r="Q833" s="2" t="s">
        <v>8906</v>
      </c>
      <c r="R833" s="2" t="s">
        <v>412</v>
      </c>
      <c r="S833" s="2" t="s">
        <v>8907</v>
      </c>
      <c r="T833" s="2" t="s">
        <v>8908</v>
      </c>
      <c r="U833" s="2" t="s">
        <v>29</v>
      </c>
      <c r="V833" s="2" t="n">
        <v>2</v>
      </c>
    </row>
    <row r="834">
      <c r="A834" s="2" t="n">
        <v>833</v>
      </c>
      <c r="B834" s="2" t="s">
        <v>8909</v>
      </c>
      <c r="C834" s="2" t="n">
        <v>611.525609734</v>
      </c>
      <c r="D834" s="2" t="n">
        <v>5.60575090416232</v>
      </c>
      <c r="E834" s="2" t="s">
        <v>8910</v>
      </c>
      <c r="F834" s="2" t="s">
        <v>205</v>
      </c>
      <c r="G834" s="2" t="s">
        <v>8911</v>
      </c>
      <c r="H834" s="2" t="s">
        <v>8912</v>
      </c>
      <c r="I834" s="2" t="s">
        <v>8913</v>
      </c>
      <c r="J834" s="2" t="s">
        <v>195</v>
      </c>
      <c r="K834" s="2" t="s">
        <v>8914</v>
      </c>
      <c r="L834" s="2" t="s">
        <v>195</v>
      </c>
      <c r="M834" s="2" t="s">
        <v>195</v>
      </c>
      <c r="N834" s="2" t="s">
        <v>8915</v>
      </c>
      <c r="O834" s="2" t="s">
        <v>195</v>
      </c>
      <c r="P834" s="2" t="s">
        <v>8916</v>
      </c>
      <c r="Q834" s="2" t="s">
        <v>8917</v>
      </c>
      <c r="R834" s="2" t="s">
        <v>255</v>
      </c>
      <c r="S834" s="2" t="s">
        <v>256</v>
      </c>
      <c r="T834" s="2" t="s">
        <v>257</v>
      </c>
      <c r="U834" s="2" t="s">
        <v>29</v>
      </c>
      <c r="V834" s="2" t="n">
        <v>3</v>
      </c>
    </row>
    <row r="835">
      <c r="A835" s="2" t="n">
        <v>834</v>
      </c>
      <c r="B835" s="2" t="s">
        <v>8918</v>
      </c>
      <c r="C835" s="2" t="n">
        <v>612.228709411</v>
      </c>
      <c r="D835" s="2" t="n">
        <v>2.57825499900899</v>
      </c>
      <c r="E835" s="2" t="s">
        <v>8919</v>
      </c>
      <c r="F835" s="2" t="s">
        <v>531</v>
      </c>
      <c r="G835" s="2" t="s">
        <v>8920</v>
      </c>
      <c r="H835" s="2" t="s">
        <v>8921</v>
      </c>
      <c r="I835" s="2" t="s">
        <v>8922</v>
      </c>
      <c r="J835" s="2" t="s">
        <v>29</v>
      </c>
      <c r="K835" s="2" t="s">
        <v>29</v>
      </c>
      <c r="L835" s="2" t="s">
        <v>29</v>
      </c>
      <c r="M835" s="2" t="s">
        <v>29</v>
      </c>
      <c r="N835" s="2" t="s">
        <v>8923</v>
      </c>
      <c r="O835" s="2" t="s">
        <v>29</v>
      </c>
      <c r="P835" s="2" t="s">
        <v>8924</v>
      </c>
      <c r="Q835" s="2" t="s">
        <v>8925</v>
      </c>
      <c r="R835" s="2" t="s">
        <v>36</v>
      </c>
      <c r="S835" s="2" t="s">
        <v>7927</v>
      </c>
      <c r="T835" s="2" t="s">
        <v>8926</v>
      </c>
      <c r="U835" s="2" t="s">
        <v>29</v>
      </c>
      <c r="V835" s="2" t="n">
        <v>1</v>
      </c>
    </row>
    <row r="836">
      <c r="A836" s="2" t="n">
        <v>835</v>
      </c>
      <c r="B836" s="2" t="s">
        <v>8927</v>
      </c>
      <c r="C836" s="2" t="n">
        <v>613.082958342</v>
      </c>
      <c r="D836" s="2" t="n">
        <v>0.887793077169817</v>
      </c>
      <c r="E836" s="2" t="s">
        <v>8928</v>
      </c>
      <c r="F836" s="2" t="s">
        <v>161</v>
      </c>
      <c r="G836" s="2" t="s">
        <v>8929</v>
      </c>
      <c r="H836" s="2" t="s">
        <v>8930</v>
      </c>
      <c r="I836" s="2" t="s">
        <v>8931</v>
      </c>
      <c r="J836" s="2" t="s">
        <v>8932</v>
      </c>
      <c r="K836" s="2" t="s">
        <v>91</v>
      </c>
      <c r="L836" s="2" t="s">
        <v>91</v>
      </c>
      <c r="M836" s="2" t="s">
        <v>91</v>
      </c>
      <c r="N836" s="2" t="s">
        <v>8933</v>
      </c>
      <c r="O836" s="2" t="s">
        <v>8934</v>
      </c>
      <c r="P836" s="2" t="s">
        <v>8935</v>
      </c>
      <c r="Q836" s="2" t="s">
        <v>8936</v>
      </c>
      <c r="R836" s="2" t="s">
        <v>7198</v>
      </c>
      <c r="S836" s="2" t="s">
        <v>8937</v>
      </c>
      <c r="T836" s="2" t="s">
        <v>8938</v>
      </c>
      <c r="U836" s="2" t="s">
        <v>29</v>
      </c>
      <c r="V836" s="2" t="n">
        <v>2</v>
      </c>
    </row>
    <row r="837">
      <c r="A837" s="2" t="n">
        <v>836</v>
      </c>
      <c r="B837" s="2" t="s">
        <v>8939</v>
      </c>
      <c r="C837" s="2" t="n">
        <v>615.224904462</v>
      </c>
      <c r="D837" s="2" t="n">
        <v>1.99114488533904</v>
      </c>
      <c r="E837" s="2" t="s">
        <v>8940</v>
      </c>
      <c r="F837" s="2" t="s">
        <v>205</v>
      </c>
      <c r="G837" s="2" t="s">
        <v>8941</v>
      </c>
      <c r="H837" s="2" t="s">
        <v>8942</v>
      </c>
      <c r="I837" s="2" t="s">
        <v>8943</v>
      </c>
      <c r="J837" s="2" t="s">
        <v>29</v>
      </c>
      <c r="K837" s="2" t="s">
        <v>29</v>
      </c>
      <c r="L837" s="2" t="s">
        <v>29</v>
      </c>
      <c r="M837" s="2" t="s">
        <v>8944</v>
      </c>
      <c r="N837" s="2" t="s">
        <v>8945</v>
      </c>
      <c r="O837" s="2" t="s">
        <v>29</v>
      </c>
      <c r="P837" s="2" t="s">
        <v>8946</v>
      </c>
      <c r="Q837" s="2" t="s">
        <v>8947</v>
      </c>
      <c r="R837" s="2" t="s">
        <v>114</v>
      </c>
      <c r="S837" s="2" t="s">
        <v>994</v>
      </c>
      <c r="T837" s="2" t="s">
        <v>3328</v>
      </c>
      <c r="U837" s="2" t="s">
        <v>29</v>
      </c>
      <c r="V837" s="2" t="n">
        <v>1</v>
      </c>
    </row>
    <row r="838">
      <c r="A838" s="2" t="n">
        <v>837</v>
      </c>
      <c r="B838" s="2" t="s">
        <v>8948</v>
      </c>
      <c r="C838" s="2" t="n">
        <v>619.295415391</v>
      </c>
      <c r="D838" s="2" t="n">
        <v>2.57427578613819</v>
      </c>
      <c r="E838" s="2" t="s">
        <v>8949</v>
      </c>
      <c r="F838" s="2" t="s">
        <v>161</v>
      </c>
      <c r="G838" s="2" t="s">
        <v>8950</v>
      </c>
      <c r="H838" s="2" t="s">
        <v>8951</v>
      </c>
      <c r="I838" s="2" t="s">
        <v>8952</v>
      </c>
      <c r="J838" s="2" t="s">
        <v>29</v>
      </c>
      <c r="K838" s="2" t="s">
        <v>29</v>
      </c>
      <c r="L838" s="2" t="s">
        <v>29</v>
      </c>
      <c r="M838" s="2" t="s">
        <v>29</v>
      </c>
      <c r="N838" s="2" t="s">
        <v>8953</v>
      </c>
      <c r="O838" s="2" t="s">
        <v>29</v>
      </c>
      <c r="P838" s="2" t="s">
        <v>8954</v>
      </c>
      <c r="Q838" s="2" t="s">
        <v>8955</v>
      </c>
      <c r="R838" s="2" t="s">
        <v>36</v>
      </c>
      <c r="S838" s="2" t="s">
        <v>37</v>
      </c>
      <c r="T838" s="2" t="s">
        <v>69</v>
      </c>
      <c r="U838" s="2" t="s">
        <v>29</v>
      </c>
      <c r="V838" s="2" t="n">
        <v>1</v>
      </c>
    </row>
    <row r="839">
      <c r="A839" s="2" t="n">
        <v>838</v>
      </c>
      <c r="B839" s="2" t="s">
        <v>8956</v>
      </c>
      <c r="C839" s="2" t="n">
        <v>621.328032126</v>
      </c>
      <c r="D839" s="2" t="n">
        <v>4.58626366125224</v>
      </c>
      <c r="E839" s="2" t="s">
        <v>8957</v>
      </c>
      <c r="F839" s="2" t="s">
        <v>205</v>
      </c>
      <c r="G839" s="2" t="s">
        <v>8958</v>
      </c>
      <c r="H839" s="2" t="s">
        <v>8959</v>
      </c>
      <c r="I839" s="2" t="s">
        <v>8960</v>
      </c>
      <c r="J839" s="2" t="s">
        <v>29</v>
      </c>
      <c r="K839" s="2" t="s">
        <v>29</v>
      </c>
      <c r="L839" s="2" t="s">
        <v>29</v>
      </c>
      <c r="M839" s="2" t="s">
        <v>29</v>
      </c>
      <c r="N839" s="2" t="s">
        <v>8961</v>
      </c>
      <c r="O839" s="2" t="s">
        <v>29</v>
      </c>
      <c r="P839" s="2" t="s">
        <v>8962</v>
      </c>
      <c r="Q839" s="2" t="s">
        <v>8963</v>
      </c>
      <c r="R839" s="2" t="s">
        <v>794</v>
      </c>
      <c r="S839" s="2" t="s">
        <v>2971</v>
      </c>
      <c r="T839" s="2" t="s">
        <v>6693</v>
      </c>
      <c r="U839" s="2" t="s">
        <v>29</v>
      </c>
      <c r="V839" s="2" t="n">
        <v>1</v>
      </c>
    </row>
    <row r="840">
      <c r="A840" s="2" t="n">
        <v>839</v>
      </c>
      <c r="B840" s="2" t="s">
        <v>8964</v>
      </c>
      <c r="C840" s="2" t="n">
        <v>622.360458002</v>
      </c>
      <c r="D840" s="2" t="n">
        <v>1.38362873062112</v>
      </c>
      <c r="E840" s="2" t="s">
        <v>8965</v>
      </c>
      <c r="F840" s="2" t="s">
        <v>161</v>
      </c>
      <c r="G840" s="2" t="s">
        <v>8966</v>
      </c>
      <c r="H840" s="2" t="s">
        <v>8967</v>
      </c>
      <c r="I840" s="2" t="s">
        <v>8968</v>
      </c>
      <c r="J840" s="2" t="s">
        <v>29</v>
      </c>
      <c r="K840" s="2" t="s">
        <v>29</v>
      </c>
      <c r="L840" s="2" t="s">
        <v>29</v>
      </c>
      <c r="M840" s="2" t="s">
        <v>29</v>
      </c>
      <c r="N840" s="2" t="s">
        <v>8969</v>
      </c>
      <c r="O840" s="2" t="s">
        <v>29</v>
      </c>
      <c r="P840" s="2" t="s">
        <v>8970</v>
      </c>
      <c r="Q840" s="2" t="s">
        <v>8971</v>
      </c>
      <c r="R840" s="2" t="s">
        <v>36</v>
      </c>
      <c r="S840" s="2" t="s">
        <v>37</v>
      </c>
      <c r="T840" s="2" t="s">
        <v>69</v>
      </c>
      <c r="U840" s="2" t="s">
        <v>29</v>
      </c>
      <c r="V840" s="2" t="n">
        <v>1</v>
      </c>
    </row>
    <row r="841">
      <c r="A841" s="2" t="n">
        <v>840</v>
      </c>
      <c r="B841" s="2" t="s">
        <v>8972</v>
      </c>
      <c r="C841" s="2" t="n">
        <v>623.370171718</v>
      </c>
      <c r="D841" s="2" t="n">
        <v>2.45617106320382</v>
      </c>
      <c r="E841" s="2" t="s">
        <v>8973</v>
      </c>
      <c r="F841" s="2" t="s">
        <v>205</v>
      </c>
      <c r="G841" s="2" t="s">
        <v>8974</v>
      </c>
      <c r="H841" s="2" t="s">
        <v>8975</v>
      </c>
      <c r="I841" s="2" t="s">
        <v>8976</v>
      </c>
      <c r="J841" s="2" t="s">
        <v>29</v>
      </c>
      <c r="K841" s="2" t="s">
        <v>29</v>
      </c>
      <c r="L841" s="2" t="s">
        <v>29</v>
      </c>
      <c r="M841" s="2" t="s">
        <v>29</v>
      </c>
      <c r="N841" s="2" t="s">
        <v>8977</v>
      </c>
      <c r="O841" s="2" t="s">
        <v>29</v>
      </c>
      <c r="P841" s="2" t="s">
        <v>8978</v>
      </c>
      <c r="Q841" s="2" t="s">
        <v>8979</v>
      </c>
      <c r="R841" s="2" t="s">
        <v>794</v>
      </c>
      <c r="S841" s="2" t="s">
        <v>2971</v>
      </c>
      <c r="T841" s="2" t="s">
        <v>6499</v>
      </c>
      <c r="U841" s="2" t="s">
        <v>29</v>
      </c>
      <c r="V841" s="2" t="n">
        <v>1</v>
      </c>
    </row>
    <row r="842">
      <c r="A842" s="2" t="n">
        <v>841</v>
      </c>
      <c r="B842" s="2" t="s">
        <v>8980</v>
      </c>
      <c r="C842" s="2" t="n">
        <v>623.465692222</v>
      </c>
      <c r="D842" s="2" t="n">
        <v>3.61704218084742</v>
      </c>
      <c r="E842" s="2" t="s">
        <v>8981</v>
      </c>
      <c r="F842" s="2" t="s">
        <v>531</v>
      </c>
      <c r="G842" s="2" t="s">
        <v>8982</v>
      </c>
      <c r="H842" s="2" t="s">
        <v>8983</v>
      </c>
      <c r="I842" s="2" t="s">
        <v>8984</v>
      </c>
      <c r="J842" s="2" t="s">
        <v>8985</v>
      </c>
      <c r="K842" s="2" t="s">
        <v>8986</v>
      </c>
      <c r="L842" s="2" t="s">
        <v>29</v>
      </c>
      <c r="M842" s="2" t="s">
        <v>29</v>
      </c>
      <c r="N842" s="2" t="s">
        <v>8987</v>
      </c>
      <c r="O842" s="2" t="s">
        <v>29</v>
      </c>
      <c r="P842" s="2" t="s">
        <v>8988</v>
      </c>
      <c r="Q842" s="2" t="s">
        <v>8989</v>
      </c>
      <c r="R842" s="2" t="s">
        <v>794</v>
      </c>
      <c r="S842" s="2" t="s">
        <v>2600</v>
      </c>
      <c r="T842" s="2" t="s">
        <v>8990</v>
      </c>
      <c r="U842" s="2" t="s">
        <v>29</v>
      </c>
      <c r="V842" s="2" t="n">
        <v>1</v>
      </c>
    </row>
    <row r="843">
      <c r="A843" s="2" t="n">
        <v>842</v>
      </c>
      <c r="B843" s="2" t="s">
        <v>8991</v>
      </c>
      <c r="C843" s="2" t="n">
        <v>625.516111982</v>
      </c>
      <c r="D843" s="2" t="n">
        <v>0.438350279544143</v>
      </c>
      <c r="E843" s="2" t="s">
        <v>8992</v>
      </c>
      <c r="F843" s="2" t="s">
        <v>683</v>
      </c>
      <c r="G843" s="2" t="s">
        <v>8993</v>
      </c>
      <c r="H843" s="2" t="s">
        <v>8994</v>
      </c>
      <c r="I843" s="2" t="s">
        <v>8995</v>
      </c>
      <c r="J843" s="2" t="s">
        <v>8996</v>
      </c>
      <c r="K843" s="2" t="s">
        <v>8997</v>
      </c>
      <c r="L843" s="2" t="s">
        <v>29</v>
      </c>
      <c r="M843" s="2" t="s">
        <v>8998</v>
      </c>
      <c r="N843" s="2" t="s">
        <v>8999</v>
      </c>
      <c r="O843" s="2" t="s">
        <v>9000</v>
      </c>
      <c r="P843" s="2" t="s">
        <v>9001</v>
      </c>
      <c r="Q843" s="2" t="s">
        <v>9002</v>
      </c>
      <c r="R843" s="2" t="s">
        <v>36</v>
      </c>
      <c r="S843" s="2" t="s">
        <v>37</v>
      </c>
      <c r="T843" s="2" t="s">
        <v>69</v>
      </c>
      <c r="U843" s="2" t="s">
        <v>56</v>
      </c>
      <c r="V843" s="2" t="n">
        <v>1</v>
      </c>
    </row>
    <row r="844">
      <c r="A844" s="2" t="n">
        <v>843</v>
      </c>
      <c r="B844" s="2" t="s">
        <v>9003</v>
      </c>
      <c r="C844" s="2" t="n">
        <v>626.53650877</v>
      </c>
      <c r="D844" s="2" t="n">
        <v>0.110562367681072</v>
      </c>
      <c r="E844" s="2" t="s">
        <v>9004</v>
      </c>
      <c r="F844" s="2" t="s">
        <v>205</v>
      </c>
      <c r="G844" s="2" t="s">
        <v>9005</v>
      </c>
      <c r="H844" s="2" t="s">
        <v>9006</v>
      </c>
      <c r="I844" s="2" t="s">
        <v>9007</v>
      </c>
      <c r="J844" s="2" t="s">
        <v>29</v>
      </c>
      <c r="K844" s="2" t="s">
        <v>29</v>
      </c>
      <c r="L844" s="2" t="s">
        <v>29</v>
      </c>
      <c r="M844" s="2" t="s">
        <v>29</v>
      </c>
      <c r="N844" s="2" t="s">
        <v>29</v>
      </c>
      <c r="O844" s="2" t="s">
        <v>29</v>
      </c>
      <c r="P844" s="2" t="s">
        <v>9008</v>
      </c>
      <c r="Q844" s="2" t="s">
        <v>9009</v>
      </c>
      <c r="R844" s="2" t="s">
        <v>794</v>
      </c>
      <c r="S844" s="2" t="s">
        <v>795</v>
      </c>
      <c r="T844" s="2" t="s">
        <v>1870</v>
      </c>
      <c r="U844" s="2" t="s">
        <v>29</v>
      </c>
      <c r="V844" s="2" t="n">
        <v>1</v>
      </c>
    </row>
    <row r="845">
      <c r="A845" s="2" t="n">
        <v>844</v>
      </c>
      <c r="B845" s="2" t="s">
        <v>9010</v>
      </c>
      <c r="C845" s="2" t="n">
        <v>627.486583526</v>
      </c>
      <c r="D845" s="2" t="n">
        <v>6.54002449055459</v>
      </c>
      <c r="E845" s="2" t="s">
        <v>9011</v>
      </c>
      <c r="F845" s="2" t="s">
        <v>161</v>
      </c>
      <c r="G845" s="2" t="s">
        <v>9012</v>
      </c>
      <c r="H845" s="2" t="s">
        <v>9013</v>
      </c>
      <c r="I845" s="2" t="s">
        <v>9014</v>
      </c>
      <c r="J845" s="2" t="s">
        <v>9015</v>
      </c>
      <c r="K845" s="2" t="s">
        <v>9016</v>
      </c>
      <c r="L845" s="2" t="s">
        <v>9017</v>
      </c>
      <c r="M845" s="2" t="s">
        <v>9018</v>
      </c>
      <c r="N845" s="2" t="s">
        <v>9019</v>
      </c>
      <c r="O845" s="2" t="s">
        <v>29</v>
      </c>
      <c r="P845" s="2" t="s">
        <v>9020</v>
      </c>
      <c r="Q845" s="2" t="s">
        <v>9021</v>
      </c>
      <c r="R845" s="2" t="s">
        <v>794</v>
      </c>
      <c r="S845" s="2" t="s">
        <v>7781</v>
      </c>
      <c r="T845" s="2" t="s">
        <v>7782</v>
      </c>
      <c r="U845" s="2" t="s">
        <v>101</v>
      </c>
      <c r="V845" s="2" t="n">
        <v>1</v>
      </c>
    </row>
    <row r="846">
      <c r="A846" s="2" t="n">
        <v>845</v>
      </c>
      <c r="B846" s="2" t="s">
        <v>9022</v>
      </c>
      <c r="C846" s="2" t="n">
        <v>628.204351283</v>
      </c>
      <c r="D846" s="2" t="n">
        <v>4.18237425890448</v>
      </c>
      <c r="E846" s="2" t="s">
        <v>9023</v>
      </c>
      <c r="F846" s="2" t="s">
        <v>161</v>
      </c>
      <c r="G846" s="2" t="s">
        <v>9024</v>
      </c>
      <c r="H846" s="2" t="s">
        <v>9025</v>
      </c>
      <c r="I846" s="2" t="s">
        <v>9026</v>
      </c>
      <c r="J846" s="2" t="s">
        <v>29</v>
      </c>
      <c r="K846" s="2" t="s">
        <v>29</v>
      </c>
      <c r="L846" s="2" t="s">
        <v>29</v>
      </c>
      <c r="M846" s="2" t="s">
        <v>29</v>
      </c>
      <c r="N846" s="2" t="s">
        <v>9027</v>
      </c>
      <c r="O846" s="2" t="s">
        <v>29</v>
      </c>
      <c r="P846" s="2" t="s">
        <v>9028</v>
      </c>
      <c r="Q846" s="2" t="s">
        <v>9029</v>
      </c>
      <c r="R846" s="2" t="s">
        <v>36</v>
      </c>
      <c r="S846" s="2" t="s">
        <v>37</v>
      </c>
      <c r="T846" s="2" t="s">
        <v>69</v>
      </c>
      <c r="U846" s="2" t="s">
        <v>29</v>
      </c>
      <c r="V846" s="2" t="n">
        <v>1</v>
      </c>
    </row>
    <row r="847">
      <c r="A847" s="2" t="n">
        <v>846</v>
      </c>
      <c r="B847" s="2" t="s">
        <v>9030</v>
      </c>
      <c r="C847" s="2" t="n">
        <v>629.201018986</v>
      </c>
      <c r="D847" s="2" t="n">
        <v>3.45940369025959</v>
      </c>
      <c r="E847" s="2" t="s">
        <v>9031</v>
      </c>
      <c r="F847" s="2" t="s">
        <v>683</v>
      </c>
      <c r="G847" s="2" t="s">
        <v>9032</v>
      </c>
      <c r="H847" s="2" t="s">
        <v>9033</v>
      </c>
      <c r="I847" s="2" t="s">
        <v>9034</v>
      </c>
      <c r="J847" s="2" t="s">
        <v>9035</v>
      </c>
      <c r="K847" s="2" t="s">
        <v>29</v>
      </c>
      <c r="L847" s="2" t="s">
        <v>29</v>
      </c>
      <c r="M847" s="2" t="s">
        <v>29</v>
      </c>
      <c r="N847" s="2" t="s">
        <v>9036</v>
      </c>
      <c r="O847" s="2" t="s">
        <v>29</v>
      </c>
      <c r="P847" s="2" t="s">
        <v>9037</v>
      </c>
      <c r="Q847" s="2" t="s">
        <v>9038</v>
      </c>
      <c r="R847" s="2" t="s">
        <v>3003</v>
      </c>
      <c r="S847" s="2" t="s">
        <v>3805</v>
      </c>
      <c r="T847" s="2" t="s">
        <v>215</v>
      </c>
      <c r="U847" s="2" t="s">
        <v>29</v>
      </c>
      <c r="V847" s="2" t="n">
        <v>1</v>
      </c>
    </row>
    <row r="848">
      <c r="A848" s="2" t="n">
        <v>847</v>
      </c>
      <c r="B848" s="2" t="s">
        <v>9039</v>
      </c>
      <c r="C848" s="2" t="n">
        <v>629.49172735</v>
      </c>
      <c r="D848" s="2" t="n">
        <v>7.53115056721701</v>
      </c>
      <c r="E848" s="2" t="s">
        <v>9040</v>
      </c>
      <c r="F848" s="2" t="s">
        <v>86</v>
      </c>
      <c r="G848" s="2" t="s">
        <v>9041</v>
      </c>
      <c r="H848" s="2" t="s">
        <v>9042</v>
      </c>
      <c r="I848" s="2" t="s">
        <v>9043</v>
      </c>
      <c r="J848" s="2" t="s">
        <v>9044</v>
      </c>
      <c r="K848" s="2" t="s">
        <v>9045</v>
      </c>
      <c r="L848" s="2" t="s">
        <v>91</v>
      </c>
      <c r="M848" s="2" t="s">
        <v>91</v>
      </c>
      <c r="N848" s="2" t="s">
        <v>9046</v>
      </c>
      <c r="O848" s="2" t="s">
        <v>91</v>
      </c>
      <c r="P848" s="2" t="s">
        <v>9047</v>
      </c>
      <c r="Q848" s="2" t="s">
        <v>9048</v>
      </c>
      <c r="R848" s="2" t="s">
        <v>412</v>
      </c>
      <c r="S848" s="2" t="s">
        <v>8907</v>
      </c>
      <c r="T848" s="2" t="s">
        <v>9049</v>
      </c>
      <c r="U848" s="2" t="s">
        <v>29</v>
      </c>
      <c r="V848" s="2" t="n">
        <v>2</v>
      </c>
    </row>
    <row r="849">
      <c r="A849" s="2" t="n">
        <v>848</v>
      </c>
      <c r="B849" s="2" t="s">
        <v>9050</v>
      </c>
      <c r="C849" s="2" t="n">
        <v>630.486914765</v>
      </c>
      <c r="D849" s="2" t="n">
        <v>2.02958465402447</v>
      </c>
      <c r="E849" s="2" t="s">
        <v>9051</v>
      </c>
      <c r="F849" s="2" t="s">
        <v>218</v>
      </c>
      <c r="G849" s="2" t="s">
        <v>9052</v>
      </c>
      <c r="H849" s="2" t="s">
        <v>9053</v>
      </c>
      <c r="I849" s="2" t="s">
        <v>9054</v>
      </c>
      <c r="J849" s="2" t="s">
        <v>9055</v>
      </c>
      <c r="K849" s="2" t="s">
        <v>29</v>
      </c>
      <c r="L849" s="2" t="s">
        <v>29</v>
      </c>
      <c r="M849" s="2" t="s">
        <v>29</v>
      </c>
      <c r="N849" s="2" t="s">
        <v>9056</v>
      </c>
      <c r="O849" s="2" t="s">
        <v>29</v>
      </c>
      <c r="P849" s="2" t="s">
        <v>9057</v>
      </c>
      <c r="Q849" s="2" t="s">
        <v>9058</v>
      </c>
      <c r="R849" s="2" t="s">
        <v>794</v>
      </c>
      <c r="S849" s="2" t="s">
        <v>7781</v>
      </c>
      <c r="T849" s="2" t="s">
        <v>8722</v>
      </c>
      <c r="U849" s="2" t="s">
        <v>29</v>
      </c>
      <c r="V849" s="2" t="n">
        <v>1</v>
      </c>
    </row>
    <row r="850">
      <c r="A850" s="2" t="n">
        <v>849</v>
      </c>
      <c r="B850" s="2" t="s">
        <v>9059</v>
      </c>
      <c r="C850" s="2" t="n">
        <v>631.1964968</v>
      </c>
      <c r="D850" s="2" t="n">
        <v>3.18807238040052</v>
      </c>
      <c r="E850" s="2" t="s">
        <v>9060</v>
      </c>
      <c r="F850" s="2" t="s">
        <v>205</v>
      </c>
      <c r="G850" s="2" t="s">
        <v>9061</v>
      </c>
      <c r="H850" s="2" t="s">
        <v>9062</v>
      </c>
      <c r="I850" s="2" t="s">
        <v>9063</v>
      </c>
      <c r="J850" s="2" t="s">
        <v>9064</v>
      </c>
      <c r="K850" s="2" t="s">
        <v>29</v>
      </c>
      <c r="L850" s="2" t="s">
        <v>29</v>
      </c>
      <c r="M850" s="2" t="s">
        <v>29</v>
      </c>
      <c r="N850" s="2" t="s">
        <v>9065</v>
      </c>
      <c r="O850" s="2" t="s">
        <v>29</v>
      </c>
      <c r="P850" s="2" t="s">
        <v>9066</v>
      </c>
      <c r="Q850" s="2" t="s">
        <v>9067</v>
      </c>
      <c r="R850" s="2" t="s">
        <v>36</v>
      </c>
      <c r="S850" s="2" t="s">
        <v>37</v>
      </c>
      <c r="T850" s="2" t="s">
        <v>69</v>
      </c>
      <c r="U850" s="2" t="s">
        <v>29</v>
      </c>
      <c r="V850" s="2" t="n">
        <v>1</v>
      </c>
    </row>
    <row r="851">
      <c r="A851" s="2" t="n">
        <v>850</v>
      </c>
      <c r="B851" s="2" t="s">
        <v>9068</v>
      </c>
      <c r="C851" s="2" t="n">
        <v>632.197093045</v>
      </c>
      <c r="D851" s="2" t="n">
        <v>1.85188582878576</v>
      </c>
      <c r="E851" s="2" t="s">
        <v>9069</v>
      </c>
      <c r="F851" s="2" t="s">
        <v>218</v>
      </c>
      <c r="G851" s="2" t="s">
        <v>9070</v>
      </c>
      <c r="H851" s="2" t="s">
        <v>9071</v>
      </c>
      <c r="I851" s="2" t="s">
        <v>9072</v>
      </c>
      <c r="J851" s="2" t="s">
        <v>9073</v>
      </c>
      <c r="K851" s="2" t="s">
        <v>29</v>
      </c>
      <c r="L851" s="2" t="s">
        <v>29</v>
      </c>
      <c r="M851" s="2" t="s">
        <v>29</v>
      </c>
      <c r="N851" s="2" t="s">
        <v>9074</v>
      </c>
      <c r="O851" s="2" t="s">
        <v>9075</v>
      </c>
      <c r="P851" s="2" t="s">
        <v>9076</v>
      </c>
      <c r="Q851" s="2" t="s">
        <v>9077</v>
      </c>
      <c r="R851" s="2" t="s">
        <v>794</v>
      </c>
      <c r="S851" s="2" t="s">
        <v>2971</v>
      </c>
      <c r="T851" s="2" t="s">
        <v>6499</v>
      </c>
      <c r="U851" s="2" t="s">
        <v>29</v>
      </c>
      <c r="V851" s="2" t="n">
        <v>1</v>
      </c>
    </row>
    <row r="852">
      <c r="A852" s="2" t="n">
        <v>851</v>
      </c>
      <c r="B852" s="2" t="s">
        <v>9078</v>
      </c>
      <c r="C852" s="2" t="n">
        <v>633.131154275</v>
      </c>
      <c r="D852" s="2" t="n">
        <v>1.37630929290829</v>
      </c>
      <c r="E852" s="2" t="s">
        <v>9079</v>
      </c>
      <c r="F852" s="2" t="s">
        <v>205</v>
      </c>
      <c r="G852" s="2" t="s">
        <v>9080</v>
      </c>
      <c r="H852" s="2" t="s">
        <v>9081</v>
      </c>
      <c r="I852" s="2" t="s">
        <v>9082</v>
      </c>
      <c r="J852" s="2" t="s">
        <v>91</v>
      </c>
      <c r="K852" s="2" t="s">
        <v>91</v>
      </c>
      <c r="L852" s="2" t="s">
        <v>91</v>
      </c>
      <c r="M852" s="2" t="s">
        <v>91</v>
      </c>
      <c r="N852" s="2" t="s">
        <v>9083</v>
      </c>
      <c r="O852" s="2" t="s">
        <v>91</v>
      </c>
      <c r="P852" s="2" t="s">
        <v>9084</v>
      </c>
      <c r="Q852" s="2" t="s">
        <v>9085</v>
      </c>
      <c r="R852" s="2" t="s">
        <v>3638</v>
      </c>
      <c r="S852" s="2" t="s">
        <v>9086</v>
      </c>
      <c r="T852" s="2" t="s">
        <v>9087</v>
      </c>
      <c r="U852" s="2" t="s">
        <v>29</v>
      </c>
      <c r="V852" s="2" t="n">
        <v>2</v>
      </c>
    </row>
    <row r="853">
      <c r="A853" s="2" t="n">
        <v>852</v>
      </c>
      <c r="B853" s="2" t="s">
        <v>9088</v>
      </c>
      <c r="C853" s="2" t="n">
        <v>633.379678082</v>
      </c>
      <c r="D853" s="2" t="n">
        <v>1.94743821569826</v>
      </c>
      <c r="E853" s="2" t="s">
        <v>9089</v>
      </c>
      <c r="F853" s="2" t="s">
        <v>24</v>
      </c>
      <c r="G853" s="2" t="s">
        <v>9090</v>
      </c>
      <c r="H853" s="2" t="s">
        <v>9091</v>
      </c>
      <c r="I853" s="2" t="s">
        <v>9092</v>
      </c>
      <c r="J853" s="2" t="s">
        <v>9093</v>
      </c>
      <c r="K853" s="2" t="s">
        <v>29</v>
      </c>
      <c r="L853" s="2" t="s">
        <v>29</v>
      </c>
      <c r="M853" s="2" t="s">
        <v>29</v>
      </c>
      <c r="N853" s="2" t="s">
        <v>9094</v>
      </c>
      <c r="O853" s="2" t="s">
        <v>9095</v>
      </c>
      <c r="P853" s="2" t="s">
        <v>9096</v>
      </c>
      <c r="Q853" s="2" t="s">
        <v>9097</v>
      </c>
      <c r="R853" s="2" t="s">
        <v>794</v>
      </c>
      <c r="S853" s="2" t="s">
        <v>1098</v>
      </c>
      <c r="T853" s="2" t="s">
        <v>7646</v>
      </c>
      <c r="U853" s="2" t="s">
        <v>29</v>
      </c>
      <c r="V853" s="2" t="n">
        <v>1</v>
      </c>
    </row>
    <row r="854">
      <c r="A854" s="2" t="n">
        <v>853</v>
      </c>
      <c r="B854" s="2" t="s">
        <v>9098</v>
      </c>
      <c r="C854" s="2" t="n">
        <v>633.509963974</v>
      </c>
      <c r="D854" s="2" t="n">
        <v>5.1560013300275</v>
      </c>
      <c r="E854" s="2" t="s">
        <v>9099</v>
      </c>
      <c r="F854" s="2" t="s">
        <v>24</v>
      </c>
      <c r="G854" s="2" t="s">
        <v>9100</v>
      </c>
      <c r="H854" s="2" t="s">
        <v>9101</v>
      </c>
      <c r="I854" s="2" t="s">
        <v>9102</v>
      </c>
      <c r="J854" s="2" t="s">
        <v>29</v>
      </c>
      <c r="K854" s="2" t="s">
        <v>29</v>
      </c>
      <c r="L854" s="2" t="s">
        <v>29</v>
      </c>
      <c r="M854" s="2" t="s">
        <v>29</v>
      </c>
      <c r="N854" s="2" t="s">
        <v>9103</v>
      </c>
      <c r="O854" s="2" t="s">
        <v>29</v>
      </c>
      <c r="P854" s="2" t="s">
        <v>9104</v>
      </c>
      <c r="Q854" s="2" t="s">
        <v>9105</v>
      </c>
      <c r="R854" s="2" t="s">
        <v>794</v>
      </c>
      <c r="S854" s="2" t="s">
        <v>2600</v>
      </c>
      <c r="T854" s="2" t="s">
        <v>8840</v>
      </c>
      <c r="U854" s="2" t="s">
        <v>29</v>
      </c>
      <c r="V854" s="2" t="n">
        <v>1</v>
      </c>
    </row>
    <row r="855">
      <c r="A855" s="2" t="n">
        <v>854</v>
      </c>
      <c r="B855" s="2" t="s">
        <v>9106</v>
      </c>
      <c r="C855" s="2" t="n">
        <v>635.379521688</v>
      </c>
      <c r="D855" s="2" t="n">
        <v>4.41684487509385</v>
      </c>
      <c r="E855" s="2" t="s">
        <v>9107</v>
      </c>
      <c r="F855" s="2" t="s">
        <v>161</v>
      </c>
      <c r="G855" s="2" t="s">
        <v>9108</v>
      </c>
      <c r="H855" s="2" t="s">
        <v>9109</v>
      </c>
      <c r="I855" s="2" t="s">
        <v>9110</v>
      </c>
      <c r="J855" s="2" t="s">
        <v>29</v>
      </c>
      <c r="K855" s="2" t="s">
        <v>29</v>
      </c>
      <c r="L855" s="2" t="s">
        <v>29</v>
      </c>
      <c r="M855" s="2" t="s">
        <v>29</v>
      </c>
      <c r="N855" s="2" t="s">
        <v>9111</v>
      </c>
      <c r="O855" s="2" t="s">
        <v>29</v>
      </c>
      <c r="P855" s="2" t="s">
        <v>9112</v>
      </c>
      <c r="Q855" s="2" t="s">
        <v>9113</v>
      </c>
      <c r="R855" s="2" t="s">
        <v>1355</v>
      </c>
      <c r="S855" s="2" t="s">
        <v>6478</v>
      </c>
      <c r="T855" s="2" t="s">
        <v>215</v>
      </c>
      <c r="U855" s="2" t="s">
        <v>29</v>
      </c>
      <c r="V855" s="2" t="n">
        <v>1</v>
      </c>
    </row>
    <row r="856">
      <c r="A856" s="2" t="n">
        <v>855</v>
      </c>
      <c r="B856" s="2" t="s">
        <v>9114</v>
      </c>
      <c r="C856" s="2" t="n">
        <v>635.525609728</v>
      </c>
      <c r="D856" s="2" t="n">
        <v>7.52178696014762</v>
      </c>
      <c r="E856" s="2" t="s">
        <v>9115</v>
      </c>
      <c r="F856" s="2" t="s">
        <v>205</v>
      </c>
      <c r="G856" s="2" t="s">
        <v>9116</v>
      </c>
      <c r="H856" s="2" t="s">
        <v>9117</v>
      </c>
      <c r="I856" s="2" t="s">
        <v>9118</v>
      </c>
      <c r="J856" s="2" t="s">
        <v>9119</v>
      </c>
      <c r="K856" s="2" t="s">
        <v>29</v>
      </c>
      <c r="L856" s="2" t="s">
        <v>29</v>
      </c>
      <c r="M856" s="2" t="s">
        <v>9120</v>
      </c>
      <c r="N856" s="2" t="s">
        <v>9121</v>
      </c>
      <c r="O856" s="2" t="s">
        <v>9122</v>
      </c>
      <c r="P856" s="2" t="s">
        <v>9123</v>
      </c>
      <c r="Q856" s="2" t="s">
        <v>9124</v>
      </c>
      <c r="R856" s="2" t="s">
        <v>794</v>
      </c>
      <c r="S856" s="2" t="s">
        <v>795</v>
      </c>
      <c r="T856" s="2" t="s">
        <v>1870</v>
      </c>
      <c r="U856" s="2" t="s">
        <v>29</v>
      </c>
      <c r="V856" s="2" t="n">
        <v>1</v>
      </c>
    </row>
    <row r="857">
      <c r="A857" s="2" t="n">
        <v>856</v>
      </c>
      <c r="B857" s="2" t="s">
        <v>9125</v>
      </c>
      <c r="C857" s="2" t="n">
        <v>636.528964632</v>
      </c>
      <c r="D857" s="2" t="n">
        <v>6.39306039020058</v>
      </c>
      <c r="E857" s="2" t="s">
        <v>9126</v>
      </c>
      <c r="F857" s="2" t="s">
        <v>24</v>
      </c>
      <c r="G857" s="2" t="s">
        <v>9127</v>
      </c>
      <c r="H857" s="2" t="s">
        <v>9128</v>
      </c>
      <c r="I857" s="2" t="s">
        <v>9129</v>
      </c>
      <c r="J857" s="2" t="s">
        <v>9130</v>
      </c>
      <c r="K857" s="2" t="s">
        <v>91</v>
      </c>
      <c r="L857" s="2" t="s">
        <v>9131</v>
      </c>
      <c r="M857" s="2" t="s">
        <v>91</v>
      </c>
      <c r="N857" s="2" t="s">
        <v>9132</v>
      </c>
      <c r="O857" s="2" t="s">
        <v>9133</v>
      </c>
      <c r="P857" s="2" t="s">
        <v>9134</v>
      </c>
      <c r="Q857" s="2" t="s">
        <v>9135</v>
      </c>
      <c r="R857" s="2" t="s">
        <v>770</v>
      </c>
      <c r="S857" s="2" t="s">
        <v>771</v>
      </c>
      <c r="T857" s="2" t="s">
        <v>9136</v>
      </c>
      <c r="U857" s="2" t="s">
        <v>101</v>
      </c>
      <c r="V857" s="2" t="n">
        <v>2</v>
      </c>
    </row>
    <row r="858">
      <c r="A858" s="2" t="n">
        <v>857</v>
      </c>
      <c r="B858" s="2" t="s">
        <v>9137</v>
      </c>
      <c r="C858" s="2" t="n">
        <v>637.5412641</v>
      </c>
      <c r="D858" s="2" t="n">
        <v>2.03646135420279</v>
      </c>
      <c r="E858" s="2" t="s">
        <v>9138</v>
      </c>
      <c r="F858" s="2" t="s">
        <v>24</v>
      </c>
      <c r="G858" s="2" t="s">
        <v>9139</v>
      </c>
      <c r="H858" s="2" t="s">
        <v>9140</v>
      </c>
      <c r="I858" s="2" t="s">
        <v>9141</v>
      </c>
      <c r="J858" s="2" t="s">
        <v>9142</v>
      </c>
      <c r="K858" s="2" t="s">
        <v>9143</v>
      </c>
      <c r="L858" s="2" t="s">
        <v>9144</v>
      </c>
      <c r="M858" s="2" t="s">
        <v>9145</v>
      </c>
      <c r="N858" s="2" t="s">
        <v>9146</v>
      </c>
      <c r="O858" s="2" t="s">
        <v>29</v>
      </c>
      <c r="P858" s="2" t="s">
        <v>9147</v>
      </c>
      <c r="Q858" s="2" t="s">
        <v>9148</v>
      </c>
      <c r="R858" s="2" t="s">
        <v>794</v>
      </c>
      <c r="S858" s="2" t="s">
        <v>2600</v>
      </c>
      <c r="T858" s="2" t="s">
        <v>8840</v>
      </c>
      <c r="U858" s="2" t="s">
        <v>101</v>
      </c>
      <c r="V858" s="2" t="n">
        <v>1</v>
      </c>
    </row>
    <row r="859">
      <c r="A859" s="2" t="n">
        <v>858</v>
      </c>
      <c r="B859" s="2" t="s">
        <v>9149</v>
      </c>
      <c r="C859" s="2" t="n">
        <v>639.556909856</v>
      </c>
      <c r="D859" s="2" t="n">
        <v>2.29867449195486</v>
      </c>
      <c r="E859" s="2" t="s">
        <v>9150</v>
      </c>
      <c r="F859" s="2" t="s">
        <v>205</v>
      </c>
      <c r="G859" s="2" t="s">
        <v>9151</v>
      </c>
      <c r="H859" s="2" t="s">
        <v>9152</v>
      </c>
      <c r="I859" s="2" t="s">
        <v>9153</v>
      </c>
      <c r="J859" s="2" t="s">
        <v>9154</v>
      </c>
      <c r="K859" s="2" t="s">
        <v>29</v>
      </c>
      <c r="L859" s="2" t="s">
        <v>29</v>
      </c>
      <c r="M859" s="2" t="s">
        <v>29</v>
      </c>
      <c r="N859" s="2" t="s">
        <v>9155</v>
      </c>
      <c r="O859" s="2" t="s">
        <v>9156</v>
      </c>
      <c r="P859" s="2" t="s">
        <v>9157</v>
      </c>
      <c r="Q859" s="2" t="s">
        <v>9158</v>
      </c>
      <c r="R859" s="2" t="s">
        <v>794</v>
      </c>
      <c r="S859" s="2" t="s">
        <v>795</v>
      </c>
      <c r="T859" s="2" t="s">
        <v>1870</v>
      </c>
      <c r="U859" s="2" t="s">
        <v>29</v>
      </c>
      <c r="V859" s="2" t="n">
        <v>1</v>
      </c>
    </row>
    <row r="860">
      <c r="A860" s="2" t="n">
        <v>859</v>
      </c>
      <c r="B860" s="2" t="s">
        <v>9159</v>
      </c>
      <c r="C860" s="2" t="n">
        <v>640.310466543</v>
      </c>
      <c r="D860" s="2" t="n">
        <v>0.446165694152044</v>
      </c>
      <c r="E860" s="2" t="s">
        <v>9160</v>
      </c>
      <c r="F860" s="2" t="s">
        <v>218</v>
      </c>
      <c r="G860" s="2" t="s">
        <v>9161</v>
      </c>
      <c r="H860" s="2" t="s">
        <v>9162</v>
      </c>
      <c r="I860" s="2" t="s">
        <v>9163</v>
      </c>
      <c r="J860" s="2" t="s">
        <v>29</v>
      </c>
      <c r="K860" s="2" t="s">
        <v>29</v>
      </c>
      <c r="L860" s="2" t="s">
        <v>29</v>
      </c>
      <c r="M860" s="2" t="s">
        <v>29</v>
      </c>
      <c r="N860" s="2" t="s">
        <v>9164</v>
      </c>
      <c r="O860" s="2" t="s">
        <v>9165</v>
      </c>
      <c r="P860" s="2" t="s">
        <v>9166</v>
      </c>
      <c r="Q860" s="2" t="s">
        <v>9167</v>
      </c>
      <c r="R860" s="2" t="s">
        <v>36</v>
      </c>
      <c r="S860" s="2" t="s">
        <v>37</v>
      </c>
      <c r="T860" s="2" t="s">
        <v>2336</v>
      </c>
      <c r="U860" s="2" t="s">
        <v>56</v>
      </c>
      <c r="V860" s="2" t="n">
        <v>1</v>
      </c>
    </row>
    <row r="861">
      <c r="A861" s="2" t="n">
        <v>860</v>
      </c>
      <c r="B861" s="2" t="s">
        <v>9168</v>
      </c>
      <c r="C861" s="2" t="n">
        <v>641.10086968</v>
      </c>
      <c r="D861" s="2" t="n">
        <v>4.74684805274168</v>
      </c>
      <c r="E861" s="2" t="s">
        <v>9169</v>
      </c>
      <c r="F861" s="2" t="s">
        <v>86</v>
      </c>
      <c r="G861" s="2" t="s">
        <v>9170</v>
      </c>
      <c r="H861" s="2" t="s">
        <v>9171</v>
      </c>
      <c r="I861" s="2" t="s">
        <v>9172</v>
      </c>
      <c r="J861" s="2" t="s">
        <v>9173</v>
      </c>
      <c r="K861" s="2" t="s">
        <v>29</v>
      </c>
      <c r="L861" s="2" t="s">
        <v>29</v>
      </c>
      <c r="M861" s="2" t="s">
        <v>29</v>
      </c>
      <c r="N861" s="2" t="s">
        <v>9174</v>
      </c>
      <c r="O861" s="2" t="s">
        <v>29</v>
      </c>
      <c r="P861" s="2" t="s">
        <v>9175</v>
      </c>
      <c r="Q861" s="2" t="s">
        <v>9176</v>
      </c>
      <c r="R861" s="2" t="s">
        <v>1355</v>
      </c>
      <c r="S861" s="2" t="s">
        <v>3653</v>
      </c>
      <c r="T861" s="2" t="s">
        <v>9177</v>
      </c>
      <c r="U861" s="2" t="s">
        <v>29</v>
      </c>
      <c r="V861" s="2" t="n">
        <v>1</v>
      </c>
    </row>
    <row r="862">
      <c r="A862" s="2" t="n">
        <v>861</v>
      </c>
      <c r="B862" s="2" t="s">
        <v>9178</v>
      </c>
      <c r="C862" s="2" t="n">
        <v>641.49151305</v>
      </c>
      <c r="D862" s="2" t="n">
        <v>3.55765849734664</v>
      </c>
      <c r="E862" s="2" t="s">
        <v>9179</v>
      </c>
      <c r="F862" s="2" t="s">
        <v>531</v>
      </c>
      <c r="G862" s="2" t="s">
        <v>9180</v>
      </c>
      <c r="H862" s="2" t="s">
        <v>9181</v>
      </c>
      <c r="I862" s="2" t="s">
        <v>9182</v>
      </c>
      <c r="J862" s="2" t="s">
        <v>91</v>
      </c>
      <c r="K862" s="2" t="s">
        <v>91</v>
      </c>
      <c r="L862" s="2" t="s">
        <v>91</v>
      </c>
      <c r="M862" s="2" t="s">
        <v>91</v>
      </c>
      <c r="N862" s="2" t="s">
        <v>9183</v>
      </c>
      <c r="O862" s="2" t="s">
        <v>91</v>
      </c>
      <c r="P862" s="2" t="s">
        <v>9184</v>
      </c>
      <c r="Q862" s="2" t="s">
        <v>9185</v>
      </c>
      <c r="R862" s="2" t="s">
        <v>412</v>
      </c>
      <c r="S862" s="2" t="s">
        <v>6265</v>
      </c>
      <c r="T862" s="2" t="s">
        <v>9186</v>
      </c>
      <c r="U862" s="2" t="s">
        <v>29</v>
      </c>
      <c r="V862" s="2" t="n">
        <v>2</v>
      </c>
    </row>
    <row r="863">
      <c r="A863" s="2" t="n">
        <v>862</v>
      </c>
      <c r="B863" s="2" t="s">
        <v>9187</v>
      </c>
      <c r="C863" s="2" t="n">
        <v>643.47452194</v>
      </c>
      <c r="D863" s="2" t="n">
        <v>7.45952629811139</v>
      </c>
      <c r="E863" s="2" t="s">
        <v>9188</v>
      </c>
      <c r="F863" s="2" t="s">
        <v>683</v>
      </c>
      <c r="G863" s="2" t="s">
        <v>9189</v>
      </c>
      <c r="H863" s="2" t="s">
        <v>9190</v>
      </c>
      <c r="I863" s="2" t="s">
        <v>9191</v>
      </c>
      <c r="J863" s="2" t="s">
        <v>9192</v>
      </c>
      <c r="K863" s="2" t="s">
        <v>29</v>
      </c>
      <c r="L863" s="2" t="s">
        <v>29</v>
      </c>
      <c r="M863" s="2" t="s">
        <v>9193</v>
      </c>
      <c r="N863" s="2" t="s">
        <v>9194</v>
      </c>
      <c r="O863" s="2" t="s">
        <v>9195</v>
      </c>
      <c r="P863" s="2" t="s">
        <v>9196</v>
      </c>
      <c r="Q863" s="2" t="s">
        <v>9197</v>
      </c>
      <c r="R863" s="2" t="s">
        <v>186</v>
      </c>
      <c r="S863" s="2" t="s">
        <v>3046</v>
      </c>
      <c r="T863" s="2" t="s">
        <v>215</v>
      </c>
      <c r="U863" s="2" t="s">
        <v>29</v>
      </c>
      <c r="V863" s="2" t="n">
        <v>1</v>
      </c>
    </row>
    <row r="864">
      <c r="A864" s="2" t="n">
        <v>863</v>
      </c>
      <c r="B864" s="2" t="s">
        <v>9198</v>
      </c>
      <c r="C864" s="2" t="n">
        <v>645.488284286</v>
      </c>
      <c r="D864" s="2" t="n">
        <v>8.91221088956292</v>
      </c>
      <c r="E864" s="2" t="s">
        <v>9199</v>
      </c>
      <c r="F864" s="2" t="s">
        <v>161</v>
      </c>
      <c r="G864" s="2" t="s">
        <v>9200</v>
      </c>
      <c r="H864" s="2" t="s">
        <v>9201</v>
      </c>
      <c r="I864" s="2" t="s">
        <v>9202</v>
      </c>
      <c r="J864" s="2" t="s">
        <v>9203</v>
      </c>
      <c r="K864" s="2" t="s">
        <v>9204</v>
      </c>
      <c r="L864" s="2" t="s">
        <v>29</v>
      </c>
      <c r="M864" s="2" t="s">
        <v>29</v>
      </c>
      <c r="N864" s="2" t="s">
        <v>9205</v>
      </c>
      <c r="O864" s="2" t="s">
        <v>29</v>
      </c>
      <c r="P864" s="2" t="s">
        <v>9206</v>
      </c>
      <c r="Q864" s="2" t="s">
        <v>9207</v>
      </c>
      <c r="R864" s="2" t="s">
        <v>794</v>
      </c>
      <c r="S864" s="2" t="s">
        <v>2600</v>
      </c>
      <c r="T864" s="2" t="s">
        <v>8990</v>
      </c>
      <c r="U864" s="2" t="s">
        <v>39</v>
      </c>
      <c r="V864" s="2" t="n">
        <v>1</v>
      </c>
    </row>
    <row r="865">
      <c r="A865" s="2" t="n">
        <v>864</v>
      </c>
      <c r="B865" s="2" t="s">
        <v>9208</v>
      </c>
      <c r="C865" s="2" t="n">
        <v>648.381981313</v>
      </c>
      <c r="D865" s="2" t="n">
        <v>2.32161901113529</v>
      </c>
      <c r="E865" s="2" t="s">
        <v>9209</v>
      </c>
      <c r="F865" s="2" t="s">
        <v>161</v>
      </c>
      <c r="G865" s="2" t="s">
        <v>9210</v>
      </c>
      <c r="H865" s="2" t="s">
        <v>9211</v>
      </c>
      <c r="I865" s="2" t="s">
        <v>9212</v>
      </c>
      <c r="J865" s="2" t="s">
        <v>29</v>
      </c>
      <c r="K865" s="2" t="s">
        <v>29</v>
      </c>
      <c r="L865" s="2" t="s">
        <v>29</v>
      </c>
      <c r="M865" s="2" t="s">
        <v>29</v>
      </c>
      <c r="N865" s="2" t="s">
        <v>9213</v>
      </c>
      <c r="O865" s="2" t="s">
        <v>29</v>
      </c>
      <c r="P865" s="2" t="s">
        <v>9214</v>
      </c>
      <c r="Q865" s="2" t="s">
        <v>9215</v>
      </c>
      <c r="R865" s="2" t="s">
        <v>36</v>
      </c>
      <c r="S865" s="2" t="s">
        <v>37</v>
      </c>
      <c r="T865" s="2" t="s">
        <v>69</v>
      </c>
      <c r="U865" s="2" t="s">
        <v>56</v>
      </c>
      <c r="V865" s="2" t="n">
        <v>1</v>
      </c>
    </row>
    <row r="866">
      <c r="A866" s="2" t="n">
        <v>865</v>
      </c>
      <c r="B866" s="2" t="s">
        <v>9216</v>
      </c>
      <c r="C866" s="2" t="n">
        <v>649.104638028</v>
      </c>
      <c r="D866" s="2" t="n">
        <v>7.97602857978866</v>
      </c>
      <c r="E866" s="2" t="s">
        <v>9217</v>
      </c>
      <c r="F866" s="2" t="s">
        <v>24</v>
      </c>
      <c r="G866" s="2" t="s">
        <v>9218</v>
      </c>
      <c r="H866" s="2" t="s">
        <v>9219</v>
      </c>
      <c r="I866" s="2" t="s">
        <v>9220</v>
      </c>
      <c r="J866" s="2" t="s">
        <v>9221</v>
      </c>
      <c r="K866" s="2" t="s">
        <v>91</v>
      </c>
      <c r="L866" s="2" t="s">
        <v>91</v>
      </c>
      <c r="M866" s="2" t="s">
        <v>91</v>
      </c>
      <c r="N866" s="2" t="s">
        <v>9222</v>
      </c>
      <c r="O866" s="2" t="s">
        <v>9223</v>
      </c>
      <c r="P866" s="2" t="s">
        <v>9224</v>
      </c>
      <c r="Q866" s="2" t="s">
        <v>9225</v>
      </c>
      <c r="R866" s="2" t="s">
        <v>9226</v>
      </c>
      <c r="S866" s="2" t="s">
        <v>9227</v>
      </c>
      <c r="T866" s="2" t="s">
        <v>4834</v>
      </c>
      <c r="U866" s="2" t="s">
        <v>29</v>
      </c>
      <c r="V866" s="2" t="n">
        <v>2</v>
      </c>
    </row>
    <row r="867">
      <c r="A867" s="2" t="n">
        <v>866</v>
      </c>
      <c r="B867" s="2" t="s">
        <v>9228</v>
      </c>
      <c r="C867" s="2" t="n">
        <v>651.120288092</v>
      </c>
      <c r="D867" s="2" t="n">
        <v>2.41582097483364</v>
      </c>
      <c r="E867" s="2" t="s">
        <v>9229</v>
      </c>
      <c r="F867" s="2" t="s">
        <v>683</v>
      </c>
      <c r="G867" s="2" t="s">
        <v>9230</v>
      </c>
      <c r="H867" s="2" t="s">
        <v>9231</v>
      </c>
      <c r="I867" s="2" t="s">
        <v>9232</v>
      </c>
      <c r="J867" s="2" t="s">
        <v>9233</v>
      </c>
      <c r="K867" s="2" t="s">
        <v>29</v>
      </c>
      <c r="L867" s="2" t="s">
        <v>29</v>
      </c>
      <c r="M867" s="2" t="s">
        <v>29</v>
      </c>
      <c r="N867" s="2" t="s">
        <v>9234</v>
      </c>
      <c r="O867" s="2" t="s">
        <v>29</v>
      </c>
      <c r="P867" s="2" t="s">
        <v>9235</v>
      </c>
      <c r="Q867" s="2" t="s">
        <v>9236</v>
      </c>
      <c r="R867" s="2" t="s">
        <v>1355</v>
      </c>
      <c r="S867" s="2" t="s">
        <v>6741</v>
      </c>
      <c r="T867" s="2" t="s">
        <v>6742</v>
      </c>
      <c r="U867" s="2" t="s">
        <v>56</v>
      </c>
      <c r="V867" s="2" t="n">
        <v>1</v>
      </c>
    </row>
    <row r="868">
      <c r="A868" s="2" t="n">
        <v>867</v>
      </c>
      <c r="B868" s="2" t="s">
        <v>9237</v>
      </c>
      <c r="C868" s="2" t="n">
        <v>651.484138844</v>
      </c>
      <c r="D868" s="2" t="n">
        <v>9.61998674180294</v>
      </c>
      <c r="E868" s="2" t="s">
        <v>9238</v>
      </c>
      <c r="F868" s="2" t="s">
        <v>205</v>
      </c>
      <c r="G868" s="2" t="s">
        <v>9239</v>
      </c>
      <c r="H868" s="2" t="s">
        <v>9240</v>
      </c>
      <c r="I868" s="2" t="s">
        <v>9241</v>
      </c>
      <c r="J868" s="2" t="s">
        <v>9242</v>
      </c>
      <c r="K868" s="2" t="s">
        <v>195</v>
      </c>
      <c r="L868" s="2" t="s">
        <v>195</v>
      </c>
      <c r="M868" s="2" t="s">
        <v>9243</v>
      </c>
      <c r="N868" s="2" t="s">
        <v>9244</v>
      </c>
      <c r="O868" s="2" t="s">
        <v>9245</v>
      </c>
      <c r="P868" s="2" t="s">
        <v>9246</v>
      </c>
      <c r="Q868" s="2" t="s">
        <v>9247</v>
      </c>
      <c r="R868" s="2" t="s">
        <v>255</v>
      </c>
      <c r="S868" s="2" t="s">
        <v>256</v>
      </c>
      <c r="T868" s="2" t="s">
        <v>9248</v>
      </c>
      <c r="U868" s="2" t="s">
        <v>29</v>
      </c>
      <c r="V868" s="2" t="n">
        <v>3</v>
      </c>
    </row>
    <row r="869">
      <c r="A869" s="2" t="n">
        <v>868</v>
      </c>
      <c r="B869" s="2" t="s">
        <v>9249</v>
      </c>
      <c r="C869" s="2" t="n">
        <v>652.250327864</v>
      </c>
      <c r="D869" s="2" t="n">
        <v>6.44491535374679</v>
      </c>
      <c r="E869" s="2" t="s">
        <v>9250</v>
      </c>
      <c r="F869" s="2" t="s">
        <v>86</v>
      </c>
      <c r="G869" s="2" t="s">
        <v>9251</v>
      </c>
      <c r="H869" s="2" t="s">
        <v>9252</v>
      </c>
      <c r="I869" s="2" t="s">
        <v>9253</v>
      </c>
      <c r="J869" s="2" t="s">
        <v>29</v>
      </c>
      <c r="K869" s="2" t="s">
        <v>29</v>
      </c>
      <c r="L869" s="2" t="s">
        <v>29</v>
      </c>
      <c r="M869" s="2" t="s">
        <v>29</v>
      </c>
      <c r="N869" s="2" t="s">
        <v>9254</v>
      </c>
      <c r="O869" s="2" t="s">
        <v>29</v>
      </c>
      <c r="P869" s="2" t="s">
        <v>9255</v>
      </c>
      <c r="Q869" s="2" t="s">
        <v>9256</v>
      </c>
      <c r="R869" s="2" t="s">
        <v>36</v>
      </c>
      <c r="S869" s="2" t="s">
        <v>37</v>
      </c>
      <c r="T869" s="2" t="s">
        <v>69</v>
      </c>
      <c r="U869" s="2" t="s">
        <v>29</v>
      </c>
      <c r="V869" s="2" t="n">
        <v>1</v>
      </c>
    </row>
    <row r="870">
      <c r="A870" s="2" t="n">
        <v>869</v>
      </c>
      <c r="B870" s="2" t="s">
        <v>9257</v>
      </c>
      <c r="C870" s="2" t="n">
        <v>653.250450516</v>
      </c>
      <c r="D870" s="2" t="n">
        <v>2.85784740112673</v>
      </c>
      <c r="E870" s="2" t="s">
        <v>9258</v>
      </c>
      <c r="F870" s="2" t="s">
        <v>205</v>
      </c>
      <c r="G870" s="2" t="s">
        <v>9259</v>
      </c>
      <c r="H870" s="2" t="s">
        <v>9260</v>
      </c>
      <c r="I870" s="2" t="s">
        <v>9261</v>
      </c>
      <c r="J870" s="2" t="s">
        <v>9262</v>
      </c>
      <c r="K870" s="2" t="s">
        <v>29</v>
      </c>
      <c r="L870" s="2" t="s">
        <v>29</v>
      </c>
      <c r="M870" s="2" t="s">
        <v>29</v>
      </c>
      <c r="N870" s="2" t="s">
        <v>9263</v>
      </c>
      <c r="O870" s="2" t="s">
        <v>9264</v>
      </c>
      <c r="P870" s="2" t="s">
        <v>9265</v>
      </c>
      <c r="Q870" s="2" t="s">
        <v>9266</v>
      </c>
      <c r="R870" s="2" t="s">
        <v>3003</v>
      </c>
      <c r="S870" s="2" t="s">
        <v>9267</v>
      </c>
      <c r="T870" s="2" t="s">
        <v>215</v>
      </c>
      <c r="U870" s="2" t="s">
        <v>29</v>
      </c>
      <c r="V870" s="2" t="n">
        <v>1</v>
      </c>
    </row>
    <row r="871">
      <c r="A871" s="2" t="n">
        <v>870</v>
      </c>
      <c r="B871" s="2" t="s">
        <v>9268</v>
      </c>
      <c r="C871" s="2" t="n">
        <v>653.499788908</v>
      </c>
      <c r="D871" s="2" t="n">
        <v>9.60572342400033</v>
      </c>
      <c r="E871" s="2" t="s">
        <v>9269</v>
      </c>
      <c r="F871" s="2" t="s">
        <v>205</v>
      </c>
      <c r="G871" s="2" t="s">
        <v>9270</v>
      </c>
      <c r="H871" s="2" t="s">
        <v>9271</v>
      </c>
      <c r="I871" s="2" t="s">
        <v>9272</v>
      </c>
      <c r="J871" s="2" t="s">
        <v>9273</v>
      </c>
      <c r="K871" s="2" t="s">
        <v>29</v>
      </c>
      <c r="L871" s="2" t="s">
        <v>29</v>
      </c>
      <c r="M871" s="2" t="s">
        <v>9274</v>
      </c>
      <c r="N871" s="2" t="s">
        <v>9275</v>
      </c>
      <c r="O871" s="2" t="s">
        <v>29</v>
      </c>
      <c r="P871" s="2" t="s">
        <v>9276</v>
      </c>
      <c r="Q871" s="2" t="s">
        <v>9277</v>
      </c>
      <c r="R871" s="2" t="s">
        <v>794</v>
      </c>
      <c r="S871" s="2" t="s">
        <v>795</v>
      </c>
      <c r="T871" s="2" t="s">
        <v>3273</v>
      </c>
      <c r="U871" s="2" t="s">
        <v>29</v>
      </c>
      <c r="V871" s="2" t="n">
        <v>1</v>
      </c>
    </row>
    <row r="872">
      <c r="A872" s="2" t="n">
        <v>871</v>
      </c>
      <c r="B872" s="2" t="s">
        <v>9278</v>
      </c>
      <c r="C872" s="2" t="n">
        <v>654.260382852</v>
      </c>
      <c r="D872" s="2" t="n">
        <v>2.49414516242555</v>
      </c>
      <c r="E872" s="2" t="s">
        <v>9279</v>
      </c>
      <c r="F872" s="2" t="s">
        <v>531</v>
      </c>
      <c r="G872" s="2" t="s">
        <v>9280</v>
      </c>
      <c r="H872" s="2" t="s">
        <v>9281</v>
      </c>
      <c r="I872" s="2" t="s">
        <v>9282</v>
      </c>
      <c r="J872" s="2" t="s">
        <v>29</v>
      </c>
      <c r="K872" s="2" t="s">
        <v>29</v>
      </c>
      <c r="L872" s="2" t="s">
        <v>29</v>
      </c>
      <c r="M872" s="2" t="s">
        <v>29</v>
      </c>
      <c r="N872" s="2" t="s">
        <v>9283</v>
      </c>
      <c r="O872" s="2" t="s">
        <v>29</v>
      </c>
      <c r="P872" s="2" t="s">
        <v>9284</v>
      </c>
      <c r="Q872" s="2" t="s">
        <v>9285</v>
      </c>
      <c r="R872" s="2" t="s">
        <v>114</v>
      </c>
      <c r="S872" s="2" t="s">
        <v>8755</v>
      </c>
      <c r="T872" s="2" t="s">
        <v>215</v>
      </c>
      <c r="U872" s="2" t="s">
        <v>29</v>
      </c>
      <c r="V872" s="2" t="n">
        <v>1</v>
      </c>
    </row>
    <row r="873">
      <c r="A873" s="2" t="n">
        <v>872</v>
      </c>
      <c r="B873" s="2" t="s">
        <v>9286</v>
      </c>
      <c r="C873" s="2" t="n">
        <v>655.217569212</v>
      </c>
      <c r="D873" s="2" t="n">
        <v>1.74100468532557</v>
      </c>
      <c r="E873" s="2" t="s">
        <v>9287</v>
      </c>
      <c r="F873" s="2" t="s">
        <v>218</v>
      </c>
      <c r="G873" s="2" t="s">
        <v>9288</v>
      </c>
      <c r="H873" s="2" t="s">
        <v>9289</v>
      </c>
      <c r="I873" s="2" t="s">
        <v>9290</v>
      </c>
      <c r="J873" s="2" t="s">
        <v>9291</v>
      </c>
      <c r="K873" s="2" t="s">
        <v>29</v>
      </c>
      <c r="L873" s="2" t="s">
        <v>9292</v>
      </c>
      <c r="M873" s="2" t="s">
        <v>9293</v>
      </c>
      <c r="N873" s="2" t="s">
        <v>9294</v>
      </c>
      <c r="O873" s="2" t="s">
        <v>9295</v>
      </c>
      <c r="P873" s="2" t="s">
        <v>9296</v>
      </c>
      <c r="Q873" s="2" t="s">
        <v>9297</v>
      </c>
      <c r="R873" s="2" t="s">
        <v>3003</v>
      </c>
      <c r="S873" s="2" t="s">
        <v>9298</v>
      </c>
      <c r="T873" s="2" t="s">
        <v>215</v>
      </c>
      <c r="U873" s="2" t="s">
        <v>56</v>
      </c>
      <c r="V873" s="2" t="n">
        <v>1</v>
      </c>
    </row>
    <row r="874">
      <c r="A874" s="2" t="n">
        <v>873</v>
      </c>
      <c r="B874" s="2" t="s">
        <v>9299</v>
      </c>
      <c r="C874" s="2" t="n">
        <v>655.507377414</v>
      </c>
      <c r="D874" s="2" t="n">
        <v>6.82395274522533</v>
      </c>
      <c r="E874" s="2" t="s">
        <v>9300</v>
      </c>
      <c r="F874" s="2" t="s">
        <v>86</v>
      </c>
      <c r="G874" s="2" t="s">
        <v>9301</v>
      </c>
      <c r="H874" s="2" t="s">
        <v>9302</v>
      </c>
      <c r="I874" s="2" t="s">
        <v>9303</v>
      </c>
      <c r="J874" s="2" t="s">
        <v>9304</v>
      </c>
      <c r="K874" s="2" t="s">
        <v>9305</v>
      </c>
      <c r="L874" s="2" t="s">
        <v>195</v>
      </c>
      <c r="M874" s="2" t="s">
        <v>9306</v>
      </c>
      <c r="N874" s="2" t="s">
        <v>9307</v>
      </c>
      <c r="O874" s="2" t="s">
        <v>195</v>
      </c>
      <c r="P874" s="2" t="s">
        <v>9308</v>
      </c>
      <c r="Q874" s="2" t="s">
        <v>9309</v>
      </c>
      <c r="R874" s="2" t="s">
        <v>255</v>
      </c>
      <c r="S874" s="2" t="s">
        <v>9310</v>
      </c>
      <c r="T874" s="2" t="s">
        <v>9311</v>
      </c>
      <c r="U874" s="2" t="s">
        <v>29</v>
      </c>
      <c r="V874" s="2" t="n">
        <v>3</v>
      </c>
    </row>
    <row r="875">
      <c r="A875" s="2" t="n">
        <v>874</v>
      </c>
      <c r="B875" s="2" t="s">
        <v>9312</v>
      </c>
      <c r="C875" s="2" t="n">
        <v>656.575397399</v>
      </c>
      <c r="D875" s="2" t="n">
        <v>7.66195845874945</v>
      </c>
      <c r="E875" s="2" t="s">
        <v>9313</v>
      </c>
      <c r="F875" s="2" t="s">
        <v>86</v>
      </c>
      <c r="G875" s="2" t="s">
        <v>9314</v>
      </c>
      <c r="H875" s="2" t="s">
        <v>9315</v>
      </c>
      <c r="I875" s="2" t="s">
        <v>9316</v>
      </c>
      <c r="J875" s="2" t="s">
        <v>9317</v>
      </c>
      <c r="K875" s="2" t="s">
        <v>9318</v>
      </c>
      <c r="L875" s="2" t="s">
        <v>8716</v>
      </c>
      <c r="M875" s="2" t="s">
        <v>9319</v>
      </c>
      <c r="N875" s="2" t="s">
        <v>9320</v>
      </c>
      <c r="O875" s="2" t="s">
        <v>9321</v>
      </c>
      <c r="P875" s="2" t="s">
        <v>9322</v>
      </c>
      <c r="Q875" s="2" t="s">
        <v>9323</v>
      </c>
      <c r="R875" s="2" t="s">
        <v>794</v>
      </c>
      <c r="S875" s="2" t="s">
        <v>7781</v>
      </c>
      <c r="T875" s="2" t="s">
        <v>8722</v>
      </c>
      <c r="U875" s="2" t="s">
        <v>39</v>
      </c>
      <c r="V875" s="2" t="n">
        <v>1</v>
      </c>
    </row>
    <row r="876">
      <c r="A876" s="2" t="n">
        <v>875</v>
      </c>
      <c r="B876" s="2" t="s">
        <v>9324</v>
      </c>
      <c r="C876" s="2" t="n">
        <v>661.534840548</v>
      </c>
      <c r="D876" s="2" t="n">
        <v>4.84969955771421</v>
      </c>
      <c r="E876" s="2" t="s">
        <v>9325</v>
      </c>
      <c r="F876" s="2" t="s">
        <v>161</v>
      </c>
      <c r="G876" s="2" t="s">
        <v>9326</v>
      </c>
      <c r="H876" s="2" t="s">
        <v>9327</v>
      </c>
      <c r="I876" s="2" t="s">
        <v>9328</v>
      </c>
      <c r="J876" s="2" t="s">
        <v>9329</v>
      </c>
      <c r="K876" s="2" t="s">
        <v>29</v>
      </c>
      <c r="L876" s="2" t="s">
        <v>9330</v>
      </c>
      <c r="M876" s="2" t="s">
        <v>9331</v>
      </c>
      <c r="N876" s="2" t="s">
        <v>9332</v>
      </c>
      <c r="O876" s="2" t="s">
        <v>9333</v>
      </c>
      <c r="P876" s="2" t="s">
        <v>9334</v>
      </c>
      <c r="Q876" s="2" t="s">
        <v>9335</v>
      </c>
      <c r="R876" s="2" t="s">
        <v>794</v>
      </c>
      <c r="S876" s="2" t="s">
        <v>1098</v>
      </c>
      <c r="T876" s="2" t="s">
        <v>9336</v>
      </c>
      <c r="U876" s="2" t="s">
        <v>101</v>
      </c>
      <c r="V876" s="2" t="n">
        <v>1</v>
      </c>
    </row>
    <row r="877">
      <c r="A877" s="2" t="n">
        <v>876</v>
      </c>
      <c r="B877" s="2" t="s">
        <v>9337</v>
      </c>
      <c r="C877" s="2" t="n">
        <v>662.114486899</v>
      </c>
      <c r="D877" s="2" t="n">
        <v>2.22845416732064</v>
      </c>
      <c r="E877" s="2" t="s">
        <v>9338</v>
      </c>
      <c r="F877" s="2" t="s">
        <v>205</v>
      </c>
      <c r="G877" s="2" t="s">
        <v>9339</v>
      </c>
      <c r="H877" s="2" t="s">
        <v>9340</v>
      </c>
      <c r="I877" s="2" t="s">
        <v>9341</v>
      </c>
      <c r="J877" s="2" t="s">
        <v>29</v>
      </c>
      <c r="K877" s="2" t="s">
        <v>29</v>
      </c>
      <c r="L877" s="2" t="s">
        <v>29</v>
      </c>
      <c r="M877" s="2" t="s">
        <v>29</v>
      </c>
      <c r="N877" s="2" t="s">
        <v>9342</v>
      </c>
      <c r="O877" s="2" t="s">
        <v>29</v>
      </c>
      <c r="P877" s="2" t="s">
        <v>9343</v>
      </c>
      <c r="Q877" s="2" t="s">
        <v>9344</v>
      </c>
      <c r="R877" s="2" t="s">
        <v>36</v>
      </c>
      <c r="S877" s="2" t="s">
        <v>37</v>
      </c>
      <c r="T877" s="2" t="s">
        <v>69</v>
      </c>
      <c r="U877" s="2" t="s">
        <v>29</v>
      </c>
      <c r="V877" s="2" t="n">
        <v>1</v>
      </c>
    </row>
    <row r="878">
      <c r="A878" s="2" t="n">
        <v>877</v>
      </c>
      <c r="B878" s="2" t="s">
        <v>9345</v>
      </c>
      <c r="C878" s="2" t="n">
        <v>663.115670328</v>
      </c>
      <c r="D878" s="2" t="n">
        <v>3.15720222611792</v>
      </c>
      <c r="E878" s="2" t="s">
        <v>9346</v>
      </c>
      <c r="F878" s="2" t="s">
        <v>218</v>
      </c>
      <c r="G878" s="2" t="s">
        <v>9347</v>
      </c>
      <c r="H878" s="2" t="s">
        <v>9348</v>
      </c>
      <c r="I878" s="2" t="s">
        <v>9349</v>
      </c>
      <c r="J878" s="2" t="s">
        <v>29</v>
      </c>
      <c r="K878" s="2" t="s">
        <v>29</v>
      </c>
      <c r="L878" s="2" t="s">
        <v>29</v>
      </c>
      <c r="M878" s="2" t="s">
        <v>29</v>
      </c>
      <c r="N878" s="2" t="s">
        <v>9350</v>
      </c>
      <c r="O878" s="2" t="s">
        <v>29</v>
      </c>
      <c r="P878" s="2" t="s">
        <v>9351</v>
      </c>
      <c r="Q878" s="2" t="s">
        <v>9352</v>
      </c>
      <c r="R878" s="2" t="s">
        <v>186</v>
      </c>
      <c r="S878" s="2" t="s">
        <v>9353</v>
      </c>
      <c r="T878" s="2" t="s">
        <v>9354</v>
      </c>
      <c r="U878" s="2" t="s">
        <v>29</v>
      </c>
      <c r="V878" s="2" t="n">
        <v>1</v>
      </c>
    </row>
    <row r="879">
      <c r="A879" s="2" t="n">
        <v>878</v>
      </c>
      <c r="B879" s="2" t="s">
        <v>9355</v>
      </c>
      <c r="C879" s="2" t="n">
        <v>663.52052435</v>
      </c>
      <c r="D879" s="2" t="n">
        <v>9.07260658177502</v>
      </c>
      <c r="E879" s="2" t="s">
        <v>9356</v>
      </c>
      <c r="F879" s="2" t="s">
        <v>205</v>
      </c>
      <c r="G879" s="2" t="s">
        <v>9357</v>
      </c>
      <c r="H879" s="2" t="s">
        <v>9358</v>
      </c>
      <c r="I879" s="2" t="s">
        <v>9359</v>
      </c>
      <c r="J879" s="2" t="s">
        <v>9360</v>
      </c>
      <c r="K879" s="2" t="s">
        <v>9361</v>
      </c>
      <c r="L879" s="2" t="s">
        <v>29</v>
      </c>
      <c r="M879" s="2" t="s">
        <v>9362</v>
      </c>
      <c r="N879" s="2" t="s">
        <v>9363</v>
      </c>
      <c r="O879" s="2" t="s">
        <v>29</v>
      </c>
      <c r="P879" s="2" t="s">
        <v>9364</v>
      </c>
      <c r="Q879" s="2" t="s">
        <v>9365</v>
      </c>
      <c r="R879" s="2" t="s">
        <v>794</v>
      </c>
      <c r="S879" s="2" t="s">
        <v>2600</v>
      </c>
      <c r="T879" s="2" t="s">
        <v>8990</v>
      </c>
      <c r="U879" s="2" t="s">
        <v>29</v>
      </c>
      <c r="V879" s="2" t="n">
        <v>1</v>
      </c>
    </row>
    <row r="880">
      <c r="A880" s="2" t="n">
        <v>879</v>
      </c>
      <c r="B880" s="2" t="s">
        <v>9366</v>
      </c>
      <c r="C880" s="2" t="n">
        <v>665.2247256</v>
      </c>
      <c r="D880" s="2" t="n">
        <v>9.58021050828333</v>
      </c>
      <c r="E880" s="2" t="s">
        <v>9367</v>
      </c>
      <c r="F880" s="2" t="s">
        <v>531</v>
      </c>
      <c r="G880" s="2" t="s">
        <v>9368</v>
      </c>
      <c r="H880" s="2" t="s">
        <v>9369</v>
      </c>
      <c r="I880" s="2" t="s">
        <v>9370</v>
      </c>
      <c r="J880" s="2" t="s">
        <v>29</v>
      </c>
      <c r="K880" s="2" t="s">
        <v>29</v>
      </c>
      <c r="L880" s="2" t="s">
        <v>29</v>
      </c>
      <c r="M880" s="2" t="s">
        <v>29</v>
      </c>
      <c r="N880" s="2" t="s">
        <v>9371</v>
      </c>
      <c r="O880" s="2" t="s">
        <v>29</v>
      </c>
      <c r="P880" s="2" t="s">
        <v>9372</v>
      </c>
      <c r="Q880" s="2" t="s">
        <v>9373</v>
      </c>
      <c r="R880" s="2" t="s">
        <v>114</v>
      </c>
      <c r="S880" s="2" t="s">
        <v>9374</v>
      </c>
      <c r="T880" s="2" t="s">
        <v>215</v>
      </c>
      <c r="U880" s="2" t="s">
        <v>29</v>
      </c>
      <c r="V880" s="2" t="n">
        <v>1</v>
      </c>
    </row>
    <row r="881">
      <c r="A881" s="2" t="n">
        <v>880</v>
      </c>
      <c r="B881" s="2" t="s">
        <v>9375</v>
      </c>
      <c r="C881" s="2" t="n">
        <v>665.504298149</v>
      </c>
      <c r="D881" s="2" t="n">
        <v>8.51729372503615</v>
      </c>
      <c r="E881" s="2" t="s">
        <v>9376</v>
      </c>
      <c r="F881" s="2" t="s">
        <v>86</v>
      </c>
      <c r="G881" s="2" t="s">
        <v>9377</v>
      </c>
      <c r="H881" s="2" t="s">
        <v>9378</v>
      </c>
      <c r="I881" s="2" t="s">
        <v>9379</v>
      </c>
      <c r="J881" s="2" t="s">
        <v>29</v>
      </c>
      <c r="K881" s="2" t="s">
        <v>29</v>
      </c>
      <c r="L881" s="2" t="s">
        <v>29</v>
      </c>
      <c r="M881" s="2" t="s">
        <v>29</v>
      </c>
      <c r="N881" s="2" t="s">
        <v>29</v>
      </c>
      <c r="O881" s="2" t="s">
        <v>29</v>
      </c>
      <c r="P881" s="2" t="s">
        <v>9380</v>
      </c>
      <c r="Q881" s="2" t="s">
        <v>9381</v>
      </c>
      <c r="R881" s="2" t="s">
        <v>3003</v>
      </c>
      <c r="S881" s="2" t="s">
        <v>7003</v>
      </c>
      <c r="T881" s="2" t="s">
        <v>9382</v>
      </c>
      <c r="U881" s="2" t="s">
        <v>29</v>
      </c>
      <c r="V881" s="2" t="n">
        <v>1</v>
      </c>
    </row>
    <row r="882">
      <c r="A882" s="2" t="n">
        <v>881</v>
      </c>
      <c r="B882" s="2" t="s">
        <v>9383</v>
      </c>
      <c r="C882" s="2" t="n">
        <v>666.165198865</v>
      </c>
      <c r="D882" s="2" t="n">
        <v>5.36409418192981</v>
      </c>
      <c r="E882" s="2" t="s">
        <v>9384</v>
      </c>
      <c r="F882" s="2" t="s">
        <v>205</v>
      </c>
      <c r="G882" s="2" t="s">
        <v>9385</v>
      </c>
      <c r="H882" s="2" t="s">
        <v>9386</v>
      </c>
      <c r="I882" s="2" t="s">
        <v>9387</v>
      </c>
      <c r="J882" s="2" t="s">
        <v>9388</v>
      </c>
      <c r="K882" s="2" t="s">
        <v>29</v>
      </c>
      <c r="L882" s="2" t="s">
        <v>9389</v>
      </c>
      <c r="M882" s="2" t="s">
        <v>9390</v>
      </c>
      <c r="N882" s="2" t="s">
        <v>9391</v>
      </c>
      <c r="O882" s="2" t="s">
        <v>29</v>
      </c>
      <c r="P882" s="2" t="s">
        <v>9392</v>
      </c>
      <c r="Q882" s="2" t="s">
        <v>9393</v>
      </c>
      <c r="R882" s="2" t="s">
        <v>794</v>
      </c>
      <c r="S882" s="2" t="s">
        <v>7122</v>
      </c>
      <c r="T882" s="2" t="s">
        <v>9394</v>
      </c>
      <c r="U882" s="2" t="s">
        <v>101</v>
      </c>
      <c r="V882" s="2" t="n">
        <v>1</v>
      </c>
    </row>
    <row r="883">
      <c r="A883" s="2" t="n">
        <v>882</v>
      </c>
      <c r="B883" s="2" t="s">
        <v>9395</v>
      </c>
      <c r="C883" s="2" t="n">
        <v>667.16684433</v>
      </c>
      <c r="D883" s="2" t="n">
        <v>5.45873079848812</v>
      </c>
      <c r="E883" s="2" t="s">
        <v>9396</v>
      </c>
      <c r="F883" s="2" t="s">
        <v>24</v>
      </c>
      <c r="G883" s="2" t="s">
        <v>9397</v>
      </c>
      <c r="H883" s="2" t="s">
        <v>9398</v>
      </c>
      <c r="I883" s="2" t="s">
        <v>9399</v>
      </c>
      <c r="J883" s="2" t="s">
        <v>29</v>
      </c>
      <c r="K883" s="2" t="s">
        <v>29</v>
      </c>
      <c r="L883" s="2" t="s">
        <v>29</v>
      </c>
      <c r="M883" s="2" t="s">
        <v>29</v>
      </c>
      <c r="N883" s="2" t="s">
        <v>29</v>
      </c>
      <c r="O883" s="2" t="s">
        <v>29</v>
      </c>
      <c r="P883" s="2" t="s">
        <v>9400</v>
      </c>
      <c r="Q883" s="2" t="s">
        <v>9401</v>
      </c>
      <c r="R883" s="2" t="s">
        <v>1355</v>
      </c>
      <c r="S883" s="2" t="s">
        <v>3653</v>
      </c>
      <c r="T883" s="2" t="s">
        <v>9402</v>
      </c>
      <c r="U883" s="2" t="s">
        <v>29</v>
      </c>
      <c r="V883" s="2" t="n">
        <v>1</v>
      </c>
    </row>
    <row r="884">
      <c r="A884" s="2" t="n">
        <v>883</v>
      </c>
      <c r="B884" s="2" t="s">
        <v>9403</v>
      </c>
      <c r="C884" s="2" t="n">
        <v>668.155170257</v>
      </c>
      <c r="D884" s="2" t="n">
        <v>5.64518974620323</v>
      </c>
      <c r="E884" s="2" t="s">
        <v>9404</v>
      </c>
      <c r="F884" s="2" t="s">
        <v>86</v>
      </c>
      <c r="G884" s="2" t="s">
        <v>9405</v>
      </c>
      <c r="H884" s="2" t="s">
        <v>9406</v>
      </c>
      <c r="I884" s="2" t="s">
        <v>9407</v>
      </c>
      <c r="J884" s="2" t="s">
        <v>29</v>
      </c>
      <c r="K884" s="2" t="s">
        <v>29</v>
      </c>
      <c r="L884" s="2" t="s">
        <v>29</v>
      </c>
      <c r="M884" s="2" t="s">
        <v>29</v>
      </c>
      <c r="N884" s="2" t="s">
        <v>9408</v>
      </c>
      <c r="O884" s="2" t="s">
        <v>29</v>
      </c>
      <c r="P884" s="2" t="s">
        <v>9409</v>
      </c>
      <c r="Q884" s="2" t="s">
        <v>9410</v>
      </c>
      <c r="R884" s="2" t="s">
        <v>1355</v>
      </c>
      <c r="S884" s="2" t="s">
        <v>9411</v>
      </c>
      <c r="T884" s="2" t="s">
        <v>215</v>
      </c>
      <c r="U884" s="2" t="s">
        <v>29</v>
      </c>
      <c r="V884" s="2" t="n">
        <v>1</v>
      </c>
    </row>
    <row r="885">
      <c r="A885" s="2" t="n">
        <v>884</v>
      </c>
      <c r="B885" s="2" t="s">
        <v>9412</v>
      </c>
      <c r="C885" s="2" t="n">
        <v>669.501898114</v>
      </c>
      <c r="D885" s="2" t="n">
        <v>0.31776517326944</v>
      </c>
      <c r="E885" s="2" t="s">
        <v>9413</v>
      </c>
      <c r="F885" s="2" t="s">
        <v>86</v>
      </c>
      <c r="G885" s="2" t="s">
        <v>9414</v>
      </c>
      <c r="H885" s="2" t="s">
        <v>9415</v>
      </c>
      <c r="I885" s="2" t="s">
        <v>9416</v>
      </c>
      <c r="J885" s="2" t="s">
        <v>195</v>
      </c>
      <c r="K885" s="2" t="s">
        <v>195</v>
      </c>
      <c r="L885" s="2" t="s">
        <v>195</v>
      </c>
      <c r="M885" s="2" t="s">
        <v>195</v>
      </c>
      <c r="N885" s="2" t="s">
        <v>9417</v>
      </c>
      <c r="O885" s="2" t="s">
        <v>195</v>
      </c>
      <c r="P885" s="2" t="s">
        <v>9418</v>
      </c>
      <c r="Q885" s="2" t="s">
        <v>9419</v>
      </c>
      <c r="R885" s="2" t="s">
        <v>255</v>
      </c>
      <c r="S885" s="2" t="s">
        <v>6877</v>
      </c>
      <c r="T885" s="2" t="s">
        <v>9420</v>
      </c>
      <c r="U885" s="2" t="s">
        <v>29</v>
      </c>
      <c r="V885" s="2" t="n">
        <v>3</v>
      </c>
    </row>
    <row r="886">
      <c r="A886" s="2" t="n">
        <v>885</v>
      </c>
      <c r="B886" s="2" t="s">
        <v>9421</v>
      </c>
      <c r="C886" s="2" t="n">
        <v>670.176826587</v>
      </c>
      <c r="D886" s="2" t="n">
        <v>0.727973032893185</v>
      </c>
      <c r="E886" s="2" t="s">
        <v>9422</v>
      </c>
      <c r="F886" s="2" t="s">
        <v>218</v>
      </c>
      <c r="G886" s="2" t="s">
        <v>9423</v>
      </c>
      <c r="H886" s="2" t="s">
        <v>9424</v>
      </c>
      <c r="I886" s="2" t="s">
        <v>9425</v>
      </c>
      <c r="J886" s="2" t="s">
        <v>29</v>
      </c>
      <c r="K886" s="2" t="s">
        <v>29</v>
      </c>
      <c r="L886" s="2" t="s">
        <v>29</v>
      </c>
      <c r="M886" s="2" t="s">
        <v>29</v>
      </c>
      <c r="N886" s="2" t="s">
        <v>29</v>
      </c>
      <c r="O886" s="2" t="s">
        <v>29</v>
      </c>
      <c r="P886" s="2" t="s">
        <v>9426</v>
      </c>
      <c r="Q886" s="2" t="s">
        <v>9427</v>
      </c>
      <c r="R886" s="2" t="s">
        <v>36</v>
      </c>
      <c r="S886" s="2" t="s">
        <v>7927</v>
      </c>
      <c r="T886" s="2" t="s">
        <v>7928</v>
      </c>
      <c r="U886" s="2" t="s">
        <v>29</v>
      </c>
      <c r="V886" s="2" t="n">
        <v>1</v>
      </c>
    </row>
    <row r="887">
      <c r="A887" s="2" t="n">
        <v>886</v>
      </c>
      <c r="B887" s="2" t="s">
        <v>9428</v>
      </c>
      <c r="C887" s="2" t="n">
        <v>670.481714111</v>
      </c>
      <c r="D887" s="2" t="n">
        <v>4.68368285873555</v>
      </c>
      <c r="E887" s="2" t="s">
        <v>9429</v>
      </c>
      <c r="F887" s="2" t="s">
        <v>24</v>
      </c>
      <c r="G887" s="2" t="s">
        <v>9430</v>
      </c>
      <c r="H887" s="2" t="s">
        <v>9431</v>
      </c>
      <c r="I887" s="2" t="s">
        <v>9432</v>
      </c>
      <c r="J887" s="2" t="s">
        <v>9433</v>
      </c>
      <c r="K887" s="2" t="s">
        <v>29</v>
      </c>
      <c r="L887" s="2" t="s">
        <v>9434</v>
      </c>
      <c r="M887" s="2" t="s">
        <v>29</v>
      </c>
      <c r="N887" s="2" t="s">
        <v>9435</v>
      </c>
      <c r="O887" s="2" t="s">
        <v>29</v>
      </c>
      <c r="P887" s="2" t="s">
        <v>9436</v>
      </c>
      <c r="Q887" s="2" t="s">
        <v>9437</v>
      </c>
      <c r="R887" s="2" t="s">
        <v>794</v>
      </c>
      <c r="S887" s="2" t="s">
        <v>7122</v>
      </c>
      <c r="T887" s="2" t="s">
        <v>8042</v>
      </c>
      <c r="U887" s="2" t="s">
        <v>101</v>
      </c>
      <c r="V887" s="2" t="n">
        <v>1</v>
      </c>
    </row>
    <row r="888">
      <c r="A888" s="2" t="n">
        <v>887</v>
      </c>
      <c r="B888" s="2" t="s">
        <v>9438</v>
      </c>
      <c r="C888" s="2" t="n">
        <v>670.591047463</v>
      </c>
      <c r="D888" s="2" t="n">
        <v>5.50561681806097</v>
      </c>
      <c r="E888" s="2" t="s">
        <v>9439</v>
      </c>
      <c r="F888" s="2" t="s">
        <v>86</v>
      </c>
      <c r="G888" s="2" t="s">
        <v>9440</v>
      </c>
      <c r="H888" s="2" t="s">
        <v>9441</v>
      </c>
      <c r="I888" s="2" t="s">
        <v>9442</v>
      </c>
      <c r="J888" s="2" t="s">
        <v>9443</v>
      </c>
      <c r="K888" s="2" t="s">
        <v>9444</v>
      </c>
      <c r="L888" s="2" t="s">
        <v>29</v>
      </c>
      <c r="M888" s="2" t="s">
        <v>9445</v>
      </c>
      <c r="N888" s="2" t="s">
        <v>9446</v>
      </c>
      <c r="O888" s="2" t="s">
        <v>9447</v>
      </c>
      <c r="P888" s="2" t="s">
        <v>9448</v>
      </c>
      <c r="Q888" s="2" t="s">
        <v>9449</v>
      </c>
      <c r="R888" s="2" t="s">
        <v>794</v>
      </c>
      <c r="S888" s="2" t="s">
        <v>7781</v>
      </c>
      <c r="T888" s="2" t="s">
        <v>8722</v>
      </c>
      <c r="U888" s="2" t="s">
        <v>39</v>
      </c>
      <c r="V888" s="2" t="n">
        <v>1</v>
      </c>
    </row>
    <row r="889">
      <c r="A889" s="2" t="n">
        <v>888</v>
      </c>
      <c r="B889" s="2" t="s">
        <v>9450</v>
      </c>
      <c r="C889" s="2" t="n">
        <v>671.078858925</v>
      </c>
      <c r="D889" s="2" t="n">
        <v>1.30406738497431</v>
      </c>
      <c r="E889" s="2" t="s">
        <v>9451</v>
      </c>
      <c r="F889" s="2" t="s">
        <v>86</v>
      </c>
      <c r="G889" s="2" t="s">
        <v>9452</v>
      </c>
      <c r="H889" s="2" t="s">
        <v>9453</v>
      </c>
      <c r="I889" s="2" t="s">
        <v>9454</v>
      </c>
      <c r="J889" s="2" t="s">
        <v>29</v>
      </c>
      <c r="K889" s="2" t="s">
        <v>29</v>
      </c>
      <c r="L889" s="2" t="s">
        <v>29</v>
      </c>
      <c r="M889" s="2" t="s">
        <v>29</v>
      </c>
      <c r="N889" s="2" t="s">
        <v>9455</v>
      </c>
      <c r="O889" s="2" t="s">
        <v>29</v>
      </c>
      <c r="P889" s="2" t="s">
        <v>9456</v>
      </c>
      <c r="Q889" s="2" t="s">
        <v>9457</v>
      </c>
      <c r="R889" s="2" t="s">
        <v>2416</v>
      </c>
      <c r="S889" s="2" t="s">
        <v>9458</v>
      </c>
      <c r="T889" s="2" t="s">
        <v>9459</v>
      </c>
      <c r="U889" s="2" t="s">
        <v>29</v>
      </c>
      <c r="V889" s="2" t="n">
        <v>1</v>
      </c>
    </row>
    <row r="890">
      <c r="A890" s="2" t="n">
        <v>889</v>
      </c>
      <c r="B890" s="2" t="s">
        <v>9460</v>
      </c>
      <c r="C890" s="2" t="n">
        <v>671.48922853</v>
      </c>
      <c r="D890" s="2" t="n">
        <v>3.88359362914845</v>
      </c>
      <c r="E890" s="2" t="s">
        <v>9461</v>
      </c>
      <c r="F890" s="2" t="s">
        <v>24</v>
      </c>
      <c r="G890" s="2" t="s">
        <v>9462</v>
      </c>
      <c r="H890" s="2" t="s">
        <v>9463</v>
      </c>
      <c r="I890" s="2" t="s">
        <v>9464</v>
      </c>
      <c r="J890" s="2" t="s">
        <v>29</v>
      </c>
      <c r="K890" s="2" t="s">
        <v>29</v>
      </c>
      <c r="L890" s="2" t="s">
        <v>29</v>
      </c>
      <c r="M890" s="2" t="s">
        <v>29</v>
      </c>
      <c r="N890" s="2" t="s">
        <v>29</v>
      </c>
      <c r="O890" s="2" t="s">
        <v>29</v>
      </c>
      <c r="P890" s="2" t="s">
        <v>9465</v>
      </c>
      <c r="Q890" s="2" t="s">
        <v>9466</v>
      </c>
      <c r="R890" s="2" t="s">
        <v>794</v>
      </c>
      <c r="S890" s="2" t="s">
        <v>795</v>
      </c>
      <c r="T890" s="2" t="s">
        <v>796</v>
      </c>
      <c r="U890" s="2" t="s">
        <v>29</v>
      </c>
      <c r="V890" s="2" t="n">
        <v>1</v>
      </c>
    </row>
    <row r="891">
      <c r="A891" s="2" t="n">
        <v>890</v>
      </c>
      <c r="B891" s="2" t="s">
        <v>9467</v>
      </c>
      <c r="C891" s="2" t="n">
        <v>672.497364175</v>
      </c>
      <c r="D891" s="2" t="n">
        <v>3.53153899636304</v>
      </c>
      <c r="E891" s="2" t="s">
        <v>9468</v>
      </c>
      <c r="F891" s="2" t="s">
        <v>24</v>
      </c>
      <c r="G891" s="2" t="s">
        <v>9469</v>
      </c>
      <c r="H891" s="2" t="s">
        <v>2172</v>
      </c>
      <c r="I891" s="2" t="s">
        <v>9470</v>
      </c>
      <c r="J891" s="2" t="s">
        <v>9471</v>
      </c>
      <c r="K891" s="2" t="s">
        <v>29</v>
      </c>
      <c r="L891" s="2" t="s">
        <v>9434</v>
      </c>
      <c r="M891" s="2" t="s">
        <v>29</v>
      </c>
      <c r="N891" s="2" t="s">
        <v>9472</v>
      </c>
      <c r="O891" s="2" t="s">
        <v>29</v>
      </c>
      <c r="P891" s="2" t="s">
        <v>9473</v>
      </c>
      <c r="Q891" s="2" t="s">
        <v>9474</v>
      </c>
      <c r="R891" s="2" t="s">
        <v>794</v>
      </c>
      <c r="S891" s="2" t="s">
        <v>7122</v>
      </c>
      <c r="T891" s="2" t="s">
        <v>8042</v>
      </c>
      <c r="U891" s="2" t="s">
        <v>101</v>
      </c>
      <c r="V891" s="2" t="n">
        <v>1</v>
      </c>
    </row>
    <row r="892">
      <c r="A892" s="2" t="n">
        <v>891</v>
      </c>
      <c r="B892" s="2" t="s">
        <v>9475</v>
      </c>
      <c r="C892" s="2" t="n">
        <v>673.096151642</v>
      </c>
      <c r="D892" s="2" t="n">
        <v>0.769898763867158</v>
      </c>
      <c r="E892" s="2" t="s">
        <v>9476</v>
      </c>
      <c r="F892" s="2" t="s">
        <v>683</v>
      </c>
      <c r="G892" s="2" t="s">
        <v>9477</v>
      </c>
      <c r="H892" s="2" t="s">
        <v>9478</v>
      </c>
      <c r="I892" s="2" t="s">
        <v>9479</v>
      </c>
      <c r="J892" s="2" t="s">
        <v>29</v>
      </c>
      <c r="K892" s="2" t="s">
        <v>29</v>
      </c>
      <c r="L892" s="2" t="s">
        <v>29</v>
      </c>
      <c r="M892" s="2" t="s">
        <v>29</v>
      </c>
      <c r="N892" s="2" t="s">
        <v>9480</v>
      </c>
      <c r="O892" s="2" t="s">
        <v>29</v>
      </c>
      <c r="P892" s="2" t="s">
        <v>9481</v>
      </c>
      <c r="Q892" s="2" t="s">
        <v>9482</v>
      </c>
      <c r="R892" s="2" t="s">
        <v>186</v>
      </c>
      <c r="S892" s="2" t="s">
        <v>187</v>
      </c>
      <c r="T892" s="2" t="s">
        <v>3454</v>
      </c>
      <c r="U892" s="2" t="s">
        <v>29</v>
      </c>
      <c r="V892" s="2" t="n">
        <v>1</v>
      </c>
    </row>
    <row r="893">
      <c r="A893" s="2" t="n">
        <v>892</v>
      </c>
      <c r="B893" s="2" t="s">
        <v>9483</v>
      </c>
      <c r="C893" s="2" t="n">
        <v>673.481380244</v>
      </c>
      <c r="D893" s="2" t="n">
        <v>4.64190727682697</v>
      </c>
      <c r="E893" s="2" t="s">
        <v>9484</v>
      </c>
      <c r="F893" s="2" t="s">
        <v>24</v>
      </c>
      <c r="G893" s="2" t="s">
        <v>9485</v>
      </c>
      <c r="H893" s="2" t="s">
        <v>9486</v>
      </c>
      <c r="I893" s="2" t="s">
        <v>9487</v>
      </c>
      <c r="J893" s="2" t="s">
        <v>9488</v>
      </c>
      <c r="K893" s="2" t="s">
        <v>9489</v>
      </c>
      <c r="L893" s="2" t="s">
        <v>9490</v>
      </c>
      <c r="M893" s="2" t="s">
        <v>9491</v>
      </c>
      <c r="N893" s="2" t="s">
        <v>9492</v>
      </c>
      <c r="O893" s="2" t="s">
        <v>29</v>
      </c>
      <c r="P893" s="2" t="s">
        <v>9493</v>
      </c>
      <c r="Q893" s="2" t="s">
        <v>9494</v>
      </c>
      <c r="R893" s="2" t="s">
        <v>794</v>
      </c>
      <c r="S893" s="2" t="s">
        <v>7122</v>
      </c>
      <c r="T893" s="2" t="s">
        <v>7123</v>
      </c>
      <c r="U893" s="2" t="s">
        <v>39</v>
      </c>
      <c r="V893" s="2" t="n">
        <v>1</v>
      </c>
    </row>
    <row r="894">
      <c r="A894" s="2" t="n">
        <v>893</v>
      </c>
      <c r="B894" s="2" t="s">
        <v>9495</v>
      </c>
      <c r="C894" s="2" t="n">
        <v>674.403857721</v>
      </c>
      <c r="D894" s="2" t="n">
        <v>2.68471807932209</v>
      </c>
      <c r="E894" s="2" t="s">
        <v>9496</v>
      </c>
      <c r="F894" s="2" t="s">
        <v>24</v>
      </c>
      <c r="G894" s="2" t="s">
        <v>9497</v>
      </c>
      <c r="H894" s="2" t="s">
        <v>9498</v>
      </c>
      <c r="I894" s="2" t="s">
        <v>9499</v>
      </c>
      <c r="J894" s="2" t="s">
        <v>9500</v>
      </c>
      <c r="K894" s="2" t="s">
        <v>9501</v>
      </c>
      <c r="L894" s="2" t="s">
        <v>29</v>
      </c>
      <c r="M894" s="2" t="s">
        <v>29</v>
      </c>
      <c r="N894" s="2" t="s">
        <v>9502</v>
      </c>
      <c r="O894" s="2" t="s">
        <v>29</v>
      </c>
      <c r="P894" s="2" t="s">
        <v>9503</v>
      </c>
      <c r="Q894" s="2" t="s">
        <v>9504</v>
      </c>
      <c r="R894" s="2" t="s">
        <v>794</v>
      </c>
      <c r="S894" s="2" t="s">
        <v>7122</v>
      </c>
      <c r="T894" s="2" t="s">
        <v>8876</v>
      </c>
      <c r="U894" s="2" t="s">
        <v>29</v>
      </c>
      <c r="V894" s="2" t="n">
        <v>1</v>
      </c>
    </row>
    <row r="895">
      <c r="A895" s="2" t="n">
        <v>894</v>
      </c>
      <c r="B895" s="2" t="s">
        <v>9505</v>
      </c>
      <c r="C895" s="2" t="n">
        <v>675.14860771</v>
      </c>
      <c r="D895" s="2" t="n">
        <v>2.27009224406958</v>
      </c>
      <c r="E895" s="2" t="s">
        <v>9506</v>
      </c>
      <c r="F895" s="2" t="s">
        <v>86</v>
      </c>
      <c r="G895" s="2" t="s">
        <v>9507</v>
      </c>
      <c r="H895" s="2" t="s">
        <v>9508</v>
      </c>
      <c r="I895" s="2" t="s">
        <v>9509</v>
      </c>
      <c r="J895" s="2" t="s">
        <v>29</v>
      </c>
      <c r="K895" s="2" t="s">
        <v>29</v>
      </c>
      <c r="L895" s="2" t="s">
        <v>29</v>
      </c>
      <c r="M895" s="2" t="s">
        <v>29</v>
      </c>
      <c r="N895" s="2" t="s">
        <v>9510</v>
      </c>
      <c r="O895" s="2" t="s">
        <v>29</v>
      </c>
      <c r="P895" s="2" t="s">
        <v>9511</v>
      </c>
      <c r="Q895" s="2" t="s">
        <v>9512</v>
      </c>
      <c r="R895" s="2" t="s">
        <v>114</v>
      </c>
      <c r="S895" s="2" t="s">
        <v>8755</v>
      </c>
      <c r="T895" s="2" t="s">
        <v>9513</v>
      </c>
      <c r="U895" s="2" t="s">
        <v>29</v>
      </c>
      <c r="V895" s="2" t="n">
        <v>1</v>
      </c>
    </row>
    <row r="896">
      <c r="A896" s="2" t="n">
        <v>895</v>
      </c>
      <c r="B896" s="2" t="s">
        <v>9514</v>
      </c>
      <c r="C896" s="2" t="n">
        <v>675.228998401</v>
      </c>
      <c r="D896" s="2" t="n">
        <v>0.819575299973031</v>
      </c>
      <c r="E896" s="2" t="s">
        <v>9515</v>
      </c>
      <c r="F896" s="2" t="s">
        <v>218</v>
      </c>
      <c r="G896" s="2" t="s">
        <v>9516</v>
      </c>
      <c r="H896" s="2" t="s">
        <v>9517</v>
      </c>
      <c r="I896" s="2" t="s">
        <v>9518</v>
      </c>
      <c r="J896" s="2" t="s">
        <v>29</v>
      </c>
      <c r="K896" s="2" t="s">
        <v>29</v>
      </c>
      <c r="L896" s="2" t="s">
        <v>29</v>
      </c>
      <c r="M896" s="2" t="s">
        <v>29</v>
      </c>
      <c r="N896" s="2" t="s">
        <v>9519</v>
      </c>
      <c r="O896" s="2" t="s">
        <v>29</v>
      </c>
      <c r="P896" s="2" t="s">
        <v>9520</v>
      </c>
      <c r="Q896" s="2" t="s">
        <v>9521</v>
      </c>
      <c r="R896" s="2" t="s">
        <v>114</v>
      </c>
      <c r="S896" s="2" t="s">
        <v>3757</v>
      </c>
      <c r="T896" s="2" t="s">
        <v>215</v>
      </c>
      <c r="U896" s="2" t="s">
        <v>29</v>
      </c>
      <c r="V896" s="2" t="n">
        <v>1</v>
      </c>
    </row>
    <row r="897">
      <c r="A897" s="2" t="n">
        <v>896</v>
      </c>
      <c r="B897" s="2" t="s">
        <v>9522</v>
      </c>
      <c r="C897" s="2" t="n">
        <v>678.50974801</v>
      </c>
      <c r="D897" s="2" t="n">
        <v>7.31581576855257</v>
      </c>
      <c r="E897" s="2" t="s">
        <v>9523</v>
      </c>
      <c r="F897" s="2" t="s">
        <v>161</v>
      </c>
      <c r="G897" s="2" t="s">
        <v>9524</v>
      </c>
      <c r="H897" s="2" t="s">
        <v>9525</v>
      </c>
      <c r="I897" s="2" t="s">
        <v>9526</v>
      </c>
      <c r="J897" s="2" t="s">
        <v>29</v>
      </c>
      <c r="K897" s="2" t="s">
        <v>29</v>
      </c>
      <c r="L897" s="2" t="s">
        <v>29</v>
      </c>
      <c r="M897" s="2" t="s">
        <v>29</v>
      </c>
      <c r="N897" s="2" t="s">
        <v>9527</v>
      </c>
      <c r="O897" s="2" t="s">
        <v>29</v>
      </c>
      <c r="P897" s="2" t="s">
        <v>9528</v>
      </c>
      <c r="Q897" s="2" t="s">
        <v>9529</v>
      </c>
      <c r="R897" s="2" t="s">
        <v>794</v>
      </c>
      <c r="S897" s="2" t="s">
        <v>2600</v>
      </c>
      <c r="T897" s="2" t="s">
        <v>8840</v>
      </c>
      <c r="U897" s="2" t="s">
        <v>29</v>
      </c>
      <c r="V897" s="2" t="n">
        <v>1</v>
      </c>
    </row>
    <row r="898">
      <c r="A898" s="2" t="n">
        <v>897</v>
      </c>
      <c r="B898" s="2" t="s">
        <v>9530</v>
      </c>
      <c r="C898" s="2" t="n">
        <v>679.287229952</v>
      </c>
      <c r="D898" s="2" t="n">
        <v>3.34572382818757</v>
      </c>
      <c r="E898" s="2" t="s">
        <v>9531</v>
      </c>
      <c r="F898" s="2" t="s">
        <v>205</v>
      </c>
      <c r="G898" s="2" t="s">
        <v>9532</v>
      </c>
      <c r="H898" s="2" t="s">
        <v>9533</v>
      </c>
      <c r="I898" s="2" t="s">
        <v>9534</v>
      </c>
      <c r="J898" s="2" t="s">
        <v>29</v>
      </c>
      <c r="K898" s="2" t="s">
        <v>29</v>
      </c>
      <c r="L898" s="2" t="s">
        <v>9535</v>
      </c>
      <c r="M898" s="2" t="s">
        <v>9536</v>
      </c>
      <c r="N898" s="2" t="s">
        <v>9537</v>
      </c>
      <c r="O898" s="2" t="s">
        <v>9538</v>
      </c>
      <c r="P898" s="2" t="s">
        <v>9539</v>
      </c>
      <c r="Q898" s="2" t="s">
        <v>9540</v>
      </c>
      <c r="R898" s="2" t="s">
        <v>3003</v>
      </c>
      <c r="S898" s="2" t="s">
        <v>9541</v>
      </c>
      <c r="T898" s="2" t="s">
        <v>215</v>
      </c>
      <c r="U898" s="2" t="s">
        <v>56</v>
      </c>
      <c r="V898" s="2" t="n">
        <v>1</v>
      </c>
    </row>
    <row r="899">
      <c r="A899" s="2" t="n">
        <v>898</v>
      </c>
      <c r="B899" s="2" t="s">
        <v>9542</v>
      </c>
      <c r="C899" s="2" t="n">
        <v>680.510141939</v>
      </c>
      <c r="D899" s="2" t="n">
        <v>5.98825369893473</v>
      </c>
      <c r="E899" s="2" t="s">
        <v>9543</v>
      </c>
      <c r="F899" s="2" t="s">
        <v>161</v>
      </c>
      <c r="G899" s="2" t="s">
        <v>9544</v>
      </c>
      <c r="H899" s="2" t="s">
        <v>9545</v>
      </c>
      <c r="I899" s="2" t="s">
        <v>9546</v>
      </c>
      <c r="J899" s="2" t="s">
        <v>9547</v>
      </c>
      <c r="K899" s="2" t="s">
        <v>91</v>
      </c>
      <c r="L899" s="2" t="s">
        <v>91</v>
      </c>
      <c r="M899" s="2" t="s">
        <v>9548</v>
      </c>
      <c r="N899" s="2" t="s">
        <v>9549</v>
      </c>
      <c r="O899" s="2" t="s">
        <v>9550</v>
      </c>
      <c r="P899" s="2" t="s">
        <v>9551</v>
      </c>
      <c r="Q899" s="2" t="s">
        <v>9552</v>
      </c>
      <c r="R899" s="2" t="s">
        <v>412</v>
      </c>
      <c r="S899" s="2" t="s">
        <v>9553</v>
      </c>
      <c r="T899" s="2" t="s">
        <v>9554</v>
      </c>
      <c r="U899" s="2" t="s">
        <v>29</v>
      </c>
      <c r="V899" s="2" t="n">
        <v>2</v>
      </c>
    </row>
    <row r="900">
      <c r="A900" s="2" t="n">
        <v>899</v>
      </c>
      <c r="B900" s="2" t="s">
        <v>9555</v>
      </c>
      <c r="C900" s="2" t="n">
        <v>680.575397408</v>
      </c>
      <c r="D900" s="2" t="n">
        <v>7.48482130824305</v>
      </c>
      <c r="E900" s="2" t="s">
        <v>9556</v>
      </c>
      <c r="F900" s="2" t="s">
        <v>86</v>
      </c>
      <c r="G900" s="2" t="s">
        <v>9557</v>
      </c>
      <c r="H900" s="2" t="s">
        <v>9558</v>
      </c>
      <c r="I900" s="2" t="s">
        <v>9559</v>
      </c>
      <c r="J900" s="2" t="s">
        <v>29</v>
      </c>
      <c r="K900" s="2" t="s">
        <v>29</v>
      </c>
      <c r="L900" s="2" t="s">
        <v>29</v>
      </c>
      <c r="M900" s="2" t="s">
        <v>29</v>
      </c>
      <c r="N900" s="2" t="s">
        <v>29</v>
      </c>
      <c r="O900" s="2" t="s">
        <v>29</v>
      </c>
      <c r="P900" s="2" t="s">
        <v>9560</v>
      </c>
      <c r="Q900" s="2" t="s">
        <v>9561</v>
      </c>
      <c r="R900" s="2" t="s">
        <v>129</v>
      </c>
      <c r="S900" s="2" t="s">
        <v>130</v>
      </c>
      <c r="T900" s="2" t="s">
        <v>4133</v>
      </c>
      <c r="U900" s="2" t="s">
        <v>39</v>
      </c>
      <c r="V900" s="2" t="n">
        <v>1</v>
      </c>
    </row>
    <row r="901">
      <c r="A901" s="2" t="n">
        <v>900</v>
      </c>
      <c r="B901" s="2" t="s">
        <v>9562</v>
      </c>
      <c r="C901" s="2" t="n">
        <v>681.276394802</v>
      </c>
      <c r="D901" s="2" t="n">
        <v>8.40758088062033</v>
      </c>
      <c r="E901" s="2" t="s">
        <v>9563</v>
      </c>
      <c r="F901" s="2" t="s">
        <v>24</v>
      </c>
      <c r="G901" s="2" t="s">
        <v>9564</v>
      </c>
      <c r="H901" s="2" t="s">
        <v>9565</v>
      </c>
      <c r="I901" s="2" t="s">
        <v>9566</v>
      </c>
      <c r="J901" s="2" t="s">
        <v>9567</v>
      </c>
      <c r="K901" s="2" t="s">
        <v>91</v>
      </c>
      <c r="L901" s="2" t="s">
        <v>91</v>
      </c>
      <c r="M901" s="2" t="s">
        <v>91</v>
      </c>
      <c r="N901" s="2" t="s">
        <v>9568</v>
      </c>
      <c r="O901" s="2" t="s">
        <v>9569</v>
      </c>
      <c r="P901" s="2" t="s">
        <v>9570</v>
      </c>
      <c r="Q901" s="2" t="s">
        <v>9571</v>
      </c>
      <c r="R901" s="2" t="s">
        <v>7198</v>
      </c>
      <c r="S901" s="2" t="s">
        <v>9572</v>
      </c>
      <c r="T901" s="2" t="s">
        <v>9573</v>
      </c>
      <c r="U901" s="2" t="s">
        <v>29</v>
      </c>
      <c r="V901" s="2" t="n">
        <v>2</v>
      </c>
    </row>
    <row r="902">
      <c r="A902" s="2" t="n">
        <v>901</v>
      </c>
      <c r="B902" s="2" t="s">
        <v>9574</v>
      </c>
      <c r="C902" s="2" t="n">
        <v>681.523027478</v>
      </c>
      <c r="D902" s="2" t="n">
        <v>9.45902144952244</v>
      </c>
      <c r="E902" s="2" t="s">
        <v>9575</v>
      </c>
      <c r="F902" s="2" t="s">
        <v>86</v>
      </c>
      <c r="G902" s="2" t="s">
        <v>9576</v>
      </c>
      <c r="H902" s="2" t="s">
        <v>9577</v>
      </c>
      <c r="I902" s="2" t="s">
        <v>9578</v>
      </c>
      <c r="J902" s="2" t="s">
        <v>9579</v>
      </c>
      <c r="K902" s="2" t="s">
        <v>9580</v>
      </c>
      <c r="L902" s="2" t="s">
        <v>29</v>
      </c>
      <c r="M902" s="2" t="s">
        <v>9581</v>
      </c>
      <c r="N902" s="2" t="s">
        <v>9582</v>
      </c>
      <c r="O902" s="2" t="s">
        <v>29</v>
      </c>
      <c r="P902" s="2" t="s">
        <v>9583</v>
      </c>
      <c r="Q902" s="2" t="s">
        <v>9584</v>
      </c>
      <c r="R902" s="2" t="s">
        <v>794</v>
      </c>
      <c r="S902" s="2" t="s">
        <v>2600</v>
      </c>
      <c r="T902" s="2" t="s">
        <v>8990</v>
      </c>
      <c r="U902" s="2" t="s">
        <v>29</v>
      </c>
      <c r="V902" s="2" t="n">
        <v>1</v>
      </c>
    </row>
    <row r="903">
      <c r="A903" s="2" t="n">
        <v>902</v>
      </c>
      <c r="B903" s="2" t="s">
        <v>9585</v>
      </c>
      <c r="C903" s="2" t="n">
        <v>682.263516337</v>
      </c>
      <c r="D903" s="2" t="n">
        <v>3.59422308820517</v>
      </c>
      <c r="E903" s="2" t="s">
        <v>9586</v>
      </c>
      <c r="F903" s="2" t="s">
        <v>218</v>
      </c>
      <c r="G903" s="2" t="s">
        <v>9587</v>
      </c>
      <c r="H903" s="2" t="s">
        <v>9588</v>
      </c>
      <c r="I903" s="2" t="s">
        <v>9589</v>
      </c>
      <c r="J903" s="2" t="s">
        <v>29</v>
      </c>
      <c r="K903" s="2" t="s">
        <v>29</v>
      </c>
      <c r="L903" s="2" t="s">
        <v>29</v>
      </c>
      <c r="M903" s="2" t="s">
        <v>29</v>
      </c>
      <c r="N903" s="2" t="s">
        <v>9590</v>
      </c>
      <c r="O903" s="2" t="s">
        <v>29</v>
      </c>
      <c r="P903" s="2" t="s">
        <v>9591</v>
      </c>
      <c r="Q903" s="2" t="s">
        <v>9592</v>
      </c>
      <c r="R903" s="2" t="s">
        <v>794</v>
      </c>
      <c r="S903" s="2" t="s">
        <v>1098</v>
      </c>
      <c r="T903" s="2" t="s">
        <v>4662</v>
      </c>
      <c r="U903" s="2" t="s">
        <v>29</v>
      </c>
      <c r="V903" s="2" t="n">
        <v>1</v>
      </c>
    </row>
    <row r="904">
      <c r="A904" s="2" t="n">
        <v>903</v>
      </c>
      <c r="B904" s="2" t="s">
        <v>9593</v>
      </c>
      <c r="C904" s="2" t="n">
        <v>682.591047463</v>
      </c>
      <c r="D904" s="2" t="n">
        <v>8.47957809443405</v>
      </c>
      <c r="E904" s="2" t="s">
        <v>9594</v>
      </c>
      <c r="F904" s="2" t="s">
        <v>86</v>
      </c>
      <c r="G904" s="2" t="s">
        <v>9595</v>
      </c>
      <c r="H904" s="2" t="s">
        <v>9596</v>
      </c>
      <c r="I904" s="2" t="s">
        <v>9597</v>
      </c>
      <c r="J904" s="2" t="s">
        <v>9598</v>
      </c>
      <c r="K904" s="2" t="s">
        <v>9599</v>
      </c>
      <c r="L904" s="2" t="s">
        <v>8716</v>
      </c>
      <c r="M904" s="2" t="s">
        <v>9600</v>
      </c>
      <c r="N904" s="2" t="s">
        <v>9601</v>
      </c>
      <c r="O904" s="2" t="s">
        <v>29</v>
      </c>
      <c r="P904" s="2" t="s">
        <v>9602</v>
      </c>
      <c r="Q904" s="2" t="s">
        <v>9603</v>
      </c>
      <c r="R904" s="2" t="s">
        <v>794</v>
      </c>
      <c r="S904" s="2" t="s">
        <v>7781</v>
      </c>
      <c r="T904" s="2" t="s">
        <v>8722</v>
      </c>
      <c r="U904" s="2" t="s">
        <v>39</v>
      </c>
      <c r="V904" s="2" t="n">
        <v>1</v>
      </c>
    </row>
    <row r="905">
      <c r="A905" s="2" t="n">
        <v>904</v>
      </c>
      <c r="B905" s="2" t="s">
        <v>9604</v>
      </c>
      <c r="C905" s="2" t="n">
        <v>683.271051119</v>
      </c>
      <c r="D905" s="2" t="n">
        <v>2.28758805221572</v>
      </c>
      <c r="E905" s="2" t="s">
        <v>9605</v>
      </c>
      <c r="F905" s="2" t="s">
        <v>161</v>
      </c>
      <c r="G905" s="2" t="s">
        <v>9606</v>
      </c>
      <c r="H905" s="2" t="s">
        <v>9607</v>
      </c>
      <c r="I905" s="2" t="s">
        <v>9608</v>
      </c>
      <c r="J905" s="2" t="s">
        <v>29</v>
      </c>
      <c r="K905" s="2" t="s">
        <v>29</v>
      </c>
      <c r="L905" s="2" t="s">
        <v>29</v>
      </c>
      <c r="M905" s="2" t="s">
        <v>29</v>
      </c>
      <c r="N905" s="2" t="s">
        <v>9609</v>
      </c>
      <c r="O905" s="2" t="s">
        <v>29</v>
      </c>
      <c r="P905" s="2" t="s">
        <v>9610</v>
      </c>
      <c r="Q905" s="2" t="s">
        <v>9611</v>
      </c>
      <c r="R905" s="2" t="s">
        <v>36</v>
      </c>
      <c r="S905" s="2" t="s">
        <v>37</v>
      </c>
      <c r="T905" s="2" t="s">
        <v>69</v>
      </c>
      <c r="U905" s="2" t="s">
        <v>29</v>
      </c>
      <c r="V905" s="2" t="n">
        <v>1</v>
      </c>
    </row>
    <row r="906">
      <c r="A906" s="2" t="n">
        <v>905</v>
      </c>
      <c r="B906" s="2" t="s">
        <v>9612</v>
      </c>
      <c r="C906" s="2" t="n">
        <v>684.533199367</v>
      </c>
      <c r="D906" s="2" t="n">
        <v>9.11907857830682</v>
      </c>
      <c r="E906" s="2" t="s">
        <v>9613</v>
      </c>
      <c r="F906" s="2" t="s">
        <v>161</v>
      </c>
      <c r="G906" s="2" t="s">
        <v>9614</v>
      </c>
      <c r="H906" s="2" t="s">
        <v>9615</v>
      </c>
      <c r="I906" s="2" t="s">
        <v>9616</v>
      </c>
      <c r="J906" s="2" t="s">
        <v>9617</v>
      </c>
      <c r="K906" s="2" t="s">
        <v>29</v>
      </c>
      <c r="L906" s="2" t="s">
        <v>9434</v>
      </c>
      <c r="M906" s="2" t="s">
        <v>29</v>
      </c>
      <c r="N906" s="2" t="s">
        <v>9618</v>
      </c>
      <c r="O906" s="2" t="s">
        <v>29</v>
      </c>
      <c r="P906" s="2" t="s">
        <v>9619</v>
      </c>
      <c r="Q906" s="2" t="s">
        <v>9620</v>
      </c>
      <c r="R906" s="2" t="s">
        <v>794</v>
      </c>
      <c r="S906" s="2" t="s">
        <v>7122</v>
      </c>
      <c r="T906" s="2" t="s">
        <v>8042</v>
      </c>
      <c r="U906" s="2" t="s">
        <v>101</v>
      </c>
      <c r="V906" s="2" t="n">
        <v>1</v>
      </c>
    </row>
    <row r="907">
      <c r="A907" s="2" t="n">
        <v>906</v>
      </c>
      <c r="B907" s="2" t="s">
        <v>9621</v>
      </c>
      <c r="C907" s="2" t="n">
        <v>684.606697527</v>
      </c>
      <c r="D907" s="2" t="n">
        <v>4.23658751601688</v>
      </c>
      <c r="E907" s="2" t="s">
        <v>9622</v>
      </c>
      <c r="F907" s="2" t="s">
        <v>86</v>
      </c>
      <c r="G907" s="2" t="s">
        <v>9623</v>
      </c>
      <c r="H907" s="2" t="s">
        <v>9624</v>
      </c>
      <c r="I907" s="2" t="s">
        <v>9625</v>
      </c>
      <c r="J907" s="2" t="s">
        <v>9626</v>
      </c>
      <c r="K907" s="2" t="s">
        <v>9627</v>
      </c>
      <c r="L907" s="2" t="s">
        <v>8716</v>
      </c>
      <c r="M907" s="2" t="s">
        <v>9628</v>
      </c>
      <c r="N907" s="2" t="s">
        <v>9629</v>
      </c>
      <c r="O907" s="2" t="s">
        <v>9630</v>
      </c>
      <c r="P907" s="2" t="s">
        <v>9631</v>
      </c>
      <c r="Q907" s="2" t="s">
        <v>9632</v>
      </c>
      <c r="R907" s="2" t="s">
        <v>794</v>
      </c>
      <c r="S907" s="2" t="s">
        <v>7781</v>
      </c>
      <c r="T907" s="2" t="s">
        <v>8722</v>
      </c>
      <c r="U907" s="2" t="s">
        <v>39</v>
      </c>
      <c r="V907" s="2" t="n">
        <v>1</v>
      </c>
    </row>
    <row r="908">
      <c r="A908" s="2" t="n">
        <v>907</v>
      </c>
      <c r="B908" s="2" t="s">
        <v>9633</v>
      </c>
      <c r="C908" s="2" t="n">
        <v>685.554327606</v>
      </c>
      <c r="D908" s="2" t="n">
        <v>7.13996717371807</v>
      </c>
      <c r="E908" s="2" t="s">
        <v>9634</v>
      </c>
      <c r="F908" s="2" t="s">
        <v>86</v>
      </c>
      <c r="G908" s="2" t="s">
        <v>9635</v>
      </c>
      <c r="H908" s="2" t="s">
        <v>9636</v>
      </c>
      <c r="I908" s="2" t="s">
        <v>9637</v>
      </c>
      <c r="J908" s="2" t="s">
        <v>9638</v>
      </c>
      <c r="K908" s="2" t="s">
        <v>29</v>
      </c>
      <c r="L908" s="2" t="s">
        <v>29</v>
      </c>
      <c r="M908" s="2" t="s">
        <v>29</v>
      </c>
      <c r="N908" s="2" t="s">
        <v>9639</v>
      </c>
      <c r="O908" s="2" t="s">
        <v>29</v>
      </c>
      <c r="P908" s="2" t="s">
        <v>9640</v>
      </c>
      <c r="Q908" s="2" t="s">
        <v>9641</v>
      </c>
      <c r="R908" s="2" t="s">
        <v>794</v>
      </c>
      <c r="S908" s="2" t="s">
        <v>2600</v>
      </c>
      <c r="T908" s="2" t="s">
        <v>8990</v>
      </c>
      <c r="U908" s="2" t="s">
        <v>29</v>
      </c>
      <c r="V908" s="2" t="n">
        <v>1</v>
      </c>
    </row>
    <row r="909">
      <c r="A909" s="2" t="n">
        <v>908</v>
      </c>
      <c r="B909" s="2" t="s">
        <v>9642</v>
      </c>
      <c r="C909" s="2" t="n">
        <v>686.147501561</v>
      </c>
      <c r="D909" s="2" t="n">
        <v>0.343724352075931</v>
      </c>
      <c r="E909" s="2" t="s">
        <v>9643</v>
      </c>
      <c r="F909" s="2" t="s">
        <v>205</v>
      </c>
      <c r="G909" s="2" t="s">
        <v>9644</v>
      </c>
      <c r="H909" s="2" t="s">
        <v>9645</v>
      </c>
      <c r="I909" s="2" t="s">
        <v>9646</v>
      </c>
      <c r="J909" s="2" t="s">
        <v>29</v>
      </c>
      <c r="K909" s="2" t="s">
        <v>29</v>
      </c>
      <c r="L909" s="2" t="s">
        <v>29</v>
      </c>
      <c r="M909" s="2" t="s">
        <v>29</v>
      </c>
      <c r="N909" s="2" t="s">
        <v>29</v>
      </c>
      <c r="O909" s="2" t="s">
        <v>29</v>
      </c>
      <c r="P909" s="2" t="s">
        <v>9647</v>
      </c>
      <c r="Q909" s="2" t="s">
        <v>9648</v>
      </c>
      <c r="R909" s="2" t="s">
        <v>36</v>
      </c>
      <c r="S909" s="2" t="s">
        <v>37</v>
      </c>
      <c r="T909" s="2" t="s">
        <v>9649</v>
      </c>
      <c r="U909" s="2" t="s">
        <v>29</v>
      </c>
      <c r="V909" s="2" t="n">
        <v>1</v>
      </c>
    </row>
    <row r="910">
      <c r="A910" s="2" t="n">
        <v>909</v>
      </c>
      <c r="B910" s="2" t="s">
        <v>9650</v>
      </c>
      <c r="C910" s="2" t="n">
        <v>687.060580586</v>
      </c>
      <c r="D910" s="2" t="n">
        <v>9.3984064233216</v>
      </c>
      <c r="E910" s="2" t="s">
        <v>9651</v>
      </c>
      <c r="F910" s="2" t="s">
        <v>86</v>
      </c>
      <c r="G910" s="2" t="s">
        <v>9652</v>
      </c>
      <c r="H910" s="2" t="s">
        <v>9653</v>
      </c>
      <c r="I910" s="2" t="s">
        <v>9654</v>
      </c>
      <c r="J910" s="2" t="s">
        <v>9655</v>
      </c>
      <c r="K910" s="2" t="s">
        <v>29</v>
      </c>
      <c r="L910" s="2" t="s">
        <v>29</v>
      </c>
      <c r="M910" s="2" t="s">
        <v>29</v>
      </c>
      <c r="N910" s="2" t="s">
        <v>9656</v>
      </c>
      <c r="O910" s="2" t="s">
        <v>9657</v>
      </c>
      <c r="P910" s="2" t="s">
        <v>9658</v>
      </c>
      <c r="Q910" s="2" t="s">
        <v>9659</v>
      </c>
      <c r="R910" s="2" t="s">
        <v>1355</v>
      </c>
      <c r="S910" s="2" t="s">
        <v>9660</v>
      </c>
      <c r="T910" s="2" t="s">
        <v>215</v>
      </c>
      <c r="U910" s="2" t="s">
        <v>29</v>
      </c>
      <c r="V910" s="2" t="n">
        <v>1</v>
      </c>
    </row>
    <row r="911">
      <c r="A911" s="2" t="n">
        <v>910</v>
      </c>
      <c r="B911" s="2" t="s">
        <v>9661</v>
      </c>
      <c r="C911" s="2" t="n">
        <v>687.158880354</v>
      </c>
      <c r="D911" s="2" t="n">
        <v>5.70459539934819</v>
      </c>
      <c r="E911" s="2" t="s">
        <v>9662</v>
      </c>
      <c r="F911" s="2" t="s">
        <v>683</v>
      </c>
      <c r="G911" s="2" t="s">
        <v>9663</v>
      </c>
      <c r="H911" s="2" t="s">
        <v>9664</v>
      </c>
      <c r="I911" s="2" t="s">
        <v>9665</v>
      </c>
      <c r="J911" s="2" t="s">
        <v>29</v>
      </c>
      <c r="K911" s="2" t="s">
        <v>29</v>
      </c>
      <c r="L911" s="2" t="s">
        <v>29</v>
      </c>
      <c r="M911" s="2" t="s">
        <v>29</v>
      </c>
      <c r="N911" s="2" t="s">
        <v>9666</v>
      </c>
      <c r="O911" s="2" t="s">
        <v>29</v>
      </c>
      <c r="P911" s="2" t="s">
        <v>9667</v>
      </c>
      <c r="Q911" s="2" t="s">
        <v>9668</v>
      </c>
      <c r="R911" s="2" t="s">
        <v>114</v>
      </c>
      <c r="S911" s="2" t="s">
        <v>1050</v>
      </c>
      <c r="T911" s="2" t="s">
        <v>1122</v>
      </c>
      <c r="U911" s="2" t="s">
        <v>29</v>
      </c>
      <c r="V911" s="2" t="n">
        <v>1</v>
      </c>
    </row>
    <row r="912">
      <c r="A912" s="2" t="n">
        <v>911</v>
      </c>
      <c r="B912" s="2" t="s">
        <v>9669</v>
      </c>
      <c r="C912" s="2" t="n">
        <v>688.410779498</v>
      </c>
      <c r="D912" s="2" t="n">
        <v>1.08589364653949</v>
      </c>
      <c r="E912" s="2" t="s">
        <v>9670</v>
      </c>
      <c r="F912" s="2" t="s">
        <v>161</v>
      </c>
      <c r="G912" s="2" t="s">
        <v>9671</v>
      </c>
      <c r="H912" s="2" t="s">
        <v>9672</v>
      </c>
      <c r="I912" s="2" t="s">
        <v>9673</v>
      </c>
      <c r="J912" s="2" t="s">
        <v>29</v>
      </c>
      <c r="K912" s="2" t="s">
        <v>29</v>
      </c>
      <c r="L912" s="2" t="s">
        <v>29</v>
      </c>
      <c r="M912" s="2" t="s">
        <v>29</v>
      </c>
      <c r="N912" s="2" t="s">
        <v>9674</v>
      </c>
      <c r="O912" s="2" t="s">
        <v>29</v>
      </c>
      <c r="P912" s="2" t="s">
        <v>9675</v>
      </c>
      <c r="Q912" s="2" t="s">
        <v>9676</v>
      </c>
      <c r="R912" s="2" t="s">
        <v>36</v>
      </c>
      <c r="S912" s="2" t="s">
        <v>7927</v>
      </c>
      <c r="T912" s="2" t="s">
        <v>7928</v>
      </c>
      <c r="U912" s="2" t="s">
        <v>29</v>
      </c>
      <c r="V912" s="2" t="n">
        <v>1</v>
      </c>
    </row>
    <row r="913">
      <c r="A913" s="2" t="n">
        <v>912</v>
      </c>
      <c r="B913" s="2" t="s">
        <v>9677</v>
      </c>
      <c r="C913" s="2" t="n">
        <v>689.066865466</v>
      </c>
      <c r="D913" s="2" t="n">
        <v>0.860049077993498</v>
      </c>
      <c r="E913" s="2" t="s">
        <v>9678</v>
      </c>
      <c r="F913" s="2" t="s">
        <v>683</v>
      </c>
      <c r="G913" s="2" t="s">
        <v>9679</v>
      </c>
      <c r="H913" s="2" t="s">
        <v>9680</v>
      </c>
      <c r="I913" s="2" t="s">
        <v>9681</v>
      </c>
      <c r="J913" s="2" t="s">
        <v>9682</v>
      </c>
      <c r="K913" s="2" t="s">
        <v>29</v>
      </c>
      <c r="L913" s="2" t="s">
        <v>9683</v>
      </c>
      <c r="M913" s="2" t="s">
        <v>9684</v>
      </c>
      <c r="N913" s="2" t="s">
        <v>9685</v>
      </c>
      <c r="O913" s="2" t="s">
        <v>9686</v>
      </c>
      <c r="P913" s="2" t="s">
        <v>9687</v>
      </c>
      <c r="Q913" s="2" t="s">
        <v>9688</v>
      </c>
      <c r="R913" s="2" t="s">
        <v>114</v>
      </c>
      <c r="S913" s="2" t="s">
        <v>9689</v>
      </c>
      <c r="T913" s="2" t="s">
        <v>9690</v>
      </c>
      <c r="U913" s="2" t="s">
        <v>101</v>
      </c>
      <c r="V913" s="2" t="n">
        <v>1</v>
      </c>
    </row>
    <row r="914">
      <c r="A914" s="2" t="n">
        <v>913</v>
      </c>
      <c r="B914" s="2" t="s">
        <v>9691</v>
      </c>
      <c r="C914" s="2" t="n">
        <v>689.430013375</v>
      </c>
      <c r="D914" s="2" t="n">
        <v>6.47244438556486</v>
      </c>
      <c r="E914" s="2" t="s">
        <v>9692</v>
      </c>
      <c r="F914" s="2" t="s">
        <v>24</v>
      </c>
      <c r="G914" s="2" t="s">
        <v>9693</v>
      </c>
      <c r="H914" s="2" t="s">
        <v>9694</v>
      </c>
      <c r="I914" s="2" t="s">
        <v>9695</v>
      </c>
      <c r="J914" s="2" t="s">
        <v>29</v>
      </c>
      <c r="K914" s="2" t="s">
        <v>29</v>
      </c>
      <c r="L914" s="2" t="s">
        <v>29</v>
      </c>
      <c r="M914" s="2" t="s">
        <v>29</v>
      </c>
      <c r="N914" s="2" t="s">
        <v>29</v>
      </c>
      <c r="O914" s="2" t="s">
        <v>29</v>
      </c>
      <c r="P914" s="2" t="s">
        <v>9696</v>
      </c>
      <c r="Q914" s="2" t="s">
        <v>9697</v>
      </c>
      <c r="R914" s="2" t="s">
        <v>114</v>
      </c>
      <c r="S914" s="2" t="s">
        <v>2057</v>
      </c>
      <c r="T914" s="2" t="s">
        <v>215</v>
      </c>
      <c r="U914" s="2" t="s">
        <v>29</v>
      </c>
      <c r="V914" s="2" t="n">
        <v>1</v>
      </c>
    </row>
    <row r="915">
      <c r="A915" s="2" t="n">
        <v>914</v>
      </c>
      <c r="B915" s="2" t="s">
        <v>9698</v>
      </c>
      <c r="C915" s="2" t="n">
        <v>689.506983494</v>
      </c>
      <c r="D915" s="2" t="n">
        <v>9.09476962988537</v>
      </c>
      <c r="E915" s="2" t="s">
        <v>9699</v>
      </c>
      <c r="F915" s="2" t="s">
        <v>86</v>
      </c>
      <c r="G915" s="2" t="s">
        <v>9700</v>
      </c>
      <c r="H915" s="2" t="s">
        <v>9701</v>
      </c>
      <c r="I915" s="2" t="s">
        <v>9702</v>
      </c>
      <c r="J915" s="2" t="s">
        <v>9703</v>
      </c>
      <c r="K915" s="2" t="s">
        <v>29</v>
      </c>
      <c r="L915" s="2" t="s">
        <v>9704</v>
      </c>
      <c r="M915" s="2" t="s">
        <v>9705</v>
      </c>
      <c r="N915" s="2" t="s">
        <v>9706</v>
      </c>
      <c r="O915" s="2" t="s">
        <v>29</v>
      </c>
      <c r="P915" s="2" t="s">
        <v>9707</v>
      </c>
      <c r="Q915" s="2" t="s">
        <v>9708</v>
      </c>
      <c r="R915" s="2" t="s">
        <v>794</v>
      </c>
      <c r="S915" s="2" t="s">
        <v>1098</v>
      </c>
      <c r="T915" s="2" t="s">
        <v>9709</v>
      </c>
      <c r="U915" s="2" t="s">
        <v>101</v>
      </c>
      <c r="V915" s="2" t="n">
        <v>1</v>
      </c>
    </row>
    <row r="916">
      <c r="A916" s="2" t="n">
        <v>915</v>
      </c>
      <c r="B916" s="2" t="s">
        <v>9710</v>
      </c>
      <c r="C916" s="2" t="n">
        <v>691.206183074</v>
      </c>
      <c r="D916" s="2" t="n">
        <v>2.49075946901816</v>
      </c>
      <c r="E916" s="2" t="s">
        <v>9711</v>
      </c>
      <c r="F916" s="2" t="s">
        <v>531</v>
      </c>
      <c r="G916" s="2" t="s">
        <v>9712</v>
      </c>
      <c r="H916" s="2" t="s">
        <v>9713</v>
      </c>
      <c r="I916" s="2" t="s">
        <v>9714</v>
      </c>
      <c r="J916" s="2" t="s">
        <v>9715</v>
      </c>
      <c r="K916" s="2" t="s">
        <v>29</v>
      </c>
      <c r="L916" s="2" t="s">
        <v>29</v>
      </c>
      <c r="M916" s="2" t="s">
        <v>29</v>
      </c>
      <c r="N916" s="2" t="s">
        <v>9716</v>
      </c>
      <c r="O916" s="2" t="s">
        <v>9717</v>
      </c>
      <c r="P916" s="2" t="s">
        <v>9718</v>
      </c>
      <c r="Q916" s="2" t="s">
        <v>9719</v>
      </c>
      <c r="R916" s="2" t="s">
        <v>186</v>
      </c>
      <c r="S916" s="2" t="s">
        <v>9353</v>
      </c>
      <c r="T916" s="2" t="s">
        <v>9354</v>
      </c>
      <c r="U916" s="2" t="s">
        <v>29</v>
      </c>
      <c r="V916" s="2" t="n">
        <v>1</v>
      </c>
    </row>
    <row r="917">
      <c r="A917" s="2" t="n">
        <v>916</v>
      </c>
      <c r="B917" s="2" t="s">
        <v>9720</v>
      </c>
      <c r="C917" s="2" t="n">
        <v>691.470265244</v>
      </c>
      <c r="D917" s="2" t="n">
        <v>8.5770423653856</v>
      </c>
      <c r="E917" s="2" t="s">
        <v>9721</v>
      </c>
      <c r="F917" s="2" t="s">
        <v>161</v>
      </c>
      <c r="G917" s="2" t="s">
        <v>9722</v>
      </c>
      <c r="H917" s="2" t="s">
        <v>9723</v>
      </c>
      <c r="I917" s="2" t="s">
        <v>9724</v>
      </c>
      <c r="J917" s="2" t="s">
        <v>9725</v>
      </c>
      <c r="K917" s="2" t="s">
        <v>9726</v>
      </c>
      <c r="L917" s="2" t="s">
        <v>29</v>
      </c>
      <c r="M917" s="2" t="s">
        <v>29</v>
      </c>
      <c r="N917" s="2" t="s">
        <v>9727</v>
      </c>
      <c r="O917" s="2" t="s">
        <v>29</v>
      </c>
      <c r="P917" s="2" t="s">
        <v>9728</v>
      </c>
      <c r="Q917" s="2" t="s">
        <v>9729</v>
      </c>
      <c r="R917" s="2" t="s">
        <v>794</v>
      </c>
      <c r="S917" s="2" t="s">
        <v>7122</v>
      </c>
      <c r="T917" s="2" t="s">
        <v>7123</v>
      </c>
      <c r="U917" s="2" t="s">
        <v>56</v>
      </c>
      <c r="V917" s="2" t="n">
        <v>1</v>
      </c>
    </row>
    <row r="918">
      <c r="A918" s="2" t="n">
        <v>917</v>
      </c>
      <c r="B918" s="2" t="s">
        <v>9730</v>
      </c>
      <c r="C918" s="2" t="n">
        <v>691.528292478</v>
      </c>
      <c r="D918" s="2" t="n">
        <v>6.68085271837931</v>
      </c>
      <c r="E918" s="2" t="s">
        <v>9731</v>
      </c>
      <c r="F918" s="2" t="s">
        <v>531</v>
      </c>
      <c r="G918" s="2" t="s">
        <v>9732</v>
      </c>
      <c r="H918" s="2" t="s">
        <v>9733</v>
      </c>
      <c r="I918" s="2" t="s">
        <v>9734</v>
      </c>
      <c r="J918" s="2" t="s">
        <v>9735</v>
      </c>
      <c r="K918" s="2" t="s">
        <v>29</v>
      </c>
      <c r="L918" s="2" t="s">
        <v>29</v>
      </c>
      <c r="M918" s="2" t="s">
        <v>29</v>
      </c>
      <c r="N918" s="2" t="s">
        <v>9736</v>
      </c>
      <c r="O918" s="2" t="s">
        <v>29</v>
      </c>
      <c r="P918" s="2" t="s">
        <v>9737</v>
      </c>
      <c r="Q918" s="2" t="s">
        <v>9738</v>
      </c>
      <c r="R918" s="2" t="s">
        <v>794</v>
      </c>
      <c r="S918" s="2" t="s">
        <v>2600</v>
      </c>
      <c r="T918" s="2" t="s">
        <v>8990</v>
      </c>
      <c r="U918" s="2" t="s">
        <v>29</v>
      </c>
      <c r="V918" s="2" t="n">
        <v>1</v>
      </c>
    </row>
    <row r="919">
      <c r="A919" s="2" t="n">
        <v>918</v>
      </c>
      <c r="B919" s="2" t="s">
        <v>9739</v>
      </c>
      <c r="C919" s="2" t="n">
        <v>692.213184653</v>
      </c>
      <c r="D919" s="2" t="n">
        <v>5.71288507817467</v>
      </c>
      <c r="E919" s="2" t="s">
        <v>9740</v>
      </c>
      <c r="F919" s="2" t="s">
        <v>161</v>
      </c>
      <c r="G919" s="2" t="s">
        <v>9741</v>
      </c>
      <c r="H919" s="2" t="s">
        <v>9742</v>
      </c>
      <c r="I919" s="2" t="s">
        <v>9743</v>
      </c>
      <c r="J919" s="2" t="s">
        <v>29</v>
      </c>
      <c r="K919" s="2" t="s">
        <v>29</v>
      </c>
      <c r="L919" s="2" t="s">
        <v>29</v>
      </c>
      <c r="M919" s="2" t="s">
        <v>29</v>
      </c>
      <c r="N919" s="2" t="s">
        <v>9744</v>
      </c>
      <c r="O919" s="2" t="s">
        <v>29</v>
      </c>
      <c r="P919" s="2" t="s">
        <v>9745</v>
      </c>
      <c r="Q919" s="2" t="s">
        <v>9746</v>
      </c>
      <c r="R919" s="2" t="s">
        <v>1355</v>
      </c>
      <c r="S919" s="2" t="s">
        <v>9411</v>
      </c>
      <c r="T919" s="2" t="s">
        <v>215</v>
      </c>
      <c r="U919" s="2" t="s">
        <v>29</v>
      </c>
      <c r="V919" s="2" t="n">
        <v>1</v>
      </c>
    </row>
    <row r="920">
      <c r="A920" s="2" t="n">
        <v>919</v>
      </c>
      <c r="B920" s="2" t="s">
        <v>9747</v>
      </c>
      <c r="C920" s="2" t="n">
        <v>693.465512605</v>
      </c>
      <c r="D920" s="2" t="n">
        <v>0.0837346871111948</v>
      </c>
      <c r="E920" s="2" t="s">
        <v>9748</v>
      </c>
      <c r="F920" s="2" t="s">
        <v>86</v>
      </c>
      <c r="G920" s="2" t="s">
        <v>9749</v>
      </c>
      <c r="H920" s="2" t="s">
        <v>9750</v>
      </c>
      <c r="I920" s="2" t="s">
        <v>9751</v>
      </c>
      <c r="J920" s="2" t="s">
        <v>29</v>
      </c>
      <c r="K920" s="2" t="s">
        <v>29</v>
      </c>
      <c r="L920" s="2" t="s">
        <v>29</v>
      </c>
      <c r="M920" s="2" t="s">
        <v>29</v>
      </c>
      <c r="N920" s="2" t="s">
        <v>9752</v>
      </c>
      <c r="O920" s="2" t="s">
        <v>29</v>
      </c>
      <c r="P920" s="2" t="s">
        <v>9753</v>
      </c>
      <c r="Q920" s="2" t="s">
        <v>9754</v>
      </c>
      <c r="R920" s="2" t="s">
        <v>794</v>
      </c>
      <c r="S920" s="2" t="s">
        <v>1098</v>
      </c>
      <c r="T920" s="2" t="s">
        <v>9336</v>
      </c>
      <c r="U920" s="2" t="s">
        <v>29</v>
      </c>
      <c r="V920" s="2" t="n">
        <v>1</v>
      </c>
    </row>
    <row r="921">
      <c r="A921" s="2" t="n">
        <v>920</v>
      </c>
      <c r="B921" s="2" t="s">
        <v>9755</v>
      </c>
      <c r="C921" s="2" t="n">
        <v>695.48116267</v>
      </c>
      <c r="D921" s="2" t="n">
        <v>0.0115790120364837</v>
      </c>
      <c r="E921" s="2" t="s">
        <v>9756</v>
      </c>
      <c r="F921" s="2" t="s">
        <v>86</v>
      </c>
      <c r="G921" s="2" t="s">
        <v>9757</v>
      </c>
      <c r="H921" s="2" t="s">
        <v>9758</v>
      </c>
      <c r="I921" s="2" t="s">
        <v>9759</v>
      </c>
      <c r="J921" s="2" t="s">
        <v>29</v>
      </c>
      <c r="K921" s="2" t="s">
        <v>29</v>
      </c>
      <c r="L921" s="2" t="s">
        <v>29</v>
      </c>
      <c r="M921" s="2" t="s">
        <v>29</v>
      </c>
      <c r="N921" s="2" t="s">
        <v>29</v>
      </c>
      <c r="O921" s="2" t="s">
        <v>29</v>
      </c>
      <c r="P921" s="2" t="s">
        <v>9760</v>
      </c>
      <c r="Q921" s="2" t="s">
        <v>9761</v>
      </c>
      <c r="R921" s="2" t="s">
        <v>794</v>
      </c>
      <c r="S921" s="2" t="s">
        <v>1098</v>
      </c>
      <c r="T921" s="2" t="s">
        <v>9336</v>
      </c>
      <c r="U921" s="2" t="s">
        <v>29</v>
      </c>
      <c r="V921" s="2" t="n">
        <v>1</v>
      </c>
    </row>
    <row r="922">
      <c r="A922" s="2" t="n">
        <v>921</v>
      </c>
      <c r="B922" s="2" t="s">
        <v>9762</v>
      </c>
      <c r="C922" s="2" t="n">
        <v>697.494443753</v>
      </c>
      <c r="D922" s="2" t="n">
        <v>1.23158096882223</v>
      </c>
      <c r="E922" s="2" t="s">
        <v>9763</v>
      </c>
      <c r="F922" s="2" t="s">
        <v>86</v>
      </c>
      <c r="G922" s="2" t="s">
        <v>9764</v>
      </c>
      <c r="H922" s="2" t="s">
        <v>9765</v>
      </c>
      <c r="I922" s="2" t="s">
        <v>9766</v>
      </c>
      <c r="J922" s="2" t="s">
        <v>9767</v>
      </c>
      <c r="K922" s="2" t="s">
        <v>9768</v>
      </c>
      <c r="L922" s="2" t="s">
        <v>29</v>
      </c>
      <c r="M922" s="2" t="s">
        <v>29</v>
      </c>
      <c r="N922" s="2" t="s">
        <v>9769</v>
      </c>
      <c r="O922" s="2" t="s">
        <v>29</v>
      </c>
      <c r="P922" s="2" t="s">
        <v>9770</v>
      </c>
      <c r="Q922" s="2" t="s">
        <v>9771</v>
      </c>
      <c r="R922" s="2" t="s">
        <v>794</v>
      </c>
      <c r="S922" s="2" t="s">
        <v>7122</v>
      </c>
      <c r="T922" s="2" t="s">
        <v>7123</v>
      </c>
      <c r="U922" s="2" t="s">
        <v>29</v>
      </c>
      <c r="V922" s="2" t="n">
        <v>1</v>
      </c>
    </row>
    <row r="923">
      <c r="A923" s="2" t="n">
        <v>922</v>
      </c>
      <c r="B923" s="2" t="s">
        <v>9772</v>
      </c>
      <c r="C923" s="2" t="n">
        <v>699.484143152</v>
      </c>
      <c r="D923" s="2" t="n">
        <v>4.38415549774468</v>
      </c>
      <c r="E923" s="2" t="s">
        <v>9773</v>
      </c>
      <c r="F923" s="2" t="s">
        <v>683</v>
      </c>
      <c r="G923" s="2" t="s">
        <v>9774</v>
      </c>
      <c r="H923" s="2" t="s">
        <v>9775</v>
      </c>
      <c r="I923" s="2" t="s">
        <v>9776</v>
      </c>
      <c r="J923" s="2" t="s">
        <v>9777</v>
      </c>
      <c r="K923" s="2" t="s">
        <v>9778</v>
      </c>
      <c r="L923" s="2" t="s">
        <v>9779</v>
      </c>
      <c r="M923" s="2" t="s">
        <v>9780</v>
      </c>
      <c r="N923" s="2" t="s">
        <v>9781</v>
      </c>
      <c r="O923" s="2" t="s">
        <v>9782</v>
      </c>
      <c r="P923" s="2" t="s">
        <v>9783</v>
      </c>
      <c r="Q923" s="2" t="s">
        <v>9784</v>
      </c>
      <c r="R923" s="2" t="s">
        <v>255</v>
      </c>
      <c r="S923" s="2" t="s">
        <v>6877</v>
      </c>
      <c r="T923" s="2" t="s">
        <v>9785</v>
      </c>
      <c r="U923" s="2" t="s">
        <v>56</v>
      </c>
      <c r="V923" s="2" t="n">
        <v>3</v>
      </c>
    </row>
    <row r="924">
      <c r="A924" s="2" t="n">
        <v>923</v>
      </c>
      <c r="B924" s="2" t="s">
        <v>9786</v>
      </c>
      <c r="C924" s="2" t="n">
        <v>700.501858897</v>
      </c>
      <c r="D924" s="2" t="n">
        <v>2.46319677382807</v>
      </c>
      <c r="E924" s="2" t="s">
        <v>9787</v>
      </c>
      <c r="F924" s="2" t="s">
        <v>24</v>
      </c>
      <c r="G924" s="2" t="s">
        <v>9788</v>
      </c>
      <c r="H924" s="2" t="s">
        <v>9789</v>
      </c>
      <c r="I924" s="2" t="s">
        <v>9790</v>
      </c>
      <c r="J924" s="2" t="s">
        <v>29</v>
      </c>
      <c r="K924" s="2" t="s">
        <v>29</v>
      </c>
      <c r="L924" s="2" t="s">
        <v>29</v>
      </c>
      <c r="M924" s="2" t="s">
        <v>29</v>
      </c>
      <c r="N924" s="2" t="s">
        <v>9791</v>
      </c>
      <c r="O924" s="2" t="s">
        <v>29</v>
      </c>
      <c r="P924" s="2" t="s">
        <v>9792</v>
      </c>
      <c r="Q924" s="2" t="s">
        <v>9793</v>
      </c>
      <c r="R924" s="2" t="s">
        <v>36</v>
      </c>
      <c r="S924" s="2" t="s">
        <v>7927</v>
      </c>
      <c r="T924" s="2" t="s">
        <v>7928</v>
      </c>
      <c r="U924" s="2" t="s">
        <v>29</v>
      </c>
      <c r="V924" s="2" t="n">
        <v>1</v>
      </c>
    </row>
    <row r="925">
      <c r="A925" s="2" t="n">
        <v>924</v>
      </c>
      <c r="B925" s="2" t="s">
        <v>9794</v>
      </c>
      <c r="C925" s="2" t="n">
        <v>701.196226</v>
      </c>
      <c r="D925" s="2" t="n">
        <v>5.48416984061022</v>
      </c>
      <c r="E925" s="2" t="s">
        <v>9795</v>
      </c>
      <c r="F925" s="2" t="s">
        <v>683</v>
      </c>
      <c r="G925" s="2" t="s">
        <v>9796</v>
      </c>
      <c r="H925" s="2" t="s">
        <v>9797</v>
      </c>
      <c r="I925" s="2" t="s">
        <v>9798</v>
      </c>
      <c r="J925" s="2" t="s">
        <v>29</v>
      </c>
      <c r="K925" s="2" t="s">
        <v>29</v>
      </c>
      <c r="L925" s="2" t="s">
        <v>29</v>
      </c>
      <c r="M925" s="2" t="s">
        <v>29</v>
      </c>
      <c r="N925" s="2" t="s">
        <v>29</v>
      </c>
      <c r="O925" s="2" t="s">
        <v>29</v>
      </c>
      <c r="P925" s="2" t="s">
        <v>9799</v>
      </c>
      <c r="Q925" s="2" t="s">
        <v>9800</v>
      </c>
      <c r="R925" s="2" t="s">
        <v>186</v>
      </c>
      <c r="S925" s="2" t="s">
        <v>187</v>
      </c>
      <c r="T925" s="2" t="s">
        <v>2791</v>
      </c>
      <c r="U925" s="2" t="s">
        <v>29</v>
      </c>
      <c r="V925" s="2" t="n">
        <v>1</v>
      </c>
    </row>
    <row r="926">
      <c r="A926" s="2" t="n">
        <v>925</v>
      </c>
      <c r="B926" s="2" t="s">
        <v>9801</v>
      </c>
      <c r="C926" s="2" t="n">
        <v>701.26381711</v>
      </c>
      <c r="D926" s="2" t="n">
        <v>3.82301722953918</v>
      </c>
      <c r="E926" s="2" t="s">
        <v>9802</v>
      </c>
      <c r="F926" s="2" t="s">
        <v>531</v>
      </c>
      <c r="G926" s="2" t="s">
        <v>9803</v>
      </c>
      <c r="H926" s="2" t="s">
        <v>9804</v>
      </c>
      <c r="I926" s="2" t="s">
        <v>9805</v>
      </c>
      <c r="J926" s="2" t="s">
        <v>9806</v>
      </c>
      <c r="K926" s="2" t="s">
        <v>29</v>
      </c>
      <c r="L926" s="2" t="s">
        <v>29</v>
      </c>
      <c r="M926" s="2" t="s">
        <v>9807</v>
      </c>
      <c r="N926" s="2" t="s">
        <v>9808</v>
      </c>
      <c r="O926" s="2" t="s">
        <v>9809</v>
      </c>
      <c r="P926" s="2" t="s">
        <v>9810</v>
      </c>
      <c r="Q926" s="2" t="s">
        <v>9811</v>
      </c>
      <c r="R926" s="2" t="s">
        <v>129</v>
      </c>
      <c r="S926" s="2" t="s">
        <v>130</v>
      </c>
      <c r="T926" s="2" t="s">
        <v>1681</v>
      </c>
      <c r="U926" s="2" t="s">
        <v>29</v>
      </c>
      <c r="V926" s="2" t="n">
        <v>1</v>
      </c>
    </row>
    <row r="927">
      <c r="A927" s="2" t="n">
        <v>926</v>
      </c>
      <c r="B927" s="2" t="s">
        <v>9812</v>
      </c>
      <c r="C927" s="2" t="n">
        <v>702.270339149</v>
      </c>
      <c r="D927" s="2" t="n">
        <v>0.624607482701829</v>
      </c>
      <c r="E927" s="2" t="s">
        <v>9813</v>
      </c>
      <c r="F927" s="2" t="s">
        <v>161</v>
      </c>
      <c r="G927" s="2" t="s">
        <v>9814</v>
      </c>
      <c r="H927" s="2" t="s">
        <v>9815</v>
      </c>
      <c r="I927" s="2" t="s">
        <v>9816</v>
      </c>
      <c r="J927" s="2" t="s">
        <v>9817</v>
      </c>
      <c r="K927" s="2" t="s">
        <v>29</v>
      </c>
      <c r="L927" s="2" t="s">
        <v>9818</v>
      </c>
      <c r="M927" s="2" t="s">
        <v>9819</v>
      </c>
      <c r="N927" s="2" t="s">
        <v>9820</v>
      </c>
      <c r="O927" s="2" t="s">
        <v>9821</v>
      </c>
      <c r="P927" s="2" t="s">
        <v>9822</v>
      </c>
      <c r="Q927" s="2" t="s">
        <v>9823</v>
      </c>
      <c r="R927" s="2" t="s">
        <v>36</v>
      </c>
      <c r="S927" s="2" t="s">
        <v>37</v>
      </c>
      <c r="T927" s="2" t="s">
        <v>69</v>
      </c>
      <c r="U927" s="2" t="s">
        <v>101</v>
      </c>
      <c r="V927" s="2" t="n">
        <v>1</v>
      </c>
    </row>
    <row r="928">
      <c r="A928" s="2" t="n">
        <v>927</v>
      </c>
      <c r="B928" s="2" t="s">
        <v>9824</v>
      </c>
      <c r="C928" s="2" t="n">
        <v>702.507928861</v>
      </c>
      <c r="D928" s="2" t="n">
        <v>3.73860971666202</v>
      </c>
      <c r="E928" s="2" t="s">
        <v>9825</v>
      </c>
      <c r="F928" s="2" t="s">
        <v>24</v>
      </c>
      <c r="G928" s="2" t="s">
        <v>9826</v>
      </c>
      <c r="H928" s="2" t="s">
        <v>9827</v>
      </c>
      <c r="I928" s="2" t="s">
        <v>9828</v>
      </c>
      <c r="J928" s="2" t="s">
        <v>9829</v>
      </c>
      <c r="K928" s="2" t="s">
        <v>9830</v>
      </c>
      <c r="L928" s="2" t="s">
        <v>9831</v>
      </c>
      <c r="M928" s="2" t="s">
        <v>9832</v>
      </c>
      <c r="N928" s="2" t="s">
        <v>9833</v>
      </c>
      <c r="O928" s="2" t="s">
        <v>29</v>
      </c>
      <c r="P928" s="2" t="s">
        <v>9834</v>
      </c>
      <c r="Q928" s="2" t="s">
        <v>9835</v>
      </c>
      <c r="R928" s="2" t="s">
        <v>794</v>
      </c>
      <c r="S928" s="2" t="s">
        <v>7122</v>
      </c>
      <c r="T928" s="2" t="s">
        <v>8460</v>
      </c>
      <c r="U928" s="2" t="s">
        <v>39</v>
      </c>
      <c r="V928" s="2" t="n">
        <v>1</v>
      </c>
    </row>
    <row r="929">
      <c r="A929" s="2" t="n">
        <v>928</v>
      </c>
      <c r="B929" s="2" t="s">
        <v>9836</v>
      </c>
      <c r="C929" s="2" t="n">
        <v>703.507377414</v>
      </c>
      <c r="D929" s="2" t="n">
        <v>4.24388809154196</v>
      </c>
      <c r="E929" s="2" t="s">
        <v>9837</v>
      </c>
      <c r="F929" s="2" t="s">
        <v>86</v>
      </c>
      <c r="G929" s="2" t="s">
        <v>9838</v>
      </c>
      <c r="H929" s="2" t="s">
        <v>9839</v>
      </c>
      <c r="I929" s="2" t="s">
        <v>9840</v>
      </c>
      <c r="J929" s="2" t="s">
        <v>9841</v>
      </c>
      <c r="K929" s="2" t="s">
        <v>9842</v>
      </c>
      <c r="L929" s="2" t="s">
        <v>29</v>
      </c>
      <c r="M929" s="2" t="s">
        <v>9843</v>
      </c>
      <c r="N929" s="2" t="s">
        <v>9844</v>
      </c>
      <c r="O929" s="2" t="s">
        <v>29</v>
      </c>
      <c r="P929" s="2" t="s">
        <v>9845</v>
      </c>
      <c r="Q929" s="2" t="s">
        <v>9846</v>
      </c>
      <c r="R929" s="2" t="s">
        <v>794</v>
      </c>
      <c r="S929" s="2" t="s">
        <v>2600</v>
      </c>
      <c r="T929" s="2" t="s">
        <v>8990</v>
      </c>
      <c r="U929" s="2" t="s">
        <v>56</v>
      </c>
      <c r="V929" s="2" t="n">
        <v>1</v>
      </c>
    </row>
    <row r="930">
      <c r="A930" s="2" t="n">
        <v>929</v>
      </c>
      <c r="B930" s="2" t="s">
        <v>9847</v>
      </c>
      <c r="C930" s="2" t="n">
        <v>705.503534286</v>
      </c>
      <c r="D930" s="2" t="n">
        <v>8.18504809228896</v>
      </c>
      <c r="E930" s="2" t="s">
        <v>9848</v>
      </c>
      <c r="F930" s="2" t="s">
        <v>531</v>
      </c>
      <c r="G930" s="2" t="s">
        <v>9849</v>
      </c>
      <c r="H930" s="2" t="s">
        <v>9850</v>
      </c>
      <c r="I930" s="2" t="s">
        <v>9851</v>
      </c>
      <c r="J930" s="2" t="s">
        <v>29</v>
      </c>
      <c r="K930" s="2" t="s">
        <v>29</v>
      </c>
      <c r="L930" s="2" t="s">
        <v>29</v>
      </c>
      <c r="M930" s="2" t="s">
        <v>29</v>
      </c>
      <c r="N930" s="2" t="s">
        <v>9852</v>
      </c>
      <c r="O930" s="2" t="s">
        <v>29</v>
      </c>
      <c r="P930" s="2" t="s">
        <v>9853</v>
      </c>
      <c r="Q930" s="2" t="s">
        <v>9854</v>
      </c>
      <c r="R930" s="2" t="s">
        <v>794</v>
      </c>
      <c r="S930" s="2" t="s">
        <v>795</v>
      </c>
      <c r="T930" s="2" t="s">
        <v>1870</v>
      </c>
      <c r="U930" s="2" t="s">
        <v>29</v>
      </c>
      <c r="V930" s="2" t="n">
        <v>1</v>
      </c>
    </row>
    <row r="931">
      <c r="A931" s="2" t="n">
        <v>930</v>
      </c>
      <c r="B931" s="2" t="s">
        <v>9855</v>
      </c>
      <c r="C931" s="2" t="n">
        <v>707.531487267</v>
      </c>
      <c r="D931" s="2" t="n">
        <v>4.41384343878574</v>
      </c>
      <c r="E931" s="2" t="s">
        <v>9856</v>
      </c>
      <c r="F931" s="2" t="s">
        <v>24</v>
      </c>
      <c r="G931" s="2" t="s">
        <v>9857</v>
      </c>
      <c r="H931" s="2" t="s">
        <v>9858</v>
      </c>
      <c r="I931" s="2" t="s">
        <v>9859</v>
      </c>
      <c r="J931" s="2" t="s">
        <v>29</v>
      </c>
      <c r="K931" s="2" t="s">
        <v>29</v>
      </c>
      <c r="L931" s="2" t="s">
        <v>29</v>
      </c>
      <c r="M931" s="2" t="s">
        <v>29</v>
      </c>
      <c r="N931" s="2" t="s">
        <v>29</v>
      </c>
      <c r="O931" s="2" t="s">
        <v>29</v>
      </c>
      <c r="P931" s="2" t="s">
        <v>9860</v>
      </c>
      <c r="Q931" s="2" t="s">
        <v>9861</v>
      </c>
      <c r="R931" s="2" t="s">
        <v>129</v>
      </c>
      <c r="S931" s="2" t="s">
        <v>130</v>
      </c>
      <c r="T931" s="2" t="s">
        <v>4901</v>
      </c>
      <c r="U931" s="2" t="s">
        <v>29</v>
      </c>
      <c r="V931" s="2" t="n">
        <v>1</v>
      </c>
    </row>
    <row r="932">
      <c r="A932" s="2" t="n">
        <v>931</v>
      </c>
      <c r="B932" s="2" t="s">
        <v>9862</v>
      </c>
      <c r="C932" s="2" t="n">
        <v>708.151164898</v>
      </c>
      <c r="D932" s="2" t="n">
        <v>3.32722748844132</v>
      </c>
      <c r="E932" s="2" t="s">
        <v>9863</v>
      </c>
      <c r="F932" s="2" t="s">
        <v>205</v>
      </c>
      <c r="G932" s="2" t="s">
        <v>9864</v>
      </c>
      <c r="H932" s="2" t="s">
        <v>9865</v>
      </c>
      <c r="I932" s="2" t="s">
        <v>9866</v>
      </c>
      <c r="J932" s="2" t="s">
        <v>29</v>
      </c>
      <c r="K932" s="2" t="s">
        <v>29</v>
      </c>
      <c r="L932" s="2" t="s">
        <v>29</v>
      </c>
      <c r="M932" s="2" t="s">
        <v>29</v>
      </c>
      <c r="N932" s="2" t="s">
        <v>9867</v>
      </c>
      <c r="O932" s="2" t="s">
        <v>29</v>
      </c>
      <c r="P932" s="2" t="s">
        <v>9868</v>
      </c>
      <c r="Q932" s="2" t="s">
        <v>9869</v>
      </c>
      <c r="R932" s="2" t="s">
        <v>36</v>
      </c>
      <c r="S932" s="2" t="s">
        <v>37</v>
      </c>
      <c r="T932" s="2" t="s">
        <v>69</v>
      </c>
      <c r="U932" s="2" t="s">
        <v>29</v>
      </c>
      <c r="V932" s="2" t="n">
        <v>1</v>
      </c>
    </row>
    <row r="933">
      <c r="A933" s="2" t="n">
        <v>932</v>
      </c>
      <c r="B933" s="2" t="s">
        <v>9870</v>
      </c>
      <c r="C933" s="2" t="n">
        <v>709.53724135</v>
      </c>
      <c r="D933" s="2" t="n">
        <v>6.38440727559883</v>
      </c>
      <c r="E933" s="2" t="s">
        <v>9871</v>
      </c>
      <c r="F933" s="2" t="s">
        <v>683</v>
      </c>
      <c r="G933" s="2" t="s">
        <v>9872</v>
      </c>
      <c r="H933" s="2" t="s">
        <v>9873</v>
      </c>
      <c r="I933" s="2" t="s">
        <v>9874</v>
      </c>
      <c r="J933" s="2" t="s">
        <v>195</v>
      </c>
      <c r="K933" s="2" t="s">
        <v>195</v>
      </c>
      <c r="L933" s="2" t="s">
        <v>195</v>
      </c>
      <c r="M933" s="2" t="s">
        <v>195</v>
      </c>
      <c r="N933" s="2" t="s">
        <v>195</v>
      </c>
      <c r="O933" s="2" t="s">
        <v>195</v>
      </c>
      <c r="P933" s="2" t="s">
        <v>9875</v>
      </c>
      <c r="Q933" s="2" t="s">
        <v>9876</v>
      </c>
      <c r="R933" s="2" t="s">
        <v>255</v>
      </c>
      <c r="S933" s="2" t="s">
        <v>256</v>
      </c>
      <c r="T933" s="2" t="s">
        <v>668</v>
      </c>
      <c r="U933" s="2" t="s">
        <v>29</v>
      </c>
      <c r="V933" s="2" t="n">
        <v>3</v>
      </c>
    </row>
    <row r="934">
      <c r="A934" s="2" t="n">
        <v>933</v>
      </c>
      <c r="B934" s="2" t="s">
        <v>9877</v>
      </c>
      <c r="C934" s="2" t="n">
        <v>711.484879654</v>
      </c>
      <c r="D934" s="2" t="n">
        <v>1.81543722995496</v>
      </c>
      <c r="E934" s="2" t="s">
        <v>9878</v>
      </c>
      <c r="F934" s="2" t="s">
        <v>218</v>
      </c>
      <c r="G934" s="2" t="s">
        <v>9879</v>
      </c>
      <c r="H934" s="2" t="s">
        <v>9880</v>
      </c>
      <c r="I934" s="2" t="s">
        <v>9881</v>
      </c>
      <c r="J934" s="2" t="s">
        <v>9882</v>
      </c>
      <c r="K934" s="2" t="s">
        <v>9883</v>
      </c>
      <c r="L934" s="2" t="s">
        <v>29</v>
      </c>
      <c r="M934" s="2" t="s">
        <v>9884</v>
      </c>
      <c r="N934" s="2" t="s">
        <v>9885</v>
      </c>
      <c r="O934" s="2" t="s">
        <v>9886</v>
      </c>
      <c r="P934" s="2" t="s">
        <v>9887</v>
      </c>
      <c r="Q934" s="2" t="s">
        <v>9888</v>
      </c>
      <c r="R934" s="2" t="s">
        <v>794</v>
      </c>
      <c r="S934" s="2" t="s">
        <v>7781</v>
      </c>
      <c r="T934" s="2" t="s">
        <v>7782</v>
      </c>
      <c r="U934" s="2" t="s">
        <v>39</v>
      </c>
      <c r="V934" s="2" t="n">
        <v>1</v>
      </c>
    </row>
    <row r="935">
      <c r="A935" s="2" t="n">
        <v>934</v>
      </c>
      <c r="B935" s="2" t="s">
        <v>9889</v>
      </c>
      <c r="C935" s="2" t="n">
        <v>713.179452372</v>
      </c>
      <c r="D935" s="2" t="n">
        <v>0.0933966796893556</v>
      </c>
      <c r="E935" s="2" t="s">
        <v>9890</v>
      </c>
      <c r="F935" s="2" t="s">
        <v>218</v>
      </c>
      <c r="G935" s="2" t="s">
        <v>9891</v>
      </c>
      <c r="H935" s="2" t="s">
        <v>9892</v>
      </c>
      <c r="I935" s="2" t="s">
        <v>9893</v>
      </c>
      <c r="J935" s="2" t="s">
        <v>9894</v>
      </c>
      <c r="K935" s="2" t="s">
        <v>29</v>
      </c>
      <c r="L935" s="2" t="s">
        <v>29</v>
      </c>
      <c r="M935" s="2" t="s">
        <v>9895</v>
      </c>
      <c r="N935" s="2" t="s">
        <v>9896</v>
      </c>
      <c r="O935" s="2" t="s">
        <v>9897</v>
      </c>
      <c r="P935" s="2" t="s">
        <v>9898</v>
      </c>
      <c r="Q935" s="2" t="s">
        <v>9899</v>
      </c>
      <c r="R935" s="2" t="s">
        <v>1355</v>
      </c>
      <c r="S935" s="2" t="s">
        <v>9900</v>
      </c>
      <c r="T935" s="2" t="s">
        <v>9901</v>
      </c>
      <c r="U935" s="2" t="s">
        <v>56</v>
      </c>
      <c r="V935" s="2" t="n">
        <v>1</v>
      </c>
    </row>
    <row r="936">
      <c r="A936" s="2" t="n">
        <v>935</v>
      </c>
      <c r="B936" s="2" t="s">
        <v>9902</v>
      </c>
      <c r="C936" s="2" t="n">
        <v>713.520918278</v>
      </c>
      <c r="D936" s="2" t="n">
        <v>7.60505078276686</v>
      </c>
      <c r="E936" s="2" t="s">
        <v>9903</v>
      </c>
      <c r="F936" s="2" t="s">
        <v>205</v>
      </c>
      <c r="G936" s="2" t="s">
        <v>9904</v>
      </c>
      <c r="H936" s="2" t="s">
        <v>9905</v>
      </c>
      <c r="I936" s="2" t="s">
        <v>9906</v>
      </c>
      <c r="J936" s="2" t="s">
        <v>91</v>
      </c>
      <c r="K936" s="2" t="s">
        <v>91</v>
      </c>
      <c r="L936" s="2" t="s">
        <v>91</v>
      </c>
      <c r="M936" s="2" t="s">
        <v>91</v>
      </c>
      <c r="N936" s="2" t="s">
        <v>9907</v>
      </c>
      <c r="O936" s="2" t="s">
        <v>91</v>
      </c>
      <c r="P936" s="2" t="s">
        <v>9908</v>
      </c>
      <c r="Q936" s="2" t="s">
        <v>9909</v>
      </c>
      <c r="R936" s="2" t="s">
        <v>412</v>
      </c>
      <c r="S936" s="2" t="s">
        <v>8907</v>
      </c>
      <c r="T936" s="2" t="s">
        <v>8908</v>
      </c>
      <c r="U936" s="2" t="s">
        <v>29</v>
      </c>
      <c r="V936" s="2" t="n">
        <v>2</v>
      </c>
    </row>
    <row r="937">
      <c r="A937" s="2" t="n">
        <v>936</v>
      </c>
      <c r="B937" s="2" t="s">
        <v>9910</v>
      </c>
      <c r="C937" s="2" t="n">
        <v>714.507928861</v>
      </c>
      <c r="D937" s="2" t="n">
        <v>9.8053518527644</v>
      </c>
      <c r="E937" s="2" t="s">
        <v>9911</v>
      </c>
      <c r="F937" s="2" t="s">
        <v>24</v>
      </c>
      <c r="G937" s="2" t="s">
        <v>9912</v>
      </c>
      <c r="H937" s="2" t="s">
        <v>9913</v>
      </c>
      <c r="I937" s="2" t="s">
        <v>9914</v>
      </c>
      <c r="J937" s="2" t="s">
        <v>9915</v>
      </c>
      <c r="K937" s="2" t="s">
        <v>9916</v>
      </c>
      <c r="L937" s="2" t="s">
        <v>9434</v>
      </c>
      <c r="M937" s="2" t="s">
        <v>29</v>
      </c>
      <c r="N937" s="2" t="s">
        <v>9917</v>
      </c>
      <c r="O937" s="2" t="s">
        <v>29</v>
      </c>
      <c r="P937" s="2" t="s">
        <v>9918</v>
      </c>
      <c r="Q937" s="2" t="s">
        <v>9919</v>
      </c>
      <c r="R937" s="2" t="s">
        <v>794</v>
      </c>
      <c r="S937" s="2" t="s">
        <v>7122</v>
      </c>
      <c r="T937" s="2" t="s">
        <v>8042</v>
      </c>
      <c r="U937" s="2" t="s">
        <v>101</v>
      </c>
      <c r="V937" s="2" t="n">
        <v>1</v>
      </c>
    </row>
    <row r="938">
      <c r="A938" s="2" t="n">
        <v>937</v>
      </c>
      <c r="B938" s="2" t="s">
        <v>9920</v>
      </c>
      <c r="C938" s="2" t="n">
        <v>716.523578925</v>
      </c>
      <c r="D938" s="2" t="n">
        <v>3.96565267306737</v>
      </c>
      <c r="E938" s="2" t="s">
        <v>9921</v>
      </c>
      <c r="F938" s="2" t="s">
        <v>24</v>
      </c>
      <c r="G938" s="2" t="s">
        <v>9922</v>
      </c>
      <c r="H938" s="2" t="s">
        <v>9923</v>
      </c>
      <c r="I938" s="2" t="s">
        <v>9924</v>
      </c>
      <c r="J938" s="2" t="s">
        <v>9925</v>
      </c>
      <c r="K938" s="2" t="s">
        <v>9926</v>
      </c>
      <c r="L938" s="2" t="s">
        <v>9434</v>
      </c>
      <c r="M938" s="2" t="s">
        <v>29</v>
      </c>
      <c r="N938" s="2" t="s">
        <v>9927</v>
      </c>
      <c r="O938" s="2" t="s">
        <v>29</v>
      </c>
      <c r="P938" s="2" t="s">
        <v>9928</v>
      </c>
      <c r="Q938" s="2" t="s">
        <v>9929</v>
      </c>
      <c r="R938" s="2" t="s">
        <v>794</v>
      </c>
      <c r="S938" s="2" t="s">
        <v>7122</v>
      </c>
      <c r="T938" s="2" t="s">
        <v>8042</v>
      </c>
      <c r="U938" s="2" t="s">
        <v>56</v>
      </c>
      <c r="V938" s="2" t="n">
        <v>1</v>
      </c>
    </row>
    <row r="939">
      <c r="A939" s="2" t="n">
        <v>938</v>
      </c>
      <c r="B939" s="2" t="s">
        <v>9930</v>
      </c>
      <c r="C939" s="2" t="n">
        <v>717.2413467</v>
      </c>
      <c r="D939" s="2" t="n">
        <v>1.17469873206046</v>
      </c>
      <c r="E939" s="2" t="s">
        <v>9931</v>
      </c>
      <c r="F939" s="2" t="s">
        <v>24</v>
      </c>
      <c r="G939" s="2" t="s">
        <v>9932</v>
      </c>
      <c r="H939" s="2" t="s">
        <v>9933</v>
      </c>
      <c r="I939" s="2" t="s">
        <v>9934</v>
      </c>
      <c r="J939" s="2" t="s">
        <v>9935</v>
      </c>
      <c r="K939" s="2" t="s">
        <v>29</v>
      </c>
      <c r="L939" s="2" t="s">
        <v>29</v>
      </c>
      <c r="M939" s="2" t="s">
        <v>9936</v>
      </c>
      <c r="N939" s="2" t="s">
        <v>9937</v>
      </c>
      <c r="O939" s="2" t="s">
        <v>9938</v>
      </c>
      <c r="P939" s="2" t="s">
        <v>9939</v>
      </c>
      <c r="Q939" s="2" t="s">
        <v>9940</v>
      </c>
      <c r="R939" s="2" t="s">
        <v>36</v>
      </c>
      <c r="S939" s="2" t="s">
        <v>37</v>
      </c>
      <c r="T939" s="2" t="s">
        <v>69</v>
      </c>
      <c r="U939" s="2" t="s">
        <v>29</v>
      </c>
      <c r="V939" s="2" t="n">
        <v>1</v>
      </c>
    </row>
    <row r="940">
      <c r="A940" s="2" t="n">
        <v>939</v>
      </c>
      <c r="B940" s="2" t="s">
        <v>9941</v>
      </c>
      <c r="C940" s="2" t="n">
        <v>717.471209484</v>
      </c>
      <c r="D940" s="2" t="n">
        <v>0.432200299569963</v>
      </c>
      <c r="E940" s="2" t="s">
        <v>9942</v>
      </c>
      <c r="F940" s="2" t="s">
        <v>24</v>
      </c>
      <c r="G940" s="2" t="s">
        <v>9943</v>
      </c>
      <c r="H940" s="2" t="s">
        <v>9944</v>
      </c>
      <c r="I940" s="2" t="s">
        <v>9945</v>
      </c>
      <c r="J940" s="2" t="s">
        <v>9946</v>
      </c>
      <c r="K940" s="2" t="s">
        <v>9947</v>
      </c>
      <c r="L940" s="2" t="s">
        <v>29</v>
      </c>
      <c r="M940" s="2" t="s">
        <v>29</v>
      </c>
      <c r="N940" s="2" t="s">
        <v>9948</v>
      </c>
      <c r="O940" s="2" t="s">
        <v>29</v>
      </c>
      <c r="P940" s="2" t="s">
        <v>9949</v>
      </c>
      <c r="Q940" s="2" t="s">
        <v>9950</v>
      </c>
      <c r="R940" s="2" t="s">
        <v>794</v>
      </c>
      <c r="S940" s="2" t="s">
        <v>7122</v>
      </c>
      <c r="T940" s="2" t="s">
        <v>9951</v>
      </c>
      <c r="U940" s="2" t="s">
        <v>56</v>
      </c>
      <c r="V940" s="2" t="n">
        <v>1</v>
      </c>
    </row>
    <row r="941">
      <c r="A941" s="2" t="n">
        <v>940</v>
      </c>
      <c r="B941" s="2" t="s">
        <v>9952</v>
      </c>
      <c r="C941" s="2" t="n">
        <v>718.242386979</v>
      </c>
      <c r="D941" s="2" t="n">
        <v>3.32780874982868</v>
      </c>
      <c r="E941" s="2" t="s">
        <v>9953</v>
      </c>
      <c r="F941" s="2" t="s">
        <v>218</v>
      </c>
      <c r="G941" s="2" t="s">
        <v>9954</v>
      </c>
      <c r="H941" s="2" t="s">
        <v>9955</v>
      </c>
      <c r="I941" s="2" t="s">
        <v>9956</v>
      </c>
      <c r="J941" s="2" t="s">
        <v>9957</v>
      </c>
      <c r="K941" s="2" t="s">
        <v>29</v>
      </c>
      <c r="L941" s="2" t="s">
        <v>29</v>
      </c>
      <c r="M941" s="2" t="s">
        <v>29</v>
      </c>
      <c r="N941" s="2" t="s">
        <v>9958</v>
      </c>
      <c r="O941" s="2" t="s">
        <v>9959</v>
      </c>
      <c r="P941" s="2" t="s">
        <v>9960</v>
      </c>
      <c r="Q941" s="2" t="s">
        <v>9961</v>
      </c>
      <c r="R941" s="2" t="s">
        <v>114</v>
      </c>
      <c r="S941" s="2" t="s">
        <v>2057</v>
      </c>
      <c r="T941" s="2" t="s">
        <v>3067</v>
      </c>
      <c r="U941" s="2" t="s">
        <v>29</v>
      </c>
      <c r="V941" s="2" t="n">
        <v>1</v>
      </c>
    </row>
    <row r="942">
      <c r="A942" s="2" t="n">
        <v>941</v>
      </c>
      <c r="B942" s="2" t="s">
        <v>9962</v>
      </c>
      <c r="C942" s="2" t="n">
        <v>718.481163797</v>
      </c>
      <c r="D942" s="2" t="n">
        <v>9.96913354401131</v>
      </c>
      <c r="E942" s="2" t="s">
        <v>9963</v>
      </c>
      <c r="F942" s="2" t="s">
        <v>161</v>
      </c>
      <c r="G942" s="2" t="s">
        <v>9964</v>
      </c>
      <c r="H942" s="2" t="s">
        <v>9965</v>
      </c>
      <c r="I942" s="2" t="s">
        <v>9966</v>
      </c>
      <c r="J942" s="2" t="s">
        <v>9967</v>
      </c>
      <c r="K942" s="2" t="s">
        <v>29</v>
      </c>
      <c r="L942" s="2" t="s">
        <v>9434</v>
      </c>
      <c r="M942" s="2" t="s">
        <v>29</v>
      </c>
      <c r="N942" s="2" t="s">
        <v>9968</v>
      </c>
      <c r="O942" s="2" t="s">
        <v>29</v>
      </c>
      <c r="P942" s="2" t="s">
        <v>9969</v>
      </c>
      <c r="Q942" s="2" t="s">
        <v>9970</v>
      </c>
      <c r="R942" s="2" t="s">
        <v>794</v>
      </c>
      <c r="S942" s="2" t="s">
        <v>7122</v>
      </c>
      <c r="T942" s="2" t="s">
        <v>8042</v>
      </c>
      <c r="U942" s="2" t="s">
        <v>56</v>
      </c>
      <c r="V942" s="2" t="n">
        <v>1</v>
      </c>
    </row>
    <row r="943">
      <c r="A943" s="2" t="n">
        <v>942</v>
      </c>
      <c r="B943" s="2" t="s">
        <v>9971</v>
      </c>
      <c r="C943" s="2" t="n">
        <v>719.236376172</v>
      </c>
      <c r="D943" s="2" t="n">
        <v>5.77858936671769</v>
      </c>
      <c r="E943" s="2" t="s">
        <v>9972</v>
      </c>
      <c r="F943" s="2" t="s">
        <v>205</v>
      </c>
      <c r="G943" s="2" t="s">
        <v>9973</v>
      </c>
      <c r="H943" s="2" t="s">
        <v>9974</v>
      </c>
      <c r="I943" s="2" t="s">
        <v>9975</v>
      </c>
      <c r="J943" s="2" t="s">
        <v>9976</v>
      </c>
      <c r="K943" s="2" t="s">
        <v>29</v>
      </c>
      <c r="L943" s="2" t="s">
        <v>9977</v>
      </c>
      <c r="M943" s="2" t="s">
        <v>9978</v>
      </c>
      <c r="N943" s="2" t="s">
        <v>9979</v>
      </c>
      <c r="O943" s="2" t="s">
        <v>9980</v>
      </c>
      <c r="P943" s="2" t="s">
        <v>9981</v>
      </c>
      <c r="Q943" s="2" t="s">
        <v>9982</v>
      </c>
      <c r="R943" s="2" t="s">
        <v>129</v>
      </c>
      <c r="S943" s="2" t="s">
        <v>130</v>
      </c>
      <c r="T943" s="2" t="s">
        <v>1681</v>
      </c>
      <c r="U943" s="2" t="s">
        <v>56</v>
      </c>
      <c r="V943" s="2" t="n">
        <v>1</v>
      </c>
    </row>
    <row r="944">
      <c r="A944" s="2" t="n">
        <v>943</v>
      </c>
      <c r="B944" s="2" t="s">
        <v>9983</v>
      </c>
      <c r="C944" s="2" t="n">
        <v>719.486859068</v>
      </c>
      <c r="D944" s="2" t="n">
        <v>6.26058973145366</v>
      </c>
      <c r="E944" s="2" t="s">
        <v>9984</v>
      </c>
      <c r="F944" s="2" t="s">
        <v>24</v>
      </c>
      <c r="G944" s="2" t="s">
        <v>9985</v>
      </c>
      <c r="H944" s="2" t="s">
        <v>9986</v>
      </c>
      <c r="I944" s="2" t="s">
        <v>9987</v>
      </c>
      <c r="J944" s="2" t="s">
        <v>9988</v>
      </c>
      <c r="K944" s="2" t="s">
        <v>9989</v>
      </c>
      <c r="L944" s="2" t="s">
        <v>29</v>
      </c>
      <c r="M944" s="2" t="s">
        <v>29</v>
      </c>
      <c r="N944" s="2" t="s">
        <v>9990</v>
      </c>
      <c r="O944" s="2" t="s">
        <v>29</v>
      </c>
      <c r="P944" s="2" t="s">
        <v>9991</v>
      </c>
      <c r="Q944" s="2" t="s">
        <v>9992</v>
      </c>
      <c r="R944" s="2" t="s">
        <v>794</v>
      </c>
      <c r="S944" s="2" t="s">
        <v>7122</v>
      </c>
      <c r="T944" s="2" t="s">
        <v>9951</v>
      </c>
      <c r="U944" s="2" t="s">
        <v>39</v>
      </c>
      <c r="V944" s="2" t="n">
        <v>1</v>
      </c>
    </row>
    <row r="945">
      <c r="A945" s="2" t="n">
        <v>944</v>
      </c>
      <c r="B945" s="2" t="s">
        <v>9993</v>
      </c>
      <c r="C945" s="2" t="n">
        <v>723.318809152</v>
      </c>
      <c r="D945" s="2" t="n">
        <v>5.96005799325811</v>
      </c>
      <c r="E945" s="2" t="s">
        <v>9994</v>
      </c>
      <c r="F945" s="2" t="s">
        <v>683</v>
      </c>
      <c r="G945" s="2" t="s">
        <v>9995</v>
      </c>
      <c r="H945" s="2" t="s">
        <v>9996</v>
      </c>
      <c r="I945" s="2" t="s">
        <v>9997</v>
      </c>
      <c r="J945" s="2" t="s">
        <v>29</v>
      </c>
      <c r="K945" s="2" t="s">
        <v>29</v>
      </c>
      <c r="L945" s="2" t="s">
        <v>29</v>
      </c>
      <c r="M945" s="2" t="s">
        <v>29</v>
      </c>
      <c r="N945" s="2" t="s">
        <v>9998</v>
      </c>
      <c r="O945" s="2" t="s">
        <v>29</v>
      </c>
      <c r="P945" s="2" t="s">
        <v>9999</v>
      </c>
      <c r="Q945" s="2" t="s">
        <v>10000</v>
      </c>
      <c r="R945" s="2" t="s">
        <v>186</v>
      </c>
      <c r="S945" s="2" t="s">
        <v>187</v>
      </c>
      <c r="T945" s="2" t="s">
        <v>8537</v>
      </c>
      <c r="U945" s="2" t="s">
        <v>29</v>
      </c>
      <c r="V945" s="2" t="n">
        <v>1</v>
      </c>
    </row>
    <row r="946">
      <c r="A946" s="2" t="n">
        <v>945</v>
      </c>
      <c r="B946" s="2" t="s">
        <v>10001</v>
      </c>
      <c r="C946" s="2" t="n">
        <v>723.986989033</v>
      </c>
      <c r="D946" s="2" t="n">
        <v>2.34274307673917</v>
      </c>
      <c r="E946" s="2" t="s">
        <v>10002</v>
      </c>
      <c r="F946" s="2" t="s">
        <v>218</v>
      </c>
      <c r="G946" s="2" t="s">
        <v>10003</v>
      </c>
      <c r="H946" s="2" t="s">
        <v>10004</v>
      </c>
      <c r="I946" s="2" t="s">
        <v>10005</v>
      </c>
      <c r="J946" s="2" t="s">
        <v>10006</v>
      </c>
      <c r="K946" s="2" t="s">
        <v>29</v>
      </c>
      <c r="L946" s="2" t="s">
        <v>10007</v>
      </c>
      <c r="M946" s="2" t="s">
        <v>29</v>
      </c>
      <c r="N946" s="2" t="s">
        <v>10008</v>
      </c>
      <c r="O946" s="2" t="s">
        <v>10009</v>
      </c>
      <c r="P946" s="2" t="s">
        <v>10010</v>
      </c>
      <c r="Q946" s="2" t="s">
        <v>10011</v>
      </c>
      <c r="R946" s="2" t="s">
        <v>2416</v>
      </c>
      <c r="S946" s="2" t="s">
        <v>10012</v>
      </c>
      <c r="T946" s="2" t="s">
        <v>10013</v>
      </c>
      <c r="U946" s="2" t="s">
        <v>101</v>
      </c>
      <c r="V946" s="2" t="n">
        <v>1</v>
      </c>
    </row>
    <row r="947">
      <c r="A947" s="2" t="n">
        <v>946</v>
      </c>
      <c r="B947" s="2" t="s">
        <v>10014</v>
      </c>
      <c r="C947" s="2" t="n">
        <v>724.100897849</v>
      </c>
      <c r="D947" s="2" t="n">
        <v>0.314927646164507</v>
      </c>
      <c r="E947" s="2" t="s">
        <v>10015</v>
      </c>
      <c r="F947" s="2" t="s">
        <v>205</v>
      </c>
      <c r="G947" s="2" t="s">
        <v>10016</v>
      </c>
      <c r="H947" s="2" t="s">
        <v>10017</v>
      </c>
      <c r="I947" s="2" t="s">
        <v>10018</v>
      </c>
      <c r="J947" s="2" t="s">
        <v>10019</v>
      </c>
      <c r="K947" s="2" t="s">
        <v>29</v>
      </c>
      <c r="L947" s="2" t="s">
        <v>10020</v>
      </c>
      <c r="M947" s="2" t="s">
        <v>10021</v>
      </c>
      <c r="N947" s="2" t="s">
        <v>10022</v>
      </c>
      <c r="O947" s="2" t="s">
        <v>29</v>
      </c>
      <c r="P947" s="2" t="s">
        <v>10023</v>
      </c>
      <c r="Q947" s="2" t="s">
        <v>10024</v>
      </c>
      <c r="R947" s="2" t="s">
        <v>2416</v>
      </c>
      <c r="S947" s="2" t="s">
        <v>10012</v>
      </c>
      <c r="T947" s="2" t="s">
        <v>10025</v>
      </c>
      <c r="U947" s="2" t="s">
        <v>56</v>
      </c>
      <c r="V947" s="2" t="n">
        <v>1</v>
      </c>
    </row>
    <row r="948">
      <c r="A948" s="2" t="n">
        <v>947</v>
      </c>
      <c r="B948" s="2" t="s">
        <v>10026</v>
      </c>
      <c r="C948" s="2" t="n">
        <v>724.492278797</v>
      </c>
      <c r="D948" s="2" t="n">
        <v>5.75288875770917</v>
      </c>
      <c r="E948" s="2" t="s">
        <v>10027</v>
      </c>
      <c r="F948" s="2" t="s">
        <v>24</v>
      </c>
      <c r="G948" s="2" t="s">
        <v>10028</v>
      </c>
      <c r="H948" s="2" t="s">
        <v>10029</v>
      </c>
      <c r="I948" s="2" t="s">
        <v>10030</v>
      </c>
      <c r="J948" s="2" t="s">
        <v>10031</v>
      </c>
      <c r="K948" s="2" t="s">
        <v>10032</v>
      </c>
      <c r="L948" s="2" t="s">
        <v>10033</v>
      </c>
      <c r="M948" s="2" t="s">
        <v>91</v>
      </c>
      <c r="N948" s="2" t="s">
        <v>10034</v>
      </c>
      <c r="O948" s="2" t="s">
        <v>91</v>
      </c>
      <c r="P948" s="2" t="s">
        <v>10035</v>
      </c>
      <c r="Q948" s="2" t="s">
        <v>10036</v>
      </c>
      <c r="R948" s="2" t="s">
        <v>412</v>
      </c>
      <c r="S948" s="2" t="s">
        <v>10037</v>
      </c>
      <c r="T948" s="2" t="s">
        <v>10038</v>
      </c>
      <c r="U948" s="2" t="s">
        <v>101</v>
      </c>
      <c r="V948" s="2" t="n">
        <v>2</v>
      </c>
    </row>
    <row r="949">
      <c r="A949" s="2" t="n">
        <v>948</v>
      </c>
      <c r="B949" s="2" t="s">
        <v>10039</v>
      </c>
      <c r="C949" s="2" t="n">
        <v>725.491727354</v>
      </c>
      <c r="D949" s="2" t="n">
        <v>2.59778229760579</v>
      </c>
      <c r="E949" s="2" t="s">
        <v>10040</v>
      </c>
      <c r="F949" s="2" t="s">
        <v>86</v>
      </c>
      <c r="G949" s="2" t="s">
        <v>10041</v>
      </c>
      <c r="H949" s="2" t="s">
        <v>10042</v>
      </c>
      <c r="I949" s="2" t="s">
        <v>10043</v>
      </c>
      <c r="J949" s="2" t="s">
        <v>29</v>
      </c>
      <c r="K949" s="2" t="s">
        <v>29</v>
      </c>
      <c r="L949" s="2" t="s">
        <v>29</v>
      </c>
      <c r="M949" s="2" t="s">
        <v>29</v>
      </c>
      <c r="N949" s="2" t="s">
        <v>10044</v>
      </c>
      <c r="O949" s="2" t="s">
        <v>29</v>
      </c>
      <c r="P949" s="2" t="s">
        <v>10045</v>
      </c>
      <c r="Q949" s="2" t="s">
        <v>10046</v>
      </c>
      <c r="R949" s="2" t="s">
        <v>794</v>
      </c>
      <c r="S949" s="2" t="s">
        <v>2600</v>
      </c>
      <c r="T949" s="2" t="s">
        <v>8990</v>
      </c>
      <c r="U949" s="2" t="s">
        <v>29</v>
      </c>
      <c r="V949" s="2" t="n">
        <v>1</v>
      </c>
    </row>
    <row r="950">
      <c r="A950" s="2" t="n">
        <v>949</v>
      </c>
      <c r="B950" s="2" t="s">
        <v>10047</v>
      </c>
      <c r="C950" s="2" t="n">
        <v>726.289578337</v>
      </c>
      <c r="D950" s="2" t="n">
        <v>6.44949891308323</v>
      </c>
      <c r="E950" s="2" t="s">
        <v>10048</v>
      </c>
      <c r="F950" s="2" t="s">
        <v>531</v>
      </c>
      <c r="G950" s="2" t="s">
        <v>10049</v>
      </c>
      <c r="H950" s="2" t="s">
        <v>10050</v>
      </c>
      <c r="I950" s="2" t="s">
        <v>10051</v>
      </c>
      <c r="J950" s="2" t="s">
        <v>29</v>
      </c>
      <c r="K950" s="2" t="s">
        <v>29</v>
      </c>
      <c r="L950" s="2" t="s">
        <v>29</v>
      </c>
      <c r="M950" s="2" t="s">
        <v>29</v>
      </c>
      <c r="N950" s="2" t="s">
        <v>29</v>
      </c>
      <c r="O950" s="2" t="s">
        <v>29</v>
      </c>
      <c r="P950" s="2" t="s">
        <v>10052</v>
      </c>
      <c r="Q950" s="2" t="s">
        <v>10053</v>
      </c>
      <c r="R950" s="2" t="s">
        <v>1355</v>
      </c>
      <c r="S950" s="2" t="s">
        <v>9900</v>
      </c>
      <c r="T950" s="2" t="s">
        <v>215</v>
      </c>
      <c r="U950" s="2" t="s">
        <v>29</v>
      </c>
      <c r="V950" s="2" t="n">
        <v>1</v>
      </c>
    </row>
    <row r="951">
      <c r="A951" s="2" t="n">
        <v>950</v>
      </c>
      <c r="B951" s="2" t="s">
        <v>10054</v>
      </c>
      <c r="C951" s="2" t="n">
        <v>727.0192858</v>
      </c>
      <c r="D951" s="2" t="n">
        <v>5.08641281658668</v>
      </c>
      <c r="E951" s="2" t="s">
        <v>10055</v>
      </c>
      <c r="F951" s="2" t="s">
        <v>683</v>
      </c>
      <c r="G951" s="2" t="s">
        <v>10056</v>
      </c>
      <c r="H951" s="2" t="s">
        <v>10057</v>
      </c>
      <c r="I951" s="2" t="s">
        <v>10058</v>
      </c>
      <c r="J951" s="2" t="s">
        <v>29</v>
      </c>
      <c r="K951" s="2" t="s">
        <v>29</v>
      </c>
      <c r="L951" s="2" t="s">
        <v>29</v>
      </c>
      <c r="M951" s="2" t="s">
        <v>29</v>
      </c>
      <c r="N951" s="2" t="s">
        <v>29</v>
      </c>
      <c r="O951" s="2" t="s">
        <v>29</v>
      </c>
      <c r="P951" s="2" t="s">
        <v>10059</v>
      </c>
      <c r="Q951" s="2" t="s">
        <v>10060</v>
      </c>
      <c r="R951" s="2" t="s">
        <v>213</v>
      </c>
      <c r="S951" s="2" t="s">
        <v>3744</v>
      </c>
      <c r="T951" s="2" t="s">
        <v>10061</v>
      </c>
      <c r="U951" s="2" t="s">
        <v>29</v>
      </c>
      <c r="V951" s="2" t="n">
        <v>1</v>
      </c>
    </row>
    <row r="952">
      <c r="A952" s="2" t="n">
        <v>951</v>
      </c>
      <c r="B952" s="2" t="s">
        <v>10062</v>
      </c>
      <c r="C952" s="2" t="n">
        <v>727.510870211</v>
      </c>
      <c r="D952" s="2" t="n">
        <v>0.544094323467614</v>
      </c>
      <c r="E952" s="2" t="s">
        <v>10063</v>
      </c>
      <c r="F952" s="2" t="s">
        <v>161</v>
      </c>
      <c r="G952" s="2" t="s">
        <v>10064</v>
      </c>
      <c r="H952" s="2" t="s">
        <v>10065</v>
      </c>
      <c r="I952" s="2" t="s">
        <v>10066</v>
      </c>
      <c r="J952" s="2" t="s">
        <v>29</v>
      </c>
      <c r="K952" s="2" t="s">
        <v>29</v>
      </c>
      <c r="L952" s="2" t="s">
        <v>29</v>
      </c>
      <c r="M952" s="2" t="s">
        <v>29</v>
      </c>
      <c r="N952" s="2" t="s">
        <v>10067</v>
      </c>
      <c r="O952" s="2" t="s">
        <v>29</v>
      </c>
      <c r="P952" s="2" t="s">
        <v>10068</v>
      </c>
      <c r="Q952" s="2" t="s">
        <v>10069</v>
      </c>
      <c r="R952" s="2" t="s">
        <v>129</v>
      </c>
      <c r="S952" s="2" t="s">
        <v>130</v>
      </c>
      <c r="T952" s="2" t="s">
        <v>1681</v>
      </c>
      <c r="U952" s="2" t="s">
        <v>29</v>
      </c>
      <c r="V952" s="2" t="n">
        <v>1</v>
      </c>
    </row>
    <row r="953">
      <c r="A953" s="2" t="n">
        <v>952</v>
      </c>
      <c r="B953" s="2" t="s">
        <v>10070</v>
      </c>
      <c r="C953" s="2" t="n">
        <v>728.458500299</v>
      </c>
      <c r="D953" s="2" t="n">
        <v>1.48008653605592</v>
      </c>
      <c r="E953" s="2" t="s">
        <v>10071</v>
      </c>
      <c r="F953" s="2" t="s">
        <v>161</v>
      </c>
      <c r="G953" s="2" t="s">
        <v>10072</v>
      </c>
      <c r="H953" s="2" t="s">
        <v>10073</v>
      </c>
      <c r="I953" s="2" t="s">
        <v>10074</v>
      </c>
      <c r="J953" s="2" t="s">
        <v>10075</v>
      </c>
      <c r="K953" s="2" t="s">
        <v>10076</v>
      </c>
      <c r="L953" s="2" t="s">
        <v>10077</v>
      </c>
      <c r="M953" s="2" t="s">
        <v>10078</v>
      </c>
      <c r="N953" s="2" t="s">
        <v>10079</v>
      </c>
      <c r="O953" s="2" t="s">
        <v>10080</v>
      </c>
      <c r="P953" s="2" t="s">
        <v>10081</v>
      </c>
      <c r="Q953" s="2" t="s">
        <v>10082</v>
      </c>
      <c r="R953" s="2" t="s">
        <v>129</v>
      </c>
      <c r="S953" s="2" t="s">
        <v>130</v>
      </c>
      <c r="T953" s="2" t="s">
        <v>1681</v>
      </c>
      <c r="U953" s="2" t="s">
        <v>101</v>
      </c>
      <c r="V953" s="2" t="n">
        <v>1</v>
      </c>
    </row>
    <row r="954">
      <c r="A954" s="2" t="n">
        <v>953</v>
      </c>
      <c r="B954" s="2" t="s">
        <v>10083</v>
      </c>
      <c r="C954" s="2" t="n">
        <v>729.171295516</v>
      </c>
      <c r="D954" s="2" t="n">
        <v>1.3439448330857</v>
      </c>
      <c r="E954" s="2" t="s">
        <v>10084</v>
      </c>
      <c r="F954" s="2" t="s">
        <v>683</v>
      </c>
      <c r="G954" s="2" t="s">
        <v>10085</v>
      </c>
      <c r="H954" s="2" t="s">
        <v>10086</v>
      </c>
      <c r="I954" s="2" t="s">
        <v>10087</v>
      </c>
      <c r="J954" s="2" t="s">
        <v>10088</v>
      </c>
      <c r="K954" s="2" t="s">
        <v>29</v>
      </c>
      <c r="L954" s="2" t="s">
        <v>10089</v>
      </c>
      <c r="M954" s="2" t="s">
        <v>10090</v>
      </c>
      <c r="N954" s="2" t="s">
        <v>10091</v>
      </c>
      <c r="O954" s="2" t="s">
        <v>10092</v>
      </c>
      <c r="P954" s="2" t="s">
        <v>10093</v>
      </c>
      <c r="Q954" s="2" t="s">
        <v>10094</v>
      </c>
      <c r="R954" s="2" t="s">
        <v>36</v>
      </c>
      <c r="S954" s="2" t="s">
        <v>37</v>
      </c>
      <c r="T954" s="2" t="s">
        <v>69</v>
      </c>
      <c r="U954" s="2" t="s">
        <v>56</v>
      </c>
      <c r="V954" s="2" t="n">
        <v>1</v>
      </c>
    </row>
    <row r="955">
      <c r="A955" s="2" t="n">
        <v>954</v>
      </c>
      <c r="B955" s="2" t="s">
        <v>10095</v>
      </c>
      <c r="C955" s="2" t="n">
        <v>729.274578814</v>
      </c>
      <c r="D955" s="2" t="n">
        <v>7.93736931166668</v>
      </c>
      <c r="E955" s="2" t="s">
        <v>10096</v>
      </c>
      <c r="F955" s="2" t="s">
        <v>683</v>
      </c>
      <c r="G955" s="2" t="s">
        <v>10097</v>
      </c>
      <c r="H955" s="2" t="s">
        <v>10098</v>
      </c>
      <c r="I955" s="2" t="s">
        <v>10099</v>
      </c>
      <c r="J955" s="2" t="s">
        <v>29</v>
      </c>
      <c r="K955" s="2" t="s">
        <v>29</v>
      </c>
      <c r="L955" s="2" t="s">
        <v>29</v>
      </c>
      <c r="M955" s="2" t="s">
        <v>29</v>
      </c>
      <c r="N955" s="2" t="s">
        <v>29</v>
      </c>
      <c r="O955" s="2" t="s">
        <v>29</v>
      </c>
      <c r="P955" s="2" t="s">
        <v>10100</v>
      </c>
      <c r="Q955" s="2" t="s">
        <v>10101</v>
      </c>
      <c r="R955" s="2" t="s">
        <v>36</v>
      </c>
      <c r="S955" s="2" t="s">
        <v>37</v>
      </c>
      <c r="T955" s="2" t="s">
        <v>69</v>
      </c>
      <c r="U955" s="2" t="s">
        <v>29</v>
      </c>
      <c r="V955" s="2" t="n">
        <v>1</v>
      </c>
    </row>
    <row r="956">
      <c r="A956" s="2" t="n">
        <v>955</v>
      </c>
      <c r="B956" s="2" t="s">
        <v>10102</v>
      </c>
      <c r="C956" s="2" t="n">
        <v>730.154359833</v>
      </c>
      <c r="D956" s="2" t="n">
        <v>4.35147193049838</v>
      </c>
      <c r="E956" s="2" t="s">
        <v>10103</v>
      </c>
      <c r="F956" s="2" t="s">
        <v>218</v>
      </c>
      <c r="G956" s="2" t="s">
        <v>10104</v>
      </c>
      <c r="H956" s="2" t="s">
        <v>10105</v>
      </c>
      <c r="I956" s="2" t="s">
        <v>10106</v>
      </c>
      <c r="J956" s="2" t="s">
        <v>29</v>
      </c>
      <c r="K956" s="2" t="s">
        <v>29</v>
      </c>
      <c r="L956" s="2" t="s">
        <v>29</v>
      </c>
      <c r="M956" s="2" t="s">
        <v>29</v>
      </c>
      <c r="N956" s="2" t="s">
        <v>10107</v>
      </c>
      <c r="O956" s="2" t="s">
        <v>29</v>
      </c>
      <c r="P956" s="2" t="s">
        <v>10108</v>
      </c>
      <c r="Q956" s="2" t="s">
        <v>10109</v>
      </c>
      <c r="R956" s="2" t="s">
        <v>1355</v>
      </c>
      <c r="S956" s="2" t="s">
        <v>5199</v>
      </c>
      <c r="T956" s="2" t="s">
        <v>7308</v>
      </c>
      <c r="U956" s="2" t="s">
        <v>29</v>
      </c>
      <c r="V956" s="2" t="n">
        <v>1</v>
      </c>
    </row>
    <row r="957">
      <c r="A957" s="2" t="n">
        <v>956</v>
      </c>
      <c r="B957" s="2" t="s">
        <v>10110</v>
      </c>
      <c r="C957" s="2" t="n">
        <v>730.292751418</v>
      </c>
      <c r="D957" s="2" t="n">
        <v>6.06944357318025</v>
      </c>
      <c r="E957" s="2" t="s">
        <v>10111</v>
      </c>
      <c r="F957" s="2" t="s">
        <v>24</v>
      </c>
      <c r="G957" s="2" t="s">
        <v>10112</v>
      </c>
      <c r="H957" s="2" t="s">
        <v>10113</v>
      </c>
      <c r="I957" s="2" t="s">
        <v>10114</v>
      </c>
      <c r="J957" s="2" t="s">
        <v>29</v>
      </c>
      <c r="K957" s="2" t="s">
        <v>29</v>
      </c>
      <c r="L957" s="2" t="s">
        <v>29</v>
      </c>
      <c r="M957" s="2" t="s">
        <v>29</v>
      </c>
      <c r="N957" s="2" t="s">
        <v>10115</v>
      </c>
      <c r="O957" s="2" t="s">
        <v>29</v>
      </c>
      <c r="P957" s="2" t="s">
        <v>10116</v>
      </c>
      <c r="Q957" s="2" t="s">
        <v>10117</v>
      </c>
      <c r="R957" s="2" t="s">
        <v>36</v>
      </c>
      <c r="S957" s="2" t="s">
        <v>37</v>
      </c>
      <c r="T957" s="2" t="s">
        <v>69</v>
      </c>
      <c r="U957" s="2" t="s">
        <v>29</v>
      </c>
      <c r="V957" s="2" t="n">
        <v>1</v>
      </c>
    </row>
    <row r="958">
      <c r="A958" s="2" t="n">
        <v>957</v>
      </c>
      <c r="B958" s="2" t="s">
        <v>10118</v>
      </c>
      <c r="C958" s="2" t="n">
        <v>730.517549303</v>
      </c>
      <c r="D958" s="2" t="n">
        <v>0.82845909138765</v>
      </c>
      <c r="E958" s="2" t="s">
        <v>10119</v>
      </c>
      <c r="F958" s="2" t="s">
        <v>161</v>
      </c>
      <c r="G958" s="2" t="s">
        <v>10120</v>
      </c>
      <c r="H958" s="2" t="s">
        <v>10121</v>
      </c>
      <c r="I958" s="2" t="s">
        <v>10122</v>
      </c>
      <c r="J958" s="2" t="s">
        <v>10123</v>
      </c>
      <c r="K958" s="2" t="s">
        <v>29</v>
      </c>
      <c r="L958" s="2" t="s">
        <v>9434</v>
      </c>
      <c r="M958" s="2" t="s">
        <v>29</v>
      </c>
      <c r="N958" s="2" t="s">
        <v>10124</v>
      </c>
      <c r="O958" s="2" t="s">
        <v>29</v>
      </c>
      <c r="P958" s="2" t="s">
        <v>10125</v>
      </c>
      <c r="Q958" s="2" t="s">
        <v>10126</v>
      </c>
      <c r="R958" s="2" t="s">
        <v>794</v>
      </c>
      <c r="S958" s="2" t="s">
        <v>7122</v>
      </c>
      <c r="T958" s="2" t="s">
        <v>8042</v>
      </c>
      <c r="U958" s="2" t="s">
        <v>101</v>
      </c>
      <c r="V958" s="2" t="n">
        <v>1</v>
      </c>
    </row>
    <row r="959">
      <c r="A959" s="2" t="n">
        <v>958</v>
      </c>
      <c r="B959" s="2" t="s">
        <v>10127</v>
      </c>
      <c r="C959" s="2" t="n">
        <v>731.538677542</v>
      </c>
      <c r="D959" s="2" t="n">
        <v>5.0048668068969</v>
      </c>
      <c r="E959" s="2" t="s">
        <v>10128</v>
      </c>
      <c r="F959" s="2" t="s">
        <v>86</v>
      </c>
      <c r="G959" s="2" t="s">
        <v>10129</v>
      </c>
      <c r="H959" s="2" t="s">
        <v>10130</v>
      </c>
      <c r="I959" s="2" t="s">
        <v>10131</v>
      </c>
      <c r="J959" s="2" t="s">
        <v>10132</v>
      </c>
      <c r="K959" s="2" t="s">
        <v>10133</v>
      </c>
      <c r="L959" s="2" t="s">
        <v>29</v>
      </c>
      <c r="M959" s="2" t="s">
        <v>29</v>
      </c>
      <c r="N959" s="2" t="s">
        <v>10134</v>
      </c>
      <c r="O959" s="2" t="s">
        <v>29</v>
      </c>
      <c r="P959" s="2" t="s">
        <v>10135</v>
      </c>
      <c r="Q959" s="2" t="s">
        <v>10136</v>
      </c>
      <c r="R959" s="2" t="s">
        <v>794</v>
      </c>
      <c r="S959" s="2" t="s">
        <v>2600</v>
      </c>
      <c r="T959" s="2" t="s">
        <v>8990</v>
      </c>
      <c r="U959" s="2" t="s">
        <v>29</v>
      </c>
      <c r="V959" s="2" t="n">
        <v>1</v>
      </c>
    </row>
    <row r="960">
      <c r="A960" s="2" t="n">
        <v>959</v>
      </c>
      <c r="B960" s="2" t="s">
        <v>10137</v>
      </c>
      <c r="C960" s="2" t="n">
        <v>733.477476282</v>
      </c>
      <c r="D960" s="2" t="n">
        <v>4.59468526450315</v>
      </c>
      <c r="E960" s="2" t="s">
        <v>10138</v>
      </c>
      <c r="F960" s="2" t="s">
        <v>683</v>
      </c>
      <c r="G960" s="2" t="s">
        <v>10139</v>
      </c>
      <c r="H960" s="2" t="s">
        <v>10140</v>
      </c>
      <c r="I960" s="2" t="s">
        <v>10141</v>
      </c>
      <c r="J960" s="2" t="s">
        <v>10142</v>
      </c>
      <c r="K960" s="2" t="s">
        <v>29</v>
      </c>
      <c r="L960" s="2" t="s">
        <v>29</v>
      </c>
      <c r="M960" s="2" t="s">
        <v>29</v>
      </c>
      <c r="N960" s="2" t="s">
        <v>10143</v>
      </c>
      <c r="O960" s="2" t="s">
        <v>29</v>
      </c>
      <c r="P960" s="2" t="s">
        <v>10144</v>
      </c>
      <c r="Q960" s="2" t="s">
        <v>10145</v>
      </c>
      <c r="R960" s="2" t="s">
        <v>114</v>
      </c>
      <c r="S960" s="2" t="s">
        <v>1038</v>
      </c>
      <c r="T960" s="2" t="s">
        <v>1039</v>
      </c>
      <c r="U960" s="2" t="s">
        <v>29</v>
      </c>
      <c r="V960" s="2" t="n">
        <v>1</v>
      </c>
    </row>
    <row r="961">
      <c r="A961" s="2" t="n">
        <v>960</v>
      </c>
      <c r="B961" s="2" t="s">
        <v>10146</v>
      </c>
      <c r="C961" s="2" t="n">
        <v>733.554327606</v>
      </c>
      <c r="D961" s="2" t="n">
        <v>1.60710040018019</v>
      </c>
      <c r="E961" s="2" t="s">
        <v>10147</v>
      </c>
      <c r="F961" s="2" t="s">
        <v>86</v>
      </c>
      <c r="G961" s="2" t="s">
        <v>10148</v>
      </c>
      <c r="H961" s="2" t="s">
        <v>10149</v>
      </c>
      <c r="I961" s="2" t="s">
        <v>10150</v>
      </c>
      <c r="J961" s="2" t="s">
        <v>10151</v>
      </c>
      <c r="K961" s="2" t="s">
        <v>29</v>
      </c>
      <c r="L961" s="2" t="s">
        <v>29</v>
      </c>
      <c r="M961" s="2" t="s">
        <v>29</v>
      </c>
      <c r="N961" s="2" t="s">
        <v>10152</v>
      </c>
      <c r="O961" s="2" t="s">
        <v>29</v>
      </c>
      <c r="P961" s="2" t="s">
        <v>10153</v>
      </c>
      <c r="Q961" s="2" t="s">
        <v>10154</v>
      </c>
      <c r="R961" s="2" t="s">
        <v>794</v>
      </c>
      <c r="S961" s="2" t="s">
        <v>2600</v>
      </c>
      <c r="T961" s="2" t="s">
        <v>8990</v>
      </c>
      <c r="U961" s="2" t="s">
        <v>56</v>
      </c>
      <c r="V961" s="2" t="n">
        <v>1</v>
      </c>
    </row>
    <row r="962">
      <c r="A962" s="2" t="n">
        <v>961</v>
      </c>
      <c r="B962" s="2" t="s">
        <v>10155</v>
      </c>
      <c r="C962" s="2" t="n">
        <v>737.337178114</v>
      </c>
      <c r="D962" s="2" t="n">
        <v>1.6448285206621</v>
      </c>
      <c r="E962" s="2" t="s">
        <v>10156</v>
      </c>
      <c r="F962" s="2" t="s">
        <v>683</v>
      </c>
      <c r="G962" s="2" t="s">
        <v>10157</v>
      </c>
      <c r="H962" s="2" t="s">
        <v>10158</v>
      </c>
      <c r="I962" s="2" t="s">
        <v>10159</v>
      </c>
      <c r="J962" s="2" t="s">
        <v>29</v>
      </c>
      <c r="K962" s="2" t="s">
        <v>29</v>
      </c>
      <c r="L962" s="2" t="s">
        <v>29</v>
      </c>
      <c r="M962" s="2" t="s">
        <v>10160</v>
      </c>
      <c r="N962" s="2" t="s">
        <v>10161</v>
      </c>
      <c r="O962" s="2" t="s">
        <v>10162</v>
      </c>
      <c r="P962" s="2" t="s">
        <v>10163</v>
      </c>
      <c r="Q962" s="2" t="s">
        <v>10164</v>
      </c>
      <c r="R962" s="2" t="s">
        <v>186</v>
      </c>
      <c r="S962" s="2" t="s">
        <v>187</v>
      </c>
      <c r="T962" s="2" t="s">
        <v>3454</v>
      </c>
      <c r="U962" s="2" t="s">
        <v>29</v>
      </c>
      <c r="V962" s="2" t="n">
        <v>1</v>
      </c>
    </row>
    <row r="963">
      <c r="A963" s="2" t="n">
        <v>962</v>
      </c>
      <c r="B963" s="2" t="s">
        <v>10165</v>
      </c>
      <c r="C963" s="2" t="n">
        <v>738.507928861</v>
      </c>
      <c r="D963" s="2" t="n">
        <v>6.04634239050109</v>
      </c>
      <c r="E963" s="2" t="s">
        <v>10166</v>
      </c>
      <c r="F963" s="2" t="s">
        <v>24</v>
      </c>
      <c r="G963" s="2" t="s">
        <v>10167</v>
      </c>
      <c r="H963" s="2" t="s">
        <v>10168</v>
      </c>
      <c r="I963" s="2" t="s">
        <v>10169</v>
      </c>
      <c r="J963" s="2" t="s">
        <v>10170</v>
      </c>
      <c r="K963" s="2" t="s">
        <v>10171</v>
      </c>
      <c r="L963" s="2" t="s">
        <v>10033</v>
      </c>
      <c r="M963" s="2" t="s">
        <v>91</v>
      </c>
      <c r="N963" s="2" t="s">
        <v>10172</v>
      </c>
      <c r="O963" s="2" t="s">
        <v>91</v>
      </c>
      <c r="P963" s="2" t="s">
        <v>10173</v>
      </c>
      <c r="Q963" s="2" t="s">
        <v>10174</v>
      </c>
      <c r="R963" s="2" t="s">
        <v>412</v>
      </c>
      <c r="S963" s="2" t="s">
        <v>10037</v>
      </c>
      <c r="T963" s="2" t="s">
        <v>10038</v>
      </c>
      <c r="U963" s="2" t="s">
        <v>101</v>
      </c>
      <c r="V963" s="2" t="n">
        <v>2</v>
      </c>
    </row>
    <row r="964">
      <c r="A964" s="2" t="n">
        <v>963</v>
      </c>
      <c r="B964" s="2" t="s">
        <v>10175</v>
      </c>
      <c r="C964" s="2" t="n">
        <v>738.668915</v>
      </c>
      <c r="D964" s="2" t="n">
        <v>2.41910796829021</v>
      </c>
      <c r="E964" s="2" t="s">
        <v>10176</v>
      </c>
      <c r="F964" s="2" t="s">
        <v>218</v>
      </c>
      <c r="G964" s="2" t="s">
        <v>10177</v>
      </c>
      <c r="H964" s="2" t="s">
        <v>10178</v>
      </c>
      <c r="I964" s="2" t="s">
        <v>10179</v>
      </c>
      <c r="J964" s="2" t="s">
        <v>29</v>
      </c>
      <c r="K964" s="2" t="s">
        <v>29</v>
      </c>
      <c r="L964" s="2" t="s">
        <v>29</v>
      </c>
      <c r="M964" s="2" t="s">
        <v>29</v>
      </c>
      <c r="N964" s="2" t="s">
        <v>10180</v>
      </c>
      <c r="O964" s="2" t="s">
        <v>29</v>
      </c>
      <c r="P964" s="2" t="s">
        <v>10181</v>
      </c>
      <c r="Q964" s="2" t="s">
        <v>10182</v>
      </c>
      <c r="R964" s="2" t="s">
        <v>186</v>
      </c>
      <c r="S964" s="2" t="s">
        <v>187</v>
      </c>
      <c r="T964" s="2" t="s">
        <v>6895</v>
      </c>
      <c r="U964" s="2" t="s">
        <v>29</v>
      </c>
      <c r="V964" s="2" t="n">
        <v>1</v>
      </c>
    </row>
    <row r="965">
      <c r="A965" s="2" t="n">
        <v>964</v>
      </c>
      <c r="B965" s="2" t="s">
        <v>10183</v>
      </c>
      <c r="C965" s="2" t="n">
        <v>739.292160882</v>
      </c>
      <c r="D965" s="2" t="n">
        <v>1.47797405443382</v>
      </c>
      <c r="E965" s="2" t="s">
        <v>10184</v>
      </c>
      <c r="F965" s="2" t="s">
        <v>683</v>
      </c>
      <c r="G965" s="2" t="s">
        <v>10185</v>
      </c>
      <c r="H965" s="2" t="s">
        <v>10186</v>
      </c>
      <c r="I965" s="2" t="s">
        <v>10187</v>
      </c>
      <c r="J965" s="2" t="s">
        <v>10188</v>
      </c>
      <c r="K965" s="2" t="s">
        <v>29</v>
      </c>
      <c r="L965" s="2" t="s">
        <v>29</v>
      </c>
      <c r="M965" s="2" t="s">
        <v>29</v>
      </c>
      <c r="N965" s="2" t="s">
        <v>10189</v>
      </c>
      <c r="O965" s="2" t="s">
        <v>29</v>
      </c>
      <c r="P965" s="2" t="s">
        <v>10190</v>
      </c>
      <c r="Q965" s="2" t="s">
        <v>10191</v>
      </c>
      <c r="R965" s="2" t="s">
        <v>114</v>
      </c>
      <c r="S965" s="2" t="s">
        <v>936</v>
      </c>
      <c r="T965" s="2" t="s">
        <v>10192</v>
      </c>
      <c r="U965" s="2" t="s">
        <v>29</v>
      </c>
      <c r="V965" s="2" t="n">
        <v>1</v>
      </c>
    </row>
    <row r="966">
      <c r="A966" s="2" t="n">
        <v>965</v>
      </c>
      <c r="B966" s="2" t="s">
        <v>10193</v>
      </c>
      <c r="C966" s="2" t="n">
        <v>740.222561403</v>
      </c>
      <c r="D966" s="2" t="n">
        <v>5.35883055213973</v>
      </c>
      <c r="E966" s="2" t="s">
        <v>10194</v>
      </c>
      <c r="F966" s="2" t="s">
        <v>531</v>
      </c>
      <c r="G966" s="2" t="s">
        <v>10195</v>
      </c>
      <c r="H966" s="2" t="s">
        <v>10196</v>
      </c>
      <c r="I966" s="2" t="s">
        <v>10197</v>
      </c>
      <c r="J966" s="2" t="s">
        <v>29</v>
      </c>
      <c r="K966" s="2" t="s">
        <v>29</v>
      </c>
      <c r="L966" s="2" t="s">
        <v>29</v>
      </c>
      <c r="M966" s="2" t="s">
        <v>29</v>
      </c>
      <c r="N966" s="2" t="s">
        <v>10198</v>
      </c>
      <c r="O966" s="2" t="s">
        <v>29</v>
      </c>
      <c r="P966" s="2" t="s">
        <v>10199</v>
      </c>
      <c r="Q966" s="2" t="s">
        <v>10200</v>
      </c>
      <c r="R966" s="2" t="s">
        <v>186</v>
      </c>
      <c r="S966" s="2" t="s">
        <v>4086</v>
      </c>
      <c r="T966" s="2" t="s">
        <v>8526</v>
      </c>
      <c r="U966" s="2" t="s">
        <v>29</v>
      </c>
      <c r="V966" s="2" t="n">
        <v>1</v>
      </c>
    </row>
    <row r="967">
      <c r="A967" s="2" t="n">
        <v>966</v>
      </c>
      <c r="B967" s="2" t="s">
        <v>10201</v>
      </c>
      <c r="C967" s="2" t="n">
        <v>740.523578925</v>
      </c>
      <c r="D967" s="2" t="n">
        <v>2.34650543444107</v>
      </c>
      <c r="E967" s="2" t="s">
        <v>10202</v>
      </c>
      <c r="F967" s="2" t="s">
        <v>24</v>
      </c>
      <c r="G967" s="2" t="s">
        <v>10203</v>
      </c>
      <c r="H967" s="2" t="s">
        <v>10204</v>
      </c>
      <c r="I967" s="2" t="s">
        <v>10205</v>
      </c>
      <c r="J967" s="2" t="s">
        <v>10206</v>
      </c>
      <c r="K967" s="2" t="s">
        <v>10207</v>
      </c>
      <c r="L967" s="2" t="s">
        <v>9831</v>
      </c>
      <c r="M967" s="2" t="s">
        <v>29</v>
      </c>
      <c r="N967" s="2" t="s">
        <v>10208</v>
      </c>
      <c r="O967" s="2" t="s">
        <v>29</v>
      </c>
      <c r="P967" s="2" t="s">
        <v>10209</v>
      </c>
      <c r="Q967" s="2" t="s">
        <v>10210</v>
      </c>
      <c r="R967" s="2" t="s">
        <v>794</v>
      </c>
      <c r="S967" s="2" t="s">
        <v>7122</v>
      </c>
      <c r="T967" s="2" t="s">
        <v>8460</v>
      </c>
      <c r="U967" s="2" t="s">
        <v>101</v>
      </c>
      <c r="V967" s="2" t="n">
        <v>1</v>
      </c>
    </row>
    <row r="968">
      <c r="A968" s="2" t="n">
        <v>967</v>
      </c>
      <c r="B968" s="2" t="s">
        <v>10211</v>
      </c>
      <c r="C968" s="2" t="n">
        <v>742.539228989</v>
      </c>
      <c r="D968" s="2" t="n">
        <v>2.63169686270081</v>
      </c>
      <c r="E968" s="2" t="s">
        <v>10212</v>
      </c>
      <c r="F968" s="2" t="s">
        <v>24</v>
      </c>
      <c r="G968" s="2" t="s">
        <v>10213</v>
      </c>
      <c r="H968" s="2" t="s">
        <v>10214</v>
      </c>
      <c r="I968" s="2" t="s">
        <v>10215</v>
      </c>
      <c r="J968" s="2" t="s">
        <v>10216</v>
      </c>
      <c r="K968" s="2" t="s">
        <v>10217</v>
      </c>
      <c r="L968" s="2" t="s">
        <v>9831</v>
      </c>
      <c r="M968" s="2" t="s">
        <v>10218</v>
      </c>
      <c r="N968" s="2" t="s">
        <v>10219</v>
      </c>
      <c r="O968" s="2" t="s">
        <v>29</v>
      </c>
      <c r="P968" s="2" t="s">
        <v>10220</v>
      </c>
      <c r="Q968" s="2" t="s">
        <v>10221</v>
      </c>
      <c r="R968" s="2" t="s">
        <v>794</v>
      </c>
      <c r="S968" s="2" t="s">
        <v>7122</v>
      </c>
      <c r="T968" s="2" t="s">
        <v>8460</v>
      </c>
      <c r="U968" s="2" t="s">
        <v>39</v>
      </c>
      <c r="V968" s="2" t="n">
        <v>1</v>
      </c>
    </row>
    <row r="969">
      <c r="A969" s="2" t="n">
        <v>968</v>
      </c>
      <c r="B969" s="2" t="s">
        <v>10222</v>
      </c>
      <c r="C969" s="2" t="n">
        <v>743.548080812</v>
      </c>
      <c r="D969" s="2" t="n">
        <v>2.23608028007929</v>
      </c>
      <c r="E969" s="2" t="s">
        <v>10223</v>
      </c>
      <c r="F969" s="2" t="s">
        <v>683</v>
      </c>
      <c r="G969" s="2" t="s">
        <v>10224</v>
      </c>
      <c r="H969" s="2" t="s">
        <v>10225</v>
      </c>
      <c r="I969" s="2" t="s">
        <v>10226</v>
      </c>
      <c r="J969" s="2" t="s">
        <v>10227</v>
      </c>
      <c r="K969" s="2" t="s">
        <v>29</v>
      </c>
      <c r="L969" s="2" t="s">
        <v>29</v>
      </c>
      <c r="M969" s="2" t="s">
        <v>10228</v>
      </c>
      <c r="N969" s="2" t="s">
        <v>10229</v>
      </c>
      <c r="O969" s="2" t="s">
        <v>10230</v>
      </c>
      <c r="P969" s="2" t="s">
        <v>10231</v>
      </c>
      <c r="Q969" s="2" t="s">
        <v>10232</v>
      </c>
      <c r="R969" s="2" t="s">
        <v>794</v>
      </c>
      <c r="S969" s="2" t="s">
        <v>2971</v>
      </c>
      <c r="T969" s="2" t="s">
        <v>3921</v>
      </c>
      <c r="U969" s="2" t="s">
        <v>29</v>
      </c>
      <c r="V969" s="2" t="n">
        <v>1</v>
      </c>
    </row>
    <row r="970">
      <c r="A970" s="2" t="n">
        <v>969</v>
      </c>
      <c r="B970" s="2" t="s">
        <v>10233</v>
      </c>
      <c r="C970" s="2" t="n">
        <v>745.506724766</v>
      </c>
      <c r="D970" s="2" t="n">
        <v>0.424330173810798</v>
      </c>
      <c r="E970" s="2" t="s">
        <v>10234</v>
      </c>
      <c r="F970" s="2" t="s">
        <v>205</v>
      </c>
      <c r="G970" s="2" t="s">
        <v>10235</v>
      </c>
      <c r="H970" s="2" t="s">
        <v>10236</v>
      </c>
      <c r="I970" s="2" t="s">
        <v>10237</v>
      </c>
      <c r="J970" s="2" t="s">
        <v>29</v>
      </c>
      <c r="K970" s="2" t="s">
        <v>29</v>
      </c>
      <c r="L970" s="2" t="s">
        <v>29</v>
      </c>
      <c r="M970" s="2" t="s">
        <v>29</v>
      </c>
      <c r="N970" s="2" t="s">
        <v>10238</v>
      </c>
      <c r="O970" s="2" t="s">
        <v>29</v>
      </c>
      <c r="P970" s="2" t="s">
        <v>10239</v>
      </c>
      <c r="Q970" s="2" t="s">
        <v>10240</v>
      </c>
      <c r="R970" s="2" t="s">
        <v>601</v>
      </c>
      <c r="S970" s="2" t="s">
        <v>602</v>
      </c>
      <c r="T970" s="2" t="s">
        <v>1800</v>
      </c>
      <c r="U970" s="2" t="s">
        <v>29</v>
      </c>
      <c r="V970" s="2" t="n">
        <v>1</v>
      </c>
    </row>
    <row r="971">
      <c r="A971" s="2" t="n">
        <v>970</v>
      </c>
      <c r="B971" s="2" t="s">
        <v>10241</v>
      </c>
      <c r="C971" s="2" t="n">
        <v>747.518155373</v>
      </c>
      <c r="D971" s="2" t="n">
        <v>5.21759558118022</v>
      </c>
      <c r="E971" s="2" t="s">
        <v>10242</v>
      </c>
      <c r="F971" s="2" t="s">
        <v>205</v>
      </c>
      <c r="G971" s="2" t="s">
        <v>10243</v>
      </c>
      <c r="H971" s="2" t="s">
        <v>10244</v>
      </c>
      <c r="I971" s="2" t="s">
        <v>10245</v>
      </c>
      <c r="J971" s="2" t="s">
        <v>29</v>
      </c>
      <c r="K971" s="2" t="s">
        <v>29</v>
      </c>
      <c r="L971" s="2" t="s">
        <v>29</v>
      </c>
      <c r="M971" s="2" t="s">
        <v>29</v>
      </c>
      <c r="N971" s="2" t="s">
        <v>10246</v>
      </c>
      <c r="O971" s="2" t="s">
        <v>29</v>
      </c>
      <c r="P971" s="2" t="s">
        <v>10247</v>
      </c>
      <c r="Q971" s="2" t="s">
        <v>10248</v>
      </c>
      <c r="R971" s="2" t="s">
        <v>794</v>
      </c>
      <c r="S971" s="2" t="s">
        <v>7122</v>
      </c>
      <c r="T971" s="2" t="s">
        <v>7123</v>
      </c>
      <c r="U971" s="2" t="s">
        <v>29</v>
      </c>
      <c r="V971" s="2" t="n">
        <v>1</v>
      </c>
    </row>
    <row r="972">
      <c r="A972" s="2" t="n">
        <v>971</v>
      </c>
      <c r="B972" s="2" t="s">
        <v>10249</v>
      </c>
      <c r="C972" s="2" t="n">
        <v>748.165491355</v>
      </c>
      <c r="D972" s="2" t="n">
        <v>3.49285883627235</v>
      </c>
      <c r="E972" s="2" t="s">
        <v>10250</v>
      </c>
      <c r="F972" s="2" t="s">
        <v>205</v>
      </c>
      <c r="G972" s="2" t="s">
        <v>10251</v>
      </c>
      <c r="H972" s="2" t="s">
        <v>10252</v>
      </c>
      <c r="I972" s="2" t="s">
        <v>10253</v>
      </c>
      <c r="J972" s="2" t="s">
        <v>29</v>
      </c>
      <c r="K972" s="2" t="s">
        <v>29</v>
      </c>
      <c r="L972" s="2" t="s">
        <v>29</v>
      </c>
      <c r="M972" s="2" t="s">
        <v>29</v>
      </c>
      <c r="N972" s="2" t="s">
        <v>10254</v>
      </c>
      <c r="O972" s="2" t="s">
        <v>29</v>
      </c>
      <c r="P972" s="2" t="s">
        <v>10255</v>
      </c>
      <c r="Q972" s="2" t="s">
        <v>10256</v>
      </c>
      <c r="R972" s="2" t="s">
        <v>129</v>
      </c>
      <c r="S972" s="2" t="s">
        <v>130</v>
      </c>
      <c r="T972" s="2" t="s">
        <v>1681</v>
      </c>
      <c r="U972" s="2" t="s">
        <v>29</v>
      </c>
      <c r="V972" s="2" t="n">
        <v>1</v>
      </c>
    </row>
    <row r="973">
      <c r="A973" s="2" t="n">
        <v>972</v>
      </c>
      <c r="B973" s="2" t="s">
        <v>10257</v>
      </c>
      <c r="C973" s="2" t="n">
        <v>748.254366693</v>
      </c>
      <c r="D973" s="2" t="n">
        <v>2.47013124879259</v>
      </c>
      <c r="E973" s="2" t="s">
        <v>10258</v>
      </c>
      <c r="F973" s="2" t="s">
        <v>205</v>
      </c>
      <c r="G973" s="2" t="s">
        <v>10259</v>
      </c>
      <c r="H973" s="2" t="s">
        <v>10260</v>
      </c>
      <c r="I973" s="2" t="s">
        <v>10261</v>
      </c>
      <c r="J973" s="2" t="s">
        <v>91</v>
      </c>
      <c r="K973" s="2" t="s">
        <v>91</v>
      </c>
      <c r="L973" s="2" t="s">
        <v>10262</v>
      </c>
      <c r="M973" s="2" t="s">
        <v>10263</v>
      </c>
      <c r="N973" s="2" t="s">
        <v>10264</v>
      </c>
      <c r="O973" s="2" t="s">
        <v>10265</v>
      </c>
      <c r="P973" s="2" t="s">
        <v>10266</v>
      </c>
      <c r="Q973" s="2" t="s">
        <v>10267</v>
      </c>
      <c r="R973" s="2" t="s">
        <v>541</v>
      </c>
      <c r="S973" s="2" t="s">
        <v>10268</v>
      </c>
      <c r="T973" s="2" t="s">
        <v>10269</v>
      </c>
      <c r="U973" s="2" t="s">
        <v>56</v>
      </c>
      <c r="V973" s="2" t="n">
        <v>2</v>
      </c>
    </row>
    <row r="974">
      <c r="A974" s="2" t="n">
        <v>973</v>
      </c>
      <c r="B974" s="2" t="s">
        <v>10270</v>
      </c>
      <c r="C974" s="2" t="n">
        <v>749.51689983</v>
      </c>
      <c r="D974" s="2" t="n">
        <v>4.83416959475366</v>
      </c>
      <c r="E974" s="2" t="s">
        <v>10271</v>
      </c>
      <c r="F974" s="2" t="s">
        <v>683</v>
      </c>
      <c r="G974" s="2" t="s">
        <v>10272</v>
      </c>
      <c r="H974" s="2" t="s">
        <v>10273</v>
      </c>
      <c r="I974" s="2" t="s">
        <v>10274</v>
      </c>
      <c r="J974" s="2" t="s">
        <v>195</v>
      </c>
      <c r="K974" s="2" t="s">
        <v>195</v>
      </c>
      <c r="L974" s="2" t="s">
        <v>195</v>
      </c>
      <c r="M974" s="2" t="s">
        <v>195</v>
      </c>
      <c r="N974" s="2" t="s">
        <v>195</v>
      </c>
      <c r="O974" s="2" t="s">
        <v>195</v>
      </c>
      <c r="P974" s="2" t="s">
        <v>10275</v>
      </c>
      <c r="Q974" s="2" t="s">
        <v>10276</v>
      </c>
      <c r="R974" s="2" t="s">
        <v>255</v>
      </c>
      <c r="S974" s="2" t="s">
        <v>256</v>
      </c>
      <c r="T974" s="2" t="s">
        <v>668</v>
      </c>
      <c r="U974" s="2" t="s">
        <v>29</v>
      </c>
      <c r="V974" s="2" t="n">
        <v>3</v>
      </c>
    </row>
    <row r="975">
      <c r="A975" s="2" t="n">
        <v>974</v>
      </c>
      <c r="B975" s="2" t="s">
        <v>10277</v>
      </c>
      <c r="C975" s="2" t="n">
        <v>750.544314367</v>
      </c>
      <c r="D975" s="2" t="n">
        <v>7.75825816022908</v>
      </c>
      <c r="E975" s="2" t="s">
        <v>10278</v>
      </c>
      <c r="F975" s="2" t="s">
        <v>24</v>
      </c>
      <c r="G975" s="2" t="s">
        <v>10279</v>
      </c>
      <c r="H975" s="2" t="s">
        <v>10280</v>
      </c>
      <c r="I975" s="2" t="s">
        <v>10281</v>
      </c>
      <c r="J975" s="2" t="s">
        <v>10282</v>
      </c>
      <c r="K975" s="2" t="s">
        <v>10283</v>
      </c>
      <c r="L975" s="2" t="s">
        <v>9434</v>
      </c>
      <c r="M975" s="2" t="s">
        <v>10284</v>
      </c>
      <c r="N975" s="2" t="s">
        <v>10285</v>
      </c>
      <c r="O975" s="2" t="s">
        <v>10286</v>
      </c>
      <c r="P975" s="2" t="s">
        <v>10287</v>
      </c>
      <c r="Q975" s="2" t="s">
        <v>10288</v>
      </c>
      <c r="R975" s="2" t="s">
        <v>794</v>
      </c>
      <c r="S975" s="2" t="s">
        <v>7122</v>
      </c>
      <c r="T975" s="2" t="s">
        <v>8042</v>
      </c>
      <c r="U975" s="2" t="s">
        <v>56</v>
      </c>
      <c r="V975" s="2" t="n">
        <v>1</v>
      </c>
    </row>
    <row r="976">
      <c r="A976" s="2" t="n">
        <v>975</v>
      </c>
      <c r="B976" s="2" t="s">
        <v>10289</v>
      </c>
      <c r="C976" s="2" t="n">
        <v>751.564677984</v>
      </c>
      <c r="D976" s="2" t="n">
        <v>8.09332451973858</v>
      </c>
      <c r="E976" s="2" t="s">
        <v>10290</v>
      </c>
      <c r="F976" s="2" t="s">
        <v>531</v>
      </c>
      <c r="G976" s="2" t="s">
        <v>10291</v>
      </c>
      <c r="H976" s="2" t="s">
        <v>10292</v>
      </c>
      <c r="I976" s="2" t="s">
        <v>10293</v>
      </c>
      <c r="J976" s="2" t="s">
        <v>10294</v>
      </c>
      <c r="K976" s="2" t="s">
        <v>29</v>
      </c>
      <c r="L976" s="2" t="s">
        <v>29</v>
      </c>
      <c r="M976" s="2" t="s">
        <v>29</v>
      </c>
      <c r="N976" s="2" t="s">
        <v>10295</v>
      </c>
      <c r="O976" s="2" t="s">
        <v>10296</v>
      </c>
      <c r="P976" s="2" t="s">
        <v>10297</v>
      </c>
      <c r="Q976" s="2" t="s">
        <v>10298</v>
      </c>
      <c r="R976" s="2" t="s">
        <v>794</v>
      </c>
      <c r="S976" s="2" t="s">
        <v>1098</v>
      </c>
      <c r="T976" s="2" t="s">
        <v>10299</v>
      </c>
      <c r="U976" s="2" t="s">
        <v>29</v>
      </c>
      <c r="V976" s="2" t="n">
        <v>1</v>
      </c>
    </row>
    <row r="977">
      <c r="A977" s="2" t="n">
        <v>976</v>
      </c>
      <c r="B977" s="2" t="s">
        <v>10300</v>
      </c>
      <c r="C977" s="2" t="n">
        <v>752.523578925</v>
      </c>
      <c r="D977" s="2" t="n">
        <v>7.69797261679723</v>
      </c>
      <c r="E977" s="2" t="s">
        <v>10301</v>
      </c>
      <c r="F977" s="2" t="s">
        <v>24</v>
      </c>
      <c r="G977" s="2" t="s">
        <v>10302</v>
      </c>
      <c r="H977" s="2" t="s">
        <v>10303</v>
      </c>
      <c r="I977" s="2" t="s">
        <v>10304</v>
      </c>
      <c r="J977" s="2" t="s">
        <v>10305</v>
      </c>
      <c r="K977" s="2" t="s">
        <v>10306</v>
      </c>
      <c r="L977" s="2" t="s">
        <v>9831</v>
      </c>
      <c r="M977" s="2" t="s">
        <v>10307</v>
      </c>
      <c r="N977" s="2" t="s">
        <v>10308</v>
      </c>
      <c r="O977" s="2" t="s">
        <v>29</v>
      </c>
      <c r="P977" s="2" t="s">
        <v>10309</v>
      </c>
      <c r="Q977" s="2" t="s">
        <v>10310</v>
      </c>
      <c r="R977" s="2" t="s">
        <v>794</v>
      </c>
      <c r="S977" s="2" t="s">
        <v>7122</v>
      </c>
      <c r="T977" s="2" t="s">
        <v>8460</v>
      </c>
      <c r="U977" s="2" t="s">
        <v>39</v>
      </c>
      <c r="V977" s="2" t="n">
        <v>1</v>
      </c>
    </row>
    <row r="978">
      <c r="A978" s="2" t="n">
        <v>977</v>
      </c>
      <c r="B978" s="2" t="s">
        <v>10311</v>
      </c>
      <c r="C978" s="2" t="n">
        <v>753.531830334</v>
      </c>
      <c r="D978" s="2" t="n">
        <v>1.50363625060035</v>
      </c>
      <c r="E978" s="2" t="s">
        <v>10312</v>
      </c>
      <c r="F978" s="2" t="s">
        <v>218</v>
      </c>
      <c r="G978" s="2" t="s">
        <v>10313</v>
      </c>
      <c r="H978" s="2" t="s">
        <v>10314</v>
      </c>
      <c r="I978" s="2" t="s">
        <v>10315</v>
      </c>
      <c r="J978" s="2" t="s">
        <v>10316</v>
      </c>
      <c r="K978" s="2" t="s">
        <v>10317</v>
      </c>
      <c r="L978" s="2" t="s">
        <v>91</v>
      </c>
      <c r="M978" s="2" t="s">
        <v>10318</v>
      </c>
      <c r="N978" s="2" t="s">
        <v>10319</v>
      </c>
      <c r="O978" s="2" t="s">
        <v>10320</v>
      </c>
      <c r="P978" s="2" t="s">
        <v>10321</v>
      </c>
      <c r="Q978" s="2" t="s">
        <v>10322</v>
      </c>
      <c r="R978" s="2" t="s">
        <v>10323</v>
      </c>
      <c r="S978" s="2" t="s">
        <v>10324</v>
      </c>
      <c r="T978" s="2" t="s">
        <v>10325</v>
      </c>
      <c r="U978" s="2" t="s">
        <v>29</v>
      </c>
      <c r="V978" s="2" t="n">
        <v>2</v>
      </c>
    </row>
    <row r="979">
      <c r="A979" s="2" t="n">
        <v>978</v>
      </c>
      <c r="B979" s="2" t="s">
        <v>10326</v>
      </c>
      <c r="C979" s="2" t="n">
        <v>755.523421407</v>
      </c>
      <c r="D979" s="2" t="n">
        <v>5.10890532836831</v>
      </c>
      <c r="E979" s="2" t="s">
        <v>10327</v>
      </c>
      <c r="F979" s="2" t="s">
        <v>86</v>
      </c>
      <c r="G979" s="2" t="s">
        <v>10328</v>
      </c>
      <c r="H979" s="2" t="s">
        <v>10329</v>
      </c>
      <c r="I979" s="2" t="s">
        <v>10330</v>
      </c>
      <c r="J979" s="2" t="s">
        <v>29</v>
      </c>
      <c r="K979" s="2" t="s">
        <v>29</v>
      </c>
      <c r="L979" s="2" t="s">
        <v>29</v>
      </c>
      <c r="M979" s="2" t="s">
        <v>29</v>
      </c>
      <c r="N979" s="2" t="s">
        <v>10331</v>
      </c>
      <c r="O979" s="2" t="s">
        <v>29</v>
      </c>
      <c r="P979" s="2" t="s">
        <v>10332</v>
      </c>
      <c r="Q979" s="2" t="s">
        <v>10333</v>
      </c>
      <c r="R979" s="2" t="s">
        <v>794</v>
      </c>
      <c r="S979" s="2" t="s">
        <v>2600</v>
      </c>
      <c r="T979" s="2" t="s">
        <v>8840</v>
      </c>
      <c r="U979" s="2" t="s">
        <v>29</v>
      </c>
      <c r="V979" s="2" t="n">
        <v>1</v>
      </c>
    </row>
    <row r="980">
      <c r="A980" s="2" t="n">
        <v>979</v>
      </c>
      <c r="B980" s="2" t="s">
        <v>10334</v>
      </c>
      <c r="C980" s="2" t="n">
        <v>760.505342303</v>
      </c>
      <c r="D980" s="2" t="n">
        <v>8.68373337090542</v>
      </c>
      <c r="E980" s="2" t="s">
        <v>10335</v>
      </c>
      <c r="F980" s="2" t="s">
        <v>86</v>
      </c>
      <c r="G980" s="2" t="s">
        <v>10336</v>
      </c>
      <c r="H980" s="2" t="s">
        <v>10337</v>
      </c>
      <c r="I980" s="2" t="s">
        <v>10338</v>
      </c>
      <c r="J980" s="2" t="s">
        <v>10339</v>
      </c>
      <c r="K980" s="2" t="s">
        <v>29</v>
      </c>
      <c r="L980" s="2" t="s">
        <v>9434</v>
      </c>
      <c r="M980" s="2" t="s">
        <v>10340</v>
      </c>
      <c r="N980" s="2" t="s">
        <v>10341</v>
      </c>
      <c r="O980" s="2" t="s">
        <v>29</v>
      </c>
      <c r="P980" s="2" t="s">
        <v>10342</v>
      </c>
      <c r="Q980" s="2" t="s">
        <v>10343</v>
      </c>
      <c r="R980" s="2" t="s">
        <v>794</v>
      </c>
      <c r="S980" s="2" t="s">
        <v>7122</v>
      </c>
      <c r="T980" s="2" t="s">
        <v>8042</v>
      </c>
      <c r="U980" s="2" t="s">
        <v>101</v>
      </c>
      <c r="V980" s="2" t="n">
        <v>1</v>
      </c>
    </row>
    <row r="981">
      <c r="A981" s="2" t="n">
        <v>980</v>
      </c>
      <c r="B981" s="2" t="s">
        <v>10344</v>
      </c>
      <c r="C981" s="2" t="n">
        <v>761.497600588</v>
      </c>
      <c r="D981" s="2" t="n">
        <v>8.82046005407635</v>
      </c>
      <c r="E981" s="2" t="s">
        <v>10345</v>
      </c>
      <c r="F981" s="2" t="s">
        <v>86</v>
      </c>
      <c r="G981" s="2" t="s">
        <v>10346</v>
      </c>
      <c r="H981" s="2" t="s">
        <v>10347</v>
      </c>
      <c r="I981" s="2" t="s">
        <v>10348</v>
      </c>
      <c r="J981" s="2" t="s">
        <v>10349</v>
      </c>
      <c r="K981" s="2" t="s">
        <v>29</v>
      </c>
      <c r="L981" s="2" t="s">
        <v>29</v>
      </c>
      <c r="M981" s="2" t="s">
        <v>29</v>
      </c>
      <c r="N981" s="2" t="s">
        <v>10350</v>
      </c>
      <c r="O981" s="2" t="s">
        <v>29</v>
      </c>
      <c r="P981" s="2" t="s">
        <v>10351</v>
      </c>
      <c r="Q981" s="2" t="s">
        <v>10352</v>
      </c>
      <c r="R981" s="2" t="s">
        <v>794</v>
      </c>
      <c r="S981" s="2" t="s">
        <v>2600</v>
      </c>
      <c r="T981" s="2" t="s">
        <v>10353</v>
      </c>
      <c r="U981" s="2" t="s">
        <v>29</v>
      </c>
      <c r="V981" s="2" t="n">
        <v>1</v>
      </c>
    </row>
    <row r="982">
      <c r="A982" s="2" t="n">
        <v>981</v>
      </c>
      <c r="B982" s="2" t="s">
        <v>10354</v>
      </c>
      <c r="C982" s="2" t="n">
        <v>762.520992367</v>
      </c>
      <c r="D982" s="2" t="n">
        <v>9.10871342991619</v>
      </c>
      <c r="E982" s="2" t="s">
        <v>10355</v>
      </c>
      <c r="F982" s="2" t="s">
        <v>86</v>
      </c>
      <c r="G982" s="2" t="s">
        <v>10356</v>
      </c>
      <c r="H982" s="2" t="s">
        <v>10357</v>
      </c>
      <c r="I982" s="2" t="s">
        <v>10358</v>
      </c>
      <c r="J982" s="2" t="s">
        <v>10359</v>
      </c>
      <c r="K982" s="2" t="s">
        <v>29</v>
      </c>
      <c r="L982" s="2" t="s">
        <v>9434</v>
      </c>
      <c r="M982" s="2" t="s">
        <v>10360</v>
      </c>
      <c r="N982" s="2" t="s">
        <v>10361</v>
      </c>
      <c r="O982" s="2" t="s">
        <v>29</v>
      </c>
      <c r="P982" s="2" t="s">
        <v>10362</v>
      </c>
      <c r="Q982" s="2" t="s">
        <v>10363</v>
      </c>
      <c r="R982" s="2" t="s">
        <v>794</v>
      </c>
      <c r="S982" s="2" t="s">
        <v>7122</v>
      </c>
      <c r="T982" s="2" t="s">
        <v>8042</v>
      </c>
      <c r="U982" s="2" t="s">
        <v>56</v>
      </c>
      <c r="V982" s="2" t="n">
        <v>1</v>
      </c>
    </row>
    <row r="983">
      <c r="A983" s="2" t="n">
        <v>982</v>
      </c>
      <c r="B983" s="2" t="s">
        <v>10364</v>
      </c>
      <c r="C983" s="2" t="n">
        <v>763.21264726</v>
      </c>
      <c r="D983" s="2" t="n">
        <v>1.5989279478112</v>
      </c>
      <c r="E983" s="2" t="s">
        <v>10365</v>
      </c>
      <c r="F983" s="2" t="s">
        <v>683</v>
      </c>
      <c r="G983" s="2" t="s">
        <v>10366</v>
      </c>
      <c r="H983" s="2" t="s">
        <v>10367</v>
      </c>
      <c r="I983" s="2" t="s">
        <v>10368</v>
      </c>
      <c r="J983" s="2" t="s">
        <v>29</v>
      </c>
      <c r="K983" s="2" t="s">
        <v>29</v>
      </c>
      <c r="L983" s="2" t="s">
        <v>29</v>
      </c>
      <c r="M983" s="2" t="s">
        <v>29</v>
      </c>
      <c r="N983" s="2" t="s">
        <v>10369</v>
      </c>
      <c r="O983" s="2" t="s">
        <v>29</v>
      </c>
      <c r="P983" s="2" t="s">
        <v>10370</v>
      </c>
      <c r="Q983" s="2" t="s">
        <v>10371</v>
      </c>
      <c r="R983" s="2" t="s">
        <v>114</v>
      </c>
      <c r="S983" s="2" t="s">
        <v>2325</v>
      </c>
      <c r="T983" s="2" t="s">
        <v>10372</v>
      </c>
      <c r="U983" s="2" t="s">
        <v>29</v>
      </c>
      <c r="V983" s="2" t="n">
        <v>1</v>
      </c>
    </row>
    <row r="984">
      <c r="A984" s="2" t="n">
        <v>983</v>
      </c>
      <c r="B984" s="2" t="s">
        <v>10373</v>
      </c>
      <c r="C984" s="2" t="n">
        <v>764.378213724</v>
      </c>
      <c r="D984" s="2" t="n">
        <v>6.33200609620377</v>
      </c>
      <c r="E984" s="2" t="s">
        <v>10374</v>
      </c>
      <c r="F984" s="2" t="s">
        <v>86</v>
      </c>
      <c r="G984" s="2" t="s">
        <v>10375</v>
      </c>
      <c r="H984" s="2" t="s">
        <v>10376</v>
      </c>
      <c r="I984" s="2" t="s">
        <v>10377</v>
      </c>
      <c r="J984" s="2" t="s">
        <v>29</v>
      </c>
      <c r="K984" s="2" t="s">
        <v>29</v>
      </c>
      <c r="L984" s="2" t="s">
        <v>29</v>
      </c>
      <c r="M984" s="2" t="s">
        <v>29</v>
      </c>
      <c r="N984" s="2" t="s">
        <v>10378</v>
      </c>
      <c r="O984" s="2" t="s">
        <v>29</v>
      </c>
      <c r="P984" s="2" t="s">
        <v>10379</v>
      </c>
      <c r="Q984" s="2" t="s">
        <v>10380</v>
      </c>
      <c r="R984" s="2" t="s">
        <v>114</v>
      </c>
      <c r="S984" s="2" t="s">
        <v>10381</v>
      </c>
      <c r="T984" s="2" t="s">
        <v>215</v>
      </c>
      <c r="U984" s="2" t="s">
        <v>29</v>
      </c>
      <c r="V984" s="2" t="n">
        <v>1</v>
      </c>
    </row>
    <row r="985">
      <c r="A985" s="2" t="n">
        <v>984</v>
      </c>
      <c r="B985" s="2" t="s">
        <v>10382</v>
      </c>
      <c r="C985" s="2" t="n">
        <v>764.523578925</v>
      </c>
      <c r="D985" s="2" t="n">
        <v>2.88514806965752</v>
      </c>
      <c r="E985" s="2" t="s">
        <v>10383</v>
      </c>
      <c r="F985" s="2" t="s">
        <v>24</v>
      </c>
      <c r="G985" s="2" t="s">
        <v>10384</v>
      </c>
      <c r="H985" s="2" t="s">
        <v>10385</v>
      </c>
      <c r="I985" s="2" t="s">
        <v>10386</v>
      </c>
      <c r="J985" s="2" t="s">
        <v>10387</v>
      </c>
      <c r="K985" s="2" t="s">
        <v>10388</v>
      </c>
      <c r="L985" s="2" t="s">
        <v>9831</v>
      </c>
      <c r="M985" s="2" t="s">
        <v>29</v>
      </c>
      <c r="N985" s="2" t="s">
        <v>10389</v>
      </c>
      <c r="O985" s="2" t="s">
        <v>29</v>
      </c>
      <c r="P985" s="2" t="s">
        <v>10390</v>
      </c>
      <c r="Q985" s="2" t="s">
        <v>10391</v>
      </c>
      <c r="R985" s="2" t="s">
        <v>794</v>
      </c>
      <c r="S985" s="2" t="s">
        <v>7122</v>
      </c>
      <c r="T985" s="2" t="s">
        <v>8460</v>
      </c>
      <c r="U985" s="2" t="s">
        <v>101</v>
      </c>
      <c r="V985" s="2" t="n">
        <v>1</v>
      </c>
    </row>
    <row r="986">
      <c r="A986" s="2" t="n">
        <v>985</v>
      </c>
      <c r="B986" s="2" t="s">
        <v>10392</v>
      </c>
      <c r="C986" s="2" t="n">
        <v>765.13095103</v>
      </c>
      <c r="D986" s="2" t="n">
        <v>0.549219731428268</v>
      </c>
      <c r="E986" s="2" t="s">
        <v>10393</v>
      </c>
      <c r="F986" s="2" t="s">
        <v>683</v>
      </c>
      <c r="G986" s="2" t="s">
        <v>10394</v>
      </c>
      <c r="H986" s="2" t="s">
        <v>10395</v>
      </c>
      <c r="I986" s="2" t="s">
        <v>10396</v>
      </c>
      <c r="J986" s="2" t="s">
        <v>10397</v>
      </c>
      <c r="K986" s="2" t="s">
        <v>29</v>
      </c>
      <c r="L986" s="2" t="s">
        <v>10398</v>
      </c>
      <c r="M986" s="2" t="s">
        <v>10399</v>
      </c>
      <c r="N986" s="2" t="s">
        <v>10400</v>
      </c>
      <c r="O986" s="2" t="s">
        <v>10401</v>
      </c>
      <c r="P986" s="2" t="s">
        <v>10402</v>
      </c>
      <c r="Q986" s="2" t="s">
        <v>10403</v>
      </c>
      <c r="R986" s="2" t="s">
        <v>114</v>
      </c>
      <c r="S986" s="2" t="s">
        <v>936</v>
      </c>
      <c r="T986" s="2" t="s">
        <v>7289</v>
      </c>
      <c r="U986" s="2" t="s">
        <v>101</v>
      </c>
      <c r="V986" s="2" t="n">
        <v>1</v>
      </c>
    </row>
    <row r="987">
      <c r="A987" s="2" t="n">
        <v>986</v>
      </c>
      <c r="B987" s="2" t="s">
        <v>10404</v>
      </c>
      <c r="C987" s="2" t="n">
        <v>765.382865963</v>
      </c>
      <c r="D987" s="2" t="n">
        <v>6.6372215641103</v>
      </c>
      <c r="E987" s="2" t="s">
        <v>10405</v>
      </c>
      <c r="F987" s="2" t="s">
        <v>24</v>
      </c>
      <c r="G987" s="2" t="s">
        <v>10406</v>
      </c>
      <c r="H987" s="2" t="s">
        <v>10407</v>
      </c>
      <c r="I987" s="2" t="s">
        <v>10408</v>
      </c>
      <c r="J987" s="2" t="s">
        <v>29</v>
      </c>
      <c r="K987" s="2" t="s">
        <v>29</v>
      </c>
      <c r="L987" s="2" t="s">
        <v>29</v>
      </c>
      <c r="M987" s="2" t="s">
        <v>29</v>
      </c>
      <c r="N987" s="2" t="s">
        <v>29</v>
      </c>
      <c r="O987" s="2" t="s">
        <v>29</v>
      </c>
      <c r="P987" s="2" t="s">
        <v>10409</v>
      </c>
      <c r="Q987" s="2" t="s">
        <v>10410</v>
      </c>
      <c r="R987" s="2" t="s">
        <v>36</v>
      </c>
      <c r="S987" s="2" t="s">
        <v>7927</v>
      </c>
      <c r="T987" s="2" t="s">
        <v>7928</v>
      </c>
      <c r="U987" s="2" t="s">
        <v>29</v>
      </c>
      <c r="V987" s="2" t="n">
        <v>1</v>
      </c>
    </row>
    <row r="988">
      <c r="A988" s="2" t="n">
        <v>987</v>
      </c>
      <c r="B988" s="2" t="s">
        <v>10411</v>
      </c>
      <c r="C988" s="2" t="n">
        <v>766.539228989</v>
      </c>
      <c r="D988" s="2" t="n">
        <v>6.01108131891057</v>
      </c>
      <c r="E988" s="2" t="s">
        <v>10412</v>
      </c>
      <c r="F988" s="2" t="s">
        <v>24</v>
      </c>
      <c r="G988" s="2" t="s">
        <v>10413</v>
      </c>
      <c r="H988" s="2" t="s">
        <v>10414</v>
      </c>
      <c r="I988" s="2" t="s">
        <v>10415</v>
      </c>
      <c r="J988" s="2" t="s">
        <v>10416</v>
      </c>
      <c r="K988" s="2" t="s">
        <v>10417</v>
      </c>
      <c r="L988" s="2" t="s">
        <v>9831</v>
      </c>
      <c r="M988" s="2" t="s">
        <v>10418</v>
      </c>
      <c r="N988" s="2" t="s">
        <v>10419</v>
      </c>
      <c r="O988" s="2" t="s">
        <v>29</v>
      </c>
      <c r="P988" s="2" t="s">
        <v>10420</v>
      </c>
      <c r="Q988" s="2" t="s">
        <v>10421</v>
      </c>
      <c r="R988" s="2" t="s">
        <v>794</v>
      </c>
      <c r="S988" s="2" t="s">
        <v>7122</v>
      </c>
      <c r="T988" s="2" t="s">
        <v>8460</v>
      </c>
      <c r="U988" s="2" t="s">
        <v>101</v>
      </c>
      <c r="V988" s="2" t="n">
        <v>1</v>
      </c>
    </row>
    <row r="989">
      <c r="A989" s="2" t="n">
        <v>988</v>
      </c>
      <c r="B989" s="2" t="s">
        <v>10422</v>
      </c>
      <c r="C989" s="2" t="n">
        <v>767.547480399</v>
      </c>
      <c r="D989" s="2" t="n">
        <v>4.76792667715152</v>
      </c>
      <c r="E989" s="2" t="s">
        <v>10423</v>
      </c>
      <c r="F989" s="2" t="s">
        <v>218</v>
      </c>
      <c r="G989" s="2" t="s">
        <v>10424</v>
      </c>
      <c r="H989" s="2" t="s">
        <v>10425</v>
      </c>
      <c r="I989" s="2" t="s">
        <v>10426</v>
      </c>
      <c r="J989" s="2" t="s">
        <v>10427</v>
      </c>
      <c r="K989" s="2" t="s">
        <v>10428</v>
      </c>
      <c r="L989" s="2" t="s">
        <v>29</v>
      </c>
      <c r="M989" s="2" t="s">
        <v>10429</v>
      </c>
      <c r="N989" s="2" t="s">
        <v>10430</v>
      </c>
      <c r="O989" s="2" t="s">
        <v>10431</v>
      </c>
      <c r="P989" s="2" t="s">
        <v>10432</v>
      </c>
      <c r="Q989" s="2" t="s">
        <v>10433</v>
      </c>
      <c r="R989" s="2" t="s">
        <v>794</v>
      </c>
      <c r="S989" s="2" t="s">
        <v>7781</v>
      </c>
      <c r="T989" s="2" t="s">
        <v>7782</v>
      </c>
      <c r="U989" s="2" t="s">
        <v>39</v>
      </c>
      <c r="V989" s="2" t="n">
        <v>1</v>
      </c>
    </row>
    <row r="990">
      <c r="A990" s="2" t="n">
        <v>989</v>
      </c>
      <c r="B990" s="2" t="s">
        <v>10434</v>
      </c>
      <c r="C990" s="2" t="n">
        <v>769.322400734</v>
      </c>
      <c r="D990" s="2" t="n">
        <v>0.574195438116199</v>
      </c>
      <c r="E990" s="2" t="s">
        <v>10435</v>
      </c>
      <c r="F990" s="2" t="s">
        <v>161</v>
      </c>
      <c r="G990" s="2" t="s">
        <v>10436</v>
      </c>
      <c r="H990" s="2" t="s">
        <v>10437</v>
      </c>
      <c r="I990" s="2" t="s">
        <v>10438</v>
      </c>
      <c r="J990" s="2" t="s">
        <v>29</v>
      </c>
      <c r="K990" s="2" t="s">
        <v>29</v>
      </c>
      <c r="L990" s="2" t="s">
        <v>29</v>
      </c>
      <c r="M990" s="2" t="s">
        <v>29</v>
      </c>
      <c r="N990" s="2" t="s">
        <v>10439</v>
      </c>
      <c r="O990" s="2" t="s">
        <v>29</v>
      </c>
      <c r="P990" s="2" t="s">
        <v>10440</v>
      </c>
      <c r="Q990" s="2" t="s">
        <v>10441</v>
      </c>
      <c r="R990" s="2" t="s">
        <v>794</v>
      </c>
      <c r="S990" s="2" t="s">
        <v>2971</v>
      </c>
      <c r="T990" s="2" t="s">
        <v>6693</v>
      </c>
      <c r="U990" s="2" t="s">
        <v>29</v>
      </c>
      <c r="V990" s="2" t="n">
        <v>1</v>
      </c>
    </row>
    <row r="991">
      <c r="A991" s="2" t="n">
        <v>990</v>
      </c>
      <c r="B991" s="2" t="s">
        <v>10442</v>
      </c>
      <c r="C991" s="2" t="n">
        <v>769.563129974</v>
      </c>
      <c r="D991" s="2" t="n">
        <v>0.237736916275911</v>
      </c>
      <c r="E991" s="2" t="s">
        <v>10443</v>
      </c>
      <c r="F991" s="2" t="s">
        <v>218</v>
      </c>
      <c r="G991" s="2" t="s">
        <v>10444</v>
      </c>
      <c r="H991" s="2" t="s">
        <v>10445</v>
      </c>
      <c r="I991" s="2" t="s">
        <v>10446</v>
      </c>
      <c r="J991" s="2" t="s">
        <v>10447</v>
      </c>
      <c r="K991" s="2" t="s">
        <v>10448</v>
      </c>
      <c r="L991" s="2" t="s">
        <v>9017</v>
      </c>
      <c r="M991" s="2" t="s">
        <v>10449</v>
      </c>
      <c r="N991" s="2" t="s">
        <v>10450</v>
      </c>
      <c r="O991" s="2" t="s">
        <v>29</v>
      </c>
      <c r="P991" s="2" t="s">
        <v>10451</v>
      </c>
      <c r="Q991" s="2" t="s">
        <v>10452</v>
      </c>
      <c r="R991" s="2" t="s">
        <v>794</v>
      </c>
      <c r="S991" s="2" t="s">
        <v>7781</v>
      </c>
      <c r="T991" s="2" t="s">
        <v>7782</v>
      </c>
      <c r="U991" s="2" t="s">
        <v>39</v>
      </c>
      <c r="V991" s="2" t="n">
        <v>1</v>
      </c>
    </row>
    <row r="992">
      <c r="A992" s="2" t="n">
        <v>991</v>
      </c>
      <c r="B992" s="2" t="s">
        <v>10453</v>
      </c>
      <c r="C992" s="2" t="n">
        <v>775.532549895</v>
      </c>
      <c r="D992" s="2" t="n">
        <v>5.51869452272726</v>
      </c>
      <c r="E992" s="2" t="s">
        <v>10454</v>
      </c>
      <c r="F992" s="2" t="s">
        <v>24</v>
      </c>
      <c r="G992" s="2" t="s">
        <v>10455</v>
      </c>
      <c r="H992" s="2" t="s">
        <v>10456</v>
      </c>
      <c r="I992" s="2" t="s">
        <v>10457</v>
      </c>
      <c r="J992" s="2" t="s">
        <v>29</v>
      </c>
      <c r="K992" s="2" t="s">
        <v>29</v>
      </c>
      <c r="L992" s="2" t="s">
        <v>29</v>
      </c>
      <c r="M992" s="2" t="s">
        <v>29</v>
      </c>
      <c r="N992" s="2" t="s">
        <v>10458</v>
      </c>
      <c r="O992" s="2" t="s">
        <v>29</v>
      </c>
      <c r="P992" s="2" t="s">
        <v>10459</v>
      </c>
      <c r="Q992" s="2" t="s">
        <v>10460</v>
      </c>
      <c r="R992" s="2" t="s">
        <v>129</v>
      </c>
      <c r="S992" s="2" t="s">
        <v>130</v>
      </c>
      <c r="T992" s="2" t="s">
        <v>1681</v>
      </c>
      <c r="U992" s="2" t="s">
        <v>29</v>
      </c>
      <c r="V992" s="2" t="n">
        <v>1</v>
      </c>
    </row>
    <row r="993">
      <c r="A993" s="2" t="n">
        <v>992</v>
      </c>
      <c r="B993" s="2" t="s">
        <v>10461</v>
      </c>
      <c r="C993" s="2" t="n">
        <v>776.544703989</v>
      </c>
      <c r="D993" s="2" t="n">
        <v>1.97321691719969</v>
      </c>
      <c r="E993" s="2" t="s">
        <v>10462</v>
      </c>
      <c r="F993" s="2" t="s">
        <v>205</v>
      </c>
      <c r="G993" s="2" t="s">
        <v>10463</v>
      </c>
      <c r="H993" s="2" t="s">
        <v>10464</v>
      </c>
      <c r="I993" s="2" t="s">
        <v>10465</v>
      </c>
      <c r="J993" s="2" t="s">
        <v>10466</v>
      </c>
      <c r="K993" s="2" t="s">
        <v>10467</v>
      </c>
      <c r="L993" s="2" t="s">
        <v>10033</v>
      </c>
      <c r="M993" s="2" t="s">
        <v>10468</v>
      </c>
      <c r="N993" s="2" t="s">
        <v>10469</v>
      </c>
      <c r="O993" s="2" t="s">
        <v>91</v>
      </c>
      <c r="P993" s="2" t="s">
        <v>10470</v>
      </c>
      <c r="Q993" s="2" t="s">
        <v>10471</v>
      </c>
      <c r="R993" s="2" t="s">
        <v>412</v>
      </c>
      <c r="S993" s="2" t="s">
        <v>10037</v>
      </c>
      <c r="T993" s="2" t="s">
        <v>10038</v>
      </c>
      <c r="U993" s="2" t="s">
        <v>56</v>
      </c>
      <c r="V993" s="2" t="n">
        <v>2</v>
      </c>
    </row>
    <row r="994">
      <c r="A994" s="2" t="n">
        <v>993</v>
      </c>
      <c r="B994" s="2" t="s">
        <v>10472</v>
      </c>
      <c r="C994" s="2" t="n">
        <v>779.546743408</v>
      </c>
      <c r="D994" s="2" t="n">
        <v>2.53963129110326</v>
      </c>
      <c r="E994" s="2" t="s">
        <v>10473</v>
      </c>
      <c r="F994" s="2" t="s">
        <v>683</v>
      </c>
      <c r="G994" s="2" t="s">
        <v>10474</v>
      </c>
      <c r="H994" s="2" t="s">
        <v>10475</v>
      </c>
      <c r="I994" s="2" t="s">
        <v>10476</v>
      </c>
      <c r="J994" s="2" t="s">
        <v>10477</v>
      </c>
      <c r="K994" s="2" t="s">
        <v>29</v>
      </c>
      <c r="L994" s="2" t="s">
        <v>10478</v>
      </c>
      <c r="M994" s="2" t="s">
        <v>10479</v>
      </c>
      <c r="N994" s="2" t="s">
        <v>10480</v>
      </c>
      <c r="O994" s="2" t="s">
        <v>10481</v>
      </c>
      <c r="P994" s="2" t="s">
        <v>10482</v>
      </c>
      <c r="Q994" s="2" t="s">
        <v>10483</v>
      </c>
      <c r="R994" s="2" t="s">
        <v>186</v>
      </c>
      <c r="S994" s="2" t="s">
        <v>187</v>
      </c>
      <c r="T994" s="2" t="s">
        <v>3454</v>
      </c>
      <c r="U994" s="2" t="s">
        <v>39</v>
      </c>
      <c r="V994" s="2" t="n">
        <v>1</v>
      </c>
    </row>
    <row r="995">
      <c r="A995" s="2" t="n">
        <v>994</v>
      </c>
      <c r="B995" s="2" t="s">
        <v>10484</v>
      </c>
      <c r="C995" s="2" t="n">
        <v>782.510760053</v>
      </c>
      <c r="D995" s="2" t="n">
        <v>6.7926633627464</v>
      </c>
      <c r="E995" s="2" t="s">
        <v>10485</v>
      </c>
      <c r="F995" s="2" t="s">
        <v>218</v>
      </c>
      <c r="G995" s="2" t="s">
        <v>10486</v>
      </c>
      <c r="H995" s="2" t="s">
        <v>10487</v>
      </c>
      <c r="I995" s="2" t="s">
        <v>10488</v>
      </c>
      <c r="J995" s="2" t="s">
        <v>10489</v>
      </c>
      <c r="K995" s="2" t="s">
        <v>10490</v>
      </c>
      <c r="L995" s="2" t="s">
        <v>9831</v>
      </c>
      <c r="M995" s="2" t="s">
        <v>29</v>
      </c>
      <c r="N995" s="2" t="s">
        <v>10491</v>
      </c>
      <c r="O995" s="2" t="s">
        <v>29</v>
      </c>
      <c r="P995" s="2" t="s">
        <v>10492</v>
      </c>
      <c r="Q995" s="2" t="s">
        <v>10493</v>
      </c>
      <c r="R995" s="2" t="s">
        <v>794</v>
      </c>
      <c r="S995" s="2" t="s">
        <v>7122</v>
      </c>
      <c r="T995" s="2" t="s">
        <v>8460</v>
      </c>
      <c r="U995" s="2" t="s">
        <v>39</v>
      </c>
      <c r="V995" s="2" t="n">
        <v>1</v>
      </c>
    </row>
    <row r="996">
      <c r="A996" s="2" t="n">
        <v>995</v>
      </c>
      <c r="B996" s="2" t="s">
        <v>10494</v>
      </c>
      <c r="C996" s="2" t="n">
        <v>790.539228989</v>
      </c>
      <c r="D996" s="2" t="n">
        <v>5.35807914342677</v>
      </c>
      <c r="E996" s="2" t="s">
        <v>10495</v>
      </c>
      <c r="F996" s="2" t="s">
        <v>24</v>
      </c>
      <c r="G996" s="2" t="s">
        <v>10496</v>
      </c>
      <c r="H996" s="2" t="s">
        <v>10497</v>
      </c>
      <c r="I996" s="2" t="s">
        <v>10498</v>
      </c>
      <c r="J996" s="2" t="s">
        <v>10499</v>
      </c>
      <c r="K996" s="2" t="s">
        <v>10500</v>
      </c>
      <c r="L996" s="2" t="s">
        <v>9831</v>
      </c>
      <c r="M996" s="2" t="s">
        <v>29</v>
      </c>
      <c r="N996" s="2" t="s">
        <v>10501</v>
      </c>
      <c r="O996" s="2" t="s">
        <v>10502</v>
      </c>
      <c r="P996" s="2" t="s">
        <v>10503</v>
      </c>
      <c r="Q996" s="2" t="s">
        <v>10504</v>
      </c>
      <c r="R996" s="2" t="s">
        <v>794</v>
      </c>
      <c r="S996" s="2" t="s">
        <v>7122</v>
      </c>
      <c r="T996" s="2" t="s">
        <v>8460</v>
      </c>
      <c r="U996" s="2" t="s">
        <v>39</v>
      </c>
      <c r="V996" s="2" t="n">
        <v>1</v>
      </c>
    </row>
    <row r="997">
      <c r="A997" s="2" t="n">
        <v>996</v>
      </c>
      <c r="B997" s="2" t="s">
        <v>10505</v>
      </c>
      <c r="C997" s="2" t="n">
        <v>791.173779454</v>
      </c>
      <c r="D997" s="2" t="n">
        <v>0.881645073386383</v>
      </c>
      <c r="E997" s="2" t="s">
        <v>10506</v>
      </c>
      <c r="F997" s="2" t="s">
        <v>161</v>
      </c>
      <c r="G997" s="2" t="s">
        <v>10507</v>
      </c>
      <c r="H997" s="2" t="s">
        <v>10508</v>
      </c>
      <c r="I997" s="2" t="s">
        <v>10509</v>
      </c>
      <c r="J997" s="2" t="s">
        <v>29</v>
      </c>
      <c r="K997" s="2" t="s">
        <v>29</v>
      </c>
      <c r="L997" s="2" t="s">
        <v>29</v>
      </c>
      <c r="M997" s="2" t="s">
        <v>10510</v>
      </c>
      <c r="N997" s="2" t="s">
        <v>10511</v>
      </c>
      <c r="O997" s="2" t="s">
        <v>29</v>
      </c>
      <c r="P997" s="2" t="s">
        <v>10512</v>
      </c>
      <c r="Q997" s="2" t="s">
        <v>10513</v>
      </c>
      <c r="R997" s="2" t="s">
        <v>36</v>
      </c>
      <c r="S997" s="2" t="s">
        <v>37</v>
      </c>
      <c r="T997" s="2" t="s">
        <v>10514</v>
      </c>
      <c r="U997" s="2" t="s">
        <v>29</v>
      </c>
      <c r="V997" s="2" t="n">
        <v>1</v>
      </c>
    </row>
    <row r="998">
      <c r="A998" s="2" t="n">
        <v>997</v>
      </c>
      <c r="B998" s="2" t="s">
        <v>10515</v>
      </c>
      <c r="C998" s="2" t="n">
        <v>792.539619094</v>
      </c>
      <c r="D998" s="2" t="n">
        <v>4.32270139392632</v>
      </c>
      <c r="E998" s="2" t="s">
        <v>10516</v>
      </c>
      <c r="F998" s="2" t="s">
        <v>205</v>
      </c>
      <c r="G998" s="2" t="s">
        <v>10517</v>
      </c>
      <c r="H998" s="2" t="s">
        <v>10518</v>
      </c>
      <c r="I998" s="2" t="s">
        <v>10519</v>
      </c>
      <c r="J998" s="2" t="s">
        <v>29</v>
      </c>
      <c r="K998" s="2" t="s">
        <v>29</v>
      </c>
      <c r="L998" s="2" t="s">
        <v>29</v>
      </c>
      <c r="M998" s="2" t="s">
        <v>29</v>
      </c>
      <c r="N998" s="2" t="s">
        <v>29</v>
      </c>
      <c r="O998" s="2" t="s">
        <v>29</v>
      </c>
      <c r="P998" s="2" t="s">
        <v>10520</v>
      </c>
      <c r="Q998" s="2" t="s">
        <v>10521</v>
      </c>
      <c r="R998" s="2" t="s">
        <v>794</v>
      </c>
      <c r="S998" s="2" t="s">
        <v>7122</v>
      </c>
      <c r="T998" s="2" t="s">
        <v>8876</v>
      </c>
      <c r="U998" s="2" t="s">
        <v>29</v>
      </c>
      <c r="V998" s="2" t="n">
        <v>1</v>
      </c>
    </row>
    <row r="999">
      <c r="A999" s="2" t="n">
        <v>998</v>
      </c>
      <c r="B999" s="2" t="s">
        <v>10522</v>
      </c>
      <c r="C999" s="2" t="n">
        <v>794.547145559</v>
      </c>
      <c r="D999" s="2" t="n">
        <v>3.95751246648578</v>
      </c>
      <c r="E999" s="2" t="s">
        <v>10523</v>
      </c>
      <c r="F999" s="2" t="s">
        <v>218</v>
      </c>
      <c r="G999" s="2" t="s">
        <v>10524</v>
      </c>
      <c r="H999" s="2" t="s">
        <v>10525</v>
      </c>
      <c r="I999" s="2" t="s">
        <v>10526</v>
      </c>
      <c r="J999" s="2" t="s">
        <v>10527</v>
      </c>
      <c r="K999" s="2" t="s">
        <v>29</v>
      </c>
      <c r="L999" s="2" t="s">
        <v>9434</v>
      </c>
      <c r="M999" s="2" t="s">
        <v>29</v>
      </c>
      <c r="N999" s="2" t="s">
        <v>10528</v>
      </c>
      <c r="O999" s="2" t="s">
        <v>29</v>
      </c>
      <c r="P999" s="2" t="s">
        <v>10529</v>
      </c>
      <c r="Q999" s="2" t="s">
        <v>10530</v>
      </c>
      <c r="R999" s="2" t="s">
        <v>794</v>
      </c>
      <c r="S999" s="2" t="s">
        <v>7122</v>
      </c>
      <c r="T999" s="2" t="s">
        <v>8042</v>
      </c>
      <c r="U999" s="2" t="s">
        <v>101</v>
      </c>
      <c r="V999" s="2" t="n">
        <v>1</v>
      </c>
    </row>
    <row r="1000">
      <c r="A1000" s="2" t="n">
        <v>999</v>
      </c>
      <c r="B1000" s="2" t="s">
        <v>10531</v>
      </c>
      <c r="C1000" s="2" t="n">
        <v>796.528113989</v>
      </c>
      <c r="D1000" s="2" t="n">
        <v>5.26962281204337</v>
      </c>
      <c r="E1000" s="2" t="s">
        <v>10532</v>
      </c>
      <c r="F1000" s="2" t="s">
        <v>161</v>
      </c>
      <c r="G1000" s="2" t="s">
        <v>10533</v>
      </c>
      <c r="H1000" s="2" t="s">
        <v>10534</v>
      </c>
      <c r="I1000" s="2" t="s">
        <v>10535</v>
      </c>
      <c r="J1000" s="2" t="s">
        <v>10536</v>
      </c>
      <c r="K1000" s="2" t="s">
        <v>10537</v>
      </c>
      <c r="L1000" s="2" t="s">
        <v>9434</v>
      </c>
      <c r="M1000" s="2" t="s">
        <v>29</v>
      </c>
      <c r="N1000" s="2" t="s">
        <v>10538</v>
      </c>
      <c r="O1000" s="2" t="s">
        <v>29</v>
      </c>
      <c r="P1000" s="2" t="s">
        <v>10539</v>
      </c>
      <c r="Q1000" s="2" t="s">
        <v>10540</v>
      </c>
      <c r="R1000" s="2" t="s">
        <v>794</v>
      </c>
      <c r="S1000" s="2" t="s">
        <v>7122</v>
      </c>
      <c r="T1000" s="2" t="s">
        <v>8042</v>
      </c>
      <c r="U1000" s="2" t="s">
        <v>56</v>
      </c>
      <c r="V1000" s="2" t="n">
        <v>1</v>
      </c>
    </row>
    <row r="1001">
      <c r="A1001" s="2" t="n">
        <v>1000</v>
      </c>
      <c r="B1001" s="2" t="s">
        <v>10541</v>
      </c>
      <c r="C1001" s="2" t="n">
        <v>797.540982423</v>
      </c>
      <c r="D1001" s="2" t="n">
        <v>6.06683882081579</v>
      </c>
      <c r="E1001" s="2" t="s">
        <v>10542</v>
      </c>
      <c r="F1001" s="2" t="s">
        <v>531</v>
      </c>
      <c r="G1001" s="2" t="s">
        <v>10543</v>
      </c>
      <c r="H1001" s="2" t="s">
        <v>10544</v>
      </c>
      <c r="I1001" s="2" t="s">
        <v>10545</v>
      </c>
      <c r="J1001" s="2" t="s">
        <v>29</v>
      </c>
      <c r="K1001" s="2" t="s">
        <v>29</v>
      </c>
      <c r="L1001" s="2" t="s">
        <v>29</v>
      </c>
      <c r="M1001" s="2" t="s">
        <v>29</v>
      </c>
      <c r="N1001" s="2" t="s">
        <v>29</v>
      </c>
      <c r="O1001" s="2" t="s">
        <v>29</v>
      </c>
      <c r="P1001" s="2" t="s">
        <v>10546</v>
      </c>
      <c r="Q1001" s="2" t="s">
        <v>10547</v>
      </c>
      <c r="R1001" s="2" t="s">
        <v>36</v>
      </c>
      <c r="S1001" s="2" t="s">
        <v>37</v>
      </c>
      <c r="T1001" s="2" t="s">
        <v>69</v>
      </c>
      <c r="U1001" s="2" t="s">
        <v>29</v>
      </c>
      <c r="V1001" s="2" t="n">
        <v>1</v>
      </c>
    </row>
    <row r="1002">
      <c r="A1002" s="2" t="n">
        <v>1001</v>
      </c>
      <c r="B1002" s="2" t="s">
        <v>10548</v>
      </c>
      <c r="C1002" s="2" t="n">
        <v>798.543764053</v>
      </c>
      <c r="D1002" s="2" t="n">
        <v>1.64266834086592</v>
      </c>
      <c r="E1002" s="2" t="s">
        <v>10549</v>
      </c>
      <c r="F1002" s="2" t="s">
        <v>161</v>
      </c>
      <c r="G1002" s="2" t="s">
        <v>10550</v>
      </c>
      <c r="H1002" s="2" t="s">
        <v>10551</v>
      </c>
      <c r="I1002" s="2" t="s">
        <v>10552</v>
      </c>
      <c r="J1002" s="2" t="s">
        <v>10553</v>
      </c>
      <c r="K1002" s="2" t="s">
        <v>10554</v>
      </c>
      <c r="L1002" s="2" t="s">
        <v>9434</v>
      </c>
      <c r="M1002" s="2" t="s">
        <v>29</v>
      </c>
      <c r="N1002" s="2" t="s">
        <v>10555</v>
      </c>
      <c r="O1002" s="2" t="s">
        <v>29</v>
      </c>
      <c r="P1002" s="2" t="s">
        <v>10556</v>
      </c>
      <c r="Q1002" s="2" t="s">
        <v>10557</v>
      </c>
      <c r="R1002" s="2" t="s">
        <v>794</v>
      </c>
      <c r="S1002" s="2" t="s">
        <v>7122</v>
      </c>
      <c r="T1002" s="2" t="s">
        <v>8042</v>
      </c>
      <c r="U1002" s="2" t="s">
        <v>39</v>
      </c>
      <c r="V1002" s="2" t="n">
        <v>1</v>
      </c>
    </row>
    <row r="1003">
      <c r="A1003" s="2" t="n">
        <v>1002</v>
      </c>
      <c r="B1003" s="2" t="s">
        <v>10558</v>
      </c>
      <c r="C1003" s="2" t="n">
        <v>799.227034022</v>
      </c>
      <c r="D1003" s="2" t="n">
        <v>3.66894753414737</v>
      </c>
      <c r="E1003" s="2" t="s">
        <v>10559</v>
      </c>
      <c r="F1003" s="2" t="s">
        <v>683</v>
      </c>
      <c r="G1003" s="2" t="s">
        <v>10560</v>
      </c>
      <c r="H1003" s="2" t="s">
        <v>10561</v>
      </c>
      <c r="I1003" s="2" t="s">
        <v>10562</v>
      </c>
      <c r="J1003" s="2" t="s">
        <v>10563</v>
      </c>
      <c r="K1003" s="2" t="s">
        <v>29</v>
      </c>
      <c r="L1003" s="2" t="s">
        <v>29</v>
      </c>
      <c r="M1003" s="2" t="s">
        <v>29</v>
      </c>
      <c r="N1003" s="2" t="s">
        <v>10564</v>
      </c>
      <c r="O1003" s="2" t="s">
        <v>29</v>
      </c>
      <c r="P1003" s="2" t="s">
        <v>10565</v>
      </c>
      <c r="Q1003" s="2" t="s">
        <v>10566</v>
      </c>
      <c r="R1003" s="2" t="s">
        <v>114</v>
      </c>
      <c r="S1003" s="2" t="s">
        <v>994</v>
      </c>
      <c r="T1003" s="2" t="s">
        <v>2801</v>
      </c>
      <c r="U1003" s="2" t="s">
        <v>29</v>
      </c>
      <c r="V1003" s="2" t="n">
        <v>1</v>
      </c>
    </row>
    <row r="1004">
      <c r="A1004" s="2" t="n">
        <v>1003</v>
      </c>
      <c r="B1004" s="2" t="s">
        <v>10567</v>
      </c>
      <c r="C1004" s="2" t="n">
        <v>799.549459324</v>
      </c>
      <c r="D1004" s="2" t="n">
        <v>9.06469457329883</v>
      </c>
      <c r="E1004" s="2" t="s">
        <v>10568</v>
      </c>
      <c r="F1004" s="2" t="s">
        <v>24</v>
      </c>
      <c r="G1004" s="2" t="s">
        <v>10569</v>
      </c>
      <c r="H1004" s="2" t="s">
        <v>10570</v>
      </c>
      <c r="I1004" s="2" t="s">
        <v>10571</v>
      </c>
      <c r="J1004" s="2" t="s">
        <v>10572</v>
      </c>
      <c r="K1004" s="2" t="s">
        <v>29</v>
      </c>
      <c r="L1004" s="2" t="s">
        <v>29</v>
      </c>
      <c r="M1004" s="2" t="s">
        <v>29</v>
      </c>
      <c r="N1004" s="2" t="s">
        <v>10573</v>
      </c>
      <c r="O1004" s="2" t="s">
        <v>29</v>
      </c>
      <c r="P1004" s="2" t="s">
        <v>10574</v>
      </c>
      <c r="Q1004" s="2" t="s">
        <v>10575</v>
      </c>
      <c r="R1004" s="2" t="s">
        <v>794</v>
      </c>
      <c r="S1004" s="2" t="s">
        <v>7122</v>
      </c>
      <c r="T1004" s="2" t="s">
        <v>9951</v>
      </c>
      <c r="U1004" s="2" t="s">
        <v>39</v>
      </c>
      <c r="V1004" s="2" t="n">
        <v>1</v>
      </c>
    </row>
    <row r="1005">
      <c r="A1005" s="2" t="n">
        <v>1004</v>
      </c>
      <c r="B1005" s="2" t="s">
        <v>10576</v>
      </c>
      <c r="C1005" s="2" t="n">
        <v>802.552292495</v>
      </c>
      <c r="D1005" s="2" t="n">
        <v>4.98336426950402</v>
      </c>
      <c r="E1005" s="2" t="s">
        <v>10577</v>
      </c>
      <c r="F1005" s="2" t="s">
        <v>86</v>
      </c>
      <c r="G1005" s="2" t="s">
        <v>10578</v>
      </c>
      <c r="H1005" s="2" t="s">
        <v>10579</v>
      </c>
      <c r="I1005" s="2" t="s">
        <v>10580</v>
      </c>
      <c r="J1005" s="2" t="s">
        <v>10581</v>
      </c>
      <c r="K1005" s="2" t="s">
        <v>29</v>
      </c>
      <c r="L1005" s="2" t="s">
        <v>9831</v>
      </c>
      <c r="M1005" s="2" t="s">
        <v>10582</v>
      </c>
      <c r="N1005" s="2" t="s">
        <v>10583</v>
      </c>
      <c r="O1005" s="2" t="s">
        <v>29</v>
      </c>
      <c r="P1005" s="2" t="s">
        <v>10584</v>
      </c>
      <c r="Q1005" s="2" t="s">
        <v>10585</v>
      </c>
      <c r="R1005" s="2" t="s">
        <v>794</v>
      </c>
      <c r="S1005" s="2" t="s">
        <v>7122</v>
      </c>
      <c r="T1005" s="2" t="s">
        <v>8460</v>
      </c>
      <c r="U1005" s="2" t="s">
        <v>56</v>
      </c>
      <c r="V1005" s="2" t="n">
        <v>1</v>
      </c>
    </row>
    <row r="1006">
      <c r="A1006" s="2" t="n">
        <v>1005</v>
      </c>
      <c r="B1006" s="2" t="s">
        <v>10586</v>
      </c>
      <c r="C1006" s="2" t="n">
        <v>803.546743408</v>
      </c>
      <c r="D1006" s="2" t="n">
        <v>2.88176241404577</v>
      </c>
      <c r="E1006" s="2" t="s">
        <v>10587</v>
      </c>
      <c r="F1006" s="2" t="s">
        <v>683</v>
      </c>
      <c r="G1006" s="2" t="s">
        <v>10588</v>
      </c>
      <c r="H1006" s="2" t="s">
        <v>10589</v>
      </c>
      <c r="I1006" s="2" t="s">
        <v>10590</v>
      </c>
      <c r="J1006" s="2" t="s">
        <v>10591</v>
      </c>
      <c r="K1006" s="2" t="s">
        <v>10592</v>
      </c>
      <c r="L1006" s="2" t="s">
        <v>91</v>
      </c>
      <c r="M1006" s="2" t="s">
        <v>10593</v>
      </c>
      <c r="N1006" s="2" t="s">
        <v>10594</v>
      </c>
      <c r="O1006" s="2" t="s">
        <v>10595</v>
      </c>
      <c r="P1006" s="2" t="s">
        <v>10596</v>
      </c>
      <c r="Q1006" s="2" t="s">
        <v>10597</v>
      </c>
      <c r="R1006" s="2" t="s">
        <v>412</v>
      </c>
      <c r="S1006" s="2" t="s">
        <v>10598</v>
      </c>
      <c r="T1006" s="2" t="s">
        <v>10599</v>
      </c>
      <c r="U1006" s="2" t="s">
        <v>56</v>
      </c>
      <c r="V1006" s="2" t="n">
        <v>2</v>
      </c>
    </row>
    <row r="1007">
      <c r="A1007" s="2" t="n">
        <v>1006</v>
      </c>
      <c r="B1007" s="2" t="s">
        <v>10600</v>
      </c>
      <c r="C1007" s="2" t="n">
        <v>804.531557053</v>
      </c>
      <c r="D1007" s="2" t="n">
        <v>6.33467926394027</v>
      </c>
      <c r="E1007" s="2" t="s">
        <v>10601</v>
      </c>
      <c r="F1007" s="2" t="s">
        <v>86</v>
      </c>
      <c r="G1007" s="2" t="s">
        <v>10602</v>
      </c>
      <c r="H1007" s="2" t="s">
        <v>10603</v>
      </c>
      <c r="I1007" s="2" t="s">
        <v>10604</v>
      </c>
      <c r="J1007" s="2" t="s">
        <v>10605</v>
      </c>
      <c r="K1007" s="2" t="s">
        <v>29</v>
      </c>
      <c r="L1007" s="2" t="s">
        <v>9831</v>
      </c>
      <c r="M1007" s="2" t="s">
        <v>10606</v>
      </c>
      <c r="N1007" s="2" t="s">
        <v>10607</v>
      </c>
      <c r="O1007" s="2" t="s">
        <v>29</v>
      </c>
      <c r="P1007" s="2" t="s">
        <v>10608</v>
      </c>
      <c r="Q1007" s="2" t="s">
        <v>10609</v>
      </c>
      <c r="R1007" s="2" t="s">
        <v>794</v>
      </c>
      <c r="S1007" s="2" t="s">
        <v>7122</v>
      </c>
      <c r="T1007" s="2" t="s">
        <v>8460</v>
      </c>
      <c r="U1007" s="2" t="s">
        <v>39</v>
      </c>
      <c r="V1007" s="2" t="n">
        <v>1</v>
      </c>
    </row>
    <row r="1008">
      <c r="A1008" s="2" t="n">
        <v>1007</v>
      </c>
      <c r="B1008" s="2" t="s">
        <v>10610</v>
      </c>
      <c r="C1008" s="2" t="n">
        <v>805.579500088</v>
      </c>
      <c r="D1008" s="2" t="n">
        <v>3.85407879714775</v>
      </c>
      <c r="E1008" s="2" t="s">
        <v>10611</v>
      </c>
      <c r="F1008" s="2" t="s">
        <v>683</v>
      </c>
      <c r="G1008" s="2" t="s">
        <v>10612</v>
      </c>
      <c r="H1008" s="2" t="s">
        <v>10613</v>
      </c>
      <c r="I1008" s="2" t="s">
        <v>10614</v>
      </c>
      <c r="J1008" s="2" t="s">
        <v>195</v>
      </c>
      <c r="K1008" s="2" t="s">
        <v>195</v>
      </c>
      <c r="L1008" s="2" t="s">
        <v>195</v>
      </c>
      <c r="M1008" s="2" t="s">
        <v>195</v>
      </c>
      <c r="N1008" s="2" t="s">
        <v>195</v>
      </c>
      <c r="O1008" s="2" t="s">
        <v>195</v>
      </c>
      <c r="P1008" s="2" t="s">
        <v>10615</v>
      </c>
      <c r="Q1008" s="2" t="s">
        <v>10616</v>
      </c>
      <c r="R1008" s="2" t="s">
        <v>255</v>
      </c>
      <c r="S1008" s="2" t="s">
        <v>256</v>
      </c>
      <c r="T1008" s="2" t="s">
        <v>668</v>
      </c>
      <c r="U1008" s="2" t="s">
        <v>29</v>
      </c>
      <c r="V1008" s="2" t="n">
        <v>3</v>
      </c>
    </row>
    <row r="1009">
      <c r="A1009" s="2" t="n">
        <v>1008</v>
      </c>
      <c r="B1009" s="2" t="s">
        <v>10617</v>
      </c>
      <c r="C1009" s="2" t="n">
        <v>806.534144094</v>
      </c>
      <c r="D1009" s="2" t="n">
        <v>8.94017131071808</v>
      </c>
      <c r="E1009" s="2" t="s">
        <v>10618</v>
      </c>
      <c r="F1009" s="2" t="s">
        <v>24</v>
      </c>
      <c r="G1009" s="2" t="s">
        <v>10619</v>
      </c>
      <c r="H1009" s="2" t="s">
        <v>10620</v>
      </c>
      <c r="I1009" s="2" t="s">
        <v>10621</v>
      </c>
      <c r="J1009" s="2" t="s">
        <v>10622</v>
      </c>
      <c r="K1009" s="2" t="s">
        <v>10623</v>
      </c>
      <c r="L1009" s="2" t="s">
        <v>29</v>
      </c>
      <c r="M1009" s="2" t="s">
        <v>29</v>
      </c>
      <c r="N1009" s="2" t="s">
        <v>10624</v>
      </c>
      <c r="O1009" s="2" t="s">
        <v>29</v>
      </c>
      <c r="P1009" s="2" t="s">
        <v>10625</v>
      </c>
      <c r="Q1009" s="2" t="s">
        <v>10626</v>
      </c>
      <c r="R1009" s="2" t="s">
        <v>794</v>
      </c>
      <c r="S1009" s="2" t="s">
        <v>7122</v>
      </c>
      <c r="T1009" s="2" t="s">
        <v>8042</v>
      </c>
      <c r="U1009" s="2" t="s">
        <v>29</v>
      </c>
      <c r="V1009" s="2" t="n">
        <v>1</v>
      </c>
    </row>
    <row r="1010">
      <c r="A1010" s="2" t="n">
        <v>1009</v>
      </c>
      <c r="B1010" s="2" t="s">
        <v>10627</v>
      </c>
      <c r="C1010" s="2" t="n">
        <v>807.27391011</v>
      </c>
      <c r="D1010" s="2" t="n">
        <v>6.40054378096272</v>
      </c>
      <c r="E1010" s="2" t="s">
        <v>10628</v>
      </c>
      <c r="F1010" s="2" t="s">
        <v>683</v>
      </c>
      <c r="G1010" s="2" t="s">
        <v>10629</v>
      </c>
      <c r="H1010" s="2" t="s">
        <v>10630</v>
      </c>
      <c r="I1010" s="2" t="s">
        <v>10631</v>
      </c>
      <c r="J1010" s="2" t="s">
        <v>10632</v>
      </c>
      <c r="K1010" s="2" t="s">
        <v>29</v>
      </c>
      <c r="L1010" s="2" t="s">
        <v>29</v>
      </c>
      <c r="M1010" s="2" t="s">
        <v>29</v>
      </c>
      <c r="N1010" s="2" t="s">
        <v>10633</v>
      </c>
      <c r="O1010" s="2" t="s">
        <v>29</v>
      </c>
      <c r="P1010" s="2" t="s">
        <v>10634</v>
      </c>
      <c r="Q1010" s="2" t="s">
        <v>10635</v>
      </c>
      <c r="R1010" s="2" t="s">
        <v>186</v>
      </c>
      <c r="S1010" s="2" t="s">
        <v>3046</v>
      </c>
      <c r="T1010" s="2" t="s">
        <v>215</v>
      </c>
      <c r="U1010" s="2" t="s">
        <v>29</v>
      </c>
      <c r="V1010" s="2" t="n">
        <v>1</v>
      </c>
    </row>
    <row r="1011">
      <c r="A1011" s="2" t="n">
        <v>1010</v>
      </c>
      <c r="B1011" s="2" t="s">
        <v>10636</v>
      </c>
      <c r="C1011" s="2" t="n">
        <v>807.505272524</v>
      </c>
      <c r="D1011" s="2" t="n">
        <v>8.40356982553525</v>
      </c>
      <c r="E1011" s="2" t="s">
        <v>10637</v>
      </c>
      <c r="F1011" s="2" t="s">
        <v>683</v>
      </c>
      <c r="G1011" s="2" t="s">
        <v>10638</v>
      </c>
      <c r="H1011" s="2" t="s">
        <v>10639</v>
      </c>
      <c r="I1011" s="2" t="s">
        <v>10640</v>
      </c>
      <c r="J1011" s="2" t="s">
        <v>10641</v>
      </c>
      <c r="K1011" s="2" t="s">
        <v>10642</v>
      </c>
      <c r="L1011" s="2" t="s">
        <v>10643</v>
      </c>
      <c r="M1011" s="2" t="s">
        <v>10644</v>
      </c>
      <c r="N1011" s="2" t="s">
        <v>10645</v>
      </c>
      <c r="O1011" s="2" t="s">
        <v>10646</v>
      </c>
      <c r="P1011" s="2" t="s">
        <v>10647</v>
      </c>
      <c r="Q1011" s="2" t="s">
        <v>10648</v>
      </c>
      <c r="R1011" s="2" t="s">
        <v>794</v>
      </c>
      <c r="S1011" s="2" t="s">
        <v>2971</v>
      </c>
      <c r="T1011" s="2" t="s">
        <v>6499</v>
      </c>
      <c r="U1011" s="2" t="s">
        <v>56</v>
      </c>
      <c r="V1011" s="2" t="n">
        <v>1</v>
      </c>
    </row>
    <row r="1012">
      <c r="A1012" s="2" t="n">
        <v>1011</v>
      </c>
      <c r="B1012" s="2" t="s">
        <v>10649</v>
      </c>
      <c r="C1012" s="2" t="n">
        <v>808.526472158</v>
      </c>
      <c r="D1012" s="2" t="n">
        <v>0.537869243284877</v>
      </c>
      <c r="E1012" s="2" t="s">
        <v>10650</v>
      </c>
      <c r="F1012" s="2" t="s">
        <v>86</v>
      </c>
      <c r="G1012" s="2" t="s">
        <v>10651</v>
      </c>
      <c r="H1012" s="2" t="s">
        <v>10652</v>
      </c>
      <c r="I1012" s="2" t="s">
        <v>10653</v>
      </c>
      <c r="J1012" s="2" t="s">
        <v>29</v>
      </c>
      <c r="K1012" s="2" t="s">
        <v>29</v>
      </c>
      <c r="L1012" s="2" t="s">
        <v>29</v>
      </c>
      <c r="M1012" s="2" t="s">
        <v>29</v>
      </c>
      <c r="N1012" s="2" t="s">
        <v>10654</v>
      </c>
      <c r="O1012" s="2" t="s">
        <v>29</v>
      </c>
      <c r="P1012" s="2" t="s">
        <v>10655</v>
      </c>
      <c r="Q1012" s="2" t="s">
        <v>10656</v>
      </c>
      <c r="R1012" s="2" t="s">
        <v>794</v>
      </c>
      <c r="S1012" s="2" t="s">
        <v>7122</v>
      </c>
      <c r="T1012" s="2" t="s">
        <v>8460</v>
      </c>
      <c r="U1012" s="2" t="s">
        <v>29</v>
      </c>
      <c r="V1012" s="2" t="n">
        <v>1</v>
      </c>
    </row>
    <row r="1013">
      <c r="A1013" s="2" t="n">
        <v>1012</v>
      </c>
      <c r="B1013" s="2" t="s">
        <v>10657</v>
      </c>
      <c r="C1013" s="2" t="n">
        <v>809.518553126</v>
      </c>
      <c r="D1013" s="2" t="n">
        <v>6.48664698949286</v>
      </c>
      <c r="E1013" s="2" t="s">
        <v>10658</v>
      </c>
      <c r="F1013" s="2" t="s">
        <v>24</v>
      </c>
      <c r="G1013" s="2" t="s">
        <v>10659</v>
      </c>
      <c r="H1013" s="2" t="s">
        <v>10660</v>
      </c>
      <c r="I1013" s="2" t="s">
        <v>10661</v>
      </c>
      <c r="J1013" s="2" t="s">
        <v>29</v>
      </c>
      <c r="K1013" s="2" t="s">
        <v>29</v>
      </c>
      <c r="L1013" s="2" t="s">
        <v>29</v>
      </c>
      <c r="M1013" s="2" t="s">
        <v>29</v>
      </c>
      <c r="N1013" s="2" t="s">
        <v>29</v>
      </c>
      <c r="O1013" s="2" t="s">
        <v>29</v>
      </c>
      <c r="P1013" s="2" t="s">
        <v>10662</v>
      </c>
      <c r="Q1013" s="2" t="s">
        <v>10663</v>
      </c>
      <c r="R1013" s="2" t="s">
        <v>794</v>
      </c>
      <c r="S1013" s="2" t="s">
        <v>7122</v>
      </c>
      <c r="T1013" s="2" t="s">
        <v>9394</v>
      </c>
      <c r="U1013" s="2" t="s">
        <v>29</v>
      </c>
      <c r="V1013" s="2" t="n">
        <v>1</v>
      </c>
    </row>
    <row r="1014">
      <c r="A1014" s="2" t="n">
        <v>1013</v>
      </c>
      <c r="B1014" s="2" t="s">
        <v>10664</v>
      </c>
      <c r="C1014" s="2" t="n">
        <v>811.373913468</v>
      </c>
      <c r="D1014" s="2" t="n">
        <v>1.28137564545245</v>
      </c>
      <c r="E1014" s="2" t="s">
        <v>10665</v>
      </c>
      <c r="F1014" s="2" t="s">
        <v>683</v>
      </c>
      <c r="G1014" s="2" t="s">
        <v>10666</v>
      </c>
      <c r="H1014" s="2" t="s">
        <v>10667</v>
      </c>
      <c r="I1014" s="2" t="s">
        <v>10668</v>
      </c>
      <c r="J1014" s="2" t="s">
        <v>29</v>
      </c>
      <c r="K1014" s="2" t="s">
        <v>29</v>
      </c>
      <c r="L1014" s="2" t="s">
        <v>29</v>
      </c>
      <c r="M1014" s="2" t="s">
        <v>29</v>
      </c>
      <c r="N1014" s="2" t="s">
        <v>10669</v>
      </c>
      <c r="O1014" s="2" t="s">
        <v>29</v>
      </c>
      <c r="P1014" s="2" t="s">
        <v>10670</v>
      </c>
      <c r="Q1014" s="2" t="s">
        <v>10671</v>
      </c>
      <c r="R1014" s="2" t="s">
        <v>114</v>
      </c>
      <c r="S1014" s="2" t="s">
        <v>1038</v>
      </c>
      <c r="T1014" s="2" t="s">
        <v>1039</v>
      </c>
      <c r="U1014" s="2" t="s">
        <v>29</v>
      </c>
      <c r="V1014" s="2" t="n">
        <v>1</v>
      </c>
    </row>
    <row r="1015">
      <c r="A1015" s="2" t="n">
        <v>1014</v>
      </c>
      <c r="B1015" s="2" t="s">
        <v>10672</v>
      </c>
      <c r="C1015" s="2" t="n">
        <v>813.520658502</v>
      </c>
      <c r="D1015" s="2" t="n">
        <v>4.87215914471133</v>
      </c>
      <c r="E1015" s="2" t="s">
        <v>10673</v>
      </c>
      <c r="F1015" s="2" t="s">
        <v>86</v>
      </c>
      <c r="G1015" s="2" t="s">
        <v>10674</v>
      </c>
      <c r="H1015" s="2" t="s">
        <v>10675</v>
      </c>
      <c r="I1015" s="2" t="s">
        <v>10676</v>
      </c>
      <c r="J1015" s="2" t="s">
        <v>10677</v>
      </c>
      <c r="K1015" s="2" t="s">
        <v>10678</v>
      </c>
      <c r="L1015" s="2" t="s">
        <v>29</v>
      </c>
      <c r="M1015" s="2" t="s">
        <v>29</v>
      </c>
      <c r="N1015" s="2" t="s">
        <v>10679</v>
      </c>
      <c r="O1015" s="2" t="s">
        <v>29</v>
      </c>
      <c r="P1015" s="2" t="s">
        <v>10680</v>
      </c>
      <c r="Q1015" s="2" t="s">
        <v>10681</v>
      </c>
      <c r="R1015" s="2" t="s">
        <v>794</v>
      </c>
      <c r="S1015" s="2" t="s">
        <v>7122</v>
      </c>
      <c r="T1015" s="2" t="s">
        <v>7123</v>
      </c>
      <c r="U1015" s="2" t="s">
        <v>56</v>
      </c>
      <c r="V1015" s="2" t="n">
        <v>1</v>
      </c>
    </row>
    <row r="1016">
      <c r="A1016" s="2" t="n">
        <v>1015</v>
      </c>
      <c r="B1016" s="2" t="s">
        <v>10682</v>
      </c>
      <c r="C1016" s="2" t="n">
        <v>814.515845431</v>
      </c>
      <c r="D1016" s="2" t="n">
        <v>1.57012875522633</v>
      </c>
      <c r="E1016" s="2" t="s">
        <v>10683</v>
      </c>
      <c r="F1016" s="2" t="s">
        <v>218</v>
      </c>
      <c r="G1016" s="2" t="s">
        <v>10684</v>
      </c>
      <c r="H1016" s="2" t="s">
        <v>10685</v>
      </c>
      <c r="I1016" s="2" t="s">
        <v>10686</v>
      </c>
      <c r="J1016" s="2" t="s">
        <v>10687</v>
      </c>
      <c r="K1016" s="2" t="s">
        <v>29</v>
      </c>
      <c r="L1016" s="2" t="s">
        <v>9434</v>
      </c>
      <c r="M1016" s="2" t="s">
        <v>29</v>
      </c>
      <c r="N1016" s="2" t="s">
        <v>10688</v>
      </c>
      <c r="O1016" s="2" t="s">
        <v>29</v>
      </c>
      <c r="P1016" s="2" t="s">
        <v>10689</v>
      </c>
      <c r="Q1016" s="2" t="s">
        <v>10690</v>
      </c>
      <c r="R1016" s="2" t="s">
        <v>794</v>
      </c>
      <c r="S1016" s="2" t="s">
        <v>7122</v>
      </c>
      <c r="T1016" s="2" t="s">
        <v>8042</v>
      </c>
      <c r="U1016" s="2" t="s">
        <v>101</v>
      </c>
      <c r="V1016" s="2" t="n">
        <v>1</v>
      </c>
    </row>
    <row r="1017">
      <c r="A1017" s="2" t="n">
        <v>1016</v>
      </c>
      <c r="B1017" s="2" t="s">
        <v>10691</v>
      </c>
      <c r="C1017" s="2" t="n">
        <v>815.217702452</v>
      </c>
      <c r="D1017" s="2" t="n">
        <v>1.35750916431833</v>
      </c>
      <c r="E1017" s="2" t="s">
        <v>10692</v>
      </c>
      <c r="F1017" s="2" t="s">
        <v>86</v>
      </c>
      <c r="G1017" s="2" t="s">
        <v>10693</v>
      </c>
      <c r="H1017" s="2" t="s">
        <v>10694</v>
      </c>
      <c r="I1017" s="2" t="s">
        <v>10695</v>
      </c>
      <c r="J1017" s="2" t="s">
        <v>29</v>
      </c>
      <c r="K1017" s="2" t="s">
        <v>29</v>
      </c>
      <c r="L1017" s="2" t="s">
        <v>10696</v>
      </c>
      <c r="M1017" s="2" t="s">
        <v>29</v>
      </c>
      <c r="N1017" s="2" t="s">
        <v>10697</v>
      </c>
      <c r="O1017" s="2" t="s">
        <v>29</v>
      </c>
      <c r="P1017" s="2" t="s">
        <v>10698</v>
      </c>
      <c r="Q1017" s="2" t="s">
        <v>10699</v>
      </c>
      <c r="R1017" s="2" t="s">
        <v>129</v>
      </c>
      <c r="S1017" s="2" t="s">
        <v>130</v>
      </c>
      <c r="T1017" s="2" t="s">
        <v>1681</v>
      </c>
      <c r="U1017" s="2" t="s">
        <v>101</v>
      </c>
      <c r="V1017" s="2" t="n">
        <v>1</v>
      </c>
    </row>
    <row r="1018">
      <c r="A1018" s="2" t="n">
        <v>1017</v>
      </c>
      <c r="B1018" s="2" t="s">
        <v>10700</v>
      </c>
      <c r="C1018" s="2" t="n">
        <v>819.53928426</v>
      </c>
      <c r="D1018" s="2" t="n">
        <v>3.7526427672684</v>
      </c>
      <c r="E1018" s="2" t="s">
        <v>10701</v>
      </c>
      <c r="F1018" s="2" t="s">
        <v>205</v>
      </c>
      <c r="G1018" s="2" t="s">
        <v>10702</v>
      </c>
      <c r="H1018" s="2" t="s">
        <v>10703</v>
      </c>
      <c r="I1018" s="2" t="s">
        <v>10704</v>
      </c>
      <c r="J1018" s="2" t="s">
        <v>10705</v>
      </c>
      <c r="K1018" s="2" t="s">
        <v>10706</v>
      </c>
      <c r="L1018" s="2" t="s">
        <v>91</v>
      </c>
      <c r="M1018" s="2" t="s">
        <v>10707</v>
      </c>
      <c r="N1018" s="2" t="s">
        <v>10708</v>
      </c>
      <c r="O1018" s="2" t="s">
        <v>91</v>
      </c>
      <c r="P1018" s="2" t="s">
        <v>10709</v>
      </c>
      <c r="Q1018" s="2" t="s">
        <v>10710</v>
      </c>
      <c r="R1018" s="2" t="s">
        <v>412</v>
      </c>
      <c r="S1018" s="2" t="s">
        <v>10037</v>
      </c>
      <c r="T1018" s="2" t="s">
        <v>10711</v>
      </c>
      <c r="U1018" s="2" t="s">
        <v>39</v>
      </c>
      <c r="V1018" s="2" t="n">
        <v>2</v>
      </c>
    </row>
    <row r="1019">
      <c r="A1019" s="2" t="n">
        <v>1018</v>
      </c>
      <c r="B1019" s="2" t="s">
        <v>10712</v>
      </c>
      <c r="C1019" s="2" t="n">
        <v>821.564436816</v>
      </c>
      <c r="D1019" s="2" t="n">
        <v>2.22760468868738</v>
      </c>
      <c r="E1019" s="2" t="s">
        <v>10713</v>
      </c>
      <c r="F1019" s="2" t="s">
        <v>218</v>
      </c>
      <c r="G1019" s="2" t="s">
        <v>10714</v>
      </c>
      <c r="H1019" s="2" t="s">
        <v>10715</v>
      </c>
      <c r="I1019" s="2" t="s">
        <v>10716</v>
      </c>
      <c r="J1019" s="2" t="s">
        <v>29</v>
      </c>
      <c r="K1019" s="2" t="s">
        <v>29</v>
      </c>
      <c r="L1019" s="2" t="s">
        <v>29</v>
      </c>
      <c r="M1019" s="2" t="s">
        <v>29</v>
      </c>
      <c r="N1019" s="2" t="s">
        <v>10717</v>
      </c>
      <c r="O1019" s="2" t="s">
        <v>29</v>
      </c>
      <c r="P1019" s="2" t="s">
        <v>10718</v>
      </c>
      <c r="Q1019" s="2" t="s">
        <v>10719</v>
      </c>
      <c r="R1019" s="2" t="s">
        <v>794</v>
      </c>
      <c r="S1019" s="2" t="s">
        <v>1098</v>
      </c>
      <c r="T1019" s="2" t="s">
        <v>9336</v>
      </c>
      <c r="U1019" s="2" t="s">
        <v>29</v>
      </c>
      <c r="V1019" s="2" t="n">
        <v>1</v>
      </c>
    </row>
    <row r="1020">
      <c r="A1020" s="2" t="n">
        <v>1019</v>
      </c>
      <c r="B1020" s="2" t="s">
        <v>10720</v>
      </c>
      <c r="C1020" s="2" t="n">
        <v>822.564893907</v>
      </c>
      <c r="D1020" s="2" t="n">
        <v>1.22795836413076</v>
      </c>
      <c r="E1020" s="2" t="s">
        <v>10721</v>
      </c>
      <c r="F1020" s="2" t="s">
        <v>161</v>
      </c>
      <c r="G1020" s="2" t="s">
        <v>10722</v>
      </c>
      <c r="H1020" s="2" t="s">
        <v>10723</v>
      </c>
      <c r="I1020" s="2" t="s">
        <v>10724</v>
      </c>
      <c r="J1020" s="2" t="s">
        <v>29</v>
      </c>
      <c r="K1020" s="2" t="s">
        <v>29</v>
      </c>
      <c r="L1020" s="2" t="s">
        <v>29</v>
      </c>
      <c r="M1020" s="2" t="s">
        <v>29</v>
      </c>
      <c r="N1020" s="2" t="s">
        <v>10725</v>
      </c>
      <c r="O1020" s="2" t="s">
        <v>29</v>
      </c>
      <c r="P1020" s="2" t="s">
        <v>10726</v>
      </c>
      <c r="Q1020" s="2" t="s">
        <v>10727</v>
      </c>
      <c r="R1020" s="2" t="s">
        <v>794</v>
      </c>
      <c r="S1020" s="2" t="s">
        <v>7122</v>
      </c>
      <c r="T1020" s="2" t="s">
        <v>8876</v>
      </c>
      <c r="U1020" s="2" t="s">
        <v>29</v>
      </c>
      <c r="V1020" s="2" t="n">
        <v>1</v>
      </c>
    </row>
    <row r="1021">
      <c r="A1021" s="2" t="n">
        <v>1020</v>
      </c>
      <c r="B1021" s="2" t="s">
        <v>10728</v>
      </c>
      <c r="C1021" s="2" t="n">
        <v>823.562461759</v>
      </c>
      <c r="D1021" s="2" t="n">
        <v>2.03330419817926</v>
      </c>
      <c r="E1021" s="2" t="s">
        <v>10729</v>
      </c>
      <c r="F1021" s="2" t="s">
        <v>218</v>
      </c>
      <c r="G1021" s="2" t="s">
        <v>10730</v>
      </c>
      <c r="H1021" s="2" t="s">
        <v>10731</v>
      </c>
      <c r="I1021" s="2" t="s">
        <v>10732</v>
      </c>
      <c r="J1021" s="2" t="s">
        <v>29</v>
      </c>
      <c r="K1021" s="2" t="s">
        <v>29</v>
      </c>
      <c r="L1021" s="2" t="s">
        <v>29</v>
      </c>
      <c r="M1021" s="2" t="s">
        <v>29</v>
      </c>
      <c r="N1021" s="2" t="s">
        <v>10733</v>
      </c>
      <c r="O1021" s="2" t="s">
        <v>29</v>
      </c>
      <c r="P1021" s="2" t="s">
        <v>10734</v>
      </c>
      <c r="Q1021" s="2" t="s">
        <v>10735</v>
      </c>
      <c r="R1021" s="2" t="s">
        <v>794</v>
      </c>
      <c r="S1021" s="2" t="s">
        <v>7122</v>
      </c>
      <c r="T1021" s="2" t="s">
        <v>7123</v>
      </c>
      <c r="U1021" s="2" t="s">
        <v>29</v>
      </c>
      <c r="V1021" s="2" t="n">
        <v>1</v>
      </c>
    </row>
    <row r="1022">
      <c r="A1022" s="2" t="n">
        <v>1021</v>
      </c>
      <c r="B1022" s="2" t="s">
        <v>10736</v>
      </c>
      <c r="C1022" s="2" t="n">
        <v>826.573360309</v>
      </c>
      <c r="D1022" s="2" t="n">
        <v>4.9128669127571</v>
      </c>
      <c r="E1022" s="2" t="s">
        <v>10737</v>
      </c>
      <c r="F1022" s="2" t="s">
        <v>218</v>
      </c>
      <c r="G1022" s="2" t="s">
        <v>10738</v>
      </c>
      <c r="H1022" s="2" t="s">
        <v>10739</v>
      </c>
      <c r="I1022" s="2" t="s">
        <v>10740</v>
      </c>
      <c r="J1022" s="2" t="s">
        <v>10741</v>
      </c>
      <c r="K1022" s="2" t="s">
        <v>10742</v>
      </c>
      <c r="L1022" s="2" t="s">
        <v>10743</v>
      </c>
      <c r="M1022" s="2" t="s">
        <v>10744</v>
      </c>
      <c r="N1022" s="2" t="s">
        <v>10745</v>
      </c>
      <c r="O1022" s="2" t="s">
        <v>91</v>
      </c>
      <c r="P1022" s="2" t="s">
        <v>10746</v>
      </c>
      <c r="Q1022" s="2" t="s">
        <v>10747</v>
      </c>
      <c r="R1022" s="2" t="s">
        <v>412</v>
      </c>
      <c r="S1022" s="2" t="s">
        <v>10037</v>
      </c>
      <c r="T1022" s="2" t="s">
        <v>10748</v>
      </c>
      <c r="U1022" s="2" t="s">
        <v>56</v>
      </c>
      <c r="V1022" s="2" t="n">
        <v>2</v>
      </c>
    </row>
    <row r="1023">
      <c r="A1023" s="2" t="n">
        <v>1022</v>
      </c>
      <c r="B1023" s="2" t="s">
        <v>10749</v>
      </c>
      <c r="C1023" s="2" t="n">
        <v>827.139325748</v>
      </c>
      <c r="D1023" s="2" t="n">
        <v>0.938062942677302</v>
      </c>
      <c r="E1023" s="2" t="s">
        <v>10750</v>
      </c>
      <c r="F1023" s="2" t="s">
        <v>683</v>
      </c>
      <c r="G1023" s="2" t="s">
        <v>10751</v>
      </c>
      <c r="H1023" s="2" t="s">
        <v>10752</v>
      </c>
      <c r="I1023" s="2" t="s">
        <v>10753</v>
      </c>
      <c r="J1023" s="2" t="s">
        <v>10754</v>
      </c>
      <c r="K1023" s="2" t="s">
        <v>29</v>
      </c>
      <c r="L1023" s="2" t="s">
        <v>10755</v>
      </c>
      <c r="M1023" s="2" t="s">
        <v>10756</v>
      </c>
      <c r="N1023" s="2" t="s">
        <v>10757</v>
      </c>
      <c r="O1023" s="2" t="s">
        <v>29</v>
      </c>
      <c r="P1023" s="2" t="s">
        <v>10758</v>
      </c>
      <c r="Q1023" s="2" t="s">
        <v>10759</v>
      </c>
      <c r="R1023" s="2" t="s">
        <v>114</v>
      </c>
      <c r="S1023" s="2" t="s">
        <v>5441</v>
      </c>
      <c r="T1023" s="2" t="s">
        <v>5442</v>
      </c>
      <c r="U1023" s="2" t="s">
        <v>101</v>
      </c>
      <c r="V1023" s="2" t="n">
        <v>1</v>
      </c>
    </row>
    <row r="1024">
      <c r="A1024" s="2" t="n">
        <v>1023</v>
      </c>
      <c r="B1024" s="2" t="s">
        <v>10760</v>
      </c>
      <c r="C1024" s="2" t="n">
        <v>827.546743408</v>
      </c>
      <c r="D1024" s="2" t="n">
        <v>5.52430116956641</v>
      </c>
      <c r="E1024" s="2" t="s">
        <v>10761</v>
      </c>
      <c r="F1024" s="2" t="s">
        <v>683</v>
      </c>
      <c r="G1024" s="2" t="s">
        <v>10762</v>
      </c>
      <c r="H1024" s="2" t="s">
        <v>10763</v>
      </c>
      <c r="I1024" s="2" t="s">
        <v>10764</v>
      </c>
      <c r="J1024" s="2" t="s">
        <v>29</v>
      </c>
      <c r="K1024" s="2" t="s">
        <v>29</v>
      </c>
      <c r="L1024" s="2" t="s">
        <v>10765</v>
      </c>
      <c r="M1024" s="2" t="s">
        <v>29</v>
      </c>
      <c r="N1024" s="2" t="s">
        <v>10766</v>
      </c>
      <c r="O1024" s="2" t="s">
        <v>10767</v>
      </c>
      <c r="P1024" s="2" t="s">
        <v>10768</v>
      </c>
      <c r="Q1024" s="2" t="s">
        <v>10769</v>
      </c>
      <c r="R1024" s="2" t="s">
        <v>129</v>
      </c>
      <c r="S1024" s="2" t="s">
        <v>130</v>
      </c>
      <c r="T1024" s="2" t="s">
        <v>131</v>
      </c>
      <c r="U1024" s="2" t="s">
        <v>101</v>
      </c>
      <c r="V1024" s="2" t="n">
        <v>1</v>
      </c>
    </row>
    <row r="1025">
      <c r="A1025" s="2" t="n">
        <v>1024</v>
      </c>
      <c r="B1025" s="2" t="s">
        <v>10770</v>
      </c>
      <c r="C1025" s="2" t="n">
        <v>828.567942559</v>
      </c>
      <c r="D1025" s="2" t="n">
        <v>7.09015536737602</v>
      </c>
      <c r="E1025" s="2" t="s">
        <v>10771</v>
      </c>
      <c r="F1025" s="2" t="s">
        <v>86</v>
      </c>
      <c r="G1025" s="2" t="s">
        <v>10772</v>
      </c>
      <c r="H1025" s="2" t="s">
        <v>10773</v>
      </c>
      <c r="I1025" s="2" t="s">
        <v>10774</v>
      </c>
      <c r="J1025" s="2" t="s">
        <v>10775</v>
      </c>
      <c r="K1025" s="2" t="s">
        <v>91</v>
      </c>
      <c r="L1025" s="2" t="s">
        <v>10776</v>
      </c>
      <c r="M1025" s="2" t="s">
        <v>10777</v>
      </c>
      <c r="N1025" s="2" t="s">
        <v>10778</v>
      </c>
      <c r="O1025" s="2" t="s">
        <v>91</v>
      </c>
      <c r="P1025" s="2" t="s">
        <v>10779</v>
      </c>
      <c r="Q1025" s="2" t="s">
        <v>10780</v>
      </c>
      <c r="R1025" s="2" t="s">
        <v>412</v>
      </c>
      <c r="S1025" s="2" t="s">
        <v>10037</v>
      </c>
      <c r="T1025" s="2" t="s">
        <v>10781</v>
      </c>
      <c r="U1025" s="2" t="s">
        <v>56</v>
      </c>
      <c r="V1025" s="2" t="n">
        <v>2</v>
      </c>
    </row>
    <row r="1026">
      <c r="A1026" s="2" t="n">
        <v>1025</v>
      </c>
      <c r="B1026" s="2" t="s">
        <v>10782</v>
      </c>
      <c r="C1026" s="2" t="n">
        <v>829.575280631</v>
      </c>
      <c r="D1026" s="2" t="n">
        <v>8.44229382030742</v>
      </c>
      <c r="E1026" s="2" t="s">
        <v>10783</v>
      </c>
      <c r="F1026" s="2" t="s">
        <v>24</v>
      </c>
      <c r="G1026" s="2" t="s">
        <v>10784</v>
      </c>
      <c r="H1026" s="2" t="s">
        <v>10785</v>
      </c>
      <c r="I1026" s="2" t="s">
        <v>10786</v>
      </c>
      <c r="J1026" s="2" t="s">
        <v>29</v>
      </c>
      <c r="K1026" s="2" t="s">
        <v>29</v>
      </c>
      <c r="L1026" s="2" t="s">
        <v>29</v>
      </c>
      <c r="M1026" s="2" t="s">
        <v>29</v>
      </c>
      <c r="N1026" s="2" t="s">
        <v>10787</v>
      </c>
      <c r="O1026" s="2" t="s">
        <v>29</v>
      </c>
      <c r="P1026" s="2" t="s">
        <v>10788</v>
      </c>
      <c r="Q1026" s="2" t="s">
        <v>10789</v>
      </c>
      <c r="R1026" s="2" t="s">
        <v>794</v>
      </c>
      <c r="S1026" s="2" t="s">
        <v>7122</v>
      </c>
      <c r="T1026" s="2" t="s">
        <v>7123</v>
      </c>
      <c r="U1026" s="2" t="s">
        <v>29</v>
      </c>
      <c r="V1026" s="2" t="n">
        <v>1</v>
      </c>
    </row>
    <row r="1027">
      <c r="A1027" s="2" t="n">
        <v>1026</v>
      </c>
      <c r="B1027" s="2" t="s">
        <v>10790</v>
      </c>
      <c r="C1027" s="2" t="n">
        <v>830.510760053</v>
      </c>
      <c r="D1027" s="2" t="n">
        <v>7.26028542939335</v>
      </c>
      <c r="E1027" s="2" t="s">
        <v>10791</v>
      </c>
      <c r="F1027" s="2" t="s">
        <v>218</v>
      </c>
      <c r="G1027" s="2" t="s">
        <v>10792</v>
      </c>
      <c r="H1027" s="2" t="s">
        <v>10793</v>
      </c>
      <c r="I1027" s="2" t="s">
        <v>10794</v>
      </c>
      <c r="J1027" s="2" t="s">
        <v>10795</v>
      </c>
      <c r="K1027" s="2" t="s">
        <v>29</v>
      </c>
      <c r="L1027" s="2" t="s">
        <v>9434</v>
      </c>
      <c r="M1027" s="2" t="s">
        <v>10796</v>
      </c>
      <c r="N1027" s="2" t="s">
        <v>10797</v>
      </c>
      <c r="O1027" s="2" t="s">
        <v>29</v>
      </c>
      <c r="P1027" s="2" t="s">
        <v>10798</v>
      </c>
      <c r="Q1027" s="2" t="s">
        <v>10799</v>
      </c>
      <c r="R1027" s="2" t="s">
        <v>794</v>
      </c>
      <c r="S1027" s="2" t="s">
        <v>7122</v>
      </c>
      <c r="T1027" s="2" t="s">
        <v>8042</v>
      </c>
      <c r="U1027" s="2" t="s">
        <v>39</v>
      </c>
      <c r="V1027" s="2" t="n">
        <v>1</v>
      </c>
    </row>
    <row r="1028">
      <c r="A1028" s="2" t="n">
        <v>1027</v>
      </c>
      <c r="B1028" s="2" t="s">
        <v>10800</v>
      </c>
      <c r="C1028" s="2" t="n">
        <v>830.591658971</v>
      </c>
      <c r="D1028" s="2" t="n">
        <v>8.5943252490828</v>
      </c>
      <c r="E1028" s="2" t="s">
        <v>10801</v>
      </c>
      <c r="F1028" s="2" t="s">
        <v>24</v>
      </c>
      <c r="G1028" s="2" t="s">
        <v>10802</v>
      </c>
      <c r="H1028" s="2" t="s">
        <v>10803</v>
      </c>
      <c r="I1028" s="2" t="s">
        <v>10804</v>
      </c>
      <c r="J1028" s="2" t="s">
        <v>29</v>
      </c>
      <c r="K1028" s="2" t="s">
        <v>29</v>
      </c>
      <c r="L1028" s="2" t="s">
        <v>29</v>
      </c>
      <c r="M1028" s="2" t="s">
        <v>29</v>
      </c>
      <c r="N1028" s="2" t="s">
        <v>10805</v>
      </c>
      <c r="O1028" s="2" t="s">
        <v>29</v>
      </c>
      <c r="P1028" s="2" t="s">
        <v>10806</v>
      </c>
      <c r="Q1028" s="2" t="s">
        <v>10807</v>
      </c>
      <c r="R1028" s="2" t="s">
        <v>794</v>
      </c>
      <c r="S1028" s="2" t="s">
        <v>7122</v>
      </c>
      <c r="T1028" s="2" t="s">
        <v>8876</v>
      </c>
      <c r="U1028" s="2" t="s">
        <v>56</v>
      </c>
      <c r="V1028" s="2" t="n">
        <v>1</v>
      </c>
    </row>
    <row r="1029">
      <c r="A1029" s="2" t="n">
        <v>1028</v>
      </c>
      <c r="B1029" s="2" t="s">
        <v>10808</v>
      </c>
      <c r="C1029" s="2" t="n">
        <v>833.518553602</v>
      </c>
      <c r="D1029" s="2" t="n">
        <v>2.19860046228577</v>
      </c>
      <c r="E1029" s="2" t="s">
        <v>10809</v>
      </c>
      <c r="F1029" s="2" t="s">
        <v>24</v>
      </c>
      <c r="G1029" s="2" t="s">
        <v>10810</v>
      </c>
      <c r="H1029" s="2" t="s">
        <v>10811</v>
      </c>
      <c r="I1029" s="2" t="s">
        <v>10812</v>
      </c>
      <c r="J1029" s="2" t="s">
        <v>29</v>
      </c>
      <c r="K1029" s="2" t="s">
        <v>10813</v>
      </c>
      <c r="L1029" s="2" t="s">
        <v>29</v>
      </c>
      <c r="M1029" s="2" t="s">
        <v>10814</v>
      </c>
      <c r="N1029" s="2" t="s">
        <v>10815</v>
      </c>
      <c r="O1029" s="2" t="s">
        <v>10816</v>
      </c>
      <c r="P1029" s="2" t="s">
        <v>10817</v>
      </c>
      <c r="Q1029" s="2" t="s">
        <v>10818</v>
      </c>
      <c r="R1029" s="2" t="s">
        <v>794</v>
      </c>
      <c r="S1029" s="2" t="s">
        <v>7122</v>
      </c>
      <c r="T1029" s="2" t="s">
        <v>9394</v>
      </c>
      <c r="U1029" s="2" t="s">
        <v>39</v>
      </c>
      <c r="V1029" s="2" t="n">
        <v>1</v>
      </c>
    </row>
    <row r="1030">
      <c r="A1030" s="2" t="n">
        <v>1029</v>
      </c>
      <c r="B1030" s="2" t="s">
        <v>10819</v>
      </c>
      <c r="C1030" s="2" t="n">
        <v>834.529053925</v>
      </c>
      <c r="D1030" s="2" t="n">
        <v>4.28526828943899</v>
      </c>
      <c r="E1030" s="2" t="s">
        <v>10820</v>
      </c>
      <c r="F1030" s="2" t="s">
        <v>205</v>
      </c>
      <c r="G1030" s="2" t="s">
        <v>10821</v>
      </c>
      <c r="H1030" s="2" t="s">
        <v>10822</v>
      </c>
      <c r="I1030" s="2" t="s">
        <v>10823</v>
      </c>
      <c r="J1030" s="2" t="s">
        <v>10824</v>
      </c>
      <c r="K1030" s="2" t="s">
        <v>29</v>
      </c>
      <c r="L1030" s="2" t="s">
        <v>9434</v>
      </c>
      <c r="M1030" s="2" t="s">
        <v>29</v>
      </c>
      <c r="N1030" s="2" t="s">
        <v>10825</v>
      </c>
      <c r="O1030" s="2" t="s">
        <v>29</v>
      </c>
      <c r="P1030" s="2" t="s">
        <v>10826</v>
      </c>
      <c r="Q1030" s="2" t="s">
        <v>10827</v>
      </c>
      <c r="R1030" s="2" t="s">
        <v>794</v>
      </c>
      <c r="S1030" s="2" t="s">
        <v>7122</v>
      </c>
      <c r="T1030" s="2" t="s">
        <v>8042</v>
      </c>
      <c r="U1030" s="2" t="s">
        <v>39</v>
      </c>
      <c r="V1030" s="2" t="n">
        <v>1</v>
      </c>
    </row>
    <row r="1031">
      <c r="A1031" s="2" t="n">
        <v>1030</v>
      </c>
      <c r="B1031" s="2" t="s">
        <v>10828</v>
      </c>
      <c r="C1031" s="2" t="n">
        <v>836.463809861</v>
      </c>
      <c r="D1031" s="2" t="n">
        <v>9.23130769061283</v>
      </c>
      <c r="E1031" s="2" t="s">
        <v>10829</v>
      </c>
      <c r="F1031" s="2" t="s">
        <v>218</v>
      </c>
      <c r="G1031" s="2" t="s">
        <v>10830</v>
      </c>
      <c r="H1031" s="2" t="s">
        <v>10831</v>
      </c>
      <c r="I1031" s="2" t="s">
        <v>10832</v>
      </c>
      <c r="J1031" s="2" t="s">
        <v>10833</v>
      </c>
      <c r="K1031" s="2" t="s">
        <v>10834</v>
      </c>
      <c r="L1031" s="2" t="s">
        <v>9831</v>
      </c>
      <c r="M1031" s="2" t="s">
        <v>29</v>
      </c>
      <c r="N1031" s="2" t="s">
        <v>10835</v>
      </c>
      <c r="O1031" s="2" t="s">
        <v>29</v>
      </c>
      <c r="P1031" s="2" t="s">
        <v>10836</v>
      </c>
      <c r="Q1031" s="2" t="s">
        <v>10837</v>
      </c>
      <c r="R1031" s="2" t="s">
        <v>794</v>
      </c>
      <c r="S1031" s="2" t="s">
        <v>7122</v>
      </c>
      <c r="T1031" s="2" t="s">
        <v>8460</v>
      </c>
      <c r="U1031" s="2" t="s">
        <v>56</v>
      </c>
      <c r="V1031" s="2" t="n">
        <v>1</v>
      </c>
    </row>
    <row r="1032">
      <c r="A1032" s="2" t="n">
        <v>1031</v>
      </c>
      <c r="B1032" s="2" t="s">
        <v>10838</v>
      </c>
      <c r="C1032" s="2" t="n">
        <v>837.202707008</v>
      </c>
      <c r="D1032" s="2" t="n">
        <v>8.46499082458226</v>
      </c>
      <c r="E1032" s="2" t="s">
        <v>10839</v>
      </c>
      <c r="F1032" s="2" t="s">
        <v>218</v>
      </c>
      <c r="G1032" s="2" t="s">
        <v>10840</v>
      </c>
      <c r="H1032" s="2" t="s">
        <v>10841</v>
      </c>
      <c r="I1032" s="2" t="s">
        <v>10842</v>
      </c>
      <c r="J1032" s="2" t="s">
        <v>10843</v>
      </c>
      <c r="K1032" s="2" t="s">
        <v>29</v>
      </c>
      <c r="L1032" s="2" t="s">
        <v>29</v>
      </c>
      <c r="M1032" s="2" t="s">
        <v>29</v>
      </c>
      <c r="N1032" s="2" t="s">
        <v>29</v>
      </c>
      <c r="O1032" s="2" t="s">
        <v>29</v>
      </c>
      <c r="P1032" s="2" t="s">
        <v>10844</v>
      </c>
      <c r="Q1032" s="2" t="s">
        <v>10845</v>
      </c>
      <c r="R1032" s="2" t="s">
        <v>114</v>
      </c>
      <c r="S1032" s="2" t="s">
        <v>10846</v>
      </c>
      <c r="T1032" s="2" t="s">
        <v>10847</v>
      </c>
      <c r="U1032" s="2" t="s">
        <v>29</v>
      </c>
      <c r="V1032" s="2" t="n">
        <v>1</v>
      </c>
    </row>
    <row r="1033">
      <c r="A1033" s="2" t="n">
        <v>1032</v>
      </c>
      <c r="B1033" s="2" t="s">
        <v>10848</v>
      </c>
      <c r="C1033" s="2" t="n">
        <v>839.525614038</v>
      </c>
      <c r="D1033" s="2" t="n">
        <v>4.16188088549004</v>
      </c>
      <c r="E1033" s="2" t="s">
        <v>10849</v>
      </c>
      <c r="F1033" s="2" t="s">
        <v>683</v>
      </c>
      <c r="G1033" s="2" t="s">
        <v>10850</v>
      </c>
      <c r="H1033" s="2" t="s">
        <v>10851</v>
      </c>
      <c r="I1033" s="2" t="s">
        <v>10852</v>
      </c>
      <c r="J1033" s="2" t="s">
        <v>29</v>
      </c>
      <c r="K1033" s="2" t="s">
        <v>29</v>
      </c>
      <c r="L1033" s="2" t="s">
        <v>29</v>
      </c>
      <c r="M1033" s="2" t="s">
        <v>29</v>
      </c>
      <c r="N1033" s="2" t="s">
        <v>10853</v>
      </c>
      <c r="O1033" s="2" t="s">
        <v>29</v>
      </c>
      <c r="P1033" s="2" t="s">
        <v>10854</v>
      </c>
      <c r="Q1033" s="2" t="s">
        <v>10855</v>
      </c>
      <c r="R1033" s="2" t="s">
        <v>794</v>
      </c>
      <c r="S1033" s="2" t="s">
        <v>2971</v>
      </c>
      <c r="T1033" s="2" t="s">
        <v>6290</v>
      </c>
      <c r="U1033" s="2" t="s">
        <v>29</v>
      </c>
      <c r="V1033" s="2" t="n">
        <v>1</v>
      </c>
    </row>
    <row r="1034">
      <c r="A1034" s="2" t="n">
        <v>1033</v>
      </c>
      <c r="B1034" s="2" t="s">
        <v>10856</v>
      </c>
      <c r="C1034" s="2" t="n">
        <v>843.53928426</v>
      </c>
      <c r="D1034" s="2" t="n">
        <v>2.97761783992409</v>
      </c>
      <c r="E1034" s="2" t="s">
        <v>10857</v>
      </c>
      <c r="F1034" s="2" t="s">
        <v>205</v>
      </c>
      <c r="G1034" s="2" t="s">
        <v>10858</v>
      </c>
      <c r="H1034" s="2" t="s">
        <v>10859</v>
      </c>
      <c r="I1034" s="2" t="s">
        <v>10860</v>
      </c>
      <c r="J1034" s="2" t="s">
        <v>10861</v>
      </c>
      <c r="K1034" s="2" t="s">
        <v>10862</v>
      </c>
      <c r="L1034" s="2" t="s">
        <v>29</v>
      </c>
      <c r="M1034" s="2" t="s">
        <v>10863</v>
      </c>
      <c r="N1034" s="2" t="s">
        <v>10864</v>
      </c>
      <c r="O1034" s="2" t="s">
        <v>29</v>
      </c>
      <c r="P1034" s="2" t="s">
        <v>10865</v>
      </c>
      <c r="Q1034" s="2" t="s">
        <v>10866</v>
      </c>
      <c r="R1034" s="2" t="s">
        <v>794</v>
      </c>
      <c r="S1034" s="2" t="s">
        <v>7122</v>
      </c>
      <c r="T1034" s="2" t="s">
        <v>9951</v>
      </c>
      <c r="U1034" s="2" t="s">
        <v>56</v>
      </c>
      <c r="V1034" s="2" t="n">
        <v>1</v>
      </c>
    </row>
    <row r="1035">
      <c r="A1035" s="2" t="n">
        <v>1034</v>
      </c>
      <c r="B1035" s="2" t="s">
        <v>10867</v>
      </c>
      <c r="C1035" s="2" t="n">
        <v>846.565444222</v>
      </c>
      <c r="D1035" s="2" t="n">
        <v>0.423650480726021</v>
      </c>
      <c r="E1035" s="2" t="s">
        <v>10868</v>
      </c>
      <c r="F1035" s="2" t="s">
        <v>24</v>
      </c>
      <c r="G1035" s="2" t="s">
        <v>10869</v>
      </c>
      <c r="H1035" s="2" t="s">
        <v>10870</v>
      </c>
      <c r="I1035" s="2" t="s">
        <v>10871</v>
      </c>
      <c r="J1035" s="2" t="s">
        <v>29</v>
      </c>
      <c r="K1035" s="2" t="s">
        <v>29</v>
      </c>
      <c r="L1035" s="2" t="s">
        <v>29</v>
      </c>
      <c r="M1035" s="2" t="s">
        <v>29</v>
      </c>
      <c r="N1035" s="2" t="s">
        <v>29</v>
      </c>
      <c r="O1035" s="2" t="s">
        <v>29</v>
      </c>
      <c r="P1035" s="2" t="s">
        <v>10872</v>
      </c>
      <c r="Q1035" s="2" t="s">
        <v>10873</v>
      </c>
      <c r="R1035" s="2" t="s">
        <v>794</v>
      </c>
      <c r="S1035" s="2" t="s">
        <v>7122</v>
      </c>
      <c r="T1035" s="2" t="s">
        <v>8876</v>
      </c>
      <c r="U1035" s="2" t="s">
        <v>29</v>
      </c>
      <c r="V1035" s="2" t="n">
        <v>1</v>
      </c>
    </row>
    <row r="1036">
      <c r="A1036" s="2" t="n">
        <v>1035</v>
      </c>
      <c r="B1036" s="2" t="s">
        <v>10874</v>
      </c>
      <c r="C1036" s="2" t="n">
        <v>847.557702024</v>
      </c>
      <c r="D1036" s="2" t="n">
        <v>2.15933166005094</v>
      </c>
      <c r="E1036" s="2" t="s">
        <v>10875</v>
      </c>
      <c r="F1036" s="2" t="s">
        <v>683</v>
      </c>
      <c r="G1036" s="2" t="s">
        <v>10876</v>
      </c>
      <c r="H1036" s="2" t="s">
        <v>10877</v>
      </c>
      <c r="I1036" s="2" t="s">
        <v>10878</v>
      </c>
      <c r="J1036" s="2" t="s">
        <v>10879</v>
      </c>
      <c r="K1036" s="2" t="s">
        <v>10880</v>
      </c>
      <c r="L1036" s="2" t="s">
        <v>10881</v>
      </c>
      <c r="M1036" s="2" t="s">
        <v>10882</v>
      </c>
      <c r="N1036" s="2" t="s">
        <v>10883</v>
      </c>
      <c r="O1036" s="2" t="s">
        <v>10884</v>
      </c>
      <c r="P1036" s="2" t="s">
        <v>10885</v>
      </c>
      <c r="Q1036" s="2" t="s">
        <v>10886</v>
      </c>
      <c r="R1036" s="2" t="s">
        <v>794</v>
      </c>
      <c r="S1036" s="2" t="s">
        <v>2971</v>
      </c>
      <c r="T1036" s="2" t="s">
        <v>6499</v>
      </c>
      <c r="U1036" s="2" t="s">
        <v>56</v>
      </c>
      <c r="V1036" s="2" t="n">
        <v>1</v>
      </c>
    </row>
    <row r="1037">
      <c r="A1037" s="2" t="n">
        <v>1036</v>
      </c>
      <c r="B1037" s="2" t="s">
        <v>10887</v>
      </c>
      <c r="C1037" s="2" t="n">
        <v>848.484939233</v>
      </c>
      <c r="D1037" s="2" t="n">
        <v>8.55333774885722</v>
      </c>
      <c r="E1037" s="2" t="s">
        <v>10888</v>
      </c>
      <c r="F1037" s="2" t="s">
        <v>218</v>
      </c>
      <c r="G1037" s="2" t="s">
        <v>10889</v>
      </c>
      <c r="H1037" s="2" t="s">
        <v>10890</v>
      </c>
      <c r="I1037" s="2" t="s">
        <v>10891</v>
      </c>
      <c r="J1037" s="2" t="s">
        <v>10892</v>
      </c>
      <c r="K1037" s="2" t="s">
        <v>29</v>
      </c>
      <c r="L1037" s="2" t="s">
        <v>10893</v>
      </c>
      <c r="M1037" s="2" t="s">
        <v>10894</v>
      </c>
      <c r="N1037" s="2" t="s">
        <v>10895</v>
      </c>
      <c r="O1037" s="2" t="s">
        <v>29</v>
      </c>
      <c r="P1037" s="2" t="s">
        <v>10896</v>
      </c>
      <c r="Q1037" s="2" t="s">
        <v>10897</v>
      </c>
      <c r="R1037" s="2" t="s">
        <v>794</v>
      </c>
      <c r="S1037" s="2" t="s">
        <v>7122</v>
      </c>
      <c r="T1037" s="2" t="s">
        <v>8876</v>
      </c>
      <c r="U1037" s="2" t="s">
        <v>56</v>
      </c>
      <c r="V1037" s="2" t="n">
        <v>1</v>
      </c>
    </row>
    <row r="1038">
      <c r="A1038" s="2" t="n">
        <v>1037</v>
      </c>
      <c r="B1038" s="2" t="s">
        <v>10898</v>
      </c>
      <c r="C1038" s="2" t="n">
        <v>849.500581076</v>
      </c>
      <c r="D1038" s="2" t="n">
        <v>9.71177972883445</v>
      </c>
      <c r="E1038" s="2" t="s">
        <v>10899</v>
      </c>
      <c r="F1038" s="2" t="s">
        <v>24</v>
      </c>
      <c r="G1038" s="2" t="s">
        <v>10900</v>
      </c>
      <c r="H1038" s="2" t="s">
        <v>10901</v>
      </c>
      <c r="I1038" s="2" t="s">
        <v>10902</v>
      </c>
      <c r="J1038" s="2" t="s">
        <v>91</v>
      </c>
      <c r="K1038" s="2" t="s">
        <v>91</v>
      </c>
      <c r="L1038" s="2" t="s">
        <v>91</v>
      </c>
      <c r="M1038" s="2" t="s">
        <v>91</v>
      </c>
      <c r="N1038" s="2" t="s">
        <v>10903</v>
      </c>
      <c r="O1038" s="2" t="s">
        <v>10904</v>
      </c>
      <c r="P1038" s="2" t="s">
        <v>10905</v>
      </c>
      <c r="Q1038" s="2" t="s">
        <v>10906</v>
      </c>
      <c r="R1038" s="2" t="s">
        <v>412</v>
      </c>
      <c r="S1038" s="2" t="s">
        <v>6265</v>
      </c>
      <c r="T1038" s="2" t="s">
        <v>10907</v>
      </c>
      <c r="U1038" s="2" t="s">
        <v>29</v>
      </c>
      <c r="V1038" s="2" t="n">
        <v>2</v>
      </c>
    </row>
    <row r="1039">
      <c r="A1039" s="2" t="n">
        <v>1038</v>
      </c>
      <c r="B1039" s="2" t="s">
        <v>10908</v>
      </c>
      <c r="C1039" s="2" t="n">
        <v>852.554879053</v>
      </c>
      <c r="D1039" s="2" t="n">
        <v>5.71843052738006</v>
      </c>
      <c r="E1039" s="2" t="s">
        <v>10909</v>
      </c>
      <c r="F1039" s="2" t="s">
        <v>24</v>
      </c>
      <c r="G1039" s="2" t="s">
        <v>10910</v>
      </c>
      <c r="H1039" s="2" t="s">
        <v>10911</v>
      </c>
      <c r="I1039" s="2" t="s">
        <v>10912</v>
      </c>
      <c r="J1039" s="2" t="s">
        <v>10913</v>
      </c>
      <c r="K1039" s="2" t="s">
        <v>10914</v>
      </c>
      <c r="L1039" s="2" t="s">
        <v>9831</v>
      </c>
      <c r="M1039" s="2" t="s">
        <v>29</v>
      </c>
      <c r="N1039" s="2" t="s">
        <v>10915</v>
      </c>
      <c r="O1039" s="2" t="s">
        <v>29</v>
      </c>
      <c r="P1039" s="2" t="s">
        <v>10916</v>
      </c>
      <c r="Q1039" s="2" t="s">
        <v>10917</v>
      </c>
      <c r="R1039" s="2" t="s">
        <v>794</v>
      </c>
      <c r="S1039" s="2" t="s">
        <v>7122</v>
      </c>
      <c r="T1039" s="2" t="s">
        <v>8460</v>
      </c>
      <c r="U1039" s="2" t="s">
        <v>39</v>
      </c>
      <c r="V1039" s="2" t="n">
        <v>1</v>
      </c>
    </row>
    <row r="1040">
      <c r="A1040" s="2" t="n">
        <v>1039</v>
      </c>
      <c r="B1040" s="2" t="s">
        <v>10918</v>
      </c>
      <c r="C1040" s="2" t="n">
        <v>853.575395425</v>
      </c>
      <c r="D1040" s="2" t="n">
        <v>9.82580019050128</v>
      </c>
      <c r="E1040" s="2" t="s">
        <v>10919</v>
      </c>
      <c r="F1040" s="2" t="s">
        <v>218</v>
      </c>
      <c r="G1040" s="2" t="s">
        <v>10920</v>
      </c>
      <c r="H1040" s="2" t="s">
        <v>10921</v>
      </c>
      <c r="I1040" s="2" t="s">
        <v>10922</v>
      </c>
      <c r="J1040" s="2" t="s">
        <v>29</v>
      </c>
      <c r="K1040" s="2" t="s">
        <v>29</v>
      </c>
      <c r="L1040" s="2" t="s">
        <v>29</v>
      </c>
      <c r="M1040" s="2" t="s">
        <v>29</v>
      </c>
      <c r="N1040" s="2" t="s">
        <v>10923</v>
      </c>
      <c r="O1040" s="2" t="s">
        <v>29</v>
      </c>
      <c r="P1040" s="2" t="s">
        <v>10924</v>
      </c>
      <c r="Q1040" s="2" t="s">
        <v>10925</v>
      </c>
      <c r="R1040" s="2" t="s">
        <v>794</v>
      </c>
      <c r="S1040" s="2" t="s">
        <v>2600</v>
      </c>
      <c r="T1040" s="2" t="s">
        <v>8840</v>
      </c>
      <c r="U1040" s="2" t="s">
        <v>29</v>
      </c>
      <c r="V1040" s="2" t="n">
        <v>1</v>
      </c>
    </row>
    <row r="1041">
      <c r="A1041" s="2" t="n">
        <v>1040</v>
      </c>
      <c r="B1041" s="2" t="s">
        <v>10926</v>
      </c>
      <c r="C1041" s="2" t="n">
        <v>854.604660437</v>
      </c>
      <c r="D1041" s="2" t="n">
        <v>2.00323991754814</v>
      </c>
      <c r="E1041" s="2" t="s">
        <v>10927</v>
      </c>
      <c r="F1041" s="2" t="s">
        <v>218</v>
      </c>
      <c r="G1041" s="2" t="s">
        <v>10928</v>
      </c>
      <c r="H1041" s="2" t="s">
        <v>10929</v>
      </c>
      <c r="I1041" s="2" t="s">
        <v>10930</v>
      </c>
      <c r="J1041" s="2" t="s">
        <v>10931</v>
      </c>
      <c r="K1041" s="2" t="s">
        <v>10932</v>
      </c>
      <c r="L1041" s="2" t="s">
        <v>9831</v>
      </c>
      <c r="M1041" s="2" t="s">
        <v>10933</v>
      </c>
      <c r="N1041" s="2" t="s">
        <v>10934</v>
      </c>
      <c r="O1041" s="2" t="s">
        <v>29</v>
      </c>
      <c r="P1041" s="2" t="s">
        <v>10935</v>
      </c>
      <c r="Q1041" s="2" t="s">
        <v>10936</v>
      </c>
      <c r="R1041" s="2" t="s">
        <v>794</v>
      </c>
      <c r="S1041" s="2" t="s">
        <v>7122</v>
      </c>
      <c r="T1041" s="2" t="s">
        <v>8460</v>
      </c>
      <c r="U1041" s="2" t="s">
        <v>101</v>
      </c>
      <c r="V1041" s="2" t="n">
        <v>1</v>
      </c>
    </row>
    <row r="1042">
      <c r="A1042" s="2" t="n">
        <v>1041</v>
      </c>
      <c r="B1042" s="2" t="s">
        <v>10937</v>
      </c>
      <c r="C1042" s="2" t="n">
        <v>855.606301618</v>
      </c>
      <c r="D1042" s="2" t="n">
        <v>4.31093589479276</v>
      </c>
      <c r="E1042" s="2" t="s">
        <v>10938</v>
      </c>
      <c r="F1042" s="2" t="s">
        <v>218</v>
      </c>
      <c r="G1042" s="2" t="s">
        <v>10939</v>
      </c>
      <c r="H1042" s="2" t="s">
        <v>10940</v>
      </c>
      <c r="I1042" s="2" t="s">
        <v>10941</v>
      </c>
      <c r="J1042" s="2" t="s">
        <v>10942</v>
      </c>
      <c r="K1042" s="2" t="s">
        <v>10943</v>
      </c>
      <c r="L1042" s="2" t="s">
        <v>91</v>
      </c>
      <c r="M1042" s="2" t="s">
        <v>10944</v>
      </c>
      <c r="N1042" s="2" t="s">
        <v>10945</v>
      </c>
      <c r="O1042" s="2" t="s">
        <v>10946</v>
      </c>
      <c r="P1042" s="2" t="s">
        <v>10947</v>
      </c>
      <c r="Q1042" s="2" t="s">
        <v>10948</v>
      </c>
      <c r="R1042" s="2" t="s">
        <v>412</v>
      </c>
      <c r="S1042" s="2" t="s">
        <v>5304</v>
      </c>
      <c r="T1042" s="2" t="s">
        <v>10949</v>
      </c>
      <c r="U1042" s="2" t="s">
        <v>29</v>
      </c>
      <c r="V1042" s="2" t="n">
        <v>2</v>
      </c>
    </row>
    <row r="1043">
      <c r="A1043" s="2" t="n">
        <v>1042</v>
      </c>
      <c r="B1043" s="2" t="s">
        <v>10950</v>
      </c>
      <c r="C1043" s="2" t="n">
        <v>856.562857181</v>
      </c>
      <c r="D1043" s="2" t="n">
        <v>7.77688309541197</v>
      </c>
      <c r="E1043" s="2" t="s">
        <v>10951</v>
      </c>
      <c r="F1043" s="2" t="s">
        <v>86</v>
      </c>
      <c r="G1043" s="2" t="s">
        <v>10952</v>
      </c>
      <c r="H1043" s="2" t="s">
        <v>10953</v>
      </c>
      <c r="I1043" s="2" t="s">
        <v>10954</v>
      </c>
      <c r="J1043" s="2" t="s">
        <v>10955</v>
      </c>
      <c r="K1043" s="2" t="s">
        <v>29</v>
      </c>
      <c r="L1043" s="2" t="s">
        <v>9434</v>
      </c>
      <c r="M1043" s="2" t="s">
        <v>10956</v>
      </c>
      <c r="N1043" s="2" t="s">
        <v>10957</v>
      </c>
      <c r="O1043" s="2" t="s">
        <v>29</v>
      </c>
      <c r="P1043" s="2" t="s">
        <v>10958</v>
      </c>
      <c r="Q1043" s="2" t="s">
        <v>10959</v>
      </c>
      <c r="R1043" s="2" t="s">
        <v>794</v>
      </c>
      <c r="S1043" s="2" t="s">
        <v>7122</v>
      </c>
      <c r="T1043" s="2" t="s">
        <v>8042</v>
      </c>
      <c r="U1043" s="2" t="s">
        <v>101</v>
      </c>
      <c r="V1043" s="2" t="n">
        <v>1</v>
      </c>
    </row>
    <row r="1044">
      <c r="A1044" s="2" t="n">
        <v>1043</v>
      </c>
      <c r="B1044" s="2" t="s">
        <v>10960</v>
      </c>
      <c r="C1044" s="2" t="n">
        <v>857.531440761</v>
      </c>
      <c r="D1044" s="2" t="n">
        <v>6.78072770048137</v>
      </c>
      <c r="E1044" s="2" t="s">
        <v>10961</v>
      </c>
      <c r="F1044" s="2" t="s">
        <v>24</v>
      </c>
      <c r="G1044" s="2" t="s">
        <v>10962</v>
      </c>
      <c r="H1044" s="2" t="s">
        <v>10963</v>
      </c>
      <c r="I1044" s="2" t="s">
        <v>10964</v>
      </c>
      <c r="J1044" s="2" t="s">
        <v>29</v>
      </c>
      <c r="K1044" s="2" t="s">
        <v>29</v>
      </c>
      <c r="L1044" s="2" t="s">
        <v>29</v>
      </c>
      <c r="M1044" s="2" t="s">
        <v>29</v>
      </c>
      <c r="N1044" s="2" t="s">
        <v>10965</v>
      </c>
      <c r="O1044" s="2" t="s">
        <v>29</v>
      </c>
      <c r="P1044" s="2" t="s">
        <v>10966</v>
      </c>
      <c r="Q1044" s="2" t="s">
        <v>10967</v>
      </c>
      <c r="R1044" s="2" t="s">
        <v>794</v>
      </c>
      <c r="S1044" s="2" t="s">
        <v>7122</v>
      </c>
      <c r="T1044" s="2" t="s">
        <v>10968</v>
      </c>
      <c r="U1044" s="2" t="s">
        <v>56</v>
      </c>
      <c r="V1044" s="2" t="n">
        <v>1</v>
      </c>
    </row>
    <row r="1045">
      <c r="A1045" s="2" t="n">
        <v>1044</v>
      </c>
      <c r="B1045" s="2" t="s">
        <v>10969</v>
      </c>
      <c r="C1045" s="2" t="n">
        <v>859.531796731</v>
      </c>
      <c r="D1045" s="2" t="n">
        <v>3.27133631685981</v>
      </c>
      <c r="E1045" s="2" t="s">
        <v>10970</v>
      </c>
      <c r="F1045" s="2" t="s">
        <v>531</v>
      </c>
      <c r="G1045" s="2" t="s">
        <v>10971</v>
      </c>
      <c r="H1045" s="2" t="s">
        <v>10972</v>
      </c>
      <c r="I1045" s="2" t="s">
        <v>10973</v>
      </c>
      <c r="J1045" s="2" t="s">
        <v>29</v>
      </c>
      <c r="K1045" s="2" t="s">
        <v>10974</v>
      </c>
      <c r="L1045" s="2" t="s">
        <v>29</v>
      </c>
      <c r="M1045" s="2" t="s">
        <v>10975</v>
      </c>
      <c r="N1045" s="2" t="s">
        <v>10976</v>
      </c>
      <c r="O1045" s="2" t="s">
        <v>10977</v>
      </c>
      <c r="P1045" s="2" t="s">
        <v>10978</v>
      </c>
      <c r="Q1045" s="2" t="s">
        <v>10979</v>
      </c>
      <c r="R1045" s="2" t="s">
        <v>794</v>
      </c>
      <c r="S1045" s="2" t="s">
        <v>7122</v>
      </c>
      <c r="T1045" s="2" t="s">
        <v>9394</v>
      </c>
      <c r="U1045" s="2" t="s">
        <v>56</v>
      </c>
      <c r="V1045" s="2" t="n">
        <v>1</v>
      </c>
    </row>
    <row r="1046">
      <c r="A1046" s="2" t="n">
        <v>1045</v>
      </c>
      <c r="B1046" s="2" t="s">
        <v>10980</v>
      </c>
      <c r="C1046" s="2" t="n">
        <v>860.557772287</v>
      </c>
      <c r="D1046" s="2" t="n">
        <v>1.44035316013062</v>
      </c>
      <c r="E1046" s="2" t="s">
        <v>10981</v>
      </c>
      <c r="F1046" s="2" t="s">
        <v>86</v>
      </c>
      <c r="G1046" s="2" t="s">
        <v>10982</v>
      </c>
      <c r="H1046" s="2" t="s">
        <v>10983</v>
      </c>
      <c r="I1046" s="2" t="s">
        <v>10984</v>
      </c>
      <c r="J1046" s="2" t="s">
        <v>10985</v>
      </c>
      <c r="K1046" s="2" t="s">
        <v>10986</v>
      </c>
      <c r="L1046" s="2" t="s">
        <v>29</v>
      </c>
      <c r="M1046" s="2" t="s">
        <v>29</v>
      </c>
      <c r="N1046" s="2" t="s">
        <v>10987</v>
      </c>
      <c r="O1046" s="2" t="s">
        <v>29</v>
      </c>
      <c r="P1046" s="2" t="s">
        <v>10988</v>
      </c>
      <c r="Q1046" s="2" t="s">
        <v>10989</v>
      </c>
      <c r="R1046" s="2" t="s">
        <v>794</v>
      </c>
      <c r="S1046" s="2" t="s">
        <v>7122</v>
      </c>
      <c r="T1046" s="2" t="s">
        <v>8460</v>
      </c>
      <c r="U1046" s="2" t="s">
        <v>29</v>
      </c>
      <c r="V1046" s="2" t="n">
        <v>1</v>
      </c>
    </row>
    <row r="1047">
      <c r="A1047" s="2" t="n">
        <v>1046</v>
      </c>
      <c r="B1047" s="2" t="s">
        <v>10990</v>
      </c>
      <c r="C1047" s="2" t="n">
        <v>861.348249032</v>
      </c>
      <c r="D1047" s="2" t="n">
        <v>9.08773015236324</v>
      </c>
      <c r="E1047" s="2" t="s">
        <v>10991</v>
      </c>
      <c r="F1047" s="2" t="s">
        <v>218</v>
      </c>
      <c r="G1047" s="2" t="s">
        <v>10992</v>
      </c>
      <c r="H1047" s="2" t="s">
        <v>10993</v>
      </c>
      <c r="I1047" s="2" t="s">
        <v>10994</v>
      </c>
      <c r="J1047" s="2" t="s">
        <v>10995</v>
      </c>
      <c r="K1047" s="2" t="s">
        <v>29</v>
      </c>
      <c r="L1047" s="2" t="s">
        <v>10996</v>
      </c>
      <c r="M1047" s="2" t="s">
        <v>10997</v>
      </c>
      <c r="N1047" s="2" t="s">
        <v>10998</v>
      </c>
      <c r="O1047" s="2" t="s">
        <v>10999</v>
      </c>
      <c r="P1047" s="2" t="s">
        <v>11000</v>
      </c>
      <c r="Q1047" s="2" t="s">
        <v>11001</v>
      </c>
      <c r="R1047" s="2" t="s">
        <v>3003</v>
      </c>
      <c r="S1047" s="2" t="s">
        <v>11002</v>
      </c>
      <c r="T1047" s="2" t="s">
        <v>215</v>
      </c>
      <c r="U1047" s="2" t="s">
        <v>101</v>
      </c>
      <c r="V1047" s="2" t="n">
        <v>1</v>
      </c>
    </row>
    <row r="1048">
      <c r="A1048" s="2" t="n">
        <v>1047</v>
      </c>
      <c r="B1048" s="2" t="s">
        <v>11003</v>
      </c>
      <c r="C1048" s="2" t="n">
        <v>861.541787388</v>
      </c>
      <c r="D1048" s="2" t="n">
        <v>2.00416606900465</v>
      </c>
      <c r="E1048" s="2" t="s">
        <v>11004</v>
      </c>
      <c r="F1048" s="2" t="s">
        <v>86</v>
      </c>
      <c r="G1048" s="2" t="s">
        <v>11005</v>
      </c>
      <c r="H1048" s="2" t="s">
        <v>11006</v>
      </c>
      <c r="I1048" s="2" t="s">
        <v>11007</v>
      </c>
      <c r="J1048" s="2" t="s">
        <v>11008</v>
      </c>
      <c r="K1048" s="2" t="s">
        <v>11009</v>
      </c>
      <c r="L1048" s="2" t="s">
        <v>29</v>
      </c>
      <c r="M1048" s="2" t="s">
        <v>11010</v>
      </c>
      <c r="N1048" s="2" t="s">
        <v>11011</v>
      </c>
      <c r="O1048" s="2" t="s">
        <v>29</v>
      </c>
      <c r="P1048" s="2" t="s">
        <v>11012</v>
      </c>
      <c r="Q1048" s="2" t="s">
        <v>11013</v>
      </c>
      <c r="R1048" s="2" t="s">
        <v>794</v>
      </c>
      <c r="S1048" s="2" t="s">
        <v>7122</v>
      </c>
      <c r="T1048" s="2" t="s">
        <v>9951</v>
      </c>
      <c r="U1048" s="2" t="s">
        <v>29</v>
      </c>
      <c r="V1048" s="2" t="n">
        <v>1</v>
      </c>
    </row>
    <row r="1049">
      <c r="A1049" s="2" t="n">
        <v>1048</v>
      </c>
      <c r="B1049" s="2" t="s">
        <v>11014</v>
      </c>
      <c r="C1049" s="2" t="n">
        <v>862.363759401</v>
      </c>
      <c r="D1049" s="2" t="n">
        <v>6.57499314701249</v>
      </c>
      <c r="E1049" s="2" t="s">
        <v>11015</v>
      </c>
      <c r="F1049" s="2" t="s">
        <v>531</v>
      </c>
      <c r="G1049" s="2" t="s">
        <v>11016</v>
      </c>
      <c r="H1049" s="2" t="s">
        <v>11017</v>
      </c>
      <c r="I1049" s="2" t="s">
        <v>11018</v>
      </c>
      <c r="J1049" s="2" t="s">
        <v>29</v>
      </c>
      <c r="K1049" s="2" t="s">
        <v>29</v>
      </c>
      <c r="L1049" s="2" t="s">
        <v>29</v>
      </c>
      <c r="M1049" s="2" t="s">
        <v>29</v>
      </c>
      <c r="N1049" s="2" t="s">
        <v>11019</v>
      </c>
      <c r="O1049" s="2" t="s">
        <v>29</v>
      </c>
      <c r="P1049" s="2" t="s">
        <v>11020</v>
      </c>
      <c r="Q1049" s="2" t="s">
        <v>11021</v>
      </c>
      <c r="R1049" s="2" t="s">
        <v>794</v>
      </c>
      <c r="S1049" s="2" t="s">
        <v>7122</v>
      </c>
      <c r="T1049" s="2" t="s">
        <v>11022</v>
      </c>
      <c r="U1049" s="2" t="s">
        <v>29</v>
      </c>
      <c r="V1049" s="2" t="n">
        <v>1</v>
      </c>
    </row>
    <row r="1050">
      <c r="A1050" s="2" t="n">
        <v>1049</v>
      </c>
      <c r="B1050" s="2" t="s">
        <v>11023</v>
      </c>
      <c r="C1050" s="2" t="n">
        <v>863.529905378</v>
      </c>
      <c r="D1050" s="2" t="n">
        <v>3.97741039882246</v>
      </c>
      <c r="E1050" s="2" t="s">
        <v>11024</v>
      </c>
      <c r="F1050" s="2" t="s">
        <v>161</v>
      </c>
      <c r="G1050" s="2" t="s">
        <v>11025</v>
      </c>
      <c r="H1050" s="2" t="s">
        <v>11026</v>
      </c>
      <c r="I1050" s="2" t="s">
        <v>11027</v>
      </c>
      <c r="J1050" s="2" t="s">
        <v>29</v>
      </c>
      <c r="K1050" s="2" t="s">
        <v>29</v>
      </c>
      <c r="L1050" s="2" t="s">
        <v>29</v>
      </c>
      <c r="M1050" s="2" t="s">
        <v>29</v>
      </c>
      <c r="N1050" s="2" t="s">
        <v>11028</v>
      </c>
      <c r="O1050" s="2" t="s">
        <v>29</v>
      </c>
      <c r="P1050" s="2" t="s">
        <v>11029</v>
      </c>
      <c r="Q1050" s="2" t="s">
        <v>11030</v>
      </c>
      <c r="R1050" s="2" t="s">
        <v>2416</v>
      </c>
      <c r="S1050" s="2" t="s">
        <v>10012</v>
      </c>
      <c r="T1050" s="2" t="s">
        <v>11031</v>
      </c>
      <c r="U1050" s="2" t="s">
        <v>29</v>
      </c>
      <c r="V1050" s="2" t="n">
        <v>1</v>
      </c>
    </row>
    <row r="1051">
      <c r="A1051" s="2" t="n">
        <v>1050</v>
      </c>
      <c r="B1051" s="2" t="s">
        <v>11032</v>
      </c>
      <c r="C1051" s="2" t="n">
        <v>865.516111982</v>
      </c>
      <c r="D1051" s="2" t="n">
        <v>4.56507404118175</v>
      </c>
      <c r="E1051" s="2" t="s">
        <v>11033</v>
      </c>
      <c r="F1051" s="2" t="s">
        <v>683</v>
      </c>
      <c r="G1051" s="2" t="s">
        <v>11034</v>
      </c>
      <c r="H1051" s="2" t="s">
        <v>11035</v>
      </c>
      <c r="I1051" s="2" t="s">
        <v>11036</v>
      </c>
      <c r="J1051" s="2" t="s">
        <v>29</v>
      </c>
      <c r="K1051" s="2" t="s">
        <v>29</v>
      </c>
      <c r="L1051" s="2" t="s">
        <v>29</v>
      </c>
      <c r="M1051" s="2" t="s">
        <v>29</v>
      </c>
      <c r="N1051" s="2" t="s">
        <v>11037</v>
      </c>
      <c r="O1051" s="2" t="s">
        <v>29</v>
      </c>
      <c r="P1051" s="2" t="s">
        <v>11038</v>
      </c>
      <c r="Q1051" s="2" t="s">
        <v>11039</v>
      </c>
      <c r="R1051" s="2" t="s">
        <v>794</v>
      </c>
      <c r="S1051" s="2" t="s">
        <v>2971</v>
      </c>
      <c r="T1051" s="2" t="s">
        <v>7552</v>
      </c>
      <c r="U1051" s="2" t="s">
        <v>29</v>
      </c>
      <c r="V1051" s="2" t="n">
        <v>1</v>
      </c>
    </row>
    <row r="1052">
      <c r="A1052" s="2" t="n">
        <v>1051</v>
      </c>
      <c r="B1052" s="2" t="s">
        <v>11040</v>
      </c>
      <c r="C1052" s="2" t="n">
        <v>866.518887954</v>
      </c>
      <c r="D1052" s="2" t="n">
        <v>0.478308720065558</v>
      </c>
      <c r="E1052" s="2" t="s">
        <v>11041</v>
      </c>
      <c r="F1052" s="2" t="s">
        <v>24</v>
      </c>
      <c r="G1052" s="2" t="s">
        <v>11042</v>
      </c>
      <c r="H1052" s="2" t="s">
        <v>11043</v>
      </c>
      <c r="I1052" s="2" t="s">
        <v>11044</v>
      </c>
      <c r="J1052" s="2" t="s">
        <v>195</v>
      </c>
      <c r="K1052" s="2" t="s">
        <v>195</v>
      </c>
      <c r="L1052" s="2" t="s">
        <v>195</v>
      </c>
      <c r="M1052" s="2" t="s">
        <v>195</v>
      </c>
      <c r="N1052" s="2" t="s">
        <v>195</v>
      </c>
      <c r="O1052" s="2" t="s">
        <v>195</v>
      </c>
      <c r="P1052" s="2" t="s">
        <v>11045</v>
      </c>
      <c r="Q1052" s="2" t="s">
        <v>11046</v>
      </c>
      <c r="R1052" s="2" t="s">
        <v>255</v>
      </c>
      <c r="S1052" s="2" t="s">
        <v>11047</v>
      </c>
      <c r="T1052" s="2" t="s">
        <v>11048</v>
      </c>
      <c r="U1052" s="2" t="s">
        <v>29</v>
      </c>
      <c r="V1052" s="2" t="n">
        <v>3</v>
      </c>
    </row>
    <row r="1053">
      <c r="A1053" s="2" t="n">
        <v>1052</v>
      </c>
      <c r="B1053" s="2" t="s">
        <v>11049</v>
      </c>
      <c r="C1053" s="2" t="n">
        <v>867.518159677</v>
      </c>
      <c r="D1053" s="2" t="n">
        <v>7.93776965457365</v>
      </c>
      <c r="E1053" s="2" t="s">
        <v>11050</v>
      </c>
      <c r="F1053" s="2" t="s">
        <v>24</v>
      </c>
      <c r="G1053" s="2" t="s">
        <v>11051</v>
      </c>
      <c r="H1053" s="2" t="s">
        <v>11052</v>
      </c>
      <c r="I1053" s="2" t="s">
        <v>11053</v>
      </c>
      <c r="J1053" s="2" t="s">
        <v>29</v>
      </c>
      <c r="K1053" s="2" t="s">
        <v>29</v>
      </c>
      <c r="L1053" s="2" t="s">
        <v>29</v>
      </c>
      <c r="M1053" s="2" t="s">
        <v>29</v>
      </c>
      <c r="N1053" s="2" t="s">
        <v>11054</v>
      </c>
      <c r="O1053" s="2" t="s">
        <v>29</v>
      </c>
      <c r="P1053" s="2" t="s">
        <v>11055</v>
      </c>
      <c r="Q1053" s="2" t="s">
        <v>11056</v>
      </c>
      <c r="R1053" s="2" t="s">
        <v>794</v>
      </c>
      <c r="S1053" s="2" t="s">
        <v>7122</v>
      </c>
      <c r="T1053" s="2" t="s">
        <v>9951</v>
      </c>
      <c r="U1053" s="2" t="s">
        <v>29</v>
      </c>
      <c r="V1053" s="2" t="n">
        <v>1</v>
      </c>
    </row>
    <row r="1054">
      <c r="A1054" s="2" t="n">
        <v>1053</v>
      </c>
      <c r="B1054" s="2" t="s">
        <v>11057</v>
      </c>
      <c r="C1054" s="2" t="n">
        <v>871.570707964</v>
      </c>
      <c r="D1054" s="2" t="n">
        <v>6.63646828126683</v>
      </c>
      <c r="E1054" s="2" t="s">
        <v>11058</v>
      </c>
      <c r="F1054" s="2" t="s">
        <v>683</v>
      </c>
      <c r="G1054" s="2" t="s">
        <v>11059</v>
      </c>
      <c r="H1054" s="2" t="s">
        <v>11060</v>
      </c>
      <c r="I1054" s="2" t="s">
        <v>11061</v>
      </c>
      <c r="J1054" s="2" t="s">
        <v>11062</v>
      </c>
      <c r="K1054" s="2" t="s">
        <v>29</v>
      </c>
      <c r="L1054" s="2" t="s">
        <v>29</v>
      </c>
      <c r="M1054" s="2" t="s">
        <v>29</v>
      </c>
      <c r="N1054" s="2" t="s">
        <v>11063</v>
      </c>
      <c r="O1054" s="2" t="s">
        <v>29</v>
      </c>
      <c r="P1054" s="2" t="s">
        <v>11064</v>
      </c>
      <c r="Q1054" s="2" t="s">
        <v>11065</v>
      </c>
      <c r="R1054" s="2" t="s">
        <v>114</v>
      </c>
      <c r="S1054" s="2" t="s">
        <v>994</v>
      </c>
      <c r="T1054" s="2" t="s">
        <v>1468</v>
      </c>
      <c r="U1054" s="2" t="s">
        <v>29</v>
      </c>
      <c r="V1054" s="2" t="n">
        <v>1</v>
      </c>
    </row>
    <row r="1055">
      <c r="A1055" s="2" t="n">
        <v>1054</v>
      </c>
      <c r="B1055" s="2" t="s">
        <v>11066</v>
      </c>
      <c r="C1055" s="2" t="n">
        <v>872.580543971</v>
      </c>
      <c r="D1055" s="2" t="n">
        <v>2.73382608122206</v>
      </c>
      <c r="E1055" s="2" t="s">
        <v>11067</v>
      </c>
      <c r="F1055" s="2" t="s">
        <v>161</v>
      </c>
      <c r="G1055" s="2" t="s">
        <v>11068</v>
      </c>
      <c r="H1055" s="2" t="s">
        <v>11069</v>
      </c>
      <c r="I1055" s="2" t="s">
        <v>11070</v>
      </c>
      <c r="J1055" s="2" t="s">
        <v>29</v>
      </c>
      <c r="K1055" s="2" t="s">
        <v>29</v>
      </c>
      <c r="L1055" s="2" t="s">
        <v>29</v>
      </c>
      <c r="M1055" s="2" t="s">
        <v>29</v>
      </c>
      <c r="N1055" s="2" t="s">
        <v>11071</v>
      </c>
      <c r="O1055" s="2" t="s">
        <v>29</v>
      </c>
      <c r="P1055" s="2" t="s">
        <v>11072</v>
      </c>
      <c r="Q1055" s="2" t="s">
        <v>11073</v>
      </c>
      <c r="R1055" s="2" t="s">
        <v>794</v>
      </c>
      <c r="S1055" s="2" t="s">
        <v>7122</v>
      </c>
      <c r="T1055" s="2" t="s">
        <v>8876</v>
      </c>
      <c r="U1055" s="2" t="s">
        <v>29</v>
      </c>
      <c r="V1055" s="2" t="n">
        <v>1</v>
      </c>
    </row>
    <row r="1056">
      <c r="A1056" s="2" t="n">
        <v>1055</v>
      </c>
      <c r="B1056" s="2" t="s">
        <v>11074</v>
      </c>
      <c r="C1056" s="2" t="n">
        <v>874.487583041</v>
      </c>
      <c r="D1056" s="2" t="n">
        <v>3.73273321450326</v>
      </c>
      <c r="E1056" s="2" t="s">
        <v>11075</v>
      </c>
      <c r="F1056" s="2" t="s">
        <v>205</v>
      </c>
      <c r="G1056" s="2" t="s">
        <v>11076</v>
      </c>
      <c r="H1056" s="2" t="s">
        <v>11077</v>
      </c>
      <c r="I1056" s="2" t="s">
        <v>11078</v>
      </c>
      <c r="J1056" s="2" t="s">
        <v>11079</v>
      </c>
      <c r="K1056" s="2" t="s">
        <v>11080</v>
      </c>
      <c r="L1056" s="2" t="s">
        <v>29</v>
      </c>
      <c r="M1056" s="2" t="s">
        <v>29</v>
      </c>
      <c r="N1056" s="2" t="s">
        <v>11081</v>
      </c>
      <c r="O1056" s="2" t="s">
        <v>29</v>
      </c>
      <c r="P1056" s="2" t="s">
        <v>11082</v>
      </c>
      <c r="Q1056" s="2" t="s">
        <v>11083</v>
      </c>
      <c r="R1056" s="2" t="s">
        <v>794</v>
      </c>
      <c r="S1056" s="2" t="s">
        <v>7122</v>
      </c>
      <c r="T1056" s="2" t="s">
        <v>8876</v>
      </c>
      <c r="U1056" s="2" t="s">
        <v>56</v>
      </c>
      <c r="V1056" s="2" t="n">
        <v>1</v>
      </c>
    </row>
    <row r="1057">
      <c r="A1057" s="2" t="n">
        <v>1056</v>
      </c>
      <c r="B1057" s="2" t="s">
        <v>11084</v>
      </c>
      <c r="C1057" s="2" t="n">
        <v>874.609807373</v>
      </c>
      <c r="D1057" s="2" t="n">
        <v>0.639595741076371</v>
      </c>
      <c r="E1057" s="2" t="s">
        <v>11085</v>
      </c>
      <c r="F1057" s="2" t="s">
        <v>86</v>
      </c>
      <c r="G1057" s="2" t="s">
        <v>11086</v>
      </c>
      <c r="H1057" s="2" t="s">
        <v>11087</v>
      </c>
      <c r="I1057" s="2" t="s">
        <v>11088</v>
      </c>
      <c r="J1057" s="2" t="s">
        <v>11089</v>
      </c>
      <c r="K1057" s="2" t="s">
        <v>11090</v>
      </c>
      <c r="L1057" s="2" t="s">
        <v>9831</v>
      </c>
      <c r="M1057" s="2" t="s">
        <v>11091</v>
      </c>
      <c r="N1057" s="2" t="s">
        <v>11092</v>
      </c>
      <c r="O1057" s="2" t="s">
        <v>29</v>
      </c>
      <c r="P1057" s="2" t="s">
        <v>11093</v>
      </c>
      <c r="Q1057" s="2" t="s">
        <v>11094</v>
      </c>
      <c r="R1057" s="2" t="s">
        <v>794</v>
      </c>
      <c r="S1057" s="2" t="s">
        <v>7122</v>
      </c>
      <c r="T1057" s="2" t="s">
        <v>8460</v>
      </c>
      <c r="U1057" s="2" t="s">
        <v>101</v>
      </c>
      <c r="V1057" s="2" t="n">
        <v>1</v>
      </c>
    </row>
    <row r="1058">
      <c r="A1058" s="2" t="n">
        <v>1057</v>
      </c>
      <c r="B1058" s="2" t="s">
        <v>11095</v>
      </c>
      <c r="C1058" s="2" t="n">
        <v>878.547207117</v>
      </c>
      <c r="D1058" s="2" t="n">
        <v>6.71454475567616</v>
      </c>
      <c r="E1058" s="2" t="s">
        <v>11096</v>
      </c>
      <c r="F1058" s="2" t="s">
        <v>86</v>
      </c>
      <c r="G1058" s="2" t="s">
        <v>11097</v>
      </c>
      <c r="H1058" s="2" t="s">
        <v>11098</v>
      </c>
      <c r="I1058" s="2" t="s">
        <v>11099</v>
      </c>
      <c r="J1058" s="2" t="s">
        <v>11100</v>
      </c>
      <c r="K1058" s="2" t="s">
        <v>11101</v>
      </c>
      <c r="L1058" s="2" t="s">
        <v>9434</v>
      </c>
      <c r="M1058" s="2" t="s">
        <v>29</v>
      </c>
      <c r="N1058" s="2" t="s">
        <v>11102</v>
      </c>
      <c r="O1058" s="2" t="s">
        <v>29</v>
      </c>
      <c r="P1058" s="2" t="s">
        <v>11103</v>
      </c>
      <c r="Q1058" s="2" t="s">
        <v>11104</v>
      </c>
      <c r="R1058" s="2" t="s">
        <v>794</v>
      </c>
      <c r="S1058" s="2" t="s">
        <v>7122</v>
      </c>
      <c r="T1058" s="2" t="s">
        <v>8042</v>
      </c>
      <c r="U1058" s="2" t="s">
        <v>101</v>
      </c>
      <c r="V1058" s="2" t="n">
        <v>1</v>
      </c>
    </row>
    <row r="1059">
      <c r="A1059" s="2" t="n">
        <v>1058</v>
      </c>
      <c r="B1059" s="2" t="s">
        <v>11105</v>
      </c>
      <c r="C1059" s="2" t="n">
        <v>879.530414108</v>
      </c>
      <c r="D1059" s="2" t="n">
        <v>6.82067598485523</v>
      </c>
      <c r="E1059" s="2" t="s">
        <v>11106</v>
      </c>
      <c r="F1059" s="2" t="s">
        <v>683</v>
      </c>
      <c r="G1059" s="2" t="s">
        <v>11107</v>
      </c>
      <c r="H1059" s="2" t="s">
        <v>11108</v>
      </c>
      <c r="I1059" s="2" t="s">
        <v>11109</v>
      </c>
      <c r="J1059" s="2" t="s">
        <v>29</v>
      </c>
      <c r="K1059" s="2" t="s">
        <v>29</v>
      </c>
      <c r="L1059" s="2" t="s">
        <v>29</v>
      </c>
      <c r="M1059" s="2" t="s">
        <v>11110</v>
      </c>
      <c r="N1059" s="2" t="s">
        <v>11111</v>
      </c>
      <c r="O1059" s="2" t="s">
        <v>29</v>
      </c>
      <c r="P1059" s="2" t="s">
        <v>11112</v>
      </c>
      <c r="Q1059" s="2" t="s">
        <v>11113</v>
      </c>
      <c r="R1059" s="2" t="s">
        <v>114</v>
      </c>
      <c r="S1059" s="2" t="s">
        <v>397</v>
      </c>
      <c r="T1059" s="2" t="s">
        <v>6158</v>
      </c>
      <c r="U1059" s="2" t="s">
        <v>29</v>
      </c>
      <c r="V1059" s="2" t="n">
        <v>1</v>
      </c>
    </row>
    <row r="1060">
      <c r="A1060" s="2" t="n">
        <v>1059</v>
      </c>
      <c r="B1060" s="2" t="s">
        <v>11114</v>
      </c>
      <c r="C1060" s="2" t="n">
        <v>880.562857181</v>
      </c>
      <c r="D1060" s="2" t="n">
        <v>6.69979650210416</v>
      </c>
      <c r="E1060" s="2" t="s">
        <v>11115</v>
      </c>
      <c r="F1060" s="2" t="s">
        <v>86</v>
      </c>
      <c r="G1060" s="2" t="s">
        <v>11116</v>
      </c>
      <c r="H1060" s="2" t="s">
        <v>11117</v>
      </c>
      <c r="I1060" s="2" t="s">
        <v>11118</v>
      </c>
      <c r="J1060" s="2" t="s">
        <v>11119</v>
      </c>
      <c r="K1060" s="2" t="s">
        <v>29</v>
      </c>
      <c r="L1060" s="2" t="s">
        <v>9434</v>
      </c>
      <c r="M1060" s="2" t="s">
        <v>29</v>
      </c>
      <c r="N1060" s="2" t="s">
        <v>11120</v>
      </c>
      <c r="O1060" s="2" t="s">
        <v>29</v>
      </c>
      <c r="P1060" s="2" t="s">
        <v>11121</v>
      </c>
      <c r="Q1060" s="2" t="s">
        <v>11122</v>
      </c>
      <c r="R1060" s="2" t="s">
        <v>794</v>
      </c>
      <c r="S1060" s="2" t="s">
        <v>7122</v>
      </c>
      <c r="T1060" s="2" t="s">
        <v>8042</v>
      </c>
      <c r="U1060" s="2" t="s">
        <v>101</v>
      </c>
      <c r="V1060" s="2" t="n">
        <v>1</v>
      </c>
    </row>
    <row r="1061">
      <c r="A1061" s="2" t="n">
        <v>1060</v>
      </c>
      <c r="B1061" s="2" t="s">
        <v>11123</v>
      </c>
      <c r="C1061" s="2" t="n">
        <v>881.53967819</v>
      </c>
      <c r="D1061" s="2" t="n">
        <v>9.19627818768006</v>
      </c>
      <c r="E1061" s="2" t="s">
        <v>11124</v>
      </c>
      <c r="F1061" s="2" t="s">
        <v>205</v>
      </c>
      <c r="G1061" s="2" t="s">
        <v>11125</v>
      </c>
      <c r="H1061" s="2" t="s">
        <v>11126</v>
      </c>
      <c r="I1061" s="2" t="s">
        <v>11127</v>
      </c>
      <c r="J1061" s="2" t="s">
        <v>29</v>
      </c>
      <c r="K1061" s="2" t="s">
        <v>29</v>
      </c>
      <c r="L1061" s="2" t="s">
        <v>29</v>
      </c>
      <c r="M1061" s="2" t="s">
        <v>11128</v>
      </c>
      <c r="N1061" s="2" t="s">
        <v>29</v>
      </c>
      <c r="O1061" s="2" t="s">
        <v>29</v>
      </c>
      <c r="P1061" s="2" t="s">
        <v>11129</v>
      </c>
      <c r="Q1061" s="2" t="s">
        <v>11130</v>
      </c>
      <c r="R1061" s="2" t="s">
        <v>794</v>
      </c>
      <c r="S1061" s="2" t="s">
        <v>7122</v>
      </c>
      <c r="T1061" s="2" t="s">
        <v>9394</v>
      </c>
      <c r="U1061" s="2" t="s">
        <v>56</v>
      </c>
      <c r="V1061" s="2" t="n">
        <v>1</v>
      </c>
    </row>
    <row r="1062">
      <c r="A1062" s="2" t="n">
        <v>1061</v>
      </c>
      <c r="B1062" s="2" t="s">
        <v>11131</v>
      </c>
      <c r="C1062" s="2" t="n">
        <v>883.340861554</v>
      </c>
      <c r="D1062" s="2" t="n">
        <v>4.69658907127274</v>
      </c>
      <c r="E1062" s="2" t="s">
        <v>11132</v>
      </c>
      <c r="F1062" s="2" t="s">
        <v>161</v>
      </c>
      <c r="G1062" s="2" t="s">
        <v>11133</v>
      </c>
      <c r="H1062" s="2" t="s">
        <v>11134</v>
      </c>
      <c r="I1062" s="2" t="s">
        <v>11135</v>
      </c>
      <c r="J1062" s="2" t="s">
        <v>29</v>
      </c>
      <c r="K1062" s="2" t="s">
        <v>29</v>
      </c>
      <c r="L1062" s="2" t="s">
        <v>29</v>
      </c>
      <c r="M1062" s="2" t="s">
        <v>29</v>
      </c>
      <c r="N1062" s="2" t="s">
        <v>11136</v>
      </c>
      <c r="O1062" s="2" t="s">
        <v>29</v>
      </c>
      <c r="P1062" s="2" t="s">
        <v>11137</v>
      </c>
      <c r="Q1062" s="2" t="s">
        <v>11138</v>
      </c>
      <c r="R1062" s="2" t="s">
        <v>36</v>
      </c>
      <c r="S1062" s="2" t="s">
        <v>37</v>
      </c>
      <c r="T1062" s="2" t="s">
        <v>69</v>
      </c>
      <c r="U1062" s="2" t="s">
        <v>29</v>
      </c>
      <c r="V1062" s="2" t="n">
        <v>1</v>
      </c>
    </row>
    <row r="1063">
      <c r="A1063" s="2" t="n">
        <v>1062</v>
      </c>
      <c r="B1063" s="2" t="s">
        <v>11139</v>
      </c>
      <c r="C1063" s="2" t="n">
        <v>884.544708778</v>
      </c>
      <c r="D1063" s="2" t="n">
        <v>6.35163249497929</v>
      </c>
      <c r="E1063" s="2" t="s">
        <v>11140</v>
      </c>
      <c r="F1063" s="2" t="s">
        <v>24</v>
      </c>
      <c r="G1063" s="2" t="s">
        <v>11141</v>
      </c>
      <c r="H1063" s="2" t="s">
        <v>11142</v>
      </c>
      <c r="I1063" s="2" t="s">
        <v>11143</v>
      </c>
      <c r="J1063" s="2" t="s">
        <v>29</v>
      </c>
      <c r="K1063" s="2" t="s">
        <v>29</v>
      </c>
      <c r="L1063" s="2" t="s">
        <v>29</v>
      </c>
      <c r="M1063" s="2" t="s">
        <v>29</v>
      </c>
      <c r="N1063" s="2" t="s">
        <v>11144</v>
      </c>
      <c r="O1063" s="2" t="s">
        <v>29</v>
      </c>
      <c r="P1063" s="2" t="s">
        <v>11145</v>
      </c>
      <c r="Q1063" s="2" t="s">
        <v>11146</v>
      </c>
      <c r="R1063" s="2" t="s">
        <v>794</v>
      </c>
      <c r="S1063" s="2" t="s">
        <v>7122</v>
      </c>
      <c r="T1063" s="2" t="s">
        <v>8876</v>
      </c>
      <c r="U1063" s="2" t="s">
        <v>29</v>
      </c>
      <c r="V1063" s="2" t="n">
        <v>1</v>
      </c>
    </row>
    <row r="1064">
      <c r="A1064" s="2" t="n">
        <v>1063</v>
      </c>
      <c r="B1064" s="2" t="s">
        <v>11147</v>
      </c>
      <c r="C1064" s="2" t="n">
        <v>885.555410596</v>
      </c>
      <c r="D1064" s="2" t="n">
        <v>2.40553353125176</v>
      </c>
      <c r="E1064" s="2" t="s">
        <v>11148</v>
      </c>
      <c r="F1064" s="2" t="s">
        <v>24</v>
      </c>
      <c r="G1064" s="2" t="s">
        <v>11149</v>
      </c>
      <c r="H1064" s="2" t="s">
        <v>11150</v>
      </c>
      <c r="I1064" s="2" t="s">
        <v>11151</v>
      </c>
      <c r="J1064" s="2" t="s">
        <v>29</v>
      </c>
      <c r="K1064" s="2" t="s">
        <v>29</v>
      </c>
      <c r="L1064" s="2" t="s">
        <v>29</v>
      </c>
      <c r="M1064" s="2" t="s">
        <v>29</v>
      </c>
      <c r="N1064" s="2" t="s">
        <v>11152</v>
      </c>
      <c r="O1064" s="2" t="s">
        <v>29</v>
      </c>
      <c r="P1064" s="2" t="s">
        <v>11153</v>
      </c>
      <c r="Q1064" s="2" t="s">
        <v>11154</v>
      </c>
      <c r="R1064" s="2" t="s">
        <v>36</v>
      </c>
      <c r="S1064" s="2" t="s">
        <v>37</v>
      </c>
      <c r="T1064" s="2" t="s">
        <v>69</v>
      </c>
      <c r="U1064" s="2" t="s">
        <v>29</v>
      </c>
      <c r="V1064" s="2" t="n">
        <v>1</v>
      </c>
    </row>
    <row r="1065">
      <c r="A1065" s="2" t="n">
        <v>1064</v>
      </c>
      <c r="B1065" s="2" t="s">
        <v>11155</v>
      </c>
      <c r="C1065" s="2" t="n">
        <v>886.560354053</v>
      </c>
      <c r="D1065" s="2" t="n">
        <v>2.68656580207911</v>
      </c>
      <c r="E1065" s="2" t="s">
        <v>11156</v>
      </c>
      <c r="F1065" s="2" t="s">
        <v>205</v>
      </c>
      <c r="G1065" s="2" t="s">
        <v>11157</v>
      </c>
      <c r="H1065" s="2" t="s">
        <v>11158</v>
      </c>
      <c r="I1065" s="2" t="s">
        <v>11159</v>
      </c>
      <c r="J1065" s="2" t="s">
        <v>11160</v>
      </c>
      <c r="K1065" s="2" t="s">
        <v>29</v>
      </c>
      <c r="L1065" s="2" t="s">
        <v>9434</v>
      </c>
      <c r="M1065" s="2" t="s">
        <v>29</v>
      </c>
      <c r="N1065" s="2" t="s">
        <v>11161</v>
      </c>
      <c r="O1065" s="2" t="s">
        <v>29</v>
      </c>
      <c r="P1065" s="2" t="s">
        <v>11162</v>
      </c>
      <c r="Q1065" s="2" t="s">
        <v>11163</v>
      </c>
      <c r="R1065" s="2" t="s">
        <v>794</v>
      </c>
      <c r="S1065" s="2" t="s">
        <v>7122</v>
      </c>
      <c r="T1065" s="2" t="s">
        <v>8042</v>
      </c>
      <c r="U1065" s="2" t="s">
        <v>56</v>
      </c>
      <c r="V1065" s="2" t="n">
        <v>1</v>
      </c>
    </row>
    <row r="1066">
      <c r="A1066" s="2" t="n">
        <v>1065</v>
      </c>
      <c r="B1066" s="2" t="s">
        <v>11164</v>
      </c>
      <c r="C1066" s="2" t="n">
        <v>890.547207117</v>
      </c>
      <c r="D1066" s="2" t="n">
        <v>2.69162945666545</v>
      </c>
      <c r="E1066" s="2" t="s">
        <v>11165</v>
      </c>
      <c r="F1066" s="2" t="s">
        <v>86</v>
      </c>
      <c r="G1066" s="2" t="s">
        <v>11166</v>
      </c>
      <c r="H1066" s="2" t="s">
        <v>11167</v>
      </c>
      <c r="I1066" s="2" t="s">
        <v>11168</v>
      </c>
      <c r="J1066" s="2" t="s">
        <v>11169</v>
      </c>
      <c r="K1066" s="2" t="s">
        <v>29</v>
      </c>
      <c r="L1066" s="2" t="s">
        <v>9831</v>
      </c>
      <c r="M1066" s="2" t="s">
        <v>11170</v>
      </c>
      <c r="N1066" s="2" t="s">
        <v>11171</v>
      </c>
      <c r="O1066" s="2" t="s">
        <v>29</v>
      </c>
      <c r="P1066" s="2" t="s">
        <v>11172</v>
      </c>
      <c r="Q1066" s="2" t="s">
        <v>11173</v>
      </c>
      <c r="R1066" s="2" t="s">
        <v>794</v>
      </c>
      <c r="S1066" s="2" t="s">
        <v>7122</v>
      </c>
      <c r="T1066" s="2" t="s">
        <v>8460</v>
      </c>
      <c r="U1066" s="2" t="s">
        <v>101</v>
      </c>
      <c r="V1066" s="2" t="n">
        <v>1</v>
      </c>
    </row>
    <row r="1067">
      <c r="A1067" s="2" t="n">
        <v>1066</v>
      </c>
      <c r="B1067" s="2" t="s">
        <v>11174</v>
      </c>
      <c r="C1067" s="2" t="n">
        <v>892.479344345</v>
      </c>
      <c r="D1067" s="2" t="n">
        <v>6.36804511526955</v>
      </c>
      <c r="E1067" s="2" t="s">
        <v>11175</v>
      </c>
      <c r="F1067" s="2" t="s">
        <v>161</v>
      </c>
      <c r="G1067" s="2" t="s">
        <v>11176</v>
      </c>
      <c r="H1067" s="2" t="s">
        <v>11177</v>
      </c>
      <c r="I1067" s="2" t="s">
        <v>11178</v>
      </c>
      <c r="J1067" s="2" t="s">
        <v>29</v>
      </c>
      <c r="K1067" s="2" t="s">
        <v>29</v>
      </c>
      <c r="L1067" s="2" t="s">
        <v>29</v>
      </c>
      <c r="M1067" s="2" t="s">
        <v>29</v>
      </c>
      <c r="N1067" s="2" t="s">
        <v>29</v>
      </c>
      <c r="O1067" s="2" t="s">
        <v>29</v>
      </c>
      <c r="P1067" s="2" t="s">
        <v>11179</v>
      </c>
      <c r="Q1067" s="2" t="s">
        <v>11180</v>
      </c>
      <c r="R1067" s="2" t="s">
        <v>36</v>
      </c>
      <c r="S1067" s="2" t="s">
        <v>37</v>
      </c>
      <c r="T1067" s="2" t="s">
        <v>69</v>
      </c>
      <c r="U1067" s="2" t="s">
        <v>29</v>
      </c>
      <c r="V1067" s="2" t="n">
        <v>1</v>
      </c>
    </row>
    <row r="1068">
      <c r="A1068" s="2" t="n">
        <v>1067</v>
      </c>
      <c r="B1068" s="2" t="s">
        <v>11181</v>
      </c>
      <c r="C1068" s="2" t="n">
        <v>892.582156915</v>
      </c>
      <c r="D1068" s="2" t="n">
        <v>0.187037434926533</v>
      </c>
      <c r="E1068" s="2" t="s">
        <v>11182</v>
      </c>
      <c r="F1068" s="2" t="s">
        <v>24</v>
      </c>
      <c r="G1068" s="2" t="s">
        <v>11183</v>
      </c>
      <c r="H1068" s="2" t="s">
        <v>11184</v>
      </c>
      <c r="I1068" s="2" t="s">
        <v>11185</v>
      </c>
      <c r="J1068" s="2" t="s">
        <v>29</v>
      </c>
      <c r="K1068" s="2" t="s">
        <v>29</v>
      </c>
      <c r="L1068" s="2" t="s">
        <v>29</v>
      </c>
      <c r="M1068" s="2" t="s">
        <v>29</v>
      </c>
      <c r="N1068" s="2" t="s">
        <v>11186</v>
      </c>
      <c r="O1068" s="2" t="s">
        <v>29</v>
      </c>
      <c r="P1068" s="2" t="s">
        <v>11187</v>
      </c>
      <c r="Q1068" s="2" t="s">
        <v>11188</v>
      </c>
      <c r="R1068" s="2" t="s">
        <v>794</v>
      </c>
      <c r="S1068" s="2" t="s">
        <v>7122</v>
      </c>
      <c r="T1068" s="2" t="s">
        <v>215</v>
      </c>
      <c r="U1068" s="2" t="s">
        <v>29</v>
      </c>
      <c r="V1068" s="2" t="n">
        <v>1</v>
      </c>
    </row>
    <row r="1069">
      <c r="A1069" s="2" t="n">
        <v>1068</v>
      </c>
      <c r="B1069" s="2" t="s">
        <v>11189</v>
      </c>
      <c r="C1069" s="2" t="n">
        <v>894.578507245</v>
      </c>
      <c r="D1069" s="2" t="n">
        <v>9.00832494328206</v>
      </c>
      <c r="E1069" s="2" t="s">
        <v>11190</v>
      </c>
      <c r="F1069" s="2" t="s">
        <v>86</v>
      </c>
      <c r="G1069" s="2" t="s">
        <v>11191</v>
      </c>
      <c r="H1069" s="2" t="s">
        <v>11192</v>
      </c>
      <c r="I1069" s="2" t="s">
        <v>11193</v>
      </c>
      <c r="J1069" s="2" t="s">
        <v>11194</v>
      </c>
      <c r="K1069" s="2" t="s">
        <v>11195</v>
      </c>
      <c r="L1069" s="2" t="s">
        <v>9831</v>
      </c>
      <c r="M1069" s="2" t="s">
        <v>29</v>
      </c>
      <c r="N1069" s="2" t="s">
        <v>11196</v>
      </c>
      <c r="O1069" s="2" t="s">
        <v>29</v>
      </c>
      <c r="P1069" s="2" t="s">
        <v>11197</v>
      </c>
      <c r="Q1069" s="2" t="s">
        <v>11198</v>
      </c>
      <c r="R1069" s="2" t="s">
        <v>794</v>
      </c>
      <c r="S1069" s="2" t="s">
        <v>7122</v>
      </c>
      <c r="T1069" s="2" t="s">
        <v>8460</v>
      </c>
      <c r="U1069" s="2" t="s">
        <v>39</v>
      </c>
      <c r="V1069" s="2" t="n">
        <v>1</v>
      </c>
    </row>
    <row r="1070">
      <c r="A1070" s="2" t="n">
        <v>1069</v>
      </c>
      <c r="B1070" s="2" t="s">
        <v>11199</v>
      </c>
      <c r="C1070" s="2" t="n">
        <v>895.588214292</v>
      </c>
      <c r="D1070" s="2" t="n">
        <v>8.2353573893522</v>
      </c>
      <c r="E1070" s="2" t="s">
        <v>11200</v>
      </c>
      <c r="F1070" s="2" t="s">
        <v>683</v>
      </c>
      <c r="G1070" s="2" t="s">
        <v>11201</v>
      </c>
      <c r="H1070" s="2" t="s">
        <v>11202</v>
      </c>
      <c r="I1070" s="2" t="s">
        <v>11203</v>
      </c>
      <c r="J1070" s="2" t="s">
        <v>11204</v>
      </c>
      <c r="K1070" s="2" t="s">
        <v>91</v>
      </c>
      <c r="L1070" s="2" t="s">
        <v>91</v>
      </c>
      <c r="M1070" s="2" t="s">
        <v>11205</v>
      </c>
      <c r="N1070" s="2" t="s">
        <v>11206</v>
      </c>
      <c r="O1070" s="2" t="s">
        <v>11207</v>
      </c>
      <c r="P1070" s="2" t="s">
        <v>11208</v>
      </c>
      <c r="Q1070" s="2" t="s">
        <v>11209</v>
      </c>
      <c r="R1070" s="2" t="s">
        <v>412</v>
      </c>
      <c r="S1070" s="2" t="s">
        <v>5304</v>
      </c>
      <c r="T1070" s="2" t="s">
        <v>7979</v>
      </c>
      <c r="U1070" s="2" t="s">
        <v>56</v>
      </c>
      <c r="V1070" s="2" t="n">
        <v>2</v>
      </c>
    </row>
    <row r="1071">
      <c r="A1071" s="2" t="n">
        <v>1070</v>
      </c>
      <c r="B1071" s="2" t="s">
        <v>11210</v>
      </c>
      <c r="C1071" s="2" t="n">
        <v>895.752693069</v>
      </c>
      <c r="D1071" s="2" t="n">
        <v>4.13559866791115</v>
      </c>
      <c r="E1071" s="2" t="s">
        <v>11211</v>
      </c>
      <c r="F1071" s="2" t="s">
        <v>86</v>
      </c>
      <c r="G1071" s="2" t="s">
        <v>11212</v>
      </c>
      <c r="H1071" s="2" t="s">
        <v>11213</v>
      </c>
      <c r="I1071" s="2" t="s">
        <v>11214</v>
      </c>
      <c r="J1071" s="2" t="s">
        <v>11215</v>
      </c>
      <c r="K1071" s="2" t="s">
        <v>29</v>
      </c>
      <c r="L1071" s="2" t="s">
        <v>9144</v>
      </c>
      <c r="M1071" s="2" t="s">
        <v>29</v>
      </c>
      <c r="N1071" s="2" t="s">
        <v>11216</v>
      </c>
      <c r="O1071" s="2" t="s">
        <v>29</v>
      </c>
      <c r="P1071" s="2" t="s">
        <v>11217</v>
      </c>
      <c r="Q1071" s="2" t="s">
        <v>11218</v>
      </c>
      <c r="R1071" s="2" t="s">
        <v>794</v>
      </c>
      <c r="S1071" s="2" t="s">
        <v>2600</v>
      </c>
      <c r="T1071" s="2" t="s">
        <v>8840</v>
      </c>
      <c r="U1071" s="2" t="s">
        <v>101</v>
      </c>
      <c r="V1071" s="2" t="n">
        <v>1</v>
      </c>
    </row>
    <row r="1072">
      <c r="A1072" s="2" t="n">
        <v>1071</v>
      </c>
      <c r="B1072" s="2" t="s">
        <v>11219</v>
      </c>
      <c r="C1072" s="2" t="n">
        <v>896.379571487</v>
      </c>
      <c r="D1072" s="2" t="n">
        <v>8.2317546279437</v>
      </c>
      <c r="E1072" s="2" t="s">
        <v>11220</v>
      </c>
      <c r="F1072" s="2" t="s">
        <v>24</v>
      </c>
      <c r="G1072" s="2" t="s">
        <v>11221</v>
      </c>
      <c r="H1072" s="2" t="s">
        <v>11222</v>
      </c>
      <c r="I1072" s="2" t="s">
        <v>11223</v>
      </c>
      <c r="J1072" s="2" t="s">
        <v>29</v>
      </c>
      <c r="K1072" s="2" t="s">
        <v>29</v>
      </c>
      <c r="L1072" s="2" t="s">
        <v>29</v>
      </c>
      <c r="M1072" s="2" t="s">
        <v>29</v>
      </c>
      <c r="N1072" s="2" t="s">
        <v>29</v>
      </c>
      <c r="O1072" s="2" t="s">
        <v>29</v>
      </c>
      <c r="P1072" s="2" t="s">
        <v>11224</v>
      </c>
      <c r="Q1072" s="2" t="s">
        <v>11225</v>
      </c>
      <c r="R1072" s="2" t="s">
        <v>36</v>
      </c>
      <c r="S1072" s="2" t="s">
        <v>37</v>
      </c>
      <c r="T1072" s="2" t="s">
        <v>69</v>
      </c>
      <c r="U1072" s="2" t="s">
        <v>29</v>
      </c>
      <c r="V1072" s="2" t="n">
        <v>1</v>
      </c>
    </row>
    <row r="1073">
      <c r="A1073" s="2" t="n">
        <v>1072</v>
      </c>
      <c r="B1073" s="2" t="s">
        <v>11226</v>
      </c>
      <c r="C1073" s="2" t="n">
        <v>897.620970982</v>
      </c>
      <c r="D1073" s="2" t="n">
        <v>1.61990528986826</v>
      </c>
      <c r="E1073" s="2" t="s">
        <v>11227</v>
      </c>
      <c r="F1073" s="2" t="s">
        <v>683</v>
      </c>
      <c r="G1073" s="2" t="s">
        <v>11228</v>
      </c>
      <c r="H1073" s="2" t="s">
        <v>11229</v>
      </c>
      <c r="I1073" s="2" t="s">
        <v>11230</v>
      </c>
      <c r="J1073" s="2" t="s">
        <v>11231</v>
      </c>
      <c r="K1073" s="2" t="s">
        <v>11232</v>
      </c>
      <c r="L1073" s="2" t="s">
        <v>11233</v>
      </c>
      <c r="M1073" s="2" t="s">
        <v>11234</v>
      </c>
      <c r="N1073" s="2" t="s">
        <v>11235</v>
      </c>
      <c r="O1073" s="2" t="s">
        <v>11236</v>
      </c>
      <c r="P1073" s="2" t="s">
        <v>11237</v>
      </c>
      <c r="Q1073" s="2" t="s">
        <v>11238</v>
      </c>
      <c r="R1073" s="2" t="s">
        <v>255</v>
      </c>
      <c r="S1073" s="2" t="s">
        <v>6877</v>
      </c>
      <c r="T1073" s="2" t="s">
        <v>8085</v>
      </c>
      <c r="U1073" s="2" t="s">
        <v>56</v>
      </c>
      <c r="V1073" s="2" t="n">
        <v>3</v>
      </c>
    </row>
    <row r="1074">
      <c r="A1074" s="2" t="n">
        <v>1073</v>
      </c>
      <c r="B1074" s="2" t="s">
        <v>11239</v>
      </c>
      <c r="C1074" s="2" t="n">
        <v>897.768343133</v>
      </c>
      <c r="D1074" s="2" t="n">
        <v>0.520299438558039</v>
      </c>
      <c r="E1074" s="2" t="s">
        <v>11240</v>
      </c>
      <c r="F1074" s="2" t="s">
        <v>86</v>
      </c>
      <c r="G1074" s="2" t="s">
        <v>11241</v>
      </c>
      <c r="H1074" s="2" t="s">
        <v>11242</v>
      </c>
      <c r="I1074" s="2" t="s">
        <v>11243</v>
      </c>
      <c r="J1074" s="2" t="s">
        <v>29</v>
      </c>
      <c r="K1074" s="2" t="s">
        <v>29</v>
      </c>
      <c r="L1074" s="2" t="s">
        <v>29</v>
      </c>
      <c r="M1074" s="2" t="s">
        <v>29</v>
      </c>
      <c r="N1074" s="2" t="s">
        <v>11244</v>
      </c>
      <c r="O1074" s="2" t="s">
        <v>29</v>
      </c>
      <c r="P1074" s="2" t="s">
        <v>11245</v>
      </c>
      <c r="Q1074" s="2" t="s">
        <v>11246</v>
      </c>
      <c r="R1074" s="2" t="s">
        <v>794</v>
      </c>
      <c r="S1074" s="2" t="s">
        <v>2600</v>
      </c>
      <c r="T1074" s="2" t="s">
        <v>8840</v>
      </c>
      <c r="U1074" s="2" t="s">
        <v>29</v>
      </c>
      <c r="V1074" s="2" t="n">
        <v>1</v>
      </c>
    </row>
    <row r="1075">
      <c r="A1075" s="2" t="n">
        <v>1074</v>
      </c>
      <c r="B1075" s="2" t="s">
        <v>11247</v>
      </c>
      <c r="C1075" s="2" t="n">
        <v>899.3069274</v>
      </c>
      <c r="D1075" s="2" t="n">
        <v>9.32306766698169</v>
      </c>
      <c r="E1075" s="2" t="s">
        <v>11248</v>
      </c>
      <c r="F1075" s="2" t="s">
        <v>683</v>
      </c>
      <c r="G1075" s="2" t="s">
        <v>11249</v>
      </c>
      <c r="H1075" s="2" t="s">
        <v>11250</v>
      </c>
      <c r="I1075" s="2" t="s">
        <v>11251</v>
      </c>
      <c r="J1075" s="2" t="s">
        <v>29</v>
      </c>
      <c r="K1075" s="2" t="s">
        <v>29</v>
      </c>
      <c r="L1075" s="2" t="s">
        <v>29</v>
      </c>
      <c r="M1075" s="2" t="s">
        <v>29</v>
      </c>
      <c r="N1075" s="2" t="s">
        <v>11252</v>
      </c>
      <c r="O1075" s="2" t="s">
        <v>29</v>
      </c>
      <c r="P1075" s="2" t="s">
        <v>11253</v>
      </c>
      <c r="Q1075" s="2" t="s">
        <v>11254</v>
      </c>
      <c r="R1075" s="2" t="s">
        <v>186</v>
      </c>
      <c r="S1075" s="2" t="s">
        <v>187</v>
      </c>
      <c r="T1075" s="2" t="s">
        <v>188</v>
      </c>
      <c r="U1075" s="2" t="s">
        <v>29</v>
      </c>
      <c r="V1075" s="2" t="n">
        <v>1</v>
      </c>
    </row>
    <row r="1076">
      <c r="A1076" s="2" t="n">
        <v>1075</v>
      </c>
      <c r="B1076" s="2" t="s">
        <v>11255</v>
      </c>
      <c r="C1076" s="2" t="n">
        <v>900.319791761</v>
      </c>
      <c r="D1076" s="2" t="n">
        <v>0.635309182613157</v>
      </c>
      <c r="E1076" s="2" t="s">
        <v>11256</v>
      </c>
      <c r="F1076" s="2" t="s">
        <v>161</v>
      </c>
      <c r="G1076" s="2" t="s">
        <v>11257</v>
      </c>
      <c r="H1076" s="2" t="s">
        <v>11258</v>
      </c>
      <c r="I1076" s="2" t="s">
        <v>11259</v>
      </c>
      <c r="J1076" s="2" t="s">
        <v>29</v>
      </c>
      <c r="K1076" s="2" t="s">
        <v>29</v>
      </c>
      <c r="L1076" s="2" t="s">
        <v>29</v>
      </c>
      <c r="M1076" s="2" t="s">
        <v>29</v>
      </c>
      <c r="N1076" s="2" t="s">
        <v>11260</v>
      </c>
      <c r="O1076" s="2" t="s">
        <v>29</v>
      </c>
      <c r="P1076" s="2" t="s">
        <v>11261</v>
      </c>
      <c r="Q1076" s="2" t="s">
        <v>11262</v>
      </c>
      <c r="R1076" s="2" t="s">
        <v>36</v>
      </c>
      <c r="S1076" s="2" t="s">
        <v>37</v>
      </c>
      <c r="T1076" s="2" t="s">
        <v>69</v>
      </c>
      <c r="U1076" s="2" t="s">
        <v>29</v>
      </c>
      <c r="V1076" s="2" t="n">
        <v>1</v>
      </c>
    </row>
    <row r="1077">
      <c r="A1077" s="2" t="n">
        <v>1076</v>
      </c>
      <c r="B1077" s="2" t="s">
        <v>11263</v>
      </c>
      <c r="C1077" s="2" t="n">
        <v>900.5204593</v>
      </c>
      <c r="D1077" s="2" t="n">
        <v>3.913073052802</v>
      </c>
      <c r="E1077" s="2" t="s">
        <v>11264</v>
      </c>
      <c r="F1077" s="2" t="s">
        <v>218</v>
      </c>
      <c r="G1077" s="2" t="s">
        <v>11265</v>
      </c>
      <c r="H1077" s="2" t="s">
        <v>11266</v>
      </c>
      <c r="I1077" s="2" t="s">
        <v>11267</v>
      </c>
      <c r="J1077" s="2" t="s">
        <v>29</v>
      </c>
      <c r="K1077" s="2" t="s">
        <v>29</v>
      </c>
      <c r="L1077" s="2" t="s">
        <v>29</v>
      </c>
      <c r="M1077" s="2" t="s">
        <v>29</v>
      </c>
      <c r="N1077" s="2" t="s">
        <v>11268</v>
      </c>
      <c r="O1077" s="2" t="s">
        <v>29</v>
      </c>
      <c r="P1077" s="2" t="s">
        <v>11269</v>
      </c>
      <c r="Q1077" s="2" t="s">
        <v>11270</v>
      </c>
      <c r="R1077" s="2" t="s">
        <v>129</v>
      </c>
      <c r="S1077" s="2" t="s">
        <v>130</v>
      </c>
      <c r="T1077" s="2" t="s">
        <v>1681</v>
      </c>
      <c r="U1077" s="2" t="s">
        <v>29</v>
      </c>
      <c r="V1077" s="2" t="n">
        <v>1</v>
      </c>
    </row>
    <row r="1078">
      <c r="A1078" s="2" t="n">
        <v>1077</v>
      </c>
      <c r="B1078" s="2" t="s">
        <v>11271</v>
      </c>
      <c r="C1078" s="2" t="n">
        <v>901.3275484</v>
      </c>
      <c r="D1078" s="2" t="n">
        <v>2.69421858144788</v>
      </c>
      <c r="E1078" s="2" t="s">
        <v>11272</v>
      </c>
      <c r="F1078" s="2" t="s">
        <v>683</v>
      </c>
      <c r="G1078" s="2" t="s">
        <v>11273</v>
      </c>
      <c r="H1078" s="2" t="s">
        <v>11274</v>
      </c>
      <c r="I1078" s="2" t="s">
        <v>11275</v>
      </c>
      <c r="J1078" s="2" t="s">
        <v>29</v>
      </c>
      <c r="K1078" s="2" t="s">
        <v>29</v>
      </c>
      <c r="L1078" s="2" t="s">
        <v>29</v>
      </c>
      <c r="M1078" s="2" t="s">
        <v>29</v>
      </c>
      <c r="N1078" s="2" t="s">
        <v>11276</v>
      </c>
      <c r="O1078" s="2" t="s">
        <v>29</v>
      </c>
      <c r="P1078" s="2" t="s">
        <v>11277</v>
      </c>
      <c r="Q1078" s="2" t="s">
        <v>11278</v>
      </c>
      <c r="R1078" s="2" t="s">
        <v>186</v>
      </c>
      <c r="S1078" s="2" t="s">
        <v>187</v>
      </c>
      <c r="T1078" s="2" t="s">
        <v>3454</v>
      </c>
      <c r="U1078" s="2" t="s">
        <v>29</v>
      </c>
      <c r="V1078" s="2" t="n">
        <v>1</v>
      </c>
    </row>
    <row r="1079">
      <c r="A1079" s="2" t="n">
        <v>1078</v>
      </c>
      <c r="B1079" s="2" t="s">
        <v>11279</v>
      </c>
      <c r="C1079" s="2" t="n">
        <v>901.557831382</v>
      </c>
      <c r="D1079" s="2" t="n">
        <v>4.92885042373944</v>
      </c>
      <c r="E1079" s="2" t="s">
        <v>11280</v>
      </c>
      <c r="F1079" s="2" t="s">
        <v>86</v>
      </c>
      <c r="G1079" s="2" t="s">
        <v>11281</v>
      </c>
      <c r="H1079" s="2" t="s">
        <v>11282</v>
      </c>
      <c r="I1079" s="2" t="s">
        <v>11283</v>
      </c>
      <c r="J1079" s="2" t="s">
        <v>91</v>
      </c>
      <c r="K1079" s="2" t="s">
        <v>91</v>
      </c>
      <c r="L1079" s="2" t="s">
        <v>91</v>
      </c>
      <c r="M1079" s="2" t="s">
        <v>11284</v>
      </c>
      <c r="N1079" s="2" t="s">
        <v>11285</v>
      </c>
      <c r="O1079" s="2" t="s">
        <v>91</v>
      </c>
      <c r="P1079" s="2" t="s">
        <v>11286</v>
      </c>
      <c r="Q1079" s="2" t="s">
        <v>11287</v>
      </c>
      <c r="R1079" s="2" t="s">
        <v>412</v>
      </c>
      <c r="S1079" s="2" t="s">
        <v>10037</v>
      </c>
      <c r="T1079" s="2" t="s">
        <v>11288</v>
      </c>
      <c r="U1079" s="2" t="s">
        <v>29</v>
      </c>
      <c r="V1079" s="2" t="n">
        <v>2</v>
      </c>
    </row>
    <row r="1080">
      <c r="A1080" s="2" t="n">
        <v>1079</v>
      </c>
      <c r="B1080" s="2" t="s">
        <v>11289</v>
      </c>
      <c r="C1080" s="2" t="n">
        <v>902.531889425</v>
      </c>
      <c r="D1080" s="2" t="n">
        <v>1.27635970750509</v>
      </c>
      <c r="E1080" s="2" t="s">
        <v>11290</v>
      </c>
      <c r="F1080" s="2" t="s">
        <v>218</v>
      </c>
      <c r="G1080" s="2" t="s">
        <v>11291</v>
      </c>
      <c r="H1080" s="2" t="s">
        <v>11292</v>
      </c>
      <c r="I1080" s="2" t="s">
        <v>11293</v>
      </c>
      <c r="J1080" s="2" t="s">
        <v>195</v>
      </c>
      <c r="K1080" s="2" t="s">
        <v>195</v>
      </c>
      <c r="L1080" s="2" t="s">
        <v>195</v>
      </c>
      <c r="M1080" s="2" t="s">
        <v>195</v>
      </c>
      <c r="N1080" s="2" t="s">
        <v>195</v>
      </c>
      <c r="O1080" s="2" t="s">
        <v>195</v>
      </c>
      <c r="P1080" s="2" t="s">
        <v>11294</v>
      </c>
      <c r="Q1080" s="2" t="s">
        <v>11295</v>
      </c>
      <c r="R1080" s="2" t="s">
        <v>255</v>
      </c>
      <c r="S1080" s="2" t="s">
        <v>11047</v>
      </c>
      <c r="T1080" s="2" t="s">
        <v>11296</v>
      </c>
      <c r="U1080" s="2" t="s">
        <v>29</v>
      </c>
      <c r="V1080" s="2" t="n">
        <v>3</v>
      </c>
    </row>
    <row r="1081">
      <c r="A1081" s="2" t="n">
        <v>1080</v>
      </c>
      <c r="B1081" s="2" t="s">
        <v>11297</v>
      </c>
      <c r="C1081" s="2" t="n">
        <v>904.547539971</v>
      </c>
      <c r="D1081" s="2" t="n">
        <v>0.664282835315601</v>
      </c>
      <c r="E1081" s="2" t="s">
        <v>11298</v>
      </c>
      <c r="F1081" s="2" t="s">
        <v>218</v>
      </c>
      <c r="G1081" s="2" t="s">
        <v>11299</v>
      </c>
      <c r="H1081" s="2" t="s">
        <v>11300</v>
      </c>
      <c r="I1081" s="2" t="s">
        <v>11301</v>
      </c>
      <c r="J1081" s="2" t="s">
        <v>29</v>
      </c>
      <c r="K1081" s="2" t="s">
        <v>29</v>
      </c>
      <c r="L1081" s="2" t="s">
        <v>29</v>
      </c>
      <c r="M1081" s="2" t="s">
        <v>29</v>
      </c>
      <c r="N1081" s="2" t="s">
        <v>11302</v>
      </c>
      <c r="O1081" s="2" t="s">
        <v>29</v>
      </c>
      <c r="P1081" s="2" t="s">
        <v>11303</v>
      </c>
      <c r="Q1081" s="2" t="s">
        <v>11304</v>
      </c>
      <c r="R1081" s="2" t="s">
        <v>794</v>
      </c>
      <c r="S1081" s="2" t="s">
        <v>7122</v>
      </c>
      <c r="T1081" s="2" t="s">
        <v>8876</v>
      </c>
      <c r="U1081" s="2" t="s">
        <v>29</v>
      </c>
      <c r="V1081" s="2" t="n">
        <v>1</v>
      </c>
    </row>
    <row r="1082">
      <c r="A1082" s="2" t="n">
        <v>1081</v>
      </c>
      <c r="B1082" s="2" t="s">
        <v>11305</v>
      </c>
      <c r="C1082" s="2" t="n">
        <v>906.578507731</v>
      </c>
      <c r="D1082" s="2" t="n">
        <v>5.32185846769816</v>
      </c>
      <c r="E1082" s="2" t="s">
        <v>11306</v>
      </c>
      <c r="F1082" s="2" t="s">
        <v>86</v>
      </c>
      <c r="G1082" s="2" t="s">
        <v>11307</v>
      </c>
      <c r="H1082" s="2" t="s">
        <v>11308</v>
      </c>
      <c r="I1082" s="2" t="s">
        <v>11309</v>
      </c>
      <c r="J1082" s="2" t="s">
        <v>29</v>
      </c>
      <c r="K1082" s="2" t="s">
        <v>29</v>
      </c>
      <c r="L1082" s="2" t="s">
        <v>29</v>
      </c>
      <c r="M1082" s="2" t="s">
        <v>29</v>
      </c>
      <c r="N1082" s="2" t="s">
        <v>11310</v>
      </c>
      <c r="O1082" s="2" t="s">
        <v>29</v>
      </c>
      <c r="P1082" s="2" t="s">
        <v>11311</v>
      </c>
      <c r="Q1082" s="2" t="s">
        <v>11312</v>
      </c>
      <c r="R1082" s="2" t="s">
        <v>794</v>
      </c>
      <c r="S1082" s="2" t="s">
        <v>7122</v>
      </c>
      <c r="T1082" s="2" t="s">
        <v>8042</v>
      </c>
      <c r="U1082" s="2" t="s">
        <v>29</v>
      </c>
      <c r="V1082" s="2" t="n">
        <v>1</v>
      </c>
    </row>
    <row r="1083">
      <c r="A1083" s="2" t="n">
        <v>1082</v>
      </c>
      <c r="B1083" s="2" t="s">
        <v>11313</v>
      </c>
      <c r="C1083" s="2" t="n">
        <v>907.563087</v>
      </c>
      <c r="D1083" s="2" t="n">
        <v>6.09997514091309</v>
      </c>
      <c r="E1083" s="2" t="s">
        <v>11314</v>
      </c>
      <c r="F1083" s="2" t="s">
        <v>531</v>
      </c>
      <c r="G1083" s="2" t="s">
        <v>11315</v>
      </c>
      <c r="H1083" s="2" t="s">
        <v>11316</v>
      </c>
      <c r="I1083" s="2" t="s">
        <v>11317</v>
      </c>
      <c r="J1083" s="2" t="s">
        <v>29</v>
      </c>
      <c r="K1083" s="2" t="s">
        <v>29</v>
      </c>
      <c r="L1083" s="2" t="s">
        <v>29</v>
      </c>
      <c r="M1083" s="2" t="s">
        <v>29</v>
      </c>
      <c r="N1083" s="2" t="s">
        <v>29</v>
      </c>
      <c r="O1083" s="2" t="s">
        <v>29</v>
      </c>
      <c r="P1083" s="2" t="s">
        <v>11318</v>
      </c>
      <c r="Q1083" s="2" t="s">
        <v>11319</v>
      </c>
      <c r="R1083" s="2" t="s">
        <v>36</v>
      </c>
      <c r="S1083" s="2" t="s">
        <v>37</v>
      </c>
      <c r="T1083" s="2" t="s">
        <v>69</v>
      </c>
      <c r="U1083" s="2" t="s">
        <v>29</v>
      </c>
      <c r="V1083" s="2" t="n">
        <v>1</v>
      </c>
    </row>
    <row r="1084">
      <c r="A1084" s="2" t="n">
        <v>1083</v>
      </c>
      <c r="B1084" s="2" t="s">
        <v>11320</v>
      </c>
      <c r="C1084" s="2" t="n">
        <v>908.5788401</v>
      </c>
      <c r="D1084" s="2" t="n">
        <v>5.64935745373788</v>
      </c>
      <c r="E1084" s="2" t="s">
        <v>11321</v>
      </c>
      <c r="F1084" s="2" t="s">
        <v>218</v>
      </c>
      <c r="G1084" s="2" t="s">
        <v>11322</v>
      </c>
      <c r="H1084" s="2" t="s">
        <v>11323</v>
      </c>
      <c r="I1084" s="2" t="s">
        <v>11324</v>
      </c>
      <c r="J1084" s="2" t="s">
        <v>29</v>
      </c>
      <c r="K1084" s="2" t="s">
        <v>29</v>
      </c>
      <c r="L1084" s="2" t="s">
        <v>29</v>
      </c>
      <c r="M1084" s="2" t="s">
        <v>29</v>
      </c>
      <c r="N1084" s="2" t="s">
        <v>11325</v>
      </c>
      <c r="O1084" s="2" t="s">
        <v>29</v>
      </c>
      <c r="P1084" s="2" t="s">
        <v>11326</v>
      </c>
      <c r="Q1084" s="2" t="s">
        <v>11327</v>
      </c>
      <c r="R1084" s="2" t="s">
        <v>794</v>
      </c>
      <c r="S1084" s="2" t="s">
        <v>7122</v>
      </c>
      <c r="T1084" s="2" t="s">
        <v>8876</v>
      </c>
      <c r="U1084" s="2" t="s">
        <v>29</v>
      </c>
      <c r="V1084" s="2" t="n">
        <v>1</v>
      </c>
    </row>
    <row r="1085">
      <c r="A1085" s="2" t="n">
        <v>1084</v>
      </c>
      <c r="B1085" s="2" t="s">
        <v>11328</v>
      </c>
      <c r="C1085" s="2" t="n">
        <v>909.570978318</v>
      </c>
      <c r="D1085" s="2" t="n">
        <v>8.63953001635836</v>
      </c>
      <c r="E1085" s="2" t="s">
        <v>11329</v>
      </c>
      <c r="F1085" s="2" t="s">
        <v>205</v>
      </c>
      <c r="G1085" s="2" t="s">
        <v>11330</v>
      </c>
      <c r="H1085" s="2" t="s">
        <v>11331</v>
      </c>
      <c r="I1085" s="2" t="s">
        <v>11332</v>
      </c>
      <c r="J1085" s="2" t="s">
        <v>29</v>
      </c>
      <c r="K1085" s="2" t="s">
        <v>11333</v>
      </c>
      <c r="L1085" s="2" t="s">
        <v>29</v>
      </c>
      <c r="M1085" s="2" t="s">
        <v>11334</v>
      </c>
      <c r="N1085" s="2" t="s">
        <v>11335</v>
      </c>
      <c r="O1085" s="2" t="s">
        <v>11336</v>
      </c>
      <c r="P1085" s="2" t="s">
        <v>11337</v>
      </c>
      <c r="Q1085" s="2" t="s">
        <v>11338</v>
      </c>
      <c r="R1085" s="2" t="s">
        <v>794</v>
      </c>
      <c r="S1085" s="2" t="s">
        <v>7122</v>
      </c>
      <c r="T1085" s="2" t="s">
        <v>9394</v>
      </c>
      <c r="U1085" s="2" t="s">
        <v>29</v>
      </c>
      <c r="V1085" s="2" t="n">
        <v>1</v>
      </c>
    </row>
    <row r="1086">
      <c r="A1086" s="2" t="n">
        <v>1085</v>
      </c>
      <c r="B1086" s="2" t="s">
        <v>11339</v>
      </c>
      <c r="C1086" s="2" t="n">
        <v>910.555469411</v>
      </c>
      <c r="D1086" s="2" t="n">
        <v>2.22656863270319</v>
      </c>
      <c r="E1086" s="2" t="s">
        <v>11340</v>
      </c>
      <c r="F1086" s="2" t="s">
        <v>161</v>
      </c>
      <c r="G1086" s="2" t="s">
        <v>11341</v>
      </c>
      <c r="H1086" s="2" t="s">
        <v>11342</v>
      </c>
      <c r="I1086" s="2" t="s">
        <v>11343</v>
      </c>
      <c r="J1086" s="2" t="s">
        <v>29</v>
      </c>
      <c r="K1086" s="2" t="s">
        <v>29</v>
      </c>
      <c r="L1086" s="2" t="s">
        <v>29</v>
      </c>
      <c r="M1086" s="2" t="s">
        <v>29</v>
      </c>
      <c r="N1086" s="2" t="s">
        <v>11344</v>
      </c>
      <c r="O1086" s="2" t="s">
        <v>29</v>
      </c>
      <c r="P1086" s="2" t="s">
        <v>11345</v>
      </c>
      <c r="Q1086" s="2" t="s">
        <v>11346</v>
      </c>
      <c r="R1086" s="2" t="s">
        <v>36</v>
      </c>
      <c r="S1086" s="2" t="s">
        <v>7927</v>
      </c>
      <c r="T1086" s="2" t="s">
        <v>7928</v>
      </c>
      <c r="U1086" s="2" t="s">
        <v>29</v>
      </c>
      <c r="V1086" s="2" t="n">
        <v>1</v>
      </c>
    </row>
    <row r="1087">
      <c r="A1087" s="2" t="n">
        <v>1086</v>
      </c>
      <c r="B1087" s="2" t="s">
        <v>11347</v>
      </c>
      <c r="C1087" s="2" t="n">
        <v>911.565503318</v>
      </c>
      <c r="D1087" s="2" t="n">
        <v>3.26732103788965</v>
      </c>
      <c r="E1087" s="2" t="s">
        <v>11348</v>
      </c>
      <c r="F1087" s="2" t="s">
        <v>24</v>
      </c>
      <c r="G1087" s="2" t="s">
        <v>11349</v>
      </c>
      <c r="H1087" s="2" t="s">
        <v>11350</v>
      </c>
      <c r="I1087" s="2" t="s">
        <v>11351</v>
      </c>
      <c r="J1087" s="2" t="s">
        <v>29</v>
      </c>
      <c r="K1087" s="2" t="s">
        <v>29</v>
      </c>
      <c r="L1087" s="2" t="s">
        <v>29</v>
      </c>
      <c r="M1087" s="2" t="s">
        <v>11352</v>
      </c>
      <c r="N1087" s="2" t="s">
        <v>29</v>
      </c>
      <c r="O1087" s="2" t="s">
        <v>29</v>
      </c>
      <c r="P1087" s="2" t="s">
        <v>11353</v>
      </c>
      <c r="Q1087" s="2" t="s">
        <v>11354</v>
      </c>
      <c r="R1087" s="2" t="s">
        <v>794</v>
      </c>
      <c r="S1087" s="2" t="s">
        <v>7122</v>
      </c>
      <c r="T1087" s="2" t="s">
        <v>9394</v>
      </c>
      <c r="U1087" s="2" t="s">
        <v>29</v>
      </c>
      <c r="V1087" s="2" t="n">
        <v>1</v>
      </c>
    </row>
    <row r="1088">
      <c r="A1088" s="2" t="n">
        <v>1087</v>
      </c>
      <c r="B1088" s="2" t="s">
        <v>11355</v>
      </c>
      <c r="C1088" s="2" t="n">
        <v>912.576004602</v>
      </c>
      <c r="D1088" s="2" t="n">
        <v>1.40126429567694</v>
      </c>
      <c r="E1088" s="2" t="s">
        <v>11356</v>
      </c>
      <c r="F1088" s="2" t="s">
        <v>205</v>
      </c>
      <c r="G1088" s="2" t="s">
        <v>11357</v>
      </c>
      <c r="H1088" s="2" t="s">
        <v>11358</v>
      </c>
      <c r="I1088" s="2" t="s">
        <v>11359</v>
      </c>
      <c r="J1088" s="2" t="s">
        <v>29</v>
      </c>
      <c r="K1088" s="2" t="s">
        <v>29</v>
      </c>
      <c r="L1088" s="2" t="s">
        <v>29</v>
      </c>
      <c r="M1088" s="2" t="s">
        <v>29</v>
      </c>
      <c r="N1088" s="2" t="s">
        <v>11360</v>
      </c>
      <c r="O1088" s="2" t="s">
        <v>29</v>
      </c>
      <c r="P1088" s="2" t="s">
        <v>11361</v>
      </c>
      <c r="Q1088" s="2" t="s">
        <v>11362</v>
      </c>
      <c r="R1088" s="2" t="s">
        <v>794</v>
      </c>
      <c r="S1088" s="2" t="s">
        <v>7122</v>
      </c>
      <c r="T1088" s="2" t="s">
        <v>8042</v>
      </c>
      <c r="U1088" s="2" t="s">
        <v>29</v>
      </c>
      <c r="V1088" s="2" t="n">
        <v>1</v>
      </c>
    </row>
    <row r="1089">
      <c r="A1089" s="2" t="n">
        <v>1088</v>
      </c>
      <c r="B1089" s="2" t="s">
        <v>11363</v>
      </c>
      <c r="C1089" s="2" t="n">
        <v>913.581153382</v>
      </c>
      <c r="D1089" s="2" t="n">
        <v>3.7483299320571</v>
      </c>
      <c r="E1089" s="2" t="s">
        <v>11364</v>
      </c>
      <c r="F1089" s="2" t="s">
        <v>24</v>
      </c>
      <c r="G1089" s="2" t="s">
        <v>11365</v>
      </c>
      <c r="H1089" s="2" t="s">
        <v>11366</v>
      </c>
      <c r="I1089" s="2" t="s">
        <v>11367</v>
      </c>
      <c r="J1089" s="2" t="s">
        <v>29</v>
      </c>
      <c r="K1089" s="2" t="s">
        <v>29</v>
      </c>
      <c r="L1089" s="2" t="s">
        <v>29</v>
      </c>
      <c r="M1089" s="2" t="s">
        <v>11368</v>
      </c>
      <c r="N1089" s="2" t="s">
        <v>29</v>
      </c>
      <c r="O1089" s="2" t="s">
        <v>29</v>
      </c>
      <c r="P1089" s="2" t="s">
        <v>11369</v>
      </c>
      <c r="Q1089" s="2" t="s">
        <v>11370</v>
      </c>
      <c r="R1089" s="2" t="s">
        <v>794</v>
      </c>
      <c r="S1089" s="2" t="s">
        <v>7122</v>
      </c>
      <c r="T1089" s="2" t="s">
        <v>9394</v>
      </c>
      <c r="U1089" s="2" t="s">
        <v>39</v>
      </c>
      <c r="V1089" s="2" t="n">
        <v>1</v>
      </c>
    </row>
    <row r="1090">
      <c r="A1090" s="2" t="n">
        <v>1089</v>
      </c>
      <c r="B1090" s="2" t="s">
        <v>11371</v>
      </c>
      <c r="C1090" s="2" t="n">
        <v>914.568336489</v>
      </c>
      <c r="D1090" s="2" t="n">
        <v>1.28274360355895</v>
      </c>
      <c r="E1090" s="2" t="s">
        <v>11372</v>
      </c>
      <c r="F1090" s="2" t="s">
        <v>86</v>
      </c>
      <c r="G1090" s="2" t="s">
        <v>11373</v>
      </c>
      <c r="H1090" s="2" t="s">
        <v>11374</v>
      </c>
      <c r="I1090" s="2" t="s">
        <v>11375</v>
      </c>
      <c r="J1090" s="2" t="s">
        <v>195</v>
      </c>
      <c r="K1090" s="2" t="s">
        <v>195</v>
      </c>
      <c r="L1090" s="2" t="s">
        <v>195</v>
      </c>
      <c r="M1090" s="2" t="s">
        <v>195</v>
      </c>
      <c r="N1090" s="2" t="s">
        <v>195</v>
      </c>
      <c r="O1090" s="2" t="s">
        <v>195</v>
      </c>
      <c r="P1090" s="2" t="s">
        <v>11376</v>
      </c>
      <c r="Q1090" s="2" t="s">
        <v>11377</v>
      </c>
      <c r="R1090" s="2" t="s">
        <v>255</v>
      </c>
      <c r="S1090" s="2" t="s">
        <v>11047</v>
      </c>
      <c r="T1090" s="2" t="s">
        <v>11296</v>
      </c>
      <c r="U1090" s="2" t="s">
        <v>56</v>
      </c>
      <c r="V1090" s="2" t="n">
        <v>3</v>
      </c>
    </row>
    <row r="1091">
      <c r="A1091" s="2" t="n">
        <v>1090</v>
      </c>
      <c r="B1091" s="2" t="s">
        <v>11378</v>
      </c>
      <c r="C1091" s="2" t="n">
        <v>917.539366606</v>
      </c>
      <c r="D1091" s="2" t="n">
        <v>7.40923591836766</v>
      </c>
      <c r="E1091" s="2" t="s">
        <v>11379</v>
      </c>
      <c r="F1091" s="2" t="s">
        <v>683</v>
      </c>
      <c r="G1091" s="2" t="s">
        <v>11380</v>
      </c>
      <c r="H1091" s="2" t="s">
        <v>11381</v>
      </c>
      <c r="I1091" s="2" t="s">
        <v>11382</v>
      </c>
      <c r="J1091" s="2" t="s">
        <v>11383</v>
      </c>
      <c r="K1091" s="2" t="s">
        <v>29</v>
      </c>
      <c r="L1091" s="2" t="s">
        <v>29</v>
      </c>
      <c r="M1091" s="2" t="s">
        <v>29</v>
      </c>
      <c r="N1091" s="2" t="s">
        <v>11384</v>
      </c>
      <c r="O1091" s="2" t="s">
        <v>11385</v>
      </c>
      <c r="P1091" s="2" t="s">
        <v>11386</v>
      </c>
      <c r="Q1091" s="2" t="s">
        <v>11387</v>
      </c>
      <c r="R1091" s="2" t="s">
        <v>114</v>
      </c>
      <c r="S1091" s="2" t="s">
        <v>1050</v>
      </c>
      <c r="T1091" s="2" t="s">
        <v>1122</v>
      </c>
      <c r="U1091" s="2" t="s">
        <v>29</v>
      </c>
      <c r="V1091" s="2" t="n">
        <v>1</v>
      </c>
    </row>
    <row r="1092">
      <c r="A1092" s="2" t="n">
        <v>1091</v>
      </c>
      <c r="B1092" s="2" t="s">
        <v>11388</v>
      </c>
      <c r="C1092" s="2" t="n">
        <v>919.588214296</v>
      </c>
      <c r="D1092" s="2" t="n">
        <v>6.62982706314944</v>
      </c>
      <c r="E1092" s="2" t="s">
        <v>11389</v>
      </c>
      <c r="F1092" s="2" t="s">
        <v>683</v>
      </c>
      <c r="G1092" s="2" t="s">
        <v>11390</v>
      </c>
      <c r="H1092" s="2" t="s">
        <v>11391</v>
      </c>
      <c r="I1092" s="2" t="s">
        <v>11392</v>
      </c>
      <c r="J1092" s="2" t="s">
        <v>29</v>
      </c>
      <c r="K1092" s="2" t="s">
        <v>29</v>
      </c>
      <c r="L1092" s="2" t="s">
        <v>29</v>
      </c>
      <c r="M1092" s="2" t="s">
        <v>29</v>
      </c>
      <c r="N1092" s="2" t="s">
        <v>11393</v>
      </c>
      <c r="O1092" s="2" t="s">
        <v>29</v>
      </c>
      <c r="P1092" s="2" t="s">
        <v>11394</v>
      </c>
      <c r="Q1092" s="2" t="s">
        <v>11395</v>
      </c>
      <c r="R1092" s="2" t="s">
        <v>794</v>
      </c>
      <c r="S1092" s="2" t="s">
        <v>1098</v>
      </c>
      <c r="T1092" s="2" t="s">
        <v>9336</v>
      </c>
      <c r="U1092" s="2" t="s">
        <v>29</v>
      </c>
      <c r="V1092" s="2" t="n">
        <v>1</v>
      </c>
    </row>
    <row r="1093">
      <c r="A1093" s="2" t="n">
        <v>1092</v>
      </c>
      <c r="B1093" s="2" t="s">
        <v>11396</v>
      </c>
      <c r="C1093" s="2" t="n">
        <v>919.752693069</v>
      </c>
      <c r="D1093" s="2" t="n">
        <v>7.80959533987106</v>
      </c>
      <c r="E1093" s="2" t="s">
        <v>11397</v>
      </c>
      <c r="F1093" s="2" t="s">
        <v>86</v>
      </c>
      <c r="G1093" s="2" t="s">
        <v>11398</v>
      </c>
      <c r="H1093" s="2" t="s">
        <v>11399</v>
      </c>
      <c r="I1093" s="2" t="s">
        <v>11400</v>
      </c>
      <c r="J1093" s="2" t="s">
        <v>29</v>
      </c>
      <c r="K1093" s="2" t="s">
        <v>29</v>
      </c>
      <c r="L1093" s="2" t="s">
        <v>9144</v>
      </c>
      <c r="M1093" s="2" t="s">
        <v>29</v>
      </c>
      <c r="N1093" s="2" t="s">
        <v>11401</v>
      </c>
      <c r="O1093" s="2" t="s">
        <v>29</v>
      </c>
      <c r="P1093" s="2" t="s">
        <v>11402</v>
      </c>
      <c r="Q1093" s="2" t="s">
        <v>11403</v>
      </c>
      <c r="R1093" s="2" t="s">
        <v>794</v>
      </c>
      <c r="S1093" s="2" t="s">
        <v>2600</v>
      </c>
      <c r="T1093" s="2" t="s">
        <v>8840</v>
      </c>
      <c r="U1093" s="2" t="s">
        <v>101</v>
      </c>
      <c r="V1093" s="2" t="n">
        <v>1</v>
      </c>
    </row>
    <row r="1094">
      <c r="A1094" s="2" t="n">
        <v>1093</v>
      </c>
      <c r="B1094" s="2" t="s">
        <v>11404</v>
      </c>
      <c r="C1094" s="2" t="n">
        <v>920.594157309</v>
      </c>
      <c r="D1094" s="2" t="n">
        <v>7.44937107251076</v>
      </c>
      <c r="E1094" s="2" t="s">
        <v>11405</v>
      </c>
      <c r="F1094" s="2" t="s">
        <v>86</v>
      </c>
      <c r="G1094" s="2" t="s">
        <v>11406</v>
      </c>
      <c r="H1094" s="2" t="s">
        <v>11407</v>
      </c>
      <c r="I1094" s="2" t="s">
        <v>11408</v>
      </c>
      <c r="J1094" s="2" t="s">
        <v>11409</v>
      </c>
      <c r="K1094" s="2" t="s">
        <v>11410</v>
      </c>
      <c r="L1094" s="2" t="s">
        <v>9831</v>
      </c>
      <c r="M1094" s="2" t="s">
        <v>29</v>
      </c>
      <c r="N1094" s="2" t="s">
        <v>11411</v>
      </c>
      <c r="O1094" s="2" t="s">
        <v>29</v>
      </c>
      <c r="P1094" s="2" t="s">
        <v>11412</v>
      </c>
      <c r="Q1094" s="2" t="s">
        <v>11413</v>
      </c>
      <c r="R1094" s="2" t="s">
        <v>794</v>
      </c>
      <c r="S1094" s="2" t="s">
        <v>7122</v>
      </c>
      <c r="T1094" s="2" t="s">
        <v>8460</v>
      </c>
      <c r="U1094" s="2" t="s">
        <v>101</v>
      </c>
      <c r="V1094" s="2" t="n">
        <v>1</v>
      </c>
    </row>
    <row r="1095">
      <c r="A1095" s="2" t="n">
        <v>1094</v>
      </c>
      <c r="B1095" s="2" t="s">
        <v>11414</v>
      </c>
      <c r="C1095" s="2" t="n">
        <v>921.768343133</v>
      </c>
      <c r="D1095" s="2" t="n">
        <v>1.90085547484024</v>
      </c>
      <c r="E1095" s="2" t="s">
        <v>11415</v>
      </c>
      <c r="F1095" s="2" t="s">
        <v>86</v>
      </c>
      <c r="G1095" s="2" t="s">
        <v>11416</v>
      </c>
      <c r="H1095" s="2" t="s">
        <v>11417</v>
      </c>
      <c r="I1095" s="2" t="s">
        <v>11418</v>
      </c>
      <c r="J1095" s="2" t="s">
        <v>29</v>
      </c>
      <c r="K1095" s="2" t="s">
        <v>29</v>
      </c>
      <c r="L1095" s="2" t="s">
        <v>9144</v>
      </c>
      <c r="M1095" s="2" t="s">
        <v>29</v>
      </c>
      <c r="N1095" s="2" t="s">
        <v>11419</v>
      </c>
      <c r="O1095" s="2" t="s">
        <v>29</v>
      </c>
      <c r="P1095" s="2" t="s">
        <v>11420</v>
      </c>
      <c r="Q1095" s="2" t="s">
        <v>11421</v>
      </c>
      <c r="R1095" s="2" t="s">
        <v>794</v>
      </c>
      <c r="S1095" s="2" t="s">
        <v>2600</v>
      </c>
      <c r="T1095" s="2" t="s">
        <v>8840</v>
      </c>
      <c r="U1095" s="2" t="s">
        <v>101</v>
      </c>
      <c r="V1095" s="2" t="n">
        <v>1</v>
      </c>
    </row>
    <row r="1096">
      <c r="A1096" s="2" t="n">
        <v>1095</v>
      </c>
      <c r="B1096" s="2" t="s">
        <v>11422</v>
      </c>
      <c r="C1096" s="2" t="n">
        <v>922.609807373</v>
      </c>
      <c r="D1096" s="2" t="n">
        <v>0.699081723466712</v>
      </c>
      <c r="E1096" s="2" t="s">
        <v>11423</v>
      </c>
      <c r="F1096" s="2" t="s">
        <v>86</v>
      </c>
      <c r="G1096" s="2" t="s">
        <v>11424</v>
      </c>
      <c r="H1096" s="2" t="s">
        <v>11425</v>
      </c>
      <c r="I1096" s="2" t="s">
        <v>11426</v>
      </c>
      <c r="J1096" s="2" t="s">
        <v>11427</v>
      </c>
      <c r="K1096" s="2" t="s">
        <v>29</v>
      </c>
      <c r="L1096" s="2" t="s">
        <v>9831</v>
      </c>
      <c r="M1096" s="2" t="s">
        <v>29</v>
      </c>
      <c r="N1096" s="2" t="s">
        <v>11428</v>
      </c>
      <c r="O1096" s="2" t="s">
        <v>29</v>
      </c>
      <c r="P1096" s="2" t="s">
        <v>11429</v>
      </c>
      <c r="Q1096" s="2" t="s">
        <v>11430</v>
      </c>
      <c r="R1096" s="2" t="s">
        <v>794</v>
      </c>
      <c r="S1096" s="2" t="s">
        <v>7122</v>
      </c>
      <c r="T1096" s="2" t="s">
        <v>8460</v>
      </c>
      <c r="U1096" s="2" t="s">
        <v>101</v>
      </c>
      <c r="V1096" s="2" t="n">
        <v>1</v>
      </c>
    </row>
    <row r="1097">
      <c r="A1097" s="2" t="n">
        <v>1096</v>
      </c>
      <c r="B1097" s="2" t="s">
        <v>11431</v>
      </c>
      <c r="C1097" s="2" t="n">
        <v>923.61951442</v>
      </c>
      <c r="D1097" s="2" t="n">
        <v>5.65848851516252</v>
      </c>
      <c r="E1097" s="2" t="s">
        <v>11432</v>
      </c>
      <c r="F1097" s="2" t="s">
        <v>683</v>
      </c>
      <c r="G1097" s="2" t="s">
        <v>11433</v>
      </c>
      <c r="H1097" s="2" t="s">
        <v>11434</v>
      </c>
      <c r="I1097" s="2" t="s">
        <v>11435</v>
      </c>
      <c r="J1097" s="2" t="s">
        <v>11436</v>
      </c>
      <c r="K1097" s="2" t="s">
        <v>29</v>
      </c>
      <c r="L1097" s="2" t="s">
        <v>29</v>
      </c>
      <c r="M1097" s="2" t="s">
        <v>29</v>
      </c>
      <c r="N1097" s="2" t="s">
        <v>11437</v>
      </c>
      <c r="O1097" s="2" t="s">
        <v>29</v>
      </c>
      <c r="P1097" s="2" t="s">
        <v>11438</v>
      </c>
      <c r="Q1097" s="2" t="s">
        <v>11439</v>
      </c>
      <c r="R1097" s="2" t="s">
        <v>794</v>
      </c>
      <c r="S1097" s="2" t="s">
        <v>1098</v>
      </c>
      <c r="T1097" s="2" t="s">
        <v>7646</v>
      </c>
      <c r="U1097" s="2" t="s">
        <v>29</v>
      </c>
      <c r="V1097" s="2" t="n">
        <v>1</v>
      </c>
    </row>
    <row r="1098">
      <c r="A1098" s="2" t="n">
        <v>1097</v>
      </c>
      <c r="B1098" s="2" t="s">
        <v>11440</v>
      </c>
      <c r="C1098" s="2" t="n">
        <v>923.783993198</v>
      </c>
      <c r="D1098" s="2" t="n">
        <v>7.37954319877941</v>
      </c>
      <c r="E1098" s="2" t="s">
        <v>11441</v>
      </c>
      <c r="F1098" s="2" t="s">
        <v>86</v>
      </c>
      <c r="G1098" s="2" t="s">
        <v>11442</v>
      </c>
      <c r="H1098" s="2" t="s">
        <v>11443</v>
      </c>
      <c r="I1098" s="2" t="s">
        <v>11444</v>
      </c>
      <c r="J1098" s="2" t="s">
        <v>29</v>
      </c>
      <c r="K1098" s="2" t="s">
        <v>29</v>
      </c>
      <c r="L1098" s="2" t="s">
        <v>9144</v>
      </c>
      <c r="M1098" s="2" t="s">
        <v>29</v>
      </c>
      <c r="N1098" s="2" t="s">
        <v>11445</v>
      </c>
      <c r="O1098" s="2" t="s">
        <v>29</v>
      </c>
      <c r="P1098" s="2" t="s">
        <v>11446</v>
      </c>
      <c r="Q1098" s="2" t="s">
        <v>11447</v>
      </c>
      <c r="R1098" s="2" t="s">
        <v>794</v>
      </c>
      <c r="S1098" s="2" t="s">
        <v>2600</v>
      </c>
      <c r="T1098" s="2" t="s">
        <v>8840</v>
      </c>
      <c r="U1098" s="2" t="s">
        <v>101</v>
      </c>
      <c r="V1098" s="2" t="n">
        <v>1</v>
      </c>
    </row>
    <row r="1099">
      <c r="A1099" s="2" t="n">
        <v>1098</v>
      </c>
      <c r="B1099" s="2" t="s">
        <v>11448</v>
      </c>
      <c r="C1099" s="2" t="n">
        <v>924.600685449</v>
      </c>
      <c r="D1099" s="2" t="n">
        <v>2.6101362204672</v>
      </c>
      <c r="E1099" s="2" t="s">
        <v>11449</v>
      </c>
      <c r="F1099" s="2" t="s">
        <v>86</v>
      </c>
      <c r="G1099" s="2" t="s">
        <v>11450</v>
      </c>
      <c r="H1099" s="2" t="s">
        <v>11451</v>
      </c>
      <c r="I1099" s="2" t="s">
        <v>11452</v>
      </c>
      <c r="J1099" s="2" t="s">
        <v>29</v>
      </c>
      <c r="K1099" s="2" t="s">
        <v>29</v>
      </c>
      <c r="L1099" s="2" t="s">
        <v>11453</v>
      </c>
      <c r="M1099" s="2" t="s">
        <v>29</v>
      </c>
      <c r="N1099" s="2" t="s">
        <v>11454</v>
      </c>
      <c r="O1099" s="2" t="s">
        <v>11455</v>
      </c>
      <c r="P1099" s="2" t="s">
        <v>11456</v>
      </c>
      <c r="Q1099" s="2" t="s">
        <v>11457</v>
      </c>
      <c r="R1099" s="2" t="s">
        <v>794</v>
      </c>
      <c r="S1099" s="2" t="s">
        <v>7781</v>
      </c>
      <c r="T1099" s="2" t="s">
        <v>11458</v>
      </c>
      <c r="U1099" s="2" t="s">
        <v>39</v>
      </c>
      <c r="V1099" s="2" t="n">
        <v>1</v>
      </c>
    </row>
    <row r="1100">
      <c r="A1100" s="2" t="n">
        <v>1099</v>
      </c>
      <c r="B1100" s="2" t="s">
        <v>11459</v>
      </c>
      <c r="C1100" s="2" t="n">
        <v>925.53724135</v>
      </c>
      <c r="D1100" s="2" t="n">
        <v>3.74674570584535</v>
      </c>
      <c r="E1100" s="2" t="s">
        <v>11460</v>
      </c>
      <c r="F1100" s="2" t="s">
        <v>683</v>
      </c>
      <c r="G1100" s="2" t="s">
        <v>11461</v>
      </c>
      <c r="H1100" s="2" t="s">
        <v>11462</v>
      </c>
      <c r="I1100" s="2" t="s">
        <v>11463</v>
      </c>
      <c r="J1100" s="2" t="s">
        <v>29</v>
      </c>
      <c r="K1100" s="2" t="s">
        <v>29</v>
      </c>
      <c r="L1100" s="2" t="s">
        <v>29</v>
      </c>
      <c r="M1100" s="2" t="s">
        <v>29</v>
      </c>
      <c r="N1100" s="2" t="s">
        <v>11464</v>
      </c>
      <c r="O1100" s="2" t="s">
        <v>29</v>
      </c>
      <c r="P1100" s="2" t="s">
        <v>11465</v>
      </c>
      <c r="Q1100" s="2" t="s">
        <v>11466</v>
      </c>
      <c r="R1100" s="2" t="s">
        <v>129</v>
      </c>
      <c r="S1100" s="2" t="s">
        <v>130</v>
      </c>
      <c r="T1100" s="2" t="s">
        <v>131</v>
      </c>
      <c r="U1100" s="2" t="s">
        <v>29</v>
      </c>
      <c r="V1100" s="2" t="n">
        <v>1</v>
      </c>
    </row>
    <row r="1101">
      <c r="A1101" s="2" t="n">
        <v>1100</v>
      </c>
      <c r="B1101" s="2" t="s">
        <v>11467</v>
      </c>
      <c r="C1101" s="2" t="n">
        <v>926.604660437</v>
      </c>
      <c r="D1101" s="2" t="n">
        <v>1.89963737366501</v>
      </c>
      <c r="E1101" s="2" t="s">
        <v>11468</v>
      </c>
      <c r="F1101" s="2" t="s">
        <v>218</v>
      </c>
      <c r="G1101" s="2" t="s">
        <v>11469</v>
      </c>
      <c r="H1101" s="2" t="s">
        <v>11470</v>
      </c>
      <c r="I1101" s="2" t="s">
        <v>11471</v>
      </c>
      <c r="J1101" s="2" t="s">
        <v>11472</v>
      </c>
      <c r="K1101" s="2" t="s">
        <v>29</v>
      </c>
      <c r="L1101" s="2" t="s">
        <v>9831</v>
      </c>
      <c r="M1101" s="2" t="s">
        <v>29</v>
      </c>
      <c r="N1101" s="2" t="s">
        <v>11473</v>
      </c>
      <c r="O1101" s="2" t="s">
        <v>29</v>
      </c>
      <c r="P1101" s="2" t="s">
        <v>11474</v>
      </c>
      <c r="Q1101" s="2" t="s">
        <v>11475</v>
      </c>
      <c r="R1101" s="2" t="s">
        <v>794</v>
      </c>
      <c r="S1101" s="2" t="s">
        <v>7122</v>
      </c>
      <c r="T1101" s="2" t="s">
        <v>8460</v>
      </c>
      <c r="U1101" s="2" t="s">
        <v>101</v>
      </c>
      <c r="V1101" s="2" t="n">
        <v>1</v>
      </c>
    </row>
    <row r="1102">
      <c r="A1102" s="2" t="n">
        <v>1101</v>
      </c>
      <c r="B1102" s="2" t="s">
        <v>11476</v>
      </c>
      <c r="C1102" s="2" t="n">
        <v>927.627492554</v>
      </c>
      <c r="D1102" s="2" t="n">
        <v>4.37762647922413</v>
      </c>
      <c r="E1102" s="2" t="s">
        <v>11477</v>
      </c>
      <c r="F1102" s="2" t="s">
        <v>86</v>
      </c>
      <c r="G1102" s="2" t="s">
        <v>11478</v>
      </c>
      <c r="H1102" s="2" t="s">
        <v>11479</v>
      </c>
      <c r="I1102" s="2" t="s">
        <v>11480</v>
      </c>
      <c r="J1102" s="2" t="s">
        <v>29</v>
      </c>
      <c r="K1102" s="2" t="s">
        <v>29</v>
      </c>
      <c r="L1102" s="2" t="s">
        <v>29</v>
      </c>
      <c r="M1102" s="2" t="s">
        <v>29</v>
      </c>
      <c r="N1102" s="2" t="s">
        <v>11481</v>
      </c>
      <c r="O1102" s="2" t="s">
        <v>29</v>
      </c>
      <c r="P1102" s="2" t="s">
        <v>11482</v>
      </c>
      <c r="Q1102" s="2" t="s">
        <v>11483</v>
      </c>
      <c r="R1102" s="2" t="s">
        <v>794</v>
      </c>
      <c r="S1102" s="2" t="s">
        <v>2600</v>
      </c>
      <c r="T1102" s="2" t="s">
        <v>8840</v>
      </c>
      <c r="U1102" s="2" t="s">
        <v>29</v>
      </c>
      <c r="V1102" s="2" t="n">
        <v>1</v>
      </c>
    </row>
    <row r="1103">
      <c r="A1103" s="2" t="n">
        <v>1102</v>
      </c>
      <c r="B1103" s="2" t="s">
        <v>11484</v>
      </c>
      <c r="C1103" s="2" t="n">
        <v>928.583986553</v>
      </c>
      <c r="D1103" s="2" t="n">
        <v>1.4061748528744</v>
      </c>
      <c r="E1103" s="2" t="s">
        <v>11485</v>
      </c>
      <c r="F1103" s="2" t="s">
        <v>86</v>
      </c>
      <c r="G1103" s="2" t="s">
        <v>11486</v>
      </c>
      <c r="H1103" s="2" t="s">
        <v>11487</v>
      </c>
      <c r="I1103" s="2" t="s">
        <v>11488</v>
      </c>
      <c r="J1103" s="2" t="s">
        <v>195</v>
      </c>
      <c r="K1103" s="2" t="s">
        <v>195</v>
      </c>
      <c r="L1103" s="2" t="s">
        <v>195</v>
      </c>
      <c r="M1103" s="2" t="s">
        <v>195</v>
      </c>
      <c r="N1103" s="2" t="s">
        <v>195</v>
      </c>
      <c r="O1103" s="2" t="s">
        <v>195</v>
      </c>
      <c r="P1103" s="2" t="s">
        <v>11489</v>
      </c>
      <c r="Q1103" s="2" t="s">
        <v>11490</v>
      </c>
      <c r="R1103" s="2" t="s">
        <v>255</v>
      </c>
      <c r="S1103" s="2" t="s">
        <v>11047</v>
      </c>
      <c r="T1103" s="2" t="s">
        <v>11296</v>
      </c>
      <c r="U1103" s="2" t="s">
        <v>29</v>
      </c>
      <c r="V1103" s="2" t="n">
        <v>3</v>
      </c>
    </row>
    <row r="1104">
      <c r="A1104" s="2" t="n">
        <v>1103</v>
      </c>
      <c r="B1104" s="2" t="s">
        <v>11491</v>
      </c>
      <c r="C1104" s="2" t="n">
        <v>929.563802558</v>
      </c>
      <c r="D1104" s="2" t="n">
        <v>3.36093906208555</v>
      </c>
      <c r="E1104" s="2" t="s">
        <v>11492</v>
      </c>
      <c r="F1104" s="2" t="s">
        <v>683</v>
      </c>
      <c r="G1104" s="2" t="s">
        <v>11493</v>
      </c>
      <c r="H1104" s="2" t="s">
        <v>11494</v>
      </c>
      <c r="I1104" s="2" t="s">
        <v>11495</v>
      </c>
      <c r="J1104" s="2" t="s">
        <v>11496</v>
      </c>
      <c r="K1104" s="2" t="s">
        <v>11497</v>
      </c>
      <c r="L1104" s="2" t="s">
        <v>8454</v>
      </c>
      <c r="M1104" s="2" t="s">
        <v>11498</v>
      </c>
      <c r="N1104" s="2" t="s">
        <v>11499</v>
      </c>
      <c r="O1104" s="2" t="s">
        <v>29</v>
      </c>
      <c r="P1104" s="2" t="s">
        <v>11500</v>
      </c>
      <c r="Q1104" s="2" t="s">
        <v>11501</v>
      </c>
      <c r="R1104" s="2" t="s">
        <v>794</v>
      </c>
      <c r="S1104" s="2" t="s">
        <v>7122</v>
      </c>
      <c r="T1104" s="2" t="s">
        <v>8460</v>
      </c>
      <c r="U1104" s="2" t="s">
        <v>56</v>
      </c>
      <c r="V1104" s="2" t="n">
        <v>1</v>
      </c>
    </row>
    <row r="1105">
      <c r="A1105" s="2" t="n">
        <v>1104</v>
      </c>
      <c r="B1105" s="2" t="s">
        <v>11502</v>
      </c>
      <c r="C1105" s="2" t="n">
        <v>931.559039424</v>
      </c>
      <c r="D1105" s="2" t="n">
        <v>0.743543784530324</v>
      </c>
      <c r="E1105" s="2" t="s">
        <v>11503</v>
      </c>
      <c r="F1105" s="2" t="s">
        <v>683</v>
      </c>
      <c r="G1105" s="2" t="s">
        <v>11504</v>
      </c>
      <c r="H1105" s="2" t="s">
        <v>11505</v>
      </c>
      <c r="I1105" s="2" t="s">
        <v>11506</v>
      </c>
      <c r="J1105" s="2" t="s">
        <v>29</v>
      </c>
      <c r="K1105" s="2" t="s">
        <v>29</v>
      </c>
      <c r="L1105" s="2" t="s">
        <v>29</v>
      </c>
      <c r="M1105" s="2" t="s">
        <v>29</v>
      </c>
      <c r="N1105" s="2" t="s">
        <v>11507</v>
      </c>
      <c r="O1105" s="2" t="s">
        <v>29</v>
      </c>
      <c r="P1105" s="2" t="s">
        <v>11508</v>
      </c>
      <c r="Q1105" s="2" t="s">
        <v>11509</v>
      </c>
      <c r="R1105" s="2" t="s">
        <v>3003</v>
      </c>
      <c r="S1105" s="2" t="s">
        <v>11510</v>
      </c>
      <c r="T1105" s="2" t="s">
        <v>215</v>
      </c>
      <c r="U1105" s="2" t="s">
        <v>29</v>
      </c>
      <c r="V1105" s="2" t="n">
        <v>1</v>
      </c>
    </row>
    <row r="1106">
      <c r="A1106" s="2" t="n">
        <v>1105</v>
      </c>
      <c r="B1106" s="2" t="s">
        <v>11511</v>
      </c>
      <c r="C1106" s="2" t="n">
        <v>933.622308384</v>
      </c>
      <c r="D1106" s="2" t="n">
        <v>6.9888489950952</v>
      </c>
      <c r="E1106" s="2" t="s">
        <v>11512</v>
      </c>
      <c r="F1106" s="2" t="s">
        <v>683</v>
      </c>
      <c r="G1106" s="2" t="s">
        <v>11513</v>
      </c>
      <c r="H1106" s="2" t="s">
        <v>11514</v>
      </c>
      <c r="I1106" s="2" t="s">
        <v>11515</v>
      </c>
      <c r="J1106" s="2" t="s">
        <v>11516</v>
      </c>
      <c r="K1106" s="2" t="s">
        <v>29</v>
      </c>
      <c r="L1106" s="2" t="s">
        <v>11517</v>
      </c>
      <c r="M1106" s="2" t="s">
        <v>29</v>
      </c>
      <c r="N1106" s="2" t="s">
        <v>11518</v>
      </c>
      <c r="O1106" s="2" t="s">
        <v>11519</v>
      </c>
      <c r="P1106" s="2" t="s">
        <v>11520</v>
      </c>
      <c r="Q1106" s="2" t="s">
        <v>11521</v>
      </c>
      <c r="R1106" s="2" t="s">
        <v>186</v>
      </c>
      <c r="S1106" s="2" t="s">
        <v>187</v>
      </c>
      <c r="T1106" s="2" t="s">
        <v>11522</v>
      </c>
      <c r="U1106" s="2" t="s">
        <v>101</v>
      </c>
      <c r="V1106" s="2" t="n">
        <v>1</v>
      </c>
    </row>
    <row r="1107">
      <c r="A1107" s="2" t="n">
        <v>1106</v>
      </c>
      <c r="B1107" s="2" t="s">
        <v>11523</v>
      </c>
      <c r="C1107" s="2" t="n">
        <v>934.581483907</v>
      </c>
      <c r="D1107" s="2" t="n">
        <v>8.33840005842382</v>
      </c>
      <c r="E1107" s="2" t="s">
        <v>11524</v>
      </c>
      <c r="F1107" s="2" t="s">
        <v>205</v>
      </c>
      <c r="G1107" s="2" t="s">
        <v>11525</v>
      </c>
      <c r="H1107" s="2" t="s">
        <v>11526</v>
      </c>
      <c r="I1107" s="2" t="s">
        <v>11527</v>
      </c>
      <c r="J1107" s="2" t="s">
        <v>29</v>
      </c>
      <c r="K1107" s="2" t="s">
        <v>29</v>
      </c>
      <c r="L1107" s="2" t="s">
        <v>29</v>
      </c>
      <c r="M1107" s="2" t="s">
        <v>29</v>
      </c>
      <c r="N1107" s="2" t="s">
        <v>11528</v>
      </c>
      <c r="O1107" s="2" t="s">
        <v>29</v>
      </c>
      <c r="P1107" s="2" t="s">
        <v>11529</v>
      </c>
      <c r="Q1107" s="2" t="s">
        <v>11530</v>
      </c>
      <c r="R1107" s="2" t="s">
        <v>794</v>
      </c>
      <c r="S1107" s="2" t="s">
        <v>7122</v>
      </c>
      <c r="T1107" s="2" t="s">
        <v>8876</v>
      </c>
      <c r="U1107" s="2" t="s">
        <v>29</v>
      </c>
      <c r="V1107" s="2" t="n">
        <v>1</v>
      </c>
    </row>
    <row r="1108">
      <c r="A1108" s="2" t="n">
        <v>1107</v>
      </c>
      <c r="B1108" s="2" t="s">
        <v>11531</v>
      </c>
      <c r="C1108" s="2" t="n">
        <v>937.265223502</v>
      </c>
      <c r="D1108" s="2" t="n">
        <v>0.243674100330933</v>
      </c>
      <c r="E1108" s="2" t="s">
        <v>11532</v>
      </c>
      <c r="F1108" s="2" t="s">
        <v>683</v>
      </c>
      <c r="G1108" s="2" t="s">
        <v>11533</v>
      </c>
      <c r="H1108" s="2" t="s">
        <v>11534</v>
      </c>
      <c r="I1108" s="2" t="s">
        <v>11535</v>
      </c>
      <c r="J1108" s="2" t="s">
        <v>29</v>
      </c>
      <c r="K1108" s="2" t="s">
        <v>29</v>
      </c>
      <c r="L1108" s="2" t="s">
        <v>29</v>
      </c>
      <c r="M1108" s="2" t="s">
        <v>11536</v>
      </c>
      <c r="N1108" s="2" t="s">
        <v>11537</v>
      </c>
      <c r="O1108" s="2" t="s">
        <v>29</v>
      </c>
      <c r="P1108" s="2" t="s">
        <v>11538</v>
      </c>
      <c r="Q1108" s="2" t="s">
        <v>11539</v>
      </c>
      <c r="R1108" s="2" t="s">
        <v>2416</v>
      </c>
      <c r="S1108" s="2" t="s">
        <v>7795</v>
      </c>
      <c r="T1108" s="2" t="s">
        <v>11540</v>
      </c>
      <c r="U1108" s="2" t="s">
        <v>29</v>
      </c>
      <c r="V1108" s="2" t="n">
        <v>1</v>
      </c>
    </row>
    <row r="1109">
      <c r="A1109" s="2" t="n">
        <v>1108</v>
      </c>
      <c r="B1109" s="2" t="s">
        <v>11541</v>
      </c>
      <c r="C1109" s="2" t="n">
        <v>944.578839617</v>
      </c>
      <c r="D1109" s="2" t="n">
        <v>5.03419427958817</v>
      </c>
      <c r="E1109" s="2" t="s">
        <v>11542</v>
      </c>
      <c r="F1109" s="2" t="s">
        <v>218</v>
      </c>
      <c r="G1109" s="2" t="s">
        <v>11543</v>
      </c>
      <c r="H1109" s="2" t="s">
        <v>11544</v>
      </c>
      <c r="I1109" s="2" t="s">
        <v>11545</v>
      </c>
      <c r="J1109" s="2" t="s">
        <v>195</v>
      </c>
      <c r="K1109" s="2" t="s">
        <v>195</v>
      </c>
      <c r="L1109" s="2" t="s">
        <v>195</v>
      </c>
      <c r="M1109" s="2" t="s">
        <v>195</v>
      </c>
      <c r="N1109" s="2" t="s">
        <v>195</v>
      </c>
      <c r="O1109" s="2" t="s">
        <v>195</v>
      </c>
      <c r="P1109" s="2" t="s">
        <v>11546</v>
      </c>
      <c r="Q1109" s="2" t="s">
        <v>11547</v>
      </c>
      <c r="R1109" s="2" t="s">
        <v>255</v>
      </c>
      <c r="S1109" s="2" t="s">
        <v>11047</v>
      </c>
      <c r="T1109" s="2" t="s">
        <v>11296</v>
      </c>
      <c r="U1109" s="2" t="s">
        <v>29</v>
      </c>
      <c r="V1109" s="2" t="n">
        <v>3</v>
      </c>
    </row>
    <row r="1110">
      <c r="A1110" s="2" t="n">
        <v>1109</v>
      </c>
      <c r="B1110" s="2" t="s">
        <v>11548</v>
      </c>
      <c r="C1110" s="2" t="n">
        <v>945.752906339</v>
      </c>
      <c r="D1110" s="2" t="n">
        <v>1.14706187795528</v>
      </c>
      <c r="E1110" s="2" t="s">
        <v>11549</v>
      </c>
      <c r="F1110" s="2" t="s">
        <v>205</v>
      </c>
      <c r="G1110" s="2" t="s">
        <v>11550</v>
      </c>
      <c r="H1110" s="2" t="s">
        <v>11551</v>
      </c>
      <c r="I1110" s="2" t="s">
        <v>11552</v>
      </c>
      <c r="J1110" s="2" t="s">
        <v>29</v>
      </c>
      <c r="K1110" s="2" t="s">
        <v>29</v>
      </c>
      <c r="L1110" s="2" t="s">
        <v>29</v>
      </c>
      <c r="M1110" s="2" t="s">
        <v>29</v>
      </c>
      <c r="N1110" s="2" t="s">
        <v>11553</v>
      </c>
      <c r="O1110" s="2" t="s">
        <v>29</v>
      </c>
      <c r="P1110" s="2" t="s">
        <v>11554</v>
      </c>
      <c r="Q1110" s="2" t="s">
        <v>11555</v>
      </c>
      <c r="R1110" s="2" t="s">
        <v>794</v>
      </c>
      <c r="S1110" s="2" t="s">
        <v>7122</v>
      </c>
      <c r="T1110" s="2" t="s">
        <v>7123</v>
      </c>
      <c r="U1110" s="2" t="s">
        <v>29</v>
      </c>
      <c r="V1110" s="2" t="n">
        <v>1</v>
      </c>
    </row>
    <row r="1111">
      <c r="A1111" s="2" t="n">
        <v>1110</v>
      </c>
      <c r="B1111" s="2" t="s">
        <v>11556</v>
      </c>
      <c r="C1111" s="2" t="n">
        <v>947.606495322</v>
      </c>
      <c r="D1111" s="2" t="n">
        <v>8.88970783297664</v>
      </c>
      <c r="E1111" s="2" t="s">
        <v>11557</v>
      </c>
      <c r="F1111" s="2" t="s">
        <v>531</v>
      </c>
      <c r="G1111" s="2" t="s">
        <v>11558</v>
      </c>
      <c r="H1111" s="2" t="s">
        <v>11559</v>
      </c>
      <c r="I1111" s="2" t="s">
        <v>11560</v>
      </c>
      <c r="J1111" s="2" t="s">
        <v>11561</v>
      </c>
      <c r="K1111" s="2" t="s">
        <v>11562</v>
      </c>
      <c r="L1111" s="2" t="s">
        <v>11563</v>
      </c>
      <c r="M1111" s="2" t="s">
        <v>11564</v>
      </c>
      <c r="N1111" s="2" t="s">
        <v>11565</v>
      </c>
      <c r="O1111" s="2" t="s">
        <v>11566</v>
      </c>
      <c r="P1111" s="2" t="s">
        <v>11567</v>
      </c>
      <c r="Q1111" s="2" t="s">
        <v>11568</v>
      </c>
      <c r="R1111" s="2" t="s">
        <v>794</v>
      </c>
      <c r="S1111" s="2" t="s">
        <v>1098</v>
      </c>
      <c r="T1111" s="2" t="s">
        <v>11569</v>
      </c>
      <c r="U1111" s="2" t="s">
        <v>56</v>
      </c>
      <c r="V1111" s="2" t="n">
        <v>1</v>
      </c>
    </row>
    <row r="1112">
      <c r="A1112" s="2" t="n">
        <v>1111</v>
      </c>
      <c r="B1112" s="2" t="s">
        <v>11570</v>
      </c>
      <c r="C1112" s="2" t="n">
        <v>947.783993198</v>
      </c>
      <c r="D1112" s="2" t="n">
        <v>6.47580944103112</v>
      </c>
      <c r="E1112" s="2" t="s">
        <v>11571</v>
      </c>
      <c r="F1112" s="2" t="s">
        <v>86</v>
      </c>
      <c r="G1112" s="2" t="s">
        <v>11572</v>
      </c>
      <c r="H1112" s="2" t="s">
        <v>11573</v>
      </c>
      <c r="I1112" s="2" t="s">
        <v>11574</v>
      </c>
      <c r="J1112" s="2" t="s">
        <v>29</v>
      </c>
      <c r="K1112" s="2" t="s">
        <v>29</v>
      </c>
      <c r="L1112" s="2" t="s">
        <v>9144</v>
      </c>
      <c r="M1112" s="2" t="s">
        <v>29</v>
      </c>
      <c r="N1112" s="2" t="s">
        <v>11575</v>
      </c>
      <c r="O1112" s="2" t="s">
        <v>29</v>
      </c>
      <c r="P1112" s="2" t="s">
        <v>11576</v>
      </c>
      <c r="Q1112" s="2" t="s">
        <v>11577</v>
      </c>
      <c r="R1112" s="2" t="s">
        <v>794</v>
      </c>
      <c r="S1112" s="2" t="s">
        <v>2600</v>
      </c>
      <c r="T1112" s="2" t="s">
        <v>8840</v>
      </c>
      <c r="U1112" s="2" t="s">
        <v>101</v>
      </c>
      <c r="V1112" s="2" t="n">
        <v>1</v>
      </c>
    </row>
    <row r="1113">
      <c r="A1113" s="2" t="n">
        <v>1112</v>
      </c>
      <c r="B1113" s="2" t="s">
        <v>11578</v>
      </c>
      <c r="C1113" s="2" t="n">
        <v>949.53724135</v>
      </c>
      <c r="D1113" s="2" t="n">
        <v>0.588563438491552</v>
      </c>
      <c r="E1113" s="2" t="s">
        <v>11579</v>
      </c>
      <c r="F1113" s="2" t="s">
        <v>683</v>
      </c>
      <c r="G1113" s="2" t="s">
        <v>11580</v>
      </c>
      <c r="H1113" s="2" t="s">
        <v>11581</v>
      </c>
      <c r="I1113" s="2" t="s">
        <v>11582</v>
      </c>
      <c r="J1113" s="2" t="s">
        <v>29</v>
      </c>
      <c r="K1113" s="2" t="s">
        <v>29</v>
      </c>
      <c r="L1113" s="2" t="s">
        <v>29</v>
      </c>
      <c r="M1113" s="2" t="s">
        <v>29</v>
      </c>
      <c r="N1113" s="2" t="s">
        <v>11583</v>
      </c>
      <c r="O1113" s="2" t="s">
        <v>29</v>
      </c>
      <c r="P1113" s="2" t="s">
        <v>11584</v>
      </c>
      <c r="Q1113" s="2" t="s">
        <v>11585</v>
      </c>
      <c r="R1113" s="2" t="s">
        <v>794</v>
      </c>
      <c r="S1113" s="2" t="s">
        <v>2971</v>
      </c>
      <c r="T1113" s="2" t="s">
        <v>6290</v>
      </c>
      <c r="U1113" s="2" t="s">
        <v>29</v>
      </c>
      <c r="V1113" s="2" t="n">
        <v>1</v>
      </c>
    </row>
    <row r="1114">
      <c r="A1114" s="2" t="n">
        <v>1113</v>
      </c>
      <c r="B1114" s="2" t="s">
        <v>11586</v>
      </c>
      <c r="C1114" s="2" t="n">
        <v>952.583987036</v>
      </c>
      <c r="D1114" s="2" t="n">
        <v>5.53327557648871</v>
      </c>
      <c r="E1114" s="2" t="s">
        <v>11587</v>
      </c>
      <c r="F1114" s="2" t="s">
        <v>86</v>
      </c>
      <c r="G1114" s="2" t="s">
        <v>11588</v>
      </c>
      <c r="H1114" s="2" t="s">
        <v>11589</v>
      </c>
      <c r="I1114" s="2" t="s">
        <v>11590</v>
      </c>
      <c r="J1114" s="2" t="s">
        <v>29</v>
      </c>
      <c r="K1114" s="2" t="s">
        <v>29</v>
      </c>
      <c r="L1114" s="2" t="s">
        <v>29</v>
      </c>
      <c r="M1114" s="2" t="s">
        <v>29</v>
      </c>
      <c r="N1114" s="2" t="s">
        <v>11591</v>
      </c>
      <c r="O1114" s="2" t="s">
        <v>29</v>
      </c>
      <c r="P1114" s="2" t="s">
        <v>11592</v>
      </c>
      <c r="Q1114" s="2" t="s">
        <v>11593</v>
      </c>
      <c r="R1114" s="2" t="s">
        <v>794</v>
      </c>
      <c r="S1114" s="2" t="s">
        <v>7122</v>
      </c>
      <c r="T1114" s="2" t="s">
        <v>8876</v>
      </c>
      <c r="U1114" s="2" t="s">
        <v>29</v>
      </c>
      <c r="V1114" s="2" t="n">
        <v>1</v>
      </c>
    </row>
    <row r="1115">
      <c r="A1115" s="2" t="n">
        <v>1114</v>
      </c>
      <c r="B1115" s="2" t="s">
        <v>11594</v>
      </c>
      <c r="C1115" s="2" t="n">
        <v>956.5788401</v>
      </c>
      <c r="D1115" s="2" t="n">
        <v>8.20763587204711</v>
      </c>
      <c r="E1115" s="2" t="s">
        <v>11595</v>
      </c>
      <c r="F1115" s="2" t="s">
        <v>218</v>
      </c>
      <c r="G1115" s="2" t="s">
        <v>11596</v>
      </c>
      <c r="H1115" s="2" t="s">
        <v>11597</v>
      </c>
      <c r="I1115" s="2" t="s">
        <v>11598</v>
      </c>
      <c r="J1115" s="2" t="s">
        <v>29</v>
      </c>
      <c r="K1115" s="2" t="s">
        <v>29</v>
      </c>
      <c r="L1115" s="2" t="s">
        <v>29</v>
      </c>
      <c r="M1115" s="2" t="s">
        <v>29</v>
      </c>
      <c r="N1115" s="2" t="s">
        <v>11599</v>
      </c>
      <c r="O1115" s="2" t="s">
        <v>29</v>
      </c>
      <c r="P1115" s="2" t="s">
        <v>11600</v>
      </c>
      <c r="Q1115" s="2" t="s">
        <v>11601</v>
      </c>
      <c r="R1115" s="2" t="s">
        <v>794</v>
      </c>
      <c r="S1115" s="2" t="s">
        <v>7122</v>
      </c>
      <c r="T1115" s="2" t="s">
        <v>8876</v>
      </c>
      <c r="U1115" s="2" t="s">
        <v>29</v>
      </c>
      <c r="V1115" s="2" t="n">
        <v>1</v>
      </c>
    </row>
    <row r="1116">
      <c r="A1116" s="2" t="n">
        <v>1115</v>
      </c>
      <c r="B1116" s="2" t="s">
        <v>11602</v>
      </c>
      <c r="C1116" s="2" t="n">
        <v>957.595102686</v>
      </c>
      <c r="D1116" s="2" t="n">
        <v>0.159667716921838</v>
      </c>
      <c r="E1116" s="2" t="s">
        <v>11603</v>
      </c>
      <c r="F1116" s="2" t="s">
        <v>683</v>
      </c>
      <c r="G1116" s="2" t="s">
        <v>11604</v>
      </c>
      <c r="H1116" s="2" t="s">
        <v>11605</v>
      </c>
      <c r="I1116" s="2" t="s">
        <v>11606</v>
      </c>
      <c r="J1116" s="2" t="s">
        <v>11607</v>
      </c>
      <c r="K1116" s="2" t="s">
        <v>11608</v>
      </c>
      <c r="L1116" s="2" t="s">
        <v>29</v>
      </c>
      <c r="M1116" s="2" t="s">
        <v>29</v>
      </c>
      <c r="N1116" s="2" t="s">
        <v>11609</v>
      </c>
      <c r="O1116" s="2" t="s">
        <v>29</v>
      </c>
      <c r="P1116" s="2" t="s">
        <v>11610</v>
      </c>
      <c r="Q1116" s="2" t="s">
        <v>11611</v>
      </c>
      <c r="R1116" s="2" t="s">
        <v>794</v>
      </c>
      <c r="S1116" s="2" t="s">
        <v>7122</v>
      </c>
      <c r="T1116" s="2" t="s">
        <v>8042</v>
      </c>
      <c r="U1116" s="2" t="s">
        <v>56</v>
      </c>
      <c r="V1116" s="2" t="n">
        <v>1</v>
      </c>
    </row>
    <row r="1117">
      <c r="A1117" s="2" t="n">
        <v>1116</v>
      </c>
      <c r="B1117" s="2" t="s">
        <v>11612</v>
      </c>
      <c r="C1117" s="2" t="n">
        <v>958.600210644</v>
      </c>
      <c r="D1117" s="2" t="n">
        <v>5.44454422341088</v>
      </c>
      <c r="E1117" s="2" t="s">
        <v>11613</v>
      </c>
      <c r="F1117" s="2" t="s">
        <v>531</v>
      </c>
      <c r="G1117" s="2" t="s">
        <v>11614</v>
      </c>
      <c r="H1117" s="2" t="s">
        <v>11615</v>
      </c>
      <c r="I1117" s="2" t="s">
        <v>11616</v>
      </c>
      <c r="J1117" s="2" t="s">
        <v>29</v>
      </c>
      <c r="K1117" s="2" t="s">
        <v>29</v>
      </c>
      <c r="L1117" s="2" t="s">
        <v>29</v>
      </c>
      <c r="M1117" s="2" t="s">
        <v>29</v>
      </c>
      <c r="N1117" s="2" t="s">
        <v>11617</v>
      </c>
      <c r="O1117" s="2" t="s">
        <v>29</v>
      </c>
      <c r="P1117" s="2" t="s">
        <v>11618</v>
      </c>
      <c r="Q1117" s="2" t="s">
        <v>11619</v>
      </c>
      <c r="R1117" s="2" t="s">
        <v>129</v>
      </c>
      <c r="S1117" s="2" t="s">
        <v>130</v>
      </c>
      <c r="T1117" s="2" t="s">
        <v>1681</v>
      </c>
      <c r="U1117" s="2" t="s">
        <v>29</v>
      </c>
      <c r="V1117" s="2" t="n">
        <v>1</v>
      </c>
    </row>
    <row r="1118">
      <c r="A1118" s="2" t="n">
        <v>1117</v>
      </c>
      <c r="B1118" s="2" t="s">
        <v>11620</v>
      </c>
      <c r="C1118" s="2" t="n">
        <v>959.490358536</v>
      </c>
      <c r="D1118" s="2" t="n">
        <v>2.38622746637028</v>
      </c>
      <c r="E1118" s="2" t="s">
        <v>11621</v>
      </c>
      <c r="F1118" s="2" t="s">
        <v>205</v>
      </c>
      <c r="G1118" s="2" t="s">
        <v>11622</v>
      </c>
      <c r="H1118" s="2" t="s">
        <v>11623</v>
      </c>
      <c r="I1118" s="2" t="s">
        <v>11624</v>
      </c>
      <c r="J1118" s="2" t="s">
        <v>29</v>
      </c>
      <c r="K1118" s="2" t="s">
        <v>29</v>
      </c>
      <c r="L1118" s="2" t="s">
        <v>29</v>
      </c>
      <c r="M1118" s="2" t="s">
        <v>29</v>
      </c>
      <c r="N1118" s="2" t="s">
        <v>11625</v>
      </c>
      <c r="O1118" s="2" t="s">
        <v>29</v>
      </c>
      <c r="P1118" s="2" t="s">
        <v>11626</v>
      </c>
      <c r="Q1118" s="2" t="s">
        <v>11627</v>
      </c>
      <c r="R1118" s="2" t="s">
        <v>794</v>
      </c>
      <c r="S1118" s="2" t="s">
        <v>7122</v>
      </c>
      <c r="T1118" s="2" t="s">
        <v>11628</v>
      </c>
      <c r="U1118" s="2" t="s">
        <v>29</v>
      </c>
      <c r="V1118" s="2" t="n">
        <v>1</v>
      </c>
    </row>
    <row r="1119">
      <c r="A1119" s="2" t="n">
        <v>1118</v>
      </c>
      <c r="B1119" s="2" t="s">
        <v>11629</v>
      </c>
      <c r="C1119" s="2" t="n">
        <v>961.476818632</v>
      </c>
      <c r="D1119" s="2" t="n">
        <v>7.16310235952796</v>
      </c>
      <c r="E1119" s="2" t="s">
        <v>11630</v>
      </c>
      <c r="F1119" s="2" t="s">
        <v>86</v>
      </c>
      <c r="G1119" s="2" t="s">
        <v>11631</v>
      </c>
      <c r="H1119" s="2" t="s">
        <v>11632</v>
      </c>
      <c r="I1119" s="2" t="s">
        <v>11633</v>
      </c>
      <c r="J1119" s="2" t="s">
        <v>29</v>
      </c>
      <c r="K1119" s="2" t="s">
        <v>29</v>
      </c>
      <c r="L1119" s="2" t="s">
        <v>29</v>
      </c>
      <c r="M1119" s="2" t="s">
        <v>29</v>
      </c>
      <c r="N1119" s="2" t="s">
        <v>11634</v>
      </c>
      <c r="O1119" s="2" t="s">
        <v>29</v>
      </c>
      <c r="P1119" s="2" t="s">
        <v>11635</v>
      </c>
      <c r="Q1119" s="2" t="s">
        <v>11636</v>
      </c>
      <c r="R1119" s="2" t="s">
        <v>794</v>
      </c>
      <c r="S1119" s="2" t="s">
        <v>7122</v>
      </c>
      <c r="T1119" s="2" t="s">
        <v>10968</v>
      </c>
      <c r="U1119" s="2" t="s">
        <v>29</v>
      </c>
      <c r="V1119" s="2" t="n">
        <v>1</v>
      </c>
    </row>
    <row r="1120">
      <c r="A1120" s="2" t="n">
        <v>1119</v>
      </c>
      <c r="B1120" s="2" t="s">
        <v>11637</v>
      </c>
      <c r="C1120" s="2" t="n">
        <v>965.545518245</v>
      </c>
      <c r="D1120" s="2" t="n">
        <v>3.82013295217635</v>
      </c>
      <c r="E1120" s="2" t="s">
        <v>11638</v>
      </c>
      <c r="F1120" s="2" t="s">
        <v>531</v>
      </c>
      <c r="G1120" s="2" t="s">
        <v>11639</v>
      </c>
      <c r="H1120" s="2" t="s">
        <v>11640</v>
      </c>
      <c r="I1120" s="2" t="s">
        <v>11641</v>
      </c>
      <c r="J1120" s="2" t="s">
        <v>29</v>
      </c>
      <c r="K1120" s="2" t="s">
        <v>29</v>
      </c>
      <c r="L1120" s="2" t="s">
        <v>29</v>
      </c>
      <c r="M1120" s="2" t="s">
        <v>29</v>
      </c>
      <c r="N1120" s="2" t="s">
        <v>11642</v>
      </c>
      <c r="O1120" s="2" t="s">
        <v>29</v>
      </c>
      <c r="P1120" s="2" t="s">
        <v>11643</v>
      </c>
      <c r="Q1120" s="2" t="s">
        <v>11644</v>
      </c>
      <c r="R1120" s="2" t="s">
        <v>129</v>
      </c>
      <c r="S1120" s="2" t="s">
        <v>130</v>
      </c>
      <c r="T1120" s="2" t="s">
        <v>1681</v>
      </c>
      <c r="U1120" s="2" t="s">
        <v>29</v>
      </c>
      <c r="V1120" s="2" t="n">
        <v>1</v>
      </c>
    </row>
    <row r="1121">
      <c r="A1121" s="2" t="n">
        <v>1120</v>
      </c>
      <c r="B1121" s="2" t="s">
        <v>11645</v>
      </c>
      <c r="C1121" s="2" t="n">
        <v>972.610139745</v>
      </c>
      <c r="D1121" s="2" t="n">
        <v>5.94518330698177</v>
      </c>
      <c r="E1121" s="2" t="s">
        <v>11646</v>
      </c>
      <c r="F1121" s="2" t="s">
        <v>218</v>
      </c>
      <c r="G1121" s="2" t="s">
        <v>11647</v>
      </c>
      <c r="H1121" s="2" t="s">
        <v>11648</v>
      </c>
      <c r="I1121" s="2" t="s">
        <v>11649</v>
      </c>
      <c r="J1121" s="2" t="s">
        <v>195</v>
      </c>
      <c r="K1121" s="2" t="s">
        <v>195</v>
      </c>
      <c r="L1121" s="2" t="s">
        <v>195</v>
      </c>
      <c r="M1121" s="2" t="s">
        <v>195</v>
      </c>
      <c r="N1121" s="2" t="s">
        <v>195</v>
      </c>
      <c r="O1121" s="2" t="s">
        <v>195</v>
      </c>
      <c r="P1121" s="2" t="s">
        <v>11650</v>
      </c>
      <c r="Q1121" s="2" t="s">
        <v>11651</v>
      </c>
      <c r="R1121" s="2" t="s">
        <v>255</v>
      </c>
      <c r="S1121" s="2" t="s">
        <v>11047</v>
      </c>
      <c r="T1121" s="2" t="s">
        <v>11296</v>
      </c>
      <c r="U1121" s="2" t="s">
        <v>29</v>
      </c>
      <c r="V1121" s="2" t="n">
        <v>3</v>
      </c>
    </row>
    <row r="1122">
      <c r="A1122" s="2" t="n">
        <v>1121</v>
      </c>
      <c r="B1122" s="2" t="s">
        <v>11652</v>
      </c>
      <c r="C1122" s="2" t="n">
        <v>974.607882235</v>
      </c>
      <c r="D1122" s="2" t="n">
        <v>7.88772967560433</v>
      </c>
      <c r="E1122" s="2" t="s">
        <v>11653</v>
      </c>
      <c r="F1122" s="2" t="s">
        <v>531</v>
      </c>
      <c r="G1122" s="2" t="s">
        <v>11654</v>
      </c>
      <c r="H1122" s="2" t="s">
        <v>11655</v>
      </c>
      <c r="I1122" s="2" t="s">
        <v>11656</v>
      </c>
      <c r="J1122" s="2" t="s">
        <v>29</v>
      </c>
      <c r="K1122" s="2" t="s">
        <v>29</v>
      </c>
      <c r="L1122" s="2" t="s">
        <v>29</v>
      </c>
      <c r="M1122" s="2" t="s">
        <v>29</v>
      </c>
      <c r="N1122" s="2" t="s">
        <v>11657</v>
      </c>
      <c r="O1122" s="2" t="s">
        <v>29</v>
      </c>
      <c r="P1122" s="2" t="s">
        <v>11658</v>
      </c>
      <c r="Q1122" s="2" t="s">
        <v>11659</v>
      </c>
      <c r="R1122" s="2" t="s">
        <v>36</v>
      </c>
      <c r="S1122" s="2" t="s">
        <v>37</v>
      </c>
      <c r="T1122" s="2" t="s">
        <v>69</v>
      </c>
      <c r="U1122" s="2" t="s">
        <v>29</v>
      </c>
      <c r="V1122" s="2" t="n">
        <v>1</v>
      </c>
    </row>
    <row r="1123">
      <c r="A1123" s="2" t="n">
        <v>1122</v>
      </c>
      <c r="B1123" s="2" t="s">
        <v>11660</v>
      </c>
      <c r="C1123" s="2" t="n">
        <v>981.54236217</v>
      </c>
      <c r="D1123" s="2" t="n">
        <v>3.53619680278617</v>
      </c>
      <c r="E1123" s="2" t="s">
        <v>11661</v>
      </c>
      <c r="F1123" s="2" t="s">
        <v>683</v>
      </c>
      <c r="G1123" s="2" t="s">
        <v>11662</v>
      </c>
      <c r="H1123" s="2" t="s">
        <v>11663</v>
      </c>
      <c r="I1123" s="2" t="s">
        <v>11664</v>
      </c>
      <c r="J1123" s="2" t="s">
        <v>29</v>
      </c>
      <c r="K1123" s="2" t="s">
        <v>29</v>
      </c>
      <c r="L1123" s="2" t="s">
        <v>29</v>
      </c>
      <c r="M1123" s="2" t="s">
        <v>29</v>
      </c>
      <c r="N1123" s="2" t="s">
        <v>11665</v>
      </c>
      <c r="O1123" s="2" t="s">
        <v>29</v>
      </c>
      <c r="P1123" s="2" t="s">
        <v>11666</v>
      </c>
      <c r="Q1123" s="2" t="s">
        <v>11667</v>
      </c>
      <c r="R1123" s="2" t="s">
        <v>186</v>
      </c>
      <c r="S1123" s="2" t="s">
        <v>187</v>
      </c>
      <c r="T1123" s="2" t="s">
        <v>8537</v>
      </c>
      <c r="U1123" s="2" t="s">
        <v>29</v>
      </c>
      <c r="V1123" s="2" t="n">
        <v>1</v>
      </c>
    </row>
    <row r="1124">
      <c r="A1124" s="2" t="n">
        <v>1123</v>
      </c>
      <c r="B1124" s="2" t="s">
        <v>11668</v>
      </c>
      <c r="C1124" s="2" t="n">
        <v>998.599226312</v>
      </c>
      <c r="D1124" s="2" t="n">
        <v>0.223877568335731</v>
      </c>
      <c r="E1124" s="2" t="s">
        <v>11669</v>
      </c>
      <c r="F1124" s="2" t="s">
        <v>683</v>
      </c>
      <c r="G1124" s="2" t="s">
        <v>11670</v>
      </c>
      <c r="H1124" s="2" t="s">
        <v>11671</v>
      </c>
      <c r="I1124" s="2" t="s">
        <v>11672</v>
      </c>
      <c r="J1124" s="2" t="s">
        <v>11673</v>
      </c>
      <c r="K1124" s="2" t="s">
        <v>29</v>
      </c>
      <c r="L1124" s="2" t="s">
        <v>29</v>
      </c>
      <c r="M1124" s="2" t="s">
        <v>29</v>
      </c>
      <c r="N1124" s="2" t="s">
        <v>11674</v>
      </c>
      <c r="O1124" s="2" t="s">
        <v>11675</v>
      </c>
      <c r="P1124" s="2" t="s">
        <v>11676</v>
      </c>
      <c r="Q1124" s="2" t="s">
        <v>11677</v>
      </c>
      <c r="R1124" s="2" t="s">
        <v>186</v>
      </c>
      <c r="S1124" s="2" t="s">
        <v>187</v>
      </c>
      <c r="T1124" s="2" t="s">
        <v>8537</v>
      </c>
      <c r="U1124" s="2" t="s">
        <v>29</v>
      </c>
      <c r="V1124" s="2" t="n">
        <v>1</v>
      </c>
    </row>
    <row r="1125">
      <c r="A1125" s="2" t="n">
        <v>1124</v>
      </c>
      <c r="B1125" s="2" t="s">
        <v>11678</v>
      </c>
      <c r="C1125" s="2" t="n">
        <v>1021.482514074</v>
      </c>
      <c r="D1125" s="2" t="n">
        <v>1.81141410984312</v>
      </c>
      <c r="E1125" s="2" t="s">
        <v>11679</v>
      </c>
      <c r="F1125" s="2" t="s">
        <v>24</v>
      </c>
      <c r="G1125" s="2" t="s">
        <v>11680</v>
      </c>
      <c r="H1125" s="2" t="s">
        <v>11681</v>
      </c>
      <c r="I1125" s="2" t="s">
        <v>11682</v>
      </c>
      <c r="J1125" s="2" t="s">
        <v>11683</v>
      </c>
      <c r="K1125" s="2" t="s">
        <v>29</v>
      </c>
      <c r="L1125" s="2" t="s">
        <v>11684</v>
      </c>
      <c r="M1125" s="2" t="s">
        <v>29</v>
      </c>
      <c r="N1125" s="2" t="s">
        <v>11685</v>
      </c>
      <c r="O1125" s="2" t="s">
        <v>29</v>
      </c>
      <c r="P1125" s="2" t="s">
        <v>11686</v>
      </c>
      <c r="Q1125" s="2" t="s">
        <v>11687</v>
      </c>
      <c r="R1125" s="2" t="s">
        <v>794</v>
      </c>
      <c r="S1125" s="2" t="s">
        <v>7122</v>
      </c>
      <c r="T1125" s="2" t="s">
        <v>11628</v>
      </c>
      <c r="U1125" s="2" t="s">
        <v>101</v>
      </c>
      <c r="V1125" s="2" t="n">
        <v>1</v>
      </c>
    </row>
    <row r="1126">
      <c r="A1126" s="2" t="n">
        <v>1125</v>
      </c>
      <c r="B1126" s="2" t="s">
        <v>11688</v>
      </c>
      <c r="C1126" s="2" t="n">
        <v>1036.79682734</v>
      </c>
      <c r="D1126" s="2" t="n">
        <v>2.47915976668914</v>
      </c>
      <c r="E1126" s="2" t="s">
        <v>11689</v>
      </c>
      <c r="F1126" s="2" t="s">
        <v>24</v>
      </c>
      <c r="G1126" s="2" t="s">
        <v>11690</v>
      </c>
      <c r="H1126" s="2" t="s">
        <v>11691</v>
      </c>
      <c r="I1126" s="2" t="s">
        <v>11692</v>
      </c>
      <c r="J1126" s="2" t="s">
        <v>29</v>
      </c>
      <c r="K1126" s="2" t="s">
        <v>29</v>
      </c>
      <c r="L1126" s="2" t="s">
        <v>29</v>
      </c>
      <c r="M1126" s="2" t="s">
        <v>29</v>
      </c>
      <c r="N1126" s="2" t="s">
        <v>11693</v>
      </c>
      <c r="O1126" s="2" t="s">
        <v>29</v>
      </c>
      <c r="P1126" s="2" t="s">
        <v>11694</v>
      </c>
      <c r="Q1126" s="2" t="s">
        <v>11695</v>
      </c>
      <c r="R1126" s="2" t="s">
        <v>36</v>
      </c>
      <c r="S1126" s="2" t="s">
        <v>37</v>
      </c>
      <c r="T1126" s="2" t="s">
        <v>69</v>
      </c>
      <c r="U1126" s="2" t="s">
        <v>29</v>
      </c>
      <c r="V1126" s="2" t="n">
        <v>1</v>
      </c>
    </row>
    <row r="1127">
      <c r="A1127" s="2" t="n">
        <v>1126</v>
      </c>
      <c r="B1127" s="2" t="s">
        <v>11696</v>
      </c>
      <c r="C1127" s="2" t="n">
        <v>1065.853705302</v>
      </c>
      <c r="D1127" s="2" t="n">
        <v>2.08921743212859</v>
      </c>
      <c r="E1127" s="2" t="s">
        <v>11697</v>
      </c>
      <c r="F1127" s="2" t="s">
        <v>683</v>
      </c>
      <c r="G1127" s="2" t="s">
        <v>11698</v>
      </c>
      <c r="H1127" s="2" t="s">
        <v>11699</v>
      </c>
      <c r="I1127" s="2" t="s">
        <v>11700</v>
      </c>
      <c r="J1127" s="2" t="s">
        <v>29</v>
      </c>
      <c r="K1127" s="2" t="s">
        <v>29</v>
      </c>
      <c r="L1127" s="2" t="s">
        <v>29</v>
      </c>
      <c r="M1127" s="2" t="s">
        <v>29</v>
      </c>
      <c r="N1127" s="2" t="s">
        <v>11701</v>
      </c>
      <c r="O1127" s="2" t="s">
        <v>29</v>
      </c>
      <c r="P1127" s="2" t="s">
        <v>11702</v>
      </c>
      <c r="Q1127" s="2" t="s">
        <v>11703</v>
      </c>
      <c r="R1127" s="2" t="s">
        <v>114</v>
      </c>
      <c r="S1127" s="2" t="s">
        <v>730</v>
      </c>
      <c r="T1127" s="2" t="s">
        <v>731</v>
      </c>
      <c r="U1127" s="2" t="s">
        <v>29</v>
      </c>
      <c r="V1127" s="2" t="n">
        <v>1</v>
      </c>
    </row>
    <row r="1128">
      <c r="A1128" s="2" t="n">
        <v>1127</v>
      </c>
      <c r="B1128" s="2" t="s">
        <v>11704</v>
      </c>
      <c r="C1128" s="2" t="n">
        <v>1074.549036875</v>
      </c>
      <c r="D1128" s="2" t="n">
        <v>5.21865607604789</v>
      </c>
      <c r="E1128" s="2" t="s">
        <v>11705</v>
      </c>
      <c r="F1128" s="2" t="s">
        <v>24</v>
      </c>
      <c r="G1128" s="2" t="s">
        <v>11706</v>
      </c>
      <c r="H1128" s="2" t="s">
        <v>11707</v>
      </c>
      <c r="I1128" s="2" t="s">
        <v>11708</v>
      </c>
      <c r="J1128" s="2" t="s">
        <v>11709</v>
      </c>
      <c r="K1128" s="2" t="s">
        <v>29</v>
      </c>
      <c r="L1128" s="2" t="s">
        <v>29</v>
      </c>
      <c r="M1128" s="2" t="s">
        <v>11710</v>
      </c>
      <c r="N1128" s="2" t="s">
        <v>11711</v>
      </c>
      <c r="O1128" s="2" t="s">
        <v>11712</v>
      </c>
      <c r="P1128" s="2" t="s">
        <v>11713</v>
      </c>
      <c r="Q1128" s="2" t="s">
        <v>11714</v>
      </c>
      <c r="R1128" s="2" t="s">
        <v>36</v>
      </c>
      <c r="S1128" s="2" t="s">
        <v>37</v>
      </c>
      <c r="T1128" s="2" t="s">
        <v>69</v>
      </c>
      <c r="U1128" s="2" t="s">
        <v>29</v>
      </c>
      <c r="V1128" s="2" t="n">
        <v>1</v>
      </c>
    </row>
    <row r="1129">
      <c r="A1129" s="2" t="n">
        <v>1128</v>
      </c>
      <c r="B1129" s="2" t="s">
        <v>11715</v>
      </c>
      <c r="C1129" s="2" t="n">
        <v>1088.632217431</v>
      </c>
      <c r="D1129" s="2" t="n">
        <v>6.73198427259548</v>
      </c>
      <c r="E1129" s="2" t="s">
        <v>11716</v>
      </c>
      <c r="F1129" s="2" t="s">
        <v>24</v>
      </c>
      <c r="G1129" s="2" t="s">
        <v>11717</v>
      </c>
      <c r="H1129" s="2" t="s">
        <v>11718</v>
      </c>
      <c r="I1129" s="2" t="s">
        <v>11719</v>
      </c>
      <c r="J1129" s="2" t="s">
        <v>29</v>
      </c>
      <c r="K1129" s="2" t="s">
        <v>29</v>
      </c>
      <c r="L1129" s="2" t="s">
        <v>29</v>
      </c>
      <c r="M1129" s="2" t="s">
        <v>29</v>
      </c>
      <c r="N1129" s="2" t="s">
        <v>11720</v>
      </c>
      <c r="O1129" s="2" t="s">
        <v>29</v>
      </c>
      <c r="P1129" s="2" t="s">
        <v>11721</v>
      </c>
      <c r="Q1129" s="2" t="s">
        <v>11722</v>
      </c>
      <c r="R1129" s="2" t="s">
        <v>794</v>
      </c>
      <c r="S1129" s="2" t="s">
        <v>7122</v>
      </c>
      <c r="T1129" s="2" t="s">
        <v>11022</v>
      </c>
      <c r="U1129" s="2" t="s">
        <v>29</v>
      </c>
      <c r="V1129" s="2" t="n">
        <v>1</v>
      </c>
    </row>
    <row r="1130">
      <c r="A1130" s="2" t="n">
        <v>1129</v>
      </c>
      <c r="B1130" s="2" t="s">
        <v>11723</v>
      </c>
      <c r="C1130" s="2" t="n">
        <v>1112.525905031</v>
      </c>
      <c r="D1130" s="2" t="n">
        <v>4.33393160145304</v>
      </c>
      <c r="E1130" s="2" t="s">
        <v>11724</v>
      </c>
      <c r="F1130" s="2" t="s">
        <v>531</v>
      </c>
      <c r="G1130" s="2" t="s">
        <v>11725</v>
      </c>
      <c r="H1130" s="2" t="s">
        <v>11726</v>
      </c>
      <c r="I1130" s="2" t="s">
        <v>11727</v>
      </c>
      <c r="J1130" s="2" t="s">
        <v>11728</v>
      </c>
      <c r="K1130" s="2" t="s">
        <v>29</v>
      </c>
      <c r="L1130" s="2" t="s">
        <v>29</v>
      </c>
      <c r="M1130" s="2" t="s">
        <v>29</v>
      </c>
      <c r="N1130" s="2" t="s">
        <v>11729</v>
      </c>
      <c r="O1130" s="2" t="s">
        <v>11730</v>
      </c>
      <c r="P1130" s="2" t="s">
        <v>11731</v>
      </c>
      <c r="Q1130" s="2" t="s">
        <v>11732</v>
      </c>
      <c r="R1130" s="2" t="s">
        <v>794</v>
      </c>
      <c r="S1130" s="2" t="s">
        <v>2971</v>
      </c>
      <c r="T1130" s="2" t="s">
        <v>11733</v>
      </c>
      <c r="U1130" s="2" t="s">
        <v>29</v>
      </c>
      <c r="V1130" s="2" t="n">
        <v>1</v>
      </c>
    </row>
    <row r="1131">
      <c r="A1131" s="2" t="n">
        <v>1130</v>
      </c>
      <c r="B1131" s="2" t="s">
        <v>11734</v>
      </c>
      <c r="C1131" s="2" t="n">
        <v>1149.510134924</v>
      </c>
      <c r="D1131" s="2" t="n">
        <v>8.46075860294023</v>
      </c>
      <c r="E1131" s="2" t="s">
        <v>11735</v>
      </c>
      <c r="F1131" s="2" t="s">
        <v>86</v>
      </c>
      <c r="G1131" s="2" t="s">
        <v>11736</v>
      </c>
      <c r="H1131" s="2" t="s">
        <v>11737</v>
      </c>
      <c r="I1131" s="2" t="s">
        <v>11738</v>
      </c>
      <c r="J1131" s="2" t="s">
        <v>11739</v>
      </c>
      <c r="K1131" s="2" t="s">
        <v>29</v>
      </c>
      <c r="L1131" s="2" t="s">
        <v>29</v>
      </c>
      <c r="M1131" s="2" t="s">
        <v>29</v>
      </c>
      <c r="N1131" s="2" t="s">
        <v>11740</v>
      </c>
      <c r="O1131" s="2" t="s">
        <v>11741</v>
      </c>
      <c r="P1131" s="2" t="s">
        <v>11742</v>
      </c>
      <c r="Q1131" s="2" t="s">
        <v>11743</v>
      </c>
      <c r="R1131" s="2" t="s">
        <v>794</v>
      </c>
      <c r="S1131" s="2" t="s">
        <v>2971</v>
      </c>
      <c r="T1131" s="2" t="s">
        <v>11733</v>
      </c>
      <c r="U1131" s="2" t="s">
        <v>29</v>
      </c>
      <c r="V1131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8" max="8" width="45.71" hidden="0" customWidth="1"/>
  </cols>
  <sheetData>
    <row r="1">
      <c r="A1" s="1" t="s">
        <v>0</v>
      </c>
      <c r="B1" s="1" t="s">
        <v>11744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11745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</v>
      </c>
      <c r="V1" s="1" t="s">
        <v>5</v>
      </c>
      <c r="W1" s="1" t="s">
        <v>20</v>
      </c>
    </row>
    <row r="2">
      <c r="A2" s="2" t="n">
        <v>1</v>
      </c>
      <c r="B2" s="2" t="s">
        <v>11746</v>
      </c>
      <c r="C2" s="2" t="s">
        <v>22</v>
      </c>
      <c r="D2" s="2" t="n">
        <v>72.99311793</v>
      </c>
      <c r="E2" s="2" t="n">
        <v>12.4626230001699</v>
      </c>
      <c r="F2" s="2" t="s">
        <v>25</v>
      </c>
      <c r="G2" s="2" t="n">
        <v>46878</v>
      </c>
      <c r="H2" s="3" t="str">
        <f>HYPERLINK("http://funmeta.oebiotech.com/network/46878", "http://funmeta.oebiotech.com/network/46878")</f>
      </c>
      <c r="I2" s="2" t="s">
        <v>27</v>
      </c>
      <c r="J2" s="2" t="s">
        <v>28</v>
      </c>
      <c r="K2" s="2"/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23</v>
      </c>
      <c r="V2" s="2" t="s">
        <v>24</v>
      </c>
      <c r="W2" s="2" t="s">
        <v>39</v>
      </c>
    </row>
    <row r="3">
      <c r="A3" s="2" t="n">
        <v>2</v>
      </c>
      <c r="B3" s="2" t="s">
        <v>11747</v>
      </c>
      <c r="C3" s="2" t="s">
        <v>40</v>
      </c>
      <c r="D3" s="2" t="n">
        <v>73.029503436</v>
      </c>
      <c r="E3" s="2" t="n">
        <v>4.66597126830606</v>
      </c>
      <c r="F3" s="2" t="s">
        <v>11748</v>
      </c>
      <c r="G3" s="2" t="n">
        <v>50</v>
      </c>
      <c r="H3" s="3" t="str">
        <f>HYPERLINK("http://funmeta.oebiotech.com/network/50", "http://funmeta.oebiotech.com/network/50")</f>
      </c>
      <c r="I3" s="2" t="s">
        <v>11749</v>
      </c>
      <c r="J3" s="2" t="s">
        <v>11750</v>
      </c>
      <c r="K3" s="2" t="s">
        <v>11751</v>
      </c>
      <c r="L3" s="2" t="s">
        <v>11752</v>
      </c>
      <c r="M3" s="2" t="s">
        <v>4635</v>
      </c>
      <c r="N3" s="2" t="s">
        <v>11753</v>
      </c>
      <c r="O3" s="2" t="s">
        <v>11754</v>
      </c>
      <c r="P3" s="2" t="s">
        <v>11755</v>
      </c>
      <c r="Q3" s="2" t="s">
        <v>11756</v>
      </c>
      <c r="R3" s="2" t="s">
        <v>36</v>
      </c>
      <c r="S3" s="2" t="s">
        <v>37</v>
      </c>
      <c r="T3" s="2" t="s">
        <v>38</v>
      </c>
      <c r="U3" s="2" t="s">
        <v>41</v>
      </c>
      <c r="V3" s="2" t="s">
        <v>24</v>
      </c>
      <c r="W3" s="2" t="s">
        <v>56</v>
      </c>
    </row>
    <row r="4">
      <c r="A4" s="2" t="n">
        <v>2</v>
      </c>
      <c r="B4" s="2" t="s">
        <v>11757</v>
      </c>
      <c r="C4" s="2" t="s">
        <v>40</v>
      </c>
      <c r="D4" s="2" t="n">
        <v>73.029503436</v>
      </c>
      <c r="E4" s="2" t="n">
        <v>4.66597126830606</v>
      </c>
      <c r="F4" s="2" t="s">
        <v>11758</v>
      </c>
      <c r="G4" s="2" t="n">
        <v>48020</v>
      </c>
      <c r="H4" s="3" t="str">
        <f>HYPERLINK("http://funmeta.oebiotech.com/network/48020", "http://funmeta.oebiotech.com/network/48020")</f>
      </c>
      <c r="I4" s="2" t="s">
        <v>11759</v>
      </c>
      <c r="J4" s="2" t="s">
        <v>11760</v>
      </c>
      <c r="K4" s="2"/>
      <c r="L4" s="2" t="s">
        <v>11761</v>
      </c>
      <c r="M4" s="2" t="s">
        <v>11762</v>
      </c>
      <c r="N4" s="2" t="s">
        <v>11763</v>
      </c>
      <c r="O4" s="2" t="s">
        <v>11764</v>
      </c>
      <c r="P4" s="2" t="s">
        <v>11765</v>
      </c>
      <c r="Q4" s="2" t="s">
        <v>11766</v>
      </c>
      <c r="R4" s="2" t="s">
        <v>129</v>
      </c>
      <c r="S4" s="2" t="s">
        <v>130</v>
      </c>
      <c r="T4" s="2" t="s">
        <v>131</v>
      </c>
      <c r="U4" s="2" t="s">
        <v>41</v>
      </c>
      <c r="V4" s="2" t="s">
        <v>24</v>
      </c>
      <c r="W4" s="2" t="s">
        <v>56</v>
      </c>
    </row>
    <row r="5">
      <c r="A5" s="2" t="n">
        <v>2</v>
      </c>
      <c r="B5" s="2" t="s">
        <v>11767</v>
      </c>
      <c r="C5" s="2" t="s">
        <v>40</v>
      </c>
      <c r="D5" s="2" t="n">
        <v>73.029503436</v>
      </c>
      <c r="E5" s="2" t="n">
        <v>4.66597126830606</v>
      </c>
      <c r="F5" s="2" t="s">
        <v>11768</v>
      </c>
      <c r="G5" s="2" t="n">
        <v>48109</v>
      </c>
      <c r="H5" s="3" t="str">
        <f>HYPERLINK("http://funmeta.oebiotech.com/network/48109", "http://funmeta.oebiotech.com/network/48109")</f>
      </c>
      <c r="I5" s="2" t="s">
        <v>11769</v>
      </c>
      <c r="J5" s="2" t="s">
        <v>11770</v>
      </c>
      <c r="K5" s="2"/>
      <c r="L5" s="2" t="s">
        <v>11771</v>
      </c>
      <c r="M5" s="2" t="s">
        <v>11772</v>
      </c>
      <c r="N5" s="2" t="s">
        <v>11773</v>
      </c>
      <c r="O5" s="2" t="s">
        <v>11774</v>
      </c>
      <c r="P5" s="2" t="s">
        <v>11775</v>
      </c>
      <c r="Q5" s="2" t="s">
        <v>11776</v>
      </c>
      <c r="R5" s="2" t="s">
        <v>129</v>
      </c>
      <c r="S5" s="2" t="s">
        <v>130</v>
      </c>
      <c r="T5" s="2" t="s">
        <v>131</v>
      </c>
      <c r="U5" s="2" t="s">
        <v>41</v>
      </c>
      <c r="V5" s="2" t="s">
        <v>24</v>
      </c>
      <c r="W5" s="2" t="s">
        <v>56</v>
      </c>
    </row>
    <row r="6">
      <c r="A6" s="2" t="n">
        <v>3</v>
      </c>
      <c r="B6" s="2" t="s">
        <v>11777</v>
      </c>
      <c r="C6" s="2" t="s">
        <v>57</v>
      </c>
      <c r="D6" s="2" t="n">
        <v>74.024752409</v>
      </c>
      <c r="E6" s="2" t="n">
        <v>6.38278359155625</v>
      </c>
      <c r="F6" s="2" t="s">
        <v>59</v>
      </c>
      <c r="G6" s="2" t="n">
        <v>46881</v>
      </c>
      <c r="H6" s="3" t="str">
        <f>HYPERLINK("http://funmeta.oebiotech.com/network/46881", "http://funmeta.oebiotech.com/network/46881")</f>
      </c>
      <c r="I6" s="2" t="s">
        <v>61</v>
      </c>
      <c r="J6" s="2" t="s">
        <v>62</v>
      </c>
      <c r="K6" s="2"/>
      <c r="L6" s="2" t="s">
        <v>63</v>
      </c>
      <c r="M6" s="2" t="s">
        <v>64</v>
      </c>
      <c r="N6" s="2" t="s">
        <v>65</v>
      </c>
      <c r="O6" s="2" t="s">
        <v>66</v>
      </c>
      <c r="P6" s="2" t="s">
        <v>67</v>
      </c>
      <c r="Q6" s="2" t="s">
        <v>68</v>
      </c>
      <c r="R6" s="2" t="s">
        <v>36</v>
      </c>
      <c r="S6" s="2" t="s">
        <v>37</v>
      </c>
      <c r="T6" s="2" t="s">
        <v>69</v>
      </c>
      <c r="U6" s="2" t="s">
        <v>58</v>
      </c>
      <c r="V6" s="2" t="s">
        <v>24</v>
      </c>
      <c r="W6" s="2" t="s">
        <v>39</v>
      </c>
    </row>
    <row r="7">
      <c r="A7" s="2" t="n">
        <v>4</v>
      </c>
      <c r="B7" s="2" t="s">
        <v>11778</v>
      </c>
      <c r="C7" s="2" t="s">
        <v>70</v>
      </c>
      <c r="D7" s="2" t="n">
        <v>75.008767994</v>
      </c>
      <c r="E7" s="2" t="n">
        <v>5.97051756700965</v>
      </c>
      <c r="F7" s="2" t="s">
        <v>72</v>
      </c>
      <c r="G7" s="2" t="n">
        <v>46876</v>
      </c>
      <c r="H7" s="3" t="str">
        <f>HYPERLINK("http://funmeta.oebiotech.com/network/46876", "http://funmeta.oebiotech.com/network/46876")</f>
      </c>
      <c r="I7" s="2" t="s">
        <v>74</v>
      </c>
      <c r="J7" s="2" t="s">
        <v>75</v>
      </c>
      <c r="K7" s="2"/>
      <c r="L7" s="2" t="s">
        <v>76</v>
      </c>
      <c r="M7" s="2" t="s">
        <v>77</v>
      </c>
      <c r="N7" s="2" t="s">
        <v>78</v>
      </c>
      <c r="O7" s="2" t="s">
        <v>79</v>
      </c>
      <c r="P7" s="2" t="s">
        <v>80</v>
      </c>
      <c r="Q7" s="2" t="s">
        <v>81</v>
      </c>
      <c r="R7" s="2" t="s">
        <v>36</v>
      </c>
      <c r="S7" s="2" t="s">
        <v>82</v>
      </c>
      <c r="T7" s="2" t="s">
        <v>83</v>
      </c>
      <c r="U7" s="2" t="s">
        <v>71</v>
      </c>
      <c r="V7" s="2" t="s">
        <v>24</v>
      </c>
      <c r="W7" s="2" t="s">
        <v>39</v>
      </c>
    </row>
    <row r="8">
      <c r="A8" s="2" t="n">
        <v>5</v>
      </c>
      <c r="B8" s="2" t="s">
        <v>11779</v>
      </c>
      <c r="C8" s="2" t="s">
        <v>84</v>
      </c>
      <c r="D8" s="2" t="n">
        <v>80.027251229</v>
      </c>
      <c r="E8" s="2" t="n">
        <v>9.99427523396258</v>
      </c>
      <c r="F8" s="2" t="s">
        <v>11780</v>
      </c>
      <c r="G8" s="2" t="n">
        <v>46864</v>
      </c>
      <c r="H8" s="3" t="str">
        <f>HYPERLINK("http://funmeta.oebiotech.com/network/46864", "http://funmeta.oebiotech.com/network/46864")</f>
      </c>
      <c r="I8" s="2" t="s">
        <v>11781</v>
      </c>
      <c r="J8" s="2" t="s">
        <v>11782</v>
      </c>
      <c r="K8" s="2"/>
      <c r="L8" s="2" t="s">
        <v>11783</v>
      </c>
      <c r="M8" s="2" t="s">
        <v>11784</v>
      </c>
      <c r="N8" s="2" t="s">
        <v>11785</v>
      </c>
      <c r="O8" s="2" t="s">
        <v>11786</v>
      </c>
      <c r="P8" s="2" t="s">
        <v>11787</v>
      </c>
      <c r="Q8" s="2" t="s">
        <v>11788</v>
      </c>
      <c r="R8" s="2" t="s">
        <v>601</v>
      </c>
      <c r="S8" s="2" t="s">
        <v>602</v>
      </c>
      <c r="T8" s="2" t="s">
        <v>1800</v>
      </c>
      <c r="U8" s="2" t="s">
        <v>85</v>
      </c>
      <c r="V8" s="2" t="s">
        <v>86</v>
      </c>
      <c r="W8" s="2" t="s">
        <v>101</v>
      </c>
    </row>
    <row r="9">
      <c r="A9" s="2" t="n">
        <v>5</v>
      </c>
      <c r="B9" s="2" t="s">
        <v>11789</v>
      </c>
      <c r="C9" s="2" t="s">
        <v>84</v>
      </c>
      <c r="D9" s="2" t="n">
        <v>80.027251229</v>
      </c>
      <c r="E9" s="2" t="n">
        <v>9.99427523396258</v>
      </c>
      <c r="F9" s="2" t="s">
        <v>11790</v>
      </c>
      <c r="G9" s="2" t="n">
        <v>52221</v>
      </c>
      <c r="H9" s="3" t="str">
        <f>HYPERLINK("http://funmeta.oebiotech.com/network/52221", "http://funmeta.oebiotech.com/network/52221")</f>
      </c>
      <c r="I9" s="2" t="s">
        <v>11791</v>
      </c>
      <c r="J9" s="2" t="s">
        <v>11792</v>
      </c>
      <c r="K9" s="2"/>
      <c r="L9" s="2" t="s">
        <v>11793</v>
      </c>
      <c r="M9" s="2" t="s">
        <v>11794</v>
      </c>
      <c r="N9" s="2" t="s">
        <v>11795</v>
      </c>
      <c r="O9" s="2" t="s">
        <v>11796</v>
      </c>
      <c r="P9" s="2" t="s">
        <v>11797</v>
      </c>
      <c r="Q9" s="2" t="s">
        <v>11798</v>
      </c>
      <c r="R9" s="2" t="s">
        <v>601</v>
      </c>
      <c r="S9" s="2" t="s">
        <v>602</v>
      </c>
      <c r="T9" s="2" t="s">
        <v>1800</v>
      </c>
      <c r="U9" s="2" t="s">
        <v>85</v>
      </c>
      <c r="V9" s="2" t="s">
        <v>86</v>
      </c>
      <c r="W9" s="2" t="s">
        <v>101</v>
      </c>
    </row>
    <row r="10">
      <c r="A10" s="2" t="n">
        <v>6</v>
      </c>
      <c r="B10" s="2" t="s">
        <v>11799</v>
      </c>
      <c r="C10" s="2" t="s">
        <v>102</v>
      </c>
      <c r="D10" s="2" t="n">
        <v>83.013853372</v>
      </c>
      <c r="E10" s="2" t="n">
        <v>10.4438186640263</v>
      </c>
      <c r="F10" s="2" t="s">
        <v>104</v>
      </c>
      <c r="G10" s="2" t="n">
        <v>56702</v>
      </c>
      <c r="H10" s="3" t="str">
        <f>HYPERLINK("http://funmeta.oebiotech.com/network/56702", "http://funmeta.oebiotech.com/network/56702")</f>
      </c>
      <c r="I10" s="2" t="s">
        <v>106</v>
      </c>
      <c r="J10" s="2" t="s">
        <v>107</v>
      </c>
      <c r="K10" s="2"/>
      <c r="L10" s="2" t="s">
        <v>108</v>
      </c>
      <c r="M10" s="2" t="s">
        <v>109</v>
      </c>
      <c r="N10" s="2" t="s">
        <v>110</v>
      </c>
      <c r="O10" s="2" t="s">
        <v>111</v>
      </c>
      <c r="P10" s="2" t="s">
        <v>112</v>
      </c>
      <c r="Q10" s="2" t="s">
        <v>113</v>
      </c>
      <c r="R10" s="2" t="s">
        <v>114</v>
      </c>
      <c r="S10" s="2" t="s">
        <v>115</v>
      </c>
      <c r="T10" s="2" t="s">
        <v>116</v>
      </c>
      <c r="U10" s="2" t="s">
        <v>103</v>
      </c>
      <c r="V10" s="2" t="s">
        <v>24</v>
      </c>
      <c r="W10" s="2" t="s">
        <v>56</v>
      </c>
    </row>
    <row r="11">
      <c r="A11" s="2" t="n">
        <v>7</v>
      </c>
      <c r="B11" s="2" t="s">
        <v>11800</v>
      </c>
      <c r="C11" s="2" t="s">
        <v>117</v>
      </c>
      <c r="D11" s="2" t="n">
        <v>83.050238878</v>
      </c>
      <c r="E11" s="2" t="n">
        <v>1.47076353499084</v>
      </c>
      <c r="F11" s="2" t="s">
        <v>119</v>
      </c>
      <c r="G11" s="2" t="n">
        <v>51872</v>
      </c>
      <c r="H11" s="3" t="str">
        <f>HYPERLINK("http://funmeta.oebiotech.com/network/51872", "http://funmeta.oebiotech.com/network/51872")</f>
      </c>
      <c r="I11" s="2" t="s">
        <v>121</v>
      </c>
      <c r="J11" s="2" t="s">
        <v>122</v>
      </c>
      <c r="K11" s="2"/>
      <c r="L11" s="2" t="s">
        <v>123</v>
      </c>
      <c r="M11" s="2" t="s">
        <v>124</v>
      </c>
      <c r="N11" s="2" t="s">
        <v>125</v>
      </c>
      <c r="O11" s="2" t="s">
        <v>126</v>
      </c>
      <c r="P11" s="2" t="s">
        <v>127</v>
      </c>
      <c r="Q11" s="2" t="s">
        <v>128</v>
      </c>
      <c r="R11" s="2" t="s">
        <v>129</v>
      </c>
      <c r="S11" s="2" t="s">
        <v>130</v>
      </c>
      <c r="T11" s="2" t="s">
        <v>131</v>
      </c>
      <c r="U11" s="2" t="s">
        <v>118</v>
      </c>
      <c r="V11" s="2" t="s">
        <v>24</v>
      </c>
      <c r="W11" s="2" t="s">
        <v>56</v>
      </c>
    </row>
    <row r="12">
      <c r="A12" s="2" t="n">
        <v>8</v>
      </c>
      <c r="B12" s="2" t="s">
        <v>11801</v>
      </c>
      <c r="C12" s="2" t="s">
        <v>132</v>
      </c>
      <c r="D12" s="2" t="n">
        <v>88.040402473</v>
      </c>
      <c r="E12" s="2" t="n">
        <v>6.8099097528894</v>
      </c>
      <c r="F12" s="2" t="s">
        <v>11802</v>
      </c>
      <c r="G12" s="2" t="n">
        <v>46848</v>
      </c>
      <c r="H12" s="3" t="str">
        <f>HYPERLINK("http://funmeta.oebiotech.com/network/46848", "http://funmeta.oebiotech.com/network/46848")</f>
      </c>
      <c r="I12" s="2" t="s">
        <v>11803</v>
      </c>
      <c r="J12" s="2" t="s">
        <v>11804</v>
      </c>
      <c r="K12" s="2"/>
      <c r="L12" s="2" t="s">
        <v>11805</v>
      </c>
      <c r="M12" s="2" t="s">
        <v>11806</v>
      </c>
      <c r="N12" s="2" t="s">
        <v>11807</v>
      </c>
      <c r="O12" s="2" t="s">
        <v>11808</v>
      </c>
      <c r="P12" s="2" t="s">
        <v>11809</v>
      </c>
      <c r="Q12" s="2" t="s">
        <v>11810</v>
      </c>
      <c r="R12" s="2" t="s">
        <v>36</v>
      </c>
      <c r="S12" s="2" t="s">
        <v>37</v>
      </c>
      <c r="T12" s="2" t="s">
        <v>69</v>
      </c>
      <c r="U12" s="2" t="s">
        <v>133</v>
      </c>
      <c r="V12" s="2" t="s">
        <v>24</v>
      </c>
      <c r="W12" s="2" t="s">
        <v>39</v>
      </c>
    </row>
    <row r="13">
      <c r="A13" s="2" t="n">
        <v>8</v>
      </c>
      <c r="B13" s="2" t="s">
        <v>11811</v>
      </c>
      <c r="C13" s="2" t="s">
        <v>132</v>
      </c>
      <c r="D13" s="2" t="n">
        <v>88.040402473</v>
      </c>
      <c r="E13" s="2" t="n">
        <v>6.8099097528894</v>
      </c>
      <c r="F13" s="2" t="s">
        <v>11812</v>
      </c>
      <c r="G13" s="2" t="n">
        <v>46903</v>
      </c>
      <c r="H13" s="3" t="str">
        <f>HYPERLINK("http://funmeta.oebiotech.com/network/46903", "http://funmeta.oebiotech.com/network/46903")</f>
      </c>
      <c r="I13" s="2" t="s">
        <v>11813</v>
      </c>
      <c r="J13" s="2" t="s">
        <v>11814</v>
      </c>
      <c r="K13" s="2"/>
      <c r="L13" s="2" t="s">
        <v>11815</v>
      </c>
      <c r="M13" s="2" t="s">
        <v>11816</v>
      </c>
      <c r="N13" s="2" t="s">
        <v>11817</v>
      </c>
      <c r="O13" s="2" t="s">
        <v>11818</v>
      </c>
      <c r="P13" s="2" t="s">
        <v>11819</v>
      </c>
      <c r="Q13" s="2" t="s">
        <v>11820</v>
      </c>
      <c r="R13" s="2" t="s">
        <v>36</v>
      </c>
      <c r="S13" s="2" t="s">
        <v>37</v>
      </c>
      <c r="T13" s="2" t="s">
        <v>69</v>
      </c>
      <c r="U13" s="2" t="s">
        <v>133</v>
      </c>
      <c r="V13" s="2" t="s">
        <v>24</v>
      </c>
      <c r="W13" s="2" t="s">
        <v>39</v>
      </c>
    </row>
    <row r="14">
      <c r="A14" s="2" t="n">
        <v>9</v>
      </c>
      <c r="B14" s="2" t="s">
        <v>11821</v>
      </c>
      <c r="C14" s="2" t="s">
        <v>147</v>
      </c>
      <c r="D14" s="2" t="n">
        <v>89.024418058</v>
      </c>
      <c r="E14" s="2" t="n">
        <v>13.9114952340922</v>
      </c>
      <c r="F14" s="2" t="s">
        <v>149</v>
      </c>
      <c r="G14" s="2" t="n">
        <v>47508</v>
      </c>
      <c r="H14" s="3" t="str">
        <f>HYPERLINK("http://funmeta.oebiotech.com/network/47508", "http://funmeta.oebiotech.com/network/47508")</f>
      </c>
      <c r="I14" s="2" t="s">
        <v>151</v>
      </c>
      <c r="J14" s="2" t="s">
        <v>152</v>
      </c>
      <c r="K14" s="2"/>
      <c r="L14" s="2" t="s">
        <v>153</v>
      </c>
      <c r="M14" s="2" t="s">
        <v>154</v>
      </c>
      <c r="N14" s="2" t="s">
        <v>155</v>
      </c>
      <c r="O14" s="2" t="s">
        <v>156</v>
      </c>
      <c r="P14" s="2" t="s">
        <v>157</v>
      </c>
      <c r="Q14" s="2" t="s">
        <v>158</v>
      </c>
      <c r="R14" s="2" t="s">
        <v>36</v>
      </c>
      <c r="S14" s="2" t="s">
        <v>82</v>
      </c>
      <c r="T14" s="2" t="s">
        <v>83</v>
      </c>
      <c r="U14" s="2" t="s">
        <v>148</v>
      </c>
      <c r="V14" s="2" t="s">
        <v>24</v>
      </c>
      <c r="W14" s="2" t="s">
        <v>39</v>
      </c>
    </row>
    <row r="15">
      <c r="A15" s="2" t="n">
        <v>10</v>
      </c>
      <c r="B15" s="2" t="s">
        <v>11822</v>
      </c>
      <c r="C15" s="2" t="s">
        <v>159</v>
      </c>
      <c r="D15" s="2" t="n">
        <v>91.029621824</v>
      </c>
      <c r="E15" s="2" t="n">
        <v>3.63960221611546</v>
      </c>
      <c r="F15" s="2" t="s">
        <v>162</v>
      </c>
      <c r="G15" s="2" t="n">
        <v>48180</v>
      </c>
      <c r="H15" s="3" t="str">
        <f>HYPERLINK("http://funmeta.oebiotech.com/network/48180", "http://funmeta.oebiotech.com/network/48180")</f>
      </c>
      <c r="I15" s="2" t="s">
        <v>164</v>
      </c>
      <c r="J15" s="2" t="s">
        <v>165</v>
      </c>
      <c r="K15" s="2"/>
      <c r="L15" s="2" t="s">
        <v>166</v>
      </c>
      <c r="M15" s="2" t="s">
        <v>167</v>
      </c>
      <c r="N15" s="2" t="s">
        <v>168</v>
      </c>
      <c r="O15" s="2" t="s">
        <v>169</v>
      </c>
      <c r="P15" s="2" t="s">
        <v>170</v>
      </c>
      <c r="Q15" s="2" t="s">
        <v>171</v>
      </c>
      <c r="R15" s="2" t="s">
        <v>114</v>
      </c>
      <c r="S15" s="2" t="s">
        <v>172</v>
      </c>
      <c r="T15" s="2" t="s">
        <v>173</v>
      </c>
      <c r="U15" s="2" t="s">
        <v>160</v>
      </c>
      <c r="V15" s="2" t="s">
        <v>161</v>
      </c>
      <c r="W15" s="2" t="s">
        <v>56</v>
      </c>
    </row>
    <row r="16">
      <c r="A16" s="2" t="n">
        <v>11</v>
      </c>
      <c r="B16" s="2" t="s">
        <v>11823</v>
      </c>
      <c r="C16" s="2" t="s">
        <v>174</v>
      </c>
      <c r="D16" s="2" t="n">
        <v>91.055324256</v>
      </c>
      <c r="E16" s="2" t="n">
        <v>11.0370582530257</v>
      </c>
      <c r="F16" s="2" t="s">
        <v>176</v>
      </c>
      <c r="G16" s="2" t="n">
        <v>58243</v>
      </c>
      <c r="H16" s="3" t="str">
        <f>HYPERLINK("http://funmeta.oebiotech.com/network/58243", "http://funmeta.oebiotech.com/network/58243")</f>
      </c>
      <c r="I16" s="2" t="s">
        <v>178</v>
      </c>
      <c r="J16" s="2" t="s">
        <v>179</v>
      </c>
      <c r="K16" s="2"/>
      <c r="L16" s="2" t="s">
        <v>180</v>
      </c>
      <c r="M16" s="2" t="s">
        <v>181</v>
      </c>
      <c r="N16" s="2" t="s">
        <v>182</v>
      </c>
      <c r="O16" s="2" t="s">
        <v>183</v>
      </c>
      <c r="P16" s="2" t="s">
        <v>184</v>
      </c>
      <c r="Q16" s="2" t="s">
        <v>185</v>
      </c>
      <c r="R16" s="2" t="s">
        <v>186</v>
      </c>
      <c r="S16" s="2" t="s">
        <v>187</v>
      </c>
      <c r="T16" s="2" t="s">
        <v>188</v>
      </c>
      <c r="U16" s="2" t="s">
        <v>175</v>
      </c>
      <c r="V16" s="2" t="s">
        <v>24</v>
      </c>
      <c r="W16" s="2" t="s">
        <v>101</v>
      </c>
    </row>
    <row r="17">
      <c r="A17" s="2" t="n">
        <v>12</v>
      </c>
      <c r="B17" s="2" t="s">
        <v>11824</v>
      </c>
      <c r="C17" s="2" t="s">
        <v>189</v>
      </c>
      <c r="D17" s="2" t="n">
        <v>92.027251229</v>
      </c>
      <c r="E17" s="2" t="n">
        <v>7.45429654510196</v>
      </c>
      <c r="F17" s="2" t="s">
        <v>11825</v>
      </c>
      <c r="G17" s="2" t="n">
        <v>144438</v>
      </c>
      <c r="H17" s="3" t="str">
        <f>HYPERLINK("http://funmeta.oebiotech.com/network/144438", "http://funmeta.oebiotech.com/network/144438")</f>
      </c>
      <c r="I17" s="2" t="s">
        <v>11826</v>
      </c>
      <c r="J17" s="2"/>
      <c r="K17" s="2"/>
      <c r="L17" s="2"/>
      <c r="M17" s="2"/>
      <c r="N17" s="2" t="s">
        <v>11827</v>
      </c>
      <c r="O17" s="2"/>
      <c r="P17" s="2" t="s">
        <v>11828</v>
      </c>
      <c r="Q17" s="2" t="s">
        <v>11829</v>
      </c>
      <c r="R17" s="2" t="s">
        <v>601</v>
      </c>
      <c r="S17" s="2" t="s">
        <v>602</v>
      </c>
      <c r="T17" s="2" t="s">
        <v>1800</v>
      </c>
      <c r="U17" s="2" t="s">
        <v>190</v>
      </c>
      <c r="V17" s="2" t="s">
        <v>86</v>
      </c>
      <c r="W17" s="2"/>
    </row>
    <row r="18">
      <c r="A18" s="2" t="n">
        <v>12</v>
      </c>
      <c r="B18" s="2" t="s">
        <v>11830</v>
      </c>
      <c r="C18" s="2" t="s">
        <v>189</v>
      </c>
      <c r="D18" s="2" t="n">
        <v>92.027251229</v>
      </c>
      <c r="E18" s="2" t="n">
        <v>7.45429654510196</v>
      </c>
      <c r="F18" s="2" t="s">
        <v>11831</v>
      </c>
      <c r="G18" s="2" t="n">
        <v>203834</v>
      </c>
      <c r="H18" s="3" t="str">
        <f>HYPERLINK("http://funmeta.oebiotech.com/network/203834", "http://funmeta.oebiotech.com/network/203834")</f>
      </c>
      <c r="I18" s="2" t="s">
        <v>11832</v>
      </c>
      <c r="J18" s="2" t="s">
        <v>11833</v>
      </c>
      <c r="K18" s="2"/>
      <c r="L18" s="2"/>
      <c r="M18" s="2" t="s">
        <v>11834</v>
      </c>
      <c r="N18" s="2" t="s">
        <v>11835</v>
      </c>
      <c r="O18" s="2"/>
      <c r="P18" s="2" t="s">
        <v>11836</v>
      </c>
      <c r="Q18" s="2" t="s">
        <v>11837</v>
      </c>
      <c r="R18" s="2" t="s">
        <v>114</v>
      </c>
      <c r="S18" s="2" t="s">
        <v>11838</v>
      </c>
      <c r="T18" s="2" t="s">
        <v>215</v>
      </c>
      <c r="U18" s="2" t="s">
        <v>190</v>
      </c>
      <c r="V18" s="2" t="s">
        <v>86</v>
      </c>
      <c r="W18" s="2"/>
    </row>
    <row r="19">
      <c r="A19" s="2" t="n">
        <v>12</v>
      </c>
      <c r="B19" s="2" t="s">
        <v>11839</v>
      </c>
      <c r="C19" s="2" t="s">
        <v>189</v>
      </c>
      <c r="D19" s="2" t="n">
        <v>92.027251229</v>
      </c>
      <c r="E19" s="2" t="n">
        <v>7.45429654510196</v>
      </c>
      <c r="F19" s="2" t="s">
        <v>11840</v>
      </c>
      <c r="G19" s="2" t="n">
        <v>210610</v>
      </c>
      <c r="H19" s="3" t="str">
        <f>HYPERLINK("http://funmeta.oebiotech.com/network/210610", "http://funmeta.oebiotech.com/network/210610")</f>
      </c>
      <c r="I19" s="2" t="s">
        <v>11841</v>
      </c>
      <c r="J19" s="2"/>
      <c r="K19" s="2"/>
      <c r="L19" s="2"/>
      <c r="M19" s="2"/>
      <c r="N19" s="2" t="s">
        <v>11842</v>
      </c>
      <c r="O19" s="2"/>
      <c r="P19" s="2" t="s">
        <v>11843</v>
      </c>
      <c r="Q19" s="2" t="s">
        <v>11844</v>
      </c>
      <c r="R19" s="2" t="s">
        <v>601</v>
      </c>
      <c r="S19" s="2" t="s">
        <v>602</v>
      </c>
      <c r="T19" s="2" t="s">
        <v>11845</v>
      </c>
      <c r="U19" s="2" t="s">
        <v>190</v>
      </c>
      <c r="V19" s="2" t="s">
        <v>86</v>
      </c>
      <c r="W19" s="2"/>
    </row>
    <row r="20">
      <c r="A20" s="2" t="n">
        <v>13</v>
      </c>
      <c r="B20" s="2" t="s">
        <v>11846</v>
      </c>
      <c r="C20" s="2" t="s">
        <v>203</v>
      </c>
      <c r="D20" s="2" t="n">
        <v>93.035727324</v>
      </c>
      <c r="E20" s="2" t="n">
        <v>9.10677741553156</v>
      </c>
      <c r="F20" s="2" t="s">
        <v>206</v>
      </c>
      <c r="G20" s="2" t="n">
        <v>206868</v>
      </c>
      <c r="H20" s="3" t="str">
        <f>HYPERLINK("http://funmeta.oebiotech.com/network/206868", "http://funmeta.oebiotech.com/network/206868")</f>
      </c>
      <c r="I20" s="2" t="s">
        <v>208</v>
      </c>
      <c r="J20" s="2" t="s">
        <v>209</v>
      </c>
      <c r="K20" s="2"/>
      <c r="L20" s="2"/>
      <c r="M20" s="2"/>
      <c r="N20" s="2" t="s">
        <v>210</v>
      </c>
      <c r="O20" s="2"/>
      <c r="P20" s="2" t="s">
        <v>211</v>
      </c>
      <c r="Q20" s="2" t="s">
        <v>212</v>
      </c>
      <c r="R20" s="2" t="s">
        <v>213</v>
      </c>
      <c r="S20" s="2" t="s">
        <v>214</v>
      </c>
      <c r="T20" s="2" t="s">
        <v>215</v>
      </c>
      <c r="U20" s="2" t="s">
        <v>204</v>
      </c>
      <c r="V20" s="2" t="s">
        <v>205</v>
      </c>
      <c r="W20" s="2"/>
    </row>
    <row r="21">
      <c r="A21" s="2" t="n">
        <v>14</v>
      </c>
      <c r="B21" s="2" t="s">
        <v>11847</v>
      </c>
      <c r="C21" s="2" t="s">
        <v>216</v>
      </c>
      <c r="D21" s="2" t="n">
        <v>96.969734372</v>
      </c>
      <c r="E21" s="2" t="n">
        <v>5.22436660917558</v>
      </c>
      <c r="F21" s="2" t="s">
        <v>219</v>
      </c>
      <c r="G21" s="2" t="n">
        <v>49</v>
      </c>
      <c r="H21" s="3" t="str">
        <f>HYPERLINK("http://funmeta.oebiotech.com/network/49", "http://funmeta.oebiotech.com/network/49")</f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229</v>
      </c>
      <c r="R21" s="2" t="s">
        <v>36</v>
      </c>
      <c r="S21" s="2" t="s">
        <v>37</v>
      </c>
      <c r="T21" s="2" t="s">
        <v>38</v>
      </c>
      <c r="U21" s="2" t="s">
        <v>217</v>
      </c>
      <c r="V21" s="2" t="s">
        <v>218</v>
      </c>
      <c r="W21" s="2" t="s">
        <v>56</v>
      </c>
    </row>
    <row r="22">
      <c r="A22" s="2" t="n">
        <v>15</v>
      </c>
      <c r="B22" s="2" t="s">
        <v>11848</v>
      </c>
      <c r="C22" s="2" t="s">
        <v>230</v>
      </c>
      <c r="D22" s="2" t="n">
        <v>99.008767994</v>
      </c>
      <c r="E22" s="2" t="n">
        <v>8.94487860538239</v>
      </c>
      <c r="F22" s="2" t="s">
        <v>232</v>
      </c>
      <c r="G22" s="2" t="n">
        <v>56827</v>
      </c>
      <c r="H22" s="3" t="str">
        <f>HYPERLINK("http://funmeta.oebiotech.com/network/56827", "http://funmeta.oebiotech.com/network/56827")</f>
      </c>
      <c r="I22" s="2" t="s">
        <v>234</v>
      </c>
      <c r="J22" s="2" t="s">
        <v>235</v>
      </c>
      <c r="K22" s="2"/>
      <c r="L22" s="2" t="s">
        <v>236</v>
      </c>
      <c r="M22" s="2" t="s">
        <v>237</v>
      </c>
      <c r="N22" s="2" t="s">
        <v>238</v>
      </c>
      <c r="O22" s="2" t="s">
        <v>239</v>
      </c>
      <c r="P22" s="2" t="s">
        <v>240</v>
      </c>
      <c r="Q22" s="2" t="s">
        <v>241</v>
      </c>
      <c r="R22" s="2" t="s">
        <v>36</v>
      </c>
      <c r="S22" s="2" t="s">
        <v>37</v>
      </c>
      <c r="T22" s="2" t="s">
        <v>242</v>
      </c>
      <c r="U22" s="2" t="s">
        <v>231</v>
      </c>
      <c r="V22" s="2" t="s">
        <v>24</v>
      </c>
      <c r="W22" s="2" t="s">
        <v>56</v>
      </c>
    </row>
    <row r="23">
      <c r="A23" s="2" t="n">
        <v>16</v>
      </c>
      <c r="B23" s="2" t="s">
        <v>11849</v>
      </c>
      <c r="C23" s="2" t="s">
        <v>243</v>
      </c>
      <c r="D23" s="2" t="n">
        <v>99.0451535</v>
      </c>
      <c r="E23" s="2" t="n">
        <v>18.5747943248355</v>
      </c>
      <c r="F23" s="2" t="s">
        <v>11850</v>
      </c>
      <c r="G23" s="2" t="n">
        <v>515</v>
      </c>
      <c r="H23" s="3" t="str">
        <f>HYPERLINK("http://funmeta.oebiotech.com/network/515", "http://funmeta.oebiotech.com/network/515")</f>
      </c>
      <c r="I23" s="2" t="s">
        <v>11851</v>
      </c>
      <c r="J23" s="2"/>
      <c r="K23" s="2" t="s">
        <v>11852</v>
      </c>
      <c r="L23" s="2"/>
      <c r="M23" s="2" t="s">
        <v>11853</v>
      </c>
      <c r="N23" s="2" t="s">
        <v>11854</v>
      </c>
      <c r="O23" s="2" t="s">
        <v>11855</v>
      </c>
      <c r="P23" s="2" t="s">
        <v>11856</v>
      </c>
      <c r="Q23" s="2" t="s">
        <v>11857</v>
      </c>
      <c r="R23" s="2" t="s">
        <v>794</v>
      </c>
      <c r="S23" s="2" t="s">
        <v>795</v>
      </c>
      <c r="T23" s="2" t="s">
        <v>796</v>
      </c>
      <c r="U23" s="2" t="s">
        <v>244</v>
      </c>
      <c r="V23" s="2" t="s">
        <v>24</v>
      </c>
      <c r="W23" s="2" t="s">
        <v>56</v>
      </c>
    </row>
    <row r="24">
      <c r="A24" s="2" t="n">
        <v>16</v>
      </c>
      <c r="B24" s="2" t="s">
        <v>11858</v>
      </c>
      <c r="C24" s="2" t="s">
        <v>243</v>
      </c>
      <c r="D24" s="2" t="n">
        <v>99.0451535</v>
      </c>
      <c r="E24" s="2" t="n">
        <v>18.5747943248355</v>
      </c>
      <c r="F24" s="2" t="s">
        <v>11859</v>
      </c>
      <c r="G24" s="2" t="n">
        <v>517</v>
      </c>
      <c r="H24" s="3" t="str">
        <f>HYPERLINK("http://funmeta.oebiotech.com/network/517", "http://funmeta.oebiotech.com/network/517")</f>
      </c>
      <c r="I24" s="2" t="s">
        <v>11860</v>
      </c>
      <c r="J24" s="2" t="s">
        <v>11861</v>
      </c>
      <c r="K24" s="2" t="s">
        <v>11862</v>
      </c>
      <c r="L24" s="2"/>
      <c r="M24" s="2" t="s">
        <v>11863</v>
      </c>
      <c r="N24" s="2" t="s">
        <v>11864</v>
      </c>
      <c r="O24" s="2" t="s">
        <v>11865</v>
      </c>
      <c r="P24" s="2" t="s">
        <v>11866</v>
      </c>
      <c r="Q24" s="2" t="s">
        <v>11867</v>
      </c>
      <c r="R24" s="2" t="s">
        <v>794</v>
      </c>
      <c r="S24" s="2" t="s">
        <v>795</v>
      </c>
      <c r="T24" s="2" t="s">
        <v>796</v>
      </c>
      <c r="U24" s="2" t="s">
        <v>244</v>
      </c>
      <c r="V24" s="2" t="s">
        <v>24</v>
      </c>
      <c r="W24" s="2" t="s">
        <v>56</v>
      </c>
    </row>
    <row r="25">
      <c r="A25" s="2" t="n">
        <v>16</v>
      </c>
      <c r="B25" s="2" t="s">
        <v>11868</v>
      </c>
      <c r="C25" s="2" t="s">
        <v>243</v>
      </c>
      <c r="D25" s="2" t="n">
        <v>99.0451535</v>
      </c>
      <c r="E25" s="2" t="n">
        <v>18.5747943248355</v>
      </c>
      <c r="F25" s="2" t="s">
        <v>11869</v>
      </c>
      <c r="G25" s="2" t="n">
        <v>192</v>
      </c>
      <c r="H25" s="3" t="str">
        <f>HYPERLINK("http://funmeta.oebiotech.com/network/192", "http://funmeta.oebiotech.com/network/192")</f>
      </c>
      <c r="I25" s="2" t="s">
        <v>11870</v>
      </c>
      <c r="J25" s="2" t="s">
        <v>11871</v>
      </c>
      <c r="K25" s="2" t="s">
        <v>11872</v>
      </c>
      <c r="L25" s="2"/>
      <c r="M25" s="2" t="s">
        <v>11873</v>
      </c>
      <c r="N25" s="2" t="s">
        <v>11874</v>
      </c>
      <c r="O25" s="2" t="s">
        <v>11875</v>
      </c>
      <c r="P25" s="2" t="s">
        <v>11876</v>
      </c>
      <c r="Q25" s="2" t="s">
        <v>11877</v>
      </c>
      <c r="R25" s="2" t="s">
        <v>794</v>
      </c>
      <c r="S25" s="2" t="s">
        <v>795</v>
      </c>
      <c r="T25" s="2" t="s">
        <v>796</v>
      </c>
      <c r="U25" s="2" t="s">
        <v>244</v>
      </c>
      <c r="V25" s="2" t="s">
        <v>24</v>
      </c>
      <c r="W25" s="2" t="s">
        <v>56</v>
      </c>
    </row>
    <row r="26">
      <c r="A26" s="2" t="n">
        <v>17</v>
      </c>
      <c r="B26" s="2" t="s">
        <v>11878</v>
      </c>
      <c r="C26" s="2" t="s">
        <v>258</v>
      </c>
      <c r="D26" s="2" t="n">
        <v>101.024418058</v>
      </c>
      <c r="E26" s="2" t="n">
        <v>15.6111591546046</v>
      </c>
      <c r="F26" s="2" t="s">
        <v>260</v>
      </c>
      <c r="G26" s="2" t="n">
        <v>2039</v>
      </c>
      <c r="H26" s="3" t="str">
        <f>HYPERLINK("http://funmeta.oebiotech.com/network/2039", "http://funmeta.oebiotech.com/network/2039")</f>
      </c>
      <c r="I26" s="2" t="s">
        <v>262</v>
      </c>
      <c r="J26" s="2" t="s">
        <v>263</v>
      </c>
      <c r="K26" s="2" t="s">
        <v>264</v>
      </c>
      <c r="L26" s="2" t="s">
        <v>265</v>
      </c>
      <c r="M26" s="2" t="s">
        <v>266</v>
      </c>
      <c r="N26" s="2" t="s">
        <v>267</v>
      </c>
      <c r="O26" s="2" t="s">
        <v>268</v>
      </c>
      <c r="P26" s="2" t="s">
        <v>269</v>
      </c>
      <c r="Q26" s="2" t="s">
        <v>270</v>
      </c>
      <c r="R26" s="2" t="s">
        <v>36</v>
      </c>
      <c r="S26" s="2" t="s">
        <v>271</v>
      </c>
      <c r="T26" s="2" t="s">
        <v>272</v>
      </c>
      <c r="U26" s="2" t="s">
        <v>259</v>
      </c>
      <c r="V26" s="2" t="s">
        <v>24</v>
      </c>
      <c r="W26" s="2" t="s">
        <v>56</v>
      </c>
    </row>
    <row r="27">
      <c r="A27" s="2" t="n">
        <v>18</v>
      </c>
      <c r="B27" s="2" t="s">
        <v>11879</v>
      </c>
      <c r="C27" s="2" t="s">
        <v>273</v>
      </c>
      <c r="D27" s="2" t="n">
        <v>101.07203695</v>
      </c>
      <c r="E27" s="2" t="n">
        <v>10.1652401707073</v>
      </c>
      <c r="F27" s="2" t="s">
        <v>275</v>
      </c>
      <c r="G27" s="2" t="n">
        <v>209252</v>
      </c>
      <c r="H27" s="3" t="str">
        <f>HYPERLINK("http://funmeta.oebiotech.com/network/209252", "http://funmeta.oebiotech.com/network/209252")</f>
      </c>
      <c r="I27" s="2" t="s">
        <v>277</v>
      </c>
      <c r="J27" s="2" t="s">
        <v>278</v>
      </c>
      <c r="K27" s="2"/>
      <c r="L27" s="2"/>
      <c r="M27" s="2"/>
      <c r="N27" s="2" t="s">
        <v>279</v>
      </c>
      <c r="O27" s="2"/>
      <c r="P27" s="2" t="s">
        <v>280</v>
      </c>
      <c r="Q27" s="2" t="s">
        <v>281</v>
      </c>
      <c r="R27" s="2" t="s">
        <v>36</v>
      </c>
      <c r="S27" s="2" t="s">
        <v>282</v>
      </c>
      <c r="T27" s="2" t="s">
        <v>283</v>
      </c>
      <c r="U27" s="2" t="s">
        <v>274</v>
      </c>
      <c r="V27" s="2" t="s">
        <v>24</v>
      </c>
      <c r="W27" s="2"/>
    </row>
    <row r="28">
      <c r="A28" s="2" t="n">
        <v>19</v>
      </c>
      <c r="B28" s="2" t="s">
        <v>11880</v>
      </c>
      <c r="C28" s="2" t="s">
        <v>284</v>
      </c>
      <c r="D28" s="2" t="n">
        <v>102.056052537</v>
      </c>
      <c r="E28" s="2" t="n">
        <v>5.10752699916699</v>
      </c>
      <c r="F28" s="2" t="s">
        <v>286</v>
      </c>
      <c r="G28" s="2" t="n">
        <v>2477</v>
      </c>
      <c r="H28" s="3" t="str">
        <f>HYPERLINK("http://funmeta.oebiotech.com/network/2477", "http://funmeta.oebiotech.com/network/2477")</f>
      </c>
      <c r="I28" s="2" t="s">
        <v>288</v>
      </c>
      <c r="J28" s="2" t="s">
        <v>289</v>
      </c>
      <c r="K28" s="2" t="s">
        <v>290</v>
      </c>
      <c r="L28" s="2" t="s">
        <v>291</v>
      </c>
      <c r="M28" s="2" t="s">
        <v>292</v>
      </c>
      <c r="N28" s="2" t="s">
        <v>293</v>
      </c>
      <c r="O28" s="2" t="s">
        <v>294</v>
      </c>
      <c r="P28" s="2" t="s">
        <v>295</v>
      </c>
      <c r="Q28" s="2" t="s">
        <v>296</v>
      </c>
      <c r="R28" s="2" t="s">
        <v>36</v>
      </c>
      <c r="S28" s="2" t="s">
        <v>37</v>
      </c>
      <c r="T28" s="2" t="s">
        <v>69</v>
      </c>
      <c r="U28" s="2" t="s">
        <v>285</v>
      </c>
      <c r="V28" s="2" t="s">
        <v>24</v>
      </c>
      <c r="W28" s="2" t="s">
        <v>39</v>
      </c>
    </row>
    <row r="29">
      <c r="A29" s="2" t="n">
        <v>20</v>
      </c>
      <c r="B29" s="2" t="s">
        <v>11881</v>
      </c>
      <c r="C29" s="2" t="s">
        <v>297</v>
      </c>
      <c r="D29" s="2" t="n">
        <v>102.9586807</v>
      </c>
      <c r="E29" s="2" t="n">
        <v>6.2820311303875</v>
      </c>
      <c r="F29" s="2" t="s">
        <v>299</v>
      </c>
      <c r="G29" s="2" t="n">
        <v>201725</v>
      </c>
      <c r="H29" s="3" t="str">
        <f>HYPERLINK("http://funmeta.oebiotech.com/network/201725", "http://funmeta.oebiotech.com/network/201725")</f>
      </c>
      <c r="I29" s="2" t="s">
        <v>301</v>
      </c>
      <c r="J29" s="2"/>
      <c r="K29" s="2"/>
      <c r="L29" s="2"/>
      <c r="M29" s="2"/>
      <c r="N29" s="2" t="s">
        <v>302</v>
      </c>
      <c r="O29" s="2"/>
      <c r="P29" s="2" t="s">
        <v>303</v>
      </c>
      <c r="Q29" s="2" t="s">
        <v>304</v>
      </c>
      <c r="R29" s="2" t="s">
        <v>36</v>
      </c>
      <c r="S29" s="2" t="s">
        <v>282</v>
      </c>
      <c r="T29" s="2" t="s">
        <v>305</v>
      </c>
      <c r="U29" s="2" t="s">
        <v>298</v>
      </c>
      <c r="V29" s="2" t="s">
        <v>161</v>
      </c>
      <c r="W29" s="2"/>
    </row>
    <row r="30">
      <c r="A30" s="2" t="n">
        <v>21</v>
      </c>
      <c r="B30" s="2" t="s">
        <v>11882</v>
      </c>
      <c r="C30" s="2" t="s">
        <v>306</v>
      </c>
      <c r="D30" s="2" t="n">
        <v>103.040068118</v>
      </c>
      <c r="E30" s="2" t="n">
        <v>12.6603241421538</v>
      </c>
      <c r="F30" s="2" t="s">
        <v>11883</v>
      </c>
      <c r="G30" s="2" t="n">
        <v>1847</v>
      </c>
      <c r="H30" s="3" t="str">
        <f>HYPERLINK("http://funmeta.oebiotech.com/network/1847", "http://funmeta.oebiotech.com/network/1847")</f>
      </c>
      <c r="I30" s="2" t="s">
        <v>11884</v>
      </c>
      <c r="J30" s="2" t="s">
        <v>11885</v>
      </c>
      <c r="K30" s="2" t="s">
        <v>11886</v>
      </c>
      <c r="L30" s="2" t="s">
        <v>11887</v>
      </c>
      <c r="M30" s="2" t="s">
        <v>11888</v>
      </c>
      <c r="N30" s="2" t="s">
        <v>11889</v>
      </c>
      <c r="O30" s="2" t="s">
        <v>11890</v>
      </c>
      <c r="P30" s="2" t="s">
        <v>11891</v>
      </c>
      <c r="Q30" s="2" t="s">
        <v>11892</v>
      </c>
      <c r="R30" s="2" t="s">
        <v>36</v>
      </c>
      <c r="S30" s="2" t="s">
        <v>82</v>
      </c>
      <c r="T30" s="2" t="s">
        <v>83</v>
      </c>
      <c r="U30" s="2" t="s">
        <v>307</v>
      </c>
      <c r="V30" s="2" t="s">
        <v>24</v>
      </c>
      <c r="W30" s="2" t="s">
        <v>39</v>
      </c>
    </row>
    <row r="31">
      <c r="A31" s="2" t="n">
        <v>21</v>
      </c>
      <c r="B31" s="2" t="s">
        <v>11893</v>
      </c>
      <c r="C31" s="2" t="s">
        <v>306</v>
      </c>
      <c r="D31" s="2" t="n">
        <v>103.040068122</v>
      </c>
      <c r="E31" s="2" t="n">
        <v>12.6603241421538</v>
      </c>
      <c r="F31" s="2" t="s">
        <v>11894</v>
      </c>
      <c r="G31" s="2" t="n">
        <v>1796</v>
      </c>
      <c r="H31" s="3" t="str">
        <f>HYPERLINK("http://funmeta.oebiotech.com/network/1796", "http://funmeta.oebiotech.com/network/1796")</f>
      </c>
      <c r="I31" s="2" t="s">
        <v>11895</v>
      </c>
      <c r="J31" s="2" t="s">
        <v>11896</v>
      </c>
      <c r="K31" s="2" t="s">
        <v>11897</v>
      </c>
      <c r="L31" s="2" t="s">
        <v>11898</v>
      </c>
      <c r="M31" s="2" t="s">
        <v>11899</v>
      </c>
      <c r="N31" s="2" t="s">
        <v>11900</v>
      </c>
      <c r="O31" s="2" t="s">
        <v>11901</v>
      </c>
      <c r="P31" s="2" t="s">
        <v>11902</v>
      </c>
      <c r="Q31" s="2" t="s">
        <v>11903</v>
      </c>
      <c r="R31" s="2" t="s">
        <v>36</v>
      </c>
      <c r="S31" s="2" t="s">
        <v>82</v>
      </c>
      <c r="T31" s="2" t="s">
        <v>11904</v>
      </c>
      <c r="U31" s="2" t="s">
        <v>307</v>
      </c>
      <c r="V31" s="2" t="s">
        <v>24</v>
      </c>
      <c r="W31" s="2" t="s">
        <v>39</v>
      </c>
    </row>
    <row r="32">
      <c r="A32" s="2" t="n">
        <v>22</v>
      </c>
      <c r="B32" s="2" t="s">
        <v>11905</v>
      </c>
      <c r="C32" s="2" t="s">
        <v>321</v>
      </c>
      <c r="D32" s="2" t="n">
        <v>104.035312787</v>
      </c>
      <c r="E32" s="2" t="n">
        <v>6.24350421653762</v>
      </c>
      <c r="F32" s="2" t="s">
        <v>11906</v>
      </c>
      <c r="G32" s="2" t="n">
        <v>56139</v>
      </c>
      <c r="H32" s="3" t="str">
        <f>HYPERLINK("http://funmeta.oebiotech.com/network/56139", "http://funmeta.oebiotech.com/network/56139")</f>
      </c>
      <c r="I32" s="2" t="s">
        <v>11907</v>
      </c>
      <c r="J32" s="2" t="s">
        <v>11908</v>
      </c>
      <c r="K32" s="2"/>
      <c r="L32" s="2" t="s">
        <v>11909</v>
      </c>
      <c r="M32" s="2" t="s">
        <v>11910</v>
      </c>
      <c r="N32" s="2" t="s">
        <v>11911</v>
      </c>
      <c r="O32" s="2" t="s">
        <v>11912</v>
      </c>
      <c r="P32" s="2" t="s">
        <v>11913</v>
      </c>
      <c r="Q32" s="2" t="s">
        <v>11914</v>
      </c>
      <c r="R32" s="2" t="s">
        <v>36</v>
      </c>
      <c r="S32" s="2" t="s">
        <v>568</v>
      </c>
      <c r="T32" s="2" t="s">
        <v>11915</v>
      </c>
      <c r="U32" s="2" t="s">
        <v>322</v>
      </c>
      <c r="V32" s="2" t="s">
        <v>205</v>
      </c>
      <c r="W32" s="2" t="s">
        <v>56</v>
      </c>
    </row>
    <row r="33">
      <c r="A33" s="2" t="n">
        <v>22</v>
      </c>
      <c r="B33" s="2" t="s">
        <v>11916</v>
      </c>
      <c r="C33" s="2" t="s">
        <v>321</v>
      </c>
      <c r="D33" s="2" t="n">
        <v>104.035312787</v>
      </c>
      <c r="E33" s="2" t="n">
        <v>6.24350421653762</v>
      </c>
      <c r="F33" s="2" t="s">
        <v>11917</v>
      </c>
      <c r="G33" s="2" t="n">
        <v>47404</v>
      </c>
      <c r="H33" s="3" t="str">
        <f>HYPERLINK("http://funmeta.oebiotech.com/network/47404", "http://funmeta.oebiotech.com/network/47404")</f>
      </c>
      <c r="I33" s="2" t="s">
        <v>11918</v>
      </c>
      <c r="J33" s="2"/>
      <c r="K33" s="2"/>
      <c r="L33" s="2" t="s">
        <v>11919</v>
      </c>
      <c r="M33" s="2" t="s">
        <v>11920</v>
      </c>
      <c r="N33" s="2" t="s">
        <v>11921</v>
      </c>
      <c r="O33" s="2" t="s">
        <v>11922</v>
      </c>
      <c r="P33" s="2" t="s">
        <v>11923</v>
      </c>
      <c r="Q33" s="2" t="s">
        <v>11924</v>
      </c>
      <c r="R33" s="2" t="s">
        <v>36</v>
      </c>
      <c r="S33" s="2" t="s">
        <v>568</v>
      </c>
      <c r="T33" s="2" t="s">
        <v>11915</v>
      </c>
      <c r="U33" s="2" t="s">
        <v>322</v>
      </c>
      <c r="V33" s="2" t="s">
        <v>205</v>
      </c>
      <c r="W33" s="2" t="s">
        <v>56</v>
      </c>
    </row>
    <row r="34">
      <c r="A34" s="2" t="n">
        <v>23</v>
      </c>
      <c r="B34" s="2" t="s">
        <v>11925</v>
      </c>
      <c r="C34" s="2" t="s">
        <v>335</v>
      </c>
      <c r="D34" s="2" t="n">
        <v>106.980838684</v>
      </c>
      <c r="E34" s="2" t="n">
        <v>1.2831862943076</v>
      </c>
      <c r="F34" s="2" t="s">
        <v>337</v>
      </c>
      <c r="G34" s="2" t="n">
        <v>213066</v>
      </c>
      <c r="H34" s="3" t="str">
        <f>HYPERLINK("http://funmeta.oebiotech.com/network/213066", "http://funmeta.oebiotech.com/network/213066")</f>
      </c>
      <c r="I34" s="2" t="s">
        <v>339</v>
      </c>
      <c r="J34" s="2" t="s">
        <v>340</v>
      </c>
      <c r="K34" s="2"/>
      <c r="L34" s="2"/>
      <c r="M34" s="2"/>
      <c r="N34" s="2" t="s">
        <v>341</v>
      </c>
      <c r="O34" s="2"/>
      <c r="P34" s="2" t="s">
        <v>342</v>
      </c>
      <c r="Q34" s="2" t="s">
        <v>343</v>
      </c>
      <c r="R34" s="2" t="s">
        <v>36</v>
      </c>
      <c r="S34" s="2" t="s">
        <v>344</v>
      </c>
      <c r="T34" s="2" t="s">
        <v>345</v>
      </c>
      <c r="U34" s="2" t="s">
        <v>336</v>
      </c>
      <c r="V34" s="2" t="s">
        <v>24</v>
      </c>
      <c r="W34" s="2"/>
    </row>
    <row r="35">
      <c r="A35" s="2" t="n">
        <v>24</v>
      </c>
      <c r="B35" s="2" t="s">
        <v>11926</v>
      </c>
      <c r="C35" s="2" t="s">
        <v>346</v>
      </c>
      <c r="D35" s="2" t="n">
        <v>108.021678401</v>
      </c>
      <c r="E35" s="2" t="n">
        <v>1.64988525504865</v>
      </c>
      <c r="F35" s="2" t="s">
        <v>348</v>
      </c>
      <c r="G35" s="2" t="n">
        <v>209931</v>
      </c>
      <c r="H35" s="3" t="str">
        <f>HYPERLINK("http://funmeta.oebiotech.com/network/209931", "http://funmeta.oebiotech.com/network/209931")</f>
      </c>
      <c r="I35" s="2" t="s">
        <v>350</v>
      </c>
      <c r="J35" s="2" t="s">
        <v>351</v>
      </c>
      <c r="K35" s="2"/>
      <c r="L35" s="2" t="s">
        <v>352</v>
      </c>
      <c r="M35" s="2" t="s">
        <v>353</v>
      </c>
      <c r="N35" s="2" t="s">
        <v>354</v>
      </c>
      <c r="O35" s="2"/>
      <c r="P35" s="2" t="s">
        <v>355</v>
      </c>
      <c r="Q35" s="2" t="s">
        <v>356</v>
      </c>
      <c r="R35" s="2" t="s">
        <v>186</v>
      </c>
      <c r="S35" s="2" t="s">
        <v>357</v>
      </c>
      <c r="T35" s="2" t="s">
        <v>358</v>
      </c>
      <c r="U35" s="2" t="s">
        <v>347</v>
      </c>
      <c r="V35" s="2" t="s">
        <v>24</v>
      </c>
      <c r="W35" s="2" t="s">
        <v>101</v>
      </c>
    </row>
    <row r="36">
      <c r="A36" s="2" t="n">
        <v>25</v>
      </c>
      <c r="B36" s="2" t="s">
        <v>11927</v>
      </c>
      <c r="C36" s="2" t="s">
        <v>359</v>
      </c>
      <c r="D36" s="2" t="n">
        <v>109.040186506</v>
      </c>
      <c r="E36" s="2" t="n">
        <v>9.4456113582678</v>
      </c>
      <c r="F36" s="2" t="s">
        <v>361</v>
      </c>
      <c r="G36" s="2" t="n">
        <v>46860</v>
      </c>
      <c r="H36" s="3" t="str">
        <f>HYPERLINK("http://funmeta.oebiotech.com/network/46860", "http://funmeta.oebiotech.com/network/46860")</f>
      </c>
      <c r="I36" s="2" t="s">
        <v>363</v>
      </c>
      <c r="J36" s="2"/>
      <c r="K36" s="2"/>
      <c r="L36" s="2" t="s">
        <v>364</v>
      </c>
      <c r="M36" s="2"/>
      <c r="N36" s="2" t="s">
        <v>365</v>
      </c>
      <c r="O36" s="2" t="s">
        <v>366</v>
      </c>
      <c r="P36" s="2" t="s">
        <v>367</v>
      </c>
      <c r="Q36" s="2" t="s">
        <v>368</v>
      </c>
      <c r="R36" s="2" t="s">
        <v>114</v>
      </c>
      <c r="S36" s="2" t="s">
        <v>369</v>
      </c>
      <c r="T36" s="2" t="s">
        <v>370</v>
      </c>
      <c r="U36" s="2" t="s">
        <v>360</v>
      </c>
      <c r="V36" s="2" t="s">
        <v>161</v>
      </c>
      <c r="W36" s="2" t="s">
        <v>56</v>
      </c>
    </row>
    <row r="37">
      <c r="A37" s="2" t="n">
        <v>26</v>
      </c>
      <c r="B37" s="2" t="s">
        <v>11928</v>
      </c>
      <c r="C37" s="2" t="s">
        <v>371</v>
      </c>
      <c r="D37" s="2" t="n">
        <v>109.065888942</v>
      </c>
      <c r="E37" s="2" t="n">
        <v>5.16526607306852</v>
      </c>
      <c r="F37" s="2" t="s">
        <v>11929</v>
      </c>
      <c r="G37" s="2" t="n">
        <v>54620</v>
      </c>
      <c r="H37" s="3" t="str">
        <f>HYPERLINK("http://funmeta.oebiotech.com/network/54620", "http://funmeta.oebiotech.com/network/54620")</f>
      </c>
      <c r="I37" s="2" t="s">
        <v>11930</v>
      </c>
      <c r="J37" s="2" t="s">
        <v>11931</v>
      </c>
      <c r="K37" s="2"/>
      <c r="L37" s="2"/>
      <c r="M37" s="2"/>
      <c r="N37" s="2" t="s">
        <v>11932</v>
      </c>
      <c r="O37" s="2" t="s">
        <v>11933</v>
      </c>
      <c r="P37" s="2" t="s">
        <v>11934</v>
      </c>
      <c r="Q37" s="2" t="s">
        <v>11935</v>
      </c>
      <c r="R37" s="2" t="s">
        <v>114</v>
      </c>
      <c r="S37" s="2" t="s">
        <v>877</v>
      </c>
      <c r="T37" s="2" t="s">
        <v>215</v>
      </c>
      <c r="U37" s="2" t="s">
        <v>372</v>
      </c>
      <c r="V37" s="2" t="s">
        <v>24</v>
      </c>
      <c r="W37" s="2" t="s">
        <v>56</v>
      </c>
    </row>
    <row r="38">
      <c r="A38" s="2" t="n">
        <v>26</v>
      </c>
      <c r="B38" s="2" t="s">
        <v>11936</v>
      </c>
      <c r="C38" s="2" t="s">
        <v>371</v>
      </c>
      <c r="D38" s="2" t="n">
        <v>109.065888942</v>
      </c>
      <c r="E38" s="2" t="n">
        <v>5.16526607306852</v>
      </c>
      <c r="F38" s="2" t="s">
        <v>11937</v>
      </c>
      <c r="G38" s="2" t="n">
        <v>56060</v>
      </c>
      <c r="H38" s="3" t="str">
        <f>HYPERLINK("http://funmeta.oebiotech.com/network/56060", "http://funmeta.oebiotech.com/network/56060")</f>
      </c>
      <c r="I38" s="2" t="s">
        <v>11938</v>
      </c>
      <c r="J38" s="2" t="s">
        <v>11939</v>
      </c>
      <c r="K38" s="2"/>
      <c r="L38" s="2"/>
      <c r="M38" s="2"/>
      <c r="N38" s="2" t="s">
        <v>11940</v>
      </c>
      <c r="O38" s="2" t="s">
        <v>11941</v>
      </c>
      <c r="P38" s="2" t="s">
        <v>11942</v>
      </c>
      <c r="Q38" s="2" t="s">
        <v>11943</v>
      </c>
      <c r="R38" s="2" t="s">
        <v>129</v>
      </c>
      <c r="S38" s="2" t="s">
        <v>130</v>
      </c>
      <c r="T38" s="2" t="s">
        <v>131</v>
      </c>
      <c r="U38" s="2" t="s">
        <v>372</v>
      </c>
      <c r="V38" s="2" t="s">
        <v>24</v>
      </c>
      <c r="W38" s="2" t="s">
        <v>56</v>
      </c>
    </row>
    <row r="39">
      <c r="A39" s="2" t="n">
        <v>26</v>
      </c>
      <c r="B39" s="2" t="s">
        <v>11944</v>
      </c>
      <c r="C39" s="2" t="s">
        <v>371</v>
      </c>
      <c r="D39" s="2" t="n">
        <v>109.065888942</v>
      </c>
      <c r="E39" s="2" t="n">
        <v>5.16526607306852</v>
      </c>
      <c r="F39" s="2" t="s">
        <v>11945</v>
      </c>
      <c r="G39" s="2" t="n">
        <v>54625</v>
      </c>
      <c r="H39" s="3" t="str">
        <f>HYPERLINK("http://funmeta.oebiotech.com/network/54625", "http://funmeta.oebiotech.com/network/54625")</f>
      </c>
      <c r="I39" s="2" t="s">
        <v>11946</v>
      </c>
      <c r="J39" s="2" t="s">
        <v>11947</v>
      </c>
      <c r="K39" s="2"/>
      <c r="L39" s="2"/>
      <c r="M39" s="2" t="s">
        <v>11948</v>
      </c>
      <c r="N39" s="2" t="s">
        <v>11949</v>
      </c>
      <c r="O39" s="2" t="s">
        <v>11950</v>
      </c>
      <c r="P39" s="2" t="s">
        <v>11951</v>
      </c>
      <c r="Q39" s="2" t="s">
        <v>11952</v>
      </c>
      <c r="R39" s="2" t="s">
        <v>114</v>
      </c>
      <c r="S39" s="2" t="s">
        <v>877</v>
      </c>
      <c r="T39" s="2" t="s">
        <v>215</v>
      </c>
      <c r="U39" s="2" t="s">
        <v>372</v>
      </c>
      <c r="V39" s="2" t="s">
        <v>24</v>
      </c>
      <c r="W39" s="2" t="s">
        <v>56</v>
      </c>
    </row>
    <row r="40">
      <c r="A40" s="2" t="n">
        <v>27</v>
      </c>
      <c r="B40" s="2" t="s">
        <v>11953</v>
      </c>
      <c r="C40" s="2" t="s">
        <v>385</v>
      </c>
      <c r="D40" s="2" t="n">
        <v>110.024752409</v>
      </c>
      <c r="E40" s="2" t="n">
        <v>3.65481920564722</v>
      </c>
      <c r="F40" s="2" t="s">
        <v>387</v>
      </c>
      <c r="G40" s="2" t="n">
        <v>48264</v>
      </c>
      <c r="H40" s="3" t="str">
        <f>HYPERLINK("http://funmeta.oebiotech.com/network/48264", "http://funmeta.oebiotech.com/network/48264")</f>
      </c>
      <c r="I40" s="2" t="s">
        <v>389</v>
      </c>
      <c r="J40" s="2" t="s">
        <v>390</v>
      </c>
      <c r="K40" s="2"/>
      <c r="L40" s="2" t="s">
        <v>391</v>
      </c>
      <c r="M40" s="2" t="s">
        <v>392</v>
      </c>
      <c r="N40" s="2" t="s">
        <v>393</v>
      </c>
      <c r="O40" s="2" t="s">
        <v>394</v>
      </c>
      <c r="P40" s="2" t="s">
        <v>395</v>
      </c>
      <c r="Q40" s="2" t="s">
        <v>396</v>
      </c>
      <c r="R40" s="2" t="s">
        <v>114</v>
      </c>
      <c r="S40" s="2" t="s">
        <v>397</v>
      </c>
      <c r="T40" s="2" t="s">
        <v>398</v>
      </c>
      <c r="U40" s="2" t="s">
        <v>386</v>
      </c>
      <c r="V40" s="2" t="s">
        <v>24</v>
      </c>
      <c r="W40" s="2" t="s">
        <v>56</v>
      </c>
    </row>
    <row r="41">
      <c r="A41" s="2" t="n">
        <v>28</v>
      </c>
      <c r="B41" s="2" t="s">
        <v>11954</v>
      </c>
      <c r="C41" s="2" t="s">
        <v>399</v>
      </c>
      <c r="D41" s="2" t="n">
        <v>111.00821768</v>
      </c>
      <c r="E41" s="2" t="n">
        <v>17.2973206895074</v>
      </c>
      <c r="F41" s="2" t="s">
        <v>11955</v>
      </c>
      <c r="G41" s="2" t="n">
        <v>2909</v>
      </c>
      <c r="H41" s="3" t="str">
        <f>HYPERLINK("http://funmeta.oebiotech.com/network/2909", "http://funmeta.oebiotech.com/network/2909")</f>
      </c>
      <c r="I41" s="2" t="s">
        <v>11956</v>
      </c>
      <c r="J41" s="2" t="s">
        <v>11957</v>
      </c>
      <c r="K41" s="2" t="s">
        <v>11958</v>
      </c>
      <c r="L41" s="2" t="s">
        <v>11959</v>
      </c>
      <c r="M41" s="2" t="s">
        <v>11960</v>
      </c>
      <c r="N41" s="2" t="s">
        <v>11961</v>
      </c>
      <c r="O41" s="2" t="s">
        <v>11962</v>
      </c>
      <c r="P41" s="2" t="s">
        <v>11963</v>
      </c>
      <c r="Q41" s="2" t="s">
        <v>11964</v>
      </c>
      <c r="R41" s="2" t="s">
        <v>794</v>
      </c>
      <c r="S41" s="2" t="s">
        <v>795</v>
      </c>
      <c r="T41" s="2" t="s">
        <v>796</v>
      </c>
      <c r="U41" s="2" t="s">
        <v>400</v>
      </c>
      <c r="V41" s="2" t="s">
        <v>161</v>
      </c>
      <c r="W41" s="2" t="s">
        <v>39</v>
      </c>
    </row>
    <row r="42">
      <c r="A42" s="2" t="n">
        <v>28</v>
      </c>
      <c r="B42" s="2" t="s">
        <v>11965</v>
      </c>
      <c r="C42" s="2" t="s">
        <v>399</v>
      </c>
      <c r="D42" s="2" t="n">
        <v>111.00821768</v>
      </c>
      <c r="E42" s="2" t="n">
        <v>17.2973206895074</v>
      </c>
      <c r="F42" s="2" t="s">
        <v>11966</v>
      </c>
      <c r="G42" s="2" t="n">
        <v>2875</v>
      </c>
      <c r="H42" s="3" t="str">
        <f>HYPERLINK("http://funmeta.oebiotech.com/network/2875", "http://funmeta.oebiotech.com/network/2875")</f>
      </c>
      <c r="I42" s="2" t="s">
        <v>11967</v>
      </c>
      <c r="J42" s="2" t="s">
        <v>11968</v>
      </c>
      <c r="K42" s="2" t="s">
        <v>11969</v>
      </c>
      <c r="L42" s="2" t="s">
        <v>11970</v>
      </c>
      <c r="M42" s="2" t="s">
        <v>11971</v>
      </c>
      <c r="N42" s="2" t="s">
        <v>11972</v>
      </c>
      <c r="O42" s="2" t="s">
        <v>11973</v>
      </c>
      <c r="P42" s="2" t="s">
        <v>11974</v>
      </c>
      <c r="Q42" s="2" t="s">
        <v>11975</v>
      </c>
      <c r="R42" s="2" t="s">
        <v>794</v>
      </c>
      <c r="S42" s="2" t="s">
        <v>795</v>
      </c>
      <c r="T42" s="2" t="s">
        <v>796</v>
      </c>
      <c r="U42" s="2" t="s">
        <v>400</v>
      </c>
      <c r="V42" s="2" t="s">
        <v>161</v>
      </c>
      <c r="W42" s="2" t="s">
        <v>39</v>
      </c>
    </row>
    <row r="43">
      <c r="A43" s="2" t="n">
        <v>29</v>
      </c>
      <c r="B43" s="2" t="s">
        <v>11976</v>
      </c>
      <c r="C43" s="2" t="s">
        <v>415</v>
      </c>
      <c r="D43" s="2" t="n">
        <v>111.0218315</v>
      </c>
      <c r="E43" s="2" t="n">
        <v>6.24929758262093</v>
      </c>
      <c r="F43" s="2" t="s">
        <v>11977</v>
      </c>
      <c r="G43" s="2" t="n">
        <v>48677</v>
      </c>
      <c r="H43" s="3" t="str">
        <f>HYPERLINK("http://funmeta.oebiotech.com/network/48677", "http://funmeta.oebiotech.com/network/48677")</f>
      </c>
      <c r="I43" s="2" t="s">
        <v>11978</v>
      </c>
      <c r="J43" s="2" t="s">
        <v>11979</v>
      </c>
      <c r="K43" s="2"/>
      <c r="L43" s="2" t="s">
        <v>11980</v>
      </c>
      <c r="M43" s="2" t="s">
        <v>11981</v>
      </c>
      <c r="N43" s="2" t="s">
        <v>11982</v>
      </c>
      <c r="O43" s="2" t="s">
        <v>11983</v>
      </c>
      <c r="P43" s="2" t="s">
        <v>11984</v>
      </c>
      <c r="Q43" s="2" t="s">
        <v>11985</v>
      </c>
      <c r="R43" s="2" t="s">
        <v>129</v>
      </c>
      <c r="S43" s="2" t="s">
        <v>130</v>
      </c>
      <c r="T43" s="2" t="s">
        <v>4133</v>
      </c>
      <c r="U43" s="2" t="s">
        <v>416</v>
      </c>
      <c r="V43" s="2" t="s">
        <v>86</v>
      </c>
      <c r="W43" s="2" t="s">
        <v>101</v>
      </c>
    </row>
    <row r="44">
      <c r="A44" s="2" t="n">
        <v>29</v>
      </c>
      <c r="B44" s="2" t="s">
        <v>11986</v>
      </c>
      <c r="C44" s="2" t="s">
        <v>415</v>
      </c>
      <c r="D44" s="2" t="n">
        <v>111.0218315</v>
      </c>
      <c r="E44" s="2" t="n">
        <v>6.24929758262093</v>
      </c>
      <c r="F44" s="2" t="s">
        <v>11987</v>
      </c>
      <c r="G44" s="2" t="n">
        <v>47691</v>
      </c>
      <c r="H44" s="3" t="str">
        <f>HYPERLINK("http://funmeta.oebiotech.com/network/47691", "http://funmeta.oebiotech.com/network/47691")</f>
      </c>
      <c r="I44" s="2" t="s">
        <v>11988</v>
      </c>
      <c r="J44" s="2"/>
      <c r="K44" s="2"/>
      <c r="L44" s="2" t="s">
        <v>11989</v>
      </c>
      <c r="M44" s="2" t="s">
        <v>11990</v>
      </c>
      <c r="N44" s="2" t="s">
        <v>11991</v>
      </c>
      <c r="O44" s="2" t="s">
        <v>11992</v>
      </c>
      <c r="P44" s="2" t="s">
        <v>11993</v>
      </c>
      <c r="Q44" s="2" t="s">
        <v>11994</v>
      </c>
      <c r="R44" s="2" t="s">
        <v>129</v>
      </c>
      <c r="S44" s="2" t="s">
        <v>130</v>
      </c>
      <c r="T44" s="2" t="s">
        <v>4133</v>
      </c>
      <c r="U44" s="2" t="s">
        <v>416</v>
      </c>
      <c r="V44" s="2" t="s">
        <v>86</v>
      </c>
      <c r="W44" s="2" t="s">
        <v>101</v>
      </c>
    </row>
    <row r="45">
      <c r="A45" s="2" t="n">
        <v>30</v>
      </c>
      <c r="B45" s="2" t="s">
        <v>11995</v>
      </c>
      <c r="C45" s="2" t="s">
        <v>430</v>
      </c>
      <c r="D45" s="2" t="n">
        <v>113.024418058</v>
      </c>
      <c r="E45" s="2" t="n">
        <v>12.145100288218</v>
      </c>
      <c r="F45" s="2" t="s">
        <v>432</v>
      </c>
      <c r="G45" s="2" t="n">
        <v>56324</v>
      </c>
      <c r="H45" s="3" t="str">
        <f>HYPERLINK("http://funmeta.oebiotech.com/network/56324", "http://funmeta.oebiotech.com/network/56324")</f>
      </c>
      <c r="I45" s="2" t="s">
        <v>434</v>
      </c>
      <c r="J45" s="2" t="s">
        <v>435</v>
      </c>
      <c r="K45" s="2"/>
      <c r="L45" s="2"/>
      <c r="M45" s="2" t="s">
        <v>436</v>
      </c>
      <c r="N45" s="2" t="s">
        <v>437</v>
      </c>
      <c r="O45" s="2" t="s">
        <v>438</v>
      </c>
      <c r="P45" s="2" t="s">
        <v>439</v>
      </c>
      <c r="Q45" s="2" t="s">
        <v>440</v>
      </c>
      <c r="R45" s="2" t="s">
        <v>114</v>
      </c>
      <c r="S45" s="2" t="s">
        <v>115</v>
      </c>
      <c r="T45" s="2" t="s">
        <v>116</v>
      </c>
      <c r="U45" s="2" t="s">
        <v>431</v>
      </c>
      <c r="V45" s="2" t="s">
        <v>24</v>
      </c>
      <c r="W45" s="2" t="s">
        <v>56</v>
      </c>
    </row>
    <row r="46">
      <c r="A46" s="2" t="n">
        <v>31</v>
      </c>
      <c r="B46" s="2" t="s">
        <v>11996</v>
      </c>
      <c r="C46" s="2" t="s">
        <v>441</v>
      </c>
      <c r="D46" s="2" t="n">
        <v>114.056048229</v>
      </c>
      <c r="E46" s="2" t="n">
        <v>7.91514173268796</v>
      </c>
      <c r="F46" s="2" t="s">
        <v>443</v>
      </c>
      <c r="G46" s="2" t="n">
        <v>52033</v>
      </c>
      <c r="H46" s="3" t="str">
        <f>HYPERLINK("http://funmeta.oebiotech.com/network/52033", "http://funmeta.oebiotech.com/network/52033")</f>
      </c>
      <c r="I46" s="2" t="s">
        <v>445</v>
      </c>
      <c r="J46" s="2" t="s">
        <v>446</v>
      </c>
      <c r="K46" s="2"/>
      <c r="L46" s="2" t="s">
        <v>447</v>
      </c>
      <c r="M46" s="2" t="s">
        <v>448</v>
      </c>
      <c r="N46" s="2" t="s">
        <v>449</v>
      </c>
      <c r="O46" s="2" t="s">
        <v>450</v>
      </c>
      <c r="P46" s="2" t="s">
        <v>451</v>
      </c>
      <c r="Q46" s="2" t="s">
        <v>452</v>
      </c>
      <c r="R46" s="2" t="s">
        <v>114</v>
      </c>
      <c r="S46" s="2" t="s">
        <v>453</v>
      </c>
      <c r="T46" s="2" t="s">
        <v>215</v>
      </c>
      <c r="U46" s="2" t="s">
        <v>442</v>
      </c>
      <c r="V46" s="2" t="s">
        <v>205</v>
      </c>
      <c r="W46" s="2" t="s">
        <v>101</v>
      </c>
    </row>
    <row r="47">
      <c r="A47" s="2" t="n">
        <v>32</v>
      </c>
      <c r="B47" s="2" t="s">
        <v>11997</v>
      </c>
      <c r="C47" s="2" t="s">
        <v>454</v>
      </c>
      <c r="D47" s="2" t="n">
        <v>114.935847425</v>
      </c>
      <c r="E47" s="2" t="n">
        <v>3.32102018680748</v>
      </c>
      <c r="F47" s="2" t="s">
        <v>456</v>
      </c>
      <c r="G47" s="2" t="n">
        <v>52482</v>
      </c>
      <c r="H47" s="3" t="str">
        <f>HYPERLINK("http://funmeta.oebiotech.com/network/52482", "http://funmeta.oebiotech.com/network/52482")</f>
      </c>
      <c r="I47" s="2" t="s">
        <v>458</v>
      </c>
      <c r="J47" s="2" t="s">
        <v>459</v>
      </c>
      <c r="K47" s="2"/>
      <c r="L47" s="2" t="s">
        <v>460</v>
      </c>
      <c r="M47" s="2" t="s">
        <v>461</v>
      </c>
      <c r="N47" s="2" t="s">
        <v>462</v>
      </c>
      <c r="O47" s="2" t="s">
        <v>463</v>
      </c>
      <c r="P47" s="2" t="s">
        <v>464</v>
      </c>
      <c r="Q47" s="2" t="s">
        <v>465</v>
      </c>
      <c r="R47" s="2" t="s">
        <v>213</v>
      </c>
      <c r="S47" s="2" t="s">
        <v>466</v>
      </c>
      <c r="T47" s="2" t="s">
        <v>215</v>
      </c>
      <c r="U47" s="2" t="s">
        <v>455</v>
      </c>
      <c r="V47" s="2" t="s">
        <v>218</v>
      </c>
      <c r="W47" s="2" t="s">
        <v>101</v>
      </c>
    </row>
    <row r="48">
      <c r="A48" s="2" t="n">
        <v>33</v>
      </c>
      <c r="B48" s="2" t="s">
        <v>11998</v>
      </c>
      <c r="C48" s="2" t="s">
        <v>467</v>
      </c>
      <c r="D48" s="2" t="n">
        <v>115.003678308</v>
      </c>
      <c r="E48" s="2" t="n">
        <v>8.24985501890428</v>
      </c>
      <c r="F48" s="2" t="s">
        <v>469</v>
      </c>
      <c r="G48" s="2" t="n">
        <v>48884</v>
      </c>
      <c r="H48" s="3" t="str">
        <f>HYPERLINK("http://funmeta.oebiotech.com/network/48884", "http://funmeta.oebiotech.com/network/48884")</f>
      </c>
      <c r="I48" s="2" t="s">
        <v>471</v>
      </c>
      <c r="J48" s="2" t="s">
        <v>472</v>
      </c>
      <c r="K48" s="2"/>
      <c r="L48" s="2" t="s">
        <v>473</v>
      </c>
      <c r="M48" s="2" t="s">
        <v>474</v>
      </c>
      <c r="N48" s="2" t="s">
        <v>475</v>
      </c>
      <c r="O48" s="2" t="s">
        <v>476</v>
      </c>
      <c r="P48" s="2" t="s">
        <v>477</v>
      </c>
      <c r="Q48" s="2" t="s">
        <v>478</v>
      </c>
      <c r="R48" s="2" t="s">
        <v>36</v>
      </c>
      <c r="S48" s="2" t="s">
        <v>37</v>
      </c>
      <c r="T48" s="2" t="s">
        <v>38</v>
      </c>
      <c r="U48" s="2" t="s">
        <v>468</v>
      </c>
      <c r="V48" s="2" t="s">
        <v>205</v>
      </c>
      <c r="W48" s="2" t="s">
        <v>56</v>
      </c>
    </row>
    <row r="49">
      <c r="A49" s="2" t="n">
        <v>34</v>
      </c>
      <c r="B49" s="2" t="s">
        <v>11999</v>
      </c>
      <c r="C49" s="2" t="s">
        <v>479</v>
      </c>
      <c r="D49" s="2" t="n">
        <v>115.022309568</v>
      </c>
      <c r="E49" s="2" t="n">
        <v>6.76909939319939</v>
      </c>
      <c r="F49" s="2" t="s">
        <v>12000</v>
      </c>
      <c r="G49" s="2" t="n">
        <v>61927</v>
      </c>
      <c r="H49" s="3" t="str">
        <f>HYPERLINK("http://funmeta.oebiotech.com/network/61927", "http://funmeta.oebiotech.com/network/61927")</f>
      </c>
      <c r="I49" s="2" t="s">
        <v>12001</v>
      </c>
      <c r="J49" s="2" t="s">
        <v>12002</v>
      </c>
      <c r="K49" s="2"/>
      <c r="L49" s="2"/>
      <c r="M49" s="2" t="s">
        <v>12003</v>
      </c>
      <c r="N49" s="2" t="s">
        <v>12004</v>
      </c>
      <c r="O49" s="2"/>
      <c r="P49" s="2" t="s">
        <v>12005</v>
      </c>
      <c r="Q49" s="2" t="s">
        <v>12006</v>
      </c>
      <c r="R49" s="2" t="s">
        <v>114</v>
      </c>
      <c r="S49" s="2" t="s">
        <v>3023</v>
      </c>
      <c r="T49" s="2" t="s">
        <v>215</v>
      </c>
      <c r="U49" s="2" t="s">
        <v>480</v>
      </c>
      <c r="V49" s="2" t="s">
        <v>24</v>
      </c>
      <c r="W49" s="2" t="s">
        <v>56</v>
      </c>
    </row>
    <row r="50">
      <c r="A50" s="2" t="n">
        <v>34</v>
      </c>
      <c r="B50" s="2" t="s">
        <v>12007</v>
      </c>
      <c r="C50" s="2" t="s">
        <v>479</v>
      </c>
      <c r="D50" s="2" t="n">
        <v>115.022309568</v>
      </c>
      <c r="E50" s="2" t="n">
        <v>6.76909939319939</v>
      </c>
      <c r="F50" s="2" t="s">
        <v>12008</v>
      </c>
      <c r="G50" s="2" t="n">
        <v>63382</v>
      </c>
      <c r="H50" s="3" t="str">
        <f>HYPERLINK("http://funmeta.oebiotech.com/network/63382", "http://funmeta.oebiotech.com/network/63382")</f>
      </c>
      <c r="I50" s="2" t="s">
        <v>12009</v>
      </c>
      <c r="J50" s="2" t="s">
        <v>12010</v>
      </c>
      <c r="K50" s="2"/>
      <c r="L50" s="2"/>
      <c r="M50" s="2"/>
      <c r="N50" s="2" t="s">
        <v>12011</v>
      </c>
      <c r="O50" s="2" t="s">
        <v>12012</v>
      </c>
      <c r="P50" s="2" t="s">
        <v>12013</v>
      </c>
      <c r="Q50" s="2" t="s">
        <v>12014</v>
      </c>
      <c r="R50" s="2" t="s">
        <v>114</v>
      </c>
      <c r="S50" s="2" t="s">
        <v>3023</v>
      </c>
      <c r="T50" s="2" t="s">
        <v>215</v>
      </c>
      <c r="U50" s="2" t="s">
        <v>480</v>
      </c>
      <c r="V50" s="2" t="s">
        <v>24</v>
      </c>
      <c r="W50" s="2" t="s">
        <v>56</v>
      </c>
    </row>
    <row r="51">
      <c r="A51" s="2" t="n">
        <v>34</v>
      </c>
      <c r="B51" s="2" t="s">
        <v>12015</v>
      </c>
      <c r="C51" s="2" t="s">
        <v>479</v>
      </c>
      <c r="D51" s="2" t="n">
        <v>115.022309568</v>
      </c>
      <c r="E51" s="2" t="n">
        <v>6.76909939319939</v>
      </c>
      <c r="F51" s="2" t="s">
        <v>12016</v>
      </c>
      <c r="G51" s="2" t="n">
        <v>63463</v>
      </c>
      <c r="H51" s="3" t="str">
        <f>HYPERLINK("http://funmeta.oebiotech.com/network/63463", "http://funmeta.oebiotech.com/network/63463")</f>
      </c>
      <c r="I51" s="2" t="s">
        <v>12017</v>
      </c>
      <c r="J51" s="2" t="s">
        <v>12018</v>
      </c>
      <c r="K51" s="2"/>
      <c r="L51" s="2"/>
      <c r="M51" s="2"/>
      <c r="N51" s="2" t="s">
        <v>12019</v>
      </c>
      <c r="O51" s="2"/>
      <c r="P51" s="2" t="s">
        <v>12020</v>
      </c>
      <c r="Q51" s="2" t="s">
        <v>12021</v>
      </c>
      <c r="R51" s="2" t="s">
        <v>114</v>
      </c>
      <c r="S51" s="2" t="s">
        <v>12022</v>
      </c>
      <c r="T51" s="2" t="s">
        <v>215</v>
      </c>
      <c r="U51" s="2" t="s">
        <v>480</v>
      </c>
      <c r="V51" s="2" t="s">
        <v>24</v>
      </c>
      <c r="W51" s="2" t="s">
        <v>56</v>
      </c>
    </row>
    <row r="52">
      <c r="A52" s="2" t="n">
        <v>35</v>
      </c>
      <c r="B52" s="2" t="s">
        <v>12023</v>
      </c>
      <c r="C52" s="2" t="s">
        <v>493</v>
      </c>
      <c r="D52" s="2" t="n">
        <v>116.03982729</v>
      </c>
      <c r="E52" s="2" t="n">
        <v>5.96667876531265</v>
      </c>
      <c r="F52" s="2" t="s">
        <v>495</v>
      </c>
      <c r="G52" s="2" t="n">
        <v>205404</v>
      </c>
      <c r="H52" s="3" t="str">
        <f>HYPERLINK("http://funmeta.oebiotech.com/network/205404", "http://funmeta.oebiotech.com/network/205404")</f>
      </c>
      <c r="I52" s="2" t="s">
        <v>497</v>
      </c>
      <c r="J52" s="2"/>
      <c r="K52" s="2"/>
      <c r="L52" s="2"/>
      <c r="M52" s="2"/>
      <c r="N52" s="2" t="s">
        <v>498</v>
      </c>
      <c r="O52" s="2"/>
      <c r="P52" s="2" t="s">
        <v>499</v>
      </c>
      <c r="Q52" s="2" t="s">
        <v>500</v>
      </c>
      <c r="R52" s="2" t="s">
        <v>501</v>
      </c>
      <c r="S52" s="2" t="s">
        <v>502</v>
      </c>
      <c r="T52" s="2" t="s">
        <v>503</v>
      </c>
      <c r="U52" s="2" t="s">
        <v>494</v>
      </c>
      <c r="V52" s="2" t="s">
        <v>86</v>
      </c>
      <c r="W52" s="2"/>
    </row>
    <row r="53">
      <c r="A53" s="2" t="n">
        <v>36</v>
      </c>
      <c r="B53" s="2" t="s">
        <v>12024</v>
      </c>
      <c r="C53" s="2" t="s">
        <v>504</v>
      </c>
      <c r="D53" s="2" t="n">
        <v>117.01933268</v>
      </c>
      <c r="E53" s="2" t="n">
        <v>14.4428239634309</v>
      </c>
      <c r="F53" s="2" t="s">
        <v>506</v>
      </c>
      <c r="G53" s="2" t="n">
        <v>2857</v>
      </c>
      <c r="H53" s="3" t="str">
        <f>HYPERLINK("http://funmeta.oebiotech.com/network/2857", "http://funmeta.oebiotech.com/network/2857")</f>
      </c>
      <c r="I53" s="2" t="s">
        <v>508</v>
      </c>
      <c r="J53" s="2" t="s">
        <v>509</v>
      </c>
      <c r="K53" s="2" t="s">
        <v>510</v>
      </c>
      <c r="L53" s="2" t="s">
        <v>511</v>
      </c>
      <c r="M53" s="2" t="s">
        <v>512</v>
      </c>
      <c r="N53" s="2" t="s">
        <v>513</v>
      </c>
      <c r="O53" s="2" t="s">
        <v>514</v>
      </c>
      <c r="P53" s="2" t="s">
        <v>515</v>
      </c>
      <c r="Q53" s="2" t="s">
        <v>516</v>
      </c>
      <c r="R53" s="2" t="s">
        <v>36</v>
      </c>
      <c r="S53" s="2" t="s">
        <v>37</v>
      </c>
      <c r="T53" s="2" t="s">
        <v>242</v>
      </c>
      <c r="U53" s="2" t="s">
        <v>505</v>
      </c>
      <c r="V53" s="2" t="s">
        <v>24</v>
      </c>
      <c r="W53" s="2" t="s">
        <v>39</v>
      </c>
    </row>
    <row r="54">
      <c r="A54" s="2" t="n">
        <v>37</v>
      </c>
      <c r="B54" s="2" t="s">
        <v>12025</v>
      </c>
      <c r="C54" s="2" t="s">
        <v>517</v>
      </c>
      <c r="D54" s="2" t="n">
        <v>118.050967159</v>
      </c>
      <c r="E54" s="2" t="n">
        <v>13.9855209523631</v>
      </c>
      <c r="F54" s="2" t="s">
        <v>519</v>
      </c>
      <c r="G54" s="2" t="n">
        <v>46907</v>
      </c>
      <c r="H54" s="3" t="str">
        <f>HYPERLINK("http://funmeta.oebiotech.com/network/46907", "http://funmeta.oebiotech.com/network/46907")</f>
      </c>
      <c r="I54" s="2" t="s">
        <v>521</v>
      </c>
      <c r="J54" s="2" t="s">
        <v>522</v>
      </c>
      <c r="K54" s="2"/>
      <c r="L54" s="2" t="s">
        <v>523</v>
      </c>
      <c r="M54" s="2" t="s">
        <v>524</v>
      </c>
      <c r="N54" s="2" t="s">
        <v>525</v>
      </c>
      <c r="O54" s="2" t="s">
        <v>526</v>
      </c>
      <c r="P54" s="2" t="s">
        <v>527</v>
      </c>
      <c r="Q54" s="2" t="s">
        <v>528</v>
      </c>
      <c r="R54" s="2" t="s">
        <v>36</v>
      </c>
      <c r="S54" s="2" t="s">
        <v>37</v>
      </c>
      <c r="T54" s="2" t="s">
        <v>69</v>
      </c>
      <c r="U54" s="2" t="s">
        <v>518</v>
      </c>
      <c r="V54" s="2" t="s">
        <v>24</v>
      </c>
      <c r="W54" s="2" t="s">
        <v>39</v>
      </c>
    </row>
    <row r="55">
      <c r="A55" s="2" t="n">
        <v>38</v>
      </c>
      <c r="B55" s="2" t="s">
        <v>12026</v>
      </c>
      <c r="C55" s="2" t="s">
        <v>529</v>
      </c>
      <c r="D55" s="2" t="n">
        <v>118.993687882</v>
      </c>
      <c r="E55" s="2" t="n">
        <v>3.41707014264931</v>
      </c>
      <c r="F55" s="2" t="s">
        <v>12027</v>
      </c>
      <c r="G55" s="2" t="n">
        <v>57381</v>
      </c>
      <c r="H55" s="3" t="str">
        <f>HYPERLINK("http://funmeta.oebiotech.com/network/57381", "http://funmeta.oebiotech.com/network/57381")</f>
      </c>
      <c r="I55" s="2" t="s">
        <v>12028</v>
      </c>
      <c r="J55" s="2" t="s">
        <v>12029</v>
      </c>
      <c r="K55" s="2"/>
      <c r="L55" s="2"/>
      <c r="M55" s="2"/>
      <c r="N55" s="2" t="s">
        <v>12030</v>
      </c>
      <c r="O55" s="2" t="s">
        <v>12031</v>
      </c>
      <c r="P55" s="2" t="s">
        <v>12032</v>
      </c>
      <c r="Q55" s="2" t="s">
        <v>12033</v>
      </c>
      <c r="R55" s="2" t="s">
        <v>114</v>
      </c>
      <c r="S55" s="2" t="s">
        <v>877</v>
      </c>
      <c r="T55" s="2" t="s">
        <v>215</v>
      </c>
      <c r="U55" s="2" t="s">
        <v>530</v>
      </c>
      <c r="V55" s="2" t="s">
        <v>531</v>
      </c>
      <c r="W55" s="2"/>
    </row>
    <row r="56">
      <c r="A56" s="2" t="n">
        <v>38</v>
      </c>
      <c r="B56" s="2" t="s">
        <v>12034</v>
      </c>
      <c r="C56" s="2" t="s">
        <v>529</v>
      </c>
      <c r="D56" s="2" t="n">
        <v>118.993687882</v>
      </c>
      <c r="E56" s="2" t="n">
        <v>3.41707014264931</v>
      </c>
      <c r="F56" s="2" t="s">
        <v>12035</v>
      </c>
      <c r="G56" s="2" t="n">
        <v>57380</v>
      </c>
      <c r="H56" s="3" t="str">
        <f>HYPERLINK("http://funmeta.oebiotech.com/network/57380", "http://funmeta.oebiotech.com/network/57380")</f>
      </c>
      <c r="I56" s="2" t="s">
        <v>12036</v>
      </c>
      <c r="J56" s="2" t="s">
        <v>12037</v>
      </c>
      <c r="K56" s="2"/>
      <c r="L56" s="2"/>
      <c r="M56" s="2" t="s">
        <v>12038</v>
      </c>
      <c r="N56" s="2" t="s">
        <v>12039</v>
      </c>
      <c r="O56" s="2" t="s">
        <v>12040</v>
      </c>
      <c r="P56" s="2" t="s">
        <v>12041</v>
      </c>
      <c r="Q56" s="2" t="s">
        <v>12042</v>
      </c>
      <c r="R56" s="2" t="s">
        <v>114</v>
      </c>
      <c r="S56" s="2" t="s">
        <v>877</v>
      </c>
      <c r="T56" s="2" t="s">
        <v>215</v>
      </c>
      <c r="U56" s="2" t="s">
        <v>530</v>
      </c>
      <c r="V56" s="2" t="s">
        <v>531</v>
      </c>
      <c r="W56" s="2"/>
    </row>
    <row r="57">
      <c r="A57" s="2" t="n">
        <v>39</v>
      </c>
      <c r="B57" s="2" t="s">
        <v>12043</v>
      </c>
      <c r="C57" s="2" t="s">
        <v>544</v>
      </c>
      <c r="D57" s="2" t="n">
        <v>119.086624384</v>
      </c>
      <c r="E57" s="2" t="n">
        <v>5.69502415392938</v>
      </c>
      <c r="F57" s="2" t="s">
        <v>546</v>
      </c>
      <c r="G57" s="2" t="n">
        <v>52446</v>
      </c>
      <c r="H57" s="3" t="str">
        <f>HYPERLINK("http://funmeta.oebiotech.com/network/52446", "http://funmeta.oebiotech.com/network/52446")</f>
      </c>
      <c r="I57" s="2" t="s">
        <v>548</v>
      </c>
      <c r="J57" s="2" t="s">
        <v>549</v>
      </c>
      <c r="K57" s="2"/>
      <c r="L57" s="2" t="s">
        <v>550</v>
      </c>
      <c r="M57" s="2" t="s">
        <v>551</v>
      </c>
      <c r="N57" s="2" t="s">
        <v>552</v>
      </c>
      <c r="O57" s="2" t="s">
        <v>553</v>
      </c>
      <c r="P57" s="2" t="s">
        <v>554</v>
      </c>
      <c r="Q57" s="2" t="s">
        <v>555</v>
      </c>
      <c r="R57" s="2" t="s">
        <v>186</v>
      </c>
      <c r="S57" s="2" t="s">
        <v>187</v>
      </c>
      <c r="T57" s="2" t="s">
        <v>215</v>
      </c>
      <c r="U57" s="2" t="s">
        <v>545</v>
      </c>
      <c r="V57" s="2" t="s">
        <v>24</v>
      </c>
      <c r="W57" s="2" t="s">
        <v>56</v>
      </c>
    </row>
    <row r="58">
      <c r="A58" s="2" t="n">
        <v>40</v>
      </c>
      <c r="B58" s="2" t="s">
        <v>12044</v>
      </c>
      <c r="C58" s="2" t="s">
        <v>556</v>
      </c>
      <c r="D58" s="2" t="n">
        <v>120.041460793</v>
      </c>
      <c r="E58" s="2" t="n">
        <v>16.3819340610895</v>
      </c>
      <c r="F58" s="2" t="s">
        <v>558</v>
      </c>
      <c r="G58" s="2" t="n">
        <v>211789</v>
      </c>
      <c r="H58" s="3" t="str">
        <f>HYPERLINK("http://funmeta.oebiotech.com/network/211789", "http://funmeta.oebiotech.com/network/211789")</f>
      </c>
      <c r="I58" s="2" t="s">
        <v>560</v>
      </c>
      <c r="J58" s="2" t="s">
        <v>561</v>
      </c>
      <c r="K58" s="2"/>
      <c r="L58" s="2" t="s">
        <v>562</v>
      </c>
      <c r="M58" s="2" t="s">
        <v>563</v>
      </c>
      <c r="N58" s="2" t="s">
        <v>564</v>
      </c>
      <c r="O58" s="2" t="s">
        <v>565</v>
      </c>
      <c r="P58" s="2" t="s">
        <v>566</v>
      </c>
      <c r="Q58" s="2" t="s">
        <v>567</v>
      </c>
      <c r="R58" s="2" t="s">
        <v>36</v>
      </c>
      <c r="S58" s="2" t="s">
        <v>568</v>
      </c>
      <c r="T58" s="2" t="s">
        <v>215</v>
      </c>
      <c r="U58" s="2" t="s">
        <v>557</v>
      </c>
      <c r="V58" s="2" t="s">
        <v>205</v>
      </c>
      <c r="W58" s="2" t="s">
        <v>101</v>
      </c>
    </row>
    <row r="59">
      <c r="A59" s="2" t="n">
        <v>41</v>
      </c>
      <c r="B59" s="2" t="s">
        <v>12045</v>
      </c>
      <c r="C59" s="2" t="s">
        <v>569</v>
      </c>
      <c r="D59" s="2" t="n">
        <v>124.99140337</v>
      </c>
      <c r="E59" s="2" t="n">
        <v>4.40891889152149</v>
      </c>
      <c r="F59" s="2" t="s">
        <v>571</v>
      </c>
      <c r="G59" s="2" t="n">
        <v>48178</v>
      </c>
      <c r="H59" s="3" t="str">
        <f>HYPERLINK("http://funmeta.oebiotech.com/network/48178", "http://funmeta.oebiotech.com/network/48178")</f>
      </c>
      <c r="I59" s="2" t="s">
        <v>573</v>
      </c>
      <c r="J59" s="2" t="s">
        <v>574</v>
      </c>
      <c r="K59" s="2"/>
      <c r="L59" s="2" t="s">
        <v>575</v>
      </c>
      <c r="M59" s="2" t="s">
        <v>576</v>
      </c>
      <c r="N59" s="2" t="s">
        <v>577</v>
      </c>
      <c r="O59" s="2" t="s">
        <v>578</v>
      </c>
      <c r="P59" s="2" t="s">
        <v>579</v>
      </c>
      <c r="Q59" s="2" t="s">
        <v>580</v>
      </c>
      <c r="R59" s="2" t="s">
        <v>36</v>
      </c>
      <c r="S59" s="2" t="s">
        <v>344</v>
      </c>
      <c r="T59" s="2" t="s">
        <v>345</v>
      </c>
      <c r="U59" s="2" t="s">
        <v>570</v>
      </c>
      <c r="V59" s="2" t="s">
        <v>24</v>
      </c>
      <c r="W59" s="2" t="s">
        <v>56</v>
      </c>
    </row>
    <row r="60">
      <c r="A60" s="2" t="n">
        <v>42</v>
      </c>
      <c r="B60" s="2" t="s">
        <v>12046</v>
      </c>
      <c r="C60" s="2" t="s">
        <v>581</v>
      </c>
      <c r="D60" s="2" t="n">
        <v>125.012329441</v>
      </c>
      <c r="E60" s="2" t="n">
        <v>1.89985253463315</v>
      </c>
      <c r="F60" s="2" t="s">
        <v>12047</v>
      </c>
      <c r="G60" s="2" t="n">
        <v>208713</v>
      </c>
      <c r="H60" s="3" t="str">
        <f>HYPERLINK("http://funmeta.oebiotech.com/network/208713", "http://funmeta.oebiotech.com/network/208713")</f>
      </c>
      <c r="I60" s="2" t="s">
        <v>12048</v>
      </c>
      <c r="J60" s="2"/>
      <c r="K60" s="2"/>
      <c r="L60" s="2"/>
      <c r="M60" s="2"/>
      <c r="N60" s="2" t="s">
        <v>12049</v>
      </c>
      <c r="O60" s="2"/>
      <c r="P60" s="2" t="s">
        <v>12050</v>
      </c>
      <c r="Q60" s="2" t="s">
        <v>12051</v>
      </c>
      <c r="R60" s="2" t="s">
        <v>12052</v>
      </c>
      <c r="S60" s="2" t="s">
        <v>12053</v>
      </c>
      <c r="T60" s="2" t="s">
        <v>12054</v>
      </c>
      <c r="U60" s="2" t="s">
        <v>582</v>
      </c>
      <c r="V60" s="2" t="s">
        <v>86</v>
      </c>
      <c r="W60" s="2"/>
    </row>
    <row r="61">
      <c r="A61" s="2" t="n">
        <v>42</v>
      </c>
      <c r="B61" s="2" t="s">
        <v>12055</v>
      </c>
      <c r="C61" s="2" t="s">
        <v>581</v>
      </c>
      <c r="D61" s="2" t="n">
        <v>125.012329441</v>
      </c>
      <c r="E61" s="2" t="n">
        <v>1.89985253463315</v>
      </c>
      <c r="F61" s="2" t="s">
        <v>12056</v>
      </c>
      <c r="G61" s="2" t="n">
        <v>206028</v>
      </c>
      <c r="H61" s="3" t="str">
        <f>HYPERLINK("http://funmeta.oebiotech.com/network/206028", "http://funmeta.oebiotech.com/network/206028")</f>
      </c>
      <c r="I61" s="2" t="s">
        <v>12057</v>
      </c>
      <c r="J61" s="2"/>
      <c r="K61" s="2"/>
      <c r="L61" s="2"/>
      <c r="M61" s="2"/>
      <c r="N61" s="2" t="s">
        <v>12058</v>
      </c>
      <c r="O61" s="2"/>
      <c r="P61" s="2" t="s">
        <v>12059</v>
      </c>
      <c r="Q61" s="2" t="s">
        <v>12060</v>
      </c>
      <c r="R61" s="2" t="s">
        <v>12052</v>
      </c>
      <c r="S61" s="2" t="s">
        <v>12053</v>
      </c>
      <c r="T61" s="2" t="s">
        <v>12061</v>
      </c>
      <c r="U61" s="2" t="s">
        <v>582</v>
      </c>
      <c r="V61" s="2" t="s">
        <v>86</v>
      </c>
      <c r="W61" s="2"/>
    </row>
    <row r="62">
      <c r="A62" s="2" t="n">
        <v>43</v>
      </c>
      <c r="B62" s="2" t="s">
        <v>12062</v>
      </c>
      <c r="C62" s="2" t="s">
        <v>592</v>
      </c>
      <c r="D62" s="2" t="n">
        <v>125.023562829</v>
      </c>
      <c r="E62" s="2" t="n">
        <v>7.83011459091619</v>
      </c>
      <c r="F62" s="2" t="s">
        <v>594</v>
      </c>
      <c r="G62" s="2" t="n">
        <v>204546</v>
      </c>
      <c r="H62" s="3" t="str">
        <f>HYPERLINK("http://funmeta.oebiotech.com/network/204546", "http://funmeta.oebiotech.com/network/204546")</f>
      </c>
      <c r="I62" s="2" t="s">
        <v>596</v>
      </c>
      <c r="J62" s="2"/>
      <c r="K62" s="2"/>
      <c r="L62" s="2"/>
      <c r="M62" s="2" t="s">
        <v>597</v>
      </c>
      <c r="N62" s="2" t="s">
        <v>598</v>
      </c>
      <c r="O62" s="2"/>
      <c r="P62" s="2" t="s">
        <v>599</v>
      </c>
      <c r="Q62" s="2" t="s">
        <v>600</v>
      </c>
      <c r="R62" s="2" t="s">
        <v>601</v>
      </c>
      <c r="S62" s="2" t="s">
        <v>602</v>
      </c>
      <c r="T62" s="2" t="s">
        <v>603</v>
      </c>
      <c r="U62" s="2" t="s">
        <v>593</v>
      </c>
      <c r="V62" s="2" t="s">
        <v>86</v>
      </c>
      <c r="W62" s="2"/>
    </row>
    <row r="63">
      <c r="A63" s="2" t="n">
        <v>44</v>
      </c>
      <c r="B63" s="2" t="s">
        <v>12063</v>
      </c>
      <c r="C63" s="2" t="s">
        <v>604</v>
      </c>
      <c r="D63" s="2" t="n">
        <v>125.060799258</v>
      </c>
      <c r="E63" s="2" t="n">
        <v>15.4243416807148</v>
      </c>
      <c r="F63" s="2" t="s">
        <v>606</v>
      </c>
      <c r="G63" s="2" t="n">
        <v>206123</v>
      </c>
      <c r="H63" s="3" t="str">
        <f>HYPERLINK("http://funmeta.oebiotech.com/network/206123", "http://funmeta.oebiotech.com/network/206123")</f>
      </c>
      <c r="I63" s="2" t="s">
        <v>608</v>
      </c>
      <c r="J63" s="2"/>
      <c r="K63" s="2"/>
      <c r="L63" s="2"/>
      <c r="M63" s="2"/>
      <c r="N63" s="2" t="s">
        <v>609</v>
      </c>
      <c r="O63" s="2"/>
      <c r="P63" s="2" t="s">
        <v>610</v>
      </c>
      <c r="Q63" s="2" t="s">
        <v>611</v>
      </c>
      <c r="R63" s="2" t="s">
        <v>501</v>
      </c>
      <c r="S63" s="2" t="s">
        <v>502</v>
      </c>
      <c r="T63" s="2" t="s">
        <v>503</v>
      </c>
      <c r="U63" s="2" t="s">
        <v>605</v>
      </c>
      <c r="V63" s="2" t="s">
        <v>205</v>
      </c>
      <c r="W63" s="2"/>
    </row>
    <row r="64">
      <c r="A64" s="2" t="n">
        <v>45</v>
      </c>
      <c r="B64" s="2" t="s">
        <v>12064</v>
      </c>
      <c r="C64" s="2" t="s">
        <v>612</v>
      </c>
      <c r="D64" s="2" t="n">
        <v>126.007364109</v>
      </c>
      <c r="E64" s="2" t="n">
        <v>16.5123148619738</v>
      </c>
      <c r="F64" s="2" t="s">
        <v>614</v>
      </c>
      <c r="G64" s="2" t="n">
        <v>200533</v>
      </c>
      <c r="H64" s="3" t="str">
        <f>HYPERLINK("http://funmeta.oebiotech.com/network/200533", "http://funmeta.oebiotech.com/network/200533")</f>
      </c>
      <c r="I64" s="2" t="s">
        <v>616</v>
      </c>
      <c r="J64" s="2" t="s">
        <v>617</v>
      </c>
      <c r="K64" s="2"/>
      <c r="L64" s="2"/>
      <c r="M64" s="2"/>
      <c r="N64" s="2" t="s">
        <v>618</v>
      </c>
      <c r="O64" s="2" t="s">
        <v>619</v>
      </c>
      <c r="P64" s="2" t="s">
        <v>620</v>
      </c>
      <c r="Q64" s="2" t="s">
        <v>621</v>
      </c>
      <c r="R64" s="2" t="s">
        <v>114</v>
      </c>
      <c r="S64" s="2" t="s">
        <v>369</v>
      </c>
      <c r="T64" s="2" t="s">
        <v>370</v>
      </c>
      <c r="U64" s="2" t="s">
        <v>613</v>
      </c>
      <c r="V64" s="2" t="s">
        <v>531</v>
      </c>
      <c r="W64" s="2"/>
    </row>
    <row r="65">
      <c r="A65" s="2" t="n">
        <v>46</v>
      </c>
      <c r="B65" s="2" t="s">
        <v>12065</v>
      </c>
      <c r="C65" s="2" t="s">
        <v>622</v>
      </c>
      <c r="D65" s="2" t="n">
        <v>127.076453628</v>
      </c>
      <c r="E65" s="2" t="n">
        <v>11.472252530817</v>
      </c>
      <c r="F65" s="2" t="s">
        <v>624</v>
      </c>
      <c r="G65" s="2" t="n">
        <v>55916</v>
      </c>
      <c r="H65" s="3" t="str">
        <f>HYPERLINK("http://funmeta.oebiotech.com/network/55916", "http://funmeta.oebiotech.com/network/55916")</f>
      </c>
      <c r="I65" s="2" t="s">
        <v>626</v>
      </c>
      <c r="J65" s="2" t="s">
        <v>627</v>
      </c>
      <c r="K65" s="2"/>
      <c r="L65" s="2" t="s">
        <v>628</v>
      </c>
      <c r="M65" s="2" t="s">
        <v>629</v>
      </c>
      <c r="N65" s="2" t="s">
        <v>630</v>
      </c>
      <c r="O65" s="2" t="s">
        <v>631</v>
      </c>
      <c r="P65" s="2" t="s">
        <v>632</v>
      </c>
      <c r="Q65" s="2" t="s">
        <v>633</v>
      </c>
      <c r="R65" s="2" t="s">
        <v>36</v>
      </c>
      <c r="S65" s="2" t="s">
        <v>37</v>
      </c>
      <c r="T65" s="2" t="s">
        <v>38</v>
      </c>
      <c r="U65" s="2" t="s">
        <v>623</v>
      </c>
      <c r="V65" s="2" t="s">
        <v>24</v>
      </c>
      <c r="W65" s="2" t="s">
        <v>56</v>
      </c>
    </row>
    <row r="66">
      <c r="A66" s="2" t="n">
        <v>47</v>
      </c>
      <c r="B66" s="2" t="s">
        <v>12066</v>
      </c>
      <c r="C66" s="2" t="s">
        <v>634</v>
      </c>
      <c r="D66" s="2" t="n">
        <v>128.053944047</v>
      </c>
      <c r="E66" s="2" t="n">
        <v>9.88039927839445</v>
      </c>
      <c r="F66" s="2" t="s">
        <v>636</v>
      </c>
      <c r="G66" s="2" t="n">
        <v>56709</v>
      </c>
      <c r="H66" s="3" t="str">
        <f>HYPERLINK("http://funmeta.oebiotech.com/network/56709", "http://funmeta.oebiotech.com/network/56709")</f>
      </c>
      <c r="I66" s="2" t="s">
        <v>638</v>
      </c>
      <c r="J66" s="2" t="s">
        <v>639</v>
      </c>
      <c r="K66" s="2"/>
      <c r="L66" s="2"/>
      <c r="M66" s="2"/>
      <c r="N66" s="2" t="s">
        <v>640</v>
      </c>
      <c r="O66" s="2" t="s">
        <v>641</v>
      </c>
      <c r="P66" s="2" t="s">
        <v>642</v>
      </c>
      <c r="Q66" s="2" t="s">
        <v>643</v>
      </c>
      <c r="R66" s="2" t="s">
        <v>644</v>
      </c>
      <c r="S66" s="2" t="s">
        <v>645</v>
      </c>
      <c r="T66" s="2" t="s">
        <v>215</v>
      </c>
      <c r="U66" s="2" t="s">
        <v>635</v>
      </c>
      <c r="V66" s="2" t="s">
        <v>24</v>
      </c>
      <c r="W66" s="2" t="s">
        <v>56</v>
      </c>
    </row>
    <row r="67">
      <c r="A67" s="2" t="n">
        <v>48</v>
      </c>
      <c r="B67" s="2" t="s">
        <v>12067</v>
      </c>
      <c r="C67" s="2" t="s">
        <v>646</v>
      </c>
      <c r="D67" s="2" t="n">
        <v>129.022500202</v>
      </c>
      <c r="E67" s="2" t="n">
        <v>12.6590464444584</v>
      </c>
      <c r="F67" s="2" t="s">
        <v>648</v>
      </c>
      <c r="G67" s="2" t="n">
        <v>57374</v>
      </c>
      <c r="H67" s="3" t="str">
        <f>HYPERLINK("http://funmeta.oebiotech.com/network/57374", "http://funmeta.oebiotech.com/network/57374")</f>
      </c>
      <c r="I67" s="2" t="s">
        <v>650</v>
      </c>
      <c r="J67" s="2" t="s">
        <v>651</v>
      </c>
      <c r="K67" s="2"/>
      <c r="L67" s="2"/>
      <c r="M67" s="2"/>
      <c r="N67" s="2" t="s">
        <v>652</v>
      </c>
      <c r="O67" s="2" t="s">
        <v>653</v>
      </c>
      <c r="P67" s="2" t="s">
        <v>654</v>
      </c>
      <c r="Q67" s="2" t="s">
        <v>655</v>
      </c>
      <c r="R67" s="2" t="s">
        <v>114</v>
      </c>
      <c r="S67" s="2" t="s">
        <v>369</v>
      </c>
      <c r="T67" s="2" t="s">
        <v>656</v>
      </c>
      <c r="U67" s="2" t="s">
        <v>647</v>
      </c>
      <c r="V67" s="2" t="s">
        <v>86</v>
      </c>
      <c r="W67" s="2" t="s">
        <v>56</v>
      </c>
    </row>
    <row r="68">
      <c r="A68" s="2" t="n">
        <v>49</v>
      </c>
      <c r="B68" s="2" t="s">
        <v>12068</v>
      </c>
      <c r="C68" s="2" t="s">
        <v>657</v>
      </c>
      <c r="D68" s="2" t="n">
        <v>129.037409318</v>
      </c>
      <c r="E68" s="2" t="n">
        <v>11.9552452584946</v>
      </c>
      <c r="F68" s="2" t="s">
        <v>12069</v>
      </c>
      <c r="G68" s="2" t="n">
        <v>7531</v>
      </c>
      <c r="H68" s="3" t="str">
        <f>HYPERLINK("http://funmeta.oebiotech.com/network/7531", "http://funmeta.oebiotech.com/network/7531")</f>
      </c>
      <c r="I68" s="2" t="s">
        <v>12070</v>
      </c>
      <c r="J68" s="2" t="s">
        <v>12071</v>
      </c>
      <c r="K68" s="2" t="s">
        <v>12072</v>
      </c>
      <c r="L68" s="2"/>
      <c r="M68" s="2"/>
      <c r="N68" s="2" t="s">
        <v>12073</v>
      </c>
      <c r="O68" s="2" t="s">
        <v>12074</v>
      </c>
      <c r="P68" s="2" t="s">
        <v>12075</v>
      </c>
      <c r="Q68" s="2" t="s">
        <v>12076</v>
      </c>
      <c r="R68" s="2" t="s">
        <v>794</v>
      </c>
      <c r="S68" s="2" t="s">
        <v>795</v>
      </c>
      <c r="T68" s="2" t="s">
        <v>1870</v>
      </c>
      <c r="U68" s="2" t="s">
        <v>658</v>
      </c>
      <c r="V68" s="2" t="s">
        <v>161</v>
      </c>
      <c r="W68" s="2" t="s">
        <v>56</v>
      </c>
    </row>
    <row r="69">
      <c r="A69" s="2" t="n">
        <v>49</v>
      </c>
      <c r="B69" s="2" t="s">
        <v>12077</v>
      </c>
      <c r="C69" s="2" t="s">
        <v>657</v>
      </c>
      <c r="D69" s="2" t="n">
        <v>129.037409318</v>
      </c>
      <c r="E69" s="2" t="n">
        <v>11.9552452584946</v>
      </c>
      <c r="F69" s="2" t="s">
        <v>12078</v>
      </c>
      <c r="G69" s="2" t="n">
        <v>7593</v>
      </c>
      <c r="H69" s="3" t="str">
        <f>HYPERLINK("http://funmeta.oebiotech.com/network/7593", "http://funmeta.oebiotech.com/network/7593")</f>
      </c>
      <c r="I69" s="2" t="s">
        <v>12079</v>
      </c>
      <c r="J69" s="2" t="s">
        <v>12080</v>
      </c>
      <c r="K69" s="2" t="s">
        <v>12081</v>
      </c>
      <c r="L69" s="2"/>
      <c r="M69" s="2"/>
      <c r="N69" s="2" t="s">
        <v>12082</v>
      </c>
      <c r="O69" s="2" t="s">
        <v>12083</v>
      </c>
      <c r="P69" s="2" t="s">
        <v>12084</v>
      </c>
      <c r="Q69" s="2" t="s">
        <v>12085</v>
      </c>
      <c r="R69" s="2" t="s">
        <v>794</v>
      </c>
      <c r="S69" s="2" t="s">
        <v>795</v>
      </c>
      <c r="T69" s="2" t="s">
        <v>1870</v>
      </c>
      <c r="U69" s="2" t="s">
        <v>658</v>
      </c>
      <c r="V69" s="2" t="s">
        <v>161</v>
      </c>
      <c r="W69" s="2" t="s">
        <v>56</v>
      </c>
    </row>
    <row r="70">
      <c r="A70" s="2" t="n">
        <v>49</v>
      </c>
      <c r="B70" s="2" t="s">
        <v>12086</v>
      </c>
      <c r="C70" s="2" t="s">
        <v>657</v>
      </c>
      <c r="D70" s="2" t="n">
        <v>129.037409318</v>
      </c>
      <c r="E70" s="2" t="n">
        <v>11.9552452584946</v>
      </c>
      <c r="F70" s="2" t="s">
        <v>12087</v>
      </c>
      <c r="G70" s="2" t="n">
        <v>7602</v>
      </c>
      <c r="H70" s="3" t="str">
        <f>HYPERLINK("http://funmeta.oebiotech.com/network/7602", "http://funmeta.oebiotech.com/network/7602")</f>
      </c>
      <c r="I70" s="2" t="s">
        <v>12088</v>
      </c>
      <c r="J70" s="2" t="s">
        <v>12089</v>
      </c>
      <c r="K70" s="2" t="s">
        <v>12090</v>
      </c>
      <c r="L70" s="2"/>
      <c r="M70" s="2"/>
      <c r="N70" s="2" t="s">
        <v>12091</v>
      </c>
      <c r="O70" s="2" t="s">
        <v>12092</v>
      </c>
      <c r="P70" s="2" t="s">
        <v>12093</v>
      </c>
      <c r="Q70" s="2" t="s">
        <v>12094</v>
      </c>
      <c r="R70" s="2" t="s">
        <v>794</v>
      </c>
      <c r="S70" s="2" t="s">
        <v>795</v>
      </c>
      <c r="T70" s="2" t="s">
        <v>1870</v>
      </c>
      <c r="U70" s="2" t="s">
        <v>658</v>
      </c>
      <c r="V70" s="2" t="s">
        <v>161</v>
      </c>
      <c r="W70" s="2" t="s">
        <v>56</v>
      </c>
    </row>
    <row r="71">
      <c r="A71" s="2" t="n">
        <v>50</v>
      </c>
      <c r="B71" s="2" t="s">
        <v>12095</v>
      </c>
      <c r="C71" s="2" t="s">
        <v>669</v>
      </c>
      <c r="D71" s="2" t="n">
        <v>131.036320148</v>
      </c>
      <c r="E71" s="2" t="n">
        <v>4.93150427161964</v>
      </c>
      <c r="F71" s="2" t="s">
        <v>671</v>
      </c>
      <c r="G71" s="2" t="n">
        <v>210695</v>
      </c>
      <c r="H71" s="3" t="str">
        <f>HYPERLINK("http://funmeta.oebiotech.com/network/210695", "http://funmeta.oebiotech.com/network/210695")</f>
      </c>
      <c r="I71" s="2" t="s">
        <v>673</v>
      </c>
      <c r="J71" s="2" t="s">
        <v>674</v>
      </c>
      <c r="K71" s="2"/>
      <c r="L71" s="2" t="s">
        <v>675</v>
      </c>
      <c r="M71" s="2" t="s">
        <v>676</v>
      </c>
      <c r="N71" s="2" t="s">
        <v>677</v>
      </c>
      <c r="O71" s="2"/>
      <c r="P71" s="2" t="s">
        <v>678</v>
      </c>
      <c r="Q71" s="2" t="s">
        <v>679</v>
      </c>
      <c r="R71" s="2" t="s">
        <v>114</v>
      </c>
      <c r="S71" s="2" t="s">
        <v>680</v>
      </c>
      <c r="T71" s="2" t="s">
        <v>215</v>
      </c>
      <c r="U71" s="2" t="s">
        <v>670</v>
      </c>
      <c r="V71" s="2" t="s">
        <v>24</v>
      </c>
      <c r="W71" s="2" t="s">
        <v>101</v>
      </c>
    </row>
    <row r="72">
      <c r="A72" s="2" t="n">
        <v>51</v>
      </c>
      <c r="B72" s="2" t="s">
        <v>12096</v>
      </c>
      <c r="C72" s="2" t="s">
        <v>681</v>
      </c>
      <c r="D72" s="2" t="n">
        <v>131.04893691</v>
      </c>
      <c r="E72" s="2" t="n">
        <v>1.05527522787747</v>
      </c>
      <c r="F72" s="2" t="s">
        <v>12097</v>
      </c>
      <c r="G72" s="2" t="n">
        <v>199599</v>
      </c>
      <c r="H72" s="3" t="str">
        <f>HYPERLINK("http://funmeta.oebiotech.com/network/199599", "http://funmeta.oebiotech.com/network/199599")</f>
      </c>
      <c r="I72" s="2" t="s">
        <v>12098</v>
      </c>
      <c r="J72" s="2"/>
      <c r="K72" s="2"/>
      <c r="L72" s="2"/>
      <c r="M72" s="2"/>
      <c r="N72" s="2" t="s">
        <v>12099</v>
      </c>
      <c r="O72" s="2"/>
      <c r="P72" s="2" t="s">
        <v>12100</v>
      </c>
      <c r="Q72" s="2" t="s">
        <v>12101</v>
      </c>
      <c r="R72" s="2" t="s">
        <v>213</v>
      </c>
      <c r="S72" s="2" t="s">
        <v>214</v>
      </c>
      <c r="T72" s="2" t="s">
        <v>215</v>
      </c>
      <c r="U72" s="2" t="s">
        <v>682</v>
      </c>
      <c r="V72" s="2" t="s">
        <v>683</v>
      </c>
      <c r="W72" s="2"/>
    </row>
    <row r="73">
      <c r="A73" s="2" t="n">
        <v>51</v>
      </c>
      <c r="B73" s="2" t="s">
        <v>12102</v>
      </c>
      <c r="C73" s="2" t="s">
        <v>681</v>
      </c>
      <c r="D73" s="2" t="n">
        <v>131.04893691</v>
      </c>
      <c r="E73" s="2" t="n">
        <v>1.05527522787747</v>
      </c>
      <c r="F73" s="2" t="s">
        <v>12103</v>
      </c>
      <c r="G73" s="2" t="n">
        <v>199549</v>
      </c>
      <c r="H73" s="3" t="str">
        <f>HYPERLINK("http://funmeta.oebiotech.com/network/199549", "http://funmeta.oebiotech.com/network/199549")</f>
      </c>
      <c r="I73" s="2" t="s">
        <v>12104</v>
      </c>
      <c r="J73" s="2"/>
      <c r="K73" s="2"/>
      <c r="L73" s="2"/>
      <c r="M73" s="2"/>
      <c r="N73" s="2" t="s">
        <v>12105</v>
      </c>
      <c r="O73" s="2"/>
      <c r="P73" s="2" t="s">
        <v>12106</v>
      </c>
      <c r="Q73" s="2" t="s">
        <v>12107</v>
      </c>
      <c r="R73" s="2" t="s">
        <v>213</v>
      </c>
      <c r="S73" s="2" t="s">
        <v>214</v>
      </c>
      <c r="T73" s="2" t="s">
        <v>215</v>
      </c>
      <c r="U73" s="2" t="s">
        <v>682</v>
      </c>
      <c r="V73" s="2" t="s">
        <v>683</v>
      </c>
      <c r="W73" s="2"/>
    </row>
    <row r="74">
      <c r="A74" s="2" t="n">
        <v>52</v>
      </c>
      <c r="B74" s="2" t="s">
        <v>12108</v>
      </c>
      <c r="C74" s="2" t="s">
        <v>692</v>
      </c>
      <c r="D74" s="2" t="n">
        <v>131.082601638</v>
      </c>
      <c r="E74" s="2" t="n">
        <v>18.658681737313</v>
      </c>
      <c r="F74" s="2" t="s">
        <v>694</v>
      </c>
      <c r="G74" s="2" t="n">
        <v>46935</v>
      </c>
      <c r="H74" s="3" t="str">
        <f>HYPERLINK("http://funmeta.oebiotech.com/network/46935", "http://funmeta.oebiotech.com/network/46935")</f>
      </c>
      <c r="I74" s="2" t="s">
        <v>696</v>
      </c>
      <c r="J74" s="2" t="s">
        <v>697</v>
      </c>
      <c r="K74" s="2"/>
      <c r="L74" s="2" t="s">
        <v>698</v>
      </c>
      <c r="M74" s="2" t="s">
        <v>699</v>
      </c>
      <c r="N74" s="2" t="s">
        <v>700</v>
      </c>
      <c r="O74" s="2" t="s">
        <v>701</v>
      </c>
      <c r="P74" s="2" t="s">
        <v>702</v>
      </c>
      <c r="Q74" s="2" t="s">
        <v>703</v>
      </c>
      <c r="R74" s="2" t="s">
        <v>36</v>
      </c>
      <c r="S74" s="2" t="s">
        <v>37</v>
      </c>
      <c r="T74" s="2" t="s">
        <v>69</v>
      </c>
      <c r="U74" s="2" t="s">
        <v>693</v>
      </c>
      <c r="V74" s="2" t="s">
        <v>24</v>
      </c>
      <c r="W74" s="2" t="s">
        <v>39</v>
      </c>
    </row>
    <row r="75">
      <c r="A75" s="2" t="n">
        <v>53</v>
      </c>
      <c r="B75" s="2" t="s">
        <v>12109</v>
      </c>
      <c r="C75" s="2" t="s">
        <v>704</v>
      </c>
      <c r="D75" s="2" t="n">
        <v>131.089995202</v>
      </c>
      <c r="E75" s="2" t="n">
        <v>6.64537596543394</v>
      </c>
      <c r="F75" s="2" t="s">
        <v>12110</v>
      </c>
      <c r="G75" s="2" t="n">
        <v>56685</v>
      </c>
      <c r="H75" s="3" t="str">
        <f>HYPERLINK("http://funmeta.oebiotech.com/network/56685", "http://funmeta.oebiotech.com/network/56685")</f>
      </c>
      <c r="I75" s="2" t="s">
        <v>12111</v>
      </c>
      <c r="J75" s="2" t="s">
        <v>12112</v>
      </c>
      <c r="K75" s="2"/>
      <c r="L75" s="2"/>
      <c r="M75" s="2" t="s">
        <v>12113</v>
      </c>
      <c r="N75" s="2" t="s">
        <v>12114</v>
      </c>
      <c r="O75" s="2" t="s">
        <v>12115</v>
      </c>
      <c r="P75" s="2" t="s">
        <v>12116</v>
      </c>
      <c r="Q75" s="2" t="s">
        <v>12117</v>
      </c>
      <c r="R75" s="2" t="s">
        <v>644</v>
      </c>
      <c r="S75" s="2" t="s">
        <v>12118</v>
      </c>
      <c r="T75" s="2" t="s">
        <v>12119</v>
      </c>
      <c r="U75" s="2" t="s">
        <v>705</v>
      </c>
      <c r="V75" s="2" t="s">
        <v>24</v>
      </c>
      <c r="W75" s="2" t="s">
        <v>56</v>
      </c>
    </row>
    <row r="76">
      <c r="A76" s="2" t="n">
        <v>53</v>
      </c>
      <c r="B76" s="2" t="s">
        <v>12120</v>
      </c>
      <c r="C76" s="2" t="s">
        <v>704</v>
      </c>
      <c r="D76" s="2" t="n">
        <v>131.089995202</v>
      </c>
      <c r="E76" s="2" t="n">
        <v>6.64537596543394</v>
      </c>
      <c r="F76" s="2" t="s">
        <v>12121</v>
      </c>
      <c r="G76" s="2" t="n">
        <v>56686</v>
      </c>
      <c r="H76" s="3" t="str">
        <f>HYPERLINK("http://funmeta.oebiotech.com/network/56686", "http://funmeta.oebiotech.com/network/56686")</f>
      </c>
      <c r="I76" s="2" t="s">
        <v>12122</v>
      </c>
      <c r="J76" s="2" t="s">
        <v>5611</v>
      </c>
      <c r="K76" s="2"/>
      <c r="L76" s="2"/>
      <c r="M76" s="2"/>
      <c r="N76" s="2" t="s">
        <v>12123</v>
      </c>
      <c r="O76" s="2" t="s">
        <v>12124</v>
      </c>
      <c r="P76" s="2" t="s">
        <v>12125</v>
      </c>
      <c r="Q76" s="2" t="s">
        <v>12126</v>
      </c>
      <c r="R76" s="2" t="s">
        <v>644</v>
      </c>
      <c r="S76" s="2" t="s">
        <v>12118</v>
      </c>
      <c r="T76" s="2" t="s">
        <v>12119</v>
      </c>
      <c r="U76" s="2" t="s">
        <v>705</v>
      </c>
      <c r="V76" s="2" t="s">
        <v>24</v>
      </c>
      <c r="W76" s="2" t="s">
        <v>56</v>
      </c>
    </row>
    <row r="77">
      <c r="A77" s="2" t="n">
        <v>54</v>
      </c>
      <c r="B77" s="2" t="s">
        <v>12127</v>
      </c>
      <c r="C77" s="2" t="s">
        <v>718</v>
      </c>
      <c r="D77" s="2" t="n">
        <v>132.031018807</v>
      </c>
      <c r="E77" s="2" t="n">
        <v>7.67504991346484</v>
      </c>
      <c r="F77" s="2" t="s">
        <v>720</v>
      </c>
      <c r="G77" s="2" t="n">
        <v>46889</v>
      </c>
      <c r="H77" s="3" t="str">
        <f>HYPERLINK("http://funmeta.oebiotech.com/network/46889", "http://funmeta.oebiotech.com/network/46889")</f>
      </c>
      <c r="I77" s="2" t="s">
        <v>722</v>
      </c>
      <c r="J77" s="2" t="s">
        <v>723</v>
      </c>
      <c r="K77" s="2"/>
      <c r="L77" s="2" t="s">
        <v>724</v>
      </c>
      <c r="M77" s="2" t="s">
        <v>725</v>
      </c>
      <c r="N77" s="2" t="s">
        <v>726</v>
      </c>
      <c r="O77" s="2" t="s">
        <v>727</v>
      </c>
      <c r="P77" s="2" t="s">
        <v>728</v>
      </c>
      <c r="Q77" s="2" t="s">
        <v>729</v>
      </c>
      <c r="R77" s="2" t="s">
        <v>114</v>
      </c>
      <c r="S77" s="2" t="s">
        <v>730</v>
      </c>
      <c r="T77" s="2" t="s">
        <v>731</v>
      </c>
      <c r="U77" s="2" t="s">
        <v>719</v>
      </c>
      <c r="V77" s="2" t="s">
        <v>161</v>
      </c>
      <c r="W77" s="2" t="s">
        <v>39</v>
      </c>
    </row>
    <row r="78">
      <c r="A78" s="2" t="n">
        <v>55</v>
      </c>
      <c r="B78" s="2" t="s">
        <v>12128</v>
      </c>
      <c r="C78" s="2" t="s">
        <v>732</v>
      </c>
      <c r="D78" s="2" t="n">
        <v>133.032874254</v>
      </c>
      <c r="E78" s="2" t="n">
        <v>5.81819225571037</v>
      </c>
      <c r="F78" s="2" t="s">
        <v>12129</v>
      </c>
      <c r="G78" s="2" t="n">
        <v>7604</v>
      </c>
      <c r="H78" s="3" t="str">
        <f>HYPERLINK("http://funmeta.oebiotech.com/network/7604", "http://funmeta.oebiotech.com/network/7604")</f>
      </c>
      <c r="I78" s="2" t="s">
        <v>12130</v>
      </c>
      <c r="J78" s="2" t="s">
        <v>12131</v>
      </c>
      <c r="K78" s="2" t="s">
        <v>12132</v>
      </c>
      <c r="L78" s="2"/>
      <c r="M78" s="2"/>
      <c r="N78" s="2" t="s">
        <v>12133</v>
      </c>
      <c r="O78" s="2" t="s">
        <v>12134</v>
      </c>
      <c r="P78" s="2" t="s">
        <v>12135</v>
      </c>
      <c r="Q78" s="2" t="s">
        <v>12136</v>
      </c>
      <c r="R78" s="2" t="s">
        <v>794</v>
      </c>
      <c r="S78" s="2" t="s">
        <v>795</v>
      </c>
      <c r="T78" s="2" t="s">
        <v>1870</v>
      </c>
      <c r="U78" s="2" t="s">
        <v>733</v>
      </c>
      <c r="V78" s="2" t="s">
        <v>24</v>
      </c>
      <c r="W78" s="2" t="s">
        <v>56</v>
      </c>
    </row>
    <row r="79">
      <c r="A79" s="2" t="n">
        <v>55</v>
      </c>
      <c r="B79" s="2" t="s">
        <v>12137</v>
      </c>
      <c r="C79" s="2" t="s">
        <v>732</v>
      </c>
      <c r="D79" s="2" t="n">
        <v>133.032874254</v>
      </c>
      <c r="E79" s="2" t="n">
        <v>5.81819225571037</v>
      </c>
      <c r="F79" s="2" t="s">
        <v>12138</v>
      </c>
      <c r="G79" s="2" t="n">
        <v>56042</v>
      </c>
      <c r="H79" s="3" t="str">
        <f>HYPERLINK("http://funmeta.oebiotech.com/network/56042", "http://funmeta.oebiotech.com/network/56042")</f>
      </c>
      <c r="I79" s="2" t="s">
        <v>12139</v>
      </c>
      <c r="J79" s="2" t="s">
        <v>12140</v>
      </c>
      <c r="K79" s="2"/>
      <c r="L79" s="2"/>
      <c r="M79" s="2"/>
      <c r="N79" s="2" t="s">
        <v>12141</v>
      </c>
      <c r="O79" s="2" t="s">
        <v>12142</v>
      </c>
      <c r="P79" s="2" t="s">
        <v>12143</v>
      </c>
      <c r="Q79" s="2" t="s">
        <v>12144</v>
      </c>
      <c r="R79" s="2" t="s">
        <v>36</v>
      </c>
      <c r="S79" s="2" t="s">
        <v>37</v>
      </c>
      <c r="T79" s="2" t="s">
        <v>1217</v>
      </c>
      <c r="U79" s="2" t="s">
        <v>733</v>
      </c>
      <c r="V79" s="2" t="s">
        <v>24</v>
      </c>
      <c r="W79" s="2" t="s">
        <v>56</v>
      </c>
    </row>
    <row r="80">
      <c r="A80" s="2" t="n">
        <v>55</v>
      </c>
      <c r="B80" s="2" t="s">
        <v>12145</v>
      </c>
      <c r="C80" s="2" t="s">
        <v>732</v>
      </c>
      <c r="D80" s="2" t="n">
        <v>133.032874254</v>
      </c>
      <c r="E80" s="2" t="n">
        <v>5.81819225571037</v>
      </c>
      <c r="F80" s="2" t="s">
        <v>12146</v>
      </c>
      <c r="G80" s="2" t="n">
        <v>58415</v>
      </c>
      <c r="H80" s="3" t="str">
        <f>HYPERLINK("http://funmeta.oebiotech.com/network/58415", "http://funmeta.oebiotech.com/network/58415")</f>
      </c>
      <c r="I80" s="2" t="s">
        <v>12147</v>
      </c>
      <c r="J80" s="2" t="s">
        <v>12148</v>
      </c>
      <c r="K80" s="2"/>
      <c r="L80" s="2"/>
      <c r="M80" s="2"/>
      <c r="N80" s="2" t="s">
        <v>12149</v>
      </c>
      <c r="O80" s="2" t="s">
        <v>12150</v>
      </c>
      <c r="P80" s="2" t="s">
        <v>12151</v>
      </c>
      <c r="Q80" s="2" t="s">
        <v>12152</v>
      </c>
      <c r="R80" s="2" t="s">
        <v>36</v>
      </c>
      <c r="S80" s="2" t="s">
        <v>37</v>
      </c>
      <c r="T80" s="2" t="s">
        <v>1217</v>
      </c>
      <c r="U80" s="2" t="s">
        <v>733</v>
      </c>
      <c r="V80" s="2" t="s">
        <v>24</v>
      </c>
      <c r="W80" s="2" t="s">
        <v>56</v>
      </c>
    </row>
    <row r="81">
      <c r="A81" s="2" t="n">
        <v>56</v>
      </c>
      <c r="B81" s="2" t="s">
        <v>12153</v>
      </c>
      <c r="C81" s="2" t="s">
        <v>746</v>
      </c>
      <c r="D81" s="2" t="n">
        <v>134.047219185</v>
      </c>
      <c r="E81" s="2" t="n">
        <v>5.56687591128964</v>
      </c>
      <c r="F81" s="2" t="s">
        <v>748</v>
      </c>
      <c r="G81" s="2" t="n">
        <v>46837</v>
      </c>
      <c r="H81" s="3" t="str">
        <f>HYPERLINK("http://funmeta.oebiotech.com/network/46837", "http://funmeta.oebiotech.com/network/46837")</f>
      </c>
      <c r="I81" s="2" t="s">
        <v>750</v>
      </c>
      <c r="J81" s="2" t="s">
        <v>751</v>
      </c>
      <c r="K81" s="2"/>
      <c r="L81" s="2" t="s">
        <v>752</v>
      </c>
      <c r="M81" s="2" t="s">
        <v>753</v>
      </c>
      <c r="N81" s="2" t="s">
        <v>754</v>
      </c>
      <c r="O81" s="2" t="s">
        <v>755</v>
      </c>
      <c r="P81" s="2" t="s">
        <v>756</v>
      </c>
      <c r="Q81" s="2" t="s">
        <v>757</v>
      </c>
      <c r="R81" s="2" t="s">
        <v>114</v>
      </c>
      <c r="S81" s="2" t="s">
        <v>730</v>
      </c>
      <c r="T81" s="2" t="s">
        <v>731</v>
      </c>
      <c r="U81" s="2" t="s">
        <v>747</v>
      </c>
      <c r="V81" s="2" t="s">
        <v>24</v>
      </c>
      <c r="W81" s="2" t="s">
        <v>39</v>
      </c>
    </row>
    <row r="82">
      <c r="A82" s="2" t="n">
        <v>57</v>
      </c>
      <c r="B82" s="2" t="s">
        <v>12154</v>
      </c>
      <c r="C82" s="2" t="s">
        <v>758</v>
      </c>
      <c r="D82" s="2" t="n">
        <v>135.0451535</v>
      </c>
      <c r="E82" s="2" t="n">
        <v>7.28566084673138</v>
      </c>
      <c r="F82" s="2" t="s">
        <v>12155</v>
      </c>
      <c r="G82" s="2" t="n">
        <v>48165</v>
      </c>
      <c r="H82" s="3" t="str">
        <f>HYPERLINK("http://funmeta.oebiotech.com/network/48165", "http://funmeta.oebiotech.com/network/48165")</f>
      </c>
      <c r="I82" s="2" t="s">
        <v>12156</v>
      </c>
      <c r="J82" s="2" t="s">
        <v>12157</v>
      </c>
      <c r="K82" s="2"/>
      <c r="L82" s="2" t="s">
        <v>12158</v>
      </c>
      <c r="M82" s="2" t="s">
        <v>12159</v>
      </c>
      <c r="N82" s="2" t="s">
        <v>12160</v>
      </c>
      <c r="O82" s="2" t="s">
        <v>12161</v>
      </c>
      <c r="P82" s="2" t="s">
        <v>12162</v>
      </c>
      <c r="Q82" s="2" t="s">
        <v>12163</v>
      </c>
      <c r="R82" s="2" t="s">
        <v>186</v>
      </c>
      <c r="S82" s="2" t="s">
        <v>187</v>
      </c>
      <c r="T82" s="2" t="s">
        <v>12164</v>
      </c>
      <c r="U82" s="2" t="s">
        <v>759</v>
      </c>
      <c r="V82" s="2" t="s">
        <v>24</v>
      </c>
      <c r="W82" s="2" t="s">
        <v>56</v>
      </c>
    </row>
    <row r="83">
      <c r="A83" s="2" t="n">
        <v>57</v>
      </c>
      <c r="B83" s="2" t="s">
        <v>12165</v>
      </c>
      <c r="C83" s="2" t="s">
        <v>758</v>
      </c>
      <c r="D83" s="2" t="n">
        <v>135.0451535</v>
      </c>
      <c r="E83" s="2" t="n">
        <v>7.28566084673138</v>
      </c>
      <c r="F83" s="2" t="s">
        <v>12166</v>
      </c>
      <c r="G83" s="2" t="n">
        <v>46930</v>
      </c>
      <c r="H83" s="3" t="str">
        <f>HYPERLINK("http://funmeta.oebiotech.com/network/46930", "http://funmeta.oebiotech.com/network/46930")</f>
      </c>
      <c r="I83" s="2" t="s">
        <v>12167</v>
      </c>
      <c r="J83" s="2" t="s">
        <v>12168</v>
      </c>
      <c r="K83" s="2"/>
      <c r="L83" s="2" t="s">
        <v>12169</v>
      </c>
      <c r="M83" s="2" t="s">
        <v>12170</v>
      </c>
      <c r="N83" s="2" t="s">
        <v>12171</v>
      </c>
      <c r="O83" s="2" t="s">
        <v>12172</v>
      </c>
      <c r="P83" s="2" t="s">
        <v>12173</v>
      </c>
      <c r="Q83" s="2" t="s">
        <v>12174</v>
      </c>
      <c r="R83" s="2" t="s">
        <v>186</v>
      </c>
      <c r="S83" s="2" t="s">
        <v>187</v>
      </c>
      <c r="T83" s="2" t="s">
        <v>215</v>
      </c>
      <c r="U83" s="2" t="s">
        <v>759</v>
      </c>
      <c r="V83" s="2" t="s">
        <v>24</v>
      </c>
      <c r="W83" s="2" t="s">
        <v>56</v>
      </c>
    </row>
    <row r="84">
      <c r="A84" s="2" t="n">
        <v>58</v>
      </c>
      <c r="B84" s="2" t="s">
        <v>12175</v>
      </c>
      <c r="C84" s="2" t="s">
        <v>773</v>
      </c>
      <c r="D84" s="2" t="n">
        <v>137.058118218</v>
      </c>
      <c r="E84" s="2" t="n">
        <v>16.3473127493607</v>
      </c>
      <c r="F84" s="2" t="s">
        <v>12176</v>
      </c>
      <c r="G84" s="2" t="n">
        <v>200319</v>
      </c>
      <c r="H84" s="3" t="str">
        <f>HYPERLINK("http://funmeta.oebiotech.com/network/200319", "http://funmeta.oebiotech.com/network/200319")</f>
      </c>
      <c r="I84" s="2" t="s">
        <v>12177</v>
      </c>
      <c r="J84" s="2"/>
      <c r="K84" s="2"/>
      <c r="L84" s="2"/>
      <c r="M84" s="2" t="s">
        <v>12178</v>
      </c>
      <c r="N84" s="2" t="s">
        <v>12179</v>
      </c>
      <c r="O84" s="2"/>
      <c r="P84" s="2" t="s">
        <v>12180</v>
      </c>
      <c r="Q84" s="2" t="s">
        <v>12181</v>
      </c>
      <c r="R84" s="2" t="s">
        <v>114</v>
      </c>
      <c r="S84" s="2" t="s">
        <v>172</v>
      </c>
      <c r="T84" s="2" t="s">
        <v>12182</v>
      </c>
      <c r="U84" s="2" t="s">
        <v>774</v>
      </c>
      <c r="V84" s="2" t="s">
        <v>683</v>
      </c>
      <c r="W84" s="2"/>
    </row>
    <row r="85">
      <c r="A85" s="2" t="n">
        <v>58</v>
      </c>
      <c r="B85" s="2" t="s">
        <v>12183</v>
      </c>
      <c r="C85" s="2" t="s">
        <v>773</v>
      </c>
      <c r="D85" s="2" t="n">
        <v>137.058118222</v>
      </c>
      <c r="E85" s="2" t="n">
        <v>16.3473127493607</v>
      </c>
      <c r="F85" s="2" t="s">
        <v>12184</v>
      </c>
      <c r="G85" s="2" t="n">
        <v>200320</v>
      </c>
      <c r="H85" s="3" t="str">
        <f>HYPERLINK("http://funmeta.oebiotech.com/network/200320", "http://funmeta.oebiotech.com/network/200320")</f>
      </c>
      <c r="I85" s="2" t="s">
        <v>12185</v>
      </c>
      <c r="J85" s="2"/>
      <c r="K85" s="2"/>
      <c r="L85" s="2"/>
      <c r="M85" s="2" t="s">
        <v>12186</v>
      </c>
      <c r="N85" s="2" t="s">
        <v>12187</v>
      </c>
      <c r="O85" s="2"/>
      <c r="P85" s="2" t="s">
        <v>12188</v>
      </c>
      <c r="Q85" s="2" t="s">
        <v>12189</v>
      </c>
      <c r="R85" s="2" t="s">
        <v>114</v>
      </c>
      <c r="S85" s="2" t="s">
        <v>172</v>
      </c>
      <c r="T85" s="2" t="s">
        <v>12182</v>
      </c>
      <c r="U85" s="2" t="s">
        <v>774</v>
      </c>
      <c r="V85" s="2" t="s">
        <v>683</v>
      </c>
      <c r="W85" s="2"/>
    </row>
    <row r="86">
      <c r="A86" s="2" t="n">
        <v>59</v>
      </c>
      <c r="B86" s="2" t="s">
        <v>12190</v>
      </c>
      <c r="C86" s="2" t="s">
        <v>784</v>
      </c>
      <c r="D86" s="2" t="n">
        <v>137.096638756</v>
      </c>
      <c r="E86" s="2" t="n">
        <v>10.9254627432987</v>
      </c>
      <c r="F86" s="2" t="s">
        <v>786</v>
      </c>
      <c r="G86" s="2" t="n">
        <v>536</v>
      </c>
      <c r="H86" s="3" t="str">
        <f>HYPERLINK("http://funmeta.oebiotech.com/network/536", "http://funmeta.oebiotech.com/network/536")</f>
      </c>
      <c r="I86" s="2" t="s">
        <v>788</v>
      </c>
      <c r="J86" s="2"/>
      <c r="K86" s="2" t="s">
        <v>789</v>
      </c>
      <c r="L86" s="2"/>
      <c r="M86" s="2"/>
      <c r="N86" s="2" t="s">
        <v>790</v>
      </c>
      <c r="O86" s="2" t="s">
        <v>791</v>
      </c>
      <c r="P86" s="2" t="s">
        <v>792</v>
      </c>
      <c r="Q86" s="2" t="s">
        <v>793</v>
      </c>
      <c r="R86" s="2" t="s">
        <v>794</v>
      </c>
      <c r="S86" s="2" t="s">
        <v>795</v>
      </c>
      <c r="T86" s="2" t="s">
        <v>796</v>
      </c>
      <c r="U86" s="2" t="s">
        <v>785</v>
      </c>
      <c r="V86" s="2" t="s">
        <v>161</v>
      </c>
      <c r="W86" s="2" t="s">
        <v>39</v>
      </c>
    </row>
    <row r="87">
      <c r="A87" s="2" t="n">
        <v>60</v>
      </c>
      <c r="B87" s="2" t="s">
        <v>12191</v>
      </c>
      <c r="C87" s="2" t="s">
        <v>797</v>
      </c>
      <c r="D87" s="2" t="n">
        <v>138.019667031</v>
      </c>
      <c r="E87" s="2" t="n">
        <v>9.09909257458711</v>
      </c>
      <c r="F87" s="2" t="s">
        <v>12192</v>
      </c>
      <c r="G87" s="2" t="n">
        <v>52200</v>
      </c>
      <c r="H87" s="3" t="str">
        <f>HYPERLINK("http://funmeta.oebiotech.com/network/52200", "http://funmeta.oebiotech.com/network/52200")</f>
      </c>
      <c r="I87" s="2" t="s">
        <v>12193</v>
      </c>
      <c r="J87" s="2" t="s">
        <v>12194</v>
      </c>
      <c r="K87" s="2"/>
      <c r="L87" s="2" t="s">
        <v>12195</v>
      </c>
      <c r="M87" s="2" t="s">
        <v>12196</v>
      </c>
      <c r="N87" s="2" t="s">
        <v>12197</v>
      </c>
      <c r="O87" s="2" t="s">
        <v>12198</v>
      </c>
      <c r="P87" s="2" t="s">
        <v>12199</v>
      </c>
      <c r="Q87" s="2" t="s">
        <v>12200</v>
      </c>
      <c r="R87" s="2" t="s">
        <v>114</v>
      </c>
      <c r="S87" s="2" t="s">
        <v>936</v>
      </c>
      <c r="T87" s="2" t="s">
        <v>1749</v>
      </c>
      <c r="U87" s="2" t="s">
        <v>798</v>
      </c>
      <c r="V87" s="2" t="s">
        <v>24</v>
      </c>
      <c r="W87" s="2" t="s">
        <v>39</v>
      </c>
    </row>
    <row r="88">
      <c r="A88" s="2" t="n">
        <v>60</v>
      </c>
      <c r="B88" s="2" t="s">
        <v>12201</v>
      </c>
      <c r="C88" s="2" t="s">
        <v>797</v>
      </c>
      <c r="D88" s="2" t="n">
        <v>138.019667031</v>
      </c>
      <c r="E88" s="2" t="n">
        <v>9.09909257458711</v>
      </c>
      <c r="F88" s="2" t="s">
        <v>12202</v>
      </c>
      <c r="G88" s="2" t="n">
        <v>47464</v>
      </c>
      <c r="H88" s="3" t="str">
        <f>HYPERLINK("http://funmeta.oebiotech.com/network/47464", "http://funmeta.oebiotech.com/network/47464")</f>
      </c>
      <c r="I88" s="2" t="s">
        <v>12203</v>
      </c>
      <c r="J88" s="2" t="s">
        <v>12204</v>
      </c>
      <c r="K88" s="2"/>
      <c r="L88" s="2" t="s">
        <v>12205</v>
      </c>
      <c r="M88" s="2" t="s">
        <v>12206</v>
      </c>
      <c r="N88" s="2" t="s">
        <v>12207</v>
      </c>
      <c r="O88" s="2" t="s">
        <v>12208</v>
      </c>
      <c r="P88" s="2" t="s">
        <v>12209</v>
      </c>
      <c r="Q88" s="2" t="s">
        <v>12210</v>
      </c>
      <c r="R88" s="2" t="s">
        <v>186</v>
      </c>
      <c r="S88" s="2" t="s">
        <v>357</v>
      </c>
      <c r="T88" s="2" t="s">
        <v>1149</v>
      </c>
      <c r="U88" s="2" t="s">
        <v>798</v>
      </c>
      <c r="V88" s="2" t="s">
        <v>24</v>
      </c>
      <c r="W88" s="2" t="s">
        <v>39</v>
      </c>
    </row>
    <row r="89">
      <c r="A89" s="2" t="n">
        <v>61</v>
      </c>
      <c r="B89" s="2" t="s">
        <v>12211</v>
      </c>
      <c r="C89" s="2" t="s">
        <v>812</v>
      </c>
      <c r="D89" s="2" t="n">
        <v>139.003678304</v>
      </c>
      <c r="E89" s="2" t="n">
        <v>6.96224597298625</v>
      </c>
      <c r="F89" s="2" t="s">
        <v>814</v>
      </c>
      <c r="G89" s="2" t="n">
        <v>209909</v>
      </c>
      <c r="H89" s="3" t="str">
        <f>HYPERLINK("http://funmeta.oebiotech.com/network/209909", "http://funmeta.oebiotech.com/network/209909")</f>
      </c>
      <c r="I89" s="2" t="s">
        <v>816</v>
      </c>
      <c r="J89" s="2"/>
      <c r="K89" s="2"/>
      <c r="L89" s="2"/>
      <c r="M89" s="2"/>
      <c r="N89" s="2" t="s">
        <v>817</v>
      </c>
      <c r="O89" s="2"/>
      <c r="P89" s="2" t="s">
        <v>818</v>
      </c>
      <c r="Q89" s="2" t="s">
        <v>819</v>
      </c>
      <c r="R89" s="2" t="s">
        <v>129</v>
      </c>
      <c r="S89" s="2" t="s">
        <v>130</v>
      </c>
      <c r="T89" s="2" t="s">
        <v>131</v>
      </c>
      <c r="U89" s="2" t="s">
        <v>813</v>
      </c>
      <c r="V89" s="2" t="s">
        <v>205</v>
      </c>
      <c r="W89" s="2"/>
    </row>
    <row r="90">
      <c r="A90" s="2" t="n">
        <v>62</v>
      </c>
      <c r="B90" s="2" t="s">
        <v>12212</v>
      </c>
      <c r="C90" s="2" t="s">
        <v>820</v>
      </c>
      <c r="D90" s="2" t="n">
        <v>139.025599078</v>
      </c>
      <c r="E90" s="2" t="n">
        <v>3.12041669584447</v>
      </c>
      <c r="F90" s="2" t="s">
        <v>822</v>
      </c>
      <c r="G90" s="2" t="n">
        <v>47044</v>
      </c>
      <c r="H90" s="3" t="str">
        <f>HYPERLINK("http://funmeta.oebiotech.com/network/47044", "http://funmeta.oebiotech.com/network/47044")</f>
      </c>
      <c r="I90" s="2" t="s">
        <v>824</v>
      </c>
      <c r="J90" s="2" t="s">
        <v>825</v>
      </c>
      <c r="K90" s="2"/>
      <c r="L90" s="2" t="s">
        <v>826</v>
      </c>
      <c r="M90" s="2" t="s">
        <v>827</v>
      </c>
      <c r="N90" s="2" t="s">
        <v>828</v>
      </c>
      <c r="O90" s="2" t="s">
        <v>829</v>
      </c>
      <c r="P90" s="2" t="s">
        <v>830</v>
      </c>
      <c r="Q90" s="2" t="s">
        <v>831</v>
      </c>
      <c r="R90" s="2" t="s">
        <v>114</v>
      </c>
      <c r="S90" s="2" t="s">
        <v>172</v>
      </c>
      <c r="T90" s="2" t="s">
        <v>173</v>
      </c>
      <c r="U90" s="2" t="s">
        <v>821</v>
      </c>
      <c r="V90" s="2" t="s">
        <v>161</v>
      </c>
      <c r="W90" s="2" t="s">
        <v>39</v>
      </c>
    </row>
    <row r="91">
      <c r="A91" s="2" t="n">
        <v>63</v>
      </c>
      <c r="B91" s="2" t="s">
        <v>12213</v>
      </c>
      <c r="C91" s="2" t="s">
        <v>832</v>
      </c>
      <c r="D91" s="2" t="n">
        <v>139.076453628</v>
      </c>
      <c r="E91" s="2" t="n">
        <v>2.44051836354121</v>
      </c>
      <c r="F91" s="2" t="s">
        <v>834</v>
      </c>
      <c r="G91" s="2" t="n">
        <v>58299</v>
      </c>
      <c r="H91" s="3" t="str">
        <f>HYPERLINK("http://funmeta.oebiotech.com/network/58299", "http://funmeta.oebiotech.com/network/58299")</f>
      </c>
      <c r="I91" s="2" t="s">
        <v>836</v>
      </c>
      <c r="J91" s="2" t="s">
        <v>837</v>
      </c>
      <c r="K91" s="2"/>
      <c r="L91" s="2" t="s">
        <v>838</v>
      </c>
      <c r="M91" s="2" t="s">
        <v>839</v>
      </c>
      <c r="N91" s="2" t="s">
        <v>840</v>
      </c>
      <c r="O91" s="2" t="s">
        <v>841</v>
      </c>
      <c r="P91" s="2" t="s">
        <v>842</v>
      </c>
      <c r="Q91" s="2" t="s">
        <v>843</v>
      </c>
      <c r="R91" s="2" t="s">
        <v>129</v>
      </c>
      <c r="S91" s="2" t="s">
        <v>130</v>
      </c>
      <c r="T91" s="2" t="s">
        <v>131</v>
      </c>
      <c r="U91" s="2" t="s">
        <v>833</v>
      </c>
      <c r="V91" s="2" t="s">
        <v>683</v>
      </c>
      <c r="W91" s="2" t="s">
        <v>56</v>
      </c>
    </row>
    <row r="92">
      <c r="A92" s="2" t="n">
        <v>64</v>
      </c>
      <c r="B92" s="2" t="s">
        <v>12214</v>
      </c>
      <c r="C92" s="2" t="s">
        <v>844</v>
      </c>
      <c r="D92" s="2" t="n">
        <v>139.11228882</v>
      </c>
      <c r="E92" s="2" t="n">
        <v>13.6060872410131</v>
      </c>
      <c r="F92" s="2" t="s">
        <v>846</v>
      </c>
      <c r="G92" s="2" t="n">
        <v>56</v>
      </c>
      <c r="H92" s="3" t="str">
        <f>HYPERLINK("http://funmeta.oebiotech.com/network/56", "http://funmeta.oebiotech.com/network/56")</f>
      </c>
      <c r="I92" s="2" t="s">
        <v>848</v>
      </c>
      <c r="J92" s="2" t="s">
        <v>849</v>
      </c>
      <c r="K92" s="2" t="s">
        <v>850</v>
      </c>
      <c r="L92" s="2" t="s">
        <v>851</v>
      </c>
      <c r="M92" s="2" t="s">
        <v>852</v>
      </c>
      <c r="N92" s="2" t="s">
        <v>853</v>
      </c>
      <c r="O92" s="2" t="s">
        <v>854</v>
      </c>
      <c r="P92" s="2" t="s">
        <v>855</v>
      </c>
      <c r="Q92" s="2" t="s">
        <v>856</v>
      </c>
      <c r="R92" s="2" t="s">
        <v>794</v>
      </c>
      <c r="S92" s="2" t="s">
        <v>795</v>
      </c>
      <c r="T92" s="2" t="s">
        <v>796</v>
      </c>
      <c r="U92" s="2" t="s">
        <v>845</v>
      </c>
      <c r="V92" s="2" t="s">
        <v>161</v>
      </c>
      <c r="W92" s="2" t="s">
        <v>39</v>
      </c>
    </row>
    <row r="93">
      <c r="A93" s="2" t="n">
        <v>65</v>
      </c>
      <c r="B93" s="2" t="s">
        <v>12215</v>
      </c>
      <c r="C93" s="2" t="s">
        <v>857</v>
      </c>
      <c r="D93" s="2" t="n">
        <v>139.984544817</v>
      </c>
      <c r="E93" s="2" t="n">
        <v>8.05871486454988</v>
      </c>
      <c r="F93" s="2" t="s">
        <v>859</v>
      </c>
      <c r="G93" s="2" t="n">
        <v>198807</v>
      </c>
      <c r="H93" s="3" t="str">
        <f>HYPERLINK("http://funmeta.oebiotech.com/network/198807", "http://funmeta.oebiotech.com/network/198807")</f>
      </c>
      <c r="I93" s="2" t="s">
        <v>861</v>
      </c>
      <c r="J93" s="2"/>
      <c r="K93" s="2"/>
      <c r="L93" s="2"/>
      <c r="M93" s="2"/>
      <c r="N93" s="2" t="s">
        <v>862</v>
      </c>
      <c r="O93" s="2"/>
      <c r="P93" s="2" t="s">
        <v>863</v>
      </c>
      <c r="Q93" s="2" t="s">
        <v>864</v>
      </c>
      <c r="R93" s="2" t="s">
        <v>36</v>
      </c>
      <c r="S93" s="2" t="s">
        <v>865</v>
      </c>
      <c r="T93" s="2" t="s">
        <v>866</v>
      </c>
      <c r="U93" s="2" t="s">
        <v>858</v>
      </c>
      <c r="V93" s="2" t="s">
        <v>24</v>
      </c>
      <c r="W93" s="2"/>
    </row>
    <row r="94">
      <c r="A94" s="2" t="n">
        <v>66</v>
      </c>
      <c r="B94" s="2" t="s">
        <v>12216</v>
      </c>
      <c r="C94" s="2" t="s">
        <v>867</v>
      </c>
      <c r="D94" s="2" t="n">
        <v>142.999465636</v>
      </c>
      <c r="E94" s="2" t="n">
        <v>8.03189208702333</v>
      </c>
      <c r="F94" s="2" t="s">
        <v>869</v>
      </c>
      <c r="G94" s="2" t="n">
        <v>56779</v>
      </c>
      <c r="H94" s="3" t="str">
        <f>HYPERLINK("http://funmeta.oebiotech.com/network/56779", "http://funmeta.oebiotech.com/network/56779")</f>
      </c>
      <c r="I94" s="2" t="s">
        <v>871</v>
      </c>
      <c r="J94" s="2" t="s">
        <v>872</v>
      </c>
      <c r="K94" s="2"/>
      <c r="L94" s="2"/>
      <c r="M94" s="2"/>
      <c r="N94" s="2" t="s">
        <v>873</v>
      </c>
      <c r="O94" s="2" t="s">
        <v>874</v>
      </c>
      <c r="P94" s="2" t="s">
        <v>875</v>
      </c>
      <c r="Q94" s="2" t="s">
        <v>876</v>
      </c>
      <c r="R94" s="2" t="s">
        <v>114</v>
      </c>
      <c r="S94" s="2" t="s">
        <v>877</v>
      </c>
      <c r="T94" s="2" t="s">
        <v>215</v>
      </c>
      <c r="U94" s="2" t="s">
        <v>868</v>
      </c>
      <c r="V94" s="2" t="s">
        <v>24</v>
      </c>
      <c r="W94" s="2" t="s">
        <v>56</v>
      </c>
    </row>
    <row r="95">
      <c r="A95" s="2" t="n">
        <v>67</v>
      </c>
      <c r="B95" s="2" t="s">
        <v>12217</v>
      </c>
      <c r="C95" s="2" t="s">
        <v>878</v>
      </c>
      <c r="D95" s="2" t="n">
        <v>143.038150266</v>
      </c>
      <c r="E95" s="2" t="n">
        <v>2.19470833640222</v>
      </c>
      <c r="F95" s="2" t="s">
        <v>12218</v>
      </c>
      <c r="G95" s="2" t="n">
        <v>56314</v>
      </c>
      <c r="H95" s="3" t="str">
        <f>HYPERLINK("http://funmeta.oebiotech.com/network/56314", "http://funmeta.oebiotech.com/network/56314")</f>
      </c>
      <c r="I95" s="2" t="s">
        <v>12219</v>
      </c>
      <c r="J95" s="2" t="s">
        <v>12220</v>
      </c>
      <c r="K95" s="2"/>
      <c r="L95" s="2"/>
      <c r="M95" s="2" t="s">
        <v>12221</v>
      </c>
      <c r="N95" s="2" t="s">
        <v>12222</v>
      </c>
      <c r="O95" s="2" t="s">
        <v>12223</v>
      </c>
      <c r="P95" s="2" t="s">
        <v>12224</v>
      </c>
      <c r="Q95" s="2" t="s">
        <v>12225</v>
      </c>
      <c r="R95" s="2" t="s">
        <v>114</v>
      </c>
      <c r="S95" s="2" t="s">
        <v>369</v>
      </c>
      <c r="T95" s="2" t="s">
        <v>656</v>
      </c>
      <c r="U95" s="2" t="s">
        <v>879</v>
      </c>
      <c r="V95" s="2" t="s">
        <v>86</v>
      </c>
      <c r="W95" s="2" t="s">
        <v>56</v>
      </c>
    </row>
    <row r="96">
      <c r="A96" s="2" t="n">
        <v>67</v>
      </c>
      <c r="B96" s="2" t="s">
        <v>12226</v>
      </c>
      <c r="C96" s="2" t="s">
        <v>878</v>
      </c>
      <c r="D96" s="2" t="n">
        <v>143.038150266</v>
      </c>
      <c r="E96" s="2" t="n">
        <v>2.19470833640222</v>
      </c>
      <c r="F96" s="2" t="s">
        <v>12227</v>
      </c>
      <c r="G96" s="2" t="n">
        <v>57233</v>
      </c>
      <c r="H96" s="3" t="str">
        <f>HYPERLINK("http://funmeta.oebiotech.com/network/57233", "http://funmeta.oebiotech.com/network/57233")</f>
      </c>
      <c r="I96" s="2" t="s">
        <v>12228</v>
      </c>
      <c r="J96" s="2" t="s">
        <v>12229</v>
      </c>
      <c r="K96" s="2"/>
      <c r="L96" s="2"/>
      <c r="M96" s="2"/>
      <c r="N96" s="2" t="s">
        <v>12230</v>
      </c>
      <c r="O96" s="2" t="s">
        <v>12231</v>
      </c>
      <c r="P96" s="2" t="s">
        <v>12232</v>
      </c>
      <c r="Q96" s="2" t="s">
        <v>12233</v>
      </c>
      <c r="R96" s="2" t="s">
        <v>114</v>
      </c>
      <c r="S96" s="2" t="s">
        <v>369</v>
      </c>
      <c r="T96" s="2" t="s">
        <v>656</v>
      </c>
      <c r="U96" s="2" t="s">
        <v>879</v>
      </c>
      <c r="V96" s="2" t="s">
        <v>86</v>
      </c>
      <c r="W96" s="2" t="s">
        <v>56</v>
      </c>
    </row>
    <row r="97">
      <c r="A97" s="2" t="n">
        <v>67</v>
      </c>
      <c r="B97" s="2" t="s">
        <v>12234</v>
      </c>
      <c r="C97" s="2" t="s">
        <v>878</v>
      </c>
      <c r="D97" s="2" t="n">
        <v>143.038150266</v>
      </c>
      <c r="E97" s="2" t="n">
        <v>2.19470833640222</v>
      </c>
      <c r="F97" s="2" t="s">
        <v>12235</v>
      </c>
      <c r="G97" s="2" t="n">
        <v>59134</v>
      </c>
      <c r="H97" s="3" t="str">
        <f>HYPERLINK("http://funmeta.oebiotech.com/network/59134", "http://funmeta.oebiotech.com/network/59134")</f>
      </c>
      <c r="I97" s="2" t="s">
        <v>12236</v>
      </c>
      <c r="J97" s="2" t="s">
        <v>12237</v>
      </c>
      <c r="K97" s="2"/>
      <c r="L97" s="2"/>
      <c r="M97" s="2"/>
      <c r="N97" s="2" t="s">
        <v>12238</v>
      </c>
      <c r="O97" s="2" t="s">
        <v>12239</v>
      </c>
      <c r="P97" s="2" t="s">
        <v>12240</v>
      </c>
      <c r="Q97" s="2" t="s">
        <v>12241</v>
      </c>
      <c r="R97" s="2" t="s">
        <v>114</v>
      </c>
      <c r="S97" s="2" t="s">
        <v>369</v>
      </c>
      <c r="T97" s="2" t="s">
        <v>656</v>
      </c>
      <c r="U97" s="2" t="s">
        <v>879</v>
      </c>
      <c r="V97" s="2" t="s">
        <v>86</v>
      </c>
      <c r="W97" s="2" t="s">
        <v>56</v>
      </c>
    </row>
    <row r="98">
      <c r="A98" s="2" t="n">
        <v>68</v>
      </c>
      <c r="B98" s="2" t="s">
        <v>12242</v>
      </c>
      <c r="C98" s="2" t="s">
        <v>891</v>
      </c>
      <c r="D98" s="2" t="n">
        <v>144.005075284</v>
      </c>
      <c r="E98" s="2" t="n">
        <v>12.9331284617975</v>
      </c>
      <c r="F98" s="2" t="s">
        <v>893</v>
      </c>
      <c r="G98" s="2" t="n">
        <v>212559</v>
      </c>
      <c r="H98" s="3" t="str">
        <f>HYPERLINK("http://funmeta.oebiotech.com/network/212559", "http://funmeta.oebiotech.com/network/212559")</f>
      </c>
      <c r="I98" s="2" t="s">
        <v>895</v>
      </c>
      <c r="J98" s="2"/>
      <c r="K98" s="2"/>
      <c r="L98" s="2"/>
      <c r="M98" s="2"/>
      <c r="N98" s="2" t="s">
        <v>896</v>
      </c>
      <c r="O98" s="2"/>
      <c r="P98" s="2" t="s">
        <v>897</v>
      </c>
      <c r="Q98" s="2" t="s">
        <v>898</v>
      </c>
      <c r="R98" s="2" t="s">
        <v>36</v>
      </c>
      <c r="S98" s="2" t="s">
        <v>37</v>
      </c>
      <c r="T98" s="2" t="s">
        <v>69</v>
      </c>
      <c r="U98" s="2" t="s">
        <v>892</v>
      </c>
      <c r="V98" s="2" t="s">
        <v>205</v>
      </c>
      <c r="W98" s="2"/>
    </row>
    <row r="99">
      <c r="A99" s="2" t="n">
        <v>69</v>
      </c>
      <c r="B99" s="2" t="s">
        <v>12243</v>
      </c>
      <c r="C99" s="2" t="s">
        <v>899</v>
      </c>
      <c r="D99" s="2" t="n">
        <v>144.043080915</v>
      </c>
      <c r="E99" s="2" t="n">
        <v>1.62648366356838</v>
      </c>
      <c r="F99" s="2" t="s">
        <v>901</v>
      </c>
      <c r="G99" s="2" t="n">
        <v>54271</v>
      </c>
      <c r="H99" s="3" t="str">
        <f>HYPERLINK("http://funmeta.oebiotech.com/network/54271", "http://funmeta.oebiotech.com/network/54271")</f>
      </c>
      <c r="I99" s="2" t="s">
        <v>903</v>
      </c>
      <c r="J99" s="2" t="s">
        <v>904</v>
      </c>
      <c r="K99" s="2"/>
      <c r="L99" s="2" t="s">
        <v>905</v>
      </c>
      <c r="M99" s="2" t="s">
        <v>906</v>
      </c>
      <c r="N99" s="2" t="s">
        <v>907</v>
      </c>
      <c r="O99" s="2" t="s">
        <v>908</v>
      </c>
      <c r="P99" s="2" t="s">
        <v>909</v>
      </c>
      <c r="Q99" s="2" t="s">
        <v>910</v>
      </c>
      <c r="R99" s="2" t="s">
        <v>186</v>
      </c>
      <c r="S99" s="2" t="s">
        <v>911</v>
      </c>
      <c r="T99" s="2" t="s">
        <v>912</v>
      </c>
      <c r="U99" s="2" t="s">
        <v>900</v>
      </c>
      <c r="V99" s="2" t="s">
        <v>531</v>
      </c>
      <c r="W99" s="2" t="s">
        <v>39</v>
      </c>
    </row>
    <row r="100">
      <c r="A100" s="2" t="n">
        <v>70</v>
      </c>
      <c r="B100" s="2" t="s">
        <v>12244</v>
      </c>
      <c r="C100" s="2" t="s">
        <v>913</v>
      </c>
      <c r="D100" s="2" t="n">
        <v>144.066066909</v>
      </c>
      <c r="E100" s="2" t="n">
        <v>11.0890032189159</v>
      </c>
      <c r="F100" s="2" t="s">
        <v>915</v>
      </c>
      <c r="G100" s="2" t="n">
        <v>51498</v>
      </c>
      <c r="H100" s="3" t="str">
        <f>HYPERLINK("http://funmeta.oebiotech.com/network/51498", "http://funmeta.oebiotech.com/network/51498")</f>
      </c>
      <c r="I100" s="2" t="s">
        <v>917</v>
      </c>
      <c r="J100" s="2" t="s">
        <v>918</v>
      </c>
      <c r="K100" s="2"/>
      <c r="L100" s="2"/>
      <c r="M100" s="2" t="s">
        <v>919</v>
      </c>
      <c r="N100" s="2" t="s">
        <v>920</v>
      </c>
      <c r="O100" s="2" t="s">
        <v>921</v>
      </c>
      <c r="P100" s="2" t="s">
        <v>922</v>
      </c>
      <c r="Q100" s="2" t="s">
        <v>923</v>
      </c>
      <c r="R100" s="2" t="s">
        <v>36</v>
      </c>
      <c r="S100" s="2" t="s">
        <v>37</v>
      </c>
      <c r="T100" s="2" t="s">
        <v>69</v>
      </c>
      <c r="U100" s="2" t="s">
        <v>914</v>
      </c>
      <c r="V100" s="2" t="s">
        <v>161</v>
      </c>
      <c r="W100" s="2" t="s">
        <v>56</v>
      </c>
    </row>
    <row r="101">
      <c r="A101" s="2" t="n">
        <v>71</v>
      </c>
      <c r="B101" s="2" t="s">
        <v>12245</v>
      </c>
      <c r="C101" s="2" t="s">
        <v>924</v>
      </c>
      <c r="D101" s="2" t="n">
        <v>145.04018651</v>
      </c>
      <c r="E101" s="2" t="n">
        <v>0.959510242412086</v>
      </c>
      <c r="F101" s="2" t="s">
        <v>926</v>
      </c>
      <c r="G101" s="2" t="n">
        <v>64993</v>
      </c>
      <c r="H101" s="3" t="str">
        <f>HYPERLINK("http://funmeta.oebiotech.com/network/64993", "http://funmeta.oebiotech.com/network/64993")</f>
      </c>
      <c r="I101" s="2" t="s">
        <v>928</v>
      </c>
      <c r="J101" s="2" t="s">
        <v>929</v>
      </c>
      <c r="K101" s="2"/>
      <c r="L101" s="2" t="s">
        <v>930</v>
      </c>
      <c r="M101" s="2" t="s">
        <v>931</v>
      </c>
      <c r="N101" s="2" t="s">
        <v>932</v>
      </c>
      <c r="O101" s="2" t="s">
        <v>933</v>
      </c>
      <c r="P101" s="2" t="s">
        <v>934</v>
      </c>
      <c r="Q101" s="2" t="s">
        <v>935</v>
      </c>
      <c r="R101" s="2" t="s">
        <v>114</v>
      </c>
      <c r="S101" s="2" t="s">
        <v>936</v>
      </c>
      <c r="T101" s="2" t="s">
        <v>937</v>
      </c>
      <c r="U101" s="2" t="s">
        <v>925</v>
      </c>
      <c r="V101" s="2" t="s">
        <v>161</v>
      </c>
      <c r="W101" s="2" t="s">
        <v>56</v>
      </c>
    </row>
    <row r="102">
      <c r="A102" s="2" t="n">
        <v>72</v>
      </c>
      <c r="B102" s="2" t="s">
        <v>12246</v>
      </c>
      <c r="C102" s="2" t="s">
        <v>938</v>
      </c>
      <c r="D102" s="2" t="n">
        <v>145.061866196</v>
      </c>
      <c r="E102" s="2" t="n">
        <v>12.14627513052</v>
      </c>
      <c r="F102" s="2" t="s">
        <v>940</v>
      </c>
      <c r="G102" s="2" t="n">
        <v>47136</v>
      </c>
      <c r="H102" s="3" t="str">
        <f>HYPERLINK("http://funmeta.oebiotech.com/network/47136", "http://funmeta.oebiotech.com/network/47136")</f>
      </c>
      <c r="I102" s="2" t="s">
        <v>942</v>
      </c>
      <c r="J102" s="2" t="s">
        <v>943</v>
      </c>
      <c r="K102" s="2"/>
      <c r="L102" s="2" t="s">
        <v>944</v>
      </c>
      <c r="M102" s="2" t="s">
        <v>945</v>
      </c>
      <c r="N102" s="2" t="s">
        <v>946</v>
      </c>
      <c r="O102" s="2" t="s">
        <v>947</v>
      </c>
      <c r="P102" s="2" t="s">
        <v>948</v>
      </c>
      <c r="Q102" s="2" t="s">
        <v>949</v>
      </c>
      <c r="R102" s="2" t="s">
        <v>36</v>
      </c>
      <c r="S102" s="2" t="s">
        <v>37</v>
      </c>
      <c r="T102" s="2" t="s">
        <v>69</v>
      </c>
      <c r="U102" s="2" t="s">
        <v>939</v>
      </c>
      <c r="V102" s="2" t="s">
        <v>24</v>
      </c>
      <c r="W102" s="2" t="s">
        <v>39</v>
      </c>
    </row>
    <row r="103">
      <c r="A103" s="2" t="n">
        <v>73</v>
      </c>
      <c r="B103" s="2" t="s">
        <v>12247</v>
      </c>
      <c r="C103" s="2" t="s">
        <v>950</v>
      </c>
      <c r="D103" s="2" t="n">
        <v>145.087018314</v>
      </c>
      <c r="E103" s="2" t="n">
        <v>15.2368750585831</v>
      </c>
      <c r="F103" s="2" t="s">
        <v>12248</v>
      </c>
      <c r="G103" s="2" t="n">
        <v>7427</v>
      </c>
      <c r="H103" s="3" t="str">
        <f>HYPERLINK("http://funmeta.oebiotech.com/network/7427", "http://funmeta.oebiotech.com/network/7427")</f>
      </c>
      <c r="I103" s="2" t="s">
        <v>12249</v>
      </c>
      <c r="J103" s="2" t="s">
        <v>12250</v>
      </c>
      <c r="K103" s="2" t="s">
        <v>12251</v>
      </c>
      <c r="L103" s="2"/>
      <c r="M103" s="2"/>
      <c r="N103" s="2" t="s">
        <v>12252</v>
      </c>
      <c r="O103" s="2" t="s">
        <v>12253</v>
      </c>
      <c r="P103" s="2" t="s">
        <v>12254</v>
      </c>
      <c r="Q103" s="2" t="s">
        <v>12255</v>
      </c>
      <c r="R103" s="2" t="s">
        <v>794</v>
      </c>
      <c r="S103" s="2" t="s">
        <v>795</v>
      </c>
      <c r="T103" s="2" t="s">
        <v>1870</v>
      </c>
      <c r="U103" s="2" t="s">
        <v>951</v>
      </c>
      <c r="V103" s="2" t="s">
        <v>24</v>
      </c>
      <c r="W103" s="2" t="s">
        <v>56</v>
      </c>
    </row>
    <row r="104">
      <c r="A104" s="2" t="n">
        <v>73</v>
      </c>
      <c r="B104" s="2" t="s">
        <v>12256</v>
      </c>
      <c r="C104" s="2" t="s">
        <v>950</v>
      </c>
      <c r="D104" s="2" t="n">
        <v>145.087018314</v>
      </c>
      <c r="E104" s="2" t="n">
        <v>15.2368750585831</v>
      </c>
      <c r="F104" s="2" t="s">
        <v>12257</v>
      </c>
      <c r="G104" s="2" t="n">
        <v>7614</v>
      </c>
      <c r="H104" s="3" t="str">
        <f>HYPERLINK("http://funmeta.oebiotech.com/network/7614", "http://funmeta.oebiotech.com/network/7614")</f>
      </c>
      <c r="I104" s="2" t="s">
        <v>12258</v>
      </c>
      <c r="J104" s="2" t="s">
        <v>12259</v>
      </c>
      <c r="K104" s="2" t="s">
        <v>12260</v>
      </c>
      <c r="L104" s="2"/>
      <c r="M104" s="2"/>
      <c r="N104" s="2" t="s">
        <v>12261</v>
      </c>
      <c r="O104" s="2" t="s">
        <v>12262</v>
      </c>
      <c r="P104" s="2" t="s">
        <v>12263</v>
      </c>
      <c r="Q104" s="2" t="s">
        <v>12264</v>
      </c>
      <c r="R104" s="2" t="s">
        <v>794</v>
      </c>
      <c r="S104" s="2" t="s">
        <v>795</v>
      </c>
      <c r="T104" s="2" t="s">
        <v>1870</v>
      </c>
      <c r="U104" s="2" t="s">
        <v>951</v>
      </c>
      <c r="V104" s="2" t="s">
        <v>24</v>
      </c>
      <c r="W104" s="2" t="s">
        <v>56</v>
      </c>
    </row>
    <row r="105">
      <c r="A105" s="2" t="n">
        <v>73</v>
      </c>
      <c r="B105" s="2" t="s">
        <v>12265</v>
      </c>
      <c r="C105" s="2" t="s">
        <v>950</v>
      </c>
      <c r="D105" s="2" t="n">
        <v>145.087018314</v>
      </c>
      <c r="E105" s="2" t="n">
        <v>15.2368750585831</v>
      </c>
      <c r="F105" s="2" t="s">
        <v>12266</v>
      </c>
      <c r="G105" s="2" t="n">
        <v>47859</v>
      </c>
      <c r="H105" s="3" t="str">
        <f>HYPERLINK("http://funmeta.oebiotech.com/network/47859", "http://funmeta.oebiotech.com/network/47859")</f>
      </c>
      <c r="I105" s="2" t="s">
        <v>12267</v>
      </c>
      <c r="J105" s="2" t="s">
        <v>12268</v>
      </c>
      <c r="K105" s="2"/>
      <c r="L105" s="2"/>
      <c r="M105" s="2" t="s">
        <v>12269</v>
      </c>
      <c r="N105" s="2" t="s">
        <v>12270</v>
      </c>
      <c r="O105" s="2" t="s">
        <v>12271</v>
      </c>
      <c r="P105" s="2" t="s">
        <v>12272</v>
      </c>
      <c r="Q105" s="2" t="s">
        <v>12273</v>
      </c>
      <c r="R105" s="2" t="s">
        <v>36</v>
      </c>
      <c r="S105" s="2" t="s">
        <v>82</v>
      </c>
      <c r="T105" s="2" t="s">
        <v>1594</v>
      </c>
      <c r="U105" s="2" t="s">
        <v>951</v>
      </c>
      <c r="V105" s="2" t="s">
        <v>24</v>
      </c>
      <c r="W105" s="2" t="s">
        <v>56</v>
      </c>
    </row>
    <row r="106">
      <c r="A106" s="2" t="n">
        <v>74</v>
      </c>
      <c r="B106" s="2" t="s">
        <v>12274</v>
      </c>
      <c r="C106" s="2" t="s">
        <v>965</v>
      </c>
      <c r="D106" s="2" t="n">
        <v>145.102274448</v>
      </c>
      <c r="E106" s="2" t="n">
        <v>0.099150045450796</v>
      </c>
      <c r="F106" s="2" t="s">
        <v>967</v>
      </c>
      <c r="G106" s="2" t="n">
        <v>83332</v>
      </c>
      <c r="H106" s="3" t="str">
        <f>HYPERLINK("http://funmeta.oebiotech.com/network/83332", "http://funmeta.oebiotech.com/network/83332")</f>
      </c>
      <c r="I106" s="2" t="s">
        <v>969</v>
      </c>
      <c r="J106" s="2"/>
      <c r="K106" s="2"/>
      <c r="L106" s="2"/>
      <c r="M106" s="2"/>
      <c r="N106" s="2" t="s">
        <v>970</v>
      </c>
      <c r="O106" s="2"/>
      <c r="P106" s="2" t="s">
        <v>971</v>
      </c>
      <c r="Q106" s="2" t="s">
        <v>972</v>
      </c>
      <c r="R106" s="2" t="s">
        <v>186</v>
      </c>
      <c r="S106" s="2" t="s">
        <v>187</v>
      </c>
      <c r="T106" s="2" t="s">
        <v>215</v>
      </c>
      <c r="U106" s="2" t="s">
        <v>966</v>
      </c>
      <c r="V106" s="2" t="s">
        <v>24</v>
      </c>
      <c r="W106" s="2" t="s">
        <v>56</v>
      </c>
    </row>
    <row r="107">
      <c r="A107" s="2" t="n">
        <v>75</v>
      </c>
      <c r="B107" s="2" t="s">
        <v>12275</v>
      </c>
      <c r="C107" s="2" t="s">
        <v>973</v>
      </c>
      <c r="D107" s="2" t="n">
        <v>146.001249751</v>
      </c>
      <c r="E107" s="2" t="n">
        <v>0.388473154123048</v>
      </c>
      <c r="F107" s="2" t="s">
        <v>12276</v>
      </c>
      <c r="G107" s="2" t="n">
        <v>209873</v>
      </c>
      <c r="H107" s="3" t="str">
        <f>HYPERLINK("http://funmeta.oebiotech.com/network/209873", "http://funmeta.oebiotech.com/network/209873")</f>
      </c>
      <c r="I107" s="2" t="s">
        <v>12277</v>
      </c>
      <c r="J107" s="2"/>
      <c r="K107" s="2"/>
      <c r="L107" s="2"/>
      <c r="M107" s="2"/>
      <c r="N107" s="2" t="s">
        <v>12278</v>
      </c>
      <c r="O107" s="2"/>
      <c r="P107" s="2" t="s">
        <v>12279</v>
      </c>
      <c r="Q107" s="2" t="s">
        <v>12280</v>
      </c>
      <c r="R107" s="2" t="s">
        <v>114</v>
      </c>
      <c r="S107" s="2" t="s">
        <v>12281</v>
      </c>
      <c r="T107" s="2" t="s">
        <v>215</v>
      </c>
      <c r="U107" s="2" t="s">
        <v>974</v>
      </c>
      <c r="V107" s="2" t="s">
        <v>205</v>
      </c>
      <c r="W107" s="2"/>
    </row>
    <row r="108">
      <c r="A108" s="2" t="n">
        <v>75</v>
      </c>
      <c r="B108" s="2" t="s">
        <v>12282</v>
      </c>
      <c r="C108" s="2" t="s">
        <v>973</v>
      </c>
      <c r="D108" s="2" t="n">
        <v>146.001249751</v>
      </c>
      <c r="E108" s="2" t="n">
        <v>0.388473154123048</v>
      </c>
      <c r="F108" s="2" t="s">
        <v>12283</v>
      </c>
      <c r="G108" s="2" t="n">
        <v>213514</v>
      </c>
      <c r="H108" s="3" t="str">
        <f>HYPERLINK("http://funmeta.oebiotech.com/network/213514", "http://funmeta.oebiotech.com/network/213514")</f>
      </c>
      <c r="I108" s="2" t="s">
        <v>12284</v>
      </c>
      <c r="J108" s="2"/>
      <c r="K108" s="2"/>
      <c r="L108" s="2"/>
      <c r="M108" s="2"/>
      <c r="N108" s="2" t="s">
        <v>12285</v>
      </c>
      <c r="O108" s="2"/>
      <c r="P108" s="2" t="s">
        <v>12286</v>
      </c>
      <c r="Q108" s="2" t="s">
        <v>12287</v>
      </c>
      <c r="R108" s="2" t="s">
        <v>114</v>
      </c>
      <c r="S108" s="2" t="s">
        <v>12281</v>
      </c>
      <c r="T108" s="2" t="s">
        <v>215</v>
      </c>
      <c r="U108" s="2" t="s">
        <v>974</v>
      </c>
      <c r="V108" s="2" t="s">
        <v>205</v>
      </c>
      <c r="W108" s="2"/>
    </row>
    <row r="109">
      <c r="A109" s="2" t="n">
        <v>76</v>
      </c>
      <c r="B109" s="2" t="s">
        <v>12288</v>
      </c>
      <c r="C109" s="2" t="s">
        <v>982</v>
      </c>
      <c r="D109" s="2" t="n">
        <v>146.024752409</v>
      </c>
      <c r="E109" s="2" t="n">
        <v>9.81708999151178</v>
      </c>
      <c r="F109" s="2" t="s">
        <v>984</v>
      </c>
      <c r="G109" s="2" t="n">
        <v>48871</v>
      </c>
      <c r="H109" s="3" t="str">
        <f>HYPERLINK("http://funmeta.oebiotech.com/network/48871", "http://funmeta.oebiotech.com/network/48871")</f>
      </c>
      <c r="I109" s="2" t="s">
        <v>986</v>
      </c>
      <c r="J109" s="2" t="s">
        <v>987</v>
      </c>
      <c r="K109" s="2"/>
      <c r="L109" s="2" t="s">
        <v>988</v>
      </c>
      <c r="M109" s="2" t="s">
        <v>989</v>
      </c>
      <c r="N109" s="2" t="s">
        <v>990</v>
      </c>
      <c r="O109" s="2" t="s">
        <v>991</v>
      </c>
      <c r="P109" s="2" t="s">
        <v>992</v>
      </c>
      <c r="Q109" s="2" t="s">
        <v>993</v>
      </c>
      <c r="R109" s="2" t="s">
        <v>114</v>
      </c>
      <c r="S109" s="2" t="s">
        <v>994</v>
      </c>
      <c r="T109" s="2" t="s">
        <v>215</v>
      </c>
      <c r="U109" s="2" t="s">
        <v>983</v>
      </c>
      <c r="V109" s="2" t="s">
        <v>24</v>
      </c>
      <c r="W109" s="2" t="s">
        <v>56</v>
      </c>
    </row>
    <row r="110">
      <c r="A110" s="2" t="n">
        <v>77</v>
      </c>
      <c r="B110" s="2" t="s">
        <v>12289</v>
      </c>
      <c r="C110" s="2" t="s">
        <v>995</v>
      </c>
      <c r="D110" s="2" t="n">
        <v>146.045881781</v>
      </c>
      <c r="E110" s="2" t="n">
        <v>10.4201191354064</v>
      </c>
      <c r="F110" s="2" t="s">
        <v>997</v>
      </c>
      <c r="G110" s="2" t="n">
        <v>46895</v>
      </c>
      <c r="H110" s="3" t="str">
        <f>HYPERLINK("http://funmeta.oebiotech.com/network/46895", "http://funmeta.oebiotech.com/network/46895")</f>
      </c>
      <c r="I110" s="2" t="s">
        <v>999</v>
      </c>
      <c r="J110" s="2" t="s">
        <v>1000</v>
      </c>
      <c r="K110" s="2"/>
      <c r="L110" s="2" t="s">
        <v>1001</v>
      </c>
      <c r="M110" s="2" t="s">
        <v>1002</v>
      </c>
      <c r="N110" s="2" t="s">
        <v>1003</v>
      </c>
      <c r="O110" s="2" t="s">
        <v>1004</v>
      </c>
      <c r="P110" s="2" t="s">
        <v>1005</v>
      </c>
      <c r="Q110" s="2" t="s">
        <v>1006</v>
      </c>
      <c r="R110" s="2" t="s">
        <v>36</v>
      </c>
      <c r="S110" s="2" t="s">
        <v>37</v>
      </c>
      <c r="T110" s="2" t="s">
        <v>69</v>
      </c>
      <c r="U110" s="2" t="s">
        <v>996</v>
      </c>
      <c r="V110" s="2" t="s">
        <v>24</v>
      </c>
      <c r="W110" s="2" t="s">
        <v>39</v>
      </c>
    </row>
    <row r="111">
      <c r="A111" s="2" t="n">
        <v>78</v>
      </c>
      <c r="B111" s="2" t="s">
        <v>12290</v>
      </c>
      <c r="C111" s="2" t="s">
        <v>1007</v>
      </c>
      <c r="D111" s="2" t="n">
        <v>146.985445994</v>
      </c>
      <c r="E111" s="2" t="n">
        <v>0.57238047411399</v>
      </c>
      <c r="F111" s="2" t="s">
        <v>1009</v>
      </c>
      <c r="G111" s="2" t="n">
        <v>47125</v>
      </c>
      <c r="H111" s="3" t="str">
        <f>HYPERLINK("http://funmeta.oebiotech.com/network/47125", "http://funmeta.oebiotech.com/network/47125")</f>
      </c>
      <c r="I111" s="2" t="s">
        <v>1011</v>
      </c>
      <c r="J111" s="2" t="s">
        <v>1012</v>
      </c>
      <c r="K111" s="2"/>
      <c r="L111" s="2" t="s">
        <v>1013</v>
      </c>
      <c r="M111" s="2" t="s">
        <v>1014</v>
      </c>
      <c r="N111" s="2" t="s">
        <v>1015</v>
      </c>
      <c r="O111" s="2" t="s">
        <v>1016</v>
      </c>
      <c r="P111" s="2" t="s">
        <v>1017</v>
      </c>
      <c r="Q111" s="2" t="s">
        <v>1018</v>
      </c>
      <c r="R111" s="2" t="s">
        <v>114</v>
      </c>
      <c r="S111" s="2" t="s">
        <v>1019</v>
      </c>
      <c r="T111" s="2" t="s">
        <v>1020</v>
      </c>
      <c r="U111" s="2" t="s">
        <v>1008</v>
      </c>
      <c r="V111" s="2" t="s">
        <v>86</v>
      </c>
      <c r="W111" s="2" t="s">
        <v>56</v>
      </c>
    </row>
    <row r="112">
      <c r="A112" s="2" t="n">
        <v>79</v>
      </c>
      <c r="B112" s="2" t="s">
        <v>12291</v>
      </c>
      <c r="C112" s="2" t="s">
        <v>1021</v>
      </c>
      <c r="D112" s="2" t="n">
        <v>147.032027127</v>
      </c>
      <c r="E112" s="2" t="n">
        <v>2.30142747710689</v>
      </c>
      <c r="F112" s="2" t="s">
        <v>1023</v>
      </c>
      <c r="G112" s="2" t="n">
        <v>52146</v>
      </c>
      <c r="H112" s="3" t="str">
        <f>HYPERLINK("http://funmeta.oebiotech.com/network/52146", "http://funmeta.oebiotech.com/network/52146")</f>
      </c>
      <c r="I112" s="2" t="s">
        <v>1025</v>
      </c>
      <c r="J112" s="2"/>
      <c r="K112" s="2"/>
      <c r="L112" s="2"/>
      <c r="M112" s="2"/>
      <c r="N112" s="2"/>
      <c r="O112" s="2"/>
      <c r="P112" s="2" t="s">
        <v>1026</v>
      </c>
      <c r="Q112" s="2" t="s">
        <v>1027</v>
      </c>
      <c r="R112" s="2" t="s">
        <v>114</v>
      </c>
      <c r="S112" s="2" t="s">
        <v>994</v>
      </c>
      <c r="T112" s="2" t="s">
        <v>1028</v>
      </c>
      <c r="U112" s="2" t="s">
        <v>1022</v>
      </c>
      <c r="V112" s="2" t="s">
        <v>161</v>
      </c>
      <c r="W112" s="2" t="s">
        <v>56</v>
      </c>
    </row>
    <row r="113">
      <c r="A113" s="2" t="n">
        <v>80</v>
      </c>
      <c r="B113" s="2" t="s">
        <v>12292</v>
      </c>
      <c r="C113" s="2" t="s">
        <v>1029</v>
      </c>
      <c r="D113" s="2" t="n">
        <v>147.069450394</v>
      </c>
      <c r="E113" s="2" t="n">
        <v>12.2469376147535</v>
      </c>
      <c r="F113" s="2" t="s">
        <v>1031</v>
      </c>
      <c r="G113" s="2" t="n">
        <v>199732</v>
      </c>
      <c r="H113" s="3" t="str">
        <f>HYPERLINK("http://funmeta.oebiotech.com/network/199732", "http://funmeta.oebiotech.com/network/199732")</f>
      </c>
      <c r="I113" s="2" t="s">
        <v>1033</v>
      </c>
      <c r="J113" s="2"/>
      <c r="K113" s="2"/>
      <c r="L113" s="2"/>
      <c r="M113" s="2" t="s">
        <v>1034</v>
      </c>
      <c r="N113" s="2" t="s">
        <v>1035</v>
      </c>
      <c r="O113" s="2"/>
      <c r="P113" s="2" t="s">
        <v>1036</v>
      </c>
      <c r="Q113" s="2" t="s">
        <v>1037</v>
      </c>
      <c r="R113" s="2" t="s">
        <v>114</v>
      </c>
      <c r="S113" s="2" t="s">
        <v>1038</v>
      </c>
      <c r="T113" s="2" t="s">
        <v>1039</v>
      </c>
      <c r="U113" s="2" t="s">
        <v>1030</v>
      </c>
      <c r="V113" s="2" t="s">
        <v>86</v>
      </c>
      <c r="W113" s="2"/>
    </row>
    <row r="114">
      <c r="A114" s="2" t="n">
        <v>81</v>
      </c>
      <c r="B114" s="2" t="s">
        <v>12293</v>
      </c>
      <c r="C114" s="2" t="s">
        <v>1040</v>
      </c>
      <c r="D114" s="2" t="n">
        <v>148.043768983</v>
      </c>
      <c r="E114" s="2" t="n">
        <v>0.561946362401912</v>
      </c>
      <c r="F114" s="2" t="s">
        <v>1042</v>
      </c>
      <c r="G114" s="2" t="n">
        <v>56166</v>
      </c>
      <c r="H114" s="3" t="str">
        <f>HYPERLINK("http://funmeta.oebiotech.com/network/56166", "http://funmeta.oebiotech.com/network/56166")</f>
      </c>
      <c r="I114" s="2" t="s">
        <v>1044</v>
      </c>
      <c r="J114" s="2" t="s">
        <v>1045</v>
      </c>
      <c r="K114" s="2"/>
      <c r="L114" s="2"/>
      <c r="M114" s="2" t="s">
        <v>1046</v>
      </c>
      <c r="N114" s="2" t="s">
        <v>1047</v>
      </c>
      <c r="O114" s="2"/>
      <c r="P114" s="2" t="s">
        <v>1048</v>
      </c>
      <c r="Q114" s="2" t="s">
        <v>1049</v>
      </c>
      <c r="R114" s="2" t="s">
        <v>114</v>
      </c>
      <c r="S114" s="2" t="s">
        <v>1050</v>
      </c>
      <c r="T114" s="2" t="s">
        <v>1051</v>
      </c>
      <c r="U114" s="2" t="s">
        <v>1041</v>
      </c>
      <c r="V114" s="2" t="s">
        <v>205</v>
      </c>
      <c r="W114" s="2" t="s">
        <v>56</v>
      </c>
    </row>
    <row r="115">
      <c r="A115" s="2" t="n">
        <v>82</v>
      </c>
      <c r="B115" s="2" t="s">
        <v>12294</v>
      </c>
      <c r="C115" s="2" t="s">
        <v>1052</v>
      </c>
      <c r="D115" s="2" t="n">
        <v>149.046884834</v>
      </c>
      <c r="E115" s="2" t="n">
        <v>0.11175907056472</v>
      </c>
      <c r="F115" s="2" t="s">
        <v>1054</v>
      </c>
      <c r="G115" s="2" t="n">
        <v>52193</v>
      </c>
      <c r="H115" s="3" t="str">
        <f>HYPERLINK("http://funmeta.oebiotech.com/network/52193", "http://funmeta.oebiotech.com/network/52193")</f>
      </c>
      <c r="I115" s="2" t="s">
        <v>1056</v>
      </c>
      <c r="J115" s="2" t="s">
        <v>1057</v>
      </c>
      <c r="K115" s="2"/>
      <c r="L115" s="2"/>
      <c r="M115" s="2" t="s">
        <v>1058</v>
      </c>
      <c r="N115" s="2" t="s">
        <v>1059</v>
      </c>
      <c r="O115" s="2" t="s">
        <v>1060</v>
      </c>
      <c r="P115" s="2" t="s">
        <v>1061</v>
      </c>
      <c r="Q115" s="2" t="s">
        <v>1062</v>
      </c>
      <c r="R115" s="2" t="s">
        <v>114</v>
      </c>
      <c r="S115" s="2" t="s">
        <v>730</v>
      </c>
      <c r="T115" s="2" t="s">
        <v>731</v>
      </c>
      <c r="U115" s="2" t="s">
        <v>1053</v>
      </c>
      <c r="V115" s="2" t="s">
        <v>24</v>
      </c>
      <c r="W115" s="2" t="s">
        <v>56</v>
      </c>
    </row>
    <row r="116">
      <c r="A116" s="2" t="n">
        <v>83</v>
      </c>
      <c r="B116" s="2" t="s">
        <v>12295</v>
      </c>
      <c r="C116" s="2" t="s">
        <v>1063</v>
      </c>
      <c r="D116" s="2" t="n">
        <v>150.019667025</v>
      </c>
      <c r="E116" s="2" t="n">
        <v>1.9651382656113</v>
      </c>
      <c r="F116" s="2" t="s">
        <v>12296</v>
      </c>
      <c r="G116" s="2" t="n">
        <v>201323</v>
      </c>
      <c r="H116" s="3" t="str">
        <f>HYPERLINK("http://funmeta.oebiotech.com/network/201323", "http://funmeta.oebiotech.com/network/201323")</f>
      </c>
      <c r="I116" s="2" t="s">
        <v>12297</v>
      </c>
      <c r="J116" s="2" t="s">
        <v>12298</v>
      </c>
      <c r="K116" s="2"/>
      <c r="L116" s="2"/>
      <c r="M116" s="2"/>
      <c r="N116" s="2" t="s">
        <v>12299</v>
      </c>
      <c r="O116" s="2"/>
      <c r="P116" s="2" t="s">
        <v>12300</v>
      </c>
      <c r="Q116" s="2" t="s">
        <v>12301</v>
      </c>
      <c r="R116" s="2" t="s">
        <v>186</v>
      </c>
      <c r="S116" s="2" t="s">
        <v>187</v>
      </c>
      <c r="T116" s="2" t="s">
        <v>1206</v>
      </c>
      <c r="U116" s="2" t="s">
        <v>1064</v>
      </c>
      <c r="V116" s="2" t="s">
        <v>24</v>
      </c>
      <c r="W116" s="2"/>
    </row>
    <row r="117">
      <c r="A117" s="2" t="n">
        <v>83</v>
      </c>
      <c r="B117" s="2" t="s">
        <v>12302</v>
      </c>
      <c r="C117" s="2" t="s">
        <v>1063</v>
      </c>
      <c r="D117" s="2" t="n">
        <v>150.019667031</v>
      </c>
      <c r="E117" s="2" t="n">
        <v>1.9651382656113</v>
      </c>
      <c r="F117" s="2" t="s">
        <v>12303</v>
      </c>
      <c r="G117" s="2" t="n">
        <v>201865</v>
      </c>
      <c r="H117" s="3" t="str">
        <f>HYPERLINK("http://funmeta.oebiotech.com/network/201865", "http://funmeta.oebiotech.com/network/201865")</f>
      </c>
      <c r="I117" s="2" t="s">
        <v>12304</v>
      </c>
      <c r="J117" s="2"/>
      <c r="K117" s="2"/>
      <c r="L117" s="2"/>
      <c r="M117" s="2" t="s">
        <v>12305</v>
      </c>
      <c r="N117" s="2"/>
      <c r="O117" s="2"/>
      <c r="P117" s="2" t="s">
        <v>12306</v>
      </c>
      <c r="Q117" s="2" t="s">
        <v>12307</v>
      </c>
      <c r="R117" s="2" t="s">
        <v>186</v>
      </c>
      <c r="S117" s="2" t="s">
        <v>187</v>
      </c>
      <c r="T117" s="2" t="s">
        <v>1206</v>
      </c>
      <c r="U117" s="2" t="s">
        <v>1064</v>
      </c>
      <c r="V117" s="2" t="s">
        <v>24</v>
      </c>
      <c r="W117" s="2"/>
    </row>
    <row r="118">
      <c r="A118" s="2" t="n">
        <v>84</v>
      </c>
      <c r="B118" s="2" t="s">
        <v>12308</v>
      </c>
      <c r="C118" s="2" t="s">
        <v>1074</v>
      </c>
      <c r="D118" s="2" t="n">
        <v>151.02797951</v>
      </c>
      <c r="E118" s="2" t="n">
        <v>0.182049872722948</v>
      </c>
      <c r="F118" s="2" t="s">
        <v>1076</v>
      </c>
      <c r="G118" s="2" t="n">
        <v>82390</v>
      </c>
      <c r="H118" s="3" t="str">
        <f>HYPERLINK("http://funmeta.oebiotech.com/network/82390", "http://funmeta.oebiotech.com/network/82390")</f>
      </c>
      <c r="I118" s="2" t="s">
        <v>1078</v>
      </c>
      <c r="J118" s="2" t="s">
        <v>1079</v>
      </c>
      <c r="K118" s="2"/>
      <c r="L118" s="2" t="s">
        <v>1080</v>
      </c>
      <c r="M118" s="2"/>
      <c r="N118" s="2" t="s">
        <v>1081</v>
      </c>
      <c r="O118" s="2" t="s">
        <v>1082</v>
      </c>
      <c r="P118" s="2" t="s">
        <v>1083</v>
      </c>
      <c r="Q118" s="2" t="s">
        <v>1084</v>
      </c>
      <c r="R118" s="2" t="s">
        <v>601</v>
      </c>
      <c r="S118" s="2" t="s">
        <v>602</v>
      </c>
      <c r="T118" s="2" t="s">
        <v>603</v>
      </c>
      <c r="U118" s="2" t="s">
        <v>1075</v>
      </c>
      <c r="V118" s="2" t="s">
        <v>86</v>
      </c>
      <c r="W118" s="2" t="s">
        <v>56</v>
      </c>
    </row>
    <row r="119">
      <c r="A119" s="2" t="n">
        <v>85</v>
      </c>
      <c r="B119" s="2" t="s">
        <v>12309</v>
      </c>
      <c r="C119" s="2" t="s">
        <v>1085</v>
      </c>
      <c r="D119" s="2" t="n">
        <v>151.112839134</v>
      </c>
      <c r="E119" s="2" t="n">
        <v>2.06933805196964</v>
      </c>
      <c r="F119" s="2" t="s">
        <v>1087</v>
      </c>
      <c r="G119" s="2" t="n">
        <v>35435</v>
      </c>
      <c r="H119" s="3" t="str">
        <f>HYPERLINK("http://funmeta.oebiotech.com/network/35435", "http://funmeta.oebiotech.com/network/35435")</f>
      </c>
      <c r="I119" s="2" t="s">
        <v>1089</v>
      </c>
      <c r="J119" s="2" t="s">
        <v>1090</v>
      </c>
      <c r="K119" s="2" t="s">
        <v>1091</v>
      </c>
      <c r="L119" s="2" t="s">
        <v>1092</v>
      </c>
      <c r="M119" s="2" t="s">
        <v>1093</v>
      </c>
      <c r="N119" s="2" t="s">
        <v>1094</v>
      </c>
      <c r="O119" s="2" t="s">
        <v>1095</v>
      </c>
      <c r="P119" s="2" t="s">
        <v>1096</v>
      </c>
      <c r="Q119" s="2" t="s">
        <v>1097</v>
      </c>
      <c r="R119" s="2" t="s">
        <v>794</v>
      </c>
      <c r="S119" s="2" t="s">
        <v>1098</v>
      </c>
      <c r="T119" s="2" t="s">
        <v>1099</v>
      </c>
      <c r="U119" s="2" t="s">
        <v>1086</v>
      </c>
      <c r="V119" s="2" t="s">
        <v>24</v>
      </c>
      <c r="W119" s="2" t="s">
        <v>56</v>
      </c>
    </row>
    <row r="120">
      <c r="A120" s="2" t="n">
        <v>86</v>
      </c>
      <c r="B120" s="2" t="s">
        <v>12310</v>
      </c>
      <c r="C120" s="2" t="s">
        <v>1100</v>
      </c>
      <c r="D120" s="2" t="n">
        <v>152.995834323</v>
      </c>
      <c r="E120" s="2" t="n">
        <v>11.9259043363323</v>
      </c>
      <c r="F120" s="2" t="s">
        <v>1102</v>
      </c>
      <c r="G120" s="2" t="n">
        <v>200732</v>
      </c>
      <c r="H120" s="3" t="str">
        <f>HYPERLINK("http://funmeta.oebiotech.com/network/200732", "http://funmeta.oebiotech.com/network/200732")</f>
      </c>
      <c r="I120" s="2" t="s">
        <v>1104</v>
      </c>
      <c r="J120" s="2"/>
      <c r="K120" s="2"/>
      <c r="L120" s="2"/>
      <c r="M120" s="2"/>
      <c r="N120" s="2" t="s">
        <v>1105</v>
      </c>
      <c r="O120" s="2"/>
      <c r="P120" s="2" t="s">
        <v>1106</v>
      </c>
      <c r="Q120" s="2" t="s">
        <v>1107</v>
      </c>
      <c r="R120" s="2" t="s">
        <v>36</v>
      </c>
      <c r="S120" s="2" t="s">
        <v>1108</v>
      </c>
      <c r="T120" s="2" t="s">
        <v>1109</v>
      </c>
      <c r="U120" s="2" t="s">
        <v>1101</v>
      </c>
      <c r="V120" s="2" t="s">
        <v>24</v>
      </c>
      <c r="W120" s="2"/>
    </row>
    <row r="121">
      <c r="A121" s="2" t="n">
        <v>87</v>
      </c>
      <c r="B121" s="2" t="s">
        <v>12311</v>
      </c>
      <c r="C121" s="2" t="s">
        <v>1110</v>
      </c>
      <c r="D121" s="2" t="n">
        <v>153.030015754</v>
      </c>
      <c r="E121" s="2" t="n">
        <v>4.27854113098336</v>
      </c>
      <c r="F121" s="2" t="s">
        <v>1112</v>
      </c>
      <c r="G121" s="2" t="n">
        <v>47456</v>
      </c>
      <c r="H121" s="3" t="str">
        <f>HYPERLINK("http://funmeta.oebiotech.com/network/47456", "http://funmeta.oebiotech.com/network/47456")</f>
      </c>
      <c r="I121" s="2" t="s">
        <v>1114</v>
      </c>
      <c r="J121" s="2" t="s">
        <v>1115</v>
      </c>
      <c r="K121" s="2"/>
      <c r="L121" s="2" t="s">
        <v>1116</v>
      </c>
      <c r="M121" s="2" t="s">
        <v>1117</v>
      </c>
      <c r="N121" s="2" t="s">
        <v>1118</v>
      </c>
      <c r="O121" s="2" t="s">
        <v>1119</v>
      </c>
      <c r="P121" s="2" t="s">
        <v>1120</v>
      </c>
      <c r="Q121" s="2" t="s">
        <v>1121</v>
      </c>
      <c r="R121" s="2" t="s">
        <v>114</v>
      </c>
      <c r="S121" s="2" t="s">
        <v>1050</v>
      </c>
      <c r="T121" s="2" t="s">
        <v>1122</v>
      </c>
      <c r="U121" s="2" t="s">
        <v>1111</v>
      </c>
      <c r="V121" s="2" t="s">
        <v>161</v>
      </c>
      <c r="W121" s="2" t="s">
        <v>56</v>
      </c>
    </row>
    <row r="122">
      <c r="A122" s="2" t="n">
        <v>88</v>
      </c>
      <c r="B122" s="2" t="s">
        <v>12312</v>
      </c>
      <c r="C122" s="2" t="s">
        <v>1123</v>
      </c>
      <c r="D122" s="2" t="n">
        <v>153.092103692</v>
      </c>
      <c r="E122" s="2" t="n">
        <v>2.98600412295297</v>
      </c>
      <c r="F122" s="2" t="s">
        <v>12313</v>
      </c>
      <c r="G122" s="2" t="n">
        <v>7474</v>
      </c>
      <c r="H122" s="3" t="str">
        <f>HYPERLINK("http://funmeta.oebiotech.com/network/7474", "http://funmeta.oebiotech.com/network/7474")</f>
      </c>
      <c r="I122" s="2" t="s">
        <v>12314</v>
      </c>
      <c r="J122" s="2" t="s">
        <v>12315</v>
      </c>
      <c r="K122" s="2" t="s">
        <v>12316</v>
      </c>
      <c r="L122" s="2"/>
      <c r="M122" s="2"/>
      <c r="N122" s="2" t="s">
        <v>12317</v>
      </c>
      <c r="O122" s="2"/>
      <c r="P122" s="2" t="s">
        <v>12318</v>
      </c>
      <c r="Q122" s="2" t="s">
        <v>12319</v>
      </c>
      <c r="R122" s="2" t="s">
        <v>794</v>
      </c>
      <c r="S122" s="2" t="s">
        <v>795</v>
      </c>
      <c r="T122" s="2" t="s">
        <v>1870</v>
      </c>
      <c r="U122" s="2" t="s">
        <v>1124</v>
      </c>
      <c r="V122" s="2" t="s">
        <v>24</v>
      </c>
      <c r="W122" s="2" t="s">
        <v>56</v>
      </c>
    </row>
    <row r="123">
      <c r="A123" s="2" t="n">
        <v>88</v>
      </c>
      <c r="B123" s="2" t="s">
        <v>12320</v>
      </c>
      <c r="C123" s="2" t="s">
        <v>1123</v>
      </c>
      <c r="D123" s="2" t="n">
        <v>153.092103692</v>
      </c>
      <c r="E123" s="2" t="n">
        <v>2.98600412295297</v>
      </c>
      <c r="F123" s="2" t="s">
        <v>12321</v>
      </c>
      <c r="G123" s="2" t="n">
        <v>7761</v>
      </c>
      <c r="H123" s="3" t="str">
        <f>HYPERLINK("http://funmeta.oebiotech.com/network/7761", "http://funmeta.oebiotech.com/network/7761")</f>
      </c>
      <c r="I123" s="2" t="s">
        <v>12322</v>
      </c>
      <c r="J123" s="2" t="s">
        <v>12323</v>
      </c>
      <c r="K123" s="2" t="s">
        <v>12324</v>
      </c>
      <c r="L123" s="2"/>
      <c r="M123" s="2"/>
      <c r="N123" s="2" t="s">
        <v>12325</v>
      </c>
      <c r="O123" s="2" t="s">
        <v>12326</v>
      </c>
      <c r="P123" s="2" t="s">
        <v>12327</v>
      </c>
      <c r="Q123" s="2" t="s">
        <v>12328</v>
      </c>
      <c r="R123" s="2" t="s">
        <v>114</v>
      </c>
      <c r="S123" s="2" t="s">
        <v>115</v>
      </c>
      <c r="T123" s="2" t="s">
        <v>116</v>
      </c>
      <c r="U123" s="2" t="s">
        <v>1124</v>
      </c>
      <c r="V123" s="2" t="s">
        <v>24</v>
      </c>
      <c r="W123" s="2" t="s">
        <v>56</v>
      </c>
    </row>
    <row r="124">
      <c r="A124" s="2" t="n">
        <v>88</v>
      </c>
      <c r="B124" s="2" t="s">
        <v>12329</v>
      </c>
      <c r="C124" s="2" t="s">
        <v>1123</v>
      </c>
      <c r="D124" s="2" t="n">
        <v>153.092103692</v>
      </c>
      <c r="E124" s="2" t="n">
        <v>2.98600412295297</v>
      </c>
      <c r="F124" s="2" t="s">
        <v>12330</v>
      </c>
      <c r="G124" s="2" t="n">
        <v>56692</v>
      </c>
      <c r="H124" s="3" t="str">
        <f>HYPERLINK("http://funmeta.oebiotech.com/network/56692", "http://funmeta.oebiotech.com/network/56692")</f>
      </c>
      <c r="I124" s="2" t="s">
        <v>12331</v>
      </c>
      <c r="J124" s="2" t="s">
        <v>12332</v>
      </c>
      <c r="K124" s="2"/>
      <c r="L124" s="2"/>
      <c r="M124" s="2"/>
      <c r="N124" s="2" t="s">
        <v>12333</v>
      </c>
      <c r="O124" s="2" t="s">
        <v>12334</v>
      </c>
      <c r="P124" s="2" t="s">
        <v>12335</v>
      </c>
      <c r="Q124" s="2" t="s">
        <v>12336</v>
      </c>
      <c r="R124" s="2" t="s">
        <v>36</v>
      </c>
      <c r="S124" s="2" t="s">
        <v>37</v>
      </c>
      <c r="T124" s="2" t="s">
        <v>1217</v>
      </c>
      <c r="U124" s="2" t="s">
        <v>1124</v>
      </c>
      <c r="V124" s="2" t="s">
        <v>24</v>
      </c>
      <c r="W124" s="2" t="s">
        <v>56</v>
      </c>
    </row>
    <row r="125">
      <c r="A125" s="2" t="n">
        <v>89</v>
      </c>
      <c r="B125" s="2" t="s">
        <v>12337</v>
      </c>
      <c r="C125" s="2" t="s">
        <v>1137</v>
      </c>
      <c r="D125" s="2" t="n">
        <v>154.014581653</v>
      </c>
      <c r="E125" s="2" t="n">
        <v>6.50282829285351</v>
      </c>
      <c r="F125" s="2" t="s">
        <v>1139</v>
      </c>
      <c r="G125" s="2" t="n">
        <v>48001</v>
      </c>
      <c r="H125" s="3" t="str">
        <f>HYPERLINK("http://funmeta.oebiotech.com/network/48001", "http://funmeta.oebiotech.com/network/48001")</f>
      </c>
      <c r="I125" s="2" t="s">
        <v>1141</v>
      </c>
      <c r="J125" s="2" t="s">
        <v>1142</v>
      </c>
      <c r="K125" s="2"/>
      <c r="L125" s="2" t="s">
        <v>1143</v>
      </c>
      <c r="M125" s="2" t="s">
        <v>1144</v>
      </c>
      <c r="N125" s="2" t="s">
        <v>1145</v>
      </c>
      <c r="O125" s="2" t="s">
        <v>1146</v>
      </c>
      <c r="P125" s="2" t="s">
        <v>1147</v>
      </c>
      <c r="Q125" s="2" t="s">
        <v>1148</v>
      </c>
      <c r="R125" s="2" t="s">
        <v>186</v>
      </c>
      <c r="S125" s="2" t="s">
        <v>357</v>
      </c>
      <c r="T125" s="2" t="s">
        <v>1149</v>
      </c>
      <c r="U125" s="2" t="s">
        <v>1138</v>
      </c>
      <c r="V125" s="2" t="s">
        <v>24</v>
      </c>
      <c r="W125" s="2" t="s">
        <v>56</v>
      </c>
    </row>
    <row r="126">
      <c r="A126" s="2" t="n">
        <v>90</v>
      </c>
      <c r="B126" s="2" t="s">
        <v>12338</v>
      </c>
      <c r="C126" s="2" t="s">
        <v>1150</v>
      </c>
      <c r="D126" s="2" t="n">
        <v>154.064030663</v>
      </c>
      <c r="E126" s="2" t="n">
        <v>3.28116760571234</v>
      </c>
      <c r="F126" s="2" t="s">
        <v>1152</v>
      </c>
      <c r="G126" s="2" t="n">
        <v>209275</v>
      </c>
      <c r="H126" s="3" t="str">
        <f>HYPERLINK("http://funmeta.oebiotech.com/network/209275", "http://funmeta.oebiotech.com/network/209275")</f>
      </c>
      <c r="I126" s="2" t="s">
        <v>1154</v>
      </c>
      <c r="J126" s="2" t="s">
        <v>1155</v>
      </c>
      <c r="K126" s="2"/>
      <c r="L126" s="2"/>
      <c r="M126" s="2" t="s">
        <v>1156</v>
      </c>
      <c r="N126" s="2" t="s">
        <v>1157</v>
      </c>
      <c r="O126" s="2"/>
      <c r="P126" s="2" t="s">
        <v>1158</v>
      </c>
      <c r="Q126" s="2" t="s">
        <v>1159</v>
      </c>
      <c r="R126" s="2" t="s">
        <v>36</v>
      </c>
      <c r="S126" s="2" t="s">
        <v>1160</v>
      </c>
      <c r="T126" s="2" t="s">
        <v>1161</v>
      </c>
      <c r="U126" s="2" t="s">
        <v>1151</v>
      </c>
      <c r="V126" s="2" t="s">
        <v>86</v>
      </c>
      <c r="W126" s="2"/>
    </row>
    <row r="127">
      <c r="A127" s="2" t="n">
        <v>91</v>
      </c>
      <c r="B127" s="2" t="s">
        <v>12339</v>
      </c>
      <c r="C127" s="2" t="s">
        <v>1162</v>
      </c>
      <c r="D127" s="2" t="n">
        <v>154.9283173</v>
      </c>
      <c r="E127" s="2" t="n">
        <v>5.46848255784516</v>
      </c>
      <c r="F127" s="2" t="s">
        <v>1164</v>
      </c>
      <c r="G127" s="2" t="n">
        <v>200497</v>
      </c>
      <c r="H127" s="3" t="str">
        <f>HYPERLINK("http://funmeta.oebiotech.com/network/200497", "http://funmeta.oebiotech.com/network/200497")</f>
      </c>
      <c r="I127" s="2" t="s">
        <v>1166</v>
      </c>
      <c r="J127" s="2" t="s">
        <v>1167</v>
      </c>
      <c r="K127" s="2"/>
      <c r="L127" s="2" t="s">
        <v>1168</v>
      </c>
      <c r="M127" s="2"/>
      <c r="N127" s="2" t="s">
        <v>1169</v>
      </c>
      <c r="O127" s="2" t="s">
        <v>1170</v>
      </c>
      <c r="P127" s="2" t="s">
        <v>1171</v>
      </c>
      <c r="Q127" s="2" t="s">
        <v>1172</v>
      </c>
      <c r="R127" s="2" t="s">
        <v>213</v>
      </c>
      <c r="S127" s="2" t="s">
        <v>214</v>
      </c>
      <c r="T127" s="2" t="s">
        <v>215</v>
      </c>
      <c r="U127" s="2" t="s">
        <v>1163</v>
      </c>
      <c r="V127" s="2" t="s">
        <v>218</v>
      </c>
      <c r="W127" s="2" t="s">
        <v>101</v>
      </c>
    </row>
    <row r="128">
      <c r="A128" s="2" t="n">
        <v>92</v>
      </c>
      <c r="B128" s="2" t="s">
        <v>12340</v>
      </c>
      <c r="C128" s="2" t="s">
        <v>1173</v>
      </c>
      <c r="D128" s="2" t="n">
        <v>154.976143636</v>
      </c>
      <c r="E128" s="2" t="n">
        <v>12.302875720671</v>
      </c>
      <c r="F128" s="2" t="s">
        <v>12341</v>
      </c>
      <c r="G128" s="2" t="n">
        <v>56025</v>
      </c>
      <c r="H128" s="3" t="str">
        <f>HYPERLINK("http://funmeta.oebiotech.com/network/56025", "http://funmeta.oebiotech.com/network/56025")</f>
      </c>
      <c r="I128" s="2" t="s">
        <v>12342</v>
      </c>
      <c r="J128" s="2" t="s">
        <v>12343</v>
      </c>
      <c r="K128" s="2"/>
      <c r="L128" s="2" t="s">
        <v>12344</v>
      </c>
      <c r="M128" s="2" t="s">
        <v>12345</v>
      </c>
      <c r="N128" s="2" t="s">
        <v>12346</v>
      </c>
      <c r="O128" s="2" t="s">
        <v>12347</v>
      </c>
      <c r="P128" s="2" t="s">
        <v>12348</v>
      </c>
      <c r="Q128" s="2" t="s">
        <v>12349</v>
      </c>
      <c r="R128" s="2" t="s">
        <v>114</v>
      </c>
      <c r="S128" s="2" t="s">
        <v>12350</v>
      </c>
      <c r="T128" s="2" t="s">
        <v>215</v>
      </c>
      <c r="U128" s="2" t="s">
        <v>1174</v>
      </c>
      <c r="V128" s="2" t="s">
        <v>86</v>
      </c>
      <c r="W128" s="2" t="s">
        <v>101</v>
      </c>
    </row>
    <row r="129">
      <c r="A129" s="2" t="n">
        <v>92</v>
      </c>
      <c r="B129" s="2" t="s">
        <v>12351</v>
      </c>
      <c r="C129" s="2" t="s">
        <v>1173</v>
      </c>
      <c r="D129" s="2" t="n">
        <v>154.976143636</v>
      </c>
      <c r="E129" s="2" t="n">
        <v>12.302875720671</v>
      </c>
      <c r="F129" s="2" t="s">
        <v>12352</v>
      </c>
      <c r="G129" s="2" t="n">
        <v>64480</v>
      </c>
      <c r="H129" s="3" t="str">
        <f>HYPERLINK("http://funmeta.oebiotech.com/network/64480", "http://funmeta.oebiotech.com/network/64480")</f>
      </c>
      <c r="I129" s="2" t="s">
        <v>12353</v>
      </c>
      <c r="J129" s="2" t="s">
        <v>12354</v>
      </c>
      <c r="K129" s="2"/>
      <c r="L129" s="2" t="s">
        <v>12355</v>
      </c>
      <c r="M129" s="2" t="s">
        <v>12356</v>
      </c>
      <c r="N129" s="2" t="s">
        <v>12357</v>
      </c>
      <c r="O129" s="2" t="s">
        <v>12358</v>
      </c>
      <c r="P129" s="2" t="s">
        <v>12359</v>
      </c>
      <c r="Q129" s="2" t="s">
        <v>12360</v>
      </c>
      <c r="R129" s="2" t="s">
        <v>644</v>
      </c>
      <c r="S129" s="2" t="s">
        <v>1241</v>
      </c>
      <c r="T129" s="2" t="s">
        <v>215</v>
      </c>
      <c r="U129" s="2" t="s">
        <v>1174</v>
      </c>
      <c r="V129" s="2" t="s">
        <v>86</v>
      </c>
      <c r="W129" s="2" t="s">
        <v>101</v>
      </c>
    </row>
    <row r="130">
      <c r="A130" s="2" t="n">
        <v>93</v>
      </c>
      <c r="B130" s="2" t="s">
        <v>12361</v>
      </c>
      <c r="C130" s="2" t="s">
        <v>1187</v>
      </c>
      <c r="D130" s="2" t="n">
        <v>156.927956952</v>
      </c>
      <c r="E130" s="2" t="n">
        <v>9.91973884321481</v>
      </c>
      <c r="F130" s="2" t="s">
        <v>1189</v>
      </c>
      <c r="G130" s="2" t="n">
        <v>64175</v>
      </c>
      <c r="H130" s="3" t="str">
        <f>HYPERLINK("http://funmeta.oebiotech.com/network/64175", "http://funmeta.oebiotech.com/network/64175")</f>
      </c>
      <c r="I130" s="2" t="s">
        <v>1191</v>
      </c>
      <c r="J130" s="2" t="s">
        <v>1192</v>
      </c>
      <c r="K130" s="2"/>
      <c r="L130" s="2"/>
      <c r="M130" s="2"/>
      <c r="N130" s="2" t="s">
        <v>1193</v>
      </c>
      <c r="O130" s="2" t="s">
        <v>1194</v>
      </c>
      <c r="P130" s="2" t="s">
        <v>1195</v>
      </c>
      <c r="Q130" s="2" t="s">
        <v>1196</v>
      </c>
      <c r="R130" s="2" t="s">
        <v>644</v>
      </c>
      <c r="S130" s="2" t="s">
        <v>1197</v>
      </c>
      <c r="T130" s="2" t="s">
        <v>215</v>
      </c>
      <c r="U130" s="2" t="s">
        <v>1188</v>
      </c>
      <c r="V130" s="2" t="s">
        <v>24</v>
      </c>
      <c r="W130" s="2"/>
    </row>
    <row r="131">
      <c r="A131" s="2" t="n">
        <v>94</v>
      </c>
      <c r="B131" s="2" t="s">
        <v>12362</v>
      </c>
      <c r="C131" s="2" t="s">
        <v>1198</v>
      </c>
      <c r="D131" s="2" t="n">
        <v>156.993605373</v>
      </c>
      <c r="E131" s="2" t="n">
        <v>3.38113364219864</v>
      </c>
      <c r="F131" s="2" t="s">
        <v>1200</v>
      </c>
      <c r="G131" s="2" t="n">
        <v>201062</v>
      </c>
      <c r="H131" s="3" t="str">
        <f>HYPERLINK("http://funmeta.oebiotech.com/network/201062", "http://funmeta.oebiotech.com/network/201062")</f>
      </c>
      <c r="I131" s="2" t="s">
        <v>1202</v>
      </c>
      <c r="J131" s="2"/>
      <c r="K131" s="2"/>
      <c r="L131" s="2"/>
      <c r="M131" s="2"/>
      <c r="N131" s="2" t="s">
        <v>1203</v>
      </c>
      <c r="O131" s="2"/>
      <c r="P131" s="2" t="s">
        <v>1204</v>
      </c>
      <c r="Q131" s="2" t="s">
        <v>1205</v>
      </c>
      <c r="R131" s="2" t="s">
        <v>186</v>
      </c>
      <c r="S131" s="2" t="s">
        <v>187</v>
      </c>
      <c r="T131" s="2" t="s">
        <v>1206</v>
      </c>
      <c r="U131" s="2" t="s">
        <v>1199</v>
      </c>
      <c r="V131" s="2" t="s">
        <v>86</v>
      </c>
      <c r="W131" s="2"/>
    </row>
    <row r="132">
      <c r="A132" s="2" t="n">
        <v>95</v>
      </c>
      <c r="B132" s="2" t="s">
        <v>12363</v>
      </c>
      <c r="C132" s="2" t="s">
        <v>1207</v>
      </c>
      <c r="D132" s="2" t="n">
        <v>157.036709765</v>
      </c>
      <c r="E132" s="2" t="n">
        <v>0.657059978161481</v>
      </c>
      <c r="F132" s="2" t="s">
        <v>1209</v>
      </c>
      <c r="G132" s="2" t="n">
        <v>200321</v>
      </c>
      <c r="H132" s="3" t="str">
        <f>HYPERLINK("http://funmeta.oebiotech.com/network/200321", "http://funmeta.oebiotech.com/network/200321")</f>
      </c>
      <c r="I132" s="2" t="s">
        <v>1211</v>
      </c>
      <c r="J132" s="2" t="s">
        <v>1212</v>
      </c>
      <c r="K132" s="2"/>
      <c r="L132" s="2"/>
      <c r="M132" s="2"/>
      <c r="N132" s="2" t="s">
        <v>1213</v>
      </c>
      <c r="O132" s="2" t="s">
        <v>1214</v>
      </c>
      <c r="P132" s="2" t="s">
        <v>1215</v>
      </c>
      <c r="Q132" s="2" t="s">
        <v>1216</v>
      </c>
      <c r="R132" s="2" t="s">
        <v>36</v>
      </c>
      <c r="S132" s="2" t="s">
        <v>37</v>
      </c>
      <c r="T132" s="2" t="s">
        <v>1217</v>
      </c>
      <c r="U132" s="2" t="s">
        <v>1208</v>
      </c>
      <c r="V132" s="2" t="s">
        <v>205</v>
      </c>
      <c r="W132" s="2"/>
    </row>
    <row r="133">
      <c r="A133" s="2" t="n">
        <v>96</v>
      </c>
      <c r="B133" s="2" t="s">
        <v>12364</v>
      </c>
      <c r="C133" s="2" t="s">
        <v>1218</v>
      </c>
      <c r="D133" s="2" t="n">
        <v>159.033064888</v>
      </c>
      <c r="E133" s="2" t="n">
        <v>3.37545201462286</v>
      </c>
      <c r="F133" s="2" t="s">
        <v>1220</v>
      </c>
      <c r="G133" s="2" t="n">
        <v>48253</v>
      </c>
      <c r="H133" s="3" t="str">
        <f>HYPERLINK("http://funmeta.oebiotech.com/network/48253", "http://funmeta.oebiotech.com/network/48253")</f>
      </c>
      <c r="I133" s="2" t="s">
        <v>1222</v>
      </c>
      <c r="J133" s="2" t="s">
        <v>1223</v>
      </c>
      <c r="K133" s="2"/>
      <c r="L133" s="2" t="s">
        <v>1224</v>
      </c>
      <c r="M133" s="2" t="s">
        <v>1225</v>
      </c>
      <c r="N133" s="2" t="s">
        <v>1226</v>
      </c>
      <c r="O133" s="2" t="s">
        <v>1227</v>
      </c>
      <c r="P133" s="2" t="s">
        <v>1228</v>
      </c>
      <c r="Q133" s="2" t="s">
        <v>1229</v>
      </c>
      <c r="R133" s="2" t="s">
        <v>114</v>
      </c>
      <c r="S133" s="2" t="s">
        <v>172</v>
      </c>
      <c r="T133" s="2" t="s">
        <v>173</v>
      </c>
      <c r="U133" s="2" t="s">
        <v>1219</v>
      </c>
      <c r="V133" s="2" t="s">
        <v>86</v>
      </c>
      <c r="W133" s="2" t="s">
        <v>56</v>
      </c>
    </row>
    <row r="134">
      <c r="A134" s="2" t="n">
        <v>97</v>
      </c>
      <c r="B134" s="2" t="s">
        <v>12365</v>
      </c>
      <c r="C134" s="2" t="s">
        <v>1230</v>
      </c>
      <c r="D134" s="2" t="n">
        <v>159.04852001</v>
      </c>
      <c r="E134" s="2" t="n">
        <v>2.09932478981808</v>
      </c>
      <c r="F134" s="2" t="s">
        <v>1232</v>
      </c>
      <c r="G134" s="2" t="n">
        <v>60239</v>
      </c>
      <c r="H134" s="3" t="str">
        <f>HYPERLINK("http://funmeta.oebiotech.com/network/60239", "http://funmeta.oebiotech.com/network/60239")</f>
      </c>
      <c r="I134" s="2" t="s">
        <v>1234</v>
      </c>
      <c r="J134" s="2" t="s">
        <v>1235</v>
      </c>
      <c r="K134" s="2"/>
      <c r="L134" s="2" t="s">
        <v>1236</v>
      </c>
      <c r="M134" s="2"/>
      <c r="N134" s="2" t="s">
        <v>1237</v>
      </c>
      <c r="O134" s="2" t="s">
        <v>1238</v>
      </c>
      <c r="P134" s="2" t="s">
        <v>1239</v>
      </c>
      <c r="Q134" s="2" t="s">
        <v>1240</v>
      </c>
      <c r="R134" s="2" t="s">
        <v>644</v>
      </c>
      <c r="S134" s="2" t="s">
        <v>1241</v>
      </c>
      <c r="T134" s="2" t="s">
        <v>215</v>
      </c>
      <c r="U134" s="2" t="s">
        <v>1231</v>
      </c>
      <c r="V134" s="2" t="s">
        <v>205</v>
      </c>
      <c r="W134" s="2" t="s">
        <v>56</v>
      </c>
    </row>
    <row r="135">
      <c r="A135" s="2" t="n">
        <v>98</v>
      </c>
      <c r="B135" s="2" t="s">
        <v>12366</v>
      </c>
      <c r="C135" s="2" t="s">
        <v>1242</v>
      </c>
      <c r="D135" s="2" t="n">
        <v>159.067620276</v>
      </c>
      <c r="E135" s="2" t="n">
        <v>2.59821953353293</v>
      </c>
      <c r="F135" s="2" t="s">
        <v>1244</v>
      </c>
      <c r="G135" s="2" t="n">
        <v>53474</v>
      </c>
      <c r="H135" s="3" t="str">
        <f>HYPERLINK("http://funmeta.oebiotech.com/network/53474", "http://funmeta.oebiotech.com/network/53474")</f>
      </c>
      <c r="I135" s="2" t="s">
        <v>1246</v>
      </c>
      <c r="J135" s="2" t="s">
        <v>1247</v>
      </c>
      <c r="K135" s="2"/>
      <c r="L135" s="2" t="s">
        <v>1248</v>
      </c>
      <c r="M135" s="2" t="s">
        <v>1249</v>
      </c>
      <c r="N135" s="2" t="s">
        <v>1250</v>
      </c>
      <c r="O135" s="2" t="s">
        <v>1251</v>
      </c>
      <c r="P135" s="2" t="s">
        <v>1252</v>
      </c>
      <c r="Q135" s="2" t="s">
        <v>1253</v>
      </c>
      <c r="R135" s="2" t="s">
        <v>114</v>
      </c>
      <c r="S135" s="2" t="s">
        <v>1254</v>
      </c>
      <c r="T135" s="2" t="s">
        <v>1255</v>
      </c>
      <c r="U135" s="2" t="s">
        <v>1243</v>
      </c>
      <c r="V135" s="2" t="s">
        <v>24</v>
      </c>
      <c r="W135" s="2" t="s">
        <v>56</v>
      </c>
    </row>
    <row r="136">
      <c r="A136" s="2" t="n">
        <v>99</v>
      </c>
      <c r="B136" s="2" t="s">
        <v>12367</v>
      </c>
      <c r="C136" s="2" t="s">
        <v>1256</v>
      </c>
      <c r="D136" s="2" t="n">
        <v>159.07751626</v>
      </c>
      <c r="E136" s="2" t="n">
        <v>12.0052859239803</v>
      </c>
      <c r="F136" s="2" t="s">
        <v>12368</v>
      </c>
      <c r="G136" s="2" t="n">
        <v>48112</v>
      </c>
      <c r="H136" s="3" t="str">
        <f>HYPERLINK("http://funmeta.oebiotech.com/network/48112", "http://funmeta.oebiotech.com/network/48112")</f>
      </c>
      <c r="I136" s="2" t="s">
        <v>12369</v>
      </c>
      <c r="J136" s="2" t="s">
        <v>12370</v>
      </c>
      <c r="K136" s="2"/>
      <c r="L136" s="2" t="s">
        <v>12371</v>
      </c>
      <c r="M136" s="2" t="s">
        <v>12372</v>
      </c>
      <c r="N136" s="2" t="s">
        <v>12373</v>
      </c>
      <c r="O136" s="2" t="s">
        <v>12374</v>
      </c>
      <c r="P136" s="2" t="s">
        <v>12375</v>
      </c>
      <c r="Q136" s="2" t="s">
        <v>12376</v>
      </c>
      <c r="R136" s="2" t="s">
        <v>36</v>
      </c>
      <c r="S136" s="2" t="s">
        <v>37</v>
      </c>
      <c r="T136" s="2" t="s">
        <v>69</v>
      </c>
      <c r="U136" s="2" t="s">
        <v>1257</v>
      </c>
      <c r="V136" s="2" t="s">
        <v>24</v>
      </c>
      <c r="W136" s="2" t="s">
        <v>56</v>
      </c>
    </row>
    <row r="137">
      <c r="A137" s="2" t="n">
        <v>99</v>
      </c>
      <c r="B137" s="2" t="s">
        <v>12377</v>
      </c>
      <c r="C137" s="2" t="s">
        <v>1256</v>
      </c>
      <c r="D137" s="2" t="n">
        <v>159.07751626</v>
      </c>
      <c r="E137" s="2" t="n">
        <v>12.0052859239803</v>
      </c>
      <c r="F137" s="2" t="s">
        <v>12378</v>
      </c>
      <c r="G137" s="2" t="n">
        <v>55982</v>
      </c>
      <c r="H137" s="3" t="str">
        <f>HYPERLINK("http://funmeta.oebiotech.com/network/55982", "http://funmeta.oebiotech.com/network/55982")</f>
      </c>
      <c r="I137" s="2" t="s">
        <v>12379</v>
      </c>
      <c r="J137" s="2" t="s">
        <v>12380</v>
      </c>
      <c r="K137" s="2"/>
      <c r="L137" s="2" t="s">
        <v>12381</v>
      </c>
      <c r="M137" s="2" t="s">
        <v>12382</v>
      </c>
      <c r="N137" s="2" t="s">
        <v>12383</v>
      </c>
      <c r="O137" s="2" t="s">
        <v>12384</v>
      </c>
      <c r="P137" s="2" t="s">
        <v>12385</v>
      </c>
      <c r="Q137" s="2" t="s">
        <v>12386</v>
      </c>
      <c r="R137" s="2" t="s">
        <v>36</v>
      </c>
      <c r="S137" s="2" t="s">
        <v>37</v>
      </c>
      <c r="T137" s="2" t="s">
        <v>69</v>
      </c>
      <c r="U137" s="2" t="s">
        <v>1257</v>
      </c>
      <c r="V137" s="2" t="s">
        <v>24</v>
      </c>
      <c r="W137" s="2" t="s">
        <v>56</v>
      </c>
    </row>
    <row r="138">
      <c r="A138" s="2" t="n">
        <v>100</v>
      </c>
      <c r="B138" s="2" t="s">
        <v>12387</v>
      </c>
      <c r="C138" s="2" t="s">
        <v>1268</v>
      </c>
      <c r="D138" s="2" t="n">
        <v>160.007383959</v>
      </c>
      <c r="E138" s="2" t="n">
        <v>18.5043402652457</v>
      </c>
      <c r="F138" s="2" t="s">
        <v>12388</v>
      </c>
      <c r="G138" s="2" t="n">
        <v>200659</v>
      </c>
      <c r="H138" s="3" t="str">
        <f>HYPERLINK("http://funmeta.oebiotech.com/network/200659", "http://funmeta.oebiotech.com/network/200659")</f>
      </c>
      <c r="I138" s="2" t="s">
        <v>12389</v>
      </c>
      <c r="J138" s="2"/>
      <c r="K138" s="2"/>
      <c r="L138" s="2"/>
      <c r="M138" s="2" t="s">
        <v>12390</v>
      </c>
      <c r="N138" s="2" t="s">
        <v>12391</v>
      </c>
      <c r="O138" s="2"/>
      <c r="P138" s="2" t="s">
        <v>12392</v>
      </c>
      <c r="Q138" s="2" t="s">
        <v>12393</v>
      </c>
      <c r="R138" s="2" t="s">
        <v>114</v>
      </c>
      <c r="S138" s="2" t="s">
        <v>172</v>
      </c>
      <c r="T138" s="2" t="s">
        <v>4294</v>
      </c>
      <c r="U138" s="2" t="s">
        <v>1269</v>
      </c>
      <c r="V138" s="2" t="s">
        <v>205</v>
      </c>
      <c r="W138" s="2"/>
    </row>
    <row r="139">
      <c r="A139" s="2" t="n">
        <v>100</v>
      </c>
      <c r="B139" s="2" t="s">
        <v>12394</v>
      </c>
      <c r="C139" s="2" t="s">
        <v>1268</v>
      </c>
      <c r="D139" s="2" t="n">
        <v>160.007383959</v>
      </c>
      <c r="E139" s="2" t="n">
        <v>18.5043402652457</v>
      </c>
      <c r="F139" s="2" t="s">
        <v>12395</v>
      </c>
      <c r="G139" s="2" t="n">
        <v>208737</v>
      </c>
      <c r="H139" s="3" t="str">
        <f>HYPERLINK("http://funmeta.oebiotech.com/network/208737", "http://funmeta.oebiotech.com/network/208737")</f>
      </c>
      <c r="I139" s="2" t="s">
        <v>12396</v>
      </c>
      <c r="J139" s="2"/>
      <c r="K139" s="2"/>
      <c r="L139" s="2"/>
      <c r="M139" s="2"/>
      <c r="N139" s="2" t="s">
        <v>12397</v>
      </c>
      <c r="O139" s="2"/>
      <c r="P139" s="2" t="s">
        <v>12398</v>
      </c>
      <c r="Q139" s="2" t="s">
        <v>12399</v>
      </c>
      <c r="R139" s="2" t="s">
        <v>114</v>
      </c>
      <c r="S139" s="2" t="s">
        <v>172</v>
      </c>
      <c r="T139" s="2" t="s">
        <v>4294</v>
      </c>
      <c r="U139" s="2" t="s">
        <v>1269</v>
      </c>
      <c r="V139" s="2" t="s">
        <v>205</v>
      </c>
      <c r="W139" s="2"/>
    </row>
    <row r="140">
      <c r="A140" s="2" t="n">
        <v>101</v>
      </c>
      <c r="B140" s="2" t="s">
        <v>12400</v>
      </c>
      <c r="C140" s="2" t="s">
        <v>1278</v>
      </c>
      <c r="D140" s="2" t="n">
        <v>160.062318935</v>
      </c>
      <c r="E140" s="2" t="n">
        <v>10.9528395290254</v>
      </c>
      <c r="F140" s="2" t="s">
        <v>1280</v>
      </c>
      <c r="G140" s="2" t="n">
        <v>51471</v>
      </c>
      <c r="H140" s="3" t="str">
        <f>HYPERLINK("http://funmeta.oebiotech.com/network/51471", "http://funmeta.oebiotech.com/network/51471")</f>
      </c>
      <c r="I140" s="2" t="s">
        <v>1282</v>
      </c>
      <c r="J140" s="2" t="s">
        <v>1283</v>
      </c>
      <c r="K140" s="2"/>
      <c r="L140" s="2" t="s">
        <v>1284</v>
      </c>
      <c r="M140" s="2" t="s">
        <v>1285</v>
      </c>
      <c r="N140" s="2" t="s">
        <v>1286</v>
      </c>
      <c r="O140" s="2"/>
      <c r="P140" s="2" t="s">
        <v>1287</v>
      </c>
      <c r="Q140" s="2" t="s">
        <v>1288</v>
      </c>
      <c r="R140" s="2" t="s">
        <v>114</v>
      </c>
      <c r="S140" s="2" t="s">
        <v>1289</v>
      </c>
      <c r="T140" s="2" t="s">
        <v>1290</v>
      </c>
      <c r="U140" s="2" t="s">
        <v>1279</v>
      </c>
      <c r="V140" s="2" t="s">
        <v>161</v>
      </c>
      <c r="W140" s="2" t="s">
        <v>56</v>
      </c>
    </row>
    <row r="141">
      <c r="A141" s="2" t="n">
        <v>102</v>
      </c>
      <c r="B141" s="2" t="s">
        <v>12401</v>
      </c>
      <c r="C141" s="2" t="s">
        <v>1291</v>
      </c>
      <c r="D141" s="2" t="n">
        <v>160.9622612</v>
      </c>
      <c r="E141" s="2" t="n">
        <v>4.75698009543226</v>
      </c>
      <c r="F141" s="2" t="s">
        <v>1293</v>
      </c>
      <c r="G141" s="2" t="n">
        <v>204962</v>
      </c>
      <c r="H141" s="3" t="str">
        <f>HYPERLINK("http://funmeta.oebiotech.com/network/204962", "http://funmeta.oebiotech.com/network/204962")</f>
      </c>
      <c r="I141" s="2" t="s">
        <v>1295</v>
      </c>
      <c r="J141" s="2"/>
      <c r="K141" s="2"/>
      <c r="L141" s="2"/>
      <c r="M141" s="2"/>
      <c r="N141" s="2"/>
      <c r="O141" s="2"/>
      <c r="P141" s="2" t="s">
        <v>1296</v>
      </c>
      <c r="Q141" s="2" t="s">
        <v>1297</v>
      </c>
      <c r="R141" s="2" t="s">
        <v>213</v>
      </c>
      <c r="S141" s="2" t="s">
        <v>1298</v>
      </c>
      <c r="T141" s="2" t="s">
        <v>1299</v>
      </c>
      <c r="U141" s="2" t="s">
        <v>1292</v>
      </c>
      <c r="V141" s="2" t="s">
        <v>205</v>
      </c>
      <c r="W141" s="2"/>
    </row>
    <row r="142">
      <c r="A142" s="2" t="n">
        <v>103</v>
      </c>
      <c r="B142" s="2" t="s">
        <v>12402</v>
      </c>
      <c r="C142" s="2" t="s">
        <v>1300</v>
      </c>
      <c r="D142" s="2" t="n">
        <v>161.996345031</v>
      </c>
      <c r="E142" s="2" t="n">
        <v>1.3020809870069</v>
      </c>
      <c r="F142" s="2" t="s">
        <v>1302</v>
      </c>
      <c r="G142" s="2" t="n">
        <v>58406</v>
      </c>
      <c r="H142" s="3" t="str">
        <f>HYPERLINK("http://funmeta.oebiotech.com/network/58406", "http://funmeta.oebiotech.com/network/58406")</f>
      </c>
      <c r="I142" s="2" t="s">
        <v>1304</v>
      </c>
      <c r="J142" s="2" t="s">
        <v>1305</v>
      </c>
      <c r="K142" s="2"/>
      <c r="L142" s="2"/>
      <c r="M142" s="2"/>
      <c r="N142" s="2" t="s">
        <v>1306</v>
      </c>
      <c r="O142" s="2"/>
      <c r="P142" s="2" t="s">
        <v>1307</v>
      </c>
      <c r="Q142" s="2" t="s">
        <v>1308</v>
      </c>
      <c r="R142" s="2" t="s">
        <v>114</v>
      </c>
      <c r="S142" s="2" t="s">
        <v>397</v>
      </c>
      <c r="T142" s="2" t="s">
        <v>398</v>
      </c>
      <c r="U142" s="2" t="s">
        <v>1301</v>
      </c>
      <c r="V142" s="2" t="s">
        <v>86</v>
      </c>
      <c r="W142" s="2" t="s">
        <v>56</v>
      </c>
    </row>
    <row r="143">
      <c r="A143" s="2" t="n">
        <v>104</v>
      </c>
      <c r="B143" s="2" t="s">
        <v>12403</v>
      </c>
      <c r="C143" s="2" t="s">
        <v>1309</v>
      </c>
      <c r="D143" s="2" t="n">
        <v>162.028493477</v>
      </c>
      <c r="E143" s="2" t="n">
        <v>0.150998033401032</v>
      </c>
      <c r="F143" s="2" t="s">
        <v>12404</v>
      </c>
      <c r="G143" s="2" t="n">
        <v>206033</v>
      </c>
      <c r="H143" s="3" t="str">
        <f>HYPERLINK("http://funmeta.oebiotech.com/network/206033", "http://funmeta.oebiotech.com/network/206033")</f>
      </c>
      <c r="I143" s="2" t="s">
        <v>12405</v>
      </c>
      <c r="J143" s="2"/>
      <c r="K143" s="2"/>
      <c r="L143" s="2"/>
      <c r="M143" s="2" t="s">
        <v>12406</v>
      </c>
      <c r="N143" s="2"/>
      <c r="O143" s="2"/>
      <c r="P143" s="2" t="s">
        <v>12407</v>
      </c>
      <c r="Q143" s="2" t="s">
        <v>12408</v>
      </c>
      <c r="R143" s="2" t="s">
        <v>114</v>
      </c>
      <c r="S143" s="2" t="s">
        <v>172</v>
      </c>
      <c r="T143" s="2" t="s">
        <v>173</v>
      </c>
      <c r="U143" s="2" t="s">
        <v>1310</v>
      </c>
      <c r="V143" s="2" t="s">
        <v>531</v>
      </c>
      <c r="W143" s="2"/>
    </row>
    <row r="144">
      <c r="A144" s="2" t="n">
        <v>104</v>
      </c>
      <c r="B144" s="2" t="s">
        <v>12409</v>
      </c>
      <c r="C144" s="2" t="s">
        <v>1309</v>
      </c>
      <c r="D144" s="2" t="n">
        <v>162.028493477</v>
      </c>
      <c r="E144" s="2" t="n">
        <v>0.150998033401032</v>
      </c>
      <c r="F144" s="2" t="s">
        <v>12410</v>
      </c>
      <c r="G144" s="2" t="n">
        <v>207638</v>
      </c>
      <c r="H144" s="3" t="str">
        <f>HYPERLINK("http://funmeta.oebiotech.com/network/207638", "http://funmeta.oebiotech.com/network/207638")</f>
      </c>
      <c r="I144" s="2" t="s">
        <v>12411</v>
      </c>
      <c r="J144" s="2"/>
      <c r="K144" s="2"/>
      <c r="L144" s="2"/>
      <c r="M144" s="2"/>
      <c r="N144" s="2" t="s">
        <v>12412</v>
      </c>
      <c r="O144" s="2"/>
      <c r="P144" s="2" t="s">
        <v>12413</v>
      </c>
      <c r="Q144" s="2" t="s">
        <v>12414</v>
      </c>
      <c r="R144" s="2" t="s">
        <v>114</v>
      </c>
      <c r="S144" s="2" t="s">
        <v>369</v>
      </c>
      <c r="T144" s="2" t="s">
        <v>370</v>
      </c>
      <c r="U144" s="2" t="s">
        <v>1310</v>
      </c>
      <c r="V144" s="2" t="s">
        <v>531</v>
      </c>
      <c r="W144" s="2"/>
    </row>
    <row r="145">
      <c r="A145" s="2" t="n">
        <v>105</v>
      </c>
      <c r="B145" s="2" t="s">
        <v>12415</v>
      </c>
      <c r="C145" s="2" t="s">
        <v>1320</v>
      </c>
      <c r="D145" s="2" t="n">
        <v>162.052025483</v>
      </c>
      <c r="E145" s="2" t="n">
        <v>3.08103012492051</v>
      </c>
      <c r="F145" s="2" t="s">
        <v>1322</v>
      </c>
      <c r="G145" s="2" t="n">
        <v>46886</v>
      </c>
      <c r="H145" s="3" t="str">
        <f>HYPERLINK("http://funmeta.oebiotech.com/network/46886", "http://funmeta.oebiotech.com/network/46886")</f>
      </c>
      <c r="I145" s="2" t="s">
        <v>1324</v>
      </c>
      <c r="J145" s="2" t="s">
        <v>1325</v>
      </c>
      <c r="K145" s="2"/>
      <c r="L145" s="2" t="s">
        <v>1326</v>
      </c>
      <c r="M145" s="2" t="s">
        <v>1327</v>
      </c>
      <c r="N145" s="2" t="s">
        <v>1328</v>
      </c>
      <c r="O145" s="2" t="s">
        <v>1329</v>
      </c>
      <c r="P145" s="2" t="s">
        <v>1330</v>
      </c>
      <c r="Q145" s="2" t="s">
        <v>1331</v>
      </c>
      <c r="R145" s="2" t="s">
        <v>36</v>
      </c>
      <c r="S145" s="2" t="s">
        <v>37</v>
      </c>
      <c r="T145" s="2" t="s">
        <v>69</v>
      </c>
      <c r="U145" s="2" t="s">
        <v>1321</v>
      </c>
      <c r="V145" s="2" t="s">
        <v>205</v>
      </c>
      <c r="W145" s="2" t="s">
        <v>56</v>
      </c>
    </row>
    <row r="146">
      <c r="A146" s="2" t="n">
        <v>106</v>
      </c>
      <c r="B146" s="2" t="s">
        <v>12416</v>
      </c>
      <c r="C146" s="2" t="s">
        <v>1332</v>
      </c>
      <c r="D146" s="2" t="n">
        <v>162.9835279</v>
      </c>
      <c r="E146" s="2" t="n">
        <v>5.94617848683537</v>
      </c>
      <c r="F146" s="2" t="s">
        <v>12417</v>
      </c>
      <c r="G146" s="2" t="n">
        <v>200447</v>
      </c>
      <c r="H146" s="3" t="str">
        <f>HYPERLINK("http://funmeta.oebiotech.com/network/200447", "http://funmeta.oebiotech.com/network/200447")</f>
      </c>
      <c r="I146" s="2" t="s">
        <v>12418</v>
      </c>
      <c r="J146" s="2"/>
      <c r="K146" s="2"/>
      <c r="L146" s="2"/>
      <c r="M146" s="2"/>
      <c r="N146" s="2"/>
      <c r="O146" s="2"/>
      <c r="P146" s="2" t="s">
        <v>12419</v>
      </c>
      <c r="Q146" s="2" t="s">
        <v>12420</v>
      </c>
      <c r="R146" s="2" t="s">
        <v>114</v>
      </c>
      <c r="S146" s="2" t="s">
        <v>936</v>
      </c>
      <c r="T146" s="2" t="s">
        <v>12421</v>
      </c>
      <c r="U146" s="2" t="s">
        <v>1333</v>
      </c>
      <c r="V146" s="2" t="s">
        <v>86</v>
      </c>
      <c r="W146" s="2"/>
    </row>
    <row r="147">
      <c r="A147" s="2" t="n">
        <v>106</v>
      </c>
      <c r="B147" s="2" t="s">
        <v>12422</v>
      </c>
      <c r="C147" s="2" t="s">
        <v>1332</v>
      </c>
      <c r="D147" s="2" t="n">
        <v>162.9835279</v>
      </c>
      <c r="E147" s="2" t="n">
        <v>5.94617848683537</v>
      </c>
      <c r="F147" s="2" t="s">
        <v>12423</v>
      </c>
      <c r="G147" s="2" t="n">
        <v>200500</v>
      </c>
      <c r="H147" s="3" t="str">
        <f>HYPERLINK("http://funmeta.oebiotech.com/network/200500", "http://funmeta.oebiotech.com/network/200500")</f>
      </c>
      <c r="I147" s="2" t="s">
        <v>12424</v>
      </c>
      <c r="J147" s="2" t="s">
        <v>12425</v>
      </c>
      <c r="K147" s="2"/>
      <c r="L147" s="2"/>
      <c r="M147" s="2"/>
      <c r="N147" s="2" t="s">
        <v>12426</v>
      </c>
      <c r="O147" s="2"/>
      <c r="P147" s="2" t="s">
        <v>12427</v>
      </c>
      <c r="Q147" s="2" t="s">
        <v>12428</v>
      </c>
      <c r="R147" s="2" t="s">
        <v>114</v>
      </c>
      <c r="S147" s="2" t="s">
        <v>369</v>
      </c>
      <c r="T147" s="2" t="s">
        <v>656</v>
      </c>
      <c r="U147" s="2" t="s">
        <v>1333</v>
      </c>
      <c r="V147" s="2" t="s">
        <v>86</v>
      </c>
      <c r="W147" s="2"/>
    </row>
    <row r="148">
      <c r="A148" s="2" t="n">
        <v>106</v>
      </c>
      <c r="B148" s="2" t="s">
        <v>12429</v>
      </c>
      <c r="C148" s="2" t="s">
        <v>1332</v>
      </c>
      <c r="D148" s="2" t="n">
        <v>162.9835279</v>
      </c>
      <c r="E148" s="2" t="n">
        <v>5.94617848683537</v>
      </c>
      <c r="F148" s="2" t="s">
        <v>12430</v>
      </c>
      <c r="G148" s="2" t="n">
        <v>200438</v>
      </c>
      <c r="H148" s="3" t="str">
        <f>HYPERLINK("http://funmeta.oebiotech.com/network/200438", "http://funmeta.oebiotech.com/network/200438")</f>
      </c>
      <c r="I148" s="2" t="s">
        <v>12431</v>
      </c>
      <c r="J148" s="2"/>
      <c r="K148" s="2"/>
      <c r="L148" s="2"/>
      <c r="M148" s="2"/>
      <c r="N148" s="2"/>
      <c r="O148" s="2"/>
      <c r="P148" s="2" t="s">
        <v>12432</v>
      </c>
      <c r="Q148" s="2" t="s">
        <v>12433</v>
      </c>
      <c r="R148" s="2" t="s">
        <v>114</v>
      </c>
      <c r="S148" s="2" t="s">
        <v>936</v>
      </c>
      <c r="T148" s="2" t="s">
        <v>12421</v>
      </c>
      <c r="U148" s="2" t="s">
        <v>1333</v>
      </c>
      <c r="V148" s="2" t="s">
        <v>86</v>
      </c>
      <c r="W148" s="2"/>
    </row>
    <row r="149">
      <c r="A149" s="2" t="n">
        <v>107</v>
      </c>
      <c r="B149" s="2" t="s">
        <v>12434</v>
      </c>
      <c r="C149" s="2" t="s">
        <v>1343</v>
      </c>
      <c r="D149" s="2" t="n">
        <v>163.039517808</v>
      </c>
      <c r="E149" s="2" t="n">
        <v>3.62512978311354</v>
      </c>
      <c r="F149" s="2" t="s">
        <v>1345</v>
      </c>
      <c r="G149" s="2" t="n">
        <v>47202</v>
      </c>
      <c r="H149" s="3" t="str">
        <f>HYPERLINK("http://funmeta.oebiotech.com/network/47202", "http://funmeta.oebiotech.com/network/47202")</f>
      </c>
      <c r="I149" s="2" t="s">
        <v>1347</v>
      </c>
      <c r="J149" s="2" t="s">
        <v>1348</v>
      </c>
      <c r="K149" s="2"/>
      <c r="L149" s="2" t="s">
        <v>1349</v>
      </c>
      <c r="M149" s="2" t="s">
        <v>1350</v>
      </c>
      <c r="N149" s="2" t="s">
        <v>1351</v>
      </c>
      <c r="O149" s="2" t="s">
        <v>1352</v>
      </c>
      <c r="P149" s="2" t="s">
        <v>1353</v>
      </c>
      <c r="Q149" s="2" t="s">
        <v>1354</v>
      </c>
      <c r="R149" s="2" t="s">
        <v>1355</v>
      </c>
      <c r="S149" s="2" t="s">
        <v>1356</v>
      </c>
      <c r="T149" s="2" t="s">
        <v>215</v>
      </c>
      <c r="U149" s="2" t="s">
        <v>1344</v>
      </c>
      <c r="V149" s="2" t="s">
        <v>161</v>
      </c>
      <c r="W149" s="2" t="s">
        <v>39</v>
      </c>
    </row>
    <row r="150">
      <c r="A150" s="2" t="n">
        <v>108</v>
      </c>
      <c r="B150" s="2" t="s">
        <v>12435</v>
      </c>
      <c r="C150" s="2" t="s">
        <v>1357</v>
      </c>
      <c r="D150" s="2" t="n">
        <v>163.11228882</v>
      </c>
      <c r="E150" s="2" t="n">
        <v>10.6794111318643</v>
      </c>
      <c r="F150" s="2" t="s">
        <v>1359</v>
      </c>
      <c r="G150" s="2" t="n">
        <v>7362</v>
      </c>
      <c r="H150" s="3" t="str">
        <f>HYPERLINK("http://funmeta.oebiotech.com/network/7362", "http://funmeta.oebiotech.com/network/7362")</f>
      </c>
      <c r="I150" s="2" t="s">
        <v>1361</v>
      </c>
      <c r="J150" s="2" t="s">
        <v>1362</v>
      </c>
      <c r="K150" s="2" t="s">
        <v>1363</v>
      </c>
      <c r="L150" s="2" t="s">
        <v>1364</v>
      </c>
      <c r="M150" s="2" t="s">
        <v>1365</v>
      </c>
      <c r="N150" s="2" t="s">
        <v>1366</v>
      </c>
      <c r="O150" s="2" t="s">
        <v>1367</v>
      </c>
      <c r="P150" s="2" t="s">
        <v>1368</v>
      </c>
      <c r="Q150" s="2" t="s">
        <v>1369</v>
      </c>
      <c r="R150" s="2" t="s">
        <v>794</v>
      </c>
      <c r="S150" s="2" t="s">
        <v>795</v>
      </c>
      <c r="T150" s="2" t="s">
        <v>1370</v>
      </c>
      <c r="U150" s="2" t="s">
        <v>1358</v>
      </c>
      <c r="V150" s="2" t="s">
        <v>161</v>
      </c>
      <c r="W150" s="2" t="s">
        <v>56</v>
      </c>
    </row>
    <row r="151">
      <c r="A151" s="2" t="n">
        <v>109</v>
      </c>
      <c r="B151" s="2" t="s">
        <v>12436</v>
      </c>
      <c r="C151" s="2" t="s">
        <v>1371</v>
      </c>
      <c r="D151" s="2" t="n">
        <v>164.957118826</v>
      </c>
      <c r="E151" s="2" t="n">
        <v>1.53609595896962</v>
      </c>
      <c r="F151" s="2" t="s">
        <v>1373</v>
      </c>
      <c r="G151" s="2" t="n">
        <v>200734</v>
      </c>
      <c r="H151" s="3" t="str">
        <f>HYPERLINK("http://funmeta.oebiotech.com/network/200734", "http://funmeta.oebiotech.com/network/200734")</f>
      </c>
      <c r="I151" s="2" t="s">
        <v>1375</v>
      </c>
      <c r="J151" s="2" t="s">
        <v>1376</v>
      </c>
      <c r="K151" s="2"/>
      <c r="L151" s="2"/>
      <c r="M151" s="2"/>
      <c r="N151" s="2" t="s">
        <v>1377</v>
      </c>
      <c r="O151" s="2"/>
      <c r="P151" s="2" t="s">
        <v>1378</v>
      </c>
      <c r="Q151" s="2" t="s">
        <v>1379</v>
      </c>
      <c r="R151" s="2" t="s">
        <v>129</v>
      </c>
      <c r="S151" s="2" t="s">
        <v>130</v>
      </c>
      <c r="T151" s="2" t="s">
        <v>131</v>
      </c>
      <c r="U151" s="2" t="s">
        <v>1372</v>
      </c>
      <c r="V151" s="2" t="s">
        <v>218</v>
      </c>
      <c r="W151" s="2"/>
    </row>
    <row r="152">
      <c r="A152" s="2" t="n">
        <v>110</v>
      </c>
      <c r="B152" s="2" t="s">
        <v>12437</v>
      </c>
      <c r="C152" s="2" t="s">
        <v>1380</v>
      </c>
      <c r="D152" s="2" t="n">
        <v>165.014637632</v>
      </c>
      <c r="E152" s="2" t="n">
        <v>6.60589440720029</v>
      </c>
      <c r="F152" s="2" t="s">
        <v>1382</v>
      </c>
      <c r="G152" s="2" t="n">
        <v>55944</v>
      </c>
      <c r="H152" s="3" t="str">
        <f>HYPERLINK("http://funmeta.oebiotech.com/network/55944", "http://funmeta.oebiotech.com/network/55944")</f>
      </c>
      <c r="I152" s="2" t="s">
        <v>1384</v>
      </c>
      <c r="J152" s="2" t="s">
        <v>1385</v>
      </c>
      <c r="K152" s="2"/>
      <c r="L152" s="2"/>
      <c r="M152" s="2" t="s">
        <v>1386</v>
      </c>
      <c r="N152" s="2" t="s">
        <v>1387</v>
      </c>
      <c r="O152" s="2" t="s">
        <v>1388</v>
      </c>
      <c r="P152" s="2" t="s">
        <v>1389</v>
      </c>
      <c r="Q152" s="2" t="s">
        <v>1390</v>
      </c>
      <c r="R152" s="2" t="s">
        <v>129</v>
      </c>
      <c r="S152" s="2" t="s">
        <v>130</v>
      </c>
      <c r="T152" s="2" t="s">
        <v>131</v>
      </c>
      <c r="U152" s="2" t="s">
        <v>1381</v>
      </c>
      <c r="V152" s="2" t="s">
        <v>86</v>
      </c>
      <c r="W152" s="2" t="s">
        <v>56</v>
      </c>
    </row>
    <row r="153">
      <c r="A153" s="2" t="n">
        <v>111</v>
      </c>
      <c r="B153" s="2" t="s">
        <v>12438</v>
      </c>
      <c r="C153" s="2" t="s">
        <v>1391</v>
      </c>
      <c r="D153" s="2" t="n">
        <v>165.074345138</v>
      </c>
      <c r="E153" s="2" t="n">
        <v>7.38086031325642</v>
      </c>
      <c r="F153" s="2" t="s">
        <v>1393</v>
      </c>
      <c r="G153" s="2" t="n">
        <v>61613</v>
      </c>
      <c r="H153" s="3" t="str">
        <f>HYPERLINK("http://funmeta.oebiotech.com/network/61613", "http://funmeta.oebiotech.com/network/61613")</f>
      </c>
      <c r="I153" s="2" t="s">
        <v>1395</v>
      </c>
      <c r="J153" s="2" t="s">
        <v>1396</v>
      </c>
      <c r="K153" s="2"/>
      <c r="L153" s="2"/>
      <c r="M153" s="2"/>
      <c r="N153" s="2" t="s">
        <v>1397</v>
      </c>
      <c r="O153" s="2" t="s">
        <v>1398</v>
      </c>
      <c r="P153" s="2" t="s">
        <v>1399</v>
      </c>
      <c r="Q153" s="2" t="s">
        <v>1400</v>
      </c>
      <c r="R153" s="2" t="s">
        <v>114</v>
      </c>
      <c r="S153" s="2" t="s">
        <v>877</v>
      </c>
      <c r="T153" s="2" t="s">
        <v>215</v>
      </c>
      <c r="U153" s="2" t="s">
        <v>1392</v>
      </c>
      <c r="V153" s="2" t="s">
        <v>24</v>
      </c>
      <c r="W153" s="2" t="s">
        <v>56</v>
      </c>
    </row>
    <row r="154">
      <c r="A154" s="2" t="n">
        <v>112</v>
      </c>
      <c r="B154" s="2" t="s">
        <v>12439</v>
      </c>
      <c r="C154" s="2" t="s">
        <v>1401</v>
      </c>
      <c r="D154" s="2" t="n">
        <v>166.019579</v>
      </c>
      <c r="E154" s="2" t="n">
        <v>3.37609359039435</v>
      </c>
      <c r="F154" s="2" t="s">
        <v>1403</v>
      </c>
      <c r="G154" s="2" t="n">
        <v>202327</v>
      </c>
      <c r="H154" s="3" t="str">
        <f>HYPERLINK("http://funmeta.oebiotech.com/network/202327", "http://funmeta.oebiotech.com/network/202327")</f>
      </c>
      <c r="I154" s="2" t="s">
        <v>1405</v>
      </c>
      <c r="J154" s="2"/>
      <c r="K154" s="2"/>
      <c r="L154" s="2"/>
      <c r="M154" s="2"/>
      <c r="N154" s="2"/>
      <c r="O154" s="2"/>
      <c r="P154" s="2" t="s">
        <v>1406</v>
      </c>
      <c r="Q154" s="2" t="s">
        <v>1407</v>
      </c>
      <c r="R154" s="2" t="s">
        <v>601</v>
      </c>
      <c r="S154" s="2" t="s">
        <v>602</v>
      </c>
      <c r="T154" s="2" t="s">
        <v>1408</v>
      </c>
      <c r="U154" s="2" t="s">
        <v>1402</v>
      </c>
      <c r="V154" s="2" t="s">
        <v>86</v>
      </c>
      <c r="W154" s="2"/>
    </row>
    <row r="155">
      <c r="A155" s="2" t="n">
        <v>113</v>
      </c>
      <c r="B155" s="2" t="s">
        <v>12440</v>
      </c>
      <c r="C155" s="2" t="s">
        <v>1409</v>
      </c>
      <c r="D155" s="2" t="n">
        <v>166.050967159</v>
      </c>
      <c r="E155" s="2" t="n">
        <v>11.5897296122786</v>
      </c>
      <c r="F155" s="2" t="s">
        <v>12441</v>
      </c>
      <c r="G155" s="2" t="n">
        <v>48274</v>
      </c>
      <c r="H155" s="3" t="str">
        <f>HYPERLINK("http://funmeta.oebiotech.com/network/48274", "http://funmeta.oebiotech.com/network/48274")</f>
      </c>
      <c r="I155" s="2" t="s">
        <v>12442</v>
      </c>
      <c r="J155" s="2" t="s">
        <v>12443</v>
      </c>
      <c r="K155" s="2"/>
      <c r="L155" s="2" t="s">
        <v>12444</v>
      </c>
      <c r="M155" s="2" t="s">
        <v>12445</v>
      </c>
      <c r="N155" s="2" t="s">
        <v>12446</v>
      </c>
      <c r="O155" s="2"/>
      <c r="P155" s="2" t="s">
        <v>12447</v>
      </c>
      <c r="Q155" s="2" t="s">
        <v>12448</v>
      </c>
      <c r="R155" s="2" t="s">
        <v>114</v>
      </c>
      <c r="S155" s="2" t="s">
        <v>936</v>
      </c>
      <c r="T155" s="2" t="s">
        <v>12449</v>
      </c>
      <c r="U155" s="2" t="s">
        <v>1410</v>
      </c>
      <c r="V155" s="2" t="s">
        <v>24</v>
      </c>
      <c r="W155" s="2" t="s">
        <v>56</v>
      </c>
    </row>
    <row r="156">
      <c r="A156" s="2" t="n">
        <v>113</v>
      </c>
      <c r="B156" s="2" t="s">
        <v>12450</v>
      </c>
      <c r="C156" s="2" t="s">
        <v>1409</v>
      </c>
      <c r="D156" s="2" t="n">
        <v>166.050967159</v>
      </c>
      <c r="E156" s="2" t="n">
        <v>11.5897296122786</v>
      </c>
      <c r="F156" s="2" t="s">
        <v>12451</v>
      </c>
      <c r="G156" s="2" t="n">
        <v>47645</v>
      </c>
      <c r="H156" s="3" t="str">
        <f>HYPERLINK("http://funmeta.oebiotech.com/network/47645", "http://funmeta.oebiotech.com/network/47645")</f>
      </c>
      <c r="I156" s="2" t="s">
        <v>12452</v>
      </c>
      <c r="J156" s="2" t="s">
        <v>12453</v>
      </c>
      <c r="K156" s="2"/>
      <c r="L156" s="2" t="s">
        <v>12454</v>
      </c>
      <c r="M156" s="2" t="s">
        <v>12455</v>
      </c>
      <c r="N156" s="2" t="s">
        <v>12456</v>
      </c>
      <c r="O156" s="2" t="s">
        <v>12457</v>
      </c>
      <c r="P156" s="2" t="s">
        <v>12458</v>
      </c>
      <c r="Q156" s="2" t="s">
        <v>12459</v>
      </c>
      <c r="R156" s="2" t="s">
        <v>114</v>
      </c>
      <c r="S156" s="2" t="s">
        <v>936</v>
      </c>
      <c r="T156" s="2" t="s">
        <v>12449</v>
      </c>
      <c r="U156" s="2" t="s">
        <v>1410</v>
      </c>
      <c r="V156" s="2" t="s">
        <v>24</v>
      </c>
      <c r="W156" s="2" t="s">
        <v>56</v>
      </c>
    </row>
    <row r="157">
      <c r="A157" s="2" t="n">
        <v>114</v>
      </c>
      <c r="B157" s="2" t="s">
        <v>12460</v>
      </c>
      <c r="C157" s="2" t="s">
        <v>1423</v>
      </c>
      <c r="D157" s="2" t="n">
        <v>167.022832574</v>
      </c>
      <c r="E157" s="2" t="n">
        <v>1.47126150868719</v>
      </c>
      <c r="F157" s="2" t="s">
        <v>12461</v>
      </c>
      <c r="G157" s="2" t="n">
        <v>54354</v>
      </c>
      <c r="H157" s="3" t="str">
        <f>HYPERLINK("http://funmeta.oebiotech.com/network/54354", "http://funmeta.oebiotech.com/network/54354")</f>
      </c>
      <c r="I157" s="2" t="s">
        <v>12462</v>
      </c>
      <c r="J157" s="2" t="s">
        <v>12463</v>
      </c>
      <c r="K157" s="2"/>
      <c r="L157" s="2"/>
      <c r="M157" s="2"/>
      <c r="N157" s="2" t="s">
        <v>12464</v>
      </c>
      <c r="O157" s="2" t="s">
        <v>12465</v>
      </c>
      <c r="P157" s="2" t="s">
        <v>12466</v>
      </c>
      <c r="Q157" s="2" t="s">
        <v>12467</v>
      </c>
      <c r="R157" s="2" t="s">
        <v>36</v>
      </c>
      <c r="S157" s="2" t="s">
        <v>37</v>
      </c>
      <c r="T157" s="2" t="s">
        <v>69</v>
      </c>
      <c r="U157" s="2" t="s">
        <v>1424</v>
      </c>
      <c r="V157" s="2" t="s">
        <v>218</v>
      </c>
      <c r="W157" s="2" t="s">
        <v>56</v>
      </c>
    </row>
    <row r="158">
      <c r="A158" s="2" t="n">
        <v>114</v>
      </c>
      <c r="B158" s="2" t="s">
        <v>12468</v>
      </c>
      <c r="C158" s="2" t="s">
        <v>1423</v>
      </c>
      <c r="D158" s="2" t="n">
        <v>167.022832574</v>
      </c>
      <c r="E158" s="2" t="n">
        <v>1.47126150868719</v>
      </c>
      <c r="F158" s="2" t="s">
        <v>12469</v>
      </c>
      <c r="G158" s="2" t="n">
        <v>55221</v>
      </c>
      <c r="H158" s="3" t="str">
        <f>HYPERLINK("http://funmeta.oebiotech.com/network/55221", "http://funmeta.oebiotech.com/network/55221")</f>
      </c>
      <c r="I158" s="2" t="s">
        <v>12470</v>
      </c>
      <c r="J158" s="2" t="s">
        <v>12471</v>
      </c>
      <c r="K158" s="2"/>
      <c r="L158" s="2"/>
      <c r="M158" s="2"/>
      <c r="N158" s="2" t="s">
        <v>12472</v>
      </c>
      <c r="O158" s="2" t="s">
        <v>12473</v>
      </c>
      <c r="P158" s="2" t="s">
        <v>12474</v>
      </c>
      <c r="Q158" s="2" t="s">
        <v>12475</v>
      </c>
      <c r="R158" s="2" t="s">
        <v>36</v>
      </c>
      <c r="S158" s="2" t="s">
        <v>37</v>
      </c>
      <c r="T158" s="2" t="s">
        <v>69</v>
      </c>
      <c r="U158" s="2" t="s">
        <v>1424</v>
      </c>
      <c r="V158" s="2" t="s">
        <v>218</v>
      </c>
      <c r="W158" s="2" t="s">
        <v>56</v>
      </c>
    </row>
    <row r="159">
      <c r="A159" s="2" t="n">
        <v>115</v>
      </c>
      <c r="B159" s="2" t="s">
        <v>12476</v>
      </c>
      <c r="C159" s="2" t="s">
        <v>1433</v>
      </c>
      <c r="D159" s="2" t="n">
        <v>167.107753756</v>
      </c>
      <c r="E159" s="2" t="n">
        <v>17.3116795269926</v>
      </c>
      <c r="F159" s="2" t="s">
        <v>1435</v>
      </c>
      <c r="G159" s="2" t="n">
        <v>56782</v>
      </c>
      <c r="H159" s="3" t="str">
        <f>HYPERLINK("http://funmeta.oebiotech.com/network/56782", "http://funmeta.oebiotech.com/network/56782")</f>
      </c>
      <c r="I159" s="2" t="s">
        <v>1437</v>
      </c>
      <c r="J159" s="2" t="s">
        <v>1438</v>
      </c>
      <c r="K159" s="2"/>
      <c r="L159" s="2" t="s">
        <v>1439</v>
      </c>
      <c r="M159" s="2" t="s">
        <v>1440</v>
      </c>
      <c r="N159" s="2" t="s">
        <v>1441</v>
      </c>
      <c r="O159" s="2" t="s">
        <v>1442</v>
      </c>
      <c r="P159" s="2" t="s">
        <v>1443</v>
      </c>
      <c r="Q159" s="2" t="s">
        <v>1444</v>
      </c>
      <c r="R159" s="2" t="s">
        <v>114</v>
      </c>
      <c r="S159" s="2" t="s">
        <v>1445</v>
      </c>
      <c r="T159" s="2" t="s">
        <v>215</v>
      </c>
      <c r="U159" s="2" t="s">
        <v>1434</v>
      </c>
      <c r="V159" s="2" t="s">
        <v>24</v>
      </c>
      <c r="W159" s="2" t="s">
        <v>56</v>
      </c>
    </row>
    <row r="160">
      <c r="A160" s="2" t="n">
        <v>116</v>
      </c>
      <c r="B160" s="2" t="s">
        <v>12477</v>
      </c>
      <c r="C160" s="2" t="s">
        <v>1446</v>
      </c>
      <c r="D160" s="2" t="n">
        <v>167.997217029</v>
      </c>
      <c r="E160" s="2" t="n">
        <v>9.63708038844817</v>
      </c>
      <c r="F160" s="2" t="s">
        <v>1448</v>
      </c>
      <c r="G160" s="2" t="n">
        <v>47986</v>
      </c>
      <c r="H160" s="3" t="str">
        <f>HYPERLINK("http://funmeta.oebiotech.com/network/47986", "http://funmeta.oebiotech.com/network/47986")</f>
      </c>
      <c r="I160" s="2" t="s">
        <v>1450</v>
      </c>
      <c r="J160" s="2" t="s">
        <v>1451</v>
      </c>
      <c r="K160" s="2"/>
      <c r="L160" s="2" t="s">
        <v>1452</v>
      </c>
      <c r="M160" s="2" t="s">
        <v>1453</v>
      </c>
      <c r="N160" s="2" t="s">
        <v>1454</v>
      </c>
      <c r="O160" s="2" t="s">
        <v>1455</v>
      </c>
      <c r="P160" s="2" t="s">
        <v>1456</v>
      </c>
      <c r="Q160" s="2" t="s">
        <v>1457</v>
      </c>
      <c r="R160" s="2" t="s">
        <v>36</v>
      </c>
      <c r="S160" s="2" t="s">
        <v>37</v>
      </c>
      <c r="T160" s="2" t="s">
        <v>69</v>
      </c>
      <c r="U160" s="2" t="s">
        <v>1447</v>
      </c>
      <c r="V160" s="2" t="s">
        <v>24</v>
      </c>
      <c r="W160" s="2" t="s">
        <v>56</v>
      </c>
    </row>
    <row r="161">
      <c r="A161" s="2" t="n">
        <v>117</v>
      </c>
      <c r="B161" s="2" t="s">
        <v>12478</v>
      </c>
      <c r="C161" s="2" t="s">
        <v>1458</v>
      </c>
      <c r="D161" s="2" t="n">
        <v>168.044937534</v>
      </c>
      <c r="E161" s="2" t="n">
        <v>2.81074782101669</v>
      </c>
      <c r="F161" s="2" t="s">
        <v>1460</v>
      </c>
      <c r="G161" s="2" t="n">
        <v>47188</v>
      </c>
      <c r="H161" s="3" t="str">
        <f>HYPERLINK("http://funmeta.oebiotech.com/network/47188", "http://funmeta.oebiotech.com/network/47188")</f>
      </c>
      <c r="I161" s="2" t="s">
        <v>1462</v>
      </c>
      <c r="J161" s="2"/>
      <c r="K161" s="2"/>
      <c r="L161" s="2"/>
      <c r="M161" s="2" t="s">
        <v>1463</v>
      </c>
      <c r="N161" s="2" t="s">
        <v>1464</v>
      </c>
      <c r="O161" s="2" t="s">
        <v>1465</v>
      </c>
      <c r="P161" s="2" t="s">
        <v>1466</v>
      </c>
      <c r="Q161" s="2" t="s">
        <v>1467</v>
      </c>
      <c r="R161" s="2" t="s">
        <v>114</v>
      </c>
      <c r="S161" s="2" t="s">
        <v>994</v>
      </c>
      <c r="T161" s="2" t="s">
        <v>1468</v>
      </c>
      <c r="U161" s="2" t="s">
        <v>1459</v>
      </c>
      <c r="V161" s="2" t="s">
        <v>161</v>
      </c>
      <c r="W161" s="2" t="s">
        <v>56</v>
      </c>
    </row>
    <row r="162">
      <c r="A162" s="2" t="n">
        <v>118</v>
      </c>
      <c r="B162" s="2" t="s">
        <v>12479</v>
      </c>
      <c r="C162" s="2" t="s">
        <v>1469</v>
      </c>
      <c r="D162" s="2" t="n">
        <v>168.9922627</v>
      </c>
      <c r="E162" s="2" t="n">
        <v>1.46764395156704</v>
      </c>
      <c r="F162" s="2" t="s">
        <v>1471</v>
      </c>
      <c r="G162" s="2" t="n">
        <v>210732</v>
      </c>
      <c r="H162" s="3" t="str">
        <f>HYPERLINK("http://funmeta.oebiotech.com/network/210732", "http://funmeta.oebiotech.com/network/210732")</f>
      </c>
      <c r="I162" s="2" t="s">
        <v>1473</v>
      </c>
      <c r="J162" s="2" t="s">
        <v>1474</v>
      </c>
      <c r="K162" s="2"/>
      <c r="L162" s="2"/>
      <c r="M162" s="2"/>
      <c r="N162" s="2" t="s">
        <v>1475</v>
      </c>
      <c r="O162" s="2"/>
      <c r="P162" s="2" t="s">
        <v>1476</v>
      </c>
      <c r="Q162" s="2" t="s">
        <v>1477</v>
      </c>
      <c r="R162" s="2" t="s">
        <v>114</v>
      </c>
      <c r="S162" s="2" t="s">
        <v>1478</v>
      </c>
      <c r="T162" s="2" t="s">
        <v>215</v>
      </c>
      <c r="U162" s="2" t="s">
        <v>1470</v>
      </c>
      <c r="V162" s="2" t="s">
        <v>86</v>
      </c>
      <c r="W162" s="2"/>
    </row>
    <row r="163">
      <c r="A163" s="2" t="n">
        <v>119</v>
      </c>
      <c r="B163" s="2" t="s">
        <v>12480</v>
      </c>
      <c r="C163" s="2" t="s">
        <v>1479</v>
      </c>
      <c r="D163" s="2" t="n">
        <v>169.991187407</v>
      </c>
      <c r="E163" s="2" t="n">
        <v>7.66654945104024</v>
      </c>
      <c r="F163" s="2" t="s">
        <v>1481</v>
      </c>
      <c r="G163" s="2" t="n">
        <v>48318</v>
      </c>
      <c r="H163" s="3" t="str">
        <f>HYPERLINK("http://funmeta.oebiotech.com/network/48318", "http://funmeta.oebiotech.com/network/48318")</f>
      </c>
      <c r="I163" s="2" t="s">
        <v>1483</v>
      </c>
      <c r="J163" s="2" t="s">
        <v>1484</v>
      </c>
      <c r="K163" s="2"/>
      <c r="L163" s="2"/>
      <c r="M163" s="2" t="s">
        <v>1485</v>
      </c>
      <c r="N163" s="2" t="s">
        <v>1486</v>
      </c>
      <c r="O163" s="2" t="s">
        <v>1487</v>
      </c>
      <c r="P163" s="2" t="s">
        <v>1488</v>
      </c>
      <c r="Q163" s="2" t="s">
        <v>1489</v>
      </c>
      <c r="R163" s="2" t="s">
        <v>36</v>
      </c>
      <c r="S163" s="2" t="s">
        <v>37</v>
      </c>
      <c r="T163" s="2" t="s">
        <v>69</v>
      </c>
      <c r="U163" s="2" t="s">
        <v>1480</v>
      </c>
      <c r="V163" s="2" t="s">
        <v>161</v>
      </c>
      <c r="W163" s="2" t="s">
        <v>39</v>
      </c>
    </row>
    <row r="164">
      <c r="A164" s="2" t="n">
        <v>120</v>
      </c>
      <c r="B164" s="2" t="s">
        <v>12481</v>
      </c>
      <c r="C164" s="2" t="s">
        <v>1490</v>
      </c>
      <c r="D164" s="2" t="n">
        <v>170.045331467</v>
      </c>
      <c r="E164" s="2" t="n">
        <v>2.33218970900302</v>
      </c>
      <c r="F164" s="2" t="s">
        <v>1492</v>
      </c>
      <c r="G164" s="2" t="n">
        <v>47415</v>
      </c>
      <c r="H164" s="3" t="str">
        <f>HYPERLINK("http://funmeta.oebiotech.com/network/47415", "http://funmeta.oebiotech.com/network/47415")</f>
      </c>
      <c r="I164" s="2" t="s">
        <v>1494</v>
      </c>
      <c r="J164" s="2" t="s">
        <v>1495</v>
      </c>
      <c r="K164" s="2"/>
      <c r="L164" s="2" t="s">
        <v>1496</v>
      </c>
      <c r="M164" s="2" t="s">
        <v>1497</v>
      </c>
      <c r="N164" s="2" t="s">
        <v>1498</v>
      </c>
      <c r="O164" s="2" t="s">
        <v>1499</v>
      </c>
      <c r="P164" s="2" t="s">
        <v>1500</v>
      </c>
      <c r="Q164" s="2" t="s">
        <v>1501</v>
      </c>
      <c r="R164" s="2" t="s">
        <v>36</v>
      </c>
      <c r="S164" s="2" t="s">
        <v>37</v>
      </c>
      <c r="T164" s="2" t="s">
        <v>69</v>
      </c>
      <c r="U164" s="2" t="s">
        <v>1491</v>
      </c>
      <c r="V164" s="2" t="s">
        <v>161</v>
      </c>
      <c r="W164" s="2" t="s">
        <v>39</v>
      </c>
    </row>
    <row r="165">
      <c r="A165" s="2" t="n">
        <v>121</v>
      </c>
      <c r="B165" s="2" t="s">
        <v>12482</v>
      </c>
      <c r="C165" s="2" t="s">
        <v>1502</v>
      </c>
      <c r="D165" s="2" t="n">
        <v>171.00791277</v>
      </c>
      <c r="E165" s="2" t="n">
        <v>2.7846874564362</v>
      </c>
      <c r="F165" s="2" t="s">
        <v>1504</v>
      </c>
      <c r="G165" s="2" t="n">
        <v>46900</v>
      </c>
      <c r="H165" s="3" t="str">
        <f>HYPERLINK("http://funmeta.oebiotech.com/network/46900", "http://funmeta.oebiotech.com/network/46900")</f>
      </c>
      <c r="I165" s="2" t="s">
        <v>1506</v>
      </c>
      <c r="J165" s="2" t="s">
        <v>1507</v>
      </c>
      <c r="K165" s="2"/>
      <c r="L165" s="2" t="s">
        <v>1508</v>
      </c>
      <c r="M165" s="2" t="s">
        <v>1509</v>
      </c>
      <c r="N165" s="2" t="s">
        <v>1510</v>
      </c>
      <c r="O165" s="2" t="s">
        <v>1511</v>
      </c>
      <c r="P165" s="2" t="s">
        <v>1512</v>
      </c>
      <c r="Q165" s="2" t="s">
        <v>1513</v>
      </c>
      <c r="R165" s="2" t="s">
        <v>114</v>
      </c>
      <c r="S165" s="2" t="s">
        <v>730</v>
      </c>
      <c r="T165" s="2" t="s">
        <v>731</v>
      </c>
      <c r="U165" s="2" t="s">
        <v>1503</v>
      </c>
      <c r="V165" s="2" t="s">
        <v>86</v>
      </c>
      <c r="W165" s="2" t="s">
        <v>39</v>
      </c>
    </row>
    <row r="166">
      <c r="A166" s="2" t="n">
        <v>122</v>
      </c>
      <c r="B166" s="2" t="s">
        <v>12483</v>
      </c>
      <c r="C166" s="2" t="s">
        <v>1514</v>
      </c>
      <c r="D166" s="2" t="n">
        <v>171.066282872</v>
      </c>
      <c r="E166" s="2" t="n">
        <v>2.44471118783888</v>
      </c>
      <c r="F166" s="2" t="s">
        <v>12484</v>
      </c>
      <c r="G166" s="2" t="n">
        <v>2890</v>
      </c>
      <c r="H166" s="3" t="str">
        <f>HYPERLINK("http://funmeta.oebiotech.com/network/2890", "http://funmeta.oebiotech.com/network/2890")</f>
      </c>
      <c r="I166" s="2" t="s">
        <v>12485</v>
      </c>
      <c r="J166" s="2" t="s">
        <v>12486</v>
      </c>
      <c r="K166" s="2" t="s">
        <v>12487</v>
      </c>
      <c r="L166" s="2"/>
      <c r="M166" s="2"/>
      <c r="N166" s="2" t="s">
        <v>12488</v>
      </c>
      <c r="O166" s="2" t="s">
        <v>12489</v>
      </c>
      <c r="P166" s="2" t="s">
        <v>12490</v>
      </c>
      <c r="Q166" s="2" t="s">
        <v>12491</v>
      </c>
      <c r="R166" s="2" t="s">
        <v>794</v>
      </c>
      <c r="S166" s="2" t="s">
        <v>795</v>
      </c>
      <c r="T166" s="2" t="s">
        <v>796</v>
      </c>
      <c r="U166" s="2" t="s">
        <v>1515</v>
      </c>
      <c r="V166" s="2" t="s">
        <v>24</v>
      </c>
      <c r="W166" s="2" t="s">
        <v>56</v>
      </c>
    </row>
    <row r="167">
      <c r="A167" s="2" t="n">
        <v>122</v>
      </c>
      <c r="B167" s="2" t="s">
        <v>12492</v>
      </c>
      <c r="C167" s="2" t="s">
        <v>1514</v>
      </c>
      <c r="D167" s="2" t="n">
        <v>171.066282872</v>
      </c>
      <c r="E167" s="2" t="n">
        <v>2.44471118783888</v>
      </c>
      <c r="F167" s="2" t="s">
        <v>12493</v>
      </c>
      <c r="G167" s="2" t="n">
        <v>47001</v>
      </c>
      <c r="H167" s="3" t="str">
        <f>HYPERLINK("http://funmeta.oebiotech.com/network/47001", "http://funmeta.oebiotech.com/network/47001")</f>
      </c>
      <c r="I167" s="2" t="s">
        <v>12494</v>
      </c>
      <c r="J167" s="2" t="s">
        <v>12495</v>
      </c>
      <c r="K167" s="2"/>
      <c r="L167" s="2"/>
      <c r="M167" s="2" t="s">
        <v>12496</v>
      </c>
      <c r="N167" s="2" t="s">
        <v>12497</v>
      </c>
      <c r="O167" s="2" t="s">
        <v>12498</v>
      </c>
      <c r="P167" s="2" t="s">
        <v>12499</v>
      </c>
      <c r="Q167" s="2" t="s">
        <v>12500</v>
      </c>
      <c r="R167" s="2" t="s">
        <v>794</v>
      </c>
      <c r="S167" s="2" t="s">
        <v>795</v>
      </c>
      <c r="T167" s="2" t="s">
        <v>796</v>
      </c>
      <c r="U167" s="2" t="s">
        <v>1515</v>
      </c>
      <c r="V167" s="2" t="s">
        <v>24</v>
      </c>
      <c r="W167" s="2" t="s">
        <v>56</v>
      </c>
    </row>
    <row r="168">
      <c r="A168" s="2" t="n">
        <v>122</v>
      </c>
      <c r="B168" s="2" t="s">
        <v>12501</v>
      </c>
      <c r="C168" s="2" t="s">
        <v>1514</v>
      </c>
      <c r="D168" s="2" t="n">
        <v>171.066282872</v>
      </c>
      <c r="E168" s="2" t="n">
        <v>2.44471118783888</v>
      </c>
      <c r="F168" s="2" t="s">
        <v>12502</v>
      </c>
      <c r="G168" s="2" t="n">
        <v>52244</v>
      </c>
      <c r="H168" s="3" t="str">
        <f>HYPERLINK("http://funmeta.oebiotech.com/network/52244", "http://funmeta.oebiotech.com/network/52244")</f>
      </c>
      <c r="I168" s="2" t="s">
        <v>12503</v>
      </c>
      <c r="J168" s="2"/>
      <c r="K168" s="2"/>
      <c r="L168" s="2"/>
      <c r="M168" s="2" t="s">
        <v>12504</v>
      </c>
      <c r="N168" s="2" t="s">
        <v>12505</v>
      </c>
      <c r="O168" s="2"/>
      <c r="P168" s="2" t="s">
        <v>12506</v>
      </c>
      <c r="Q168" s="2" t="s">
        <v>12507</v>
      </c>
      <c r="R168" s="2" t="s">
        <v>794</v>
      </c>
      <c r="S168" s="2" t="s">
        <v>795</v>
      </c>
      <c r="T168" s="2" t="s">
        <v>796</v>
      </c>
      <c r="U168" s="2" t="s">
        <v>1515</v>
      </c>
      <c r="V168" s="2" t="s">
        <v>24</v>
      </c>
      <c r="W168" s="2" t="s">
        <v>56</v>
      </c>
    </row>
    <row r="169">
      <c r="A169" s="2" t="n">
        <v>123</v>
      </c>
      <c r="B169" s="2" t="s">
        <v>12508</v>
      </c>
      <c r="C169" s="2" t="s">
        <v>1526</v>
      </c>
      <c r="D169" s="2" t="n">
        <v>171.102668375</v>
      </c>
      <c r="E169" s="2" t="n">
        <v>10.7973468527555</v>
      </c>
      <c r="F169" s="2" t="s">
        <v>1528</v>
      </c>
      <c r="G169" s="2" t="n">
        <v>2157</v>
      </c>
      <c r="H169" s="3" t="str">
        <f>HYPERLINK("http://funmeta.oebiotech.com/network/2157", "http://funmeta.oebiotech.com/network/2157")</f>
      </c>
      <c r="I169" s="2" t="s">
        <v>1530</v>
      </c>
      <c r="J169" s="2" t="s">
        <v>1531</v>
      </c>
      <c r="K169" s="2" t="s">
        <v>1532</v>
      </c>
      <c r="L169" s="2" t="s">
        <v>1533</v>
      </c>
      <c r="M169" s="2" t="s">
        <v>1534</v>
      </c>
      <c r="N169" s="2" t="s">
        <v>1535</v>
      </c>
      <c r="O169" s="2"/>
      <c r="P169" s="2" t="s">
        <v>1536</v>
      </c>
      <c r="Q169" s="2" t="s">
        <v>1537</v>
      </c>
      <c r="R169" s="2" t="s">
        <v>794</v>
      </c>
      <c r="S169" s="2" t="s">
        <v>795</v>
      </c>
      <c r="T169" s="2" t="s">
        <v>796</v>
      </c>
      <c r="U169" s="2" t="s">
        <v>1527</v>
      </c>
      <c r="V169" s="2" t="s">
        <v>24</v>
      </c>
      <c r="W169" s="2" t="s">
        <v>56</v>
      </c>
    </row>
    <row r="170">
      <c r="A170" s="2" t="n">
        <v>124</v>
      </c>
      <c r="B170" s="2" t="s">
        <v>12509</v>
      </c>
      <c r="C170" s="2" t="s">
        <v>1538</v>
      </c>
      <c r="D170" s="2" t="n">
        <v>172.007388263</v>
      </c>
      <c r="E170" s="2" t="n">
        <v>9.65759392614085</v>
      </c>
      <c r="F170" s="2" t="s">
        <v>12510</v>
      </c>
      <c r="G170" s="2" t="n">
        <v>257678</v>
      </c>
      <c r="H170" s="3" t="str">
        <f>HYPERLINK("http://funmeta.oebiotech.com/network/257678", "http://funmeta.oebiotech.com/network/257678")</f>
      </c>
      <c r="I170" s="2" t="s">
        <v>12511</v>
      </c>
      <c r="J170" s="2"/>
      <c r="K170" s="2"/>
      <c r="L170" s="2" t="s">
        <v>12512</v>
      </c>
      <c r="M170" s="2" t="s">
        <v>12513</v>
      </c>
      <c r="N170" s="2" t="s">
        <v>12514</v>
      </c>
      <c r="O170" s="2"/>
      <c r="P170" s="2" t="s">
        <v>12515</v>
      </c>
      <c r="Q170" s="2" t="s">
        <v>12516</v>
      </c>
      <c r="R170" s="2" t="s">
        <v>186</v>
      </c>
      <c r="S170" s="2" t="s">
        <v>187</v>
      </c>
      <c r="T170" s="2" t="s">
        <v>1950</v>
      </c>
      <c r="U170" s="2" t="s">
        <v>1539</v>
      </c>
      <c r="V170" s="2" t="s">
        <v>24</v>
      </c>
      <c r="W170" s="2" t="s">
        <v>101</v>
      </c>
    </row>
    <row r="171">
      <c r="A171" s="2" t="n">
        <v>124</v>
      </c>
      <c r="B171" s="2" t="s">
        <v>12517</v>
      </c>
      <c r="C171" s="2" t="s">
        <v>1538</v>
      </c>
      <c r="D171" s="2" t="n">
        <v>172.007388263</v>
      </c>
      <c r="E171" s="2" t="n">
        <v>9.65759392614085</v>
      </c>
      <c r="F171" s="2" t="s">
        <v>12518</v>
      </c>
      <c r="G171" s="2" t="n">
        <v>212068</v>
      </c>
      <c r="H171" s="3" t="str">
        <f>HYPERLINK("http://funmeta.oebiotech.com/network/212068", "http://funmeta.oebiotech.com/network/212068")</f>
      </c>
      <c r="I171" s="2" t="s">
        <v>12519</v>
      </c>
      <c r="J171" s="2"/>
      <c r="K171" s="2"/>
      <c r="L171" s="2" t="s">
        <v>12520</v>
      </c>
      <c r="M171" s="2" t="s">
        <v>12521</v>
      </c>
      <c r="N171" s="2"/>
      <c r="O171" s="2"/>
      <c r="P171" s="2" t="s">
        <v>12522</v>
      </c>
      <c r="Q171" s="2" t="s">
        <v>12523</v>
      </c>
      <c r="R171" s="2" t="s">
        <v>186</v>
      </c>
      <c r="S171" s="2" t="s">
        <v>187</v>
      </c>
      <c r="T171" s="2" t="s">
        <v>1950</v>
      </c>
      <c r="U171" s="2" t="s">
        <v>1539</v>
      </c>
      <c r="V171" s="2" t="s">
        <v>24</v>
      </c>
      <c r="W171" s="2" t="s">
        <v>101</v>
      </c>
    </row>
    <row r="172">
      <c r="A172" s="2" t="n">
        <v>125</v>
      </c>
      <c r="B172" s="2" t="s">
        <v>12524</v>
      </c>
      <c r="C172" s="2" t="s">
        <v>1549</v>
      </c>
      <c r="D172" s="2" t="n">
        <v>172.109150735</v>
      </c>
      <c r="E172" s="2" t="n">
        <v>15.6978428603715</v>
      </c>
      <c r="F172" s="2" t="s">
        <v>12525</v>
      </c>
      <c r="G172" s="2" t="n">
        <v>201075</v>
      </c>
      <c r="H172" s="3" t="str">
        <f>HYPERLINK("http://funmeta.oebiotech.com/network/201075", "http://funmeta.oebiotech.com/network/201075")</f>
      </c>
      <c r="I172" s="2" t="s">
        <v>12526</v>
      </c>
      <c r="J172" s="2"/>
      <c r="K172" s="2"/>
      <c r="L172" s="2"/>
      <c r="M172" s="2"/>
      <c r="N172" s="2" t="s">
        <v>12527</v>
      </c>
      <c r="O172" s="2"/>
      <c r="P172" s="2" t="s">
        <v>12528</v>
      </c>
      <c r="Q172" s="2" t="s">
        <v>12529</v>
      </c>
      <c r="R172" s="2" t="s">
        <v>36</v>
      </c>
      <c r="S172" s="2" t="s">
        <v>37</v>
      </c>
      <c r="T172" s="2" t="s">
        <v>69</v>
      </c>
      <c r="U172" s="2" t="s">
        <v>1550</v>
      </c>
      <c r="V172" s="2" t="s">
        <v>24</v>
      </c>
      <c r="W172" s="2"/>
    </row>
    <row r="173">
      <c r="A173" s="2" t="n">
        <v>125</v>
      </c>
      <c r="B173" s="2" t="s">
        <v>12530</v>
      </c>
      <c r="C173" s="2" t="s">
        <v>1549</v>
      </c>
      <c r="D173" s="2" t="n">
        <v>172.109150735</v>
      </c>
      <c r="E173" s="2" t="n">
        <v>15.6978428603715</v>
      </c>
      <c r="F173" s="2" t="s">
        <v>12531</v>
      </c>
      <c r="G173" s="2" t="n">
        <v>201569</v>
      </c>
      <c r="H173" s="3" t="str">
        <f>HYPERLINK("http://funmeta.oebiotech.com/network/201569", "http://funmeta.oebiotech.com/network/201569")</f>
      </c>
      <c r="I173" s="2" t="s">
        <v>12532</v>
      </c>
      <c r="J173" s="2"/>
      <c r="K173" s="2"/>
      <c r="L173" s="2"/>
      <c r="M173" s="2"/>
      <c r="N173" s="2"/>
      <c r="O173" s="2"/>
      <c r="P173" s="2" t="s">
        <v>12533</v>
      </c>
      <c r="Q173" s="2" t="s">
        <v>12534</v>
      </c>
      <c r="R173" s="2" t="s">
        <v>36</v>
      </c>
      <c r="S173" s="2" t="s">
        <v>37</v>
      </c>
      <c r="T173" s="2" t="s">
        <v>69</v>
      </c>
      <c r="U173" s="2" t="s">
        <v>1550</v>
      </c>
      <c r="V173" s="2" t="s">
        <v>24</v>
      </c>
      <c r="W173" s="2"/>
    </row>
    <row r="174">
      <c r="A174" s="2" t="n">
        <v>125</v>
      </c>
      <c r="B174" s="2" t="s">
        <v>12535</v>
      </c>
      <c r="C174" s="2" t="s">
        <v>1549</v>
      </c>
      <c r="D174" s="2" t="n">
        <v>172.109150739</v>
      </c>
      <c r="E174" s="2" t="n">
        <v>15.6978428603715</v>
      </c>
      <c r="F174" s="2" t="s">
        <v>12536</v>
      </c>
      <c r="G174" s="2" t="n">
        <v>81712</v>
      </c>
      <c r="H174" s="3" t="str">
        <f>HYPERLINK("http://funmeta.oebiotech.com/network/81712", "http://funmeta.oebiotech.com/network/81712")</f>
      </c>
      <c r="I174" s="2" t="s">
        <v>12537</v>
      </c>
      <c r="J174" s="2" t="s">
        <v>12538</v>
      </c>
      <c r="K174" s="2"/>
      <c r="L174" s="2"/>
      <c r="M174" s="2"/>
      <c r="N174" s="2" t="s">
        <v>12539</v>
      </c>
      <c r="O174" s="2"/>
      <c r="P174" s="2" t="s">
        <v>12540</v>
      </c>
      <c r="Q174" s="2" t="s">
        <v>12541</v>
      </c>
      <c r="R174" s="2" t="s">
        <v>36</v>
      </c>
      <c r="S174" s="2" t="s">
        <v>568</v>
      </c>
      <c r="T174" s="2" t="s">
        <v>11915</v>
      </c>
      <c r="U174" s="2" t="s">
        <v>1550</v>
      </c>
      <c r="V174" s="2" t="s">
        <v>24</v>
      </c>
      <c r="W174" s="2"/>
    </row>
    <row r="175">
      <c r="A175" s="2" t="n">
        <v>126</v>
      </c>
      <c r="B175" s="2" t="s">
        <v>12542</v>
      </c>
      <c r="C175" s="2" t="s">
        <v>1561</v>
      </c>
      <c r="D175" s="2" t="n">
        <v>172.9003374</v>
      </c>
      <c r="E175" s="2" t="n">
        <v>3.80390593901898</v>
      </c>
      <c r="F175" s="2" t="s">
        <v>1563</v>
      </c>
      <c r="G175" s="2" t="n">
        <v>55596</v>
      </c>
      <c r="H175" s="3" t="str">
        <f>HYPERLINK("http://funmeta.oebiotech.com/network/55596", "http://funmeta.oebiotech.com/network/55596")</f>
      </c>
      <c r="I175" s="2" t="s">
        <v>1565</v>
      </c>
      <c r="J175" s="2" t="s">
        <v>1566</v>
      </c>
      <c r="K175" s="2"/>
      <c r="L175" s="2"/>
      <c r="M175" s="2"/>
      <c r="N175" s="2" t="s">
        <v>1567</v>
      </c>
      <c r="O175" s="2" t="s">
        <v>1568</v>
      </c>
      <c r="P175" s="2" t="s">
        <v>1569</v>
      </c>
      <c r="Q175" s="2" t="s">
        <v>1570</v>
      </c>
      <c r="R175" s="2" t="s">
        <v>644</v>
      </c>
      <c r="S175" s="2" t="s">
        <v>1571</v>
      </c>
      <c r="T175" s="2" t="s">
        <v>215</v>
      </c>
      <c r="U175" s="2" t="s">
        <v>1562</v>
      </c>
      <c r="V175" s="2" t="s">
        <v>24</v>
      </c>
      <c r="W175" s="2"/>
    </row>
    <row r="176">
      <c r="A176" s="2" t="n">
        <v>127</v>
      </c>
      <c r="B176" s="2" t="s">
        <v>12543</v>
      </c>
      <c r="C176" s="2" t="s">
        <v>1572</v>
      </c>
      <c r="D176" s="2" t="n">
        <v>173.093166319</v>
      </c>
      <c r="E176" s="2" t="n">
        <v>8.57794770155182</v>
      </c>
      <c r="F176" s="2" t="s">
        <v>1574</v>
      </c>
      <c r="G176" s="2" t="n">
        <v>53881</v>
      </c>
      <c r="H176" s="3" t="str">
        <f>HYPERLINK("http://funmeta.oebiotech.com/network/53881", "http://funmeta.oebiotech.com/network/53881")</f>
      </c>
      <c r="I176" s="2" t="s">
        <v>1576</v>
      </c>
      <c r="J176" s="2" t="s">
        <v>1577</v>
      </c>
      <c r="K176" s="2"/>
      <c r="L176" s="2"/>
      <c r="M176" s="2" t="s">
        <v>1578</v>
      </c>
      <c r="N176" s="2" t="s">
        <v>1579</v>
      </c>
      <c r="O176" s="2" t="s">
        <v>1580</v>
      </c>
      <c r="P176" s="2" t="s">
        <v>1581</v>
      </c>
      <c r="Q176" s="2" t="s">
        <v>1582</v>
      </c>
      <c r="R176" s="2" t="s">
        <v>36</v>
      </c>
      <c r="S176" s="2" t="s">
        <v>37</v>
      </c>
      <c r="T176" s="2" t="s">
        <v>69</v>
      </c>
      <c r="U176" s="2" t="s">
        <v>1573</v>
      </c>
      <c r="V176" s="2" t="s">
        <v>24</v>
      </c>
      <c r="W176" s="2" t="s">
        <v>39</v>
      </c>
    </row>
    <row r="177">
      <c r="A177" s="2" t="n">
        <v>128</v>
      </c>
      <c r="B177" s="2" t="s">
        <v>12544</v>
      </c>
      <c r="C177" s="2" t="s">
        <v>1583</v>
      </c>
      <c r="D177" s="2" t="n">
        <v>173.118318442</v>
      </c>
      <c r="E177" s="2" t="n">
        <v>8.5774391827356</v>
      </c>
      <c r="F177" s="2" t="s">
        <v>1585</v>
      </c>
      <c r="G177" s="2" t="n">
        <v>1671</v>
      </c>
      <c r="H177" s="3" t="str">
        <f>HYPERLINK("http://funmeta.oebiotech.com/network/1671", "http://funmeta.oebiotech.com/network/1671")</f>
      </c>
      <c r="I177" s="2" t="s">
        <v>1587</v>
      </c>
      <c r="J177" s="2" t="s">
        <v>1588</v>
      </c>
      <c r="K177" s="2" t="s">
        <v>1589</v>
      </c>
      <c r="L177" s="2"/>
      <c r="M177" s="2"/>
      <c r="N177" s="2" t="s">
        <v>1590</v>
      </c>
      <c r="O177" s="2" t="s">
        <v>1591</v>
      </c>
      <c r="P177" s="2" t="s">
        <v>1592</v>
      </c>
      <c r="Q177" s="2" t="s">
        <v>1593</v>
      </c>
      <c r="R177" s="2" t="s">
        <v>36</v>
      </c>
      <c r="S177" s="2" t="s">
        <v>82</v>
      </c>
      <c r="T177" s="2" t="s">
        <v>1594</v>
      </c>
      <c r="U177" s="2" t="s">
        <v>1584</v>
      </c>
      <c r="V177" s="2" t="s">
        <v>24</v>
      </c>
      <c r="W177" s="2" t="s">
        <v>56</v>
      </c>
    </row>
    <row r="178">
      <c r="A178" s="2" t="n">
        <v>129</v>
      </c>
      <c r="B178" s="2" t="s">
        <v>12545</v>
      </c>
      <c r="C178" s="2" t="s">
        <v>1595</v>
      </c>
      <c r="D178" s="2" t="n">
        <v>174.022488012</v>
      </c>
      <c r="E178" s="2" t="n">
        <v>1.32635385677498</v>
      </c>
      <c r="F178" s="2" t="s">
        <v>1597</v>
      </c>
      <c r="G178" s="2" t="n">
        <v>201976</v>
      </c>
      <c r="H178" s="3" t="str">
        <f>HYPERLINK("http://funmeta.oebiotech.com/network/201976", "http://funmeta.oebiotech.com/network/201976")</f>
      </c>
      <c r="I178" s="2" t="s">
        <v>1599</v>
      </c>
      <c r="J178" s="2"/>
      <c r="K178" s="2"/>
      <c r="L178" s="2"/>
      <c r="M178" s="2"/>
      <c r="N178" s="2" t="s">
        <v>1600</v>
      </c>
      <c r="O178" s="2"/>
      <c r="P178" s="2" t="s">
        <v>1601</v>
      </c>
      <c r="Q178" s="2" t="s">
        <v>1602</v>
      </c>
      <c r="R178" s="2" t="s">
        <v>36</v>
      </c>
      <c r="S178" s="2" t="s">
        <v>37</v>
      </c>
      <c r="T178" s="2" t="s">
        <v>69</v>
      </c>
      <c r="U178" s="2" t="s">
        <v>1596</v>
      </c>
      <c r="V178" s="2" t="s">
        <v>161</v>
      </c>
      <c r="W178" s="2"/>
    </row>
    <row r="179">
      <c r="A179" s="2" t="n">
        <v>130</v>
      </c>
      <c r="B179" s="2" t="s">
        <v>12546</v>
      </c>
      <c r="C179" s="2" t="s">
        <v>1603</v>
      </c>
      <c r="D179" s="2" t="n">
        <v>175.026941749</v>
      </c>
      <c r="E179" s="2" t="n">
        <v>1.04442201024474</v>
      </c>
      <c r="F179" s="2" t="s">
        <v>1605</v>
      </c>
      <c r="G179" s="2" t="n">
        <v>52106</v>
      </c>
      <c r="H179" s="3" t="str">
        <f>HYPERLINK("http://funmeta.oebiotech.com/network/52106", "http://funmeta.oebiotech.com/network/52106")</f>
      </c>
      <c r="I179" s="2" t="s">
        <v>1607</v>
      </c>
      <c r="J179" s="2"/>
      <c r="K179" s="2"/>
      <c r="L179" s="2"/>
      <c r="M179" s="2"/>
      <c r="N179" s="2"/>
      <c r="O179" s="2" t="s">
        <v>1608</v>
      </c>
      <c r="P179" s="2" t="s">
        <v>1609</v>
      </c>
      <c r="Q179" s="2" t="s">
        <v>1610</v>
      </c>
      <c r="R179" s="2" t="s">
        <v>114</v>
      </c>
      <c r="S179" s="2" t="s">
        <v>994</v>
      </c>
      <c r="T179" s="2" t="s">
        <v>1611</v>
      </c>
      <c r="U179" s="2" t="s">
        <v>1604</v>
      </c>
      <c r="V179" s="2" t="s">
        <v>161</v>
      </c>
      <c r="W179" s="2"/>
    </row>
    <row r="180">
      <c r="A180" s="2" t="n">
        <v>131</v>
      </c>
      <c r="B180" s="2" t="s">
        <v>12547</v>
      </c>
      <c r="C180" s="2" t="s">
        <v>1612</v>
      </c>
      <c r="D180" s="2" t="n">
        <v>175.073768282</v>
      </c>
      <c r="E180" s="2" t="n">
        <v>3.1683085125771</v>
      </c>
      <c r="F180" s="2" t="s">
        <v>1614</v>
      </c>
      <c r="G180" s="2" t="n">
        <v>202367</v>
      </c>
      <c r="H180" s="3" t="str">
        <f>HYPERLINK("http://funmeta.oebiotech.com/network/202367", "http://funmeta.oebiotech.com/network/202367")</f>
      </c>
      <c r="I180" s="2" t="s">
        <v>1616</v>
      </c>
      <c r="J180" s="2"/>
      <c r="K180" s="2"/>
      <c r="L180" s="2"/>
      <c r="M180" s="2"/>
      <c r="N180" s="2" t="s">
        <v>1617</v>
      </c>
      <c r="O180" s="2"/>
      <c r="P180" s="2" t="s">
        <v>1618</v>
      </c>
      <c r="Q180" s="2" t="s">
        <v>1619</v>
      </c>
      <c r="R180" s="2" t="s">
        <v>114</v>
      </c>
      <c r="S180" s="2" t="s">
        <v>680</v>
      </c>
      <c r="T180" s="2" t="s">
        <v>215</v>
      </c>
      <c r="U180" s="2" t="s">
        <v>1613</v>
      </c>
      <c r="V180" s="2" t="s">
        <v>24</v>
      </c>
      <c r="W180" s="2"/>
    </row>
    <row r="181">
      <c r="A181" s="2" t="n">
        <v>132</v>
      </c>
      <c r="B181" s="2" t="s">
        <v>12548</v>
      </c>
      <c r="C181" s="2" t="s">
        <v>1620</v>
      </c>
      <c r="D181" s="2" t="n">
        <v>176.936064782</v>
      </c>
      <c r="E181" s="2" t="n">
        <v>13.6509902252234</v>
      </c>
      <c r="F181" s="2" t="s">
        <v>12549</v>
      </c>
      <c r="G181" s="2" t="n">
        <v>47613</v>
      </c>
      <c r="H181" s="3" t="str">
        <f>HYPERLINK("http://funmeta.oebiotech.com/network/47613", "http://funmeta.oebiotech.com/network/47613")</f>
      </c>
      <c r="I181" s="2" t="s">
        <v>12550</v>
      </c>
      <c r="J181" s="2" t="s">
        <v>12551</v>
      </c>
      <c r="K181" s="2"/>
      <c r="L181" s="2" t="s">
        <v>12552</v>
      </c>
      <c r="M181" s="2" t="s">
        <v>12553</v>
      </c>
      <c r="N181" s="2" t="s">
        <v>12554</v>
      </c>
      <c r="O181" s="2" t="s">
        <v>12555</v>
      </c>
      <c r="P181" s="2" t="s">
        <v>12556</v>
      </c>
      <c r="Q181" s="2" t="s">
        <v>12557</v>
      </c>
      <c r="R181" s="2" t="s">
        <v>36</v>
      </c>
      <c r="S181" s="2" t="s">
        <v>2572</v>
      </c>
      <c r="T181" s="2" t="s">
        <v>2637</v>
      </c>
      <c r="U181" s="2" t="s">
        <v>1621</v>
      </c>
      <c r="V181" s="2" t="s">
        <v>218</v>
      </c>
      <c r="W181" s="2" t="s">
        <v>56</v>
      </c>
    </row>
    <row r="182">
      <c r="A182" s="2" t="n">
        <v>132</v>
      </c>
      <c r="B182" s="2" t="s">
        <v>12558</v>
      </c>
      <c r="C182" s="2" t="s">
        <v>1620</v>
      </c>
      <c r="D182" s="2" t="n">
        <v>176.936064782</v>
      </c>
      <c r="E182" s="2" t="n">
        <v>13.6509902252234</v>
      </c>
      <c r="F182" s="2" t="s">
        <v>12559</v>
      </c>
      <c r="G182" s="2" t="n">
        <v>48235</v>
      </c>
      <c r="H182" s="3" t="str">
        <f>HYPERLINK("http://funmeta.oebiotech.com/network/48235", "http://funmeta.oebiotech.com/network/48235")</f>
      </c>
      <c r="I182" s="2" t="s">
        <v>12560</v>
      </c>
      <c r="J182" s="2" t="s">
        <v>12561</v>
      </c>
      <c r="K182" s="2"/>
      <c r="L182" s="2" t="s">
        <v>12562</v>
      </c>
      <c r="M182" s="2" t="s">
        <v>12563</v>
      </c>
      <c r="N182" s="2" t="s">
        <v>12564</v>
      </c>
      <c r="O182" s="2" t="s">
        <v>12565</v>
      </c>
      <c r="P182" s="2" t="s">
        <v>12566</v>
      </c>
      <c r="Q182" s="2" t="s">
        <v>12567</v>
      </c>
      <c r="R182" s="2" t="s">
        <v>36</v>
      </c>
      <c r="S182" s="2" t="s">
        <v>1108</v>
      </c>
      <c r="T182" s="2" t="s">
        <v>1109</v>
      </c>
      <c r="U182" s="2" t="s">
        <v>1621</v>
      </c>
      <c r="V182" s="2" t="s">
        <v>218</v>
      </c>
      <c r="W182" s="2" t="s">
        <v>56</v>
      </c>
    </row>
    <row r="183">
      <c r="A183" s="2" t="n">
        <v>133</v>
      </c>
      <c r="B183" s="2" t="s">
        <v>12568</v>
      </c>
      <c r="C183" s="2" t="s">
        <v>1634</v>
      </c>
      <c r="D183" s="2" t="n">
        <v>177.040462052</v>
      </c>
      <c r="E183" s="2" t="n">
        <v>8.01915956213763</v>
      </c>
      <c r="F183" s="2" t="s">
        <v>1636</v>
      </c>
      <c r="G183" s="2" t="n">
        <v>48114</v>
      </c>
      <c r="H183" s="3" t="str">
        <f>HYPERLINK("http://funmeta.oebiotech.com/network/48114", "http://funmeta.oebiotech.com/network/48114")</f>
      </c>
      <c r="I183" s="2" t="s">
        <v>1638</v>
      </c>
      <c r="J183" s="2" t="s">
        <v>1639</v>
      </c>
      <c r="K183" s="2"/>
      <c r="L183" s="2" t="s">
        <v>1640</v>
      </c>
      <c r="M183" s="2" t="s">
        <v>1641</v>
      </c>
      <c r="N183" s="2" t="s">
        <v>1642</v>
      </c>
      <c r="O183" s="2" t="s">
        <v>1643</v>
      </c>
      <c r="P183" s="2" t="s">
        <v>1644</v>
      </c>
      <c r="Q183" s="2" t="s">
        <v>1645</v>
      </c>
      <c r="R183" s="2" t="s">
        <v>114</v>
      </c>
      <c r="S183" s="2" t="s">
        <v>1646</v>
      </c>
      <c r="T183" s="2" t="s">
        <v>1647</v>
      </c>
      <c r="U183" s="2" t="s">
        <v>1635</v>
      </c>
      <c r="V183" s="2" t="s">
        <v>24</v>
      </c>
      <c r="W183" s="2" t="s">
        <v>39</v>
      </c>
    </row>
    <row r="184">
      <c r="A184" s="2" t="n">
        <v>134</v>
      </c>
      <c r="B184" s="2" t="s">
        <v>12569</v>
      </c>
      <c r="C184" s="2" t="s">
        <v>1648</v>
      </c>
      <c r="D184" s="2" t="n">
        <v>178.017749173</v>
      </c>
      <c r="E184" s="2" t="n">
        <v>7.61552604164176</v>
      </c>
      <c r="F184" s="2" t="s">
        <v>1650</v>
      </c>
      <c r="G184" s="2" t="n">
        <v>201708</v>
      </c>
      <c r="H184" s="3" t="str">
        <f>HYPERLINK("http://funmeta.oebiotech.com/network/201708", "http://funmeta.oebiotech.com/network/201708")</f>
      </c>
      <c r="I184" s="2" t="s">
        <v>1652</v>
      </c>
      <c r="J184" s="2"/>
      <c r="K184" s="2"/>
      <c r="L184" s="2"/>
      <c r="M184" s="2"/>
      <c r="N184" s="2" t="s">
        <v>1653</v>
      </c>
      <c r="O184" s="2"/>
      <c r="P184" s="2" t="s">
        <v>1654</v>
      </c>
      <c r="Q184" s="2" t="s">
        <v>1655</v>
      </c>
      <c r="R184" s="2" t="s">
        <v>186</v>
      </c>
      <c r="S184" s="2" t="s">
        <v>187</v>
      </c>
      <c r="T184" s="2" t="s">
        <v>1656</v>
      </c>
      <c r="U184" s="2" t="s">
        <v>1649</v>
      </c>
      <c r="V184" s="2" t="s">
        <v>86</v>
      </c>
      <c r="W184" s="2"/>
    </row>
    <row r="185">
      <c r="A185" s="2" t="n">
        <v>135</v>
      </c>
      <c r="B185" s="2" t="s">
        <v>12570</v>
      </c>
      <c r="C185" s="2" t="s">
        <v>1657</v>
      </c>
      <c r="D185" s="2" t="n">
        <v>178.97521368</v>
      </c>
      <c r="E185" s="2" t="n">
        <v>2.21207302861133</v>
      </c>
      <c r="F185" s="2" t="s">
        <v>12571</v>
      </c>
      <c r="G185" s="2" t="n">
        <v>2889</v>
      </c>
      <c r="H185" s="3" t="str">
        <f>HYPERLINK("http://funmeta.oebiotech.com/network/2889", "http://funmeta.oebiotech.com/network/2889")</f>
      </c>
      <c r="I185" s="2" t="s">
        <v>12572</v>
      </c>
      <c r="J185" s="2" t="s">
        <v>12573</v>
      </c>
      <c r="K185" s="2" t="s">
        <v>12574</v>
      </c>
      <c r="L185" s="2" t="s">
        <v>12575</v>
      </c>
      <c r="M185" s="2" t="s">
        <v>12576</v>
      </c>
      <c r="N185" s="2" t="s">
        <v>12577</v>
      </c>
      <c r="O185" s="2" t="s">
        <v>12578</v>
      </c>
      <c r="P185" s="2" t="s">
        <v>12579</v>
      </c>
      <c r="Q185" s="2" t="s">
        <v>12580</v>
      </c>
      <c r="R185" s="2" t="s">
        <v>794</v>
      </c>
      <c r="S185" s="2" t="s">
        <v>795</v>
      </c>
      <c r="T185" s="2" t="s">
        <v>796</v>
      </c>
      <c r="U185" s="2" t="s">
        <v>1658</v>
      </c>
      <c r="V185" s="2" t="s">
        <v>218</v>
      </c>
      <c r="W185" s="2" t="s">
        <v>56</v>
      </c>
    </row>
    <row r="186">
      <c r="A186" s="2" t="n">
        <v>135</v>
      </c>
      <c r="B186" s="2" t="s">
        <v>12581</v>
      </c>
      <c r="C186" s="2" t="s">
        <v>1657</v>
      </c>
      <c r="D186" s="2" t="n">
        <v>178.97521368</v>
      </c>
      <c r="E186" s="2" t="n">
        <v>2.21207302861133</v>
      </c>
      <c r="F186" s="2" t="s">
        <v>12582</v>
      </c>
      <c r="G186" s="2" t="n">
        <v>47942</v>
      </c>
      <c r="H186" s="3" t="str">
        <f>HYPERLINK("http://funmeta.oebiotech.com/network/47942", "http://funmeta.oebiotech.com/network/47942")</f>
      </c>
      <c r="I186" s="2" t="s">
        <v>12583</v>
      </c>
      <c r="J186" s="2" t="s">
        <v>12584</v>
      </c>
      <c r="K186" s="2"/>
      <c r="L186" s="2" t="s">
        <v>12585</v>
      </c>
      <c r="M186" s="2" t="s">
        <v>12586</v>
      </c>
      <c r="N186" s="2" t="s">
        <v>12587</v>
      </c>
      <c r="O186" s="2" t="s">
        <v>12588</v>
      </c>
      <c r="P186" s="2" t="s">
        <v>12589</v>
      </c>
      <c r="Q186" s="2" t="s">
        <v>12590</v>
      </c>
      <c r="R186" s="2" t="s">
        <v>114</v>
      </c>
      <c r="S186" s="2" t="s">
        <v>1019</v>
      </c>
      <c r="T186" s="2" t="s">
        <v>1020</v>
      </c>
      <c r="U186" s="2" t="s">
        <v>1658</v>
      </c>
      <c r="V186" s="2" t="s">
        <v>218</v>
      </c>
      <c r="W186" s="2" t="s">
        <v>56</v>
      </c>
    </row>
    <row r="187">
      <c r="A187" s="2" t="n">
        <v>135</v>
      </c>
      <c r="B187" s="2" t="s">
        <v>12591</v>
      </c>
      <c r="C187" s="2" t="s">
        <v>1657</v>
      </c>
      <c r="D187" s="2" t="n">
        <v>178.97521368</v>
      </c>
      <c r="E187" s="2" t="n">
        <v>2.21207302861133</v>
      </c>
      <c r="F187" s="2" t="s">
        <v>12592</v>
      </c>
      <c r="G187" s="2" t="n">
        <v>2925</v>
      </c>
      <c r="H187" s="3" t="str">
        <f>HYPERLINK("http://funmeta.oebiotech.com/network/2925", "http://funmeta.oebiotech.com/network/2925")</f>
      </c>
      <c r="I187" s="2" t="s">
        <v>12593</v>
      </c>
      <c r="J187" s="2" t="s">
        <v>12594</v>
      </c>
      <c r="K187" s="2" t="s">
        <v>12595</v>
      </c>
      <c r="L187" s="2" t="s">
        <v>12596</v>
      </c>
      <c r="M187" s="2" t="s">
        <v>12597</v>
      </c>
      <c r="N187" s="2" t="s">
        <v>12598</v>
      </c>
      <c r="O187" s="2" t="s">
        <v>12599</v>
      </c>
      <c r="P187" s="2" t="s">
        <v>12600</v>
      </c>
      <c r="Q187" s="2" t="s">
        <v>12601</v>
      </c>
      <c r="R187" s="2" t="s">
        <v>794</v>
      </c>
      <c r="S187" s="2" t="s">
        <v>795</v>
      </c>
      <c r="T187" s="2" t="s">
        <v>796</v>
      </c>
      <c r="U187" s="2" t="s">
        <v>1658</v>
      </c>
      <c r="V187" s="2" t="s">
        <v>218</v>
      </c>
      <c r="W187" s="2" t="s">
        <v>56</v>
      </c>
    </row>
    <row r="188">
      <c r="A188" s="2" t="n">
        <v>136</v>
      </c>
      <c r="B188" s="2" t="s">
        <v>12602</v>
      </c>
      <c r="C188" s="2" t="s">
        <v>1673</v>
      </c>
      <c r="D188" s="2" t="n">
        <v>179.0111102</v>
      </c>
      <c r="E188" s="2" t="n">
        <v>0.522701903450896</v>
      </c>
      <c r="F188" s="2" t="s">
        <v>1675</v>
      </c>
      <c r="G188" s="2" t="n">
        <v>200506</v>
      </c>
      <c r="H188" s="3" t="str">
        <f>HYPERLINK("http://funmeta.oebiotech.com/network/200506", "http://funmeta.oebiotech.com/network/200506")</f>
      </c>
      <c r="I188" s="2" t="s">
        <v>1677</v>
      </c>
      <c r="J188" s="2"/>
      <c r="K188" s="2"/>
      <c r="L188" s="2"/>
      <c r="M188" s="2"/>
      <c r="N188" s="2" t="s">
        <v>1678</v>
      </c>
      <c r="O188" s="2"/>
      <c r="P188" s="2" t="s">
        <v>1679</v>
      </c>
      <c r="Q188" s="2" t="s">
        <v>1680</v>
      </c>
      <c r="R188" s="2" t="s">
        <v>129</v>
      </c>
      <c r="S188" s="2" t="s">
        <v>130</v>
      </c>
      <c r="T188" s="2" t="s">
        <v>1681</v>
      </c>
      <c r="U188" s="2" t="s">
        <v>1674</v>
      </c>
      <c r="V188" s="2" t="s">
        <v>161</v>
      </c>
      <c r="W188" s="2"/>
    </row>
    <row r="189">
      <c r="A189" s="2" t="n">
        <v>137</v>
      </c>
      <c r="B189" s="2" t="s">
        <v>12603</v>
      </c>
      <c r="C189" s="2" t="s">
        <v>1682</v>
      </c>
      <c r="D189" s="2" t="n">
        <v>179.058792191</v>
      </c>
      <c r="E189" s="2" t="n">
        <v>6.61028131107807</v>
      </c>
      <c r="F189" s="2" t="s">
        <v>1684</v>
      </c>
      <c r="G189" s="2" t="n">
        <v>52093</v>
      </c>
      <c r="H189" s="3" t="str">
        <f>HYPERLINK("http://funmeta.oebiotech.com/network/52093", "http://funmeta.oebiotech.com/network/52093")</f>
      </c>
      <c r="I189" s="2" t="s">
        <v>1686</v>
      </c>
      <c r="J189" s="2"/>
      <c r="K189" s="2"/>
      <c r="L189" s="2"/>
      <c r="M189" s="2"/>
      <c r="N189" s="2" t="s">
        <v>1687</v>
      </c>
      <c r="O189" s="2"/>
      <c r="P189" s="2" t="s">
        <v>1688</v>
      </c>
      <c r="Q189" s="2" t="s">
        <v>1689</v>
      </c>
      <c r="R189" s="2" t="s">
        <v>114</v>
      </c>
      <c r="S189" s="2" t="s">
        <v>994</v>
      </c>
      <c r="T189" s="2" t="s">
        <v>215</v>
      </c>
      <c r="U189" s="2" t="s">
        <v>1683</v>
      </c>
      <c r="V189" s="2" t="s">
        <v>24</v>
      </c>
      <c r="W189" s="2"/>
    </row>
    <row r="190">
      <c r="A190" s="2" t="n">
        <v>138</v>
      </c>
      <c r="B190" s="2" t="s">
        <v>12604</v>
      </c>
      <c r="C190" s="2" t="s">
        <v>1690</v>
      </c>
      <c r="D190" s="2" t="n">
        <v>179.107753756</v>
      </c>
      <c r="E190" s="2" t="n">
        <v>1.92109577955765</v>
      </c>
      <c r="F190" s="2" t="s">
        <v>12605</v>
      </c>
      <c r="G190" s="2" t="n">
        <v>54866</v>
      </c>
      <c r="H190" s="3" t="str">
        <f>HYPERLINK("http://funmeta.oebiotech.com/network/54866", "http://funmeta.oebiotech.com/network/54866")</f>
      </c>
      <c r="I190" s="2" t="s">
        <v>12606</v>
      </c>
      <c r="J190" s="2" t="s">
        <v>12607</v>
      </c>
      <c r="K190" s="2"/>
      <c r="L190" s="2"/>
      <c r="M190" s="2" t="s">
        <v>12608</v>
      </c>
      <c r="N190" s="2" t="s">
        <v>12609</v>
      </c>
      <c r="O190" s="2" t="s">
        <v>12610</v>
      </c>
      <c r="P190" s="2" t="s">
        <v>12611</v>
      </c>
      <c r="Q190" s="2" t="s">
        <v>12612</v>
      </c>
      <c r="R190" s="2" t="s">
        <v>129</v>
      </c>
      <c r="S190" s="2" t="s">
        <v>130</v>
      </c>
      <c r="T190" s="2" t="s">
        <v>4901</v>
      </c>
      <c r="U190" s="2" t="s">
        <v>1691</v>
      </c>
      <c r="V190" s="2" t="s">
        <v>24</v>
      </c>
      <c r="W190" s="2" t="s">
        <v>56</v>
      </c>
    </row>
    <row r="191">
      <c r="A191" s="2" t="n">
        <v>138</v>
      </c>
      <c r="B191" s="2" t="s">
        <v>12613</v>
      </c>
      <c r="C191" s="2" t="s">
        <v>1690</v>
      </c>
      <c r="D191" s="2" t="n">
        <v>179.107753756</v>
      </c>
      <c r="E191" s="2" t="n">
        <v>1.92109577955765</v>
      </c>
      <c r="F191" s="2" t="s">
        <v>12614</v>
      </c>
      <c r="G191" s="2" t="n">
        <v>54892</v>
      </c>
      <c r="H191" s="3" t="str">
        <f>HYPERLINK("http://funmeta.oebiotech.com/network/54892", "http://funmeta.oebiotech.com/network/54892")</f>
      </c>
      <c r="I191" s="2" t="s">
        <v>12615</v>
      </c>
      <c r="J191" s="2" t="s">
        <v>12616</v>
      </c>
      <c r="K191" s="2"/>
      <c r="L191" s="2"/>
      <c r="M191" s="2"/>
      <c r="N191" s="2" t="s">
        <v>12617</v>
      </c>
      <c r="O191" s="2" t="s">
        <v>12618</v>
      </c>
      <c r="P191" s="2" t="s">
        <v>12619</v>
      </c>
      <c r="Q191" s="2" t="s">
        <v>12620</v>
      </c>
      <c r="R191" s="2" t="s">
        <v>129</v>
      </c>
      <c r="S191" s="2" t="s">
        <v>130</v>
      </c>
      <c r="T191" s="2" t="s">
        <v>4133</v>
      </c>
      <c r="U191" s="2" t="s">
        <v>1691</v>
      </c>
      <c r="V191" s="2" t="s">
        <v>24</v>
      </c>
      <c r="W191" s="2" t="s">
        <v>56</v>
      </c>
    </row>
    <row r="192">
      <c r="A192" s="2" t="n">
        <v>138</v>
      </c>
      <c r="B192" s="2" t="s">
        <v>12621</v>
      </c>
      <c r="C192" s="2" t="s">
        <v>1690</v>
      </c>
      <c r="D192" s="2" t="n">
        <v>179.107753756</v>
      </c>
      <c r="E192" s="2" t="n">
        <v>1.92109577955765</v>
      </c>
      <c r="F192" s="2" t="s">
        <v>12622</v>
      </c>
      <c r="G192" s="2" t="n">
        <v>60349</v>
      </c>
      <c r="H192" s="3" t="str">
        <f>HYPERLINK("http://funmeta.oebiotech.com/network/60349", "http://funmeta.oebiotech.com/network/60349")</f>
      </c>
      <c r="I192" s="2" t="s">
        <v>12623</v>
      </c>
      <c r="J192" s="2" t="s">
        <v>12624</v>
      </c>
      <c r="K192" s="2"/>
      <c r="L192" s="2"/>
      <c r="M192" s="2"/>
      <c r="N192" s="2" t="s">
        <v>12625</v>
      </c>
      <c r="O192" s="2" t="s">
        <v>12626</v>
      </c>
      <c r="P192" s="2" t="s">
        <v>12627</v>
      </c>
      <c r="Q192" s="2" t="s">
        <v>12628</v>
      </c>
      <c r="R192" s="2" t="s">
        <v>794</v>
      </c>
      <c r="S192" s="2" t="s">
        <v>1098</v>
      </c>
      <c r="T192" s="2" t="s">
        <v>1099</v>
      </c>
      <c r="U192" s="2" t="s">
        <v>1691</v>
      </c>
      <c r="V192" s="2" t="s">
        <v>24</v>
      </c>
      <c r="W192" s="2" t="s">
        <v>56</v>
      </c>
    </row>
    <row r="193">
      <c r="A193" s="2" t="n">
        <v>139</v>
      </c>
      <c r="B193" s="2" t="s">
        <v>12629</v>
      </c>
      <c r="C193" s="2" t="s">
        <v>1704</v>
      </c>
      <c r="D193" s="2" t="n">
        <v>180.040914791</v>
      </c>
      <c r="E193" s="2" t="n">
        <v>1.46552339533402</v>
      </c>
      <c r="F193" s="2" t="s">
        <v>1706</v>
      </c>
      <c r="G193" s="2" t="n">
        <v>55193</v>
      </c>
      <c r="H193" s="3" t="str">
        <f>HYPERLINK("http://funmeta.oebiotech.com/network/55193", "http://funmeta.oebiotech.com/network/55193")</f>
      </c>
      <c r="I193" s="2" t="s">
        <v>1708</v>
      </c>
      <c r="J193" s="2"/>
      <c r="K193" s="2"/>
      <c r="L193" s="2" t="s">
        <v>1709</v>
      </c>
      <c r="M193" s="2" t="s">
        <v>1710</v>
      </c>
      <c r="N193" s="2" t="s">
        <v>1711</v>
      </c>
      <c r="O193" s="2" t="s">
        <v>1712</v>
      </c>
      <c r="P193" s="2" t="s">
        <v>1713</v>
      </c>
      <c r="Q193" s="2" t="s">
        <v>1714</v>
      </c>
      <c r="R193" s="2" t="s">
        <v>36</v>
      </c>
      <c r="S193" s="2" t="s">
        <v>37</v>
      </c>
      <c r="T193" s="2" t="s">
        <v>69</v>
      </c>
      <c r="U193" s="2" t="s">
        <v>1705</v>
      </c>
      <c r="V193" s="2" t="s">
        <v>161</v>
      </c>
      <c r="W193" s="2" t="s">
        <v>56</v>
      </c>
    </row>
    <row r="194">
      <c r="A194" s="2" t="n">
        <v>140</v>
      </c>
      <c r="B194" s="2" t="s">
        <v>12630</v>
      </c>
      <c r="C194" s="2" t="s">
        <v>1715</v>
      </c>
      <c r="D194" s="2" t="n">
        <v>181.123399512</v>
      </c>
      <c r="E194" s="2" t="n">
        <v>11.5868871695553</v>
      </c>
      <c r="F194" s="2" t="s">
        <v>12631</v>
      </c>
      <c r="G194" s="2" t="n">
        <v>35359</v>
      </c>
      <c r="H194" s="3" t="str">
        <f>HYPERLINK("http://funmeta.oebiotech.com/network/35359", "http://funmeta.oebiotech.com/network/35359")</f>
      </c>
      <c r="I194" s="2" t="s">
        <v>12632</v>
      </c>
      <c r="J194" s="2" t="s">
        <v>12633</v>
      </c>
      <c r="K194" s="2" t="s">
        <v>12634</v>
      </c>
      <c r="L194" s="2" t="s">
        <v>12635</v>
      </c>
      <c r="M194" s="2" t="s">
        <v>12636</v>
      </c>
      <c r="N194" s="2" t="s">
        <v>12637</v>
      </c>
      <c r="O194" s="2" t="s">
        <v>12638</v>
      </c>
      <c r="P194" s="2" t="s">
        <v>12639</v>
      </c>
      <c r="Q194" s="2" t="s">
        <v>12640</v>
      </c>
      <c r="R194" s="2" t="s">
        <v>794</v>
      </c>
      <c r="S194" s="2" t="s">
        <v>1098</v>
      </c>
      <c r="T194" s="2" t="s">
        <v>1099</v>
      </c>
      <c r="U194" s="2" t="s">
        <v>1716</v>
      </c>
      <c r="V194" s="2" t="s">
        <v>205</v>
      </c>
      <c r="W194" s="2" t="s">
        <v>56</v>
      </c>
    </row>
    <row r="195">
      <c r="A195" s="2" t="n">
        <v>140</v>
      </c>
      <c r="B195" s="2" t="s">
        <v>12641</v>
      </c>
      <c r="C195" s="2" t="s">
        <v>1715</v>
      </c>
      <c r="D195" s="2" t="n">
        <v>181.123399512</v>
      </c>
      <c r="E195" s="2" t="n">
        <v>11.5868871695553</v>
      </c>
      <c r="F195" s="2" t="s">
        <v>12642</v>
      </c>
      <c r="G195" s="2" t="n">
        <v>35367</v>
      </c>
      <c r="H195" s="3" t="str">
        <f>HYPERLINK("http://funmeta.oebiotech.com/network/35367", "http://funmeta.oebiotech.com/network/35367")</f>
      </c>
      <c r="I195" s="2" t="s">
        <v>12643</v>
      </c>
      <c r="J195" s="2" t="s">
        <v>12644</v>
      </c>
      <c r="K195" s="2" t="s">
        <v>12645</v>
      </c>
      <c r="L195" s="2" t="s">
        <v>12646</v>
      </c>
      <c r="M195" s="2" t="s">
        <v>12647</v>
      </c>
      <c r="N195" s="2" t="s">
        <v>12648</v>
      </c>
      <c r="O195" s="2" t="s">
        <v>12649</v>
      </c>
      <c r="P195" s="2" t="s">
        <v>12650</v>
      </c>
      <c r="Q195" s="2" t="s">
        <v>12651</v>
      </c>
      <c r="R195" s="2" t="s">
        <v>794</v>
      </c>
      <c r="S195" s="2" t="s">
        <v>1098</v>
      </c>
      <c r="T195" s="2" t="s">
        <v>1099</v>
      </c>
      <c r="U195" s="2" t="s">
        <v>1716</v>
      </c>
      <c r="V195" s="2" t="s">
        <v>205</v>
      </c>
      <c r="W195" s="2" t="s">
        <v>56</v>
      </c>
    </row>
    <row r="196">
      <c r="A196" s="2" t="n">
        <v>140</v>
      </c>
      <c r="B196" s="2" t="s">
        <v>12652</v>
      </c>
      <c r="C196" s="2" t="s">
        <v>1715</v>
      </c>
      <c r="D196" s="2" t="n">
        <v>181.123399515</v>
      </c>
      <c r="E196" s="2" t="n">
        <v>11.5868871695553</v>
      </c>
      <c r="F196" s="2" t="s">
        <v>12653</v>
      </c>
      <c r="G196" s="2" t="n">
        <v>35243</v>
      </c>
      <c r="H196" s="3" t="str">
        <f>HYPERLINK("http://funmeta.oebiotech.com/network/35243", "http://funmeta.oebiotech.com/network/35243")</f>
      </c>
      <c r="I196" s="2" t="s">
        <v>12654</v>
      </c>
      <c r="J196" s="2" t="s">
        <v>12655</v>
      </c>
      <c r="K196" s="2" t="s">
        <v>12656</v>
      </c>
      <c r="L196" s="2" t="s">
        <v>12657</v>
      </c>
      <c r="M196" s="2" t="s">
        <v>12658</v>
      </c>
      <c r="N196" s="2" t="s">
        <v>12659</v>
      </c>
      <c r="O196" s="2" t="s">
        <v>12660</v>
      </c>
      <c r="P196" s="2" t="s">
        <v>12661</v>
      </c>
      <c r="Q196" s="2" t="s">
        <v>12662</v>
      </c>
      <c r="R196" s="2" t="s">
        <v>794</v>
      </c>
      <c r="S196" s="2" t="s">
        <v>1098</v>
      </c>
      <c r="T196" s="2" t="s">
        <v>1099</v>
      </c>
      <c r="U196" s="2" t="s">
        <v>1716</v>
      </c>
      <c r="V196" s="2" t="s">
        <v>205</v>
      </c>
      <c r="W196" s="2" t="s">
        <v>56</v>
      </c>
    </row>
    <row r="197">
      <c r="A197" s="2" t="n">
        <v>141</v>
      </c>
      <c r="B197" s="2" t="s">
        <v>12663</v>
      </c>
      <c r="C197" s="2" t="s">
        <v>1730</v>
      </c>
      <c r="D197" s="2" t="n">
        <v>181.968416199</v>
      </c>
      <c r="E197" s="2" t="n">
        <v>0.736133885975815</v>
      </c>
      <c r="F197" s="2" t="s">
        <v>1732</v>
      </c>
      <c r="G197" s="2" t="n">
        <v>200723</v>
      </c>
      <c r="H197" s="3" t="str">
        <f>HYPERLINK("http://funmeta.oebiotech.com/network/200723", "http://funmeta.oebiotech.com/network/200723")</f>
      </c>
      <c r="I197" s="2" t="s">
        <v>1734</v>
      </c>
      <c r="J197" s="2"/>
      <c r="K197" s="2"/>
      <c r="L197" s="2"/>
      <c r="M197" s="2"/>
      <c r="N197" s="2"/>
      <c r="O197" s="2"/>
      <c r="P197" s="2" t="s">
        <v>1735</v>
      </c>
      <c r="Q197" s="2" t="s">
        <v>1736</v>
      </c>
      <c r="R197" s="2" t="s">
        <v>36</v>
      </c>
      <c r="S197" s="2" t="s">
        <v>37</v>
      </c>
      <c r="T197" s="2" t="s">
        <v>69</v>
      </c>
      <c r="U197" s="2" t="s">
        <v>1731</v>
      </c>
      <c r="V197" s="2" t="s">
        <v>86</v>
      </c>
      <c r="W197" s="2"/>
    </row>
    <row r="198">
      <c r="A198" s="2" t="n">
        <v>142</v>
      </c>
      <c r="B198" s="2" t="s">
        <v>12664</v>
      </c>
      <c r="C198" s="2" t="s">
        <v>1737</v>
      </c>
      <c r="D198" s="2" t="n">
        <v>182.057110861</v>
      </c>
      <c r="E198" s="2" t="n">
        <v>3.76588658324733</v>
      </c>
      <c r="F198" s="2" t="s">
        <v>1739</v>
      </c>
      <c r="G198" s="2" t="n">
        <v>53205</v>
      </c>
      <c r="H198" s="3" t="str">
        <f>HYPERLINK("http://funmeta.oebiotech.com/network/53205", "http://funmeta.oebiotech.com/network/53205")</f>
      </c>
      <c r="I198" s="2" t="s">
        <v>1741</v>
      </c>
      <c r="J198" s="2" t="s">
        <v>1742</v>
      </c>
      <c r="K198" s="2"/>
      <c r="L198" s="2" t="s">
        <v>1743</v>
      </c>
      <c r="M198" s="2" t="s">
        <v>1744</v>
      </c>
      <c r="N198" s="2" t="s">
        <v>1745</v>
      </c>
      <c r="O198" s="2" t="s">
        <v>1746</v>
      </c>
      <c r="P198" s="2" t="s">
        <v>1747</v>
      </c>
      <c r="Q198" s="2" t="s">
        <v>1748</v>
      </c>
      <c r="R198" s="2" t="s">
        <v>114</v>
      </c>
      <c r="S198" s="2" t="s">
        <v>936</v>
      </c>
      <c r="T198" s="2" t="s">
        <v>1749</v>
      </c>
      <c r="U198" s="2" t="s">
        <v>1738</v>
      </c>
      <c r="V198" s="2" t="s">
        <v>205</v>
      </c>
      <c r="W198" s="2" t="s">
        <v>56</v>
      </c>
    </row>
    <row r="199">
      <c r="A199" s="2" t="n">
        <v>143</v>
      </c>
      <c r="B199" s="2" t="s">
        <v>12665</v>
      </c>
      <c r="C199" s="2" t="s">
        <v>1750</v>
      </c>
      <c r="D199" s="2" t="n">
        <v>183.003916397</v>
      </c>
      <c r="E199" s="2" t="n">
        <v>0.964273293232317</v>
      </c>
      <c r="F199" s="2" t="s">
        <v>1752</v>
      </c>
      <c r="G199" s="2" t="n">
        <v>52558</v>
      </c>
      <c r="H199" s="3" t="str">
        <f>HYPERLINK("http://funmeta.oebiotech.com/network/52558", "http://funmeta.oebiotech.com/network/52558")</f>
      </c>
      <c r="I199" s="2" t="s">
        <v>1754</v>
      </c>
      <c r="J199" s="2" t="s">
        <v>1755</v>
      </c>
      <c r="K199" s="2"/>
      <c r="L199" s="2"/>
      <c r="M199" s="2" t="s">
        <v>1756</v>
      </c>
      <c r="N199" s="2" t="s">
        <v>1757</v>
      </c>
      <c r="O199" s="2"/>
      <c r="P199" s="2" t="s">
        <v>1758</v>
      </c>
      <c r="Q199" s="2" t="s">
        <v>1759</v>
      </c>
      <c r="R199" s="2" t="s">
        <v>186</v>
      </c>
      <c r="S199" s="2" t="s">
        <v>187</v>
      </c>
      <c r="T199" s="2" t="s">
        <v>1760</v>
      </c>
      <c r="U199" s="2" t="s">
        <v>1751</v>
      </c>
      <c r="V199" s="2" t="s">
        <v>531</v>
      </c>
      <c r="W199" s="2" t="s">
        <v>56</v>
      </c>
    </row>
    <row r="200">
      <c r="A200" s="2" t="n">
        <v>144</v>
      </c>
      <c r="B200" s="2" t="s">
        <v>12666</v>
      </c>
      <c r="C200" s="2" t="s">
        <v>1761</v>
      </c>
      <c r="D200" s="2" t="n">
        <v>184.003161737</v>
      </c>
      <c r="E200" s="2" t="n">
        <v>3.99504392812283</v>
      </c>
      <c r="F200" s="2" t="s">
        <v>1763</v>
      </c>
      <c r="G200" s="2" t="n">
        <v>211602</v>
      </c>
      <c r="H200" s="3" t="str">
        <f>HYPERLINK("http://funmeta.oebiotech.com/network/211602", "http://funmeta.oebiotech.com/network/211602")</f>
      </c>
      <c r="I200" s="2" t="s">
        <v>1765</v>
      </c>
      <c r="J200" s="2"/>
      <c r="K200" s="2"/>
      <c r="L200" s="2"/>
      <c r="M200" s="2"/>
      <c r="N200" s="2" t="s">
        <v>1766</v>
      </c>
      <c r="O200" s="2"/>
      <c r="P200" s="2" t="s">
        <v>1767</v>
      </c>
      <c r="Q200" s="2" t="s">
        <v>1768</v>
      </c>
      <c r="R200" s="2" t="s">
        <v>114</v>
      </c>
      <c r="S200" s="2" t="s">
        <v>730</v>
      </c>
      <c r="T200" s="2" t="s">
        <v>731</v>
      </c>
      <c r="U200" s="2" t="s">
        <v>1762</v>
      </c>
      <c r="V200" s="2" t="s">
        <v>86</v>
      </c>
      <c r="W200" s="2"/>
    </row>
    <row r="201">
      <c r="A201" s="2" t="n">
        <v>145</v>
      </c>
      <c r="B201" s="2" t="s">
        <v>12667</v>
      </c>
      <c r="C201" s="2" t="s">
        <v>1769</v>
      </c>
      <c r="D201" s="2" t="n">
        <v>185.04554743</v>
      </c>
      <c r="E201" s="2" t="n">
        <v>5.83364633488069</v>
      </c>
      <c r="F201" s="2" t="s">
        <v>1771</v>
      </c>
      <c r="G201" s="2" t="n">
        <v>64137</v>
      </c>
      <c r="H201" s="3" t="str">
        <f>HYPERLINK("http://funmeta.oebiotech.com/network/64137", "http://funmeta.oebiotech.com/network/64137")</f>
      </c>
      <c r="I201" s="2" t="s">
        <v>1773</v>
      </c>
      <c r="J201" s="2"/>
      <c r="K201" s="2"/>
      <c r="L201" s="2"/>
      <c r="M201" s="2" t="s">
        <v>1774</v>
      </c>
      <c r="N201" s="2" t="s">
        <v>1775</v>
      </c>
      <c r="O201" s="2" t="s">
        <v>1776</v>
      </c>
      <c r="P201" s="2" t="s">
        <v>1777</v>
      </c>
      <c r="Q201" s="2" t="s">
        <v>1778</v>
      </c>
      <c r="R201" s="2" t="s">
        <v>114</v>
      </c>
      <c r="S201" s="2" t="s">
        <v>1779</v>
      </c>
      <c r="T201" s="2" t="s">
        <v>1780</v>
      </c>
      <c r="U201" s="2" t="s">
        <v>1770</v>
      </c>
      <c r="V201" s="2" t="s">
        <v>24</v>
      </c>
      <c r="W201" s="2" t="s">
        <v>56</v>
      </c>
    </row>
    <row r="202">
      <c r="A202" s="2" t="n">
        <v>146</v>
      </c>
      <c r="B202" s="2" t="s">
        <v>12668</v>
      </c>
      <c r="C202" s="2" t="s">
        <v>1781</v>
      </c>
      <c r="D202" s="2" t="n">
        <v>185.085100458</v>
      </c>
      <c r="E202" s="2" t="n">
        <v>5.19217134553083</v>
      </c>
      <c r="F202" s="2" t="s">
        <v>12669</v>
      </c>
      <c r="G202" s="2" t="n">
        <v>56307</v>
      </c>
      <c r="H202" s="3" t="str">
        <f>HYPERLINK("http://funmeta.oebiotech.com/network/56307", "http://funmeta.oebiotech.com/network/56307")</f>
      </c>
      <c r="I202" s="2" t="s">
        <v>12670</v>
      </c>
      <c r="J202" s="2" t="s">
        <v>12671</v>
      </c>
      <c r="K202" s="2"/>
      <c r="L202" s="2"/>
      <c r="M202" s="2"/>
      <c r="N202" s="2" t="s">
        <v>12672</v>
      </c>
      <c r="O202" s="2" t="s">
        <v>12673</v>
      </c>
      <c r="P202" s="2" t="s">
        <v>12674</v>
      </c>
      <c r="Q202" s="2" t="s">
        <v>12675</v>
      </c>
      <c r="R202" s="2" t="s">
        <v>114</v>
      </c>
      <c r="S202" s="2" t="s">
        <v>369</v>
      </c>
      <c r="T202" s="2" t="s">
        <v>656</v>
      </c>
      <c r="U202" s="2" t="s">
        <v>1782</v>
      </c>
      <c r="V202" s="2" t="s">
        <v>86</v>
      </c>
      <c r="W202" s="2" t="s">
        <v>56</v>
      </c>
    </row>
    <row r="203">
      <c r="A203" s="2" t="n">
        <v>146</v>
      </c>
      <c r="B203" s="2" t="s">
        <v>12676</v>
      </c>
      <c r="C203" s="2" t="s">
        <v>1781</v>
      </c>
      <c r="D203" s="2" t="n">
        <v>185.085100458</v>
      </c>
      <c r="E203" s="2" t="n">
        <v>5.19217134553083</v>
      </c>
      <c r="F203" s="2" t="s">
        <v>12677</v>
      </c>
      <c r="G203" s="2" t="n">
        <v>63228</v>
      </c>
      <c r="H203" s="3" t="str">
        <f>HYPERLINK("http://funmeta.oebiotech.com/network/63228", "http://funmeta.oebiotech.com/network/63228")</f>
      </c>
      <c r="I203" s="2" t="s">
        <v>12678</v>
      </c>
      <c r="J203" s="2" t="s">
        <v>12679</v>
      </c>
      <c r="K203" s="2"/>
      <c r="L203" s="2"/>
      <c r="M203" s="2"/>
      <c r="N203" s="2" t="s">
        <v>12680</v>
      </c>
      <c r="O203" s="2" t="s">
        <v>12681</v>
      </c>
      <c r="P203" s="2" t="s">
        <v>12682</v>
      </c>
      <c r="Q203" s="2" t="s">
        <v>12683</v>
      </c>
      <c r="R203" s="2" t="s">
        <v>114</v>
      </c>
      <c r="S203" s="2" t="s">
        <v>369</v>
      </c>
      <c r="T203" s="2" t="s">
        <v>656</v>
      </c>
      <c r="U203" s="2" t="s">
        <v>1782</v>
      </c>
      <c r="V203" s="2" t="s">
        <v>86</v>
      </c>
      <c r="W203" s="2" t="s">
        <v>56</v>
      </c>
    </row>
    <row r="204">
      <c r="A204" s="2" t="n">
        <v>146</v>
      </c>
      <c r="B204" s="2" t="s">
        <v>12684</v>
      </c>
      <c r="C204" s="2" t="s">
        <v>1781</v>
      </c>
      <c r="D204" s="2" t="n">
        <v>185.085100458</v>
      </c>
      <c r="E204" s="2" t="n">
        <v>5.19217134553083</v>
      </c>
      <c r="F204" s="2" t="s">
        <v>12685</v>
      </c>
      <c r="G204" s="2" t="n">
        <v>63229</v>
      </c>
      <c r="H204" s="3" t="str">
        <f>HYPERLINK("http://funmeta.oebiotech.com/network/63229", "http://funmeta.oebiotech.com/network/63229")</f>
      </c>
      <c r="I204" s="2" t="s">
        <v>12686</v>
      </c>
      <c r="J204" s="2" t="s">
        <v>12687</v>
      </c>
      <c r="K204" s="2"/>
      <c r="L204" s="2"/>
      <c r="M204" s="2"/>
      <c r="N204" s="2" t="s">
        <v>12688</v>
      </c>
      <c r="O204" s="2" t="s">
        <v>12689</v>
      </c>
      <c r="P204" s="2" t="s">
        <v>12690</v>
      </c>
      <c r="Q204" s="2" t="s">
        <v>12691</v>
      </c>
      <c r="R204" s="2" t="s">
        <v>114</v>
      </c>
      <c r="S204" s="2" t="s">
        <v>369</v>
      </c>
      <c r="T204" s="2" t="s">
        <v>656</v>
      </c>
      <c r="U204" s="2" t="s">
        <v>1782</v>
      </c>
      <c r="V204" s="2" t="s">
        <v>86</v>
      </c>
      <c r="W204" s="2" t="s">
        <v>56</v>
      </c>
    </row>
    <row r="205">
      <c r="A205" s="2" t="n">
        <v>147</v>
      </c>
      <c r="B205" s="2" t="s">
        <v>12692</v>
      </c>
      <c r="C205" s="2" t="s">
        <v>1791</v>
      </c>
      <c r="D205" s="2" t="n">
        <v>186.0457938</v>
      </c>
      <c r="E205" s="2" t="n">
        <v>7.10194592073806</v>
      </c>
      <c r="F205" s="2" t="s">
        <v>1793</v>
      </c>
      <c r="G205" s="2" t="n">
        <v>206588</v>
      </c>
      <c r="H205" s="3" t="str">
        <f>HYPERLINK("http://funmeta.oebiotech.com/network/206588", "http://funmeta.oebiotech.com/network/206588")</f>
      </c>
      <c r="I205" s="2" t="s">
        <v>1795</v>
      </c>
      <c r="J205" s="2"/>
      <c r="K205" s="2"/>
      <c r="L205" s="2"/>
      <c r="M205" s="2" t="s">
        <v>1796</v>
      </c>
      <c r="N205" s="2" t="s">
        <v>1797</v>
      </c>
      <c r="O205" s="2"/>
      <c r="P205" s="2" t="s">
        <v>1798</v>
      </c>
      <c r="Q205" s="2" t="s">
        <v>1799</v>
      </c>
      <c r="R205" s="2" t="s">
        <v>601</v>
      </c>
      <c r="S205" s="2" t="s">
        <v>602</v>
      </c>
      <c r="T205" s="2" t="s">
        <v>1800</v>
      </c>
      <c r="U205" s="2" t="s">
        <v>1792</v>
      </c>
      <c r="V205" s="2" t="s">
        <v>86</v>
      </c>
      <c r="W205" s="2"/>
    </row>
    <row r="206">
      <c r="A206" s="2" t="n">
        <v>148</v>
      </c>
      <c r="B206" s="2" t="s">
        <v>12693</v>
      </c>
      <c r="C206" s="2" t="s">
        <v>1801</v>
      </c>
      <c r="D206" s="2" t="n">
        <v>187.043434632</v>
      </c>
      <c r="E206" s="2" t="n">
        <v>7.87531261592029</v>
      </c>
      <c r="F206" s="2" t="s">
        <v>12694</v>
      </c>
      <c r="G206" s="2" t="n">
        <v>63417</v>
      </c>
      <c r="H206" s="3" t="str">
        <f>HYPERLINK("http://funmeta.oebiotech.com/network/63417", "http://funmeta.oebiotech.com/network/63417")</f>
      </c>
      <c r="I206" s="2" t="s">
        <v>12695</v>
      </c>
      <c r="J206" s="2" t="s">
        <v>12696</v>
      </c>
      <c r="K206" s="2"/>
      <c r="L206" s="2"/>
      <c r="M206" s="2"/>
      <c r="N206" s="2" t="s">
        <v>12697</v>
      </c>
      <c r="O206" s="2" t="s">
        <v>12698</v>
      </c>
      <c r="P206" s="2" t="s">
        <v>12699</v>
      </c>
      <c r="Q206" s="2" t="s">
        <v>12700</v>
      </c>
      <c r="R206" s="2" t="s">
        <v>644</v>
      </c>
      <c r="S206" s="2" t="s">
        <v>12701</v>
      </c>
      <c r="T206" s="2" t="s">
        <v>12702</v>
      </c>
      <c r="U206" s="2" t="s">
        <v>1802</v>
      </c>
      <c r="V206" s="2" t="s">
        <v>205</v>
      </c>
      <c r="W206" s="2" t="s">
        <v>56</v>
      </c>
    </row>
    <row r="207">
      <c r="A207" s="2" t="n">
        <v>148</v>
      </c>
      <c r="B207" s="2" t="s">
        <v>12703</v>
      </c>
      <c r="C207" s="2" t="s">
        <v>1801</v>
      </c>
      <c r="D207" s="2" t="n">
        <v>187.043434632</v>
      </c>
      <c r="E207" s="2" t="n">
        <v>7.87531261592029</v>
      </c>
      <c r="F207" s="2" t="s">
        <v>12704</v>
      </c>
      <c r="G207" s="2" t="n">
        <v>63113</v>
      </c>
      <c r="H207" s="3" t="str">
        <f>HYPERLINK("http://funmeta.oebiotech.com/network/63113", "http://funmeta.oebiotech.com/network/63113")</f>
      </c>
      <c r="I207" s="2" t="s">
        <v>12705</v>
      </c>
      <c r="J207" s="2" t="s">
        <v>12706</v>
      </c>
      <c r="K207" s="2"/>
      <c r="L207" s="2"/>
      <c r="M207" s="2" t="s">
        <v>12707</v>
      </c>
      <c r="N207" s="2" t="s">
        <v>12708</v>
      </c>
      <c r="O207" s="2" t="s">
        <v>12709</v>
      </c>
      <c r="P207" s="2" t="s">
        <v>12710</v>
      </c>
      <c r="Q207" s="2" t="s">
        <v>12711</v>
      </c>
      <c r="R207" s="2" t="s">
        <v>114</v>
      </c>
      <c r="S207" s="2" t="s">
        <v>877</v>
      </c>
      <c r="T207" s="2" t="s">
        <v>215</v>
      </c>
      <c r="U207" s="2" t="s">
        <v>1802</v>
      </c>
      <c r="V207" s="2" t="s">
        <v>205</v>
      </c>
      <c r="W207" s="2" t="s">
        <v>56</v>
      </c>
    </row>
    <row r="208">
      <c r="A208" s="2" t="n">
        <v>149</v>
      </c>
      <c r="B208" s="2" t="s">
        <v>12712</v>
      </c>
      <c r="C208" s="2" t="s">
        <v>1815</v>
      </c>
      <c r="D208" s="2" t="n">
        <v>187.0750478</v>
      </c>
      <c r="E208" s="2" t="n">
        <v>0.782070180959174</v>
      </c>
      <c r="F208" s="2" t="s">
        <v>1817</v>
      </c>
      <c r="G208" s="2" t="n">
        <v>200381</v>
      </c>
      <c r="H208" s="3" t="str">
        <f>HYPERLINK("http://funmeta.oebiotech.com/network/200381", "http://funmeta.oebiotech.com/network/200381")</f>
      </c>
      <c r="I208" s="2" t="s">
        <v>1819</v>
      </c>
      <c r="J208" s="2"/>
      <c r="K208" s="2"/>
      <c r="L208" s="2"/>
      <c r="M208" s="2"/>
      <c r="N208" s="2" t="s">
        <v>1820</v>
      </c>
      <c r="O208" s="2"/>
      <c r="P208" s="2" t="s">
        <v>1821</v>
      </c>
      <c r="Q208" s="2" t="s">
        <v>1822</v>
      </c>
      <c r="R208" s="2" t="s">
        <v>129</v>
      </c>
      <c r="S208" s="2" t="s">
        <v>130</v>
      </c>
      <c r="T208" s="2" t="s">
        <v>131</v>
      </c>
      <c r="U208" s="2" t="s">
        <v>1816</v>
      </c>
      <c r="V208" s="2" t="s">
        <v>161</v>
      </c>
      <c r="W208" s="2"/>
    </row>
    <row r="209">
      <c r="A209" s="2" t="n">
        <v>150</v>
      </c>
      <c r="B209" s="2" t="s">
        <v>12713</v>
      </c>
      <c r="C209" s="2" t="s">
        <v>1823</v>
      </c>
      <c r="D209" s="2" t="n">
        <v>188.059613989</v>
      </c>
      <c r="E209" s="2" t="n">
        <v>17.482861600322</v>
      </c>
      <c r="F209" s="2" t="s">
        <v>1825</v>
      </c>
      <c r="G209" s="2" t="n">
        <v>52232</v>
      </c>
      <c r="H209" s="3" t="str">
        <f>HYPERLINK("http://funmeta.oebiotech.com/network/52232", "http://funmeta.oebiotech.com/network/52232")</f>
      </c>
      <c r="I209" s="2" t="s">
        <v>1827</v>
      </c>
      <c r="J209" s="2" t="s">
        <v>1828</v>
      </c>
      <c r="K209" s="2"/>
      <c r="L209" s="2" t="s">
        <v>1829</v>
      </c>
      <c r="M209" s="2" t="s">
        <v>1830</v>
      </c>
      <c r="N209" s="2" t="s">
        <v>1831</v>
      </c>
      <c r="O209" s="2" t="s">
        <v>1832</v>
      </c>
      <c r="P209" s="2" t="s">
        <v>1833</v>
      </c>
      <c r="Q209" s="2" t="s">
        <v>1834</v>
      </c>
      <c r="R209" s="2" t="s">
        <v>36</v>
      </c>
      <c r="S209" s="2" t="s">
        <v>37</v>
      </c>
      <c r="T209" s="2" t="s">
        <v>1217</v>
      </c>
      <c r="U209" s="2" t="s">
        <v>1824</v>
      </c>
      <c r="V209" s="2" t="s">
        <v>86</v>
      </c>
      <c r="W209" s="2" t="s">
        <v>56</v>
      </c>
    </row>
    <row r="210">
      <c r="A210" s="2" t="n">
        <v>151</v>
      </c>
      <c r="B210" s="2" t="s">
        <v>12714</v>
      </c>
      <c r="C210" s="2" t="s">
        <v>1835</v>
      </c>
      <c r="D210" s="2" t="n">
        <v>188.092831967</v>
      </c>
      <c r="E210" s="2" t="n">
        <v>6.37930898577982</v>
      </c>
      <c r="F210" s="2" t="s">
        <v>12715</v>
      </c>
      <c r="G210" s="2" t="n">
        <v>83451</v>
      </c>
      <c r="H210" s="3" t="str">
        <f>HYPERLINK("http://funmeta.oebiotech.com/network/83451", "http://funmeta.oebiotech.com/network/83451")</f>
      </c>
      <c r="I210" s="2" t="s">
        <v>12716</v>
      </c>
      <c r="J210" s="2"/>
      <c r="K210" s="2"/>
      <c r="L210" s="2"/>
      <c r="M210" s="2"/>
      <c r="N210" s="2" t="s">
        <v>12717</v>
      </c>
      <c r="O210" s="2" t="s">
        <v>12718</v>
      </c>
      <c r="P210" s="2" t="s">
        <v>12719</v>
      </c>
      <c r="Q210" s="2" t="s">
        <v>12720</v>
      </c>
      <c r="R210" s="2" t="s">
        <v>36</v>
      </c>
      <c r="S210" s="2" t="s">
        <v>37</v>
      </c>
      <c r="T210" s="2" t="s">
        <v>69</v>
      </c>
      <c r="U210" s="2" t="s">
        <v>1836</v>
      </c>
      <c r="V210" s="2" t="s">
        <v>24</v>
      </c>
      <c r="W210" s="2" t="s">
        <v>56</v>
      </c>
    </row>
    <row r="211">
      <c r="A211" s="2" t="n">
        <v>151</v>
      </c>
      <c r="B211" s="2" t="s">
        <v>12721</v>
      </c>
      <c r="C211" s="2" t="s">
        <v>1835</v>
      </c>
      <c r="D211" s="2" t="n">
        <v>188.092831967</v>
      </c>
      <c r="E211" s="2" t="n">
        <v>6.37930898577982</v>
      </c>
      <c r="F211" s="2" t="s">
        <v>12722</v>
      </c>
      <c r="G211" s="2" t="n">
        <v>115466</v>
      </c>
      <c r="H211" s="3" t="str">
        <f>HYPERLINK("http://funmeta.oebiotech.com/network/115466", "http://funmeta.oebiotech.com/network/115466")</f>
      </c>
      <c r="I211" s="2" t="s">
        <v>12723</v>
      </c>
      <c r="J211" s="2"/>
      <c r="K211" s="2"/>
      <c r="L211" s="2"/>
      <c r="M211" s="2"/>
      <c r="N211" s="2" t="s">
        <v>12724</v>
      </c>
      <c r="O211" s="2"/>
      <c r="P211" s="2" t="s">
        <v>12725</v>
      </c>
      <c r="Q211" s="2" t="s">
        <v>12726</v>
      </c>
      <c r="R211" s="2" t="s">
        <v>36</v>
      </c>
      <c r="S211" s="2" t="s">
        <v>37</v>
      </c>
      <c r="T211" s="2" t="s">
        <v>69</v>
      </c>
      <c r="U211" s="2" t="s">
        <v>1836</v>
      </c>
      <c r="V211" s="2" t="s">
        <v>24</v>
      </c>
      <c r="W211" s="2" t="s">
        <v>56</v>
      </c>
    </row>
    <row r="212">
      <c r="A212" s="2" t="n">
        <v>151</v>
      </c>
      <c r="B212" s="2" t="s">
        <v>12727</v>
      </c>
      <c r="C212" s="2" t="s">
        <v>1835</v>
      </c>
      <c r="D212" s="2" t="n">
        <v>188.092831967</v>
      </c>
      <c r="E212" s="2" t="n">
        <v>6.37930898577982</v>
      </c>
      <c r="F212" s="2" t="s">
        <v>12728</v>
      </c>
      <c r="G212" s="2" t="n">
        <v>115467</v>
      </c>
      <c r="H212" s="3" t="str">
        <f>HYPERLINK("http://funmeta.oebiotech.com/network/115467", "http://funmeta.oebiotech.com/network/115467")</f>
      </c>
      <c r="I212" s="2" t="s">
        <v>12729</v>
      </c>
      <c r="J212" s="2"/>
      <c r="K212" s="2"/>
      <c r="L212" s="2"/>
      <c r="M212" s="2"/>
      <c r="N212" s="2" t="s">
        <v>12730</v>
      </c>
      <c r="O212" s="2"/>
      <c r="P212" s="2" t="s">
        <v>12731</v>
      </c>
      <c r="Q212" s="2" t="s">
        <v>12732</v>
      </c>
      <c r="R212" s="2" t="s">
        <v>36</v>
      </c>
      <c r="S212" s="2" t="s">
        <v>37</v>
      </c>
      <c r="T212" s="2" t="s">
        <v>69</v>
      </c>
      <c r="U212" s="2" t="s">
        <v>1836</v>
      </c>
      <c r="V212" s="2" t="s">
        <v>24</v>
      </c>
      <c r="W212" s="2" t="s">
        <v>56</v>
      </c>
    </row>
    <row r="213">
      <c r="A213" s="2" t="n">
        <v>152</v>
      </c>
      <c r="B213" s="2" t="s">
        <v>12733</v>
      </c>
      <c r="C213" s="2" t="s">
        <v>1846</v>
      </c>
      <c r="D213" s="2" t="n">
        <v>188.986317992</v>
      </c>
      <c r="E213" s="2" t="n">
        <v>0.197499529420331</v>
      </c>
      <c r="F213" s="2" t="s">
        <v>1848</v>
      </c>
      <c r="G213" s="2" t="n">
        <v>81775</v>
      </c>
      <c r="H213" s="3" t="str">
        <f>HYPERLINK("http://funmeta.oebiotech.com/network/81775", "http://funmeta.oebiotech.com/network/81775")</f>
      </c>
      <c r="I213" s="2" t="s">
        <v>1850</v>
      </c>
      <c r="J213" s="2" t="s">
        <v>1851</v>
      </c>
      <c r="K213" s="2"/>
      <c r="L213" s="2"/>
      <c r="M213" s="2" t="s">
        <v>1852</v>
      </c>
      <c r="N213" s="2" t="s">
        <v>1853</v>
      </c>
      <c r="O213" s="2" t="s">
        <v>1854</v>
      </c>
      <c r="P213" s="2" t="s">
        <v>1855</v>
      </c>
      <c r="Q213" s="2" t="s">
        <v>1856</v>
      </c>
      <c r="R213" s="2" t="s">
        <v>36</v>
      </c>
      <c r="S213" s="2" t="s">
        <v>1857</v>
      </c>
      <c r="T213" s="2" t="s">
        <v>1858</v>
      </c>
      <c r="U213" s="2" t="s">
        <v>1847</v>
      </c>
      <c r="V213" s="2" t="s">
        <v>24</v>
      </c>
      <c r="W213" s="2" t="s">
        <v>56</v>
      </c>
    </row>
    <row r="214">
      <c r="A214" s="2" t="n">
        <v>153</v>
      </c>
      <c r="B214" s="2" t="s">
        <v>12734</v>
      </c>
      <c r="C214" s="2" t="s">
        <v>1859</v>
      </c>
      <c r="D214" s="2" t="n">
        <v>189.059089004</v>
      </c>
      <c r="E214" s="2" t="n">
        <v>0.813064202196937</v>
      </c>
      <c r="F214" s="2" t="s">
        <v>1861</v>
      </c>
      <c r="G214" s="2" t="n">
        <v>7533</v>
      </c>
      <c r="H214" s="3" t="str">
        <f>HYPERLINK("http://funmeta.oebiotech.com/network/7533", "http://funmeta.oebiotech.com/network/7533")</f>
      </c>
      <c r="I214" s="2" t="s">
        <v>1863</v>
      </c>
      <c r="J214" s="2" t="s">
        <v>1864</v>
      </c>
      <c r="K214" s="2" t="s">
        <v>1865</v>
      </c>
      <c r="L214" s="2"/>
      <c r="M214" s="2"/>
      <c r="N214" s="2" t="s">
        <v>1866</v>
      </c>
      <c r="O214" s="2" t="s">
        <v>1867</v>
      </c>
      <c r="P214" s="2" t="s">
        <v>1868</v>
      </c>
      <c r="Q214" s="2" t="s">
        <v>1869</v>
      </c>
      <c r="R214" s="2" t="s">
        <v>794</v>
      </c>
      <c r="S214" s="2" t="s">
        <v>795</v>
      </c>
      <c r="T214" s="2" t="s">
        <v>1870</v>
      </c>
      <c r="U214" s="2" t="s">
        <v>1860</v>
      </c>
      <c r="V214" s="2" t="s">
        <v>24</v>
      </c>
      <c r="W214" s="2" t="s">
        <v>56</v>
      </c>
    </row>
    <row r="215">
      <c r="A215" s="2" t="n">
        <v>154</v>
      </c>
      <c r="B215" s="2" t="s">
        <v>12735</v>
      </c>
      <c r="C215" s="2" t="s">
        <v>1871</v>
      </c>
      <c r="D215" s="2" t="n">
        <v>189.088080946</v>
      </c>
      <c r="E215" s="2" t="n">
        <v>1.56444802144414</v>
      </c>
      <c r="F215" s="2" t="s">
        <v>1873</v>
      </c>
      <c r="G215" s="2" t="n">
        <v>2910</v>
      </c>
      <c r="H215" s="3" t="str">
        <f>HYPERLINK("http://funmeta.oebiotech.com/network/2910", "http://funmeta.oebiotech.com/network/2910")</f>
      </c>
      <c r="I215" s="2" t="s">
        <v>1875</v>
      </c>
      <c r="J215" s="2" t="s">
        <v>1876</v>
      </c>
      <c r="K215" s="2" t="s">
        <v>1877</v>
      </c>
      <c r="L215" s="2" t="s">
        <v>1878</v>
      </c>
      <c r="M215" s="2" t="s">
        <v>1879</v>
      </c>
      <c r="N215" s="2" t="s">
        <v>1880</v>
      </c>
      <c r="O215" s="2" t="s">
        <v>1881</v>
      </c>
      <c r="P215" s="2" t="s">
        <v>1882</v>
      </c>
      <c r="Q215" s="2" t="s">
        <v>1883</v>
      </c>
      <c r="R215" s="2" t="s">
        <v>36</v>
      </c>
      <c r="S215" s="2" t="s">
        <v>37</v>
      </c>
      <c r="T215" s="2" t="s">
        <v>69</v>
      </c>
      <c r="U215" s="2" t="s">
        <v>1872</v>
      </c>
      <c r="V215" s="2" t="s">
        <v>24</v>
      </c>
      <c r="W215" s="2" t="s">
        <v>56</v>
      </c>
    </row>
    <row r="216">
      <c r="A216" s="2" t="n">
        <v>155</v>
      </c>
      <c r="B216" s="2" t="s">
        <v>12736</v>
      </c>
      <c r="C216" s="2" t="s">
        <v>1884</v>
      </c>
      <c r="D216" s="2" t="n">
        <v>189.164874704</v>
      </c>
      <c r="E216" s="2" t="n">
        <v>1.79835149680499</v>
      </c>
      <c r="F216" s="2" t="s">
        <v>1886</v>
      </c>
      <c r="G216" s="2" t="n">
        <v>52464</v>
      </c>
      <c r="H216" s="3" t="str">
        <f>HYPERLINK("http://funmeta.oebiotech.com/network/52464", "http://funmeta.oebiotech.com/network/52464")</f>
      </c>
      <c r="I216" s="2" t="s">
        <v>1888</v>
      </c>
      <c r="J216" s="2" t="s">
        <v>1889</v>
      </c>
      <c r="K216" s="2"/>
      <c r="L216" s="2"/>
      <c r="M216" s="2" t="s">
        <v>1890</v>
      </c>
      <c r="N216" s="2" t="s">
        <v>1891</v>
      </c>
      <c r="O216" s="2" t="s">
        <v>1892</v>
      </c>
      <c r="P216" s="2" t="s">
        <v>1893</v>
      </c>
      <c r="Q216" s="2" t="s">
        <v>1894</v>
      </c>
      <c r="R216" s="2" t="s">
        <v>186</v>
      </c>
      <c r="S216" s="2" t="s">
        <v>187</v>
      </c>
      <c r="T216" s="2" t="s">
        <v>1895</v>
      </c>
      <c r="U216" s="2" t="s">
        <v>1885</v>
      </c>
      <c r="V216" s="2" t="s">
        <v>24</v>
      </c>
      <c r="W216" s="2" t="s">
        <v>56</v>
      </c>
    </row>
    <row r="217">
      <c r="A217" s="2" t="n">
        <v>156</v>
      </c>
      <c r="B217" s="2" t="s">
        <v>12737</v>
      </c>
      <c r="C217" s="2" t="s">
        <v>1896</v>
      </c>
      <c r="D217" s="2" t="n">
        <v>190.970404322</v>
      </c>
      <c r="E217" s="2" t="n">
        <v>2.06014541876387</v>
      </c>
      <c r="F217" s="2" t="s">
        <v>1898</v>
      </c>
      <c r="G217" s="2" t="n">
        <v>209794</v>
      </c>
      <c r="H217" s="3" t="str">
        <f>HYPERLINK("http://funmeta.oebiotech.com/network/209794", "http://funmeta.oebiotech.com/network/209794")</f>
      </c>
      <c r="I217" s="2" t="s">
        <v>1900</v>
      </c>
      <c r="J217" s="2" t="s">
        <v>1901</v>
      </c>
      <c r="K217" s="2"/>
      <c r="L217" s="2"/>
      <c r="M217" s="2"/>
      <c r="N217" s="2" t="s">
        <v>1902</v>
      </c>
      <c r="O217" s="2"/>
      <c r="P217" s="2" t="s">
        <v>1903</v>
      </c>
      <c r="Q217" s="2" t="s">
        <v>1904</v>
      </c>
      <c r="R217" s="2" t="s">
        <v>1905</v>
      </c>
      <c r="S217" s="2" t="s">
        <v>1906</v>
      </c>
      <c r="T217" s="2" t="s">
        <v>215</v>
      </c>
      <c r="U217" s="2" t="s">
        <v>1897</v>
      </c>
      <c r="V217" s="2" t="s">
        <v>86</v>
      </c>
      <c r="W217" s="2"/>
    </row>
    <row r="218">
      <c r="A218" s="2" t="n">
        <v>157</v>
      </c>
      <c r="B218" s="2" t="s">
        <v>12738</v>
      </c>
      <c r="C218" s="2" t="s">
        <v>1907</v>
      </c>
      <c r="D218" s="2" t="n">
        <v>191.022894132</v>
      </c>
      <c r="E218" s="2" t="n">
        <v>1.59484039753119</v>
      </c>
      <c r="F218" s="2" t="s">
        <v>12739</v>
      </c>
      <c r="G218" s="2" t="n">
        <v>47907</v>
      </c>
      <c r="H218" s="3" t="str">
        <f>HYPERLINK("http://funmeta.oebiotech.com/network/47907", "http://funmeta.oebiotech.com/network/47907")</f>
      </c>
      <c r="I218" s="2" t="s">
        <v>12740</v>
      </c>
      <c r="J218" s="2" t="s">
        <v>12741</v>
      </c>
      <c r="K218" s="2"/>
      <c r="L218" s="2" t="s">
        <v>12742</v>
      </c>
      <c r="M218" s="2" t="s">
        <v>12743</v>
      </c>
      <c r="N218" s="2" t="s">
        <v>12744</v>
      </c>
      <c r="O218" s="2" t="s">
        <v>12745</v>
      </c>
      <c r="P218" s="2" t="s">
        <v>12746</v>
      </c>
      <c r="Q218" s="2" t="s">
        <v>12747</v>
      </c>
      <c r="R218" s="2" t="s">
        <v>114</v>
      </c>
      <c r="S218" s="2" t="s">
        <v>172</v>
      </c>
      <c r="T218" s="2" t="s">
        <v>173</v>
      </c>
      <c r="U218" s="2" t="s">
        <v>1908</v>
      </c>
      <c r="V218" s="2" t="s">
        <v>86</v>
      </c>
      <c r="W218" s="2" t="s">
        <v>56</v>
      </c>
    </row>
    <row r="219">
      <c r="A219" s="2" t="n">
        <v>157</v>
      </c>
      <c r="B219" s="2" t="s">
        <v>12748</v>
      </c>
      <c r="C219" s="2" t="s">
        <v>1907</v>
      </c>
      <c r="D219" s="2" t="n">
        <v>191.022894132</v>
      </c>
      <c r="E219" s="2" t="n">
        <v>1.59484039753119</v>
      </c>
      <c r="F219" s="2" t="s">
        <v>12749</v>
      </c>
      <c r="G219" s="2" t="n">
        <v>47346</v>
      </c>
      <c r="H219" s="3" t="str">
        <f>HYPERLINK("http://funmeta.oebiotech.com/network/47346", "http://funmeta.oebiotech.com/network/47346")</f>
      </c>
      <c r="I219" s="2" t="s">
        <v>12750</v>
      </c>
      <c r="J219" s="2" t="s">
        <v>12751</v>
      </c>
      <c r="K219" s="2"/>
      <c r="L219" s="2" t="s">
        <v>12752</v>
      </c>
      <c r="M219" s="2" t="s">
        <v>12753</v>
      </c>
      <c r="N219" s="2" t="s">
        <v>12754</v>
      </c>
      <c r="O219" s="2" t="s">
        <v>12755</v>
      </c>
      <c r="P219" s="2" t="s">
        <v>12756</v>
      </c>
      <c r="Q219" s="2" t="s">
        <v>12757</v>
      </c>
      <c r="R219" s="2" t="s">
        <v>114</v>
      </c>
      <c r="S219" s="2" t="s">
        <v>172</v>
      </c>
      <c r="T219" s="2" t="s">
        <v>173</v>
      </c>
      <c r="U219" s="2" t="s">
        <v>1908</v>
      </c>
      <c r="V219" s="2" t="s">
        <v>86</v>
      </c>
      <c r="W219" s="2" t="s">
        <v>56</v>
      </c>
    </row>
    <row r="220">
      <c r="A220" s="2" t="n">
        <v>158</v>
      </c>
      <c r="B220" s="2" t="s">
        <v>12758</v>
      </c>
      <c r="C220" s="2" t="s">
        <v>1920</v>
      </c>
      <c r="D220" s="2" t="n">
        <v>191.107753756</v>
      </c>
      <c r="E220" s="2" t="n">
        <v>7.06735258418137</v>
      </c>
      <c r="F220" s="2" t="s">
        <v>1922</v>
      </c>
      <c r="G220" s="2" t="n">
        <v>58934</v>
      </c>
      <c r="H220" s="3" t="str">
        <f>HYPERLINK("http://funmeta.oebiotech.com/network/58934", "http://funmeta.oebiotech.com/network/58934")</f>
      </c>
      <c r="I220" s="2" t="s">
        <v>1924</v>
      </c>
      <c r="J220" s="2" t="s">
        <v>1925</v>
      </c>
      <c r="K220" s="2"/>
      <c r="L220" s="2"/>
      <c r="M220" s="2" t="s">
        <v>1926</v>
      </c>
      <c r="N220" s="2" t="s">
        <v>1927</v>
      </c>
      <c r="O220" s="2" t="s">
        <v>1928</v>
      </c>
      <c r="P220" s="2" t="s">
        <v>1929</v>
      </c>
      <c r="Q220" s="2" t="s">
        <v>1930</v>
      </c>
      <c r="R220" s="2" t="s">
        <v>794</v>
      </c>
      <c r="S220" s="2" t="s">
        <v>795</v>
      </c>
      <c r="T220" s="2" t="s">
        <v>1870</v>
      </c>
      <c r="U220" s="2" t="s">
        <v>1921</v>
      </c>
      <c r="V220" s="2" t="s">
        <v>24</v>
      </c>
      <c r="W220" s="2" t="s">
        <v>56</v>
      </c>
    </row>
    <row r="221">
      <c r="A221" s="2" t="n">
        <v>159</v>
      </c>
      <c r="B221" s="2" t="s">
        <v>12759</v>
      </c>
      <c r="C221" s="2" t="s">
        <v>1931</v>
      </c>
      <c r="D221" s="2" t="n">
        <v>191.180524768</v>
      </c>
      <c r="E221" s="2" t="n">
        <v>8.44813166657871</v>
      </c>
      <c r="F221" s="2" t="s">
        <v>1933</v>
      </c>
      <c r="G221" s="2" t="n">
        <v>83354</v>
      </c>
      <c r="H221" s="3" t="str">
        <f>HYPERLINK("http://funmeta.oebiotech.com/network/83354", "http://funmeta.oebiotech.com/network/83354")</f>
      </c>
      <c r="I221" s="2" t="s">
        <v>1935</v>
      </c>
      <c r="J221" s="2"/>
      <c r="K221" s="2"/>
      <c r="L221" s="2"/>
      <c r="M221" s="2"/>
      <c r="N221" s="2" t="s">
        <v>1936</v>
      </c>
      <c r="O221" s="2"/>
      <c r="P221" s="2" t="s">
        <v>1937</v>
      </c>
      <c r="Q221" s="2" t="s">
        <v>1938</v>
      </c>
      <c r="R221" s="2" t="s">
        <v>794</v>
      </c>
      <c r="S221" s="2" t="s">
        <v>1098</v>
      </c>
      <c r="T221" s="2" t="s">
        <v>1099</v>
      </c>
      <c r="U221" s="2" t="s">
        <v>1932</v>
      </c>
      <c r="V221" s="2" t="s">
        <v>24</v>
      </c>
      <c r="W221" s="2" t="s">
        <v>56</v>
      </c>
    </row>
    <row r="222">
      <c r="A222" s="2" t="n">
        <v>160</v>
      </c>
      <c r="B222" s="2" t="s">
        <v>12760</v>
      </c>
      <c r="C222" s="2" t="s">
        <v>1939</v>
      </c>
      <c r="D222" s="2" t="n">
        <v>192.994081812</v>
      </c>
      <c r="E222" s="2" t="n">
        <v>5.2788625825039</v>
      </c>
      <c r="F222" s="2" t="s">
        <v>1941</v>
      </c>
      <c r="G222" s="2" t="n">
        <v>81952</v>
      </c>
      <c r="H222" s="3" t="str">
        <f>HYPERLINK("http://funmeta.oebiotech.com/network/81952", "http://funmeta.oebiotech.com/network/81952")</f>
      </c>
      <c r="I222" s="2" t="s">
        <v>1943</v>
      </c>
      <c r="J222" s="2"/>
      <c r="K222" s="2"/>
      <c r="L222" s="2" t="s">
        <v>1944</v>
      </c>
      <c r="M222" s="2" t="s">
        <v>1945</v>
      </c>
      <c r="N222" s="2" t="s">
        <v>1946</v>
      </c>
      <c r="O222" s="2" t="s">
        <v>1947</v>
      </c>
      <c r="P222" s="2" t="s">
        <v>1948</v>
      </c>
      <c r="Q222" s="2" t="s">
        <v>1949</v>
      </c>
      <c r="R222" s="2" t="s">
        <v>186</v>
      </c>
      <c r="S222" s="2" t="s">
        <v>187</v>
      </c>
      <c r="T222" s="2" t="s">
        <v>1950</v>
      </c>
      <c r="U222" s="2" t="s">
        <v>1940</v>
      </c>
      <c r="V222" s="2" t="s">
        <v>531</v>
      </c>
      <c r="W222" s="2" t="s">
        <v>101</v>
      </c>
    </row>
    <row r="223">
      <c r="A223" s="2" t="n">
        <v>161</v>
      </c>
      <c r="B223" s="2" t="s">
        <v>12761</v>
      </c>
      <c r="C223" s="2" t="s">
        <v>1951</v>
      </c>
      <c r="D223" s="2" t="n">
        <v>193.032874254</v>
      </c>
      <c r="E223" s="2" t="n">
        <v>2.47777333123654</v>
      </c>
      <c r="F223" s="2" t="s">
        <v>1953</v>
      </c>
      <c r="G223" s="2" t="n">
        <v>64585</v>
      </c>
      <c r="H223" s="3" t="str">
        <f>HYPERLINK("http://funmeta.oebiotech.com/network/64585", "http://funmeta.oebiotech.com/network/64585")</f>
      </c>
      <c r="I223" s="2" t="s">
        <v>1955</v>
      </c>
      <c r="J223" s="2" t="s">
        <v>1956</v>
      </c>
      <c r="K223" s="2"/>
      <c r="L223" s="2"/>
      <c r="M223" s="2"/>
      <c r="N223" s="2" t="s">
        <v>1957</v>
      </c>
      <c r="O223" s="2" t="s">
        <v>1958</v>
      </c>
      <c r="P223" s="2" t="s">
        <v>1959</v>
      </c>
      <c r="Q223" s="2" t="s">
        <v>1960</v>
      </c>
      <c r="R223" s="2" t="s">
        <v>114</v>
      </c>
      <c r="S223" s="2" t="s">
        <v>877</v>
      </c>
      <c r="T223" s="2" t="s">
        <v>215</v>
      </c>
      <c r="U223" s="2" t="s">
        <v>1952</v>
      </c>
      <c r="V223" s="2" t="s">
        <v>24</v>
      </c>
      <c r="W223" s="2" t="s">
        <v>56</v>
      </c>
    </row>
    <row r="224">
      <c r="A224" s="2" t="n">
        <v>162</v>
      </c>
      <c r="B224" s="2" t="s">
        <v>12762</v>
      </c>
      <c r="C224" s="2" t="s">
        <v>1961</v>
      </c>
      <c r="D224" s="2" t="n">
        <v>193.086163087</v>
      </c>
      <c r="E224" s="2" t="n">
        <v>7.03298095796758</v>
      </c>
      <c r="F224" s="2" t="s">
        <v>1963</v>
      </c>
      <c r="G224" s="2" t="n">
        <v>203650</v>
      </c>
      <c r="H224" s="3" t="str">
        <f>HYPERLINK("http://funmeta.oebiotech.com/network/203650", "http://funmeta.oebiotech.com/network/203650")</f>
      </c>
      <c r="I224" s="2" t="s">
        <v>1965</v>
      </c>
      <c r="J224" s="2"/>
      <c r="K224" s="2"/>
      <c r="L224" s="2"/>
      <c r="M224" s="2"/>
      <c r="N224" s="2" t="s">
        <v>1966</v>
      </c>
      <c r="O224" s="2"/>
      <c r="P224" s="2" t="s">
        <v>1967</v>
      </c>
      <c r="Q224" s="2" t="s">
        <v>1968</v>
      </c>
      <c r="R224" s="2" t="s">
        <v>601</v>
      </c>
      <c r="S224" s="2" t="s">
        <v>602</v>
      </c>
      <c r="T224" s="2" t="s">
        <v>1969</v>
      </c>
      <c r="U224" s="2" t="s">
        <v>1962</v>
      </c>
      <c r="V224" s="2" t="s">
        <v>86</v>
      </c>
      <c r="W224" s="2"/>
    </row>
    <row r="225">
      <c r="A225" s="2" t="n">
        <v>163</v>
      </c>
      <c r="B225" s="2" t="s">
        <v>12763</v>
      </c>
      <c r="C225" s="2" t="s">
        <v>1970</v>
      </c>
      <c r="D225" s="2" t="n">
        <v>193.985447127</v>
      </c>
      <c r="E225" s="2" t="n">
        <v>1.10339085959528</v>
      </c>
      <c r="F225" s="2" t="s">
        <v>1972</v>
      </c>
      <c r="G225" s="2" t="n">
        <v>51944</v>
      </c>
      <c r="H225" s="3" t="str">
        <f>HYPERLINK("http://funmeta.oebiotech.com/network/51944", "http://funmeta.oebiotech.com/network/51944")</f>
      </c>
      <c r="I225" s="2" t="s">
        <v>1974</v>
      </c>
      <c r="J225" s="2" t="s">
        <v>1975</v>
      </c>
      <c r="K225" s="2"/>
      <c r="L225" s="2" t="s">
        <v>1976</v>
      </c>
      <c r="M225" s="2" t="s">
        <v>1977</v>
      </c>
      <c r="N225" s="2" t="s">
        <v>1978</v>
      </c>
      <c r="O225" s="2" t="s">
        <v>1979</v>
      </c>
      <c r="P225" s="2" t="s">
        <v>1980</v>
      </c>
      <c r="Q225" s="2" t="s">
        <v>1981</v>
      </c>
      <c r="R225" s="2" t="s">
        <v>36</v>
      </c>
      <c r="S225" s="2" t="s">
        <v>37</v>
      </c>
      <c r="T225" s="2" t="s">
        <v>69</v>
      </c>
      <c r="U225" s="2" t="s">
        <v>1971</v>
      </c>
      <c r="V225" s="2" t="s">
        <v>161</v>
      </c>
      <c r="W225" s="2" t="s">
        <v>101</v>
      </c>
    </row>
    <row r="226">
      <c r="A226" s="2" t="n">
        <v>164</v>
      </c>
      <c r="B226" s="2" t="s">
        <v>12764</v>
      </c>
      <c r="C226" s="2" t="s">
        <v>1982</v>
      </c>
      <c r="D226" s="2" t="n">
        <v>194.082267287</v>
      </c>
      <c r="E226" s="2" t="n">
        <v>19.0354410252808</v>
      </c>
      <c r="F226" s="2" t="s">
        <v>1984</v>
      </c>
      <c r="G226" s="2" t="n">
        <v>82262</v>
      </c>
      <c r="H226" s="3" t="str">
        <f>HYPERLINK("http://funmeta.oebiotech.com/network/82262", "http://funmeta.oebiotech.com/network/82262")</f>
      </c>
      <c r="I226" s="2" t="s">
        <v>1986</v>
      </c>
      <c r="J226" s="2"/>
      <c r="K226" s="2"/>
      <c r="L226" s="2" t="s">
        <v>1987</v>
      </c>
      <c r="M226" s="2" t="s">
        <v>1988</v>
      </c>
      <c r="N226" s="2" t="s">
        <v>1989</v>
      </c>
      <c r="O226" s="2"/>
      <c r="P226" s="2" t="s">
        <v>1990</v>
      </c>
      <c r="Q226" s="2" t="s">
        <v>1991</v>
      </c>
      <c r="R226" s="2" t="s">
        <v>186</v>
      </c>
      <c r="S226" s="2" t="s">
        <v>187</v>
      </c>
      <c r="T226" s="2" t="s">
        <v>215</v>
      </c>
      <c r="U226" s="2" t="s">
        <v>1983</v>
      </c>
      <c r="V226" s="2" t="s">
        <v>24</v>
      </c>
      <c r="W226" s="2" t="s">
        <v>56</v>
      </c>
    </row>
    <row r="227">
      <c r="A227" s="2" t="n">
        <v>165</v>
      </c>
      <c r="B227" s="2" t="s">
        <v>12765</v>
      </c>
      <c r="C227" s="2" t="s">
        <v>1992</v>
      </c>
      <c r="D227" s="2" t="n">
        <v>194.946653291</v>
      </c>
      <c r="E227" s="2" t="n">
        <v>12.6905562686486</v>
      </c>
      <c r="F227" s="2" t="s">
        <v>1994</v>
      </c>
      <c r="G227" s="2" t="n">
        <v>82350</v>
      </c>
      <c r="H227" s="3" t="str">
        <f>HYPERLINK("http://funmeta.oebiotech.com/network/82350", "http://funmeta.oebiotech.com/network/82350")</f>
      </c>
      <c r="I227" s="2" t="s">
        <v>1996</v>
      </c>
      <c r="J227" s="2"/>
      <c r="K227" s="2"/>
      <c r="L227" s="2"/>
      <c r="M227" s="2" t="s">
        <v>1997</v>
      </c>
      <c r="N227" s="2" t="s">
        <v>1998</v>
      </c>
      <c r="O227" s="2"/>
      <c r="P227" s="2" t="s">
        <v>1999</v>
      </c>
      <c r="Q227" s="2" t="s">
        <v>2000</v>
      </c>
      <c r="R227" s="2" t="s">
        <v>114</v>
      </c>
      <c r="S227" s="2" t="s">
        <v>115</v>
      </c>
      <c r="T227" s="2" t="s">
        <v>116</v>
      </c>
      <c r="U227" s="2" t="s">
        <v>1993</v>
      </c>
      <c r="V227" s="2" t="s">
        <v>531</v>
      </c>
      <c r="W227" s="2"/>
    </row>
    <row r="228">
      <c r="A228" s="2" t="n">
        <v>166</v>
      </c>
      <c r="B228" s="2" t="s">
        <v>12766</v>
      </c>
      <c r="C228" s="2" t="s">
        <v>2001</v>
      </c>
      <c r="D228" s="2" t="n">
        <v>195.053702505</v>
      </c>
      <c r="E228" s="2" t="n">
        <v>2.11994702835547</v>
      </c>
      <c r="F228" s="2" t="s">
        <v>2003</v>
      </c>
      <c r="G228" s="2" t="n">
        <v>82211</v>
      </c>
      <c r="H228" s="3" t="str">
        <f>HYPERLINK("http://funmeta.oebiotech.com/network/82211", "http://funmeta.oebiotech.com/network/82211")</f>
      </c>
      <c r="I228" s="2" t="s">
        <v>2005</v>
      </c>
      <c r="J228" s="2"/>
      <c r="K228" s="2"/>
      <c r="L228" s="2"/>
      <c r="M228" s="2"/>
      <c r="N228" s="2" t="s">
        <v>2006</v>
      </c>
      <c r="O228" s="2"/>
      <c r="P228" s="2" t="s">
        <v>2007</v>
      </c>
      <c r="Q228" s="2" t="s">
        <v>2008</v>
      </c>
      <c r="R228" s="2" t="s">
        <v>114</v>
      </c>
      <c r="S228" s="2" t="s">
        <v>994</v>
      </c>
      <c r="T228" s="2" t="s">
        <v>1028</v>
      </c>
      <c r="U228" s="2" t="s">
        <v>2002</v>
      </c>
      <c r="V228" s="2" t="s">
        <v>205</v>
      </c>
      <c r="W228" s="2"/>
    </row>
    <row r="229">
      <c r="A229" s="2" t="n">
        <v>167</v>
      </c>
      <c r="B229" s="2" t="s">
        <v>12767</v>
      </c>
      <c r="C229" s="2" t="s">
        <v>2009</v>
      </c>
      <c r="D229" s="2" t="n">
        <v>195.102668378</v>
      </c>
      <c r="E229" s="2" t="n">
        <v>3.6117277258446</v>
      </c>
      <c r="F229" s="2" t="s">
        <v>12768</v>
      </c>
      <c r="G229" s="2" t="n">
        <v>7575</v>
      </c>
      <c r="H229" s="3" t="str">
        <f>HYPERLINK("http://funmeta.oebiotech.com/network/7575", "http://funmeta.oebiotech.com/network/7575")</f>
      </c>
      <c r="I229" s="2" t="s">
        <v>12769</v>
      </c>
      <c r="J229" s="2" t="s">
        <v>12770</v>
      </c>
      <c r="K229" s="2" t="s">
        <v>12771</v>
      </c>
      <c r="L229" s="2"/>
      <c r="M229" s="2"/>
      <c r="N229" s="2" t="s">
        <v>12772</v>
      </c>
      <c r="O229" s="2" t="s">
        <v>12773</v>
      </c>
      <c r="P229" s="2" t="s">
        <v>12774</v>
      </c>
      <c r="Q229" s="2" t="s">
        <v>12775</v>
      </c>
      <c r="R229" s="2" t="s">
        <v>794</v>
      </c>
      <c r="S229" s="2" t="s">
        <v>795</v>
      </c>
      <c r="T229" s="2" t="s">
        <v>1870</v>
      </c>
      <c r="U229" s="2" t="s">
        <v>2010</v>
      </c>
      <c r="V229" s="2" t="s">
        <v>24</v>
      </c>
      <c r="W229" s="2" t="s">
        <v>56</v>
      </c>
    </row>
    <row r="230">
      <c r="A230" s="2" t="n">
        <v>167</v>
      </c>
      <c r="B230" s="2" t="s">
        <v>12776</v>
      </c>
      <c r="C230" s="2" t="s">
        <v>2009</v>
      </c>
      <c r="D230" s="2" t="n">
        <v>195.102668378</v>
      </c>
      <c r="E230" s="2" t="n">
        <v>3.6117277258446</v>
      </c>
      <c r="F230" s="2" t="s">
        <v>12777</v>
      </c>
      <c r="G230" s="2" t="n">
        <v>60001</v>
      </c>
      <c r="H230" s="3" t="str">
        <f>HYPERLINK("http://funmeta.oebiotech.com/network/60001", "http://funmeta.oebiotech.com/network/60001")</f>
      </c>
      <c r="I230" s="2" t="s">
        <v>12778</v>
      </c>
      <c r="J230" s="2" t="s">
        <v>12779</v>
      </c>
      <c r="K230" s="2"/>
      <c r="L230" s="2"/>
      <c r="M230" s="2"/>
      <c r="N230" s="2" t="s">
        <v>12780</v>
      </c>
      <c r="O230" s="2" t="s">
        <v>12781</v>
      </c>
      <c r="P230" s="2" t="s">
        <v>12782</v>
      </c>
      <c r="Q230" s="2" t="s">
        <v>12783</v>
      </c>
      <c r="R230" s="2" t="s">
        <v>186</v>
      </c>
      <c r="S230" s="2" t="s">
        <v>357</v>
      </c>
      <c r="T230" s="2" t="s">
        <v>5859</v>
      </c>
      <c r="U230" s="2" t="s">
        <v>2010</v>
      </c>
      <c r="V230" s="2" t="s">
        <v>24</v>
      </c>
      <c r="W230" s="2" t="s">
        <v>56</v>
      </c>
    </row>
    <row r="231">
      <c r="A231" s="2" t="n">
        <v>168</v>
      </c>
      <c r="B231" s="2" t="s">
        <v>12784</v>
      </c>
      <c r="C231" s="2" t="s">
        <v>2023</v>
      </c>
      <c r="D231" s="2" t="n">
        <v>195.139053884</v>
      </c>
      <c r="E231" s="2" t="n">
        <v>15.9383693634666</v>
      </c>
      <c r="F231" s="2" t="s">
        <v>2025</v>
      </c>
      <c r="G231" s="2" t="n">
        <v>35391</v>
      </c>
      <c r="H231" s="3" t="str">
        <f>HYPERLINK("http://funmeta.oebiotech.com/network/35391", "http://funmeta.oebiotech.com/network/35391")</f>
      </c>
      <c r="I231" s="2" t="s">
        <v>2027</v>
      </c>
      <c r="J231" s="2"/>
      <c r="K231" s="2" t="s">
        <v>2028</v>
      </c>
      <c r="L231" s="2" t="s">
        <v>2029</v>
      </c>
      <c r="M231" s="2"/>
      <c r="N231" s="2" t="s">
        <v>2030</v>
      </c>
      <c r="O231" s="2" t="s">
        <v>2031</v>
      </c>
      <c r="P231" s="2" t="s">
        <v>2032</v>
      </c>
      <c r="Q231" s="2" t="s">
        <v>2033</v>
      </c>
      <c r="R231" s="2" t="s">
        <v>794</v>
      </c>
      <c r="S231" s="2" t="s">
        <v>1098</v>
      </c>
      <c r="T231" s="2" t="s">
        <v>1099</v>
      </c>
      <c r="U231" s="2" t="s">
        <v>2024</v>
      </c>
      <c r="V231" s="2" t="s">
        <v>24</v>
      </c>
      <c r="W231" s="2" t="s">
        <v>56</v>
      </c>
    </row>
    <row r="232">
      <c r="A232" s="2" t="n">
        <v>169</v>
      </c>
      <c r="B232" s="2" t="s">
        <v>12785</v>
      </c>
      <c r="C232" s="2" t="s">
        <v>2034</v>
      </c>
      <c r="D232" s="2" t="n">
        <v>196.98566309</v>
      </c>
      <c r="E232" s="2" t="n">
        <v>5.51284979489957</v>
      </c>
      <c r="F232" s="2" t="s">
        <v>2036</v>
      </c>
      <c r="G232" s="2" t="n">
        <v>51515</v>
      </c>
      <c r="H232" s="3" t="str">
        <f>HYPERLINK("http://funmeta.oebiotech.com/network/51515", "http://funmeta.oebiotech.com/network/51515")</f>
      </c>
      <c r="I232" s="2" t="s">
        <v>2038</v>
      </c>
      <c r="J232" s="2" t="s">
        <v>2039</v>
      </c>
      <c r="K232" s="2"/>
      <c r="L232" s="2" t="s">
        <v>2040</v>
      </c>
      <c r="M232" s="2" t="s">
        <v>2041</v>
      </c>
      <c r="N232" s="2" t="s">
        <v>2042</v>
      </c>
      <c r="O232" s="2"/>
      <c r="P232" s="2" t="s">
        <v>2043</v>
      </c>
      <c r="Q232" s="2" t="s">
        <v>2044</v>
      </c>
      <c r="R232" s="2" t="s">
        <v>129</v>
      </c>
      <c r="S232" s="2" t="s">
        <v>130</v>
      </c>
      <c r="T232" s="2" t="s">
        <v>131</v>
      </c>
      <c r="U232" s="2" t="s">
        <v>2035</v>
      </c>
      <c r="V232" s="2" t="s">
        <v>24</v>
      </c>
      <c r="W232" s="2" t="s">
        <v>56</v>
      </c>
    </row>
    <row r="233">
      <c r="A233" s="2" t="n">
        <v>170</v>
      </c>
      <c r="B233" s="2" t="s">
        <v>12786</v>
      </c>
      <c r="C233" s="2" t="s">
        <v>2045</v>
      </c>
      <c r="D233" s="2" t="n">
        <v>197.08327034</v>
      </c>
      <c r="E233" s="2" t="n">
        <v>3.65947657087089</v>
      </c>
      <c r="F233" s="2" t="s">
        <v>2047</v>
      </c>
      <c r="G233" s="2" t="n">
        <v>54606</v>
      </c>
      <c r="H233" s="3" t="str">
        <f>HYPERLINK("http://funmeta.oebiotech.com/network/54606", "http://funmeta.oebiotech.com/network/54606")</f>
      </c>
      <c r="I233" s="2" t="s">
        <v>2049</v>
      </c>
      <c r="J233" s="2" t="s">
        <v>2050</v>
      </c>
      <c r="K233" s="2"/>
      <c r="L233" s="2" t="s">
        <v>2051</v>
      </c>
      <c r="M233" s="2" t="s">
        <v>2052</v>
      </c>
      <c r="N233" s="2" t="s">
        <v>2053</v>
      </c>
      <c r="O233" s="2" t="s">
        <v>2054</v>
      </c>
      <c r="P233" s="2" t="s">
        <v>2055</v>
      </c>
      <c r="Q233" s="2" t="s">
        <v>2056</v>
      </c>
      <c r="R233" s="2" t="s">
        <v>114</v>
      </c>
      <c r="S233" s="2" t="s">
        <v>2057</v>
      </c>
      <c r="T233" s="2" t="s">
        <v>215</v>
      </c>
      <c r="U233" s="2" t="s">
        <v>2046</v>
      </c>
      <c r="V233" s="2" t="s">
        <v>24</v>
      </c>
      <c r="W233" s="2" t="s">
        <v>56</v>
      </c>
    </row>
    <row r="234">
      <c r="A234" s="2" t="n">
        <v>171</v>
      </c>
      <c r="B234" s="2" t="s">
        <v>12787</v>
      </c>
      <c r="C234" s="2" t="s">
        <v>2058</v>
      </c>
      <c r="D234" s="2" t="n">
        <v>197.11831844</v>
      </c>
      <c r="E234" s="2" t="n">
        <v>13.1738652132712</v>
      </c>
      <c r="F234" s="2" t="s">
        <v>2060</v>
      </c>
      <c r="G234" s="2" t="n">
        <v>208044</v>
      </c>
      <c r="H234" s="3" t="str">
        <f>HYPERLINK("http://funmeta.oebiotech.com/network/208044", "http://funmeta.oebiotech.com/network/208044")</f>
      </c>
      <c r="I234" s="2" t="s">
        <v>2062</v>
      </c>
      <c r="J234" s="2"/>
      <c r="K234" s="2"/>
      <c r="L234" s="2"/>
      <c r="M234" s="2"/>
      <c r="N234" s="2" t="s">
        <v>2063</v>
      </c>
      <c r="O234" s="2"/>
      <c r="P234" s="2" t="s">
        <v>2064</v>
      </c>
      <c r="Q234" s="2" t="s">
        <v>2065</v>
      </c>
      <c r="R234" s="2" t="s">
        <v>36</v>
      </c>
      <c r="S234" s="2" t="s">
        <v>271</v>
      </c>
      <c r="T234" s="2" t="s">
        <v>2066</v>
      </c>
      <c r="U234" s="2" t="s">
        <v>2059</v>
      </c>
      <c r="V234" s="2" t="s">
        <v>24</v>
      </c>
      <c r="W234" s="2"/>
    </row>
    <row r="235">
      <c r="A235" s="2" t="n">
        <v>172</v>
      </c>
      <c r="B235" s="2" t="s">
        <v>12788</v>
      </c>
      <c r="C235" s="2" t="s">
        <v>2067</v>
      </c>
      <c r="D235" s="2" t="n">
        <v>198.078519313</v>
      </c>
      <c r="E235" s="2" t="n">
        <v>1.51307023036921</v>
      </c>
      <c r="F235" s="2" t="s">
        <v>2069</v>
      </c>
      <c r="G235" s="2" t="n">
        <v>63610</v>
      </c>
      <c r="H235" s="3" t="str">
        <f>HYPERLINK("http://funmeta.oebiotech.com/network/63610", "http://funmeta.oebiotech.com/network/63610")</f>
      </c>
      <c r="I235" s="2" t="s">
        <v>2071</v>
      </c>
      <c r="J235" s="2" t="s">
        <v>2072</v>
      </c>
      <c r="K235" s="2"/>
      <c r="L235" s="2"/>
      <c r="M235" s="2"/>
      <c r="N235" s="2" t="s">
        <v>2073</v>
      </c>
      <c r="O235" s="2" t="s">
        <v>2074</v>
      </c>
      <c r="P235" s="2" t="s">
        <v>2075</v>
      </c>
      <c r="Q235" s="2" t="s">
        <v>2076</v>
      </c>
      <c r="R235" s="2" t="s">
        <v>114</v>
      </c>
      <c r="S235" s="2" t="s">
        <v>1254</v>
      </c>
      <c r="T235" s="2" t="s">
        <v>1255</v>
      </c>
      <c r="U235" s="2" t="s">
        <v>2068</v>
      </c>
      <c r="V235" s="2" t="s">
        <v>24</v>
      </c>
      <c r="W235" s="2" t="s">
        <v>56</v>
      </c>
    </row>
    <row r="236">
      <c r="A236" s="2" t="n">
        <v>173</v>
      </c>
      <c r="B236" s="2" t="s">
        <v>12789</v>
      </c>
      <c r="C236" s="2" t="s">
        <v>2077</v>
      </c>
      <c r="D236" s="2" t="n">
        <v>198.124250489</v>
      </c>
      <c r="E236" s="2" t="n">
        <v>1.78501862606129</v>
      </c>
      <c r="F236" s="2" t="s">
        <v>2079</v>
      </c>
      <c r="G236" s="2" t="n">
        <v>51927</v>
      </c>
      <c r="H236" s="3" t="str">
        <f>HYPERLINK("http://funmeta.oebiotech.com/network/51927", "http://funmeta.oebiotech.com/network/51927")</f>
      </c>
      <c r="I236" s="2" t="s">
        <v>2081</v>
      </c>
      <c r="J236" s="2" t="s">
        <v>2082</v>
      </c>
      <c r="K236" s="2"/>
      <c r="L236" s="2" t="s">
        <v>2083</v>
      </c>
      <c r="M236" s="2" t="s">
        <v>2084</v>
      </c>
      <c r="N236" s="2" t="s">
        <v>2085</v>
      </c>
      <c r="O236" s="2"/>
      <c r="P236" s="2" t="s">
        <v>2086</v>
      </c>
      <c r="Q236" s="2" t="s">
        <v>2087</v>
      </c>
      <c r="R236" s="2" t="s">
        <v>36</v>
      </c>
      <c r="S236" s="2" t="s">
        <v>37</v>
      </c>
      <c r="T236" s="2" t="s">
        <v>69</v>
      </c>
      <c r="U236" s="2" t="s">
        <v>2078</v>
      </c>
      <c r="V236" s="2" t="s">
        <v>161</v>
      </c>
      <c r="W236" s="2" t="s">
        <v>56</v>
      </c>
    </row>
    <row r="237">
      <c r="A237" s="2" t="n">
        <v>174</v>
      </c>
      <c r="B237" s="2" t="s">
        <v>12790</v>
      </c>
      <c r="C237" s="2" t="s">
        <v>2088</v>
      </c>
      <c r="D237" s="2" t="n">
        <v>199.002827392</v>
      </c>
      <c r="E237" s="2" t="n">
        <v>4.56950793902195</v>
      </c>
      <c r="F237" s="2" t="s">
        <v>2090</v>
      </c>
      <c r="G237" s="2" t="n">
        <v>208375</v>
      </c>
      <c r="H237" s="3" t="str">
        <f>HYPERLINK("http://funmeta.oebiotech.com/network/208375", "http://funmeta.oebiotech.com/network/208375")</f>
      </c>
      <c r="I237" s="2" t="s">
        <v>2092</v>
      </c>
      <c r="J237" s="2" t="s">
        <v>2093</v>
      </c>
      <c r="K237" s="2"/>
      <c r="L237" s="2" t="s">
        <v>2094</v>
      </c>
      <c r="M237" s="2" t="s">
        <v>2095</v>
      </c>
      <c r="N237" s="2" t="s">
        <v>2096</v>
      </c>
      <c r="O237" s="2" t="s">
        <v>2097</v>
      </c>
      <c r="P237" s="2" t="s">
        <v>2098</v>
      </c>
      <c r="Q237" s="2" t="s">
        <v>2099</v>
      </c>
      <c r="R237" s="2" t="s">
        <v>114</v>
      </c>
      <c r="S237" s="2" t="s">
        <v>680</v>
      </c>
      <c r="T237" s="2" t="s">
        <v>215</v>
      </c>
      <c r="U237" s="2" t="s">
        <v>2089</v>
      </c>
      <c r="V237" s="2" t="s">
        <v>86</v>
      </c>
      <c r="W237" s="2" t="s">
        <v>101</v>
      </c>
    </row>
    <row r="238">
      <c r="A238" s="2" t="n">
        <v>175</v>
      </c>
      <c r="B238" s="2" t="s">
        <v>12791</v>
      </c>
      <c r="C238" s="2" t="s">
        <v>2100</v>
      </c>
      <c r="D238" s="2" t="n">
        <v>199.100750522</v>
      </c>
      <c r="E238" s="2" t="n">
        <v>0.811125300522193</v>
      </c>
      <c r="F238" s="2" t="s">
        <v>12792</v>
      </c>
      <c r="G238" s="2" t="n">
        <v>63212</v>
      </c>
      <c r="H238" s="3" t="str">
        <f>HYPERLINK("http://funmeta.oebiotech.com/network/63212", "http://funmeta.oebiotech.com/network/63212")</f>
      </c>
      <c r="I238" s="2" t="s">
        <v>12793</v>
      </c>
      <c r="J238" s="2" t="s">
        <v>12794</v>
      </c>
      <c r="K238" s="2"/>
      <c r="L238" s="2"/>
      <c r="M238" s="2"/>
      <c r="N238" s="2" t="s">
        <v>12795</v>
      </c>
      <c r="O238" s="2" t="s">
        <v>12796</v>
      </c>
      <c r="P238" s="2" t="s">
        <v>12797</v>
      </c>
      <c r="Q238" s="2" t="s">
        <v>12798</v>
      </c>
      <c r="R238" s="2" t="s">
        <v>114</v>
      </c>
      <c r="S238" s="2" t="s">
        <v>369</v>
      </c>
      <c r="T238" s="2" t="s">
        <v>656</v>
      </c>
      <c r="U238" s="2" t="s">
        <v>2101</v>
      </c>
      <c r="V238" s="2" t="s">
        <v>86</v>
      </c>
      <c r="W238" s="2" t="s">
        <v>56</v>
      </c>
    </row>
    <row r="239">
      <c r="A239" s="2" t="n">
        <v>175</v>
      </c>
      <c r="B239" s="2" t="s">
        <v>12799</v>
      </c>
      <c r="C239" s="2" t="s">
        <v>2100</v>
      </c>
      <c r="D239" s="2" t="n">
        <v>199.100750522</v>
      </c>
      <c r="E239" s="2" t="n">
        <v>0.811125300522193</v>
      </c>
      <c r="F239" s="2" t="s">
        <v>12800</v>
      </c>
      <c r="G239" s="2" t="n">
        <v>63213</v>
      </c>
      <c r="H239" s="3" t="str">
        <f>HYPERLINK("http://funmeta.oebiotech.com/network/63213", "http://funmeta.oebiotech.com/network/63213")</f>
      </c>
      <c r="I239" s="2" t="s">
        <v>12801</v>
      </c>
      <c r="J239" s="2" t="s">
        <v>12802</v>
      </c>
      <c r="K239" s="2"/>
      <c r="L239" s="2"/>
      <c r="M239" s="2"/>
      <c r="N239" s="2" t="s">
        <v>12803</v>
      </c>
      <c r="O239" s="2" t="s">
        <v>12804</v>
      </c>
      <c r="P239" s="2" t="s">
        <v>12805</v>
      </c>
      <c r="Q239" s="2" t="s">
        <v>12806</v>
      </c>
      <c r="R239" s="2" t="s">
        <v>114</v>
      </c>
      <c r="S239" s="2" t="s">
        <v>369</v>
      </c>
      <c r="T239" s="2" t="s">
        <v>656</v>
      </c>
      <c r="U239" s="2" t="s">
        <v>2101</v>
      </c>
      <c r="V239" s="2" t="s">
        <v>86</v>
      </c>
      <c r="W239" s="2" t="s">
        <v>56</v>
      </c>
    </row>
    <row r="240">
      <c r="A240" s="2" t="n">
        <v>175</v>
      </c>
      <c r="B240" s="2" t="s">
        <v>12807</v>
      </c>
      <c r="C240" s="2" t="s">
        <v>2100</v>
      </c>
      <c r="D240" s="2" t="n">
        <v>199.100750522</v>
      </c>
      <c r="E240" s="2" t="n">
        <v>0.811125300522193</v>
      </c>
      <c r="F240" s="2" t="s">
        <v>12808</v>
      </c>
      <c r="G240" s="2" t="n">
        <v>63214</v>
      </c>
      <c r="H240" s="3" t="str">
        <f>HYPERLINK("http://funmeta.oebiotech.com/network/63214", "http://funmeta.oebiotech.com/network/63214")</f>
      </c>
      <c r="I240" s="2" t="s">
        <v>12809</v>
      </c>
      <c r="J240" s="2" t="s">
        <v>12810</v>
      </c>
      <c r="K240" s="2"/>
      <c r="L240" s="2"/>
      <c r="M240" s="2"/>
      <c r="N240" s="2" t="s">
        <v>12811</v>
      </c>
      <c r="O240" s="2" t="s">
        <v>12812</v>
      </c>
      <c r="P240" s="2" t="s">
        <v>12813</v>
      </c>
      <c r="Q240" s="2" t="s">
        <v>12814</v>
      </c>
      <c r="R240" s="2" t="s">
        <v>114</v>
      </c>
      <c r="S240" s="2" t="s">
        <v>369</v>
      </c>
      <c r="T240" s="2" t="s">
        <v>656</v>
      </c>
      <c r="U240" s="2" t="s">
        <v>2101</v>
      </c>
      <c r="V240" s="2" t="s">
        <v>86</v>
      </c>
      <c r="W240" s="2" t="s">
        <v>56</v>
      </c>
    </row>
    <row r="241">
      <c r="A241" s="2" t="n">
        <v>176</v>
      </c>
      <c r="B241" s="2" t="s">
        <v>12815</v>
      </c>
      <c r="C241" s="2" t="s">
        <v>2110</v>
      </c>
      <c r="D241" s="2" t="n">
        <v>199.133964198</v>
      </c>
      <c r="E241" s="2" t="n">
        <v>12.9054505460563</v>
      </c>
      <c r="F241" s="2" t="s">
        <v>12816</v>
      </c>
      <c r="G241" s="2" t="n">
        <v>35374</v>
      </c>
      <c r="H241" s="3" t="str">
        <f>HYPERLINK("http://funmeta.oebiotech.com/network/35374", "http://funmeta.oebiotech.com/network/35374")</f>
      </c>
      <c r="I241" s="2" t="s">
        <v>12817</v>
      </c>
      <c r="J241" s="2"/>
      <c r="K241" s="2" t="s">
        <v>12818</v>
      </c>
      <c r="L241" s="2" t="s">
        <v>12819</v>
      </c>
      <c r="M241" s="2" t="s">
        <v>12820</v>
      </c>
      <c r="N241" s="2" t="s">
        <v>12821</v>
      </c>
      <c r="O241" s="2" t="s">
        <v>12822</v>
      </c>
      <c r="P241" s="2" t="s">
        <v>12823</v>
      </c>
      <c r="Q241" s="2" t="s">
        <v>12824</v>
      </c>
      <c r="R241" s="2" t="s">
        <v>794</v>
      </c>
      <c r="S241" s="2" t="s">
        <v>1098</v>
      </c>
      <c r="T241" s="2" t="s">
        <v>1099</v>
      </c>
      <c r="U241" s="2" t="s">
        <v>2111</v>
      </c>
      <c r="V241" s="2" t="s">
        <v>205</v>
      </c>
      <c r="W241" s="2" t="s">
        <v>56</v>
      </c>
    </row>
    <row r="242">
      <c r="A242" s="2" t="n">
        <v>176</v>
      </c>
      <c r="B242" s="2" t="s">
        <v>12825</v>
      </c>
      <c r="C242" s="2" t="s">
        <v>2110</v>
      </c>
      <c r="D242" s="2" t="n">
        <v>199.1339642</v>
      </c>
      <c r="E242" s="2" t="n">
        <v>12.9054505460563</v>
      </c>
      <c r="F242" s="2" t="s">
        <v>12826</v>
      </c>
      <c r="G242" s="2" t="n">
        <v>35248</v>
      </c>
      <c r="H242" s="3" t="str">
        <f>HYPERLINK("http://funmeta.oebiotech.com/network/35248", "http://funmeta.oebiotech.com/network/35248")</f>
      </c>
      <c r="I242" s="2" t="s">
        <v>12827</v>
      </c>
      <c r="J242" s="2" t="s">
        <v>12828</v>
      </c>
      <c r="K242" s="2" t="s">
        <v>12829</v>
      </c>
      <c r="L242" s="2" t="s">
        <v>12830</v>
      </c>
      <c r="M242" s="2" t="s">
        <v>12831</v>
      </c>
      <c r="N242" s="2" t="s">
        <v>12832</v>
      </c>
      <c r="O242" s="2" t="s">
        <v>12833</v>
      </c>
      <c r="P242" s="2" t="s">
        <v>12834</v>
      </c>
      <c r="Q242" s="2" t="s">
        <v>12835</v>
      </c>
      <c r="R242" s="2" t="s">
        <v>794</v>
      </c>
      <c r="S242" s="2" t="s">
        <v>1098</v>
      </c>
      <c r="T242" s="2" t="s">
        <v>1099</v>
      </c>
      <c r="U242" s="2" t="s">
        <v>2111</v>
      </c>
      <c r="V242" s="2" t="s">
        <v>205</v>
      </c>
      <c r="W242" s="2" t="s">
        <v>56</v>
      </c>
    </row>
    <row r="243">
      <c r="A243" s="2" t="n">
        <v>176</v>
      </c>
      <c r="B243" s="2" t="s">
        <v>12836</v>
      </c>
      <c r="C243" s="2" t="s">
        <v>2110</v>
      </c>
      <c r="D243" s="2" t="n">
        <v>199.1339642</v>
      </c>
      <c r="E243" s="2" t="n">
        <v>12.9054505460563</v>
      </c>
      <c r="F243" s="2" t="s">
        <v>12837</v>
      </c>
      <c r="G243" s="2" t="n">
        <v>35254</v>
      </c>
      <c r="H243" s="3" t="str">
        <f>HYPERLINK("http://funmeta.oebiotech.com/network/35254", "http://funmeta.oebiotech.com/network/35254")</f>
      </c>
      <c r="I243" s="2" t="s">
        <v>12838</v>
      </c>
      <c r="J243" s="2" t="s">
        <v>12839</v>
      </c>
      <c r="K243" s="2" t="s">
        <v>12840</v>
      </c>
      <c r="L243" s="2" t="s">
        <v>12841</v>
      </c>
      <c r="M243" s="2" t="s">
        <v>12842</v>
      </c>
      <c r="N243" s="2" t="s">
        <v>12843</v>
      </c>
      <c r="O243" s="2" t="s">
        <v>12844</v>
      </c>
      <c r="P243" s="2" t="s">
        <v>12845</v>
      </c>
      <c r="Q243" s="2" t="s">
        <v>12846</v>
      </c>
      <c r="R243" s="2" t="s">
        <v>794</v>
      </c>
      <c r="S243" s="2" t="s">
        <v>1098</v>
      </c>
      <c r="T243" s="2" t="s">
        <v>1099</v>
      </c>
      <c r="U243" s="2" t="s">
        <v>2111</v>
      </c>
      <c r="V243" s="2" t="s">
        <v>205</v>
      </c>
      <c r="W243" s="2" t="s">
        <v>56</v>
      </c>
    </row>
    <row r="244">
      <c r="A244" s="2" t="n">
        <v>177</v>
      </c>
      <c r="B244" s="2" t="s">
        <v>12847</v>
      </c>
      <c r="C244" s="2" t="s">
        <v>2123</v>
      </c>
      <c r="D244" s="2" t="n">
        <v>199.942533343</v>
      </c>
      <c r="E244" s="2" t="n">
        <v>12.8461263589504</v>
      </c>
      <c r="F244" s="2" t="s">
        <v>2125</v>
      </c>
      <c r="G244" s="2" t="n">
        <v>57801</v>
      </c>
      <c r="H244" s="3" t="str">
        <f>HYPERLINK("http://funmeta.oebiotech.com/network/57801", "http://funmeta.oebiotech.com/network/57801")</f>
      </c>
      <c r="I244" s="2" t="s">
        <v>2127</v>
      </c>
      <c r="J244" s="2" t="s">
        <v>2128</v>
      </c>
      <c r="K244" s="2"/>
      <c r="L244" s="2"/>
      <c r="M244" s="2" t="s">
        <v>2129</v>
      </c>
      <c r="N244" s="2" t="s">
        <v>2130</v>
      </c>
      <c r="O244" s="2" t="s">
        <v>2131</v>
      </c>
      <c r="P244" s="2" t="s">
        <v>2132</v>
      </c>
      <c r="Q244" s="2" t="s">
        <v>2133</v>
      </c>
      <c r="R244" s="2" t="s">
        <v>36</v>
      </c>
      <c r="S244" s="2" t="s">
        <v>1857</v>
      </c>
      <c r="T244" s="2" t="s">
        <v>215</v>
      </c>
      <c r="U244" s="2" t="s">
        <v>2124</v>
      </c>
      <c r="V244" s="2" t="s">
        <v>218</v>
      </c>
      <c r="W244" s="2" t="s">
        <v>56</v>
      </c>
    </row>
    <row r="245">
      <c r="A245" s="2" t="n">
        <v>178</v>
      </c>
      <c r="B245" s="2" t="s">
        <v>12848</v>
      </c>
      <c r="C245" s="2" t="s">
        <v>2134</v>
      </c>
      <c r="D245" s="2" t="n">
        <v>200.015151605</v>
      </c>
      <c r="E245" s="2" t="n">
        <v>0.974249651164226</v>
      </c>
      <c r="F245" s="2" t="s">
        <v>2136</v>
      </c>
      <c r="G245" s="2" t="n">
        <v>56873</v>
      </c>
      <c r="H245" s="3" t="str">
        <f>HYPERLINK("http://funmeta.oebiotech.com/network/56873", "http://funmeta.oebiotech.com/network/56873")</f>
      </c>
      <c r="I245" s="2" t="s">
        <v>2138</v>
      </c>
      <c r="J245" s="2" t="s">
        <v>2139</v>
      </c>
      <c r="K245" s="2"/>
      <c r="L245" s="2"/>
      <c r="M245" s="2"/>
      <c r="N245" s="2" t="s">
        <v>2140</v>
      </c>
      <c r="O245" s="2" t="s">
        <v>2141</v>
      </c>
      <c r="P245" s="2" t="s">
        <v>2142</v>
      </c>
      <c r="Q245" s="2" t="s">
        <v>2143</v>
      </c>
      <c r="R245" s="2" t="s">
        <v>186</v>
      </c>
      <c r="S245" s="2" t="s">
        <v>911</v>
      </c>
      <c r="T245" s="2" t="s">
        <v>2144</v>
      </c>
      <c r="U245" s="2" t="s">
        <v>2135</v>
      </c>
      <c r="V245" s="2" t="s">
        <v>531</v>
      </c>
      <c r="W245" s="2" t="s">
        <v>56</v>
      </c>
    </row>
    <row r="246">
      <c r="A246" s="2" t="n">
        <v>179</v>
      </c>
      <c r="B246" s="2" t="s">
        <v>12849</v>
      </c>
      <c r="C246" s="2" t="s">
        <v>2145</v>
      </c>
      <c r="D246" s="2" t="n">
        <v>200.056764551</v>
      </c>
      <c r="E246" s="2" t="n">
        <v>9.60933378572181</v>
      </c>
      <c r="F246" s="2" t="s">
        <v>2147</v>
      </c>
      <c r="G246" s="2" t="n">
        <v>61828</v>
      </c>
      <c r="H246" s="3" t="str">
        <f>HYPERLINK("http://funmeta.oebiotech.com/network/61828", "http://funmeta.oebiotech.com/network/61828")</f>
      </c>
      <c r="I246" s="2" t="s">
        <v>2149</v>
      </c>
      <c r="J246" s="2" t="s">
        <v>2150</v>
      </c>
      <c r="K246" s="2"/>
      <c r="L246" s="2"/>
      <c r="M246" s="2" t="s">
        <v>2151</v>
      </c>
      <c r="N246" s="2" t="s">
        <v>2152</v>
      </c>
      <c r="O246" s="2" t="s">
        <v>2153</v>
      </c>
      <c r="P246" s="2" t="s">
        <v>2154</v>
      </c>
      <c r="Q246" s="2" t="s">
        <v>2155</v>
      </c>
      <c r="R246" s="2" t="s">
        <v>644</v>
      </c>
      <c r="S246" s="2" t="s">
        <v>2156</v>
      </c>
      <c r="T246" s="2" t="s">
        <v>215</v>
      </c>
      <c r="U246" s="2" t="s">
        <v>2146</v>
      </c>
      <c r="V246" s="2" t="s">
        <v>161</v>
      </c>
      <c r="W246" s="2" t="s">
        <v>56</v>
      </c>
    </row>
    <row r="247">
      <c r="A247" s="2" t="n">
        <v>180</v>
      </c>
      <c r="B247" s="2" t="s">
        <v>12850</v>
      </c>
      <c r="C247" s="2" t="s">
        <v>2157</v>
      </c>
      <c r="D247" s="2" t="n">
        <v>200.139900548</v>
      </c>
      <c r="E247" s="2" t="n">
        <v>10.448552664578</v>
      </c>
      <c r="F247" s="2" t="s">
        <v>2159</v>
      </c>
      <c r="G247" s="2" t="n">
        <v>199137</v>
      </c>
      <c r="H247" s="3" t="str">
        <f>HYPERLINK("http://funmeta.oebiotech.com/network/199137", "http://funmeta.oebiotech.com/network/199137")</f>
      </c>
      <c r="I247" s="2" t="s">
        <v>2161</v>
      </c>
      <c r="J247" s="2"/>
      <c r="K247" s="2"/>
      <c r="L247" s="2"/>
      <c r="M247" s="2"/>
      <c r="N247" s="2" t="s">
        <v>2162</v>
      </c>
      <c r="O247" s="2"/>
      <c r="P247" s="2" t="s">
        <v>2163</v>
      </c>
      <c r="Q247" s="2" t="s">
        <v>2164</v>
      </c>
      <c r="R247" s="2" t="s">
        <v>114</v>
      </c>
      <c r="S247" s="2" t="s">
        <v>2165</v>
      </c>
      <c r="T247" s="2" t="s">
        <v>2166</v>
      </c>
      <c r="U247" s="2" t="s">
        <v>2158</v>
      </c>
      <c r="V247" s="2" t="s">
        <v>161</v>
      </c>
      <c r="W247" s="2"/>
    </row>
    <row r="248">
      <c r="A248" s="2" t="n">
        <v>181</v>
      </c>
      <c r="B248" s="2" t="s">
        <v>12851</v>
      </c>
      <c r="C248" s="2" t="s">
        <v>2167</v>
      </c>
      <c r="D248" s="2" t="n">
        <v>201.035767485</v>
      </c>
      <c r="E248" s="2" t="n">
        <v>19.4102561902943</v>
      </c>
      <c r="F248" s="2" t="s">
        <v>2169</v>
      </c>
      <c r="G248" s="2" t="n">
        <v>207524</v>
      </c>
      <c r="H248" s="3" t="str">
        <f>HYPERLINK("http://funmeta.oebiotech.com/network/207524", "http://funmeta.oebiotech.com/network/207524")</f>
      </c>
      <c r="I248" s="2" t="s">
        <v>2171</v>
      </c>
      <c r="J248" s="2"/>
      <c r="K248" s="2"/>
      <c r="L248" s="2"/>
      <c r="M248" s="2"/>
      <c r="N248" s="2" t="s">
        <v>2172</v>
      </c>
      <c r="O248" s="2"/>
      <c r="P248" s="2" t="s">
        <v>2173</v>
      </c>
      <c r="Q248" s="2" t="s">
        <v>2174</v>
      </c>
      <c r="R248" s="2" t="s">
        <v>36</v>
      </c>
      <c r="S248" s="2" t="s">
        <v>344</v>
      </c>
      <c r="T248" s="2" t="s">
        <v>345</v>
      </c>
      <c r="U248" s="2" t="s">
        <v>2168</v>
      </c>
      <c r="V248" s="2" t="s">
        <v>86</v>
      </c>
      <c r="W248" s="2"/>
    </row>
    <row r="249">
      <c r="A249" s="2" t="n">
        <v>182</v>
      </c>
      <c r="B249" s="2" t="s">
        <v>12852</v>
      </c>
      <c r="C249" s="2" t="s">
        <v>2175</v>
      </c>
      <c r="D249" s="2" t="n">
        <v>201.088080939</v>
      </c>
      <c r="E249" s="2" t="n">
        <v>6.54849564181584</v>
      </c>
      <c r="F249" s="2" t="s">
        <v>12853</v>
      </c>
      <c r="G249" s="2" t="n">
        <v>54058</v>
      </c>
      <c r="H249" s="3" t="str">
        <f>HYPERLINK("http://funmeta.oebiotech.com/network/54058", "http://funmeta.oebiotech.com/network/54058")</f>
      </c>
      <c r="I249" s="2" t="s">
        <v>12854</v>
      </c>
      <c r="J249" s="2" t="s">
        <v>12855</v>
      </c>
      <c r="K249" s="2"/>
      <c r="L249" s="2"/>
      <c r="M249" s="2" t="s">
        <v>12856</v>
      </c>
      <c r="N249" s="2" t="s">
        <v>12857</v>
      </c>
      <c r="O249" s="2" t="s">
        <v>12858</v>
      </c>
      <c r="P249" s="2" t="s">
        <v>12859</v>
      </c>
      <c r="Q249" s="2" t="s">
        <v>12860</v>
      </c>
      <c r="R249" s="2" t="s">
        <v>36</v>
      </c>
      <c r="S249" s="2" t="s">
        <v>37</v>
      </c>
      <c r="T249" s="2" t="s">
        <v>69</v>
      </c>
      <c r="U249" s="2" t="s">
        <v>2176</v>
      </c>
      <c r="V249" s="2" t="s">
        <v>24</v>
      </c>
      <c r="W249" s="2" t="s">
        <v>56</v>
      </c>
    </row>
    <row r="250">
      <c r="A250" s="2" t="n">
        <v>182</v>
      </c>
      <c r="B250" s="2" t="s">
        <v>12861</v>
      </c>
      <c r="C250" s="2" t="s">
        <v>2175</v>
      </c>
      <c r="D250" s="2" t="n">
        <v>201.088080946</v>
      </c>
      <c r="E250" s="2" t="n">
        <v>6.54849564181584</v>
      </c>
      <c r="F250" s="2" t="s">
        <v>12862</v>
      </c>
      <c r="G250" s="2" t="n">
        <v>53883</v>
      </c>
      <c r="H250" s="3" t="str">
        <f>HYPERLINK("http://funmeta.oebiotech.com/network/53883", "http://funmeta.oebiotech.com/network/53883")</f>
      </c>
      <c r="I250" s="2" t="s">
        <v>12863</v>
      </c>
      <c r="J250" s="2" t="s">
        <v>12864</v>
      </c>
      <c r="K250" s="2"/>
      <c r="L250" s="2"/>
      <c r="M250" s="2"/>
      <c r="N250" s="2" t="s">
        <v>12865</v>
      </c>
      <c r="O250" s="2"/>
      <c r="P250" s="2" t="s">
        <v>12866</v>
      </c>
      <c r="Q250" s="2" t="s">
        <v>12867</v>
      </c>
      <c r="R250" s="2" t="s">
        <v>36</v>
      </c>
      <c r="S250" s="2" t="s">
        <v>37</v>
      </c>
      <c r="T250" s="2" t="s">
        <v>69</v>
      </c>
      <c r="U250" s="2" t="s">
        <v>2176</v>
      </c>
      <c r="V250" s="2" t="s">
        <v>24</v>
      </c>
      <c r="W250" s="2" t="s">
        <v>56</v>
      </c>
    </row>
    <row r="251">
      <c r="A251" s="2" t="n">
        <v>182</v>
      </c>
      <c r="B251" s="2" t="s">
        <v>12868</v>
      </c>
      <c r="C251" s="2" t="s">
        <v>2175</v>
      </c>
      <c r="D251" s="2" t="n">
        <v>201.088080946</v>
      </c>
      <c r="E251" s="2" t="n">
        <v>6.54849564181584</v>
      </c>
      <c r="F251" s="2" t="s">
        <v>12869</v>
      </c>
      <c r="G251" s="2" t="n">
        <v>54037</v>
      </c>
      <c r="H251" s="3" t="str">
        <f>HYPERLINK("http://funmeta.oebiotech.com/network/54037", "http://funmeta.oebiotech.com/network/54037")</f>
      </c>
      <c r="I251" s="2" t="s">
        <v>12870</v>
      </c>
      <c r="J251" s="2"/>
      <c r="K251" s="2"/>
      <c r="L251" s="2"/>
      <c r="M251" s="2"/>
      <c r="N251" s="2" t="s">
        <v>12871</v>
      </c>
      <c r="O251" s="2"/>
      <c r="P251" s="2" t="s">
        <v>12872</v>
      </c>
      <c r="Q251" s="2" t="s">
        <v>12873</v>
      </c>
      <c r="R251" s="2" t="s">
        <v>36</v>
      </c>
      <c r="S251" s="2" t="s">
        <v>37</v>
      </c>
      <c r="T251" s="2" t="s">
        <v>69</v>
      </c>
      <c r="U251" s="2" t="s">
        <v>2176</v>
      </c>
      <c r="V251" s="2" t="s">
        <v>24</v>
      </c>
      <c r="W251" s="2" t="s">
        <v>56</v>
      </c>
    </row>
    <row r="252">
      <c r="A252" s="2" t="n">
        <v>183</v>
      </c>
      <c r="B252" s="2" t="s">
        <v>12874</v>
      </c>
      <c r="C252" s="2" t="s">
        <v>2186</v>
      </c>
      <c r="D252" s="2" t="n">
        <v>201.114020151</v>
      </c>
      <c r="E252" s="2" t="n">
        <v>7.89577669041189</v>
      </c>
      <c r="F252" s="2" t="s">
        <v>2188</v>
      </c>
      <c r="G252" s="2" t="n">
        <v>208283</v>
      </c>
      <c r="H252" s="3" t="str">
        <f>HYPERLINK("http://funmeta.oebiotech.com/network/208283", "http://funmeta.oebiotech.com/network/208283")</f>
      </c>
      <c r="I252" s="2" t="s">
        <v>2190</v>
      </c>
      <c r="J252" s="2" t="s">
        <v>2191</v>
      </c>
      <c r="K252" s="2"/>
      <c r="L252" s="2"/>
      <c r="M252" s="2"/>
      <c r="N252" s="2" t="s">
        <v>2192</v>
      </c>
      <c r="O252" s="2"/>
      <c r="P252" s="2" t="s">
        <v>2193</v>
      </c>
      <c r="Q252" s="2" t="s">
        <v>2194</v>
      </c>
      <c r="R252" s="2" t="s">
        <v>186</v>
      </c>
      <c r="S252" s="2" t="s">
        <v>187</v>
      </c>
      <c r="T252" s="2" t="s">
        <v>2195</v>
      </c>
      <c r="U252" s="2" t="s">
        <v>2187</v>
      </c>
      <c r="V252" s="2" t="s">
        <v>161</v>
      </c>
      <c r="W252" s="2"/>
    </row>
    <row r="253">
      <c r="A253" s="2" t="n">
        <v>184</v>
      </c>
      <c r="B253" s="2" t="s">
        <v>12875</v>
      </c>
      <c r="C253" s="2" t="s">
        <v>2196</v>
      </c>
      <c r="D253" s="2" t="n">
        <v>202.010554599</v>
      </c>
      <c r="E253" s="2" t="n">
        <v>2.13966278863292</v>
      </c>
      <c r="F253" s="2" t="s">
        <v>2198</v>
      </c>
      <c r="G253" s="2" t="n">
        <v>209901</v>
      </c>
      <c r="H253" s="3" t="str">
        <f>HYPERLINK("http://funmeta.oebiotech.com/network/209901", "http://funmeta.oebiotech.com/network/209901")</f>
      </c>
      <c r="I253" s="2" t="s">
        <v>2200</v>
      </c>
      <c r="J253" s="2" t="s">
        <v>2201</v>
      </c>
      <c r="K253" s="2"/>
      <c r="L253" s="2"/>
      <c r="M253" s="2" t="s">
        <v>2202</v>
      </c>
      <c r="N253" s="2" t="s">
        <v>2203</v>
      </c>
      <c r="O253" s="2"/>
      <c r="P253" s="2" t="s">
        <v>2204</v>
      </c>
      <c r="Q253" s="2" t="s">
        <v>2205</v>
      </c>
      <c r="R253" s="2" t="s">
        <v>114</v>
      </c>
      <c r="S253" s="2" t="s">
        <v>2206</v>
      </c>
      <c r="T253" s="2" t="s">
        <v>2207</v>
      </c>
      <c r="U253" s="2" t="s">
        <v>2197</v>
      </c>
      <c r="V253" s="2" t="s">
        <v>205</v>
      </c>
      <c r="W253" s="2"/>
    </row>
    <row r="254">
      <c r="A254" s="2" t="n">
        <v>185</v>
      </c>
      <c r="B254" s="2" t="s">
        <v>12876</v>
      </c>
      <c r="C254" s="2" t="s">
        <v>2208</v>
      </c>
      <c r="D254" s="2" t="n">
        <v>202.109819441</v>
      </c>
      <c r="E254" s="2" t="n">
        <v>7.76546404307547</v>
      </c>
      <c r="F254" s="2" t="s">
        <v>2210</v>
      </c>
      <c r="G254" s="2" t="n">
        <v>201056</v>
      </c>
      <c r="H254" s="3" t="str">
        <f>HYPERLINK("http://funmeta.oebiotech.com/network/201056", "http://funmeta.oebiotech.com/network/201056")</f>
      </c>
      <c r="I254" s="2" t="s">
        <v>2212</v>
      </c>
      <c r="J254" s="2" t="s">
        <v>2213</v>
      </c>
      <c r="K254" s="2"/>
      <c r="L254" s="2" t="s">
        <v>2214</v>
      </c>
      <c r="M254" s="2" t="s">
        <v>2215</v>
      </c>
      <c r="N254" s="2" t="s">
        <v>2216</v>
      </c>
      <c r="O254" s="2" t="s">
        <v>2217</v>
      </c>
      <c r="P254" s="2" t="s">
        <v>2218</v>
      </c>
      <c r="Q254" s="2" t="s">
        <v>2219</v>
      </c>
      <c r="R254" s="2" t="s">
        <v>114</v>
      </c>
      <c r="S254" s="2" t="s">
        <v>730</v>
      </c>
      <c r="T254" s="2" t="s">
        <v>731</v>
      </c>
      <c r="U254" s="2" t="s">
        <v>2209</v>
      </c>
      <c r="V254" s="2" t="s">
        <v>24</v>
      </c>
      <c r="W254" s="2" t="s">
        <v>101</v>
      </c>
    </row>
    <row r="255">
      <c r="A255" s="2" t="n">
        <v>186</v>
      </c>
      <c r="B255" s="2" t="s">
        <v>12877</v>
      </c>
      <c r="C255" s="2" t="s">
        <v>2220</v>
      </c>
      <c r="D255" s="2" t="n">
        <v>203.022894132</v>
      </c>
      <c r="E255" s="2" t="n">
        <v>8.60511536532492</v>
      </c>
      <c r="F255" s="2" t="s">
        <v>12878</v>
      </c>
      <c r="G255" s="2" t="n">
        <v>81820</v>
      </c>
      <c r="H255" s="3" t="str">
        <f>HYPERLINK("http://funmeta.oebiotech.com/network/81820", "http://funmeta.oebiotech.com/network/81820")</f>
      </c>
      <c r="I255" s="2" t="s">
        <v>12879</v>
      </c>
      <c r="J255" s="2"/>
      <c r="K255" s="2"/>
      <c r="L255" s="2"/>
      <c r="M255" s="2"/>
      <c r="N255" s="2" t="s">
        <v>12880</v>
      </c>
      <c r="O255" s="2" t="s">
        <v>12881</v>
      </c>
      <c r="P255" s="2" t="s">
        <v>12882</v>
      </c>
      <c r="Q255" s="2" t="s">
        <v>12883</v>
      </c>
      <c r="R255" s="2" t="s">
        <v>36</v>
      </c>
      <c r="S255" s="2" t="s">
        <v>37</v>
      </c>
      <c r="T255" s="2" t="s">
        <v>69</v>
      </c>
      <c r="U255" s="2" t="s">
        <v>2221</v>
      </c>
      <c r="V255" s="2" t="s">
        <v>86</v>
      </c>
      <c r="W255" s="2" t="s">
        <v>56</v>
      </c>
    </row>
    <row r="256">
      <c r="A256" s="2" t="n">
        <v>186</v>
      </c>
      <c r="B256" s="2" t="s">
        <v>12884</v>
      </c>
      <c r="C256" s="2" t="s">
        <v>2220</v>
      </c>
      <c r="D256" s="2" t="n">
        <v>203.022894132</v>
      </c>
      <c r="E256" s="2" t="n">
        <v>8.60511536532492</v>
      </c>
      <c r="F256" s="2" t="s">
        <v>12885</v>
      </c>
      <c r="G256" s="2" t="n">
        <v>52197</v>
      </c>
      <c r="H256" s="3" t="str">
        <f>HYPERLINK("http://funmeta.oebiotech.com/network/52197", "http://funmeta.oebiotech.com/network/52197")</f>
      </c>
      <c r="I256" s="2" t="s">
        <v>12886</v>
      </c>
      <c r="J256" s="2"/>
      <c r="K256" s="2"/>
      <c r="L256" s="2"/>
      <c r="M256" s="2" t="s">
        <v>12887</v>
      </c>
      <c r="N256" s="2" t="s">
        <v>12888</v>
      </c>
      <c r="O256" s="2"/>
      <c r="P256" s="2" t="s">
        <v>12889</v>
      </c>
      <c r="Q256" s="2" t="s">
        <v>12890</v>
      </c>
      <c r="R256" s="2" t="s">
        <v>186</v>
      </c>
      <c r="S256" s="2" t="s">
        <v>187</v>
      </c>
      <c r="T256" s="2" t="s">
        <v>3454</v>
      </c>
      <c r="U256" s="2" t="s">
        <v>2221</v>
      </c>
      <c r="V256" s="2" t="s">
        <v>86</v>
      </c>
      <c r="W256" s="2" t="s">
        <v>56</v>
      </c>
    </row>
    <row r="257">
      <c r="A257" s="2" t="n">
        <v>187</v>
      </c>
      <c r="B257" s="2" t="s">
        <v>12891</v>
      </c>
      <c r="C257" s="2" t="s">
        <v>2233</v>
      </c>
      <c r="D257" s="2" t="n">
        <v>203.080194699</v>
      </c>
      <c r="E257" s="2" t="n">
        <v>3.09304592590553</v>
      </c>
      <c r="F257" s="2" t="s">
        <v>12892</v>
      </c>
      <c r="G257" s="2" t="n">
        <v>200264</v>
      </c>
      <c r="H257" s="3" t="str">
        <f>HYPERLINK("http://funmeta.oebiotech.com/network/200264", "http://funmeta.oebiotech.com/network/200264")</f>
      </c>
      <c r="I257" s="2" t="s">
        <v>12893</v>
      </c>
      <c r="J257" s="2"/>
      <c r="K257" s="2"/>
      <c r="L257" s="2"/>
      <c r="M257" s="2"/>
      <c r="N257" s="2" t="s">
        <v>12894</v>
      </c>
      <c r="O257" s="2"/>
      <c r="P257" s="2" t="s">
        <v>12895</v>
      </c>
      <c r="Q257" s="2" t="s">
        <v>12896</v>
      </c>
      <c r="R257" s="2" t="s">
        <v>114</v>
      </c>
      <c r="S257" s="2" t="s">
        <v>12897</v>
      </c>
      <c r="T257" s="2" t="s">
        <v>215</v>
      </c>
      <c r="U257" s="2" t="s">
        <v>2234</v>
      </c>
      <c r="V257" s="2" t="s">
        <v>531</v>
      </c>
      <c r="W257" s="2"/>
    </row>
    <row r="258">
      <c r="A258" s="2" t="n">
        <v>187</v>
      </c>
      <c r="B258" s="2" t="s">
        <v>12898</v>
      </c>
      <c r="C258" s="2" t="s">
        <v>2233</v>
      </c>
      <c r="D258" s="2" t="n">
        <v>203.080194699</v>
      </c>
      <c r="E258" s="2" t="n">
        <v>3.09304592590553</v>
      </c>
      <c r="F258" s="2" t="s">
        <v>12899</v>
      </c>
      <c r="G258" s="2" t="n">
        <v>203259</v>
      </c>
      <c r="H258" s="3" t="str">
        <f>HYPERLINK("http://funmeta.oebiotech.com/network/203259", "http://funmeta.oebiotech.com/network/203259")</f>
      </c>
      <c r="I258" s="2" t="s">
        <v>12900</v>
      </c>
      <c r="J258" s="2" t="s">
        <v>12901</v>
      </c>
      <c r="K258" s="2"/>
      <c r="L258" s="2"/>
      <c r="M258" s="2"/>
      <c r="N258" s="2" t="s">
        <v>12902</v>
      </c>
      <c r="O258" s="2"/>
      <c r="P258" s="2" t="s">
        <v>12903</v>
      </c>
      <c r="Q258" s="2" t="s">
        <v>12904</v>
      </c>
      <c r="R258" s="2" t="s">
        <v>36</v>
      </c>
      <c r="S258" s="2" t="s">
        <v>37</v>
      </c>
      <c r="T258" s="2" t="s">
        <v>69</v>
      </c>
      <c r="U258" s="2" t="s">
        <v>2234</v>
      </c>
      <c r="V258" s="2" t="s">
        <v>531</v>
      </c>
      <c r="W258" s="2"/>
    </row>
    <row r="259">
      <c r="A259" s="2" t="n">
        <v>188</v>
      </c>
      <c r="B259" s="2" t="s">
        <v>12905</v>
      </c>
      <c r="C259" s="2" t="s">
        <v>2245</v>
      </c>
      <c r="D259" s="2" t="n">
        <v>203.101045658</v>
      </c>
      <c r="E259" s="2" t="n">
        <v>8.37563058614628</v>
      </c>
      <c r="F259" s="2" t="s">
        <v>2247</v>
      </c>
      <c r="G259" s="2" t="n">
        <v>209199</v>
      </c>
      <c r="H259" s="3" t="str">
        <f>HYPERLINK("http://funmeta.oebiotech.com/network/209199", "http://funmeta.oebiotech.com/network/209199")</f>
      </c>
      <c r="I259" s="2" t="s">
        <v>2249</v>
      </c>
      <c r="J259" s="2" t="s">
        <v>2250</v>
      </c>
      <c r="K259" s="2"/>
      <c r="L259" s="2"/>
      <c r="M259" s="2"/>
      <c r="N259" s="2" t="s">
        <v>2251</v>
      </c>
      <c r="O259" s="2"/>
      <c r="P259" s="2" t="s">
        <v>2252</v>
      </c>
      <c r="Q259" s="2" t="s">
        <v>2253</v>
      </c>
      <c r="R259" s="2" t="s">
        <v>601</v>
      </c>
      <c r="S259" s="2" t="s">
        <v>602</v>
      </c>
      <c r="T259" s="2" t="s">
        <v>2254</v>
      </c>
      <c r="U259" s="2" t="s">
        <v>2246</v>
      </c>
      <c r="V259" s="2" t="s">
        <v>683</v>
      </c>
      <c r="W259" s="2"/>
    </row>
    <row r="260">
      <c r="A260" s="2" t="n">
        <v>189</v>
      </c>
      <c r="B260" s="2" t="s">
        <v>12906</v>
      </c>
      <c r="C260" s="2" t="s">
        <v>2255</v>
      </c>
      <c r="D260" s="2" t="n">
        <v>203.180524768</v>
      </c>
      <c r="E260" s="2" t="n">
        <v>15.8585597523511</v>
      </c>
      <c r="F260" s="2" t="s">
        <v>12907</v>
      </c>
      <c r="G260" s="2" t="n">
        <v>35514</v>
      </c>
      <c r="H260" s="3" t="str">
        <f>HYPERLINK("http://funmeta.oebiotech.com/network/35514", "http://funmeta.oebiotech.com/network/35514")</f>
      </c>
      <c r="I260" s="2" t="s">
        <v>12908</v>
      </c>
      <c r="J260" s="2" t="s">
        <v>12909</v>
      </c>
      <c r="K260" s="2" t="s">
        <v>12910</v>
      </c>
      <c r="L260" s="2" t="s">
        <v>12911</v>
      </c>
      <c r="M260" s="2" t="s">
        <v>12912</v>
      </c>
      <c r="N260" s="2" t="s">
        <v>12913</v>
      </c>
      <c r="O260" s="2" t="s">
        <v>12914</v>
      </c>
      <c r="P260" s="2" t="s">
        <v>12915</v>
      </c>
      <c r="Q260" s="2" t="s">
        <v>12916</v>
      </c>
      <c r="R260" s="2" t="s">
        <v>794</v>
      </c>
      <c r="S260" s="2" t="s">
        <v>1098</v>
      </c>
      <c r="T260" s="2" t="s">
        <v>3079</v>
      </c>
      <c r="U260" s="2" t="s">
        <v>2256</v>
      </c>
      <c r="V260" s="2" t="s">
        <v>24</v>
      </c>
      <c r="W260" s="2" t="s">
        <v>56</v>
      </c>
    </row>
    <row r="261">
      <c r="A261" s="2" t="n">
        <v>189</v>
      </c>
      <c r="B261" s="2" t="s">
        <v>12917</v>
      </c>
      <c r="C261" s="2" t="s">
        <v>2255</v>
      </c>
      <c r="D261" s="2" t="n">
        <v>203.180524773</v>
      </c>
      <c r="E261" s="2" t="n">
        <v>15.8585597523511</v>
      </c>
      <c r="F261" s="2" t="s">
        <v>12918</v>
      </c>
      <c r="G261" s="2" t="n">
        <v>9154</v>
      </c>
      <c r="H261" s="3" t="str">
        <f>HYPERLINK("http://funmeta.oebiotech.com/network/9154", "http://funmeta.oebiotech.com/network/9154")</f>
      </c>
      <c r="I261" s="2" t="s">
        <v>12919</v>
      </c>
      <c r="J261" s="2" t="s">
        <v>12920</v>
      </c>
      <c r="K261" s="2" t="s">
        <v>12921</v>
      </c>
      <c r="L261" s="2" t="s">
        <v>12922</v>
      </c>
      <c r="M261" s="2" t="s">
        <v>12923</v>
      </c>
      <c r="N261" s="2" t="s">
        <v>12924</v>
      </c>
      <c r="O261" s="2" t="s">
        <v>12925</v>
      </c>
      <c r="P261" s="2" t="s">
        <v>12926</v>
      </c>
      <c r="Q261" s="2" t="s">
        <v>12927</v>
      </c>
      <c r="R261" s="2" t="s">
        <v>794</v>
      </c>
      <c r="S261" s="2" t="s">
        <v>1098</v>
      </c>
      <c r="T261" s="2" t="s">
        <v>3079</v>
      </c>
      <c r="U261" s="2" t="s">
        <v>2256</v>
      </c>
      <c r="V261" s="2" t="s">
        <v>24</v>
      </c>
      <c r="W261" s="2" t="s">
        <v>56</v>
      </c>
    </row>
    <row r="262">
      <c r="A262" s="2" t="n">
        <v>189</v>
      </c>
      <c r="B262" s="2" t="s">
        <v>12928</v>
      </c>
      <c r="C262" s="2" t="s">
        <v>2255</v>
      </c>
      <c r="D262" s="2" t="n">
        <v>203.180524773</v>
      </c>
      <c r="E262" s="2" t="n">
        <v>15.8585597523511</v>
      </c>
      <c r="F262" s="2" t="s">
        <v>12929</v>
      </c>
      <c r="G262" s="2" t="n">
        <v>35564</v>
      </c>
      <c r="H262" s="3" t="str">
        <f>HYPERLINK("http://funmeta.oebiotech.com/network/35564", "http://funmeta.oebiotech.com/network/35564")</f>
      </c>
      <c r="I262" s="2" t="s">
        <v>12930</v>
      </c>
      <c r="J262" s="2" t="s">
        <v>12931</v>
      </c>
      <c r="K262" s="2" t="s">
        <v>12932</v>
      </c>
      <c r="L262" s="2" t="s">
        <v>12933</v>
      </c>
      <c r="M262" s="2" t="s">
        <v>12934</v>
      </c>
      <c r="N262" s="2" t="s">
        <v>12935</v>
      </c>
      <c r="O262" s="2" t="s">
        <v>12936</v>
      </c>
      <c r="P262" s="2" t="s">
        <v>12937</v>
      </c>
      <c r="Q262" s="2" t="s">
        <v>12938</v>
      </c>
      <c r="R262" s="2" t="s">
        <v>794</v>
      </c>
      <c r="S262" s="2" t="s">
        <v>1098</v>
      </c>
      <c r="T262" s="2" t="s">
        <v>3079</v>
      </c>
      <c r="U262" s="2" t="s">
        <v>2256</v>
      </c>
      <c r="V262" s="2" t="s">
        <v>24</v>
      </c>
      <c r="W262" s="2" t="s">
        <v>56</v>
      </c>
    </row>
    <row r="263">
      <c r="A263" s="2" t="n">
        <v>190</v>
      </c>
      <c r="B263" s="2" t="s">
        <v>12939</v>
      </c>
      <c r="C263" s="2" t="s">
        <v>2269</v>
      </c>
      <c r="D263" s="2" t="n">
        <v>205.020785642</v>
      </c>
      <c r="E263" s="2" t="n">
        <v>3.94993345495871</v>
      </c>
      <c r="F263" s="2" t="s">
        <v>2271</v>
      </c>
      <c r="G263" s="2" t="n">
        <v>52885</v>
      </c>
      <c r="H263" s="3" t="str">
        <f>HYPERLINK("http://funmeta.oebiotech.com/network/52885", "http://funmeta.oebiotech.com/network/52885")</f>
      </c>
      <c r="I263" s="2" t="s">
        <v>2273</v>
      </c>
      <c r="J263" s="2" t="s">
        <v>2274</v>
      </c>
      <c r="K263" s="2"/>
      <c r="L263" s="2" t="s">
        <v>2275</v>
      </c>
      <c r="M263" s="2" t="s">
        <v>2276</v>
      </c>
      <c r="N263" s="2" t="s">
        <v>2277</v>
      </c>
      <c r="O263" s="2" t="s">
        <v>2278</v>
      </c>
      <c r="P263" s="2" t="s">
        <v>2279</v>
      </c>
      <c r="Q263" s="2" t="s">
        <v>2280</v>
      </c>
      <c r="R263" s="2" t="s">
        <v>114</v>
      </c>
      <c r="S263" s="2" t="s">
        <v>369</v>
      </c>
      <c r="T263" s="2" t="s">
        <v>370</v>
      </c>
      <c r="U263" s="2" t="s">
        <v>2270</v>
      </c>
      <c r="V263" s="2" t="s">
        <v>86</v>
      </c>
      <c r="W263" s="2" t="s">
        <v>101</v>
      </c>
    </row>
    <row r="264">
      <c r="A264" s="2" t="n">
        <v>191</v>
      </c>
      <c r="B264" s="2" t="s">
        <v>12940</v>
      </c>
      <c r="C264" s="2" t="s">
        <v>2281</v>
      </c>
      <c r="D264" s="2" t="n">
        <v>205.05380033</v>
      </c>
      <c r="E264" s="2" t="n">
        <v>1.86283470369872</v>
      </c>
      <c r="F264" s="2" t="s">
        <v>2283</v>
      </c>
      <c r="G264" s="2" t="n">
        <v>54644</v>
      </c>
      <c r="H264" s="3" t="str">
        <f>HYPERLINK("http://funmeta.oebiotech.com/network/54644", "http://funmeta.oebiotech.com/network/54644")</f>
      </c>
      <c r="I264" s="2" t="s">
        <v>2285</v>
      </c>
      <c r="J264" s="2" t="s">
        <v>2286</v>
      </c>
      <c r="K264" s="2"/>
      <c r="L264" s="2"/>
      <c r="M264" s="2"/>
      <c r="N264" s="2" t="s">
        <v>2287</v>
      </c>
      <c r="O264" s="2" t="s">
        <v>2288</v>
      </c>
      <c r="P264" s="2" t="s">
        <v>2289</v>
      </c>
      <c r="Q264" s="2" t="s">
        <v>2290</v>
      </c>
      <c r="R264" s="2" t="s">
        <v>114</v>
      </c>
      <c r="S264" s="2" t="s">
        <v>936</v>
      </c>
      <c r="T264" s="2" t="s">
        <v>2291</v>
      </c>
      <c r="U264" s="2" t="s">
        <v>2282</v>
      </c>
      <c r="V264" s="2" t="s">
        <v>86</v>
      </c>
      <c r="W264" s="2" t="s">
        <v>56</v>
      </c>
    </row>
    <row r="265">
      <c r="A265" s="2" t="n">
        <v>192</v>
      </c>
      <c r="B265" s="2" t="s">
        <v>12941</v>
      </c>
      <c r="C265" s="2" t="s">
        <v>2292</v>
      </c>
      <c r="D265" s="2" t="n">
        <v>205.159789326</v>
      </c>
      <c r="E265" s="2" t="n">
        <v>10.0424408055429</v>
      </c>
      <c r="F265" s="2" t="s">
        <v>12942</v>
      </c>
      <c r="G265" s="2" t="n">
        <v>52466</v>
      </c>
      <c r="H265" s="3" t="str">
        <f>HYPERLINK("http://funmeta.oebiotech.com/network/52466", "http://funmeta.oebiotech.com/network/52466")</f>
      </c>
      <c r="I265" s="2" t="s">
        <v>12943</v>
      </c>
      <c r="J265" s="2" t="s">
        <v>12944</v>
      </c>
      <c r="K265" s="2"/>
      <c r="L265" s="2" t="s">
        <v>12945</v>
      </c>
      <c r="M265" s="2"/>
      <c r="N265" s="2" t="s">
        <v>12946</v>
      </c>
      <c r="O265" s="2" t="s">
        <v>12947</v>
      </c>
      <c r="P265" s="2" t="s">
        <v>12948</v>
      </c>
      <c r="Q265" s="2" t="s">
        <v>12949</v>
      </c>
      <c r="R265" s="2" t="s">
        <v>186</v>
      </c>
      <c r="S265" s="2" t="s">
        <v>187</v>
      </c>
      <c r="T265" s="2" t="s">
        <v>1895</v>
      </c>
      <c r="U265" s="2" t="s">
        <v>2293</v>
      </c>
      <c r="V265" s="2" t="s">
        <v>24</v>
      </c>
      <c r="W265" s="2" t="s">
        <v>56</v>
      </c>
    </row>
    <row r="266">
      <c r="A266" s="2" t="n">
        <v>192</v>
      </c>
      <c r="B266" s="2" t="s">
        <v>12950</v>
      </c>
      <c r="C266" s="2" t="s">
        <v>2292</v>
      </c>
      <c r="D266" s="2" t="n">
        <v>205.159789326</v>
      </c>
      <c r="E266" s="2" t="n">
        <v>10.0424408055429</v>
      </c>
      <c r="F266" s="2" t="s">
        <v>12951</v>
      </c>
      <c r="G266" s="2" t="n">
        <v>59489</v>
      </c>
      <c r="H266" s="3" t="str">
        <f>HYPERLINK("http://funmeta.oebiotech.com/network/59489", "http://funmeta.oebiotech.com/network/59489")</f>
      </c>
      <c r="I266" s="2" t="s">
        <v>12952</v>
      </c>
      <c r="J266" s="2" t="s">
        <v>12953</v>
      </c>
      <c r="K266" s="2"/>
      <c r="L266" s="2" t="s">
        <v>12954</v>
      </c>
      <c r="M266" s="2" t="s">
        <v>12955</v>
      </c>
      <c r="N266" s="2" t="s">
        <v>12956</v>
      </c>
      <c r="O266" s="2" t="s">
        <v>12957</v>
      </c>
      <c r="P266" s="2" t="s">
        <v>12958</v>
      </c>
      <c r="Q266" s="2" t="s">
        <v>12959</v>
      </c>
      <c r="R266" s="2" t="s">
        <v>794</v>
      </c>
      <c r="S266" s="2" t="s">
        <v>1098</v>
      </c>
      <c r="T266" s="2" t="s">
        <v>3079</v>
      </c>
      <c r="U266" s="2" t="s">
        <v>2293</v>
      </c>
      <c r="V266" s="2" t="s">
        <v>24</v>
      </c>
      <c r="W266" s="2" t="s">
        <v>56</v>
      </c>
    </row>
    <row r="267">
      <c r="A267" s="2" t="n">
        <v>193</v>
      </c>
      <c r="B267" s="2" t="s">
        <v>12960</v>
      </c>
      <c r="C267" s="2" t="s">
        <v>2307</v>
      </c>
      <c r="D267" s="2" t="n">
        <v>205.196174832</v>
      </c>
      <c r="E267" s="2" t="n">
        <v>9.41360890431234</v>
      </c>
      <c r="F267" s="2" t="s">
        <v>2309</v>
      </c>
      <c r="G267" s="2" t="n">
        <v>83307</v>
      </c>
      <c r="H267" s="3" t="str">
        <f>HYPERLINK("http://funmeta.oebiotech.com/network/83307", "http://funmeta.oebiotech.com/network/83307")</f>
      </c>
      <c r="I267" s="2" t="s">
        <v>2311</v>
      </c>
      <c r="J267" s="2"/>
      <c r="K267" s="2"/>
      <c r="L267" s="2"/>
      <c r="M267" s="2" t="s">
        <v>2312</v>
      </c>
      <c r="N267" s="2" t="s">
        <v>2313</v>
      </c>
      <c r="O267" s="2"/>
      <c r="P267" s="2" t="s">
        <v>2314</v>
      </c>
      <c r="Q267" s="2" t="s">
        <v>2315</v>
      </c>
      <c r="R267" s="2" t="s">
        <v>794</v>
      </c>
      <c r="S267" s="2" t="s">
        <v>1098</v>
      </c>
      <c r="T267" s="2" t="s">
        <v>1099</v>
      </c>
      <c r="U267" s="2" t="s">
        <v>2308</v>
      </c>
      <c r="V267" s="2" t="s">
        <v>24</v>
      </c>
      <c r="W267" s="2" t="s">
        <v>56</v>
      </c>
    </row>
    <row r="268">
      <c r="A268" s="2" t="n">
        <v>194</v>
      </c>
      <c r="B268" s="2" t="s">
        <v>12961</v>
      </c>
      <c r="C268" s="2" t="s">
        <v>2316</v>
      </c>
      <c r="D268" s="2" t="n">
        <v>206.9498205</v>
      </c>
      <c r="E268" s="2" t="n">
        <v>2.39481798454888</v>
      </c>
      <c r="F268" s="2" t="s">
        <v>2318</v>
      </c>
      <c r="G268" s="2" t="n">
        <v>202435</v>
      </c>
      <c r="H268" s="3" t="str">
        <f>HYPERLINK("http://funmeta.oebiotech.com/network/202435", "http://funmeta.oebiotech.com/network/202435")</f>
      </c>
      <c r="I268" s="2" t="s">
        <v>2320</v>
      </c>
      <c r="J268" s="2" t="s">
        <v>2321</v>
      </c>
      <c r="K268" s="2"/>
      <c r="L268" s="2"/>
      <c r="M268" s="2"/>
      <c r="N268" s="2" t="s">
        <v>2322</v>
      </c>
      <c r="O268" s="2"/>
      <c r="P268" s="2" t="s">
        <v>2323</v>
      </c>
      <c r="Q268" s="2" t="s">
        <v>2324</v>
      </c>
      <c r="R268" s="2" t="s">
        <v>114</v>
      </c>
      <c r="S268" s="2" t="s">
        <v>2325</v>
      </c>
      <c r="T268" s="2" t="s">
        <v>215</v>
      </c>
      <c r="U268" s="2" t="s">
        <v>2317</v>
      </c>
      <c r="V268" s="2" t="s">
        <v>531</v>
      </c>
      <c r="W268" s="2"/>
    </row>
    <row r="269">
      <c r="A269" s="2" t="n">
        <v>195</v>
      </c>
      <c r="B269" s="2" t="s">
        <v>12962</v>
      </c>
      <c r="C269" s="2" t="s">
        <v>2326</v>
      </c>
      <c r="D269" s="2" t="n">
        <v>207.014641232</v>
      </c>
      <c r="E269" s="2" t="n">
        <v>1.40831633346172</v>
      </c>
      <c r="F269" s="2" t="s">
        <v>2328</v>
      </c>
      <c r="G269" s="2" t="n">
        <v>55769</v>
      </c>
      <c r="H269" s="3" t="str">
        <f>HYPERLINK("http://funmeta.oebiotech.com/network/55769", "http://funmeta.oebiotech.com/network/55769")</f>
      </c>
      <c r="I269" s="2" t="s">
        <v>2330</v>
      </c>
      <c r="J269" s="2" t="s">
        <v>2331</v>
      </c>
      <c r="K269" s="2"/>
      <c r="L269" s="2"/>
      <c r="M269" s="2"/>
      <c r="N269" s="2" t="s">
        <v>2332</v>
      </c>
      <c r="O269" s="2" t="s">
        <v>2333</v>
      </c>
      <c r="P269" s="2" t="s">
        <v>2334</v>
      </c>
      <c r="Q269" s="2" t="s">
        <v>2335</v>
      </c>
      <c r="R269" s="2" t="s">
        <v>36</v>
      </c>
      <c r="S269" s="2" t="s">
        <v>37</v>
      </c>
      <c r="T269" s="2" t="s">
        <v>2336</v>
      </c>
      <c r="U269" s="2" t="s">
        <v>2327</v>
      </c>
      <c r="V269" s="2" t="s">
        <v>24</v>
      </c>
      <c r="W269" s="2" t="s">
        <v>56</v>
      </c>
    </row>
    <row r="270">
      <c r="A270" s="2" t="n">
        <v>196</v>
      </c>
      <c r="B270" s="2" t="s">
        <v>12963</v>
      </c>
      <c r="C270" s="2" t="s">
        <v>2337</v>
      </c>
      <c r="D270" s="2" t="n">
        <v>208.001762781</v>
      </c>
      <c r="E270" s="2" t="n">
        <v>2.07622836973589</v>
      </c>
      <c r="F270" s="2" t="s">
        <v>2339</v>
      </c>
      <c r="G270" s="2" t="n">
        <v>51971</v>
      </c>
      <c r="H270" s="3" t="str">
        <f>HYPERLINK("http://funmeta.oebiotech.com/network/51971", "http://funmeta.oebiotech.com/network/51971")</f>
      </c>
      <c r="I270" s="2" t="s">
        <v>2341</v>
      </c>
      <c r="J270" s="2"/>
      <c r="K270" s="2"/>
      <c r="L270" s="2" t="s">
        <v>2342</v>
      </c>
      <c r="M270" s="2" t="s">
        <v>2343</v>
      </c>
      <c r="N270" s="2" t="s">
        <v>2344</v>
      </c>
      <c r="O270" s="2" t="s">
        <v>2345</v>
      </c>
      <c r="P270" s="2" t="s">
        <v>2346</v>
      </c>
      <c r="Q270" s="2" t="s">
        <v>2347</v>
      </c>
      <c r="R270" s="2" t="s">
        <v>36</v>
      </c>
      <c r="S270" s="2" t="s">
        <v>37</v>
      </c>
      <c r="T270" s="2" t="s">
        <v>69</v>
      </c>
      <c r="U270" s="2" t="s">
        <v>2338</v>
      </c>
      <c r="V270" s="2" t="s">
        <v>218</v>
      </c>
      <c r="W270" s="2" t="s">
        <v>56</v>
      </c>
    </row>
    <row r="271">
      <c r="A271" s="2" t="n">
        <v>197</v>
      </c>
      <c r="B271" s="2" t="s">
        <v>12964</v>
      </c>
      <c r="C271" s="2" t="s">
        <v>2348</v>
      </c>
      <c r="D271" s="2" t="n">
        <v>208.0745951</v>
      </c>
      <c r="E271" s="2" t="n">
        <v>0.289201974883931</v>
      </c>
      <c r="F271" s="2" t="s">
        <v>2350</v>
      </c>
      <c r="G271" s="2" t="n">
        <v>209040</v>
      </c>
      <c r="H271" s="3" t="str">
        <f>HYPERLINK("http://funmeta.oebiotech.com/network/209040", "http://funmeta.oebiotech.com/network/209040")</f>
      </c>
      <c r="I271" s="2" t="s">
        <v>2352</v>
      </c>
      <c r="J271" s="2"/>
      <c r="K271" s="2"/>
      <c r="L271" s="2"/>
      <c r="M271" s="2"/>
      <c r="N271" s="2"/>
      <c r="O271" s="2"/>
      <c r="P271" s="2" t="s">
        <v>2353</v>
      </c>
      <c r="Q271" s="2" t="s">
        <v>2354</v>
      </c>
      <c r="R271" s="2" t="s">
        <v>36</v>
      </c>
      <c r="S271" s="2" t="s">
        <v>37</v>
      </c>
      <c r="T271" s="2" t="s">
        <v>69</v>
      </c>
      <c r="U271" s="2" t="s">
        <v>2349</v>
      </c>
      <c r="V271" s="2" t="s">
        <v>24</v>
      </c>
      <c r="W271" s="2"/>
    </row>
    <row r="272">
      <c r="A272" s="2" t="n">
        <v>198</v>
      </c>
      <c r="B272" s="2" t="s">
        <v>12965</v>
      </c>
      <c r="C272" s="2" t="s">
        <v>2355</v>
      </c>
      <c r="D272" s="2" t="n">
        <v>208.983459477</v>
      </c>
      <c r="E272" s="2" t="n">
        <v>1.8226084590219</v>
      </c>
      <c r="F272" s="2" t="s">
        <v>2357</v>
      </c>
      <c r="G272" s="2" t="n">
        <v>201443</v>
      </c>
      <c r="H272" s="3" t="str">
        <f>HYPERLINK("http://funmeta.oebiotech.com/network/201443", "http://funmeta.oebiotech.com/network/201443")</f>
      </c>
      <c r="I272" s="2" t="s">
        <v>2359</v>
      </c>
      <c r="J272" s="2" t="s">
        <v>2360</v>
      </c>
      <c r="K272" s="2"/>
      <c r="L272" s="2" t="s">
        <v>2361</v>
      </c>
      <c r="M272" s="2" t="s">
        <v>2362</v>
      </c>
      <c r="N272" s="2" t="s">
        <v>2363</v>
      </c>
      <c r="O272" s="2" t="s">
        <v>2364</v>
      </c>
      <c r="P272" s="2" t="s">
        <v>2365</v>
      </c>
      <c r="Q272" s="2" t="s">
        <v>2366</v>
      </c>
      <c r="R272" s="2" t="s">
        <v>186</v>
      </c>
      <c r="S272" s="2" t="s">
        <v>357</v>
      </c>
      <c r="T272" s="2" t="s">
        <v>1149</v>
      </c>
      <c r="U272" s="2" t="s">
        <v>2356</v>
      </c>
      <c r="V272" s="2" t="s">
        <v>161</v>
      </c>
      <c r="W272" s="2" t="s">
        <v>101</v>
      </c>
    </row>
    <row r="273">
      <c r="A273" s="2" t="n">
        <v>199</v>
      </c>
      <c r="B273" s="2" t="s">
        <v>12966</v>
      </c>
      <c r="C273" s="2" t="s">
        <v>2367</v>
      </c>
      <c r="D273" s="2" t="n">
        <v>209.068014206</v>
      </c>
      <c r="E273" s="2" t="n">
        <v>0.178797176494329</v>
      </c>
      <c r="F273" s="2" t="s">
        <v>2369</v>
      </c>
      <c r="G273" s="2" t="n">
        <v>47818</v>
      </c>
      <c r="H273" s="3" t="str">
        <f>HYPERLINK("http://funmeta.oebiotech.com/network/47818", "http://funmeta.oebiotech.com/network/47818")</f>
      </c>
      <c r="I273" s="2" t="s">
        <v>2371</v>
      </c>
      <c r="J273" s="2" t="s">
        <v>2372</v>
      </c>
      <c r="K273" s="2"/>
      <c r="L273" s="2" t="s">
        <v>2373</v>
      </c>
      <c r="M273" s="2" t="s">
        <v>2374</v>
      </c>
      <c r="N273" s="2" t="s">
        <v>2375</v>
      </c>
      <c r="O273" s="2" t="s">
        <v>2376</v>
      </c>
      <c r="P273" s="2" t="s">
        <v>2377</v>
      </c>
      <c r="Q273" s="2" t="s">
        <v>2378</v>
      </c>
      <c r="R273" s="2" t="s">
        <v>114</v>
      </c>
      <c r="S273" s="2" t="s">
        <v>730</v>
      </c>
      <c r="T273" s="2" t="s">
        <v>731</v>
      </c>
      <c r="U273" s="2" t="s">
        <v>2368</v>
      </c>
      <c r="V273" s="2" t="s">
        <v>24</v>
      </c>
      <c r="W273" s="2" t="s">
        <v>56</v>
      </c>
    </row>
    <row r="274">
      <c r="A274" s="2" t="n">
        <v>200</v>
      </c>
      <c r="B274" s="2" t="s">
        <v>12967</v>
      </c>
      <c r="C274" s="2" t="s">
        <v>2379</v>
      </c>
      <c r="D274" s="2" t="n">
        <v>209.118318442</v>
      </c>
      <c r="E274" s="2" t="n">
        <v>19.773708057978</v>
      </c>
      <c r="F274" s="2" t="s">
        <v>2381</v>
      </c>
      <c r="G274" s="2" t="n">
        <v>3360</v>
      </c>
      <c r="H274" s="3" t="str">
        <f>HYPERLINK("http://funmeta.oebiotech.com/network/3360", "http://funmeta.oebiotech.com/network/3360")</f>
      </c>
      <c r="I274" s="2" t="s">
        <v>2383</v>
      </c>
      <c r="J274" s="2"/>
      <c r="K274" s="2" t="s">
        <v>2384</v>
      </c>
      <c r="L274" s="2" t="s">
        <v>2385</v>
      </c>
      <c r="M274" s="2" t="s">
        <v>2386</v>
      </c>
      <c r="N274" s="2" t="s">
        <v>2387</v>
      </c>
      <c r="O274" s="2" t="s">
        <v>2388</v>
      </c>
      <c r="P274" s="2" t="s">
        <v>2389</v>
      </c>
      <c r="Q274" s="2" t="s">
        <v>2390</v>
      </c>
      <c r="R274" s="2" t="s">
        <v>794</v>
      </c>
      <c r="S274" s="2" t="s">
        <v>795</v>
      </c>
      <c r="T274" s="2" t="s">
        <v>2391</v>
      </c>
      <c r="U274" s="2" t="s">
        <v>2380</v>
      </c>
      <c r="V274" s="2" t="s">
        <v>24</v>
      </c>
      <c r="W274" s="2" t="s">
        <v>56</v>
      </c>
    </row>
    <row r="275">
      <c r="A275" s="2" t="n">
        <v>201</v>
      </c>
      <c r="B275" s="2" t="s">
        <v>12968</v>
      </c>
      <c r="C275" s="2" t="s">
        <v>2392</v>
      </c>
      <c r="D275" s="2" t="n">
        <v>210.052029782</v>
      </c>
      <c r="E275" s="2" t="n">
        <v>1.73211407186297</v>
      </c>
      <c r="F275" s="2" t="s">
        <v>2394</v>
      </c>
      <c r="G275" s="2" t="n">
        <v>209549</v>
      </c>
      <c r="H275" s="3" t="str">
        <f>HYPERLINK("http://funmeta.oebiotech.com/network/209549", "http://funmeta.oebiotech.com/network/209549")</f>
      </c>
      <c r="I275" s="2" t="s">
        <v>2396</v>
      </c>
      <c r="J275" s="2" t="s">
        <v>2397</v>
      </c>
      <c r="K275" s="2"/>
      <c r="L275" s="2" t="s">
        <v>2398</v>
      </c>
      <c r="M275" s="2" t="s">
        <v>2399</v>
      </c>
      <c r="N275" s="2" t="s">
        <v>2400</v>
      </c>
      <c r="O275" s="2" t="s">
        <v>2401</v>
      </c>
      <c r="P275" s="2" t="s">
        <v>2402</v>
      </c>
      <c r="Q275" s="2" t="s">
        <v>2403</v>
      </c>
      <c r="R275" s="2" t="s">
        <v>114</v>
      </c>
      <c r="S275" s="2" t="s">
        <v>936</v>
      </c>
      <c r="T275" s="2" t="s">
        <v>1749</v>
      </c>
      <c r="U275" s="2" t="s">
        <v>2393</v>
      </c>
      <c r="V275" s="2" t="s">
        <v>24</v>
      </c>
      <c r="W275" s="2" t="s">
        <v>101</v>
      </c>
    </row>
    <row r="276">
      <c r="A276" s="2" t="n">
        <v>202</v>
      </c>
      <c r="B276" s="2" t="s">
        <v>12969</v>
      </c>
      <c r="C276" s="2" t="s">
        <v>2404</v>
      </c>
      <c r="D276" s="2" t="n">
        <v>210.088415297</v>
      </c>
      <c r="E276" s="2" t="n">
        <v>10.7782312125384</v>
      </c>
      <c r="F276" s="2" t="s">
        <v>2406</v>
      </c>
      <c r="G276" s="2" t="n">
        <v>53199</v>
      </c>
      <c r="H276" s="3" t="str">
        <f>HYPERLINK("http://funmeta.oebiotech.com/network/53199", "http://funmeta.oebiotech.com/network/53199")</f>
      </c>
      <c r="I276" s="2" t="s">
        <v>2408</v>
      </c>
      <c r="J276" s="2" t="s">
        <v>2409</v>
      </c>
      <c r="K276" s="2"/>
      <c r="L276" s="2" t="s">
        <v>2410</v>
      </c>
      <c r="M276" s="2" t="s">
        <v>2411</v>
      </c>
      <c r="N276" s="2" t="s">
        <v>2412</v>
      </c>
      <c r="O276" s="2" t="s">
        <v>2413</v>
      </c>
      <c r="P276" s="2" t="s">
        <v>2414</v>
      </c>
      <c r="Q276" s="2" t="s">
        <v>2415</v>
      </c>
      <c r="R276" s="2" t="s">
        <v>2416</v>
      </c>
      <c r="S276" s="2" t="s">
        <v>2417</v>
      </c>
      <c r="T276" s="2" t="s">
        <v>2418</v>
      </c>
      <c r="U276" s="2" t="s">
        <v>2405</v>
      </c>
      <c r="V276" s="2" t="s">
        <v>24</v>
      </c>
      <c r="W276" s="2" t="s">
        <v>56</v>
      </c>
    </row>
    <row r="277">
      <c r="A277" s="2" t="n">
        <v>203</v>
      </c>
      <c r="B277" s="2" t="s">
        <v>12970</v>
      </c>
      <c r="C277" s="2" t="s">
        <v>2419</v>
      </c>
      <c r="D277" s="2" t="n">
        <v>211.001489988</v>
      </c>
      <c r="E277" s="2" t="n">
        <v>2.6296968381188</v>
      </c>
      <c r="F277" s="2" t="s">
        <v>2421</v>
      </c>
      <c r="G277" s="2" t="n">
        <v>46840</v>
      </c>
      <c r="H277" s="3" t="str">
        <f>HYPERLINK("http://funmeta.oebiotech.com/network/46840", "http://funmeta.oebiotech.com/network/46840")</f>
      </c>
      <c r="I277" s="2" t="s">
        <v>2423</v>
      </c>
      <c r="J277" s="2" t="s">
        <v>2424</v>
      </c>
      <c r="K277" s="2"/>
      <c r="L277" s="2" t="s">
        <v>2425</v>
      </c>
      <c r="M277" s="2" t="s">
        <v>2426</v>
      </c>
      <c r="N277" s="2" t="s">
        <v>2427</v>
      </c>
      <c r="O277" s="2" t="s">
        <v>2428</v>
      </c>
      <c r="P277" s="2" t="s">
        <v>2429</v>
      </c>
      <c r="Q277" s="2" t="s">
        <v>2430</v>
      </c>
      <c r="R277" s="2" t="s">
        <v>114</v>
      </c>
      <c r="S277" s="2" t="s">
        <v>115</v>
      </c>
      <c r="T277" s="2" t="s">
        <v>116</v>
      </c>
      <c r="U277" s="2" t="s">
        <v>2420</v>
      </c>
      <c r="V277" s="2" t="s">
        <v>86</v>
      </c>
      <c r="W277" s="2" t="s">
        <v>39</v>
      </c>
    </row>
    <row r="278">
      <c r="A278" s="2" t="n">
        <v>204</v>
      </c>
      <c r="B278" s="2" t="s">
        <v>12971</v>
      </c>
      <c r="C278" s="2" t="s">
        <v>2431</v>
      </c>
      <c r="D278" s="2" t="n">
        <v>211.083664262</v>
      </c>
      <c r="E278" s="2" t="n">
        <v>1.7459314744163</v>
      </c>
      <c r="F278" s="2" t="s">
        <v>12972</v>
      </c>
      <c r="G278" s="2" t="n">
        <v>53909</v>
      </c>
      <c r="H278" s="3" t="str">
        <f>HYPERLINK("http://funmeta.oebiotech.com/network/53909", "http://funmeta.oebiotech.com/network/53909")</f>
      </c>
      <c r="I278" s="2" t="s">
        <v>12973</v>
      </c>
      <c r="J278" s="2" t="s">
        <v>12974</v>
      </c>
      <c r="K278" s="2"/>
      <c r="L278" s="2"/>
      <c r="M278" s="2" t="s">
        <v>12975</v>
      </c>
      <c r="N278" s="2" t="s">
        <v>12976</v>
      </c>
      <c r="O278" s="2" t="s">
        <v>12977</v>
      </c>
      <c r="P278" s="2" t="s">
        <v>12978</v>
      </c>
      <c r="Q278" s="2" t="s">
        <v>12979</v>
      </c>
      <c r="R278" s="2" t="s">
        <v>36</v>
      </c>
      <c r="S278" s="2" t="s">
        <v>37</v>
      </c>
      <c r="T278" s="2" t="s">
        <v>69</v>
      </c>
      <c r="U278" s="2" t="s">
        <v>2432</v>
      </c>
      <c r="V278" s="2" t="s">
        <v>24</v>
      </c>
      <c r="W278" s="2" t="s">
        <v>56</v>
      </c>
    </row>
    <row r="279">
      <c r="A279" s="2" t="n">
        <v>204</v>
      </c>
      <c r="B279" s="2" t="s">
        <v>12980</v>
      </c>
      <c r="C279" s="2" t="s">
        <v>2431</v>
      </c>
      <c r="D279" s="2" t="n">
        <v>211.08366427</v>
      </c>
      <c r="E279" s="2" t="n">
        <v>1.7459314744163</v>
      </c>
      <c r="F279" s="2" t="s">
        <v>12981</v>
      </c>
      <c r="G279" s="2" t="n">
        <v>53872</v>
      </c>
      <c r="H279" s="3" t="str">
        <f>HYPERLINK("http://funmeta.oebiotech.com/network/53872", "http://funmeta.oebiotech.com/network/53872")</f>
      </c>
      <c r="I279" s="2" t="s">
        <v>12982</v>
      </c>
      <c r="J279" s="2" t="s">
        <v>12983</v>
      </c>
      <c r="K279" s="2"/>
      <c r="L279" s="2"/>
      <c r="M279" s="2" t="s">
        <v>12984</v>
      </c>
      <c r="N279" s="2" t="s">
        <v>12985</v>
      </c>
      <c r="O279" s="2"/>
      <c r="P279" s="2" t="s">
        <v>12986</v>
      </c>
      <c r="Q279" s="2" t="s">
        <v>12987</v>
      </c>
      <c r="R279" s="2" t="s">
        <v>36</v>
      </c>
      <c r="S279" s="2" t="s">
        <v>37</v>
      </c>
      <c r="T279" s="2" t="s">
        <v>69</v>
      </c>
      <c r="U279" s="2" t="s">
        <v>2432</v>
      </c>
      <c r="V279" s="2" t="s">
        <v>24</v>
      </c>
      <c r="W279" s="2" t="s">
        <v>56</v>
      </c>
    </row>
    <row r="280">
      <c r="A280" s="2" t="n">
        <v>205</v>
      </c>
      <c r="B280" s="2" t="s">
        <v>12988</v>
      </c>
      <c r="C280" s="2" t="s">
        <v>2442</v>
      </c>
      <c r="D280" s="2" t="n">
        <v>211.170349704</v>
      </c>
      <c r="E280" s="2" t="n">
        <v>11.633541071042</v>
      </c>
      <c r="F280" s="2" t="s">
        <v>2444</v>
      </c>
      <c r="G280" s="2" t="n">
        <v>56834</v>
      </c>
      <c r="H280" s="3" t="str">
        <f>HYPERLINK("http://funmeta.oebiotech.com/network/56834", "http://funmeta.oebiotech.com/network/56834")</f>
      </c>
      <c r="I280" s="2" t="s">
        <v>2446</v>
      </c>
      <c r="J280" s="2" t="s">
        <v>2447</v>
      </c>
      <c r="K280" s="2"/>
      <c r="L280" s="2"/>
      <c r="M280" s="2"/>
      <c r="N280" s="2" t="s">
        <v>2448</v>
      </c>
      <c r="O280" s="2" t="s">
        <v>2449</v>
      </c>
      <c r="P280" s="2" t="s">
        <v>2450</v>
      </c>
      <c r="Q280" s="2" t="s">
        <v>2451</v>
      </c>
      <c r="R280" s="2" t="s">
        <v>501</v>
      </c>
      <c r="S280" s="2" t="s">
        <v>502</v>
      </c>
      <c r="T280" s="2" t="s">
        <v>503</v>
      </c>
      <c r="U280" s="2" t="s">
        <v>2443</v>
      </c>
      <c r="V280" s="2" t="s">
        <v>205</v>
      </c>
      <c r="W280" s="2" t="s">
        <v>56</v>
      </c>
    </row>
    <row r="281">
      <c r="A281" s="2" t="n">
        <v>206</v>
      </c>
      <c r="B281" s="2" t="s">
        <v>12989</v>
      </c>
      <c r="C281" s="2" t="s">
        <v>2452</v>
      </c>
      <c r="D281" s="2" t="n">
        <v>212.0267006</v>
      </c>
      <c r="E281" s="2" t="n">
        <v>0.772749542636969</v>
      </c>
      <c r="F281" s="2" t="s">
        <v>2454</v>
      </c>
      <c r="G281" s="2" t="n">
        <v>200446</v>
      </c>
      <c r="H281" s="3" t="str">
        <f>HYPERLINK("http://funmeta.oebiotech.com/network/200446", "http://funmeta.oebiotech.com/network/200446")</f>
      </c>
      <c r="I281" s="2" t="s">
        <v>2456</v>
      </c>
      <c r="J281" s="2" t="s">
        <v>2457</v>
      </c>
      <c r="K281" s="2"/>
      <c r="L281" s="2"/>
      <c r="M281" s="2"/>
      <c r="N281" s="2" t="s">
        <v>2458</v>
      </c>
      <c r="O281" s="2"/>
      <c r="P281" s="2" t="s">
        <v>2459</v>
      </c>
      <c r="Q281" s="2" t="s">
        <v>2460</v>
      </c>
      <c r="R281" s="2" t="s">
        <v>186</v>
      </c>
      <c r="S281" s="2" t="s">
        <v>187</v>
      </c>
      <c r="T281" s="2" t="s">
        <v>2461</v>
      </c>
      <c r="U281" s="2" t="s">
        <v>2453</v>
      </c>
      <c r="V281" s="2" t="s">
        <v>161</v>
      </c>
      <c r="W281" s="2"/>
    </row>
    <row r="282">
      <c r="A282" s="2" t="n">
        <v>207</v>
      </c>
      <c r="B282" s="2" t="s">
        <v>12990</v>
      </c>
      <c r="C282" s="2" t="s">
        <v>2462</v>
      </c>
      <c r="D282" s="2" t="n">
        <v>212.090425031</v>
      </c>
      <c r="E282" s="2" t="n">
        <v>1.68030750412277</v>
      </c>
      <c r="F282" s="2" t="s">
        <v>2464</v>
      </c>
      <c r="G282" s="2" t="n">
        <v>209034</v>
      </c>
      <c r="H282" s="3" t="str">
        <f>HYPERLINK("http://funmeta.oebiotech.com/network/209034", "http://funmeta.oebiotech.com/network/209034")</f>
      </c>
      <c r="I282" s="2" t="s">
        <v>2466</v>
      </c>
      <c r="J282" s="2"/>
      <c r="K282" s="2"/>
      <c r="L282" s="2"/>
      <c r="M282" s="2"/>
      <c r="N282" s="2" t="s">
        <v>2467</v>
      </c>
      <c r="O282" s="2"/>
      <c r="P282" s="2" t="s">
        <v>2468</v>
      </c>
      <c r="Q282" s="2" t="s">
        <v>2469</v>
      </c>
      <c r="R282" s="2" t="s">
        <v>36</v>
      </c>
      <c r="S282" s="2" t="s">
        <v>37</v>
      </c>
      <c r="T282" s="2" t="s">
        <v>69</v>
      </c>
      <c r="U282" s="2" t="s">
        <v>2463</v>
      </c>
      <c r="V282" s="2" t="s">
        <v>531</v>
      </c>
      <c r="W282" s="2"/>
    </row>
    <row r="283">
      <c r="A283" s="2" t="n">
        <v>208</v>
      </c>
      <c r="B283" s="2" t="s">
        <v>12991</v>
      </c>
      <c r="C283" s="2" t="s">
        <v>2470</v>
      </c>
      <c r="D283" s="2" t="n">
        <v>212.9362413</v>
      </c>
      <c r="E283" s="2" t="n">
        <v>6.44574115832104</v>
      </c>
      <c r="F283" s="2" t="s">
        <v>2472</v>
      </c>
      <c r="G283" s="2" t="n">
        <v>211278</v>
      </c>
      <c r="H283" s="3" t="str">
        <f>HYPERLINK("http://funmeta.oebiotech.com/network/211278", "http://funmeta.oebiotech.com/network/211278")</f>
      </c>
      <c r="I283" s="2" t="s">
        <v>2474</v>
      </c>
      <c r="J283" s="2"/>
      <c r="K283" s="2"/>
      <c r="L283" s="2"/>
      <c r="M283" s="2"/>
      <c r="N283" s="2" t="s">
        <v>2475</v>
      </c>
      <c r="O283" s="2"/>
      <c r="P283" s="2" t="s">
        <v>2476</v>
      </c>
      <c r="Q283" s="2" t="s">
        <v>2477</v>
      </c>
      <c r="R283" s="2" t="s">
        <v>186</v>
      </c>
      <c r="S283" s="2" t="s">
        <v>357</v>
      </c>
      <c r="T283" s="2" t="s">
        <v>2478</v>
      </c>
      <c r="U283" s="2" t="s">
        <v>2471</v>
      </c>
      <c r="V283" s="2" t="s">
        <v>218</v>
      </c>
      <c r="W283" s="2"/>
    </row>
    <row r="284">
      <c r="A284" s="2" t="n">
        <v>209</v>
      </c>
      <c r="B284" s="2" t="s">
        <v>12992</v>
      </c>
      <c r="C284" s="2" t="s">
        <v>2479</v>
      </c>
      <c r="D284" s="2" t="n">
        <v>212.981622944</v>
      </c>
      <c r="E284" s="2" t="n">
        <v>4.94509990960902</v>
      </c>
      <c r="F284" s="2" t="s">
        <v>2481</v>
      </c>
      <c r="G284" s="2" t="n">
        <v>54860</v>
      </c>
      <c r="H284" s="3" t="str">
        <f>HYPERLINK("http://funmeta.oebiotech.com/network/54860", "http://funmeta.oebiotech.com/network/54860")</f>
      </c>
      <c r="I284" s="2" t="s">
        <v>2483</v>
      </c>
      <c r="J284" s="2" t="s">
        <v>2484</v>
      </c>
      <c r="K284" s="2"/>
      <c r="L284" s="2"/>
      <c r="M284" s="2" t="s">
        <v>2485</v>
      </c>
      <c r="N284" s="2" t="s">
        <v>2486</v>
      </c>
      <c r="O284" s="2" t="s">
        <v>2487</v>
      </c>
      <c r="P284" s="2" t="s">
        <v>2488</v>
      </c>
      <c r="Q284" s="2" t="s">
        <v>2489</v>
      </c>
      <c r="R284" s="2" t="s">
        <v>644</v>
      </c>
      <c r="S284" s="2" t="s">
        <v>2490</v>
      </c>
      <c r="T284" s="2" t="s">
        <v>2491</v>
      </c>
      <c r="U284" s="2" t="s">
        <v>2480</v>
      </c>
      <c r="V284" s="2" t="s">
        <v>86</v>
      </c>
      <c r="W284" s="2" t="s">
        <v>56</v>
      </c>
    </row>
    <row r="285">
      <c r="A285" s="2" t="n">
        <v>210</v>
      </c>
      <c r="B285" s="2" t="s">
        <v>12993</v>
      </c>
      <c r="C285" s="2" t="s">
        <v>2492</v>
      </c>
      <c r="D285" s="2" t="n">
        <v>213.018477195</v>
      </c>
      <c r="E285" s="2" t="n">
        <v>3.13070269949791</v>
      </c>
      <c r="F285" s="2" t="s">
        <v>2494</v>
      </c>
      <c r="G285" s="2" t="n">
        <v>202662</v>
      </c>
      <c r="H285" s="3" t="str">
        <f>HYPERLINK("http://funmeta.oebiotech.com/network/202662", "http://funmeta.oebiotech.com/network/202662")</f>
      </c>
      <c r="I285" s="2" t="s">
        <v>2496</v>
      </c>
      <c r="J285" s="2" t="s">
        <v>2497</v>
      </c>
      <c r="K285" s="2"/>
      <c r="L285" s="2"/>
      <c r="M285" s="2" t="s">
        <v>2498</v>
      </c>
      <c r="N285" s="2" t="s">
        <v>2499</v>
      </c>
      <c r="O285" s="2" t="s">
        <v>2500</v>
      </c>
      <c r="P285" s="2" t="s">
        <v>2501</v>
      </c>
      <c r="Q285" s="2" t="s">
        <v>2502</v>
      </c>
      <c r="R285" s="2" t="s">
        <v>114</v>
      </c>
      <c r="S285" s="2" t="s">
        <v>730</v>
      </c>
      <c r="T285" s="2" t="s">
        <v>731</v>
      </c>
      <c r="U285" s="2" t="s">
        <v>2493</v>
      </c>
      <c r="V285" s="2" t="s">
        <v>24</v>
      </c>
      <c r="W285" s="2"/>
    </row>
    <row r="286">
      <c r="A286" s="2" t="n">
        <v>211</v>
      </c>
      <c r="B286" s="2" t="s">
        <v>12994</v>
      </c>
      <c r="C286" s="2" t="s">
        <v>2503</v>
      </c>
      <c r="D286" s="2" t="n">
        <v>213.051145114</v>
      </c>
      <c r="E286" s="2" t="n">
        <v>2.76518920079234</v>
      </c>
      <c r="F286" s="2" t="s">
        <v>12995</v>
      </c>
      <c r="G286" s="2" t="n">
        <v>207244</v>
      </c>
      <c r="H286" s="3" t="str">
        <f>HYPERLINK("http://funmeta.oebiotech.com/network/207244", "http://funmeta.oebiotech.com/network/207244")</f>
      </c>
      <c r="I286" s="2" t="s">
        <v>12996</v>
      </c>
      <c r="J286" s="2"/>
      <c r="K286" s="2"/>
      <c r="L286" s="2"/>
      <c r="M286" s="2"/>
      <c r="N286" s="2" t="s">
        <v>12997</v>
      </c>
      <c r="O286" s="2"/>
      <c r="P286" s="2" t="s">
        <v>12998</v>
      </c>
      <c r="Q286" s="2" t="s">
        <v>12999</v>
      </c>
      <c r="R286" s="2" t="s">
        <v>36</v>
      </c>
      <c r="S286" s="2" t="s">
        <v>37</v>
      </c>
      <c r="T286" s="2" t="s">
        <v>69</v>
      </c>
      <c r="U286" s="2" t="s">
        <v>2504</v>
      </c>
      <c r="V286" s="2" t="s">
        <v>161</v>
      </c>
      <c r="W286" s="2"/>
    </row>
    <row r="287">
      <c r="A287" s="2" t="n">
        <v>211</v>
      </c>
      <c r="B287" s="2" t="s">
        <v>13000</v>
      </c>
      <c r="C287" s="2" t="s">
        <v>2503</v>
      </c>
      <c r="D287" s="2" t="n">
        <v>213.051145114</v>
      </c>
      <c r="E287" s="2" t="n">
        <v>2.76518920079234</v>
      </c>
      <c r="F287" s="2" t="s">
        <v>13001</v>
      </c>
      <c r="G287" s="2" t="n">
        <v>211577</v>
      </c>
      <c r="H287" s="3" t="str">
        <f>HYPERLINK("http://funmeta.oebiotech.com/network/211577", "http://funmeta.oebiotech.com/network/211577")</f>
      </c>
      <c r="I287" s="2" t="s">
        <v>13002</v>
      </c>
      <c r="J287" s="2"/>
      <c r="K287" s="2"/>
      <c r="L287" s="2"/>
      <c r="M287" s="2"/>
      <c r="N287" s="2"/>
      <c r="O287" s="2"/>
      <c r="P287" s="2" t="s">
        <v>13003</v>
      </c>
      <c r="Q287" s="2" t="s">
        <v>13004</v>
      </c>
      <c r="R287" s="2" t="s">
        <v>36</v>
      </c>
      <c r="S287" s="2" t="s">
        <v>37</v>
      </c>
      <c r="T287" s="2" t="s">
        <v>69</v>
      </c>
      <c r="U287" s="2" t="s">
        <v>2504</v>
      </c>
      <c r="V287" s="2" t="s">
        <v>161</v>
      </c>
      <c r="W287" s="2"/>
    </row>
    <row r="288">
      <c r="A288" s="2" t="n">
        <v>211</v>
      </c>
      <c r="B288" s="2" t="s">
        <v>13005</v>
      </c>
      <c r="C288" s="2" t="s">
        <v>2503</v>
      </c>
      <c r="D288" s="2" t="n">
        <v>213.051145114</v>
      </c>
      <c r="E288" s="2" t="n">
        <v>2.76518920079234</v>
      </c>
      <c r="F288" s="2" t="s">
        <v>13006</v>
      </c>
      <c r="G288" s="2" t="n">
        <v>208087</v>
      </c>
      <c r="H288" s="3" t="str">
        <f>HYPERLINK("http://funmeta.oebiotech.com/network/208087", "http://funmeta.oebiotech.com/network/208087")</f>
      </c>
      <c r="I288" s="2" t="s">
        <v>13007</v>
      </c>
      <c r="J288" s="2"/>
      <c r="K288" s="2"/>
      <c r="L288" s="2"/>
      <c r="M288" s="2"/>
      <c r="N288" s="2" t="s">
        <v>13008</v>
      </c>
      <c r="O288" s="2"/>
      <c r="P288" s="2" t="s">
        <v>13009</v>
      </c>
      <c r="Q288" s="2" t="s">
        <v>13010</v>
      </c>
      <c r="R288" s="2" t="s">
        <v>36</v>
      </c>
      <c r="S288" s="2" t="s">
        <v>37</v>
      </c>
      <c r="T288" s="2" t="s">
        <v>69</v>
      </c>
      <c r="U288" s="2" t="s">
        <v>2504</v>
      </c>
      <c r="V288" s="2" t="s">
        <v>161</v>
      </c>
      <c r="W288" s="2"/>
    </row>
    <row r="289">
      <c r="A289" s="2" t="n">
        <v>212</v>
      </c>
      <c r="B289" s="2" t="s">
        <v>13011</v>
      </c>
      <c r="C289" s="2" t="s">
        <v>2511</v>
      </c>
      <c r="D289" s="2" t="n">
        <v>213.114570467</v>
      </c>
      <c r="E289" s="2" t="n">
        <v>0.831232316108249</v>
      </c>
      <c r="F289" s="2" t="s">
        <v>13012</v>
      </c>
      <c r="G289" s="2" t="n">
        <v>201371</v>
      </c>
      <c r="H289" s="3" t="str">
        <f>HYPERLINK("http://funmeta.oebiotech.com/network/201371", "http://funmeta.oebiotech.com/network/201371")</f>
      </c>
      <c r="I289" s="2" t="s">
        <v>13013</v>
      </c>
      <c r="J289" s="2"/>
      <c r="K289" s="2"/>
      <c r="L289" s="2"/>
      <c r="M289" s="2" t="s">
        <v>13014</v>
      </c>
      <c r="N289" s="2" t="s">
        <v>13015</v>
      </c>
      <c r="O289" s="2"/>
      <c r="P289" s="2" t="s">
        <v>13016</v>
      </c>
      <c r="Q289" s="2" t="s">
        <v>13017</v>
      </c>
      <c r="R289" s="2" t="s">
        <v>186</v>
      </c>
      <c r="S289" s="2" t="s">
        <v>187</v>
      </c>
      <c r="T289" s="2" t="s">
        <v>6379</v>
      </c>
      <c r="U289" s="2" t="s">
        <v>2512</v>
      </c>
      <c r="V289" s="2" t="s">
        <v>24</v>
      </c>
      <c r="W289" s="2"/>
    </row>
    <row r="290">
      <c r="A290" s="2" t="n">
        <v>212</v>
      </c>
      <c r="B290" s="2" t="s">
        <v>13018</v>
      </c>
      <c r="C290" s="2" t="s">
        <v>2511</v>
      </c>
      <c r="D290" s="2" t="n">
        <v>213.114570467</v>
      </c>
      <c r="E290" s="2" t="n">
        <v>0.831232316108249</v>
      </c>
      <c r="F290" s="2" t="s">
        <v>13019</v>
      </c>
      <c r="G290" s="2" t="n">
        <v>200815</v>
      </c>
      <c r="H290" s="3" t="str">
        <f>HYPERLINK("http://funmeta.oebiotech.com/network/200815", "http://funmeta.oebiotech.com/network/200815")</f>
      </c>
      <c r="I290" s="2" t="s">
        <v>13020</v>
      </c>
      <c r="J290" s="2"/>
      <c r="K290" s="2"/>
      <c r="L290" s="2"/>
      <c r="M290" s="2"/>
      <c r="N290" s="2" t="s">
        <v>13021</v>
      </c>
      <c r="O290" s="2"/>
      <c r="P290" s="2" t="s">
        <v>13022</v>
      </c>
      <c r="Q290" s="2" t="s">
        <v>13023</v>
      </c>
      <c r="R290" s="2" t="s">
        <v>186</v>
      </c>
      <c r="S290" s="2" t="s">
        <v>187</v>
      </c>
      <c r="T290" s="2" t="s">
        <v>6379</v>
      </c>
      <c r="U290" s="2" t="s">
        <v>2512</v>
      </c>
      <c r="V290" s="2" t="s">
        <v>24</v>
      </c>
      <c r="W290" s="2"/>
    </row>
    <row r="291">
      <c r="A291" s="2" t="n">
        <v>212</v>
      </c>
      <c r="B291" s="2" t="s">
        <v>13024</v>
      </c>
      <c r="C291" s="2" t="s">
        <v>2511</v>
      </c>
      <c r="D291" s="2" t="n">
        <v>213.114570467</v>
      </c>
      <c r="E291" s="2" t="n">
        <v>0.831232316108249</v>
      </c>
      <c r="F291" s="2" t="s">
        <v>13025</v>
      </c>
      <c r="G291" s="2" t="n">
        <v>199576</v>
      </c>
      <c r="H291" s="3" t="str">
        <f>HYPERLINK("http://funmeta.oebiotech.com/network/199576", "http://funmeta.oebiotech.com/network/199576")</f>
      </c>
      <c r="I291" s="2" t="s">
        <v>13026</v>
      </c>
      <c r="J291" s="2"/>
      <c r="K291" s="2"/>
      <c r="L291" s="2"/>
      <c r="M291" s="2"/>
      <c r="N291" s="2" t="s">
        <v>13027</v>
      </c>
      <c r="O291" s="2"/>
      <c r="P291" s="2" t="s">
        <v>13028</v>
      </c>
      <c r="Q291" s="2" t="s">
        <v>13029</v>
      </c>
      <c r="R291" s="2" t="s">
        <v>186</v>
      </c>
      <c r="S291" s="2" t="s">
        <v>187</v>
      </c>
      <c r="T291" s="2" t="s">
        <v>6379</v>
      </c>
      <c r="U291" s="2" t="s">
        <v>2512</v>
      </c>
      <c r="V291" s="2" t="s">
        <v>24</v>
      </c>
      <c r="W291" s="2"/>
    </row>
    <row r="292">
      <c r="A292" s="2" t="n">
        <v>213</v>
      </c>
      <c r="B292" s="2" t="s">
        <v>13030</v>
      </c>
      <c r="C292" s="2" t="s">
        <v>2523</v>
      </c>
      <c r="D292" s="2" t="n">
        <v>213.14961857</v>
      </c>
      <c r="E292" s="2" t="n">
        <v>16.579622188979</v>
      </c>
      <c r="F292" s="2" t="s">
        <v>2525</v>
      </c>
      <c r="G292" s="2" t="n">
        <v>2110</v>
      </c>
      <c r="H292" s="3" t="str">
        <f>HYPERLINK("http://funmeta.oebiotech.com/network/2110", "http://funmeta.oebiotech.com/network/2110")</f>
      </c>
      <c r="I292" s="2" t="s">
        <v>2527</v>
      </c>
      <c r="J292" s="2" t="s">
        <v>2528</v>
      </c>
      <c r="K292" s="2" t="s">
        <v>2529</v>
      </c>
      <c r="L292" s="2" t="s">
        <v>2530</v>
      </c>
      <c r="M292" s="2"/>
      <c r="N292" s="2" t="s">
        <v>2531</v>
      </c>
      <c r="O292" s="2"/>
      <c r="P292" s="2" t="s">
        <v>2532</v>
      </c>
      <c r="Q292" s="2" t="s">
        <v>2533</v>
      </c>
      <c r="R292" s="2" t="s">
        <v>36</v>
      </c>
      <c r="S292" s="2" t="s">
        <v>271</v>
      </c>
      <c r="T292" s="2" t="s">
        <v>2534</v>
      </c>
      <c r="U292" s="2" t="s">
        <v>2524</v>
      </c>
      <c r="V292" s="2" t="s">
        <v>24</v>
      </c>
      <c r="W292" s="2" t="s">
        <v>56</v>
      </c>
    </row>
    <row r="293">
      <c r="A293" s="2" t="n">
        <v>214</v>
      </c>
      <c r="B293" s="2" t="s">
        <v>13031</v>
      </c>
      <c r="C293" s="2" t="s">
        <v>2535</v>
      </c>
      <c r="D293" s="2" t="n">
        <v>214.052109969</v>
      </c>
      <c r="E293" s="2" t="n">
        <v>0.26258400110013</v>
      </c>
      <c r="F293" s="2" t="s">
        <v>13032</v>
      </c>
      <c r="G293" s="2" t="n">
        <v>202111</v>
      </c>
      <c r="H293" s="3" t="str">
        <f>HYPERLINK("http://funmeta.oebiotech.com/network/202111", "http://funmeta.oebiotech.com/network/202111")</f>
      </c>
      <c r="I293" s="2" t="s">
        <v>13033</v>
      </c>
      <c r="J293" s="2"/>
      <c r="K293" s="2"/>
      <c r="L293" s="2"/>
      <c r="M293" s="2"/>
      <c r="N293" s="2" t="s">
        <v>13034</v>
      </c>
      <c r="O293" s="2"/>
      <c r="P293" s="2" t="s">
        <v>13035</v>
      </c>
      <c r="Q293" s="2" t="s">
        <v>13036</v>
      </c>
      <c r="R293" s="2" t="s">
        <v>36</v>
      </c>
      <c r="S293" s="2" t="s">
        <v>37</v>
      </c>
      <c r="T293" s="2" t="s">
        <v>69</v>
      </c>
      <c r="U293" s="2" t="s">
        <v>2536</v>
      </c>
      <c r="V293" s="2" t="s">
        <v>24</v>
      </c>
      <c r="W293" s="2"/>
    </row>
    <row r="294">
      <c r="A294" s="2" t="n">
        <v>214</v>
      </c>
      <c r="B294" s="2" t="s">
        <v>13037</v>
      </c>
      <c r="C294" s="2" t="s">
        <v>2535</v>
      </c>
      <c r="D294" s="2" t="n">
        <v>214.052109969</v>
      </c>
      <c r="E294" s="2" t="n">
        <v>0.26258400110013</v>
      </c>
      <c r="F294" s="2" t="s">
        <v>13038</v>
      </c>
      <c r="G294" s="2" t="n">
        <v>202338</v>
      </c>
      <c r="H294" s="3" t="str">
        <f>HYPERLINK("http://funmeta.oebiotech.com/network/202338", "http://funmeta.oebiotech.com/network/202338")</f>
      </c>
      <c r="I294" s="2" t="s">
        <v>13039</v>
      </c>
      <c r="J294" s="2"/>
      <c r="K294" s="2"/>
      <c r="L294" s="2"/>
      <c r="M294" s="2"/>
      <c r="N294" s="2" t="s">
        <v>13040</v>
      </c>
      <c r="O294" s="2"/>
      <c r="P294" s="2" t="s">
        <v>13041</v>
      </c>
      <c r="Q294" s="2" t="s">
        <v>13042</v>
      </c>
      <c r="R294" s="2" t="s">
        <v>36</v>
      </c>
      <c r="S294" s="2" t="s">
        <v>37</v>
      </c>
      <c r="T294" s="2" t="s">
        <v>69</v>
      </c>
      <c r="U294" s="2" t="s">
        <v>2536</v>
      </c>
      <c r="V294" s="2" t="s">
        <v>24</v>
      </c>
      <c r="W294" s="2"/>
    </row>
    <row r="295">
      <c r="A295" s="2" t="n">
        <v>214</v>
      </c>
      <c r="B295" s="2" t="s">
        <v>13043</v>
      </c>
      <c r="C295" s="2" t="s">
        <v>2535</v>
      </c>
      <c r="D295" s="2" t="n">
        <v>214.052109969</v>
      </c>
      <c r="E295" s="2" t="n">
        <v>0.26258400110013</v>
      </c>
      <c r="F295" s="2" t="s">
        <v>13044</v>
      </c>
      <c r="G295" s="2" t="n">
        <v>202339</v>
      </c>
      <c r="H295" s="3" t="str">
        <f>HYPERLINK("http://funmeta.oebiotech.com/network/202339", "http://funmeta.oebiotech.com/network/202339")</f>
      </c>
      <c r="I295" s="2" t="s">
        <v>13045</v>
      </c>
      <c r="J295" s="2"/>
      <c r="K295" s="2"/>
      <c r="L295" s="2"/>
      <c r="M295" s="2"/>
      <c r="N295" s="2" t="s">
        <v>13046</v>
      </c>
      <c r="O295" s="2"/>
      <c r="P295" s="2" t="s">
        <v>13047</v>
      </c>
      <c r="Q295" s="2" t="s">
        <v>13048</v>
      </c>
      <c r="R295" s="2" t="s">
        <v>36</v>
      </c>
      <c r="S295" s="2" t="s">
        <v>37</v>
      </c>
      <c r="T295" s="2" t="s">
        <v>69</v>
      </c>
      <c r="U295" s="2" t="s">
        <v>2536</v>
      </c>
      <c r="V295" s="2" t="s">
        <v>24</v>
      </c>
      <c r="W295" s="2"/>
    </row>
    <row r="296">
      <c r="A296" s="2" t="n">
        <v>215</v>
      </c>
      <c r="B296" s="2" t="s">
        <v>13049</v>
      </c>
      <c r="C296" s="2" t="s">
        <v>2543</v>
      </c>
      <c r="D296" s="2" t="n">
        <v>215.095665143</v>
      </c>
      <c r="E296" s="2" t="n">
        <v>14.2437330065546</v>
      </c>
      <c r="F296" s="2" t="s">
        <v>2545</v>
      </c>
      <c r="G296" s="2" t="n">
        <v>210956</v>
      </c>
      <c r="H296" s="3" t="str">
        <f>HYPERLINK("http://funmeta.oebiotech.com/network/210956", "http://funmeta.oebiotech.com/network/210956")</f>
      </c>
      <c r="I296" s="2" t="s">
        <v>2547</v>
      </c>
      <c r="J296" s="2" t="s">
        <v>2548</v>
      </c>
      <c r="K296" s="2"/>
      <c r="L296" s="2" t="s">
        <v>2549</v>
      </c>
      <c r="M296" s="2"/>
      <c r="N296" s="2" t="s">
        <v>2550</v>
      </c>
      <c r="O296" s="2" t="s">
        <v>2551</v>
      </c>
      <c r="P296" s="2" t="s">
        <v>2552</v>
      </c>
      <c r="Q296" s="2" t="s">
        <v>2553</v>
      </c>
      <c r="R296" s="2" t="s">
        <v>114</v>
      </c>
      <c r="S296" s="2" t="s">
        <v>2554</v>
      </c>
      <c r="T296" s="2" t="s">
        <v>2555</v>
      </c>
      <c r="U296" s="2" t="s">
        <v>2544</v>
      </c>
      <c r="V296" s="2" t="s">
        <v>86</v>
      </c>
      <c r="W296" s="2" t="s">
        <v>101</v>
      </c>
    </row>
    <row r="297">
      <c r="A297" s="2" t="n">
        <v>216</v>
      </c>
      <c r="B297" s="2" t="s">
        <v>13050</v>
      </c>
      <c r="C297" s="2" t="s">
        <v>2556</v>
      </c>
      <c r="D297" s="2" t="n">
        <v>215.132050652</v>
      </c>
      <c r="E297" s="2" t="n">
        <v>3.45334061669968</v>
      </c>
      <c r="F297" s="2" t="s">
        <v>2558</v>
      </c>
      <c r="G297" s="2" t="n">
        <v>209230</v>
      </c>
      <c r="H297" s="3" t="str">
        <f>HYPERLINK("http://funmeta.oebiotech.com/network/209230", "http://funmeta.oebiotech.com/network/209230")</f>
      </c>
      <c r="I297" s="2" t="s">
        <v>2560</v>
      </c>
      <c r="J297" s="2"/>
      <c r="K297" s="2"/>
      <c r="L297" s="2"/>
      <c r="M297" s="2"/>
      <c r="N297" s="2" t="s">
        <v>2561</v>
      </c>
      <c r="O297" s="2"/>
      <c r="P297" s="2" t="s">
        <v>2562</v>
      </c>
      <c r="Q297" s="2" t="s">
        <v>2563</v>
      </c>
      <c r="R297" s="2" t="s">
        <v>114</v>
      </c>
      <c r="S297" s="2" t="s">
        <v>172</v>
      </c>
      <c r="T297" s="2" t="s">
        <v>173</v>
      </c>
      <c r="U297" s="2" t="s">
        <v>2557</v>
      </c>
      <c r="V297" s="2" t="s">
        <v>86</v>
      </c>
      <c r="W297" s="2"/>
    </row>
    <row r="298">
      <c r="A298" s="2" t="n">
        <v>217</v>
      </c>
      <c r="B298" s="2" t="s">
        <v>13051</v>
      </c>
      <c r="C298" s="2" t="s">
        <v>2564</v>
      </c>
      <c r="D298" s="2" t="n">
        <v>216.931041435</v>
      </c>
      <c r="E298" s="2" t="n">
        <v>2.31013139568871</v>
      </c>
      <c r="F298" s="2" t="s">
        <v>2566</v>
      </c>
      <c r="G298" s="2" t="n">
        <v>207267</v>
      </c>
      <c r="H298" s="3" t="str">
        <f>HYPERLINK("http://funmeta.oebiotech.com/network/207267", "http://funmeta.oebiotech.com/network/207267")</f>
      </c>
      <c r="I298" s="2" t="s">
        <v>2568</v>
      </c>
      <c r="J298" s="2"/>
      <c r="K298" s="2"/>
      <c r="L298" s="2"/>
      <c r="M298" s="2"/>
      <c r="N298" s="2" t="s">
        <v>2569</v>
      </c>
      <c r="O298" s="2"/>
      <c r="P298" s="2" t="s">
        <v>2570</v>
      </c>
      <c r="Q298" s="2" t="s">
        <v>2571</v>
      </c>
      <c r="R298" s="2" t="s">
        <v>36</v>
      </c>
      <c r="S298" s="2" t="s">
        <v>2572</v>
      </c>
      <c r="T298" s="2" t="s">
        <v>215</v>
      </c>
      <c r="U298" s="2" t="s">
        <v>2565</v>
      </c>
      <c r="V298" s="2" t="s">
        <v>86</v>
      </c>
      <c r="W298" s="2"/>
    </row>
    <row r="299">
      <c r="A299" s="2" t="n">
        <v>218</v>
      </c>
      <c r="B299" s="2" t="s">
        <v>13052</v>
      </c>
      <c r="C299" s="2" t="s">
        <v>2573</v>
      </c>
      <c r="D299" s="2" t="n">
        <v>217.086163087</v>
      </c>
      <c r="E299" s="2" t="n">
        <v>5.43622747391633</v>
      </c>
      <c r="F299" s="2" t="s">
        <v>2575</v>
      </c>
      <c r="G299" s="2" t="n">
        <v>204576</v>
      </c>
      <c r="H299" s="3" t="str">
        <f>HYPERLINK("http://funmeta.oebiotech.com/network/204576", "http://funmeta.oebiotech.com/network/204576")</f>
      </c>
      <c r="I299" s="2" t="s">
        <v>2577</v>
      </c>
      <c r="J299" s="2"/>
      <c r="K299" s="2"/>
      <c r="L299" s="2"/>
      <c r="M299" s="2" t="s">
        <v>2578</v>
      </c>
      <c r="N299" s="2" t="s">
        <v>2579</v>
      </c>
      <c r="O299" s="2"/>
      <c r="P299" s="2" t="s">
        <v>2580</v>
      </c>
      <c r="Q299" s="2" t="s">
        <v>2581</v>
      </c>
      <c r="R299" s="2" t="s">
        <v>114</v>
      </c>
      <c r="S299" s="2" t="s">
        <v>172</v>
      </c>
      <c r="T299" s="2" t="s">
        <v>173</v>
      </c>
      <c r="U299" s="2" t="s">
        <v>2574</v>
      </c>
      <c r="V299" s="2" t="s">
        <v>86</v>
      </c>
      <c r="W299" s="2"/>
    </row>
    <row r="300">
      <c r="A300" s="2" t="n">
        <v>219</v>
      </c>
      <c r="B300" s="2" t="s">
        <v>13053</v>
      </c>
      <c r="C300" s="2" t="s">
        <v>2582</v>
      </c>
      <c r="D300" s="2" t="n">
        <v>217.119381068</v>
      </c>
      <c r="E300" s="2" t="n">
        <v>0.432353701997277</v>
      </c>
      <c r="F300" s="2" t="s">
        <v>13054</v>
      </c>
      <c r="G300" s="2" t="n">
        <v>54148</v>
      </c>
      <c r="H300" s="3" t="str">
        <f>HYPERLINK("http://funmeta.oebiotech.com/network/54148", "http://funmeta.oebiotech.com/network/54148")</f>
      </c>
      <c r="I300" s="2" t="s">
        <v>13055</v>
      </c>
      <c r="J300" s="2"/>
      <c r="K300" s="2"/>
      <c r="L300" s="2"/>
      <c r="M300" s="2"/>
      <c r="N300" s="2"/>
      <c r="O300" s="2" t="s">
        <v>13056</v>
      </c>
      <c r="P300" s="2" t="s">
        <v>13057</v>
      </c>
      <c r="Q300" s="2" t="s">
        <v>13058</v>
      </c>
      <c r="R300" s="2" t="s">
        <v>36</v>
      </c>
      <c r="S300" s="2" t="s">
        <v>37</v>
      </c>
      <c r="T300" s="2" t="s">
        <v>69</v>
      </c>
      <c r="U300" s="2" t="s">
        <v>2583</v>
      </c>
      <c r="V300" s="2" t="s">
        <v>24</v>
      </c>
      <c r="W300" s="2" t="s">
        <v>39</v>
      </c>
    </row>
    <row r="301">
      <c r="A301" s="2" t="n">
        <v>219</v>
      </c>
      <c r="B301" s="2" t="s">
        <v>13059</v>
      </c>
      <c r="C301" s="2" t="s">
        <v>2582</v>
      </c>
      <c r="D301" s="2" t="n">
        <v>217.119381074</v>
      </c>
      <c r="E301" s="2" t="n">
        <v>0.432353701997277</v>
      </c>
      <c r="F301" s="2" t="s">
        <v>13060</v>
      </c>
      <c r="G301" s="2" t="n">
        <v>211803</v>
      </c>
      <c r="H301" s="3" t="str">
        <f>HYPERLINK("http://funmeta.oebiotech.com/network/211803", "http://funmeta.oebiotech.com/network/211803")</f>
      </c>
      <c r="I301" s="2" t="s">
        <v>13061</v>
      </c>
      <c r="J301" s="2"/>
      <c r="K301" s="2"/>
      <c r="L301" s="2"/>
      <c r="M301" s="2"/>
      <c r="N301" s="2"/>
      <c r="O301" s="2"/>
      <c r="P301" s="2" t="s">
        <v>13062</v>
      </c>
      <c r="Q301" s="2" t="s">
        <v>13063</v>
      </c>
      <c r="R301" s="2" t="s">
        <v>36</v>
      </c>
      <c r="S301" s="2" t="s">
        <v>37</v>
      </c>
      <c r="T301" s="2" t="s">
        <v>69</v>
      </c>
      <c r="U301" s="2" t="s">
        <v>2583</v>
      </c>
      <c r="V301" s="2" t="s">
        <v>24</v>
      </c>
      <c r="W301" s="2" t="s">
        <v>39</v>
      </c>
    </row>
    <row r="302">
      <c r="A302" s="2" t="n">
        <v>220</v>
      </c>
      <c r="B302" s="2" t="s">
        <v>13064</v>
      </c>
      <c r="C302" s="2" t="s">
        <v>2590</v>
      </c>
      <c r="D302" s="2" t="n">
        <v>217.144533188</v>
      </c>
      <c r="E302" s="2" t="n">
        <v>0.287750218626026</v>
      </c>
      <c r="F302" s="2" t="s">
        <v>2592</v>
      </c>
      <c r="G302" s="2" t="n">
        <v>208914</v>
      </c>
      <c r="H302" s="3" t="str">
        <f>HYPERLINK("http://funmeta.oebiotech.com/network/208914", "http://funmeta.oebiotech.com/network/208914")</f>
      </c>
      <c r="I302" s="2" t="s">
        <v>2594</v>
      </c>
      <c r="J302" s="2" t="s">
        <v>2595</v>
      </c>
      <c r="K302" s="2"/>
      <c r="L302" s="2"/>
      <c r="M302" s="2" t="s">
        <v>2596</v>
      </c>
      <c r="N302" s="2" t="s">
        <v>2597</v>
      </c>
      <c r="O302" s="2"/>
      <c r="P302" s="2" t="s">
        <v>2598</v>
      </c>
      <c r="Q302" s="2" t="s">
        <v>2599</v>
      </c>
      <c r="R302" s="2" t="s">
        <v>794</v>
      </c>
      <c r="S302" s="2" t="s">
        <v>2600</v>
      </c>
      <c r="T302" s="2" t="s">
        <v>2601</v>
      </c>
      <c r="U302" s="2" t="s">
        <v>2591</v>
      </c>
      <c r="V302" s="2" t="s">
        <v>24</v>
      </c>
      <c r="W302" s="2"/>
    </row>
    <row r="303">
      <c r="A303" s="2" t="n">
        <v>221</v>
      </c>
      <c r="B303" s="2" t="s">
        <v>13065</v>
      </c>
      <c r="C303" s="2" t="s">
        <v>2602</v>
      </c>
      <c r="D303" s="2" t="n">
        <v>218.104734063</v>
      </c>
      <c r="E303" s="2" t="n">
        <v>6.56724199441763</v>
      </c>
      <c r="F303" s="2" t="s">
        <v>2604</v>
      </c>
      <c r="G303" s="2" t="n">
        <v>51903</v>
      </c>
      <c r="H303" s="3" t="str">
        <f>HYPERLINK("http://funmeta.oebiotech.com/network/51903", "http://funmeta.oebiotech.com/network/51903")</f>
      </c>
      <c r="I303" s="2" t="s">
        <v>2606</v>
      </c>
      <c r="J303" s="2" t="s">
        <v>2607</v>
      </c>
      <c r="K303" s="2"/>
      <c r="L303" s="2" t="s">
        <v>2608</v>
      </c>
      <c r="M303" s="2" t="s">
        <v>2609</v>
      </c>
      <c r="N303" s="2" t="s">
        <v>2610</v>
      </c>
      <c r="O303" s="2" t="s">
        <v>2611</v>
      </c>
      <c r="P303" s="2" t="s">
        <v>2612</v>
      </c>
      <c r="Q303" s="2" t="s">
        <v>2613</v>
      </c>
      <c r="R303" s="2" t="s">
        <v>114</v>
      </c>
      <c r="S303" s="2" t="s">
        <v>730</v>
      </c>
      <c r="T303" s="2" t="s">
        <v>731</v>
      </c>
      <c r="U303" s="2" t="s">
        <v>2603</v>
      </c>
      <c r="V303" s="2" t="s">
        <v>24</v>
      </c>
      <c r="W303" s="2" t="s">
        <v>101</v>
      </c>
    </row>
    <row r="304">
      <c r="A304" s="2" t="n">
        <v>222</v>
      </c>
      <c r="B304" s="2" t="s">
        <v>13066</v>
      </c>
      <c r="C304" s="2" t="s">
        <v>2614</v>
      </c>
      <c r="D304" s="2" t="n">
        <v>218.996883152</v>
      </c>
      <c r="E304" s="2" t="n">
        <v>0.583421551748603</v>
      </c>
      <c r="F304" s="2" t="s">
        <v>13067</v>
      </c>
      <c r="G304" s="2" t="n">
        <v>197296</v>
      </c>
      <c r="H304" s="3" t="str">
        <f>HYPERLINK("http://funmeta.oebiotech.com/network/197296", "http://funmeta.oebiotech.com/network/197296")</f>
      </c>
      <c r="I304" s="2" t="s">
        <v>13068</v>
      </c>
      <c r="J304" s="2"/>
      <c r="K304" s="2"/>
      <c r="L304" s="2"/>
      <c r="M304" s="2" t="s">
        <v>13069</v>
      </c>
      <c r="N304" s="2" t="s">
        <v>13070</v>
      </c>
      <c r="O304" s="2"/>
      <c r="P304" s="2" t="s">
        <v>13071</v>
      </c>
      <c r="Q304" s="2" t="s">
        <v>13072</v>
      </c>
      <c r="R304" s="2" t="s">
        <v>36</v>
      </c>
      <c r="S304" s="2" t="s">
        <v>1857</v>
      </c>
      <c r="T304" s="2" t="s">
        <v>1858</v>
      </c>
      <c r="U304" s="2" t="s">
        <v>2615</v>
      </c>
      <c r="V304" s="2" t="s">
        <v>24</v>
      </c>
      <c r="W304" s="2"/>
    </row>
    <row r="305">
      <c r="A305" s="2" t="n">
        <v>222</v>
      </c>
      <c r="B305" s="2" t="s">
        <v>13073</v>
      </c>
      <c r="C305" s="2" t="s">
        <v>2614</v>
      </c>
      <c r="D305" s="2" t="n">
        <v>218.996883152</v>
      </c>
      <c r="E305" s="2" t="n">
        <v>0.583421551748603</v>
      </c>
      <c r="F305" s="2" t="s">
        <v>13074</v>
      </c>
      <c r="G305" s="2" t="n">
        <v>197299</v>
      </c>
      <c r="H305" s="3" t="str">
        <f>HYPERLINK("http://funmeta.oebiotech.com/network/197299", "http://funmeta.oebiotech.com/network/197299")</f>
      </c>
      <c r="I305" s="2" t="s">
        <v>13075</v>
      </c>
      <c r="J305" s="2"/>
      <c r="K305" s="2"/>
      <c r="L305" s="2"/>
      <c r="M305" s="2"/>
      <c r="N305" s="2" t="s">
        <v>13076</v>
      </c>
      <c r="O305" s="2"/>
      <c r="P305" s="2" t="s">
        <v>13077</v>
      </c>
      <c r="Q305" s="2" t="s">
        <v>13078</v>
      </c>
      <c r="R305" s="2" t="s">
        <v>36</v>
      </c>
      <c r="S305" s="2" t="s">
        <v>1857</v>
      </c>
      <c r="T305" s="2" t="s">
        <v>1858</v>
      </c>
      <c r="U305" s="2" t="s">
        <v>2615</v>
      </c>
      <c r="V305" s="2" t="s">
        <v>24</v>
      </c>
      <c r="W305" s="2"/>
    </row>
    <row r="306">
      <c r="A306" s="2" t="n">
        <v>222</v>
      </c>
      <c r="B306" s="2" t="s">
        <v>13079</v>
      </c>
      <c r="C306" s="2" t="s">
        <v>2614</v>
      </c>
      <c r="D306" s="2" t="n">
        <v>218.996883152</v>
      </c>
      <c r="E306" s="2" t="n">
        <v>0.583421551748603</v>
      </c>
      <c r="F306" s="2" t="s">
        <v>13080</v>
      </c>
      <c r="G306" s="2" t="n">
        <v>197307</v>
      </c>
      <c r="H306" s="3" t="str">
        <f>HYPERLINK("http://funmeta.oebiotech.com/network/197307", "http://funmeta.oebiotech.com/network/197307")</f>
      </c>
      <c r="I306" s="2" t="s">
        <v>13081</v>
      </c>
      <c r="J306" s="2"/>
      <c r="K306" s="2"/>
      <c r="L306" s="2"/>
      <c r="M306" s="2" t="s">
        <v>13082</v>
      </c>
      <c r="N306" s="2" t="s">
        <v>13083</v>
      </c>
      <c r="O306" s="2"/>
      <c r="P306" s="2" t="s">
        <v>13084</v>
      </c>
      <c r="Q306" s="2" t="s">
        <v>13085</v>
      </c>
      <c r="R306" s="2" t="s">
        <v>36</v>
      </c>
      <c r="S306" s="2" t="s">
        <v>1857</v>
      </c>
      <c r="T306" s="2" t="s">
        <v>1858</v>
      </c>
      <c r="U306" s="2" t="s">
        <v>2615</v>
      </c>
      <c r="V306" s="2" t="s">
        <v>24</v>
      </c>
      <c r="W306" s="2"/>
    </row>
    <row r="307">
      <c r="A307" s="2" t="n">
        <v>223</v>
      </c>
      <c r="B307" s="2" t="s">
        <v>13086</v>
      </c>
      <c r="C307" s="2" t="s">
        <v>2625</v>
      </c>
      <c r="D307" s="2" t="n">
        <v>219.035861031</v>
      </c>
      <c r="E307" s="2" t="n">
        <v>6.65327171421973</v>
      </c>
      <c r="F307" s="2" t="s">
        <v>2627</v>
      </c>
      <c r="G307" s="2" t="n">
        <v>52985</v>
      </c>
      <c r="H307" s="3" t="str">
        <f>HYPERLINK("http://funmeta.oebiotech.com/network/52985", "http://funmeta.oebiotech.com/network/52985")</f>
      </c>
      <c r="I307" s="2" t="s">
        <v>2629</v>
      </c>
      <c r="J307" s="2" t="s">
        <v>2630</v>
      </c>
      <c r="K307" s="2"/>
      <c r="L307" s="2" t="s">
        <v>2631</v>
      </c>
      <c r="M307" s="2" t="s">
        <v>2632</v>
      </c>
      <c r="N307" s="2" t="s">
        <v>2633</v>
      </c>
      <c r="O307" s="2" t="s">
        <v>2634</v>
      </c>
      <c r="P307" s="2" t="s">
        <v>2635</v>
      </c>
      <c r="Q307" s="2" t="s">
        <v>2636</v>
      </c>
      <c r="R307" s="2" t="s">
        <v>36</v>
      </c>
      <c r="S307" s="2" t="s">
        <v>2572</v>
      </c>
      <c r="T307" s="2" t="s">
        <v>2637</v>
      </c>
      <c r="U307" s="2" t="s">
        <v>2626</v>
      </c>
      <c r="V307" s="2" t="s">
        <v>86</v>
      </c>
      <c r="W307" s="2" t="s">
        <v>56</v>
      </c>
    </row>
    <row r="308">
      <c r="A308" s="2" t="n">
        <v>224</v>
      </c>
      <c r="B308" s="2" t="s">
        <v>13087</v>
      </c>
      <c r="C308" s="2" t="s">
        <v>2638</v>
      </c>
      <c r="D308" s="2" t="n">
        <v>219.07751626</v>
      </c>
      <c r="E308" s="2" t="n">
        <v>4.93525340874817</v>
      </c>
      <c r="F308" s="2" t="s">
        <v>2640</v>
      </c>
      <c r="G308" s="2" t="n">
        <v>47050</v>
      </c>
      <c r="H308" s="3" t="str">
        <f>HYPERLINK("http://funmeta.oebiotech.com/network/47050", "http://funmeta.oebiotech.com/network/47050")</f>
      </c>
      <c r="I308" s="2" t="s">
        <v>2642</v>
      </c>
      <c r="J308" s="2"/>
      <c r="K308" s="2"/>
      <c r="L308" s="2" t="s">
        <v>2643</v>
      </c>
      <c r="M308" s="2" t="s">
        <v>2644</v>
      </c>
      <c r="N308" s="2" t="s">
        <v>2645</v>
      </c>
      <c r="O308" s="2" t="s">
        <v>2646</v>
      </c>
      <c r="P308" s="2" t="s">
        <v>2647</v>
      </c>
      <c r="Q308" s="2" t="s">
        <v>2648</v>
      </c>
      <c r="R308" s="2" t="s">
        <v>114</v>
      </c>
      <c r="S308" s="2" t="s">
        <v>994</v>
      </c>
      <c r="T308" s="2" t="s">
        <v>2649</v>
      </c>
      <c r="U308" s="2" t="s">
        <v>2639</v>
      </c>
      <c r="V308" s="2" t="s">
        <v>24</v>
      </c>
      <c r="W308" s="2" t="s">
        <v>39</v>
      </c>
    </row>
    <row r="309">
      <c r="A309" s="2" t="n">
        <v>225</v>
      </c>
      <c r="B309" s="2" t="s">
        <v>13088</v>
      </c>
      <c r="C309" s="2" t="s">
        <v>2650</v>
      </c>
      <c r="D309" s="2" t="n">
        <v>219.139053884</v>
      </c>
      <c r="E309" s="2" t="n">
        <v>2.44729800525263</v>
      </c>
      <c r="F309" s="2" t="s">
        <v>13089</v>
      </c>
      <c r="G309" s="2" t="n">
        <v>6325</v>
      </c>
      <c r="H309" s="3" t="str">
        <f>HYPERLINK("http://funmeta.oebiotech.com/network/6325", "http://funmeta.oebiotech.com/network/6325")</f>
      </c>
      <c r="I309" s="2" t="s">
        <v>13090</v>
      </c>
      <c r="J309" s="2" t="s">
        <v>13091</v>
      </c>
      <c r="K309" s="2" t="s">
        <v>13092</v>
      </c>
      <c r="L309" s="2"/>
      <c r="M309" s="2"/>
      <c r="N309" s="2" t="s">
        <v>13093</v>
      </c>
      <c r="O309" s="2" t="s">
        <v>13094</v>
      </c>
      <c r="P309" s="2" t="s">
        <v>13095</v>
      </c>
      <c r="Q309" s="2" t="s">
        <v>13096</v>
      </c>
      <c r="R309" s="2" t="s">
        <v>794</v>
      </c>
      <c r="S309" s="2" t="s">
        <v>795</v>
      </c>
      <c r="T309" s="2" t="s">
        <v>3273</v>
      </c>
      <c r="U309" s="2" t="s">
        <v>2651</v>
      </c>
      <c r="V309" s="2" t="s">
        <v>24</v>
      </c>
      <c r="W309" s="2"/>
    </row>
    <row r="310">
      <c r="A310" s="2" t="n">
        <v>225</v>
      </c>
      <c r="B310" s="2" t="s">
        <v>13097</v>
      </c>
      <c r="C310" s="2" t="s">
        <v>2650</v>
      </c>
      <c r="D310" s="2" t="n">
        <v>219.139053884</v>
      </c>
      <c r="E310" s="2" t="n">
        <v>2.44729800525263</v>
      </c>
      <c r="F310" s="2" t="s">
        <v>13098</v>
      </c>
      <c r="G310" s="2" t="n">
        <v>52462</v>
      </c>
      <c r="H310" s="3" t="str">
        <f>HYPERLINK("http://funmeta.oebiotech.com/network/52462", "http://funmeta.oebiotech.com/network/52462")</f>
      </c>
      <c r="I310" s="2" t="s">
        <v>13099</v>
      </c>
      <c r="J310" s="2" t="s">
        <v>13100</v>
      </c>
      <c r="K310" s="2"/>
      <c r="L310" s="2"/>
      <c r="M310" s="2"/>
      <c r="N310" s="2" t="s">
        <v>13101</v>
      </c>
      <c r="O310" s="2" t="s">
        <v>13102</v>
      </c>
      <c r="P310" s="2" t="s">
        <v>13103</v>
      </c>
      <c r="Q310" s="2" t="s">
        <v>13104</v>
      </c>
      <c r="R310" s="2" t="s">
        <v>794</v>
      </c>
      <c r="S310" s="2" t="s">
        <v>1098</v>
      </c>
      <c r="T310" s="2" t="s">
        <v>1099</v>
      </c>
      <c r="U310" s="2" t="s">
        <v>2651</v>
      </c>
      <c r="V310" s="2" t="s">
        <v>24</v>
      </c>
      <c r="W310" s="2"/>
    </row>
    <row r="311">
      <c r="A311" s="2" t="n">
        <v>225</v>
      </c>
      <c r="B311" s="2" t="s">
        <v>13105</v>
      </c>
      <c r="C311" s="2" t="s">
        <v>2650</v>
      </c>
      <c r="D311" s="2" t="n">
        <v>219.139053884</v>
      </c>
      <c r="E311" s="2" t="n">
        <v>2.44729800525263</v>
      </c>
      <c r="F311" s="2" t="s">
        <v>13106</v>
      </c>
      <c r="G311" s="2" t="n">
        <v>60149</v>
      </c>
      <c r="H311" s="3" t="str">
        <f>HYPERLINK("http://funmeta.oebiotech.com/network/60149", "http://funmeta.oebiotech.com/network/60149")</f>
      </c>
      <c r="I311" s="2" t="s">
        <v>13107</v>
      </c>
      <c r="J311" s="2" t="s">
        <v>13108</v>
      </c>
      <c r="K311" s="2"/>
      <c r="L311" s="2"/>
      <c r="M311" s="2"/>
      <c r="N311" s="2" t="s">
        <v>13109</v>
      </c>
      <c r="O311" s="2" t="s">
        <v>13110</v>
      </c>
      <c r="P311" s="2" t="s">
        <v>13111</v>
      </c>
      <c r="Q311" s="2" t="s">
        <v>13112</v>
      </c>
      <c r="R311" s="2" t="s">
        <v>794</v>
      </c>
      <c r="S311" s="2" t="s">
        <v>795</v>
      </c>
      <c r="T311" s="2" t="s">
        <v>1870</v>
      </c>
      <c r="U311" s="2" t="s">
        <v>2651</v>
      </c>
      <c r="V311" s="2" t="s">
        <v>24</v>
      </c>
      <c r="W311" s="2"/>
    </row>
    <row r="312">
      <c r="A312" s="2" t="n">
        <v>226</v>
      </c>
      <c r="B312" s="2" t="s">
        <v>13113</v>
      </c>
      <c r="C312" s="2" t="s">
        <v>2663</v>
      </c>
      <c r="D312" s="2" t="n">
        <v>220.99302967</v>
      </c>
      <c r="E312" s="2" t="n">
        <v>9.3536057528376</v>
      </c>
      <c r="F312" s="2" t="s">
        <v>13114</v>
      </c>
      <c r="G312" s="2" t="n">
        <v>200941</v>
      </c>
      <c r="H312" s="3" t="str">
        <f>HYPERLINK("http://funmeta.oebiotech.com/network/200941", "http://funmeta.oebiotech.com/network/200941")</f>
      </c>
      <c r="I312" s="2" t="s">
        <v>13115</v>
      </c>
      <c r="J312" s="2" t="s">
        <v>13116</v>
      </c>
      <c r="K312" s="2"/>
      <c r="L312" s="2" t="s">
        <v>13117</v>
      </c>
      <c r="M312" s="2" t="s">
        <v>13118</v>
      </c>
      <c r="N312" s="2" t="s">
        <v>13119</v>
      </c>
      <c r="O312" s="2" t="s">
        <v>13120</v>
      </c>
      <c r="P312" s="2" t="s">
        <v>13121</v>
      </c>
      <c r="Q312" s="2" t="s">
        <v>13122</v>
      </c>
      <c r="R312" s="2" t="s">
        <v>186</v>
      </c>
      <c r="S312" s="2" t="s">
        <v>187</v>
      </c>
      <c r="T312" s="2" t="s">
        <v>6379</v>
      </c>
      <c r="U312" s="2" t="s">
        <v>2664</v>
      </c>
      <c r="V312" s="2" t="s">
        <v>24</v>
      </c>
      <c r="W312" s="2" t="s">
        <v>101</v>
      </c>
    </row>
    <row r="313">
      <c r="A313" s="2" t="n">
        <v>226</v>
      </c>
      <c r="B313" s="2" t="s">
        <v>13123</v>
      </c>
      <c r="C313" s="2" t="s">
        <v>2663</v>
      </c>
      <c r="D313" s="2" t="n">
        <v>220.99302967</v>
      </c>
      <c r="E313" s="2" t="n">
        <v>9.3536057528376</v>
      </c>
      <c r="F313" s="2" t="s">
        <v>13124</v>
      </c>
      <c r="G313" s="2" t="n">
        <v>200914</v>
      </c>
      <c r="H313" s="3" t="str">
        <f>HYPERLINK("http://funmeta.oebiotech.com/network/200914", "http://funmeta.oebiotech.com/network/200914")</f>
      </c>
      <c r="I313" s="2" t="s">
        <v>13125</v>
      </c>
      <c r="J313" s="2" t="s">
        <v>13126</v>
      </c>
      <c r="K313" s="2"/>
      <c r="L313" s="2" t="s">
        <v>13127</v>
      </c>
      <c r="M313" s="2" t="s">
        <v>13128</v>
      </c>
      <c r="N313" s="2" t="s">
        <v>13129</v>
      </c>
      <c r="O313" s="2" t="s">
        <v>13130</v>
      </c>
      <c r="P313" s="2" t="s">
        <v>13131</v>
      </c>
      <c r="Q313" s="2" t="s">
        <v>13132</v>
      </c>
      <c r="R313" s="2" t="s">
        <v>186</v>
      </c>
      <c r="S313" s="2" t="s">
        <v>187</v>
      </c>
      <c r="T313" s="2" t="s">
        <v>6379</v>
      </c>
      <c r="U313" s="2" t="s">
        <v>2664</v>
      </c>
      <c r="V313" s="2" t="s">
        <v>24</v>
      </c>
      <c r="W313" s="2" t="s">
        <v>101</v>
      </c>
    </row>
    <row r="314">
      <c r="A314" s="2" t="n">
        <v>227</v>
      </c>
      <c r="B314" s="2" t="s">
        <v>13133</v>
      </c>
      <c r="C314" s="2" t="s">
        <v>2676</v>
      </c>
      <c r="D314" s="2" t="n">
        <v>221.085299446</v>
      </c>
      <c r="E314" s="2" t="n">
        <v>1.9477357497024</v>
      </c>
      <c r="F314" s="2" t="s">
        <v>13134</v>
      </c>
      <c r="G314" s="2" t="n">
        <v>6283</v>
      </c>
      <c r="H314" s="3" t="str">
        <f>HYPERLINK("http://funmeta.oebiotech.com/network/6283", "http://funmeta.oebiotech.com/network/6283")</f>
      </c>
      <c r="I314" s="2" t="s">
        <v>13135</v>
      </c>
      <c r="J314" s="2" t="s">
        <v>13136</v>
      </c>
      <c r="K314" s="2" t="s">
        <v>13137</v>
      </c>
      <c r="L314" s="2"/>
      <c r="M314" s="2" t="s">
        <v>13138</v>
      </c>
      <c r="N314" s="2" t="s">
        <v>13139</v>
      </c>
      <c r="O314" s="2" t="s">
        <v>13140</v>
      </c>
      <c r="P314" s="2" t="s">
        <v>13141</v>
      </c>
      <c r="Q314" s="2" t="s">
        <v>13142</v>
      </c>
      <c r="R314" s="2" t="s">
        <v>36</v>
      </c>
      <c r="S314" s="2" t="s">
        <v>37</v>
      </c>
      <c r="T314" s="2" t="s">
        <v>1217</v>
      </c>
      <c r="U314" s="2" t="s">
        <v>2677</v>
      </c>
      <c r="V314" s="2" t="s">
        <v>205</v>
      </c>
      <c r="W314" s="2"/>
    </row>
    <row r="315">
      <c r="A315" s="2" t="n">
        <v>227</v>
      </c>
      <c r="B315" s="2" t="s">
        <v>13143</v>
      </c>
      <c r="C315" s="2" t="s">
        <v>2676</v>
      </c>
      <c r="D315" s="2" t="n">
        <v>221.085299446</v>
      </c>
      <c r="E315" s="2" t="n">
        <v>1.9477357497024</v>
      </c>
      <c r="F315" s="2" t="s">
        <v>13144</v>
      </c>
      <c r="G315" s="2" t="n">
        <v>7624</v>
      </c>
      <c r="H315" s="3" t="str">
        <f>HYPERLINK("http://funmeta.oebiotech.com/network/7624", "http://funmeta.oebiotech.com/network/7624")</f>
      </c>
      <c r="I315" s="2" t="s">
        <v>13145</v>
      </c>
      <c r="J315" s="2" t="s">
        <v>13146</v>
      </c>
      <c r="K315" s="2" t="s">
        <v>13147</v>
      </c>
      <c r="L315" s="2"/>
      <c r="M315" s="2"/>
      <c r="N315" s="2" t="s">
        <v>13148</v>
      </c>
      <c r="O315" s="2" t="s">
        <v>13149</v>
      </c>
      <c r="P315" s="2" t="s">
        <v>13150</v>
      </c>
      <c r="Q315" s="2" t="s">
        <v>13151</v>
      </c>
      <c r="R315" s="2" t="s">
        <v>794</v>
      </c>
      <c r="S315" s="2" t="s">
        <v>795</v>
      </c>
      <c r="T315" s="2" t="s">
        <v>1870</v>
      </c>
      <c r="U315" s="2" t="s">
        <v>2677</v>
      </c>
      <c r="V315" s="2" t="s">
        <v>205</v>
      </c>
      <c r="W315" s="2"/>
    </row>
    <row r="316">
      <c r="A316" s="2" t="n">
        <v>227</v>
      </c>
      <c r="B316" s="2" t="s">
        <v>13152</v>
      </c>
      <c r="C316" s="2" t="s">
        <v>2676</v>
      </c>
      <c r="D316" s="2" t="n">
        <v>221.085299446</v>
      </c>
      <c r="E316" s="2" t="n">
        <v>1.9477357497024</v>
      </c>
      <c r="F316" s="2" t="s">
        <v>13153</v>
      </c>
      <c r="G316" s="2" t="n">
        <v>56732</v>
      </c>
      <c r="H316" s="3" t="str">
        <f>HYPERLINK("http://funmeta.oebiotech.com/network/56732", "http://funmeta.oebiotech.com/network/56732")</f>
      </c>
      <c r="I316" s="2" t="s">
        <v>13154</v>
      </c>
      <c r="J316" s="2" t="s">
        <v>13155</v>
      </c>
      <c r="K316" s="2"/>
      <c r="L316" s="2"/>
      <c r="M316" s="2" t="s">
        <v>13156</v>
      </c>
      <c r="N316" s="2" t="s">
        <v>13157</v>
      </c>
      <c r="O316" s="2" t="s">
        <v>13158</v>
      </c>
      <c r="P316" s="2" t="s">
        <v>13159</v>
      </c>
      <c r="Q316" s="2" t="s">
        <v>13160</v>
      </c>
      <c r="R316" s="2" t="s">
        <v>794</v>
      </c>
      <c r="S316" s="2" t="s">
        <v>795</v>
      </c>
      <c r="T316" s="2" t="s">
        <v>1870</v>
      </c>
      <c r="U316" s="2" t="s">
        <v>2677</v>
      </c>
      <c r="V316" s="2" t="s">
        <v>205</v>
      </c>
      <c r="W316" s="2"/>
    </row>
    <row r="317">
      <c r="A317" s="2" t="n">
        <v>228</v>
      </c>
      <c r="B317" s="2" t="s">
        <v>13161</v>
      </c>
      <c r="C317" s="2" t="s">
        <v>2691</v>
      </c>
      <c r="D317" s="2" t="n">
        <v>221.12168926</v>
      </c>
      <c r="E317" s="2" t="n">
        <v>6.19232543713543</v>
      </c>
      <c r="F317" s="2" t="s">
        <v>2693</v>
      </c>
      <c r="G317" s="2" t="n">
        <v>205600</v>
      </c>
      <c r="H317" s="3" t="str">
        <f>HYPERLINK("http://funmeta.oebiotech.com/network/205600", "http://funmeta.oebiotech.com/network/205600")</f>
      </c>
      <c r="I317" s="2" t="s">
        <v>2695</v>
      </c>
      <c r="J317" s="2" t="s">
        <v>2696</v>
      </c>
      <c r="K317" s="2"/>
      <c r="L317" s="2"/>
      <c r="M317" s="2"/>
      <c r="N317" s="2" t="s">
        <v>2697</v>
      </c>
      <c r="O317" s="2"/>
      <c r="P317" s="2" t="s">
        <v>2698</v>
      </c>
      <c r="Q317" s="2" t="s">
        <v>2699</v>
      </c>
      <c r="R317" s="2" t="s">
        <v>36</v>
      </c>
      <c r="S317" s="2" t="s">
        <v>344</v>
      </c>
      <c r="T317" s="2" t="s">
        <v>345</v>
      </c>
      <c r="U317" s="2" t="s">
        <v>2692</v>
      </c>
      <c r="V317" s="2" t="s">
        <v>24</v>
      </c>
      <c r="W317" s="2"/>
    </row>
    <row r="318">
      <c r="A318" s="2" t="n">
        <v>229</v>
      </c>
      <c r="B318" s="2" t="s">
        <v>13162</v>
      </c>
      <c r="C318" s="2" t="s">
        <v>2700</v>
      </c>
      <c r="D318" s="2" t="n">
        <v>221.154703948</v>
      </c>
      <c r="E318" s="2" t="n">
        <v>6.87712235893068</v>
      </c>
      <c r="F318" s="2" t="s">
        <v>13163</v>
      </c>
      <c r="G318" s="2" t="n">
        <v>60466</v>
      </c>
      <c r="H318" s="3" t="str">
        <f>HYPERLINK("http://funmeta.oebiotech.com/network/60466", "http://funmeta.oebiotech.com/network/60466")</f>
      </c>
      <c r="I318" s="2" t="s">
        <v>13164</v>
      </c>
      <c r="J318" s="2" t="s">
        <v>13165</v>
      </c>
      <c r="K318" s="2"/>
      <c r="L318" s="2" t="s">
        <v>13166</v>
      </c>
      <c r="M318" s="2"/>
      <c r="N318" s="2" t="s">
        <v>13167</v>
      </c>
      <c r="O318" s="2" t="s">
        <v>13168</v>
      </c>
      <c r="P318" s="2" t="s">
        <v>13169</v>
      </c>
      <c r="Q318" s="2" t="s">
        <v>13170</v>
      </c>
      <c r="R318" s="2" t="s">
        <v>129</v>
      </c>
      <c r="S318" s="2" t="s">
        <v>130</v>
      </c>
      <c r="T318" s="2" t="s">
        <v>4133</v>
      </c>
      <c r="U318" s="2" t="s">
        <v>2701</v>
      </c>
      <c r="V318" s="2" t="s">
        <v>24</v>
      </c>
      <c r="W318" s="2" t="s">
        <v>56</v>
      </c>
    </row>
    <row r="319">
      <c r="A319" s="2" t="n">
        <v>229</v>
      </c>
      <c r="B319" s="2" t="s">
        <v>13171</v>
      </c>
      <c r="C319" s="2" t="s">
        <v>2700</v>
      </c>
      <c r="D319" s="2" t="n">
        <v>221.154703948</v>
      </c>
      <c r="E319" s="2" t="n">
        <v>6.87712235893068</v>
      </c>
      <c r="F319" s="2" t="s">
        <v>13172</v>
      </c>
      <c r="G319" s="2" t="n">
        <v>59455</v>
      </c>
      <c r="H319" s="3" t="str">
        <f>HYPERLINK("http://funmeta.oebiotech.com/network/59455", "http://funmeta.oebiotech.com/network/59455")</f>
      </c>
      <c r="I319" s="2" t="s">
        <v>13173</v>
      </c>
      <c r="J319" s="2"/>
      <c r="K319" s="2"/>
      <c r="L319" s="2" t="s">
        <v>13174</v>
      </c>
      <c r="M319" s="2"/>
      <c r="N319" s="2" t="s">
        <v>13175</v>
      </c>
      <c r="O319" s="2" t="s">
        <v>13176</v>
      </c>
      <c r="P319" s="2" t="s">
        <v>13177</v>
      </c>
      <c r="Q319" s="2" t="s">
        <v>13178</v>
      </c>
      <c r="R319" s="2" t="s">
        <v>129</v>
      </c>
      <c r="S319" s="2" t="s">
        <v>130</v>
      </c>
      <c r="T319" s="2" t="s">
        <v>4133</v>
      </c>
      <c r="U319" s="2" t="s">
        <v>2701</v>
      </c>
      <c r="V319" s="2" t="s">
        <v>24</v>
      </c>
      <c r="W319" s="2" t="s">
        <v>56</v>
      </c>
    </row>
    <row r="320">
      <c r="A320" s="2" t="n">
        <v>230</v>
      </c>
      <c r="B320" s="2" t="s">
        <v>13179</v>
      </c>
      <c r="C320" s="2" t="s">
        <v>2711</v>
      </c>
      <c r="D320" s="2" t="n">
        <v>223.100750522</v>
      </c>
      <c r="E320" s="2" t="n">
        <v>4.30317195496595</v>
      </c>
      <c r="F320" s="2" t="s">
        <v>2713</v>
      </c>
      <c r="G320" s="2" t="n">
        <v>48642</v>
      </c>
      <c r="H320" s="3" t="str">
        <f>HYPERLINK("http://funmeta.oebiotech.com/network/48642", "http://funmeta.oebiotech.com/network/48642")</f>
      </c>
      <c r="I320" s="2" t="s">
        <v>2715</v>
      </c>
      <c r="J320" s="2"/>
      <c r="K320" s="2"/>
      <c r="L320" s="2" t="s">
        <v>2716</v>
      </c>
      <c r="M320" s="2" t="s">
        <v>2717</v>
      </c>
      <c r="N320" s="2" t="s">
        <v>2718</v>
      </c>
      <c r="O320" s="2" t="s">
        <v>2719</v>
      </c>
      <c r="P320" s="2" t="s">
        <v>2720</v>
      </c>
      <c r="Q320" s="2" t="s">
        <v>2721</v>
      </c>
      <c r="R320" s="2" t="s">
        <v>114</v>
      </c>
      <c r="S320" s="2" t="s">
        <v>994</v>
      </c>
      <c r="T320" s="2" t="s">
        <v>2649</v>
      </c>
      <c r="U320" s="2" t="s">
        <v>2712</v>
      </c>
      <c r="V320" s="2" t="s">
        <v>86</v>
      </c>
      <c r="W320" s="2" t="s">
        <v>56</v>
      </c>
    </row>
    <row r="321">
      <c r="A321" s="2" t="n">
        <v>231</v>
      </c>
      <c r="B321" s="2" t="s">
        <v>13180</v>
      </c>
      <c r="C321" s="2" t="s">
        <v>2722</v>
      </c>
      <c r="D321" s="2" t="n">
        <v>223.133968506</v>
      </c>
      <c r="E321" s="2" t="n">
        <v>10.9881357877798</v>
      </c>
      <c r="F321" s="2" t="s">
        <v>2724</v>
      </c>
      <c r="G321" s="2" t="n">
        <v>3368</v>
      </c>
      <c r="H321" s="3" t="str">
        <f>HYPERLINK("http://funmeta.oebiotech.com/network/3368", "http://funmeta.oebiotech.com/network/3368")</f>
      </c>
      <c r="I321" s="2" t="s">
        <v>2726</v>
      </c>
      <c r="J321" s="2" t="s">
        <v>2727</v>
      </c>
      <c r="K321" s="2" t="s">
        <v>2728</v>
      </c>
      <c r="L321" s="2" t="s">
        <v>2729</v>
      </c>
      <c r="M321" s="2" t="s">
        <v>2730</v>
      </c>
      <c r="N321" s="2" t="s">
        <v>2731</v>
      </c>
      <c r="O321" s="2" t="s">
        <v>2732</v>
      </c>
      <c r="P321" s="2" t="s">
        <v>2733</v>
      </c>
      <c r="Q321" s="2" t="s">
        <v>2734</v>
      </c>
      <c r="R321" s="2" t="s">
        <v>794</v>
      </c>
      <c r="S321" s="2" t="s">
        <v>795</v>
      </c>
      <c r="T321" s="2" t="s">
        <v>2391</v>
      </c>
      <c r="U321" s="2" t="s">
        <v>2723</v>
      </c>
      <c r="V321" s="2" t="s">
        <v>24</v>
      </c>
      <c r="W321" s="2" t="s">
        <v>56</v>
      </c>
    </row>
    <row r="322">
      <c r="A322" s="2" t="n">
        <v>232</v>
      </c>
      <c r="B322" s="2" t="s">
        <v>13181</v>
      </c>
      <c r="C322" s="2" t="s">
        <v>2735</v>
      </c>
      <c r="D322" s="2" t="n">
        <v>223.170354012</v>
      </c>
      <c r="E322" s="2" t="n">
        <v>15.4673872968343</v>
      </c>
      <c r="F322" s="2" t="s">
        <v>13182</v>
      </c>
      <c r="G322" s="2" t="n">
        <v>752</v>
      </c>
      <c r="H322" s="3" t="str">
        <f>HYPERLINK("http://funmeta.oebiotech.com/network/752", "http://funmeta.oebiotech.com/network/752")</f>
      </c>
      <c r="I322" s="2" t="s">
        <v>13183</v>
      </c>
      <c r="J322" s="2" t="s">
        <v>13184</v>
      </c>
      <c r="K322" s="2" t="s">
        <v>13185</v>
      </c>
      <c r="L322" s="2"/>
      <c r="M322" s="2" t="s">
        <v>13186</v>
      </c>
      <c r="N322" s="2" t="s">
        <v>13187</v>
      </c>
      <c r="O322" s="2" t="s">
        <v>13188</v>
      </c>
      <c r="P322" s="2" t="s">
        <v>13189</v>
      </c>
      <c r="Q322" s="2" t="s">
        <v>13190</v>
      </c>
      <c r="R322" s="2" t="s">
        <v>794</v>
      </c>
      <c r="S322" s="2" t="s">
        <v>795</v>
      </c>
      <c r="T322" s="2" t="s">
        <v>796</v>
      </c>
      <c r="U322" s="2" t="s">
        <v>2736</v>
      </c>
      <c r="V322" s="2" t="s">
        <v>24</v>
      </c>
      <c r="W322" s="2" t="s">
        <v>56</v>
      </c>
    </row>
    <row r="323">
      <c r="A323" s="2" t="n">
        <v>232</v>
      </c>
      <c r="B323" s="2" t="s">
        <v>13191</v>
      </c>
      <c r="C323" s="2" t="s">
        <v>2735</v>
      </c>
      <c r="D323" s="2" t="n">
        <v>223.170354012</v>
      </c>
      <c r="E323" s="2" t="n">
        <v>15.4673872968343</v>
      </c>
      <c r="F323" s="2" t="s">
        <v>13192</v>
      </c>
      <c r="G323" s="2" t="n">
        <v>7365</v>
      </c>
      <c r="H323" s="3" t="str">
        <f>HYPERLINK("http://funmeta.oebiotech.com/network/7365", "http://funmeta.oebiotech.com/network/7365")</f>
      </c>
      <c r="I323" s="2" t="s">
        <v>13193</v>
      </c>
      <c r="J323" s="2" t="s">
        <v>13194</v>
      </c>
      <c r="K323" s="2" t="s">
        <v>13195</v>
      </c>
      <c r="L323" s="2"/>
      <c r="M323" s="2"/>
      <c r="N323" s="2" t="s">
        <v>13196</v>
      </c>
      <c r="O323" s="2" t="s">
        <v>13197</v>
      </c>
      <c r="P323" s="2" t="s">
        <v>13198</v>
      </c>
      <c r="Q323" s="2" t="s">
        <v>13199</v>
      </c>
      <c r="R323" s="2" t="s">
        <v>794</v>
      </c>
      <c r="S323" s="2" t="s">
        <v>795</v>
      </c>
      <c r="T323" s="2" t="s">
        <v>1370</v>
      </c>
      <c r="U323" s="2" t="s">
        <v>2736</v>
      </c>
      <c r="V323" s="2" t="s">
        <v>24</v>
      </c>
      <c r="W323" s="2" t="s">
        <v>56</v>
      </c>
    </row>
    <row r="324">
      <c r="A324" s="2" t="n">
        <v>232</v>
      </c>
      <c r="B324" s="2" t="s">
        <v>13200</v>
      </c>
      <c r="C324" s="2" t="s">
        <v>2735</v>
      </c>
      <c r="D324" s="2" t="n">
        <v>223.170354012</v>
      </c>
      <c r="E324" s="2" t="n">
        <v>15.4673872968343</v>
      </c>
      <c r="F324" s="2" t="s">
        <v>13201</v>
      </c>
      <c r="G324" s="2" t="n">
        <v>7457</v>
      </c>
      <c r="H324" s="3" t="str">
        <f>HYPERLINK("http://funmeta.oebiotech.com/network/7457", "http://funmeta.oebiotech.com/network/7457")</f>
      </c>
      <c r="I324" s="2" t="s">
        <v>13202</v>
      </c>
      <c r="J324" s="2" t="s">
        <v>13203</v>
      </c>
      <c r="K324" s="2" t="s">
        <v>13204</v>
      </c>
      <c r="L324" s="2"/>
      <c r="M324" s="2"/>
      <c r="N324" s="2" t="s">
        <v>13205</v>
      </c>
      <c r="O324" s="2" t="s">
        <v>13206</v>
      </c>
      <c r="P324" s="2" t="s">
        <v>13207</v>
      </c>
      <c r="Q324" s="2" t="s">
        <v>13208</v>
      </c>
      <c r="R324" s="2" t="s">
        <v>794</v>
      </c>
      <c r="S324" s="2" t="s">
        <v>795</v>
      </c>
      <c r="T324" s="2" t="s">
        <v>1870</v>
      </c>
      <c r="U324" s="2" t="s">
        <v>2736</v>
      </c>
      <c r="V324" s="2" t="s">
        <v>24</v>
      </c>
      <c r="W324" s="2" t="s">
        <v>56</v>
      </c>
    </row>
    <row r="325">
      <c r="A325" s="2" t="n">
        <v>233</v>
      </c>
      <c r="B325" s="2" t="s">
        <v>13209</v>
      </c>
      <c r="C325" s="2" t="s">
        <v>2748</v>
      </c>
      <c r="D325" s="2" t="n">
        <v>223.9781995</v>
      </c>
      <c r="E325" s="2" t="n">
        <v>7.24417136991532</v>
      </c>
      <c r="F325" s="2" t="s">
        <v>2750</v>
      </c>
      <c r="G325" s="2" t="n">
        <v>212572</v>
      </c>
      <c r="H325" s="3" t="str">
        <f>HYPERLINK("http://funmeta.oebiotech.com/network/212572", "http://funmeta.oebiotech.com/network/212572")</f>
      </c>
      <c r="I325" s="2" t="s">
        <v>2752</v>
      </c>
      <c r="J325" s="2" t="s">
        <v>2753</v>
      </c>
      <c r="K325" s="2"/>
      <c r="L325" s="2"/>
      <c r="M325" s="2"/>
      <c r="N325" s="2" t="s">
        <v>2754</v>
      </c>
      <c r="O325" s="2" t="s">
        <v>2755</v>
      </c>
      <c r="P325" s="2" t="s">
        <v>2756</v>
      </c>
      <c r="Q325" s="2" t="s">
        <v>2757</v>
      </c>
      <c r="R325" s="2" t="s">
        <v>601</v>
      </c>
      <c r="S325" s="2" t="s">
        <v>602</v>
      </c>
      <c r="T325" s="2" t="s">
        <v>2758</v>
      </c>
      <c r="U325" s="2" t="s">
        <v>2749</v>
      </c>
      <c r="V325" s="2" t="s">
        <v>531</v>
      </c>
      <c r="W325" s="2"/>
    </row>
    <row r="326">
      <c r="A326" s="2" t="n">
        <v>234</v>
      </c>
      <c r="B326" s="2" t="s">
        <v>13210</v>
      </c>
      <c r="C326" s="2" t="s">
        <v>2759</v>
      </c>
      <c r="D326" s="2" t="n">
        <v>224.031294349</v>
      </c>
      <c r="E326" s="2" t="n">
        <v>0.141306031122848</v>
      </c>
      <c r="F326" s="2" t="s">
        <v>2761</v>
      </c>
      <c r="G326" s="2" t="n">
        <v>56850</v>
      </c>
      <c r="H326" s="3" t="str">
        <f>HYPERLINK("http://funmeta.oebiotech.com/network/56850", "http://funmeta.oebiotech.com/network/56850")</f>
      </c>
      <c r="I326" s="2" t="s">
        <v>2763</v>
      </c>
      <c r="J326" s="2" t="s">
        <v>2764</v>
      </c>
      <c r="K326" s="2"/>
      <c r="L326" s="2"/>
      <c r="M326" s="2"/>
      <c r="N326" s="2" t="s">
        <v>2765</v>
      </c>
      <c r="O326" s="2" t="s">
        <v>2766</v>
      </c>
      <c r="P326" s="2" t="s">
        <v>2767</v>
      </c>
      <c r="Q326" s="2" t="s">
        <v>2768</v>
      </c>
      <c r="R326" s="2" t="s">
        <v>186</v>
      </c>
      <c r="S326" s="2" t="s">
        <v>187</v>
      </c>
      <c r="T326" s="2" t="s">
        <v>188</v>
      </c>
      <c r="U326" s="2" t="s">
        <v>2760</v>
      </c>
      <c r="V326" s="2" t="s">
        <v>24</v>
      </c>
      <c r="W326" s="2" t="s">
        <v>56</v>
      </c>
    </row>
    <row r="327">
      <c r="A327" s="2" t="n">
        <v>235</v>
      </c>
      <c r="B327" s="2" t="s">
        <v>13211</v>
      </c>
      <c r="C327" s="2" t="s">
        <v>2769</v>
      </c>
      <c r="D327" s="2" t="n">
        <v>224.075073419</v>
      </c>
      <c r="E327" s="2" t="n">
        <v>5.32193393742442</v>
      </c>
      <c r="F327" s="2" t="s">
        <v>2771</v>
      </c>
      <c r="G327" s="2" t="n">
        <v>56253</v>
      </c>
      <c r="H327" s="3" t="str">
        <f>HYPERLINK("http://funmeta.oebiotech.com/network/56253", "http://funmeta.oebiotech.com/network/56253")</f>
      </c>
      <c r="I327" s="2" t="s">
        <v>2773</v>
      </c>
      <c r="J327" s="2" t="s">
        <v>2774</v>
      </c>
      <c r="K327" s="2"/>
      <c r="L327" s="2" t="s">
        <v>2775</v>
      </c>
      <c r="M327" s="2" t="s">
        <v>2776</v>
      </c>
      <c r="N327" s="2" t="s">
        <v>2777</v>
      </c>
      <c r="O327" s="2" t="s">
        <v>2778</v>
      </c>
      <c r="P327" s="2" t="s">
        <v>2779</v>
      </c>
      <c r="Q327" s="2" t="s">
        <v>2780</v>
      </c>
      <c r="R327" s="2" t="s">
        <v>186</v>
      </c>
      <c r="S327" s="2" t="s">
        <v>187</v>
      </c>
      <c r="T327" s="2" t="s">
        <v>2781</v>
      </c>
      <c r="U327" s="2" t="s">
        <v>2770</v>
      </c>
      <c r="V327" s="2" t="s">
        <v>24</v>
      </c>
      <c r="W327" s="2" t="s">
        <v>56</v>
      </c>
    </row>
    <row r="328">
      <c r="A328" s="2" t="n">
        <v>236</v>
      </c>
      <c r="B328" s="2" t="s">
        <v>13212</v>
      </c>
      <c r="C328" s="2" t="s">
        <v>2782</v>
      </c>
      <c r="D328" s="2" t="n">
        <v>224.9603852</v>
      </c>
      <c r="E328" s="2" t="n">
        <v>0.256992821456415</v>
      </c>
      <c r="F328" s="2" t="s">
        <v>2784</v>
      </c>
      <c r="G328" s="2" t="n">
        <v>199330</v>
      </c>
      <c r="H328" s="3" t="str">
        <f>HYPERLINK("http://funmeta.oebiotech.com/network/199330", "http://funmeta.oebiotech.com/network/199330")</f>
      </c>
      <c r="I328" s="2" t="s">
        <v>2786</v>
      </c>
      <c r="J328" s="2"/>
      <c r="K328" s="2"/>
      <c r="L328" s="2"/>
      <c r="M328" s="2" t="s">
        <v>2787</v>
      </c>
      <c r="N328" s="2" t="s">
        <v>2788</v>
      </c>
      <c r="O328" s="2"/>
      <c r="P328" s="2" t="s">
        <v>2789</v>
      </c>
      <c r="Q328" s="2" t="s">
        <v>2790</v>
      </c>
      <c r="R328" s="2" t="s">
        <v>186</v>
      </c>
      <c r="S328" s="2" t="s">
        <v>187</v>
      </c>
      <c r="T328" s="2" t="s">
        <v>2791</v>
      </c>
      <c r="U328" s="2" t="s">
        <v>2783</v>
      </c>
      <c r="V328" s="2" t="s">
        <v>531</v>
      </c>
      <c r="W328" s="2"/>
    </row>
    <row r="329">
      <c r="A329" s="2" t="n">
        <v>237</v>
      </c>
      <c r="B329" s="2" t="s">
        <v>13213</v>
      </c>
      <c r="C329" s="2" t="s">
        <v>2792</v>
      </c>
      <c r="D329" s="2" t="n">
        <v>225.0600283</v>
      </c>
      <c r="E329" s="2" t="n">
        <v>8.15004769166958</v>
      </c>
      <c r="F329" s="2" t="s">
        <v>2794</v>
      </c>
      <c r="G329" s="2" t="n">
        <v>210999</v>
      </c>
      <c r="H329" s="3" t="str">
        <f>HYPERLINK("http://funmeta.oebiotech.com/network/210999", "http://funmeta.oebiotech.com/network/210999")</f>
      </c>
      <c r="I329" s="2" t="s">
        <v>2796</v>
      </c>
      <c r="J329" s="2"/>
      <c r="K329" s="2"/>
      <c r="L329" s="2"/>
      <c r="M329" s="2" t="s">
        <v>2797</v>
      </c>
      <c r="N329" s="2" t="s">
        <v>2798</v>
      </c>
      <c r="O329" s="2"/>
      <c r="P329" s="2" t="s">
        <v>2799</v>
      </c>
      <c r="Q329" s="2" t="s">
        <v>2800</v>
      </c>
      <c r="R329" s="2" t="s">
        <v>114</v>
      </c>
      <c r="S329" s="2" t="s">
        <v>994</v>
      </c>
      <c r="T329" s="2" t="s">
        <v>2801</v>
      </c>
      <c r="U329" s="2" t="s">
        <v>2793</v>
      </c>
      <c r="V329" s="2" t="s">
        <v>24</v>
      </c>
      <c r="W329" s="2"/>
    </row>
    <row r="330">
      <c r="A330" s="2" t="n">
        <v>238</v>
      </c>
      <c r="B330" s="2" t="s">
        <v>13214</v>
      </c>
      <c r="C330" s="2" t="s">
        <v>2802</v>
      </c>
      <c r="D330" s="2" t="n">
        <v>225.14961857</v>
      </c>
      <c r="E330" s="2" t="n">
        <v>13.106495123957</v>
      </c>
      <c r="F330" s="2" t="s">
        <v>13215</v>
      </c>
      <c r="G330" s="2" t="n">
        <v>63758</v>
      </c>
      <c r="H330" s="3" t="str">
        <f>HYPERLINK("http://funmeta.oebiotech.com/network/63758", "http://funmeta.oebiotech.com/network/63758")</f>
      </c>
      <c r="I330" s="2" t="s">
        <v>13216</v>
      </c>
      <c r="J330" s="2"/>
      <c r="K330" s="2"/>
      <c r="L330" s="2"/>
      <c r="M330" s="2" t="s">
        <v>13217</v>
      </c>
      <c r="N330" s="2" t="s">
        <v>13218</v>
      </c>
      <c r="O330" s="2" t="s">
        <v>13219</v>
      </c>
      <c r="P330" s="2" t="s">
        <v>13220</v>
      </c>
      <c r="Q330" s="2" t="s">
        <v>13221</v>
      </c>
      <c r="R330" s="2" t="s">
        <v>794</v>
      </c>
      <c r="S330" s="2" t="s">
        <v>1098</v>
      </c>
      <c r="T330" s="2" t="s">
        <v>3079</v>
      </c>
      <c r="U330" s="2" t="s">
        <v>2803</v>
      </c>
      <c r="V330" s="2" t="s">
        <v>24</v>
      </c>
      <c r="W330" s="2" t="s">
        <v>56</v>
      </c>
    </row>
    <row r="331">
      <c r="A331" s="2" t="n">
        <v>238</v>
      </c>
      <c r="B331" s="2" t="s">
        <v>13222</v>
      </c>
      <c r="C331" s="2" t="s">
        <v>2802</v>
      </c>
      <c r="D331" s="2" t="n">
        <v>225.14961857</v>
      </c>
      <c r="E331" s="2" t="n">
        <v>13.106495123957</v>
      </c>
      <c r="F331" s="2" t="s">
        <v>13223</v>
      </c>
      <c r="G331" s="2" t="n">
        <v>61100</v>
      </c>
      <c r="H331" s="3" t="str">
        <f>HYPERLINK("http://funmeta.oebiotech.com/network/61100", "http://funmeta.oebiotech.com/network/61100")</f>
      </c>
      <c r="I331" s="2" t="s">
        <v>13224</v>
      </c>
      <c r="J331" s="2" t="s">
        <v>13225</v>
      </c>
      <c r="K331" s="2"/>
      <c r="L331" s="2"/>
      <c r="M331" s="2" t="s">
        <v>13226</v>
      </c>
      <c r="N331" s="2" t="s">
        <v>13227</v>
      </c>
      <c r="O331" s="2"/>
      <c r="P331" s="2" t="s">
        <v>13228</v>
      </c>
      <c r="Q331" s="2" t="s">
        <v>13229</v>
      </c>
      <c r="R331" s="2" t="s">
        <v>114</v>
      </c>
      <c r="S331" s="2" t="s">
        <v>1445</v>
      </c>
      <c r="T331" s="2" t="s">
        <v>215</v>
      </c>
      <c r="U331" s="2" t="s">
        <v>2803</v>
      </c>
      <c r="V331" s="2" t="s">
        <v>24</v>
      </c>
      <c r="W331" s="2" t="s">
        <v>56</v>
      </c>
    </row>
    <row r="332">
      <c r="A332" s="2" t="n">
        <v>239</v>
      </c>
      <c r="B332" s="2" t="s">
        <v>13230</v>
      </c>
      <c r="C332" s="2" t="s">
        <v>2816</v>
      </c>
      <c r="D332" s="2" t="n">
        <v>225.988814862</v>
      </c>
      <c r="E332" s="2" t="n">
        <v>1.4242076541016</v>
      </c>
      <c r="F332" s="2" t="s">
        <v>2818</v>
      </c>
      <c r="G332" s="2" t="n">
        <v>200410</v>
      </c>
      <c r="H332" s="3" t="str">
        <f>HYPERLINK("http://funmeta.oebiotech.com/network/200410", "http://funmeta.oebiotech.com/network/200410")</f>
      </c>
      <c r="I332" s="2" t="s">
        <v>2820</v>
      </c>
      <c r="J332" s="2"/>
      <c r="K332" s="2"/>
      <c r="L332" s="2"/>
      <c r="M332" s="2"/>
      <c r="N332" s="2" t="s">
        <v>2821</v>
      </c>
      <c r="O332" s="2"/>
      <c r="P332" s="2" t="s">
        <v>2822</v>
      </c>
      <c r="Q332" s="2" t="s">
        <v>2823</v>
      </c>
      <c r="R332" s="2" t="s">
        <v>114</v>
      </c>
      <c r="S332" s="2" t="s">
        <v>936</v>
      </c>
      <c r="T332" s="2" t="s">
        <v>1749</v>
      </c>
      <c r="U332" s="2" t="s">
        <v>2817</v>
      </c>
      <c r="V332" s="2" t="s">
        <v>86</v>
      </c>
      <c r="W332" s="2"/>
    </row>
    <row r="333">
      <c r="A333" s="2" t="n">
        <v>240</v>
      </c>
      <c r="B333" s="2" t="s">
        <v>13231</v>
      </c>
      <c r="C333" s="2" t="s">
        <v>2824</v>
      </c>
      <c r="D333" s="2" t="n">
        <v>226.99640461</v>
      </c>
      <c r="E333" s="2" t="n">
        <v>5.80993525396321</v>
      </c>
      <c r="F333" s="2" t="s">
        <v>2826</v>
      </c>
      <c r="G333" s="2" t="n">
        <v>46867</v>
      </c>
      <c r="H333" s="3" t="str">
        <f>HYPERLINK("http://funmeta.oebiotech.com/network/46867", "http://funmeta.oebiotech.com/network/46867")</f>
      </c>
      <c r="I333" s="2" t="s">
        <v>2828</v>
      </c>
      <c r="J333" s="2" t="s">
        <v>2829</v>
      </c>
      <c r="K333" s="2"/>
      <c r="L333" s="2" t="s">
        <v>2830</v>
      </c>
      <c r="M333" s="2" t="s">
        <v>2831</v>
      </c>
      <c r="N333" s="2" t="s">
        <v>2832</v>
      </c>
      <c r="O333" s="2" t="s">
        <v>2833</v>
      </c>
      <c r="P333" s="2" t="s">
        <v>2834</v>
      </c>
      <c r="Q333" s="2" t="s">
        <v>2835</v>
      </c>
      <c r="R333" s="2" t="s">
        <v>36</v>
      </c>
      <c r="S333" s="2" t="s">
        <v>37</v>
      </c>
      <c r="T333" s="2" t="s">
        <v>2336</v>
      </c>
      <c r="U333" s="2" t="s">
        <v>2825</v>
      </c>
      <c r="V333" s="2" t="s">
        <v>86</v>
      </c>
      <c r="W333" s="2" t="s">
        <v>39</v>
      </c>
    </row>
    <row r="334">
      <c r="A334" s="2" t="n">
        <v>241</v>
      </c>
      <c r="B334" s="2" t="s">
        <v>13232</v>
      </c>
      <c r="C334" s="2" t="s">
        <v>2836</v>
      </c>
      <c r="D334" s="2" t="n">
        <v>227.067345504</v>
      </c>
      <c r="E334" s="2" t="n">
        <v>0.790892411427443</v>
      </c>
      <c r="F334" s="2" t="s">
        <v>2838</v>
      </c>
      <c r="G334" s="2" t="n">
        <v>46825</v>
      </c>
      <c r="H334" s="3" t="str">
        <f>HYPERLINK("http://funmeta.oebiotech.com/network/46825", "http://funmeta.oebiotech.com/network/46825")</f>
      </c>
      <c r="I334" s="2" t="s">
        <v>2840</v>
      </c>
      <c r="J334" s="2" t="s">
        <v>2841</v>
      </c>
      <c r="K334" s="2"/>
      <c r="L334" s="2" t="s">
        <v>2842</v>
      </c>
      <c r="M334" s="2" t="s">
        <v>2843</v>
      </c>
      <c r="N334" s="2" t="s">
        <v>2844</v>
      </c>
      <c r="O334" s="2" t="s">
        <v>2845</v>
      </c>
      <c r="P334" s="2" t="s">
        <v>2846</v>
      </c>
      <c r="Q334" s="2" t="s">
        <v>2847</v>
      </c>
      <c r="R334" s="2" t="s">
        <v>2416</v>
      </c>
      <c r="S334" s="2" t="s">
        <v>2417</v>
      </c>
      <c r="T334" s="2" t="s">
        <v>2848</v>
      </c>
      <c r="U334" s="2" t="s">
        <v>2837</v>
      </c>
      <c r="V334" s="2" t="s">
        <v>24</v>
      </c>
      <c r="W334" s="2" t="s">
        <v>56</v>
      </c>
    </row>
    <row r="335">
      <c r="A335" s="2" t="n">
        <v>242</v>
      </c>
      <c r="B335" s="2" t="s">
        <v>13233</v>
      </c>
      <c r="C335" s="2" t="s">
        <v>2849</v>
      </c>
      <c r="D335" s="2" t="n">
        <v>227.10373101</v>
      </c>
      <c r="E335" s="2" t="n">
        <v>9.76668893701068</v>
      </c>
      <c r="F335" s="2" t="s">
        <v>13234</v>
      </c>
      <c r="G335" s="2" t="n">
        <v>48836</v>
      </c>
      <c r="H335" s="3" t="str">
        <f>HYPERLINK("http://funmeta.oebiotech.com/network/48836", "http://funmeta.oebiotech.com/network/48836")</f>
      </c>
      <c r="I335" s="2" t="s">
        <v>13235</v>
      </c>
      <c r="J335" s="2" t="s">
        <v>13236</v>
      </c>
      <c r="K335" s="2"/>
      <c r="L335" s="2"/>
      <c r="M335" s="2" t="s">
        <v>13237</v>
      </c>
      <c r="N335" s="2" t="s">
        <v>13238</v>
      </c>
      <c r="O335" s="2" t="s">
        <v>13239</v>
      </c>
      <c r="P335" s="2" t="s">
        <v>13240</v>
      </c>
      <c r="Q335" s="2" t="s">
        <v>13241</v>
      </c>
      <c r="R335" s="2" t="s">
        <v>36</v>
      </c>
      <c r="S335" s="2" t="s">
        <v>37</v>
      </c>
      <c r="T335" s="2" t="s">
        <v>69</v>
      </c>
      <c r="U335" s="2" t="s">
        <v>2850</v>
      </c>
      <c r="V335" s="2" t="s">
        <v>24</v>
      </c>
      <c r="W335" s="2" t="s">
        <v>56</v>
      </c>
    </row>
    <row r="336">
      <c r="A336" s="2" t="n">
        <v>242</v>
      </c>
      <c r="B336" s="2" t="s">
        <v>13242</v>
      </c>
      <c r="C336" s="2" t="s">
        <v>2849</v>
      </c>
      <c r="D336" s="2" t="n">
        <v>227.10373101</v>
      </c>
      <c r="E336" s="2" t="n">
        <v>9.76668893701068</v>
      </c>
      <c r="F336" s="2" t="s">
        <v>13243</v>
      </c>
      <c r="G336" s="2" t="n">
        <v>53895</v>
      </c>
      <c r="H336" s="3" t="str">
        <f>HYPERLINK("http://funmeta.oebiotech.com/network/53895", "http://funmeta.oebiotech.com/network/53895")</f>
      </c>
      <c r="I336" s="2" t="s">
        <v>13244</v>
      </c>
      <c r="J336" s="2" t="s">
        <v>13245</v>
      </c>
      <c r="K336" s="2"/>
      <c r="L336" s="2"/>
      <c r="M336" s="2" t="s">
        <v>13246</v>
      </c>
      <c r="N336" s="2" t="s">
        <v>13247</v>
      </c>
      <c r="O336" s="2"/>
      <c r="P336" s="2" t="s">
        <v>13248</v>
      </c>
      <c r="Q336" s="2" t="s">
        <v>13249</v>
      </c>
      <c r="R336" s="2" t="s">
        <v>36</v>
      </c>
      <c r="S336" s="2" t="s">
        <v>37</v>
      </c>
      <c r="T336" s="2" t="s">
        <v>69</v>
      </c>
      <c r="U336" s="2" t="s">
        <v>2850</v>
      </c>
      <c r="V336" s="2" t="s">
        <v>24</v>
      </c>
      <c r="W336" s="2" t="s">
        <v>56</v>
      </c>
    </row>
    <row r="337">
      <c r="A337" s="2" t="n">
        <v>243</v>
      </c>
      <c r="B337" s="2" t="s">
        <v>13250</v>
      </c>
      <c r="C337" s="2" t="s">
        <v>2860</v>
      </c>
      <c r="D337" s="2" t="n">
        <v>227.128883128</v>
      </c>
      <c r="E337" s="2" t="n">
        <v>11.0502621975508</v>
      </c>
      <c r="F337" s="2" t="s">
        <v>13251</v>
      </c>
      <c r="G337" s="2" t="n">
        <v>518</v>
      </c>
      <c r="H337" s="3" t="str">
        <f>HYPERLINK("http://funmeta.oebiotech.com/network/518", "http://funmeta.oebiotech.com/network/518")</f>
      </c>
      <c r="I337" s="2" t="s">
        <v>13252</v>
      </c>
      <c r="J337" s="2" t="s">
        <v>13253</v>
      </c>
      <c r="K337" s="2" t="s">
        <v>13254</v>
      </c>
      <c r="L337" s="2"/>
      <c r="M337" s="2" t="s">
        <v>13255</v>
      </c>
      <c r="N337" s="2" t="s">
        <v>13256</v>
      </c>
      <c r="O337" s="2"/>
      <c r="P337" s="2" t="s">
        <v>13257</v>
      </c>
      <c r="Q337" s="2" t="s">
        <v>13258</v>
      </c>
      <c r="R337" s="2" t="s">
        <v>794</v>
      </c>
      <c r="S337" s="2" t="s">
        <v>795</v>
      </c>
      <c r="T337" s="2" t="s">
        <v>796</v>
      </c>
      <c r="U337" s="2" t="s">
        <v>2861</v>
      </c>
      <c r="V337" s="2" t="s">
        <v>683</v>
      </c>
      <c r="W337" s="2" t="s">
        <v>56</v>
      </c>
    </row>
    <row r="338">
      <c r="A338" s="2" t="n">
        <v>243</v>
      </c>
      <c r="B338" s="2" t="s">
        <v>13259</v>
      </c>
      <c r="C338" s="2" t="s">
        <v>2860</v>
      </c>
      <c r="D338" s="2" t="n">
        <v>227.128883128</v>
      </c>
      <c r="E338" s="2" t="n">
        <v>11.0502621975508</v>
      </c>
      <c r="F338" s="2" t="s">
        <v>13260</v>
      </c>
      <c r="G338" s="2" t="n">
        <v>1191</v>
      </c>
      <c r="H338" s="3" t="str">
        <f>HYPERLINK("http://funmeta.oebiotech.com/network/1191", "http://funmeta.oebiotech.com/network/1191")</f>
      </c>
      <c r="I338" s="2" t="s">
        <v>13261</v>
      </c>
      <c r="J338" s="2" t="s">
        <v>13262</v>
      </c>
      <c r="K338" s="2" t="s">
        <v>13263</v>
      </c>
      <c r="L338" s="2"/>
      <c r="M338" s="2" t="s">
        <v>13264</v>
      </c>
      <c r="N338" s="2" t="s">
        <v>13265</v>
      </c>
      <c r="O338" s="2" t="s">
        <v>13266</v>
      </c>
      <c r="P338" s="2" t="s">
        <v>13267</v>
      </c>
      <c r="Q338" s="2" t="s">
        <v>13268</v>
      </c>
      <c r="R338" s="2" t="s">
        <v>794</v>
      </c>
      <c r="S338" s="2" t="s">
        <v>795</v>
      </c>
      <c r="T338" s="2" t="s">
        <v>796</v>
      </c>
      <c r="U338" s="2" t="s">
        <v>2861</v>
      </c>
      <c r="V338" s="2" t="s">
        <v>683</v>
      </c>
      <c r="W338" s="2" t="s">
        <v>56</v>
      </c>
    </row>
    <row r="339">
      <c r="A339" s="2" t="n">
        <v>243</v>
      </c>
      <c r="B339" s="2" t="s">
        <v>13269</v>
      </c>
      <c r="C339" s="2" t="s">
        <v>2860</v>
      </c>
      <c r="D339" s="2" t="n">
        <v>227.128883128</v>
      </c>
      <c r="E339" s="2" t="n">
        <v>11.0502621975508</v>
      </c>
      <c r="F339" s="2" t="s">
        <v>13270</v>
      </c>
      <c r="G339" s="2" t="n">
        <v>1352</v>
      </c>
      <c r="H339" s="3" t="str">
        <f>HYPERLINK("http://funmeta.oebiotech.com/network/1352", "http://funmeta.oebiotech.com/network/1352")</f>
      </c>
      <c r="I339" s="2" t="s">
        <v>13271</v>
      </c>
      <c r="J339" s="2" t="s">
        <v>13272</v>
      </c>
      <c r="K339" s="2" t="s">
        <v>13273</v>
      </c>
      <c r="L339" s="2"/>
      <c r="M339" s="2"/>
      <c r="N339" s="2" t="s">
        <v>13274</v>
      </c>
      <c r="O339" s="2" t="s">
        <v>13275</v>
      </c>
      <c r="P339" s="2" t="s">
        <v>13276</v>
      </c>
      <c r="Q339" s="2" t="s">
        <v>13277</v>
      </c>
      <c r="R339" s="2" t="s">
        <v>794</v>
      </c>
      <c r="S339" s="2" t="s">
        <v>795</v>
      </c>
      <c r="T339" s="2" t="s">
        <v>796</v>
      </c>
      <c r="U339" s="2" t="s">
        <v>2861</v>
      </c>
      <c r="V339" s="2" t="s">
        <v>683</v>
      </c>
      <c r="W339" s="2" t="s">
        <v>56</v>
      </c>
    </row>
    <row r="340">
      <c r="A340" s="2" t="n">
        <v>244</v>
      </c>
      <c r="B340" s="2" t="s">
        <v>13278</v>
      </c>
      <c r="C340" s="2" t="s">
        <v>2872</v>
      </c>
      <c r="D340" s="2" t="n">
        <v>227.164718317</v>
      </c>
      <c r="E340" s="2" t="n">
        <v>4.41227768300846</v>
      </c>
      <c r="F340" s="2" t="s">
        <v>2874</v>
      </c>
      <c r="G340" s="2" t="n">
        <v>93690</v>
      </c>
      <c r="H340" s="3" t="str">
        <f>HYPERLINK("http://funmeta.oebiotech.com/network/93690", "http://funmeta.oebiotech.com/network/93690")</f>
      </c>
      <c r="I340" s="2" t="s">
        <v>2876</v>
      </c>
      <c r="J340" s="2"/>
      <c r="K340" s="2"/>
      <c r="L340" s="2"/>
      <c r="M340" s="2" t="s">
        <v>2877</v>
      </c>
      <c r="N340" s="2" t="s">
        <v>2878</v>
      </c>
      <c r="O340" s="2"/>
      <c r="P340" s="2" t="s">
        <v>2879</v>
      </c>
      <c r="Q340" s="2" t="s">
        <v>2880</v>
      </c>
      <c r="R340" s="2" t="s">
        <v>794</v>
      </c>
      <c r="S340" s="2" t="s">
        <v>2600</v>
      </c>
      <c r="T340" s="2" t="s">
        <v>2601</v>
      </c>
      <c r="U340" s="2" t="s">
        <v>2873</v>
      </c>
      <c r="V340" s="2" t="s">
        <v>161</v>
      </c>
      <c r="W340" s="2" t="s">
        <v>56</v>
      </c>
    </row>
    <row r="341">
      <c r="A341" s="2" t="n">
        <v>245</v>
      </c>
      <c r="B341" s="2" t="s">
        <v>13279</v>
      </c>
      <c r="C341" s="2" t="s">
        <v>2881</v>
      </c>
      <c r="D341" s="2" t="n">
        <v>227.20165414</v>
      </c>
      <c r="E341" s="2" t="n">
        <v>12.5778726404266</v>
      </c>
      <c r="F341" s="2" t="s">
        <v>2883</v>
      </c>
      <c r="G341" s="2" t="n">
        <v>61</v>
      </c>
      <c r="H341" s="3" t="str">
        <f>HYPERLINK("http://funmeta.oebiotech.com/network/61", "http://funmeta.oebiotech.com/network/61")</f>
      </c>
      <c r="I341" s="2" t="s">
        <v>2885</v>
      </c>
      <c r="J341" s="2" t="s">
        <v>2886</v>
      </c>
      <c r="K341" s="2" t="s">
        <v>2887</v>
      </c>
      <c r="L341" s="2" t="s">
        <v>2888</v>
      </c>
      <c r="M341" s="2" t="s">
        <v>2889</v>
      </c>
      <c r="N341" s="2" t="s">
        <v>2890</v>
      </c>
      <c r="O341" s="2" t="s">
        <v>2891</v>
      </c>
      <c r="P341" s="2" t="s">
        <v>2892</v>
      </c>
      <c r="Q341" s="2" t="s">
        <v>2893</v>
      </c>
      <c r="R341" s="2" t="s">
        <v>794</v>
      </c>
      <c r="S341" s="2" t="s">
        <v>795</v>
      </c>
      <c r="T341" s="2" t="s">
        <v>796</v>
      </c>
      <c r="U341" s="2" t="s">
        <v>2882</v>
      </c>
      <c r="V341" s="2" t="s">
        <v>24</v>
      </c>
      <c r="W341" s="2" t="s">
        <v>39</v>
      </c>
    </row>
    <row r="342">
      <c r="A342" s="2" t="n">
        <v>246</v>
      </c>
      <c r="B342" s="2" t="s">
        <v>13280</v>
      </c>
      <c r="C342" s="2" t="s">
        <v>2894</v>
      </c>
      <c r="D342" s="2" t="n">
        <v>227.997217503</v>
      </c>
      <c r="E342" s="2" t="n">
        <v>10.079211268827</v>
      </c>
      <c r="F342" s="2" t="s">
        <v>2896</v>
      </c>
      <c r="G342" s="2" t="n">
        <v>257668</v>
      </c>
      <c r="H342" s="3" t="str">
        <f>HYPERLINK("http://funmeta.oebiotech.com/network/257668", "http://funmeta.oebiotech.com/network/257668")</f>
      </c>
      <c r="I342" s="2" t="s">
        <v>2898</v>
      </c>
      <c r="J342" s="2"/>
      <c r="K342" s="2"/>
      <c r="L342" s="2"/>
      <c r="M342" s="2"/>
      <c r="N342" s="2"/>
      <c r="O342" s="2"/>
      <c r="P342" s="2" t="s">
        <v>2899</v>
      </c>
      <c r="Q342" s="2" t="s">
        <v>2900</v>
      </c>
      <c r="R342" s="2" t="s">
        <v>114</v>
      </c>
      <c r="S342" s="2" t="s">
        <v>994</v>
      </c>
      <c r="T342" s="2" t="s">
        <v>1028</v>
      </c>
      <c r="U342" s="2" t="s">
        <v>2895</v>
      </c>
      <c r="V342" s="2" t="s">
        <v>24</v>
      </c>
      <c r="W342" s="2"/>
    </row>
    <row r="343">
      <c r="A343" s="2" t="n">
        <v>247</v>
      </c>
      <c r="B343" s="2" t="s">
        <v>13281</v>
      </c>
      <c r="C343" s="2" t="s">
        <v>2901</v>
      </c>
      <c r="D343" s="2" t="n">
        <v>228.062044151</v>
      </c>
      <c r="E343" s="2" t="n">
        <v>3.72224733696468</v>
      </c>
      <c r="F343" s="2" t="s">
        <v>13282</v>
      </c>
      <c r="G343" s="2" t="n">
        <v>53766</v>
      </c>
      <c r="H343" s="3" t="str">
        <f>HYPERLINK("http://funmeta.oebiotech.com/network/53766", "http://funmeta.oebiotech.com/network/53766")</f>
      </c>
      <c r="I343" s="2" t="s">
        <v>13283</v>
      </c>
      <c r="J343" s="2" t="s">
        <v>13284</v>
      </c>
      <c r="K343" s="2"/>
      <c r="L343" s="2"/>
      <c r="M343" s="2" t="s">
        <v>13285</v>
      </c>
      <c r="N343" s="2" t="s">
        <v>13286</v>
      </c>
      <c r="O343" s="2" t="s">
        <v>13287</v>
      </c>
      <c r="P343" s="2" t="s">
        <v>13288</v>
      </c>
      <c r="Q343" s="2" t="s">
        <v>13289</v>
      </c>
      <c r="R343" s="2" t="s">
        <v>36</v>
      </c>
      <c r="S343" s="2" t="s">
        <v>37</v>
      </c>
      <c r="T343" s="2" t="s">
        <v>69</v>
      </c>
      <c r="U343" s="2" t="s">
        <v>2902</v>
      </c>
      <c r="V343" s="2" t="s">
        <v>161</v>
      </c>
      <c r="W343" s="2" t="s">
        <v>56</v>
      </c>
    </row>
    <row r="344">
      <c r="A344" s="2" t="n">
        <v>247</v>
      </c>
      <c r="B344" s="2" t="s">
        <v>13290</v>
      </c>
      <c r="C344" s="2" t="s">
        <v>2901</v>
      </c>
      <c r="D344" s="2" t="n">
        <v>228.062044163</v>
      </c>
      <c r="E344" s="2" t="n">
        <v>3.72224733696468</v>
      </c>
      <c r="F344" s="2" t="s">
        <v>13291</v>
      </c>
      <c r="G344" s="2" t="n">
        <v>53787</v>
      </c>
      <c r="H344" s="3" t="str">
        <f>HYPERLINK("http://funmeta.oebiotech.com/network/53787", "http://funmeta.oebiotech.com/network/53787")</f>
      </c>
      <c r="I344" s="2" t="s">
        <v>13292</v>
      </c>
      <c r="J344" s="2" t="s">
        <v>13293</v>
      </c>
      <c r="K344" s="2"/>
      <c r="L344" s="2"/>
      <c r="M344" s="2" t="s">
        <v>13294</v>
      </c>
      <c r="N344" s="2" t="s">
        <v>13295</v>
      </c>
      <c r="O344" s="2"/>
      <c r="P344" s="2" t="s">
        <v>13296</v>
      </c>
      <c r="Q344" s="2" t="s">
        <v>13297</v>
      </c>
      <c r="R344" s="2" t="s">
        <v>36</v>
      </c>
      <c r="S344" s="2" t="s">
        <v>37</v>
      </c>
      <c r="T344" s="2" t="s">
        <v>69</v>
      </c>
      <c r="U344" s="2" t="s">
        <v>2902</v>
      </c>
      <c r="V344" s="2" t="s">
        <v>161</v>
      </c>
      <c r="W344" s="2" t="s">
        <v>56</v>
      </c>
    </row>
    <row r="345">
      <c r="A345" s="2" t="n">
        <v>248</v>
      </c>
      <c r="B345" s="2" t="s">
        <v>13298</v>
      </c>
      <c r="C345" s="2" t="s">
        <v>2912</v>
      </c>
      <c r="D345" s="2" t="n">
        <v>228.907680966</v>
      </c>
      <c r="E345" s="2" t="n">
        <v>3.99768201254851</v>
      </c>
      <c r="F345" s="2" t="s">
        <v>2914</v>
      </c>
      <c r="G345" s="2" t="n">
        <v>82273</v>
      </c>
      <c r="H345" s="3" t="str">
        <f>HYPERLINK("http://funmeta.oebiotech.com/network/82273", "http://funmeta.oebiotech.com/network/82273")</f>
      </c>
      <c r="I345" s="2" t="s">
        <v>2916</v>
      </c>
      <c r="J345" s="2"/>
      <c r="K345" s="2"/>
      <c r="L345" s="2"/>
      <c r="M345" s="2"/>
      <c r="N345" s="2" t="s">
        <v>2917</v>
      </c>
      <c r="O345" s="2"/>
      <c r="P345" s="2" t="s">
        <v>2918</v>
      </c>
      <c r="Q345" s="2" t="s">
        <v>2919</v>
      </c>
      <c r="R345" s="2" t="s">
        <v>114</v>
      </c>
      <c r="S345" s="2" t="s">
        <v>115</v>
      </c>
      <c r="T345" s="2" t="s">
        <v>116</v>
      </c>
      <c r="U345" s="2" t="s">
        <v>2913</v>
      </c>
      <c r="V345" s="2" t="s">
        <v>531</v>
      </c>
      <c r="W345" s="2"/>
    </row>
    <row r="346">
      <c r="A346" s="2" t="n">
        <v>249</v>
      </c>
      <c r="B346" s="2" t="s">
        <v>13299</v>
      </c>
      <c r="C346" s="2" t="s">
        <v>2920</v>
      </c>
      <c r="D346" s="2" t="n">
        <v>228.9657729</v>
      </c>
      <c r="E346" s="2" t="n">
        <v>0.0177549635135838</v>
      </c>
      <c r="F346" s="2" t="s">
        <v>2922</v>
      </c>
      <c r="G346" s="2" t="n">
        <v>201440</v>
      </c>
      <c r="H346" s="3" t="str">
        <f>HYPERLINK("http://funmeta.oebiotech.com/network/201440", "http://funmeta.oebiotech.com/network/201440")</f>
      </c>
      <c r="I346" s="2" t="s">
        <v>2924</v>
      </c>
      <c r="J346" s="2" t="s">
        <v>2925</v>
      </c>
      <c r="K346" s="2"/>
      <c r="L346" s="2"/>
      <c r="M346" s="2"/>
      <c r="N346" s="2" t="s">
        <v>2926</v>
      </c>
      <c r="O346" s="2"/>
      <c r="P346" s="2" t="s">
        <v>2927</v>
      </c>
      <c r="Q346" s="2" t="s">
        <v>2928</v>
      </c>
      <c r="R346" s="2" t="s">
        <v>186</v>
      </c>
      <c r="S346" s="2" t="s">
        <v>187</v>
      </c>
      <c r="T346" s="2" t="s">
        <v>1206</v>
      </c>
      <c r="U346" s="2" t="s">
        <v>2921</v>
      </c>
      <c r="V346" s="2" t="s">
        <v>24</v>
      </c>
      <c r="W346" s="2"/>
    </row>
    <row r="347">
      <c r="A347" s="2" t="n">
        <v>250</v>
      </c>
      <c r="B347" s="2" t="s">
        <v>13300</v>
      </c>
      <c r="C347" s="2" t="s">
        <v>2929</v>
      </c>
      <c r="D347" s="2" t="n">
        <v>229.012747689</v>
      </c>
      <c r="E347" s="2" t="n">
        <v>3.27259211892265</v>
      </c>
      <c r="F347" s="2" t="s">
        <v>2931</v>
      </c>
      <c r="G347" s="2" t="n">
        <v>205669</v>
      </c>
      <c r="H347" s="3" t="str">
        <f>HYPERLINK("http://funmeta.oebiotech.com/network/205669", "http://funmeta.oebiotech.com/network/205669")</f>
      </c>
      <c r="I347" s="2" t="s">
        <v>2933</v>
      </c>
      <c r="J347" s="2" t="s">
        <v>2934</v>
      </c>
      <c r="K347" s="2"/>
      <c r="L347" s="2" t="s">
        <v>2935</v>
      </c>
      <c r="M347" s="2" t="s">
        <v>2936</v>
      </c>
      <c r="N347" s="2" t="s">
        <v>2937</v>
      </c>
      <c r="O347" s="2" t="s">
        <v>2938</v>
      </c>
      <c r="P347" s="2" t="s">
        <v>2939</v>
      </c>
      <c r="Q347" s="2" t="s">
        <v>2940</v>
      </c>
      <c r="R347" s="2" t="s">
        <v>1905</v>
      </c>
      <c r="S347" s="2" t="s">
        <v>1906</v>
      </c>
      <c r="T347" s="2" t="s">
        <v>215</v>
      </c>
      <c r="U347" s="2" t="s">
        <v>2930</v>
      </c>
      <c r="V347" s="2" t="s">
        <v>24</v>
      </c>
      <c r="W347" s="2" t="s">
        <v>101</v>
      </c>
    </row>
    <row r="348">
      <c r="A348" s="2" t="n">
        <v>251</v>
      </c>
      <c r="B348" s="2" t="s">
        <v>13301</v>
      </c>
      <c r="C348" s="2" t="s">
        <v>2941</v>
      </c>
      <c r="D348" s="2" t="n">
        <v>229.101072686</v>
      </c>
      <c r="E348" s="2" t="n">
        <v>4.20858597898751</v>
      </c>
      <c r="F348" s="2" t="s">
        <v>2943</v>
      </c>
      <c r="G348" s="2" t="n">
        <v>54144</v>
      </c>
      <c r="H348" s="3" t="str">
        <f>HYPERLINK("http://funmeta.oebiotech.com/network/54144", "http://funmeta.oebiotech.com/network/54144")</f>
      </c>
      <c r="I348" s="2" t="s">
        <v>2945</v>
      </c>
      <c r="J348" s="2" t="s">
        <v>2946</v>
      </c>
      <c r="K348" s="2"/>
      <c r="L348" s="2"/>
      <c r="M348" s="2" t="s">
        <v>2947</v>
      </c>
      <c r="N348" s="2" t="s">
        <v>2948</v>
      </c>
      <c r="O348" s="2" t="s">
        <v>2949</v>
      </c>
      <c r="P348" s="2" t="s">
        <v>2950</v>
      </c>
      <c r="Q348" s="2" t="s">
        <v>2951</v>
      </c>
      <c r="R348" s="2" t="s">
        <v>36</v>
      </c>
      <c r="S348" s="2" t="s">
        <v>37</v>
      </c>
      <c r="T348" s="2" t="s">
        <v>69</v>
      </c>
      <c r="U348" s="2" t="s">
        <v>2942</v>
      </c>
      <c r="V348" s="2" t="s">
        <v>161</v>
      </c>
      <c r="W348" s="2" t="s">
        <v>39</v>
      </c>
    </row>
    <row r="349">
      <c r="A349" s="2" t="n">
        <v>252</v>
      </c>
      <c r="B349" s="2" t="s">
        <v>13302</v>
      </c>
      <c r="C349" s="2" t="s">
        <v>2952</v>
      </c>
      <c r="D349" s="2" t="n">
        <v>229.155766576</v>
      </c>
      <c r="E349" s="2" t="n">
        <v>9.2827054700326</v>
      </c>
      <c r="F349" s="2" t="s">
        <v>13303</v>
      </c>
      <c r="G349" s="2" t="n">
        <v>54141</v>
      </c>
      <c r="H349" s="3" t="str">
        <f>HYPERLINK("http://funmeta.oebiotech.com/network/54141", "http://funmeta.oebiotech.com/network/54141")</f>
      </c>
      <c r="I349" s="2" t="s">
        <v>13304</v>
      </c>
      <c r="J349" s="2" t="s">
        <v>13305</v>
      </c>
      <c r="K349" s="2"/>
      <c r="L349" s="2"/>
      <c r="M349" s="2" t="s">
        <v>13306</v>
      </c>
      <c r="N349" s="2" t="s">
        <v>13307</v>
      </c>
      <c r="O349" s="2" t="s">
        <v>13308</v>
      </c>
      <c r="P349" s="2" t="s">
        <v>13309</v>
      </c>
      <c r="Q349" s="2" t="s">
        <v>13310</v>
      </c>
      <c r="R349" s="2" t="s">
        <v>36</v>
      </c>
      <c r="S349" s="2" t="s">
        <v>37</v>
      </c>
      <c r="T349" s="2" t="s">
        <v>69</v>
      </c>
      <c r="U349" s="2" t="s">
        <v>2953</v>
      </c>
      <c r="V349" s="2" t="s">
        <v>24</v>
      </c>
      <c r="W349" s="2" t="s">
        <v>39</v>
      </c>
    </row>
    <row r="350">
      <c r="A350" s="2" t="n">
        <v>252</v>
      </c>
      <c r="B350" s="2" t="s">
        <v>13311</v>
      </c>
      <c r="C350" s="2" t="s">
        <v>2952</v>
      </c>
      <c r="D350" s="2" t="n">
        <v>229.155766576</v>
      </c>
      <c r="E350" s="2" t="n">
        <v>9.2827054700326</v>
      </c>
      <c r="F350" s="2" t="s">
        <v>13312</v>
      </c>
      <c r="G350" s="2" t="n">
        <v>54142</v>
      </c>
      <c r="H350" s="3" t="str">
        <f>HYPERLINK("http://funmeta.oebiotech.com/network/54142", "http://funmeta.oebiotech.com/network/54142")</f>
      </c>
      <c r="I350" s="2" t="s">
        <v>13313</v>
      </c>
      <c r="J350" s="2" t="s">
        <v>13314</v>
      </c>
      <c r="K350" s="2"/>
      <c r="L350" s="2"/>
      <c r="M350" s="2" t="s">
        <v>13315</v>
      </c>
      <c r="N350" s="2" t="s">
        <v>13316</v>
      </c>
      <c r="O350" s="2" t="s">
        <v>13317</v>
      </c>
      <c r="P350" s="2" t="s">
        <v>13318</v>
      </c>
      <c r="Q350" s="2" t="s">
        <v>13319</v>
      </c>
      <c r="R350" s="2" t="s">
        <v>36</v>
      </c>
      <c r="S350" s="2" t="s">
        <v>37</v>
      </c>
      <c r="T350" s="2" t="s">
        <v>69</v>
      </c>
      <c r="U350" s="2" t="s">
        <v>2953</v>
      </c>
      <c r="V350" s="2" t="s">
        <v>24</v>
      </c>
      <c r="W350" s="2" t="s">
        <v>39</v>
      </c>
    </row>
    <row r="351">
      <c r="A351" s="2" t="n">
        <v>252</v>
      </c>
      <c r="B351" s="2" t="s">
        <v>13320</v>
      </c>
      <c r="C351" s="2" t="s">
        <v>2952</v>
      </c>
      <c r="D351" s="2" t="n">
        <v>229.15576658</v>
      </c>
      <c r="E351" s="2" t="n">
        <v>9.2827054700326</v>
      </c>
      <c r="F351" s="2" t="s">
        <v>13321</v>
      </c>
      <c r="G351" s="2" t="n">
        <v>53943</v>
      </c>
      <c r="H351" s="3" t="str">
        <f>HYPERLINK("http://funmeta.oebiotech.com/network/53943", "http://funmeta.oebiotech.com/network/53943")</f>
      </c>
      <c r="I351" s="2" t="s">
        <v>13322</v>
      </c>
      <c r="J351" s="2"/>
      <c r="K351" s="2"/>
      <c r="L351" s="2"/>
      <c r="M351" s="2"/>
      <c r="N351" s="2" t="s">
        <v>13323</v>
      </c>
      <c r="O351" s="2"/>
      <c r="P351" s="2" t="s">
        <v>13324</v>
      </c>
      <c r="Q351" s="2" t="s">
        <v>13325</v>
      </c>
      <c r="R351" s="2" t="s">
        <v>36</v>
      </c>
      <c r="S351" s="2" t="s">
        <v>37</v>
      </c>
      <c r="T351" s="2" t="s">
        <v>69</v>
      </c>
      <c r="U351" s="2" t="s">
        <v>2953</v>
      </c>
      <c r="V351" s="2" t="s">
        <v>24</v>
      </c>
      <c r="W351" s="2" t="s">
        <v>39</v>
      </c>
    </row>
    <row r="352">
      <c r="A352" s="2" t="n">
        <v>253</v>
      </c>
      <c r="B352" s="2" t="s">
        <v>13326</v>
      </c>
      <c r="C352" s="2" t="s">
        <v>2963</v>
      </c>
      <c r="D352" s="2" t="n">
        <v>229.196174837</v>
      </c>
      <c r="E352" s="2" t="n">
        <v>9.32321085072861</v>
      </c>
      <c r="F352" s="2" t="s">
        <v>2965</v>
      </c>
      <c r="G352" s="2" t="n">
        <v>200578</v>
      </c>
      <c r="H352" s="3" t="str">
        <f>HYPERLINK("http://funmeta.oebiotech.com/network/200578", "http://funmeta.oebiotech.com/network/200578")</f>
      </c>
      <c r="I352" s="2" t="s">
        <v>2967</v>
      </c>
      <c r="J352" s="2"/>
      <c r="K352" s="2"/>
      <c r="L352" s="2"/>
      <c r="M352" s="2"/>
      <c r="N352" s="2" t="s">
        <v>2968</v>
      </c>
      <c r="O352" s="2"/>
      <c r="P352" s="2" t="s">
        <v>2969</v>
      </c>
      <c r="Q352" s="2" t="s">
        <v>2970</v>
      </c>
      <c r="R352" s="2" t="s">
        <v>794</v>
      </c>
      <c r="S352" s="2" t="s">
        <v>2971</v>
      </c>
      <c r="T352" s="2" t="s">
        <v>215</v>
      </c>
      <c r="U352" s="2" t="s">
        <v>2964</v>
      </c>
      <c r="V352" s="2" t="s">
        <v>24</v>
      </c>
      <c r="W352" s="2"/>
    </row>
    <row r="353">
      <c r="A353" s="2" t="n">
        <v>254</v>
      </c>
      <c r="B353" s="2" t="s">
        <v>13327</v>
      </c>
      <c r="C353" s="2" t="s">
        <v>2972</v>
      </c>
      <c r="D353" s="2" t="n">
        <v>230.067011153</v>
      </c>
      <c r="E353" s="2" t="n">
        <v>7.88753581141991</v>
      </c>
      <c r="F353" s="2" t="s">
        <v>2974</v>
      </c>
      <c r="G353" s="2" t="n">
        <v>47435</v>
      </c>
      <c r="H353" s="3" t="str">
        <f>HYPERLINK("http://funmeta.oebiotech.com/network/47435", "http://funmeta.oebiotech.com/network/47435")</f>
      </c>
      <c r="I353" s="2" t="s">
        <v>2976</v>
      </c>
      <c r="J353" s="2" t="s">
        <v>2977</v>
      </c>
      <c r="K353" s="2"/>
      <c r="L353" s="2" t="s">
        <v>2978</v>
      </c>
      <c r="M353" s="2" t="s">
        <v>2979</v>
      </c>
      <c r="N353" s="2" t="s">
        <v>2980</v>
      </c>
      <c r="O353" s="2"/>
      <c r="P353" s="2" t="s">
        <v>2981</v>
      </c>
      <c r="Q353" s="2" t="s">
        <v>2982</v>
      </c>
      <c r="R353" s="2" t="s">
        <v>36</v>
      </c>
      <c r="S353" s="2" t="s">
        <v>37</v>
      </c>
      <c r="T353" s="2" t="s">
        <v>69</v>
      </c>
      <c r="U353" s="2" t="s">
        <v>2973</v>
      </c>
      <c r="V353" s="2" t="s">
        <v>24</v>
      </c>
      <c r="W353" s="2" t="s">
        <v>56</v>
      </c>
    </row>
    <row r="354">
      <c r="A354" s="2" t="n">
        <v>255</v>
      </c>
      <c r="B354" s="2" t="s">
        <v>13328</v>
      </c>
      <c r="C354" s="2" t="s">
        <v>2983</v>
      </c>
      <c r="D354" s="2" t="n">
        <v>230.155038299</v>
      </c>
      <c r="E354" s="2" t="n">
        <v>6.71442795318447</v>
      </c>
      <c r="F354" s="2" t="s">
        <v>2985</v>
      </c>
      <c r="G354" s="2" t="n">
        <v>59155</v>
      </c>
      <c r="H354" s="3" t="str">
        <f>HYPERLINK("http://funmeta.oebiotech.com/network/59155", "http://funmeta.oebiotech.com/network/59155")</f>
      </c>
      <c r="I354" s="2" t="s">
        <v>2987</v>
      </c>
      <c r="J354" s="2" t="s">
        <v>2988</v>
      </c>
      <c r="K354" s="2"/>
      <c r="L354" s="2"/>
      <c r="M354" s="2"/>
      <c r="N354" s="2" t="s">
        <v>2989</v>
      </c>
      <c r="O354" s="2"/>
      <c r="P354" s="2" t="s">
        <v>2990</v>
      </c>
      <c r="Q354" s="2" t="s">
        <v>2991</v>
      </c>
      <c r="R354" s="2" t="s">
        <v>114</v>
      </c>
      <c r="S354" s="2" t="s">
        <v>936</v>
      </c>
      <c r="T354" s="2" t="s">
        <v>2992</v>
      </c>
      <c r="U354" s="2" t="s">
        <v>2984</v>
      </c>
      <c r="V354" s="2" t="s">
        <v>24</v>
      </c>
      <c r="W354" s="2" t="s">
        <v>56</v>
      </c>
    </row>
    <row r="355">
      <c r="A355" s="2" t="n">
        <v>256</v>
      </c>
      <c r="B355" s="2" t="s">
        <v>13329</v>
      </c>
      <c r="C355" s="2" t="s">
        <v>2993</v>
      </c>
      <c r="D355" s="2" t="n">
        <v>231.056386888</v>
      </c>
      <c r="E355" s="2" t="n">
        <v>2.02519211563114</v>
      </c>
      <c r="F355" s="2" t="s">
        <v>2995</v>
      </c>
      <c r="G355" s="2" t="n">
        <v>58338</v>
      </c>
      <c r="H355" s="3" t="str">
        <f>HYPERLINK("http://funmeta.oebiotech.com/network/58338", "http://funmeta.oebiotech.com/network/58338")</f>
      </c>
      <c r="I355" s="2" t="s">
        <v>2997</v>
      </c>
      <c r="J355" s="2" t="s">
        <v>2998</v>
      </c>
      <c r="K355" s="2"/>
      <c r="L355" s="2"/>
      <c r="M355" s="2"/>
      <c r="N355" s="2" t="s">
        <v>2999</v>
      </c>
      <c r="O355" s="2" t="s">
        <v>3000</v>
      </c>
      <c r="P355" s="2" t="s">
        <v>3001</v>
      </c>
      <c r="Q355" s="2" t="s">
        <v>3002</v>
      </c>
      <c r="R355" s="2" t="s">
        <v>3003</v>
      </c>
      <c r="S355" s="2" t="s">
        <v>3004</v>
      </c>
      <c r="T355" s="2" t="s">
        <v>215</v>
      </c>
      <c r="U355" s="2" t="s">
        <v>2994</v>
      </c>
      <c r="V355" s="2" t="s">
        <v>24</v>
      </c>
      <c r="W355" s="2" t="s">
        <v>56</v>
      </c>
    </row>
    <row r="356">
      <c r="A356" s="2" t="n">
        <v>257</v>
      </c>
      <c r="B356" s="2" t="s">
        <v>13330</v>
      </c>
      <c r="C356" s="2" t="s">
        <v>3005</v>
      </c>
      <c r="D356" s="2" t="n">
        <v>231.098645632</v>
      </c>
      <c r="E356" s="2" t="n">
        <v>2.98339208145287</v>
      </c>
      <c r="F356" s="2" t="s">
        <v>3007</v>
      </c>
      <c r="G356" s="2" t="n">
        <v>53803</v>
      </c>
      <c r="H356" s="3" t="str">
        <f>HYPERLINK("http://funmeta.oebiotech.com/network/53803", "http://funmeta.oebiotech.com/network/53803")</f>
      </c>
      <c r="I356" s="2" t="s">
        <v>3009</v>
      </c>
      <c r="J356" s="2"/>
      <c r="K356" s="2"/>
      <c r="L356" s="2"/>
      <c r="M356" s="2"/>
      <c r="N356" s="2" t="s">
        <v>3010</v>
      </c>
      <c r="O356" s="2"/>
      <c r="P356" s="2" t="s">
        <v>3011</v>
      </c>
      <c r="Q356" s="2" t="s">
        <v>3012</v>
      </c>
      <c r="R356" s="2" t="s">
        <v>36</v>
      </c>
      <c r="S356" s="2" t="s">
        <v>37</v>
      </c>
      <c r="T356" s="2" t="s">
        <v>69</v>
      </c>
      <c r="U356" s="2" t="s">
        <v>3006</v>
      </c>
      <c r="V356" s="2" t="s">
        <v>24</v>
      </c>
      <c r="W356" s="2" t="s">
        <v>39</v>
      </c>
    </row>
    <row r="357">
      <c r="A357" s="2" t="n">
        <v>258</v>
      </c>
      <c r="B357" s="2" t="s">
        <v>13331</v>
      </c>
      <c r="C357" s="2" t="s">
        <v>3013</v>
      </c>
      <c r="D357" s="2" t="n">
        <v>232.904414805</v>
      </c>
      <c r="E357" s="2" t="n">
        <v>2.48720894522433</v>
      </c>
      <c r="F357" s="2" t="s">
        <v>3015</v>
      </c>
      <c r="G357" s="2" t="n">
        <v>63623</v>
      </c>
      <c r="H357" s="3" t="str">
        <f>HYPERLINK("http://funmeta.oebiotech.com/network/63623", "http://funmeta.oebiotech.com/network/63623")</f>
      </c>
      <c r="I357" s="2" t="s">
        <v>3017</v>
      </c>
      <c r="J357" s="2" t="s">
        <v>3018</v>
      </c>
      <c r="K357" s="2"/>
      <c r="L357" s="2"/>
      <c r="M357" s="2"/>
      <c r="N357" s="2" t="s">
        <v>3019</v>
      </c>
      <c r="O357" s="2" t="s">
        <v>3020</v>
      </c>
      <c r="P357" s="2" t="s">
        <v>3021</v>
      </c>
      <c r="Q357" s="2" t="s">
        <v>3022</v>
      </c>
      <c r="R357" s="2" t="s">
        <v>114</v>
      </c>
      <c r="S357" s="2" t="s">
        <v>3023</v>
      </c>
      <c r="T357" s="2" t="s">
        <v>215</v>
      </c>
      <c r="U357" s="2" t="s">
        <v>3014</v>
      </c>
      <c r="V357" s="2" t="s">
        <v>86</v>
      </c>
      <c r="W357" s="2"/>
    </row>
    <row r="358">
      <c r="A358" s="2" t="n">
        <v>259</v>
      </c>
      <c r="B358" s="2" t="s">
        <v>13332</v>
      </c>
      <c r="C358" s="2" t="s">
        <v>3024</v>
      </c>
      <c r="D358" s="2" t="n">
        <v>232.98542464</v>
      </c>
      <c r="E358" s="2" t="n">
        <v>3.06891237641689</v>
      </c>
      <c r="F358" s="2" t="s">
        <v>3026</v>
      </c>
      <c r="G358" s="2" t="n">
        <v>52891</v>
      </c>
      <c r="H358" s="3" t="str">
        <f>HYPERLINK("http://funmeta.oebiotech.com/network/52891", "http://funmeta.oebiotech.com/network/52891")</f>
      </c>
      <c r="I358" s="2" t="s">
        <v>3028</v>
      </c>
      <c r="J358" s="2" t="s">
        <v>3029</v>
      </c>
      <c r="K358" s="2"/>
      <c r="L358" s="2"/>
      <c r="M358" s="2" t="s">
        <v>3030</v>
      </c>
      <c r="N358" s="2" t="s">
        <v>3031</v>
      </c>
      <c r="O358" s="2" t="s">
        <v>3032</v>
      </c>
      <c r="P358" s="2" t="s">
        <v>3033</v>
      </c>
      <c r="Q358" s="2" t="s">
        <v>3034</v>
      </c>
      <c r="R358" s="2" t="s">
        <v>213</v>
      </c>
      <c r="S358" s="2" t="s">
        <v>214</v>
      </c>
      <c r="T358" s="2" t="s">
        <v>215</v>
      </c>
      <c r="U358" s="2" t="s">
        <v>3025</v>
      </c>
      <c r="V358" s="2" t="s">
        <v>205</v>
      </c>
      <c r="W358" s="2"/>
    </row>
    <row r="359">
      <c r="A359" s="2" t="n">
        <v>260</v>
      </c>
      <c r="B359" s="2" t="s">
        <v>13333</v>
      </c>
      <c r="C359" s="2" t="s">
        <v>3035</v>
      </c>
      <c r="D359" s="2" t="n">
        <v>233.118318442</v>
      </c>
      <c r="E359" s="2" t="n">
        <v>5.04772314389477</v>
      </c>
      <c r="F359" s="2" t="s">
        <v>3037</v>
      </c>
      <c r="G359" s="2" t="n">
        <v>55510</v>
      </c>
      <c r="H359" s="3" t="str">
        <f>HYPERLINK("http://funmeta.oebiotech.com/network/55510", "http://funmeta.oebiotech.com/network/55510")</f>
      </c>
      <c r="I359" s="2" t="s">
        <v>3039</v>
      </c>
      <c r="J359" s="2" t="s">
        <v>3040</v>
      </c>
      <c r="K359" s="2"/>
      <c r="L359" s="2"/>
      <c r="M359" s="2" t="s">
        <v>3041</v>
      </c>
      <c r="N359" s="2" t="s">
        <v>3042</v>
      </c>
      <c r="O359" s="2" t="s">
        <v>3043</v>
      </c>
      <c r="P359" s="2" t="s">
        <v>3044</v>
      </c>
      <c r="Q359" s="2" t="s">
        <v>3045</v>
      </c>
      <c r="R359" s="2" t="s">
        <v>186</v>
      </c>
      <c r="S359" s="2" t="s">
        <v>3046</v>
      </c>
      <c r="T359" s="2" t="s">
        <v>3047</v>
      </c>
      <c r="U359" s="2" t="s">
        <v>3036</v>
      </c>
      <c r="V359" s="2" t="s">
        <v>24</v>
      </c>
      <c r="W359" s="2" t="s">
        <v>56</v>
      </c>
    </row>
    <row r="360">
      <c r="A360" s="2" t="n">
        <v>261</v>
      </c>
      <c r="B360" s="2" t="s">
        <v>13334</v>
      </c>
      <c r="C360" s="2" t="s">
        <v>3048</v>
      </c>
      <c r="D360" s="2" t="n">
        <v>233.154703948</v>
      </c>
      <c r="E360" s="2" t="n">
        <v>14.8375106811056</v>
      </c>
      <c r="F360" s="2" t="s">
        <v>13335</v>
      </c>
      <c r="G360" s="2" t="n">
        <v>59283</v>
      </c>
      <c r="H360" s="3" t="str">
        <f>HYPERLINK("http://funmeta.oebiotech.com/network/59283", "http://funmeta.oebiotech.com/network/59283")</f>
      </c>
      <c r="I360" s="2" t="s">
        <v>13336</v>
      </c>
      <c r="J360" s="2"/>
      <c r="K360" s="2"/>
      <c r="L360" s="2" t="s">
        <v>13337</v>
      </c>
      <c r="M360" s="2"/>
      <c r="N360" s="2" t="s">
        <v>13338</v>
      </c>
      <c r="O360" s="2" t="s">
        <v>13339</v>
      </c>
      <c r="P360" s="2" t="s">
        <v>13340</v>
      </c>
      <c r="Q360" s="2" t="s">
        <v>13341</v>
      </c>
      <c r="R360" s="2" t="s">
        <v>794</v>
      </c>
      <c r="S360" s="2" t="s">
        <v>1098</v>
      </c>
      <c r="T360" s="2" t="s">
        <v>3079</v>
      </c>
      <c r="U360" s="2" t="s">
        <v>3049</v>
      </c>
      <c r="V360" s="2" t="s">
        <v>24</v>
      </c>
      <c r="W360" s="2" t="s">
        <v>56</v>
      </c>
    </row>
    <row r="361">
      <c r="A361" s="2" t="n">
        <v>261</v>
      </c>
      <c r="B361" s="2" t="s">
        <v>13342</v>
      </c>
      <c r="C361" s="2" t="s">
        <v>3048</v>
      </c>
      <c r="D361" s="2" t="n">
        <v>233.154703948</v>
      </c>
      <c r="E361" s="2" t="n">
        <v>14.8375106811056</v>
      </c>
      <c r="F361" s="2" t="s">
        <v>13343</v>
      </c>
      <c r="G361" s="2" t="n">
        <v>54874</v>
      </c>
      <c r="H361" s="3" t="str">
        <f>HYPERLINK("http://funmeta.oebiotech.com/network/54874", "http://funmeta.oebiotech.com/network/54874")</f>
      </c>
      <c r="I361" s="2" t="s">
        <v>13344</v>
      </c>
      <c r="J361" s="2"/>
      <c r="K361" s="2"/>
      <c r="L361" s="2" t="s">
        <v>13345</v>
      </c>
      <c r="M361" s="2"/>
      <c r="N361" s="2" t="s">
        <v>13346</v>
      </c>
      <c r="O361" s="2" t="s">
        <v>13347</v>
      </c>
      <c r="P361" s="2" t="s">
        <v>13348</v>
      </c>
      <c r="Q361" s="2" t="s">
        <v>13349</v>
      </c>
      <c r="R361" s="2" t="s">
        <v>794</v>
      </c>
      <c r="S361" s="2" t="s">
        <v>1098</v>
      </c>
      <c r="T361" s="2" t="s">
        <v>3079</v>
      </c>
      <c r="U361" s="2" t="s">
        <v>3049</v>
      </c>
      <c r="V361" s="2" t="s">
        <v>24</v>
      </c>
      <c r="W361" s="2" t="s">
        <v>56</v>
      </c>
    </row>
    <row r="362">
      <c r="A362" s="2" t="n">
        <v>261</v>
      </c>
      <c r="B362" s="2" t="s">
        <v>13350</v>
      </c>
      <c r="C362" s="2" t="s">
        <v>3048</v>
      </c>
      <c r="D362" s="2" t="n">
        <v>233.154703948</v>
      </c>
      <c r="E362" s="2" t="n">
        <v>14.8375106811056</v>
      </c>
      <c r="F362" s="2" t="s">
        <v>13351</v>
      </c>
      <c r="G362" s="2" t="n">
        <v>58106</v>
      </c>
      <c r="H362" s="3" t="str">
        <f>HYPERLINK("http://funmeta.oebiotech.com/network/58106", "http://funmeta.oebiotech.com/network/58106")</f>
      </c>
      <c r="I362" s="2" t="s">
        <v>13352</v>
      </c>
      <c r="J362" s="2"/>
      <c r="K362" s="2"/>
      <c r="L362" s="2" t="s">
        <v>13353</v>
      </c>
      <c r="M362" s="2" t="s">
        <v>13354</v>
      </c>
      <c r="N362" s="2" t="s">
        <v>13355</v>
      </c>
      <c r="O362" s="2" t="s">
        <v>13356</v>
      </c>
      <c r="P362" s="2" t="s">
        <v>13357</v>
      </c>
      <c r="Q362" s="2" t="s">
        <v>13358</v>
      </c>
      <c r="R362" s="2" t="s">
        <v>794</v>
      </c>
      <c r="S362" s="2" t="s">
        <v>1098</v>
      </c>
      <c r="T362" s="2" t="s">
        <v>3079</v>
      </c>
      <c r="U362" s="2" t="s">
        <v>3049</v>
      </c>
      <c r="V362" s="2" t="s">
        <v>24</v>
      </c>
      <c r="W362" s="2" t="s">
        <v>56</v>
      </c>
    </row>
    <row r="363">
      <c r="A363" s="2" t="n">
        <v>262</v>
      </c>
      <c r="B363" s="2" t="s">
        <v>13359</v>
      </c>
      <c r="C363" s="2" t="s">
        <v>3059</v>
      </c>
      <c r="D363" s="2" t="n">
        <v>234.067285922</v>
      </c>
      <c r="E363" s="2" t="n">
        <v>2.79133114784735</v>
      </c>
      <c r="F363" s="2" t="s">
        <v>3061</v>
      </c>
      <c r="G363" s="2" t="n">
        <v>210729</v>
      </c>
      <c r="H363" s="3" t="str">
        <f>HYPERLINK("http://funmeta.oebiotech.com/network/210729", "http://funmeta.oebiotech.com/network/210729")</f>
      </c>
      <c r="I363" s="2" t="s">
        <v>3063</v>
      </c>
      <c r="J363" s="2"/>
      <c r="K363" s="2"/>
      <c r="L363" s="2"/>
      <c r="M363" s="2"/>
      <c r="N363" s="2" t="s">
        <v>3064</v>
      </c>
      <c r="O363" s="2"/>
      <c r="P363" s="2" t="s">
        <v>3065</v>
      </c>
      <c r="Q363" s="2" t="s">
        <v>3066</v>
      </c>
      <c r="R363" s="2" t="s">
        <v>114</v>
      </c>
      <c r="S363" s="2" t="s">
        <v>2057</v>
      </c>
      <c r="T363" s="2" t="s">
        <v>3067</v>
      </c>
      <c r="U363" s="2" t="s">
        <v>3060</v>
      </c>
      <c r="V363" s="2" t="s">
        <v>24</v>
      </c>
      <c r="W363" s="2"/>
    </row>
    <row r="364">
      <c r="A364" s="2" t="n">
        <v>263</v>
      </c>
      <c r="B364" s="2" t="s">
        <v>13360</v>
      </c>
      <c r="C364" s="2" t="s">
        <v>3068</v>
      </c>
      <c r="D364" s="2" t="n">
        <v>235.133968506</v>
      </c>
      <c r="E364" s="2" t="n">
        <v>13.6942730156746</v>
      </c>
      <c r="F364" s="2" t="s">
        <v>3070</v>
      </c>
      <c r="G364" s="2" t="n">
        <v>63910</v>
      </c>
      <c r="H364" s="3" t="str">
        <f>HYPERLINK("http://funmeta.oebiotech.com/network/63910", "http://funmeta.oebiotech.com/network/63910")</f>
      </c>
      <c r="I364" s="2" t="s">
        <v>3072</v>
      </c>
      <c r="J364" s="2" t="s">
        <v>3073</v>
      </c>
      <c r="K364" s="2"/>
      <c r="L364" s="2"/>
      <c r="M364" s="2" t="s">
        <v>3074</v>
      </c>
      <c r="N364" s="2" t="s">
        <v>3075</v>
      </c>
      <c r="O364" s="2" t="s">
        <v>3076</v>
      </c>
      <c r="P364" s="2" t="s">
        <v>3077</v>
      </c>
      <c r="Q364" s="2" t="s">
        <v>3078</v>
      </c>
      <c r="R364" s="2" t="s">
        <v>794</v>
      </c>
      <c r="S364" s="2" t="s">
        <v>1098</v>
      </c>
      <c r="T364" s="2" t="s">
        <v>3079</v>
      </c>
      <c r="U364" s="2" t="s">
        <v>3069</v>
      </c>
      <c r="V364" s="2" t="s">
        <v>24</v>
      </c>
      <c r="W364" s="2" t="s">
        <v>56</v>
      </c>
    </row>
    <row r="365">
      <c r="A365" s="2" t="n">
        <v>264</v>
      </c>
      <c r="B365" s="2" t="s">
        <v>13361</v>
      </c>
      <c r="C365" s="2" t="s">
        <v>3080</v>
      </c>
      <c r="D365" s="2" t="n">
        <v>235.170354012</v>
      </c>
      <c r="E365" s="2" t="n">
        <v>7.67364892725715</v>
      </c>
      <c r="F365" s="2" t="s">
        <v>3082</v>
      </c>
      <c r="G365" s="2" t="n">
        <v>55635</v>
      </c>
      <c r="H365" s="3" t="str">
        <f>HYPERLINK("http://funmeta.oebiotech.com/network/55635", "http://funmeta.oebiotech.com/network/55635")</f>
      </c>
      <c r="I365" s="2" t="s">
        <v>3084</v>
      </c>
      <c r="J365" s="2"/>
      <c r="K365" s="2"/>
      <c r="L365" s="2"/>
      <c r="M365" s="2" t="s">
        <v>3085</v>
      </c>
      <c r="N365" s="2" t="s">
        <v>3086</v>
      </c>
      <c r="O365" s="2" t="s">
        <v>3087</v>
      </c>
      <c r="P365" s="2" t="s">
        <v>3088</v>
      </c>
      <c r="Q365" s="2" t="s">
        <v>3089</v>
      </c>
      <c r="R365" s="2" t="s">
        <v>129</v>
      </c>
      <c r="S365" s="2" t="s">
        <v>130</v>
      </c>
      <c r="T365" s="2" t="s">
        <v>131</v>
      </c>
      <c r="U365" s="2" t="s">
        <v>3081</v>
      </c>
      <c r="V365" s="2" t="s">
        <v>24</v>
      </c>
      <c r="W365" s="2" t="s">
        <v>39</v>
      </c>
    </row>
    <row r="366">
      <c r="A366" s="2" t="n">
        <v>265</v>
      </c>
      <c r="B366" s="2" t="s">
        <v>13362</v>
      </c>
      <c r="C366" s="2" t="s">
        <v>3090</v>
      </c>
      <c r="D366" s="2" t="n">
        <v>236.023431779</v>
      </c>
      <c r="E366" s="2" t="n">
        <v>14.9203101756269</v>
      </c>
      <c r="F366" s="2" t="s">
        <v>3092</v>
      </c>
      <c r="G366" s="2" t="n">
        <v>54376</v>
      </c>
      <c r="H366" s="3" t="str">
        <f>HYPERLINK("http://funmeta.oebiotech.com/network/54376", "http://funmeta.oebiotech.com/network/54376")</f>
      </c>
      <c r="I366" s="2" t="s">
        <v>3094</v>
      </c>
      <c r="J366" s="2" t="s">
        <v>3095</v>
      </c>
      <c r="K366" s="2"/>
      <c r="L366" s="2"/>
      <c r="M366" s="2" t="s">
        <v>3096</v>
      </c>
      <c r="N366" s="2" t="s">
        <v>3097</v>
      </c>
      <c r="O366" s="2" t="s">
        <v>3098</v>
      </c>
      <c r="P366" s="2" t="s">
        <v>3099</v>
      </c>
      <c r="Q366" s="2" t="s">
        <v>3100</v>
      </c>
      <c r="R366" s="2" t="s">
        <v>36</v>
      </c>
      <c r="S366" s="2" t="s">
        <v>37</v>
      </c>
      <c r="T366" s="2" t="s">
        <v>69</v>
      </c>
      <c r="U366" s="2" t="s">
        <v>3091</v>
      </c>
      <c r="V366" s="2" t="s">
        <v>24</v>
      </c>
      <c r="W366" s="2" t="s">
        <v>39</v>
      </c>
    </row>
    <row r="367">
      <c r="A367" s="2" t="n">
        <v>266</v>
      </c>
      <c r="B367" s="2" t="s">
        <v>13363</v>
      </c>
      <c r="C367" s="2" t="s">
        <v>3101</v>
      </c>
      <c r="D367" s="2" t="n">
        <v>236.080529051</v>
      </c>
      <c r="E367" s="2" t="n">
        <v>1.69408753501655</v>
      </c>
      <c r="F367" s="2" t="s">
        <v>3103</v>
      </c>
      <c r="G367" s="2" t="n">
        <v>205273</v>
      </c>
      <c r="H367" s="3" t="str">
        <f>HYPERLINK("http://funmeta.oebiotech.com/network/205273", "http://funmeta.oebiotech.com/network/205273")</f>
      </c>
      <c r="I367" s="2" t="s">
        <v>3105</v>
      </c>
      <c r="J367" s="2" t="s">
        <v>3106</v>
      </c>
      <c r="K367" s="2"/>
      <c r="L367" s="2"/>
      <c r="M367" s="2"/>
      <c r="N367" s="2" t="s">
        <v>3107</v>
      </c>
      <c r="O367" s="2"/>
      <c r="P367" s="2" t="s">
        <v>3108</v>
      </c>
      <c r="Q367" s="2" t="s">
        <v>3109</v>
      </c>
      <c r="R367" s="2" t="s">
        <v>114</v>
      </c>
      <c r="S367" s="2" t="s">
        <v>3110</v>
      </c>
      <c r="T367" s="2" t="s">
        <v>215</v>
      </c>
      <c r="U367" s="2" t="s">
        <v>3102</v>
      </c>
      <c r="V367" s="2" t="s">
        <v>531</v>
      </c>
      <c r="W367" s="2"/>
    </row>
    <row r="368">
      <c r="A368" s="2" t="n">
        <v>267</v>
      </c>
      <c r="B368" s="2" t="s">
        <v>13364</v>
      </c>
      <c r="C368" s="2" t="s">
        <v>3111</v>
      </c>
      <c r="D368" s="2" t="n">
        <v>236.104065355</v>
      </c>
      <c r="E368" s="2" t="n">
        <v>2.0122541630238</v>
      </c>
      <c r="F368" s="2" t="s">
        <v>3113</v>
      </c>
      <c r="G368" s="2" t="n">
        <v>209186</v>
      </c>
      <c r="H368" s="3" t="str">
        <f>HYPERLINK("http://funmeta.oebiotech.com/network/209186", "http://funmeta.oebiotech.com/network/209186")</f>
      </c>
      <c r="I368" s="2" t="s">
        <v>3115</v>
      </c>
      <c r="J368" s="2"/>
      <c r="K368" s="2"/>
      <c r="L368" s="2"/>
      <c r="M368" s="2"/>
      <c r="N368" s="2" t="s">
        <v>3116</v>
      </c>
      <c r="O368" s="2"/>
      <c r="P368" s="2" t="s">
        <v>3117</v>
      </c>
      <c r="Q368" s="2" t="s">
        <v>3118</v>
      </c>
      <c r="R368" s="2" t="s">
        <v>36</v>
      </c>
      <c r="S368" s="2" t="s">
        <v>37</v>
      </c>
      <c r="T368" s="2" t="s">
        <v>69</v>
      </c>
      <c r="U368" s="2" t="s">
        <v>3112</v>
      </c>
      <c r="V368" s="2" t="s">
        <v>24</v>
      </c>
      <c r="W368" s="2"/>
    </row>
    <row r="369">
      <c r="A369" s="2" t="n">
        <v>268</v>
      </c>
      <c r="B369" s="2" t="s">
        <v>13365</v>
      </c>
      <c r="C369" s="2" t="s">
        <v>3119</v>
      </c>
      <c r="D369" s="2" t="n">
        <v>236.876705642</v>
      </c>
      <c r="E369" s="2" t="n">
        <v>2.01911096705402</v>
      </c>
      <c r="F369" s="2" t="s">
        <v>3121</v>
      </c>
      <c r="G369" s="2" t="n">
        <v>62708</v>
      </c>
      <c r="H369" s="3" t="str">
        <f>HYPERLINK("http://funmeta.oebiotech.com/network/62708", "http://funmeta.oebiotech.com/network/62708")</f>
      </c>
      <c r="I369" s="2" t="s">
        <v>3123</v>
      </c>
      <c r="J369" s="2" t="s">
        <v>3124</v>
      </c>
      <c r="K369" s="2"/>
      <c r="L369" s="2"/>
      <c r="M369" s="2"/>
      <c r="N369" s="2" t="s">
        <v>3125</v>
      </c>
      <c r="O369" s="2" t="s">
        <v>3126</v>
      </c>
      <c r="P369" s="2" t="s">
        <v>3127</v>
      </c>
      <c r="Q369" s="2" t="s">
        <v>3128</v>
      </c>
      <c r="R369" s="2" t="s">
        <v>644</v>
      </c>
      <c r="S369" s="2" t="s">
        <v>3129</v>
      </c>
      <c r="T369" s="2" t="s">
        <v>215</v>
      </c>
      <c r="U369" s="2" t="s">
        <v>3120</v>
      </c>
      <c r="V369" s="2" t="s">
        <v>86</v>
      </c>
      <c r="W369" s="2"/>
    </row>
    <row r="370">
      <c r="A370" s="2" t="n">
        <v>269</v>
      </c>
      <c r="B370" s="2" t="s">
        <v>13366</v>
      </c>
      <c r="C370" s="2" t="s">
        <v>3130</v>
      </c>
      <c r="D370" s="2" t="n">
        <v>237.113233064</v>
      </c>
      <c r="E370" s="2" t="n">
        <v>0.914876330670567</v>
      </c>
      <c r="F370" s="2" t="s">
        <v>3132</v>
      </c>
      <c r="G370" s="2" t="n">
        <v>57444</v>
      </c>
      <c r="H370" s="3" t="str">
        <f>HYPERLINK("http://funmeta.oebiotech.com/network/57444", "http://funmeta.oebiotech.com/network/57444")</f>
      </c>
      <c r="I370" s="2" t="s">
        <v>3134</v>
      </c>
      <c r="J370" s="2" t="s">
        <v>3135</v>
      </c>
      <c r="K370" s="2"/>
      <c r="L370" s="2"/>
      <c r="M370" s="2" t="s">
        <v>3136</v>
      </c>
      <c r="N370" s="2" t="s">
        <v>3137</v>
      </c>
      <c r="O370" s="2"/>
      <c r="P370" s="2" t="s">
        <v>3138</v>
      </c>
      <c r="Q370" s="2" t="s">
        <v>3139</v>
      </c>
      <c r="R370" s="2" t="s">
        <v>794</v>
      </c>
      <c r="S370" s="2" t="s">
        <v>1098</v>
      </c>
      <c r="T370" s="2" t="s">
        <v>1099</v>
      </c>
      <c r="U370" s="2" t="s">
        <v>3131</v>
      </c>
      <c r="V370" s="2" t="s">
        <v>24</v>
      </c>
      <c r="W370" s="2" t="s">
        <v>56</v>
      </c>
    </row>
    <row r="371">
      <c r="A371" s="2" t="n">
        <v>270</v>
      </c>
      <c r="B371" s="2" t="s">
        <v>13367</v>
      </c>
      <c r="C371" s="2" t="s">
        <v>3140</v>
      </c>
      <c r="D371" s="2" t="n">
        <v>237.149618568</v>
      </c>
      <c r="E371" s="2" t="n">
        <v>13.2868846051489</v>
      </c>
      <c r="F371" s="2" t="s">
        <v>13368</v>
      </c>
      <c r="G371" s="2" t="n">
        <v>2636</v>
      </c>
      <c r="H371" s="3" t="str">
        <f>HYPERLINK("http://funmeta.oebiotech.com/network/2636", "http://funmeta.oebiotech.com/network/2636")</f>
      </c>
      <c r="I371" s="2" t="s">
        <v>13369</v>
      </c>
      <c r="J371" s="2"/>
      <c r="K371" s="2" t="s">
        <v>13370</v>
      </c>
      <c r="L371" s="2"/>
      <c r="M371" s="2"/>
      <c r="N371" s="2" t="s">
        <v>13371</v>
      </c>
      <c r="O371" s="2" t="s">
        <v>13372</v>
      </c>
      <c r="P371" s="2" t="s">
        <v>13373</v>
      </c>
      <c r="Q371" s="2" t="s">
        <v>13374</v>
      </c>
      <c r="R371" s="2" t="s">
        <v>794</v>
      </c>
      <c r="S371" s="2" t="s">
        <v>795</v>
      </c>
      <c r="T371" s="2" t="s">
        <v>796</v>
      </c>
      <c r="U371" s="2" t="s">
        <v>3141</v>
      </c>
      <c r="V371" s="2" t="s">
        <v>24</v>
      </c>
      <c r="W371" s="2" t="s">
        <v>56</v>
      </c>
    </row>
    <row r="372">
      <c r="A372" s="2" t="n">
        <v>270</v>
      </c>
      <c r="B372" s="2" t="s">
        <v>13375</v>
      </c>
      <c r="C372" s="2" t="s">
        <v>3140</v>
      </c>
      <c r="D372" s="2" t="n">
        <v>237.14961857</v>
      </c>
      <c r="E372" s="2" t="n">
        <v>13.2868846051489</v>
      </c>
      <c r="F372" s="2" t="s">
        <v>13376</v>
      </c>
      <c r="G372" s="2" t="n">
        <v>7559</v>
      </c>
      <c r="H372" s="3" t="str">
        <f>HYPERLINK("http://funmeta.oebiotech.com/network/7559", "http://funmeta.oebiotech.com/network/7559")</f>
      </c>
      <c r="I372" s="2" t="s">
        <v>13377</v>
      </c>
      <c r="J372" s="2" t="s">
        <v>13378</v>
      </c>
      <c r="K372" s="2" t="s">
        <v>13379</v>
      </c>
      <c r="L372" s="2"/>
      <c r="M372" s="2"/>
      <c r="N372" s="2" t="s">
        <v>13380</v>
      </c>
      <c r="O372" s="2" t="s">
        <v>13381</v>
      </c>
      <c r="P372" s="2" t="s">
        <v>13382</v>
      </c>
      <c r="Q372" s="2" t="s">
        <v>13383</v>
      </c>
      <c r="R372" s="2" t="s">
        <v>794</v>
      </c>
      <c r="S372" s="2" t="s">
        <v>795</v>
      </c>
      <c r="T372" s="2" t="s">
        <v>1370</v>
      </c>
      <c r="U372" s="2" t="s">
        <v>3141</v>
      </c>
      <c r="V372" s="2" t="s">
        <v>24</v>
      </c>
      <c r="W372" s="2" t="s">
        <v>56</v>
      </c>
    </row>
    <row r="373">
      <c r="A373" s="2" t="n">
        <v>271</v>
      </c>
      <c r="B373" s="2" t="s">
        <v>13384</v>
      </c>
      <c r="C373" s="2" t="s">
        <v>3152</v>
      </c>
      <c r="D373" s="2" t="n">
        <v>238.996404598</v>
      </c>
      <c r="E373" s="2" t="n">
        <v>0.73773825261594</v>
      </c>
      <c r="F373" s="2" t="s">
        <v>13385</v>
      </c>
      <c r="G373" s="2" t="n">
        <v>211624</v>
      </c>
      <c r="H373" s="3" t="str">
        <f>HYPERLINK("http://funmeta.oebiotech.com/network/211624", "http://funmeta.oebiotech.com/network/211624")</f>
      </c>
      <c r="I373" s="2" t="s">
        <v>13386</v>
      </c>
      <c r="J373" s="2"/>
      <c r="K373" s="2"/>
      <c r="L373" s="2"/>
      <c r="M373" s="2"/>
      <c r="N373" s="2" t="s">
        <v>13387</v>
      </c>
      <c r="O373" s="2"/>
      <c r="P373" s="2" t="s">
        <v>13388</v>
      </c>
      <c r="Q373" s="2" t="s">
        <v>13389</v>
      </c>
      <c r="R373" s="2" t="s">
        <v>36</v>
      </c>
      <c r="S373" s="2" t="s">
        <v>37</v>
      </c>
      <c r="T373" s="2" t="s">
        <v>2336</v>
      </c>
      <c r="U373" s="2" t="s">
        <v>3153</v>
      </c>
      <c r="V373" s="2" t="s">
        <v>86</v>
      </c>
      <c r="W373" s="2"/>
    </row>
    <row r="374">
      <c r="A374" s="2" t="n">
        <v>271</v>
      </c>
      <c r="B374" s="2" t="s">
        <v>13390</v>
      </c>
      <c r="C374" s="2" t="s">
        <v>3152</v>
      </c>
      <c r="D374" s="2" t="n">
        <v>238.99640461</v>
      </c>
      <c r="E374" s="2" t="n">
        <v>0.73773825261594</v>
      </c>
      <c r="F374" s="2" t="s">
        <v>13391</v>
      </c>
      <c r="G374" s="2" t="n">
        <v>56152</v>
      </c>
      <c r="H374" s="3" t="str">
        <f>HYPERLINK("http://funmeta.oebiotech.com/network/56152", "http://funmeta.oebiotech.com/network/56152")</f>
      </c>
      <c r="I374" s="2" t="s">
        <v>13392</v>
      </c>
      <c r="J374" s="2" t="s">
        <v>13393</v>
      </c>
      <c r="K374" s="2"/>
      <c r="L374" s="2"/>
      <c r="M374" s="2" t="s">
        <v>13394</v>
      </c>
      <c r="N374" s="2" t="s">
        <v>13395</v>
      </c>
      <c r="O374" s="2" t="s">
        <v>13396</v>
      </c>
      <c r="P374" s="2" t="s">
        <v>13397</v>
      </c>
      <c r="Q374" s="2" t="s">
        <v>13398</v>
      </c>
      <c r="R374" s="2" t="s">
        <v>36</v>
      </c>
      <c r="S374" s="2" t="s">
        <v>82</v>
      </c>
      <c r="T374" s="2" t="s">
        <v>11904</v>
      </c>
      <c r="U374" s="2" t="s">
        <v>3153</v>
      </c>
      <c r="V374" s="2" t="s">
        <v>86</v>
      </c>
      <c r="W374" s="2"/>
    </row>
    <row r="375">
      <c r="A375" s="2" t="n">
        <v>272</v>
      </c>
      <c r="B375" s="2" t="s">
        <v>13399</v>
      </c>
      <c r="C375" s="2" t="s">
        <v>3165</v>
      </c>
      <c r="D375" s="2" t="n">
        <v>239.165268634</v>
      </c>
      <c r="E375" s="2" t="n">
        <v>9.4802922244685</v>
      </c>
      <c r="F375" s="2" t="s">
        <v>3167</v>
      </c>
      <c r="G375" s="2" t="n">
        <v>56723</v>
      </c>
      <c r="H375" s="3" t="str">
        <f>HYPERLINK("http://funmeta.oebiotech.com/network/56723", "http://funmeta.oebiotech.com/network/56723")</f>
      </c>
      <c r="I375" s="2" t="s">
        <v>3169</v>
      </c>
      <c r="J375" s="2" t="s">
        <v>3170</v>
      </c>
      <c r="K375" s="2"/>
      <c r="L375" s="2"/>
      <c r="M375" s="2" t="s">
        <v>3171</v>
      </c>
      <c r="N375" s="2" t="s">
        <v>3172</v>
      </c>
      <c r="O375" s="2" t="s">
        <v>3173</v>
      </c>
      <c r="P375" s="2" t="s">
        <v>3174</v>
      </c>
      <c r="Q375" s="2" t="s">
        <v>3175</v>
      </c>
      <c r="R375" s="2" t="s">
        <v>794</v>
      </c>
      <c r="S375" s="2" t="s">
        <v>1098</v>
      </c>
      <c r="T375" s="2" t="s">
        <v>1099</v>
      </c>
      <c r="U375" s="2" t="s">
        <v>3166</v>
      </c>
      <c r="V375" s="2" t="s">
        <v>24</v>
      </c>
      <c r="W375" s="2" t="s">
        <v>56</v>
      </c>
    </row>
    <row r="376">
      <c r="A376" s="2" t="n">
        <v>273</v>
      </c>
      <c r="B376" s="2" t="s">
        <v>13400</v>
      </c>
      <c r="C376" s="2" t="s">
        <v>3176</v>
      </c>
      <c r="D376" s="2" t="n">
        <v>240.062044163</v>
      </c>
      <c r="E376" s="2" t="n">
        <v>2.45506666794571</v>
      </c>
      <c r="F376" s="2" t="s">
        <v>3178</v>
      </c>
      <c r="G376" s="2" t="n">
        <v>64944</v>
      </c>
      <c r="H376" s="3" t="str">
        <f>HYPERLINK("http://funmeta.oebiotech.com/network/64944", "http://funmeta.oebiotech.com/network/64944")</f>
      </c>
      <c r="I376" s="2" t="s">
        <v>3180</v>
      </c>
      <c r="J376" s="2" t="s">
        <v>3181</v>
      </c>
      <c r="K376" s="2"/>
      <c r="L376" s="2"/>
      <c r="M376" s="2"/>
      <c r="N376" s="2" t="s">
        <v>3182</v>
      </c>
      <c r="O376" s="2" t="s">
        <v>3183</v>
      </c>
      <c r="P376" s="2" t="s">
        <v>3184</v>
      </c>
      <c r="Q376" s="2" t="s">
        <v>3185</v>
      </c>
      <c r="R376" s="2" t="s">
        <v>2416</v>
      </c>
      <c r="S376" s="2" t="s">
        <v>3186</v>
      </c>
      <c r="T376" s="2" t="s">
        <v>3187</v>
      </c>
      <c r="U376" s="2" t="s">
        <v>3177</v>
      </c>
      <c r="V376" s="2" t="s">
        <v>161</v>
      </c>
      <c r="W376" s="2" t="s">
        <v>56</v>
      </c>
    </row>
    <row r="377">
      <c r="A377" s="2" t="n">
        <v>274</v>
      </c>
      <c r="B377" s="2" t="s">
        <v>13401</v>
      </c>
      <c r="C377" s="2" t="s">
        <v>3188</v>
      </c>
      <c r="D377" s="2" t="n">
        <v>241.109485087</v>
      </c>
      <c r="E377" s="2" t="n">
        <v>2.18401337618659</v>
      </c>
      <c r="F377" s="2" t="s">
        <v>3190</v>
      </c>
      <c r="G377" s="2" t="n">
        <v>199755</v>
      </c>
      <c r="H377" s="3" t="str">
        <f>HYPERLINK("http://funmeta.oebiotech.com/network/199755", "http://funmeta.oebiotech.com/network/199755")</f>
      </c>
      <c r="I377" s="2" t="s">
        <v>3192</v>
      </c>
      <c r="J377" s="2" t="s">
        <v>3193</v>
      </c>
      <c r="K377" s="2"/>
      <c r="L377" s="2" t="s">
        <v>3194</v>
      </c>
      <c r="M377" s="2"/>
      <c r="N377" s="2" t="s">
        <v>3195</v>
      </c>
      <c r="O377" s="2" t="s">
        <v>3196</v>
      </c>
      <c r="P377" s="2" t="s">
        <v>3197</v>
      </c>
      <c r="Q377" s="2" t="s">
        <v>3198</v>
      </c>
      <c r="R377" s="2" t="s">
        <v>186</v>
      </c>
      <c r="S377" s="2" t="s">
        <v>187</v>
      </c>
      <c r="T377" s="2" t="s">
        <v>3199</v>
      </c>
      <c r="U377" s="2" t="s">
        <v>3189</v>
      </c>
      <c r="V377" s="2" t="s">
        <v>24</v>
      </c>
      <c r="W377" s="2" t="s">
        <v>101</v>
      </c>
    </row>
    <row r="378">
      <c r="A378" s="2" t="n">
        <v>275</v>
      </c>
      <c r="B378" s="2" t="s">
        <v>13402</v>
      </c>
      <c r="C378" s="2" t="s">
        <v>3200</v>
      </c>
      <c r="D378" s="2" t="n">
        <v>241.180918698</v>
      </c>
      <c r="E378" s="2" t="n">
        <v>14.4440218725965</v>
      </c>
      <c r="F378" s="2" t="s">
        <v>13403</v>
      </c>
      <c r="G378" s="2" t="n">
        <v>2118</v>
      </c>
      <c r="H378" s="3" t="str">
        <f>HYPERLINK("http://funmeta.oebiotech.com/network/2118", "http://funmeta.oebiotech.com/network/2118")</f>
      </c>
      <c r="I378" s="2" t="s">
        <v>13404</v>
      </c>
      <c r="J378" s="2" t="s">
        <v>13405</v>
      </c>
      <c r="K378" s="2" t="s">
        <v>13406</v>
      </c>
      <c r="L378" s="2"/>
      <c r="M378" s="2"/>
      <c r="N378" s="2" t="s">
        <v>13407</v>
      </c>
      <c r="O378" s="2"/>
      <c r="P378" s="2" t="s">
        <v>13408</v>
      </c>
      <c r="Q378" s="2" t="s">
        <v>13409</v>
      </c>
      <c r="R378" s="2" t="s">
        <v>794</v>
      </c>
      <c r="S378" s="2" t="s">
        <v>795</v>
      </c>
      <c r="T378" s="2" t="s">
        <v>796</v>
      </c>
      <c r="U378" s="2" t="s">
        <v>3201</v>
      </c>
      <c r="V378" s="2" t="s">
        <v>24</v>
      </c>
      <c r="W378" s="2" t="s">
        <v>56</v>
      </c>
    </row>
    <row r="379">
      <c r="A379" s="2" t="n">
        <v>275</v>
      </c>
      <c r="B379" s="2" t="s">
        <v>13410</v>
      </c>
      <c r="C379" s="2" t="s">
        <v>3200</v>
      </c>
      <c r="D379" s="2" t="n">
        <v>241.180918698</v>
      </c>
      <c r="E379" s="2" t="n">
        <v>14.4440218725965</v>
      </c>
      <c r="F379" s="2" t="s">
        <v>13411</v>
      </c>
      <c r="G379" s="2" t="n">
        <v>56724</v>
      </c>
      <c r="H379" s="3" t="str">
        <f>HYPERLINK("http://funmeta.oebiotech.com/network/56724", "http://funmeta.oebiotech.com/network/56724")</f>
      </c>
      <c r="I379" s="2" t="s">
        <v>13412</v>
      </c>
      <c r="J379" s="2" t="s">
        <v>13413</v>
      </c>
      <c r="K379" s="2"/>
      <c r="L379" s="2"/>
      <c r="M379" s="2"/>
      <c r="N379" s="2" t="s">
        <v>13414</v>
      </c>
      <c r="O379" s="2" t="s">
        <v>13415</v>
      </c>
      <c r="P379" s="2" t="s">
        <v>13416</v>
      </c>
      <c r="Q379" s="2" t="s">
        <v>13417</v>
      </c>
      <c r="R379" s="2" t="s">
        <v>794</v>
      </c>
      <c r="S379" s="2" t="s">
        <v>1098</v>
      </c>
      <c r="T379" s="2" t="s">
        <v>1099</v>
      </c>
      <c r="U379" s="2" t="s">
        <v>3201</v>
      </c>
      <c r="V379" s="2" t="s">
        <v>24</v>
      </c>
      <c r="W379" s="2" t="s">
        <v>56</v>
      </c>
    </row>
    <row r="380">
      <c r="A380" s="2" t="n">
        <v>275</v>
      </c>
      <c r="B380" s="2" t="s">
        <v>13418</v>
      </c>
      <c r="C380" s="2" t="s">
        <v>3200</v>
      </c>
      <c r="D380" s="2" t="n">
        <v>241.180918698</v>
      </c>
      <c r="E380" s="2" t="n">
        <v>14.4440218725965</v>
      </c>
      <c r="F380" s="2" t="s">
        <v>13419</v>
      </c>
      <c r="G380" s="2" t="n">
        <v>2119</v>
      </c>
      <c r="H380" s="3" t="str">
        <f>HYPERLINK("http://funmeta.oebiotech.com/network/2119", "http://funmeta.oebiotech.com/network/2119")</f>
      </c>
      <c r="I380" s="2" t="s">
        <v>13420</v>
      </c>
      <c r="J380" s="2" t="s">
        <v>13421</v>
      </c>
      <c r="K380" s="2" t="s">
        <v>13422</v>
      </c>
      <c r="L380" s="2"/>
      <c r="M380" s="2"/>
      <c r="N380" s="2" t="s">
        <v>13423</v>
      </c>
      <c r="O380" s="2" t="s">
        <v>13424</v>
      </c>
      <c r="P380" s="2" t="s">
        <v>13425</v>
      </c>
      <c r="Q380" s="2" t="s">
        <v>13426</v>
      </c>
      <c r="R380" s="2" t="s">
        <v>794</v>
      </c>
      <c r="S380" s="2" t="s">
        <v>795</v>
      </c>
      <c r="T380" s="2" t="s">
        <v>796</v>
      </c>
      <c r="U380" s="2" t="s">
        <v>3201</v>
      </c>
      <c r="V380" s="2" t="s">
        <v>24</v>
      </c>
      <c r="W380" s="2" t="s">
        <v>56</v>
      </c>
    </row>
    <row r="381">
      <c r="A381" s="2" t="n">
        <v>276</v>
      </c>
      <c r="B381" s="2" t="s">
        <v>13427</v>
      </c>
      <c r="C381" s="2" t="s">
        <v>3212</v>
      </c>
      <c r="D381" s="2" t="n">
        <v>242.082262979</v>
      </c>
      <c r="E381" s="2" t="n">
        <v>1.7057303102268</v>
      </c>
      <c r="F381" s="2" t="s">
        <v>13428</v>
      </c>
      <c r="G381" s="2" t="n">
        <v>57685</v>
      </c>
      <c r="H381" s="3" t="str">
        <f>HYPERLINK("http://funmeta.oebiotech.com/network/57685", "http://funmeta.oebiotech.com/network/57685")</f>
      </c>
      <c r="I381" s="2" t="s">
        <v>13429</v>
      </c>
      <c r="J381" s="2" t="s">
        <v>13430</v>
      </c>
      <c r="K381" s="2"/>
      <c r="L381" s="2"/>
      <c r="M381" s="2"/>
      <c r="N381" s="2" t="s">
        <v>13431</v>
      </c>
      <c r="O381" s="2" t="s">
        <v>13432</v>
      </c>
      <c r="P381" s="2" t="s">
        <v>13433</v>
      </c>
      <c r="Q381" s="2" t="s">
        <v>13434</v>
      </c>
      <c r="R381" s="2" t="s">
        <v>114</v>
      </c>
      <c r="S381" s="2" t="s">
        <v>994</v>
      </c>
      <c r="T381" s="2" t="s">
        <v>3328</v>
      </c>
      <c r="U381" s="2" t="s">
        <v>3213</v>
      </c>
      <c r="V381" s="2" t="s">
        <v>205</v>
      </c>
      <c r="W381" s="2" t="s">
        <v>56</v>
      </c>
    </row>
    <row r="382">
      <c r="A382" s="2" t="n">
        <v>276</v>
      </c>
      <c r="B382" s="2" t="s">
        <v>13435</v>
      </c>
      <c r="C382" s="2" t="s">
        <v>3212</v>
      </c>
      <c r="D382" s="2" t="n">
        <v>242.082262979</v>
      </c>
      <c r="E382" s="2" t="n">
        <v>1.7057303102268</v>
      </c>
      <c r="F382" s="2" t="s">
        <v>13436</v>
      </c>
      <c r="G382" s="2" t="n">
        <v>57711</v>
      </c>
      <c r="H382" s="3" t="str">
        <f>HYPERLINK("http://funmeta.oebiotech.com/network/57711", "http://funmeta.oebiotech.com/network/57711")</f>
      </c>
      <c r="I382" s="2" t="s">
        <v>13437</v>
      </c>
      <c r="J382" s="2" t="s">
        <v>13438</v>
      </c>
      <c r="K382" s="2"/>
      <c r="L382" s="2"/>
      <c r="M382" s="2" t="s">
        <v>13439</v>
      </c>
      <c r="N382" s="2" t="s">
        <v>13440</v>
      </c>
      <c r="O382" s="2" t="s">
        <v>13441</v>
      </c>
      <c r="P382" s="2" t="s">
        <v>13442</v>
      </c>
      <c r="Q382" s="2" t="s">
        <v>13443</v>
      </c>
      <c r="R382" s="2" t="s">
        <v>114</v>
      </c>
      <c r="S382" s="2" t="s">
        <v>994</v>
      </c>
      <c r="T382" s="2" t="s">
        <v>3328</v>
      </c>
      <c r="U382" s="2" t="s">
        <v>3213</v>
      </c>
      <c r="V382" s="2" t="s">
        <v>205</v>
      </c>
      <c r="W382" s="2" t="s">
        <v>56</v>
      </c>
    </row>
    <row r="383">
      <c r="A383" s="2" t="n">
        <v>277</v>
      </c>
      <c r="B383" s="2" t="s">
        <v>13444</v>
      </c>
      <c r="C383" s="2" t="s">
        <v>3225</v>
      </c>
      <c r="D383" s="2" t="n">
        <v>242.151015548</v>
      </c>
      <c r="E383" s="2" t="n">
        <v>11.6536167864667</v>
      </c>
      <c r="F383" s="2" t="s">
        <v>13445</v>
      </c>
      <c r="G383" s="2" t="n">
        <v>53980</v>
      </c>
      <c r="H383" s="3" t="str">
        <f>HYPERLINK("http://funmeta.oebiotech.com/network/53980", "http://funmeta.oebiotech.com/network/53980")</f>
      </c>
      <c r="I383" s="2" t="s">
        <v>13446</v>
      </c>
      <c r="J383" s="2" t="s">
        <v>13447</v>
      </c>
      <c r="K383" s="2"/>
      <c r="L383" s="2"/>
      <c r="M383" s="2" t="s">
        <v>13448</v>
      </c>
      <c r="N383" s="2" t="s">
        <v>13449</v>
      </c>
      <c r="O383" s="2" t="s">
        <v>13450</v>
      </c>
      <c r="P383" s="2" t="s">
        <v>13451</v>
      </c>
      <c r="Q383" s="2" t="s">
        <v>13452</v>
      </c>
      <c r="R383" s="2" t="s">
        <v>36</v>
      </c>
      <c r="S383" s="2" t="s">
        <v>37</v>
      </c>
      <c r="T383" s="2" t="s">
        <v>69</v>
      </c>
      <c r="U383" s="2" t="s">
        <v>3226</v>
      </c>
      <c r="V383" s="2" t="s">
        <v>24</v>
      </c>
      <c r="W383" s="2" t="s">
        <v>56</v>
      </c>
    </row>
    <row r="384">
      <c r="A384" s="2" t="n">
        <v>277</v>
      </c>
      <c r="B384" s="2" t="s">
        <v>13453</v>
      </c>
      <c r="C384" s="2" t="s">
        <v>3225</v>
      </c>
      <c r="D384" s="2" t="n">
        <v>242.151015553</v>
      </c>
      <c r="E384" s="2" t="n">
        <v>11.6536167864667</v>
      </c>
      <c r="F384" s="2" t="s">
        <v>13454</v>
      </c>
      <c r="G384" s="2" t="n">
        <v>54035</v>
      </c>
      <c r="H384" s="3" t="str">
        <f>HYPERLINK("http://funmeta.oebiotech.com/network/54035", "http://funmeta.oebiotech.com/network/54035")</f>
      </c>
      <c r="I384" s="2" t="s">
        <v>13455</v>
      </c>
      <c r="J384" s="2"/>
      <c r="K384" s="2"/>
      <c r="L384" s="2"/>
      <c r="M384" s="2"/>
      <c r="N384" s="2" t="s">
        <v>13456</v>
      </c>
      <c r="O384" s="2"/>
      <c r="P384" s="2" t="s">
        <v>13457</v>
      </c>
      <c r="Q384" s="2" t="s">
        <v>13458</v>
      </c>
      <c r="R384" s="2" t="s">
        <v>36</v>
      </c>
      <c r="S384" s="2" t="s">
        <v>37</v>
      </c>
      <c r="T384" s="2" t="s">
        <v>69</v>
      </c>
      <c r="U384" s="2" t="s">
        <v>3226</v>
      </c>
      <c r="V384" s="2" t="s">
        <v>24</v>
      </c>
      <c r="W384" s="2" t="s">
        <v>56</v>
      </c>
    </row>
    <row r="385">
      <c r="A385" s="2" t="n">
        <v>278</v>
      </c>
      <c r="B385" s="2" t="s">
        <v>13459</v>
      </c>
      <c r="C385" s="2" t="s">
        <v>3236</v>
      </c>
      <c r="D385" s="2" t="n">
        <v>243.066282866</v>
      </c>
      <c r="E385" s="2" t="n">
        <v>3.52869793567546</v>
      </c>
      <c r="F385" s="2" t="s">
        <v>3238</v>
      </c>
      <c r="G385" s="2" t="n">
        <v>35073</v>
      </c>
      <c r="H385" s="3" t="str">
        <f>HYPERLINK("http://funmeta.oebiotech.com/network/35073", "http://funmeta.oebiotech.com/network/35073")</f>
      </c>
      <c r="I385" s="2" t="s">
        <v>3240</v>
      </c>
      <c r="J385" s="2" t="s">
        <v>3241</v>
      </c>
      <c r="K385" s="2" t="s">
        <v>3242</v>
      </c>
      <c r="L385" s="2" t="s">
        <v>3243</v>
      </c>
      <c r="M385" s="2" t="s">
        <v>3244</v>
      </c>
      <c r="N385" s="2" t="s">
        <v>3245</v>
      </c>
      <c r="O385" s="2" t="s">
        <v>3246</v>
      </c>
      <c r="P385" s="2" t="s">
        <v>3247</v>
      </c>
      <c r="Q385" s="2" t="s">
        <v>3248</v>
      </c>
      <c r="R385" s="2" t="s">
        <v>1355</v>
      </c>
      <c r="S385" s="2" t="s">
        <v>3249</v>
      </c>
      <c r="T385" s="2" t="s">
        <v>215</v>
      </c>
      <c r="U385" s="2" t="s">
        <v>3237</v>
      </c>
      <c r="V385" s="2" t="s">
        <v>24</v>
      </c>
      <c r="W385" s="2" t="s">
        <v>56</v>
      </c>
    </row>
    <row r="386">
      <c r="A386" s="2" t="n">
        <v>279</v>
      </c>
      <c r="B386" s="2" t="s">
        <v>13460</v>
      </c>
      <c r="C386" s="2" t="s">
        <v>3250</v>
      </c>
      <c r="D386" s="2" t="n">
        <v>243.139049576</v>
      </c>
      <c r="E386" s="2" t="n">
        <v>13.097100853454</v>
      </c>
      <c r="F386" s="2" t="s">
        <v>3252</v>
      </c>
      <c r="G386" s="2" t="n">
        <v>35661</v>
      </c>
      <c r="H386" s="3" t="str">
        <f>HYPERLINK("http://funmeta.oebiotech.com/network/35661", "http://funmeta.oebiotech.com/network/35661")</f>
      </c>
      <c r="I386" s="2" t="s">
        <v>3254</v>
      </c>
      <c r="J386" s="2" t="s">
        <v>3255</v>
      </c>
      <c r="K386" s="2" t="s">
        <v>3256</v>
      </c>
      <c r="L386" s="2" t="s">
        <v>3257</v>
      </c>
      <c r="M386" s="2" t="s">
        <v>3258</v>
      </c>
      <c r="N386" s="2" t="s">
        <v>3259</v>
      </c>
      <c r="O386" s="2" t="s">
        <v>3260</v>
      </c>
      <c r="P386" s="2" t="s">
        <v>3261</v>
      </c>
      <c r="Q386" s="2" t="s">
        <v>3262</v>
      </c>
      <c r="R386" s="2" t="s">
        <v>794</v>
      </c>
      <c r="S386" s="2" t="s">
        <v>1098</v>
      </c>
      <c r="T386" s="2" t="s">
        <v>3079</v>
      </c>
      <c r="U386" s="2" t="s">
        <v>3251</v>
      </c>
      <c r="V386" s="2" t="s">
        <v>205</v>
      </c>
      <c r="W386" s="2" t="s">
        <v>101</v>
      </c>
    </row>
    <row r="387">
      <c r="A387" s="2" t="n">
        <v>280</v>
      </c>
      <c r="B387" s="2" t="s">
        <v>13461</v>
      </c>
      <c r="C387" s="2" t="s">
        <v>3263</v>
      </c>
      <c r="D387" s="2" t="n">
        <v>243.17543939</v>
      </c>
      <c r="E387" s="2" t="n">
        <v>5.73323418930043</v>
      </c>
      <c r="F387" s="2" t="s">
        <v>3265</v>
      </c>
      <c r="G387" s="2" t="n">
        <v>62851</v>
      </c>
      <c r="H387" s="3" t="str">
        <f>HYPERLINK("http://funmeta.oebiotech.com/network/62851", "http://funmeta.oebiotech.com/network/62851")</f>
      </c>
      <c r="I387" s="2" t="s">
        <v>3267</v>
      </c>
      <c r="J387" s="2"/>
      <c r="K387" s="2"/>
      <c r="L387" s="2" t="s">
        <v>3268</v>
      </c>
      <c r="M387" s="2"/>
      <c r="N387" s="2" t="s">
        <v>3269</v>
      </c>
      <c r="O387" s="2" t="s">
        <v>3270</v>
      </c>
      <c r="P387" s="2" t="s">
        <v>3271</v>
      </c>
      <c r="Q387" s="2" t="s">
        <v>3272</v>
      </c>
      <c r="R387" s="2" t="s">
        <v>794</v>
      </c>
      <c r="S387" s="2" t="s">
        <v>795</v>
      </c>
      <c r="T387" s="2" t="s">
        <v>3273</v>
      </c>
      <c r="U387" s="2" t="s">
        <v>3264</v>
      </c>
      <c r="V387" s="2" t="s">
        <v>24</v>
      </c>
      <c r="W387" s="2" t="s">
        <v>56</v>
      </c>
    </row>
    <row r="388">
      <c r="A388" s="2" t="n">
        <v>281</v>
      </c>
      <c r="B388" s="2" t="s">
        <v>13462</v>
      </c>
      <c r="C388" s="2" t="s">
        <v>3274</v>
      </c>
      <c r="D388" s="2" t="n">
        <v>243.196568762</v>
      </c>
      <c r="E388" s="2" t="n">
        <v>12.3966532635388</v>
      </c>
      <c r="F388" s="2" t="s">
        <v>13463</v>
      </c>
      <c r="G388" s="2" t="n">
        <v>1837</v>
      </c>
      <c r="H388" s="3" t="str">
        <f>HYPERLINK("http://funmeta.oebiotech.com/network/1837", "http://funmeta.oebiotech.com/network/1837")</f>
      </c>
      <c r="I388" s="2" t="s">
        <v>13464</v>
      </c>
      <c r="J388" s="2" t="s">
        <v>13465</v>
      </c>
      <c r="K388" s="2" t="s">
        <v>13466</v>
      </c>
      <c r="L388" s="2"/>
      <c r="M388" s="2" t="s">
        <v>13467</v>
      </c>
      <c r="N388" s="2" t="s">
        <v>13468</v>
      </c>
      <c r="O388" s="2"/>
      <c r="P388" s="2" t="s">
        <v>13469</v>
      </c>
      <c r="Q388" s="2" t="s">
        <v>13470</v>
      </c>
      <c r="R388" s="2" t="s">
        <v>794</v>
      </c>
      <c r="S388" s="2" t="s">
        <v>795</v>
      </c>
      <c r="T388" s="2" t="s">
        <v>796</v>
      </c>
      <c r="U388" s="2" t="s">
        <v>3275</v>
      </c>
      <c r="V388" s="2" t="s">
        <v>24</v>
      </c>
      <c r="W388" s="2" t="s">
        <v>56</v>
      </c>
    </row>
    <row r="389">
      <c r="A389" s="2" t="n">
        <v>281</v>
      </c>
      <c r="B389" s="2" t="s">
        <v>13471</v>
      </c>
      <c r="C389" s="2" t="s">
        <v>3274</v>
      </c>
      <c r="D389" s="2" t="n">
        <v>243.196568762</v>
      </c>
      <c r="E389" s="2" t="n">
        <v>12.3966532635388</v>
      </c>
      <c r="F389" s="2" t="s">
        <v>13472</v>
      </c>
      <c r="G389" s="2" t="n">
        <v>1838</v>
      </c>
      <c r="H389" s="3" t="str">
        <f>HYPERLINK("http://funmeta.oebiotech.com/network/1838", "http://funmeta.oebiotech.com/network/1838")</f>
      </c>
      <c r="I389" s="2" t="s">
        <v>13473</v>
      </c>
      <c r="J389" s="2" t="s">
        <v>13474</v>
      </c>
      <c r="K389" s="2" t="s">
        <v>13475</v>
      </c>
      <c r="L389" s="2"/>
      <c r="M389" s="2" t="s">
        <v>13476</v>
      </c>
      <c r="N389" s="2" t="s">
        <v>13477</v>
      </c>
      <c r="O389" s="2" t="s">
        <v>13478</v>
      </c>
      <c r="P389" s="2" t="s">
        <v>13479</v>
      </c>
      <c r="Q389" s="2" t="s">
        <v>13480</v>
      </c>
      <c r="R389" s="2" t="s">
        <v>794</v>
      </c>
      <c r="S389" s="2" t="s">
        <v>795</v>
      </c>
      <c r="T389" s="2" t="s">
        <v>796</v>
      </c>
      <c r="U389" s="2" t="s">
        <v>3275</v>
      </c>
      <c r="V389" s="2" t="s">
        <v>24</v>
      </c>
      <c r="W389" s="2" t="s">
        <v>56</v>
      </c>
    </row>
    <row r="390">
      <c r="A390" s="2" t="n">
        <v>281</v>
      </c>
      <c r="B390" s="2" t="s">
        <v>13481</v>
      </c>
      <c r="C390" s="2" t="s">
        <v>3274</v>
      </c>
      <c r="D390" s="2" t="n">
        <v>243.196568762</v>
      </c>
      <c r="E390" s="2" t="n">
        <v>12.3966532635388</v>
      </c>
      <c r="F390" s="2" t="s">
        <v>13482</v>
      </c>
      <c r="G390" s="2" t="n">
        <v>1950</v>
      </c>
      <c r="H390" s="3" t="str">
        <f>HYPERLINK("http://funmeta.oebiotech.com/network/1950", "http://funmeta.oebiotech.com/network/1950")</f>
      </c>
      <c r="I390" s="2" t="s">
        <v>13483</v>
      </c>
      <c r="J390" s="2" t="s">
        <v>13484</v>
      </c>
      <c r="K390" s="2" t="s">
        <v>13485</v>
      </c>
      <c r="L390" s="2"/>
      <c r="M390" s="2" t="s">
        <v>13486</v>
      </c>
      <c r="N390" s="2" t="s">
        <v>13487</v>
      </c>
      <c r="O390" s="2" t="s">
        <v>13488</v>
      </c>
      <c r="P390" s="2" t="s">
        <v>13489</v>
      </c>
      <c r="Q390" s="2" t="s">
        <v>13490</v>
      </c>
      <c r="R390" s="2" t="s">
        <v>794</v>
      </c>
      <c r="S390" s="2" t="s">
        <v>795</v>
      </c>
      <c r="T390" s="2" t="s">
        <v>796</v>
      </c>
      <c r="U390" s="2" t="s">
        <v>3275</v>
      </c>
      <c r="V390" s="2" t="s">
        <v>24</v>
      </c>
      <c r="W390" s="2" t="s">
        <v>56</v>
      </c>
    </row>
    <row r="391">
      <c r="A391" s="2" t="n">
        <v>282</v>
      </c>
      <c r="B391" s="2" t="s">
        <v>13491</v>
      </c>
      <c r="C391" s="2" t="s">
        <v>3286</v>
      </c>
      <c r="D391" s="2" t="n">
        <v>245.045547422</v>
      </c>
      <c r="E391" s="2" t="n">
        <v>0.333462476357403</v>
      </c>
      <c r="F391" s="2" t="s">
        <v>3288</v>
      </c>
      <c r="G391" s="2" t="n">
        <v>58357</v>
      </c>
      <c r="H391" s="3" t="str">
        <f>HYPERLINK("http://funmeta.oebiotech.com/network/58357", "http://funmeta.oebiotech.com/network/58357")</f>
      </c>
      <c r="I391" s="2" t="s">
        <v>3290</v>
      </c>
      <c r="J391" s="2" t="s">
        <v>3291</v>
      </c>
      <c r="K391" s="2"/>
      <c r="L391" s="2" t="s">
        <v>3292</v>
      </c>
      <c r="M391" s="2" t="s">
        <v>3293</v>
      </c>
      <c r="N391" s="2" t="s">
        <v>3294</v>
      </c>
      <c r="O391" s="2" t="s">
        <v>3295</v>
      </c>
      <c r="P391" s="2" t="s">
        <v>3296</v>
      </c>
      <c r="Q391" s="2" t="s">
        <v>3297</v>
      </c>
      <c r="R391" s="2" t="s">
        <v>1355</v>
      </c>
      <c r="S391" s="2" t="s">
        <v>3298</v>
      </c>
      <c r="T391" s="2" t="s">
        <v>3299</v>
      </c>
      <c r="U391" s="2" t="s">
        <v>3287</v>
      </c>
      <c r="V391" s="2" t="s">
        <v>24</v>
      </c>
      <c r="W391" s="2" t="s">
        <v>56</v>
      </c>
    </row>
    <row r="392">
      <c r="A392" s="2" t="n">
        <v>283</v>
      </c>
      <c r="B392" s="2" t="s">
        <v>13492</v>
      </c>
      <c r="C392" s="2" t="s">
        <v>3300</v>
      </c>
      <c r="D392" s="2" t="n">
        <v>245.073316495</v>
      </c>
      <c r="E392" s="2" t="n">
        <v>2.2848117022182</v>
      </c>
      <c r="F392" s="2" t="s">
        <v>3302</v>
      </c>
      <c r="G392" s="2" t="n">
        <v>255029</v>
      </c>
      <c r="H392" s="3" t="str">
        <f>HYPERLINK("http://funmeta.oebiotech.com/network/255029", "http://funmeta.oebiotech.com/network/255029")</f>
      </c>
      <c r="I392" s="2" t="s">
        <v>3304</v>
      </c>
      <c r="J392" s="2"/>
      <c r="K392" s="2"/>
      <c r="L392" s="2"/>
      <c r="M392" s="2"/>
      <c r="N392" s="2" t="s">
        <v>3305</v>
      </c>
      <c r="O392" s="2"/>
      <c r="P392" s="2" t="s">
        <v>3306</v>
      </c>
      <c r="Q392" s="2" t="s">
        <v>3307</v>
      </c>
      <c r="R392" s="2" t="s">
        <v>794</v>
      </c>
      <c r="S392" s="2" t="s">
        <v>1098</v>
      </c>
      <c r="T392" s="2" t="s">
        <v>3308</v>
      </c>
      <c r="U392" s="2" t="s">
        <v>3301</v>
      </c>
      <c r="V392" s="2" t="s">
        <v>161</v>
      </c>
      <c r="W392" s="2"/>
    </row>
    <row r="393">
      <c r="A393" s="2" t="n">
        <v>284</v>
      </c>
      <c r="B393" s="2" t="s">
        <v>13493</v>
      </c>
      <c r="C393" s="2" t="s">
        <v>3309</v>
      </c>
      <c r="D393" s="2" t="n">
        <v>246.048988996</v>
      </c>
      <c r="E393" s="2" t="n">
        <v>0.348656345393454</v>
      </c>
      <c r="F393" s="2" t="s">
        <v>3311</v>
      </c>
      <c r="G393" s="2" t="n">
        <v>208524</v>
      </c>
      <c r="H393" s="3" t="str">
        <f>HYPERLINK("http://funmeta.oebiotech.com/network/208524", "http://funmeta.oebiotech.com/network/208524")</f>
      </c>
      <c r="I393" s="2" t="s">
        <v>3313</v>
      </c>
      <c r="J393" s="2"/>
      <c r="K393" s="2"/>
      <c r="L393" s="2"/>
      <c r="M393" s="2"/>
      <c r="N393" s="2" t="s">
        <v>3314</v>
      </c>
      <c r="O393" s="2"/>
      <c r="P393" s="2" t="s">
        <v>3315</v>
      </c>
      <c r="Q393" s="2" t="s">
        <v>3316</v>
      </c>
      <c r="R393" s="2" t="s">
        <v>601</v>
      </c>
      <c r="S393" s="2" t="s">
        <v>602</v>
      </c>
      <c r="T393" s="2" t="s">
        <v>1800</v>
      </c>
      <c r="U393" s="2" t="s">
        <v>3310</v>
      </c>
      <c r="V393" s="2" t="s">
        <v>86</v>
      </c>
      <c r="W393" s="2"/>
    </row>
    <row r="394">
      <c r="A394" s="2" t="n">
        <v>285</v>
      </c>
      <c r="B394" s="2" t="s">
        <v>13494</v>
      </c>
      <c r="C394" s="2" t="s">
        <v>3317</v>
      </c>
      <c r="D394" s="2" t="n">
        <v>247.0643647</v>
      </c>
      <c r="E394" s="2" t="n">
        <v>9.22691726899304</v>
      </c>
      <c r="F394" s="2" t="s">
        <v>3319</v>
      </c>
      <c r="G394" s="2" t="n">
        <v>202027</v>
      </c>
      <c r="H394" s="3" t="str">
        <f>HYPERLINK("http://funmeta.oebiotech.com/network/202027", "http://funmeta.oebiotech.com/network/202027")</f>
      </c>
      <c r="I394" s="2" t="s">
        <v>3321</v>
      </c>
      <c r="J394" s="2" t="s">
        <v>3322</v>
      </c>
      <c r="K394" s="2"/>
      <c r="L394" s="2"/>
      <c r="M394" s="2" t="s">
        <v>3323</v>
      </c>
      <c r="N394" s="2" t="s">
        <v>3324</v>
      </c>
      <c r="O394" s="2" t="s">
        <v>3325</v>
      </c>
      <c r="P394" s="2" t="s">
        <v>3326</v>
      </c>
      <c r="Q394" s="2" t="s">
        <v>3327</v>
      </c>
      <c r="R394" s="2" t="s">
        <v>114</v>
      </c>
      <c r="S394" s="2" t="s">
        <v>994</v>
      </c>
      <c r="T394" s="2" t="s">
        <v>3328</v>
      </c>
      <c r="U394" s="2" t="s">
        <v>3318</v>
      </c>
      <c r="V394" s="2" t="s">
        <v>24</v>
      </c>
      <c r="W394" s="2"/>
    </row>
    <row r="395">
      <c r="A395" s="2" t="n">
        <v>286</v>
      </c>
      <c r="B395" s="2" t="s">
        <v>13495</v>
      </c>
      <c r="C395" s="2" t="s">
        <v>3329</v>
      </c>
      <c r="D395" s="2" t="n">
        <v>247.14117484</v>
      </c>
      <c r="E395" s="2" t="n">
        <v>8.98902560727261</v>
      </c>
      <c r="F395" s="2" t="s">
        <v>3331</v>
      </c>
      <c r="G395" s="2" t="n">
        <v>47640</v>
      </c>
      <c r="H395" s="3" t="str">
        <f>HYPERLINK("http://funmeta.oebiotech.com/network/47640", "http://funmeta.oebiotech.com/network/47640")</f>
      </c>
      <c r="I395" s="2" t="s">
        <v>3333</v>
      </c>
      <c r="J395" s="2" t="s">
        <v>3334</v>
      </c>
      <c r="K395" s="2"/>
      <c r="L395" s="2" t="s">
        <v>3335</v>
      </c>
      <c r="M395" s="2" t="s">
        <v>3336</v>
      </c>
      <c r="N395" s="2" t="s">
        <v>3337</v>
      </c>
      <c r="O395" s="2" t="s">
        <v>3338</v>
      </c>
      <c r="P395" s="2" t="s">
        <v>3339</v>
      </c>
      <c r="Q395" s="2" t="s">
        <v>3340</v>
      </c>
      <c r="R395" s="2" t="s">
        <v>36</v>
      </c>
      <c r="S395" s="2" t="s">
        <v>37</v>
      </c>
      <c r="T395" s="2" t="s">
        <v>69</v>
      </c>
      <c r="U395" s="2" t="s">
        <v>3330</v>
      </c>
      <c r="V395" s="2" t="s">
        <v>205</v>
      </c>
      <c r="W395" s="2" t="s">
        <v>56</v>
      </c>
    </row>
    <row r="396">
      <c r="A396" s="2" t="n">
        <v>287</v>
      </c>
      <c r="B396" s="2" t="s">
        <v>13496</v>
      </c>
      <c r="C396" s="2" t="s">
        <v>3341</v>
      </c>
      <c r="D396" s="2" t="n">
        <v>248.977702</v>
      </c>
      <c r="E396" s="2" t="n">
        <v>2.48265141445658</v>
      </c>
      <c r="F396" s="2" t="s">
        <v>3343</v>
      </c>
      <c r="G396" s="2" t="n">
        <v>206729</v>
      </c>
      <c r="H396" s="3" t="str">
        <f>HYPERLINK("http://funmeta.oebiotech.com/network/206729", "http://funmeta.oebiotech.com/network/206729")</f>
      </c>
      <c r="I396" s="2" t="s">
        <v>3345</v>
      </c>
      <c r="J396" s="2" t="s">
        <v>3346</v>
      </c>
      <c r="K396" s="2"/>
      <c r="L396" s="2" t="s">
        <v>3347</v>
      </c>
      <c r="M396" s="2"/>
      <c r="N396" s="2" t="s">
        <v>3348</v>
      </c>
      <c r="O396" s="2" t="s">
        <v>3349</v>
      </c>
      <c r="P396" s="2" t="s">
        <v>3350</v>
      </c>
      <c r="Q396" s="2" t="s">
        <v>3351</v>
      </c>
      <c r="R396" s="2" t="s">
        <v>186</v>
      </c>
      <c r="S396" s="2" t="s">
        <v>187</v>
      </c>
      <c r="T396" s="2" t="s">
        <v>1950</v>
      </c>
      <c r="U396" s="2" t="s">
        <v>3342</v>
      </c>
      <c r="V396" s="2" t="s">
        <v>161</v>
      </c>
      <c r="W396" s="2" t="s">
        <v>101</v>
      </c>
    </row>
    <row r="397">
      <c r="A397" s="2" t="n">
        <v>288</v>
      </c>
      <c r="B397" s="2" t="s">
        <v>13497</v>
      </c>
      <c r="C397" s="2" t="s">
        <v>3352</v>
      </c>
      <c r="D397" s="2" t="n">
        <v>249.152989871</v>
      </c>
      <c r="E397" s="2" t="n">
        <v>2.16838023869256</v>
      </c>
      <c r="F397" s="2" t="s">
        <v>3354</v>
      </c>
      <c r="G397" s="2" t="n">
        <v>199402</v>
      </c>
      <c r="H397" s="3" t="str">
        <f>HYPERLINK("http://funmeta.oebiotech.com/network/199402", "http://funmeta.oebiotech.com/network/199402")</f>
      </c>
      <c r="I397" s="2" t="s">
        <v>3356</v>
      </c>
      <c r="J397" s="2"/>
      <c r="K397" s="2"/>
      <c r="L397" s="2"/>
      <c r="M397" s="2"/>
      <c r="N397" s="2" t="s">
        <v>3357</v>
      </c>
      <c r="O397" s="2"/>
      <c r="P397" s="2" t="s">
        <v>3358</v>
      </c>
      <c r="Q397" s="2" t="s">
        <v>3359</v>
      </c>
      <c r="R397" s="2" t="s">
        <v>36</v>
      </c>
      <c r="S397" s="2" t="s">
        <v>344</v>
      </c>
      <c r="T397" s="2" t="s">
        <v>345</v>
      </c>
      <c r="U397" s="2" t="s">
        <v>3353</v>
      </c>
      <c r="V397" s="2" t="s">
        <v>24</v>
      </c>
      <c r="W397" s="2"/>
    </row>
    <row r="398">
      <c r="A398" s="2" t="n">
        <v>289</v>
      </c>
      <c r="B398" s="2" t="s">
        <v>13498</v>
      </c>
      <c r="C398" s="2" t="s">
        <v>3360</v>
      </c>
      <c r="D398" s="2" t="n">
        <v>250.048769962</v>
      </c>
      <c r="E398" s="2" t="n">
        <v>4.22726416596296</v>
      </c>
      <c r="F398" s="2" t="s">
        <v>3362</v>
      </c>
      <c r="G398" s="2" t="n">
        <v>254844</v>
      </c>
      <c r="H398" s="3" t="str">
        <f>HYPERLINK("http://funmeta.oebiotech.com/network/254844", "http://funmeta.oebiotech.com/network/254844")</f>
      </c>
      <c r="I398" s="2" t="s">
        <v>3364</v>
      </c>
      <c r="J398" s="2"/>
      <c r="K398" s="2"/>
      <c r="L398" s="2"/>
      <c r="M398" s="2" t="s">
        <v>3365</v>
      </c>
      <c r="N398" s="2" t="s">
        <v>3366</v>
      </c>
      <c r="O398" s="2" t="s">
        <v>3367</v>
      </c>
      <c r="P398" s="2" t="s">
        <v>3368</v>
      </c>
      <c r="Q398" s="2" t="s">
        <v>3369</v>
      </c>
      <c r="R398" s="2" t="s">
        <v>114</v>
      </c>
      <c r="S398" s="2" t="s">
        <v>936</v>
      </c>
      <c r="T398" s="2" t="s">
        <v>3370</v>
      </c>
      <c r="U398" s="2" t="s">
        <v>3361</v>
      </c>
      <c r="V398" s="2" t="s">
        <v>205</v>
      </c>
      <c r="W398" s="2"/>
    </row>
    <row r="399">
      <c r="A399" s="2" t="n">
        <v>290</v>
      </c>
      <c r="B399" s="2" t="s">
        <v>13499</v>
      </c>
      <c r="C399" s="2" t="s">
        <v>3371</v>
      </c>
      <c r="D399" s="2" t="n">
        <v>250.08649718</v>
      </c>
      <c r="E399" s="2" t="n">
        <v>12.3555515644881</v>
      </c>
      <c r="F399" s="2" t="s">
        <v>3373</v>
      </c>
      <c r="G399" s="2" t="n">
        <v>82817</v>
      </c>
      <c r="H399" s="3" t="str">
        <f>HYPERLINK("http://funmeta.oebiotech.com/network/82817", "http://funmeta.oebiotech.com/network/82817")</f>
      </c>
      <c r="I399" s="2" t="s">
        <v>3375</v>
      </c>
      <c r="J399" s="2" t="s">
        <v>3376</v>
      </c>
      <c r="K399" s="2"/>
      <c r="L399" s="2" t="s">
        <v>3377</v>
      </c>
      <c r="M399" s="2" t="s">
        <v>3378</v>
      </c>
      <c r="N399" s="2" t="s">
        <v>3379</v>
      </c>
      <c r="O399" s="2" t="s">
        <v>3380</v>
      </c>
      <c r="P399" s="2" t="s">
        <v>3381</v>
      </c>
      <c r="Q399" s="2" t="s">
        <v>3382</v>
      </c>
      <c r="R399" s="2" t="s">
        <v>114</v>
      </c>
      <c r="S399" s="2" t="s">
        <v>2206</v>
      </c>
      <c r="T399" s="2" t="s">
        <v>3383</v>
      </c>
      <c r="U399" s="2" t="s">
        <v>3372</v>
      </c>
      <c r="V399" s="2" t="s">
        <v>24</v>
      </c>
      <c r="W399" s="2" t="s">
        <v>101</v>
      </c>
    </row>
    <row r="400">
      <c r="A400" s="2" t="n">
        <v>291</v>
      </c>
      <c r="B400" s="2" t="s">
        <v>13500</v>
      </c>
      <c r="C400" s="2" t="s">
        <v>3384</v>
      </c>
      <c r="D400" s="2" t="n">
        <v>250.14486754</v>
      </c>
      <c r="E400" s="2" t="n">
        <v>14.1072920063984</v>
      </c>
      <c r="F400" s="2" t="s">
        <v>3386</v>
      </c>
      <c r="G400" s="2" t="n">
        <v>200700</v>
      </c>
      <c r="H400" s="3" t="str">
        <f>HYPERLINK("http://funmeta.oebiotech.com/network/200700", "http://funmeta.oebiotech.com/network/200700")</f>
      </c>
      <c r="I400" s="2" t="s">
        <v>3388</v>
      </c>
      <c r="J400" s="2"/>
      <c r="K400" s="2"/>
      <c r="L400" s="2"/>
      <c r="M400" s="2"/>
      <c r="N400" s="2" t="s">
        <v>3389</v>
      </c>
      <c r="O400" s="2"/>
      <c r="P400" s="2" t="s">
        <v>3390</v>
      </c>
      <c r="Q400" s="2" t="s">
        <v>3391</v>
      </c>
      <c r="R400" s="2" t="s">
        <v>186</v>
      </c>
      <c r="S400" s="2" t="s">
        <v>187</v>
      </c>
      <c r="T400" s="2" t="s">
        <v>1206</v>
      </c>
      <c r="U400" s="2" t="s">
        <v>3385</v>
      </c>
      <c r="V400" s="2" t="s">
        <v>24</v>
      </c>
      <c r="W400" s="2"/>
    </row>
    <row r="401">
      <c r="A401" s="2" t="n">
        <v>292</v>
      </c>
      <c r="B401" s="2" t="s">
        <v>13501</v>
      </c>
      <c r="C401" s="2" t="s">
        <v>3392</v>
      </c>
      <c r="D401" s="2" t="n">
        <v>251.084431495</v>
      </c>
      <c r="E401" s="2" t="n">
        <v>2.26289406981307</v>
      </c>
      <c r="F401" s="2" t="s">
        <v>3394</v>
      </c>
      <c r="G401" s="2" t="n">
        <v>61594</v>
      </c>
      <c r="H401" s="3" t="str">
        <f>HYPERLINK("http://funmeta.oebiotech.com/network/61594", "http://funmeta.oebiotech.com/network/61594")</f>
      </c>
      <c r="I401" s="2" t="s">
        <v>3396</v>
      </c>
      <c r="J401" s="2" t="s">
        <v>3397</v>
      </c>
      <c r="K401" s="2"/>
      <c r="L401" s="2"/>
      <c r="M401" s="2"/>
      <c r="N401" s="2" t="s">
        <v>3398</v>
      </c>
      <c r="O401" s="2" t="s">
        <v>3399</v>
      </c>
      <c r="P401" s="2" t="s">
        <v>3400</v>
      </c>
      <c r="Q401" s="2" t="s">
        <v>3401</v>
      </c>
      <c r="R401" s="2" t="s">
        <v>186</v>
      </c>
      <c r="S401" s="2" t="s">
        <v>3046</v>
      </c>
      <c r="T401" s="2" t="s">
        <v>3047</v>
      </c>
      <c r="U401" s="2" t="s">
        <v>3393</v>
      </c>
      <c r="V401" s="2" t="s">
        <v>24</v>
      </c>
      <c r="W401" s="2"/>
    </row>
    <row r="402">
      <c r="A402" s="2" t="n">
        <v>293</v>
      </c>
      <c r="B402" s="2" t="s">
        <v>13502</v>
      </c>
      <c r="C402" s="2" t="s">
        <v>3402</v>
      </c>
      <c r="D402" s="2" t="n">
        <v>251.20165414</v>
      </c>
      <c r="E402" s="2" t="n">
        <v>12.6573220950512</v>
      </c>
      <c r="F402" s="2" t="s">
        <v>13503</v>
      </c>
      <c r="G402" s="2" t="n">
        <v>1218</v>
      </c>
      <c r="H402" s="3" t="str">
        <f>HYPERLINK("http://funmeta.oebiotech.com/network/1218", "http://funmeta.oebiotech.com/network/1218")</f>
      </c>
      <c r="I402" s="2" t="s">
        <v>13504</v>
      </c>
      <c r="J402" s="2" t="s">
        <v>13505</v>
      </c>
      <c r="K402" s="2" t="s">
        <v>13506</v>
      </c>
      <c r="L402" s="2"/>
      <c r="M402" s="2" t="s">
        <v>13507</v>
      </c>
      <c r="N402" s="2" t="s">
        <v>13508</v>
      </c>
      <c r="O402" s="2" t="s">
        <v>13509</v>
      </c>
      <c r="P402" s="2" t="s">
        <v>13510</v>
      </c>
      <c r="Q402" s="2" t="s">
        <v>13511</v>
      </c>
      <c r="R402" s="2" t="s">
        <v>794</v>
      </c>
      <c r="S402" s="2" t="s">
        <v>795</v>
      </c>
      <c r="T402" s="2" t="s">
        <v>796</v>
      </c>
      <c r="U402" s="2" t="s">
        <v>3403</v>
      </c>
      <c r="V402" s="2" t="s">
        <v>24</v>
      </c>
      <c r="W402" s="2" t="s">
        <v>56</v>
      </c>
    </row>
    <row r="403">
      <c r="A403" s="2" t="n">
        <v>293</v>
      </c>
      <c r="B403" s="2" t="s">
        <v>13512</v>
      </c>
      <c r="C403" s="2" t="s">
        <v>3402</v>
      </c>
      <c r="D403" s="2" t="n">
        <v>251.20165414</v>
      </c>
      <c r="E403" s="2" t="n">
        <v>12.6573220950512</v>
      </c>
      <c r="F403" s="2" t="s">
        <v>13513</v>
      </c>
      <c r="G403" s="2" t="n">
        <v>7366</v>
      </c>
      <c r="H403" s="3" t="str">
        <f>HYPERLINK("http://funmeta.oebiotech.com/network/7366", "http://funmeta.oebiotech.com/network/7366")</f>
      </c>
      <c r="I403" s="2" t="s">
        <v>13514</v>
      </c>
      <c r="J403" s="2" t="s">
        <v>13515</v>
      </c>
      <c r="K403" s="2" t="s">
        <v>13516</v>
      </c>
      <c r="L403" s="2"/>
      <c r="M403" s="2"/>
      <c r="N403" s="2" t="s">
        <v>13517</v>
      </c>
      <c r="O403" s="2" t="s">
        <v>13518</v>
      </c>
      <c r="P403" s="2" t="s">
        <v>13519</v>
      </c>
      <c r="Q403" s="2" t="s">
        <v>13520</v>
      </c>
      <c r="R403" s="2" t="s">
        <v>794</v>
      </c>
      <c r="S403" s="2" t="s">
        <v>795</v>
      </c>
      <c r="T403" s="2" t="s">
        <v>1370</v>
      </c>
      <c r="U403" s="2" t="s">
        <v>3403</v>
      </c>
      <c r="V403" s="2" t="s">
        <v>24</v>
      </c>
      <c r="W403" s="2" t="s">
        <v>56</v>
      </c>
    </row>
    <row r="404">
      <c r="A404" s="2" t="n">
        <v>293</v>
      </c>
      <c r="B404" s="2" t="s">
        <v>13521</v>
      </c>
      <c r="C404" s="2" t="s">
        <v>3402</v>
      </c>
      <c r="D404" s="2" t="n">
        <v>251.20165414</v>
      </c>
      <c r="E404" s="2" t="n">
        <v>12.6573220950512</v>
      </c>
      <c r="F404" s="2" t="s">
        <v>13522</v>
      </c>
      <c r="G404" s="2" t="n">
        <v>55244</v>
      </c>
      <c r="H404" s="3" t="str">
        <f>HYPERLINK("http://funmeta.oebiotech.com/network/55244", "http://funmeta.oebiotech.com/network/55244")</f>
      </c>
      <c r="I404" s="2" t="s">
        <v>13523</v>
      </c>
      <c r="J404" s="2" t="s">
        <v>13524</v>
      </c>
      <c r="K404" s="2"/>
      <c r="L404" s="2"/>
      <c r="M404" s="2"/>
      <c r="N404" s="2" t="s">
        <v>13525</v>
      </c>
      <c r="O404" s="2" t="s">
        <v>13526</v>
      </c>
      <c r="P404" s="2" t="s">
        <v>13527</v>
      </c>
      <c r="Q404" s="2" t="s">
        <v>13528</v>
      </c>
      <c r="R404" s="2" t="s">
        <v>794</v>
      </c>
      <c r="S404" s="2" t="s">
        <v>1098</v>
      </c>
      <c r="T404" s="2" t="s">
        <v>1099</v>
      </c>
      <c r="U404" s="2" t="s">
        <v>3403</v>
      </c>
      <c r="V404" s="2" t="s">
        <v>24</v>
      </c>
      <c r="W404" s="2" t="s">
        <v>56</v>
      </c>
    </row>
    <row r="405">
      <c r="A405" s="2" t="n">
        <v>294</v>
      </c>
      <c r="B405" s="2" t="s">
        <v>13529</v>
      </c>
      <c r="C405" s="2" t="s">
        <v>3416</v>
      </c>
      <c r="D405" s="2" t="n">
        <v>252.000385031</v>
      </c>
      <c r="E405" s="2" t="n">
        <v>2.82588038980548</v>
      </c>
      <c r="F405" s="2" t="s">
        <v>3418</v>
      </c>
      <c r="G405" s="2" t="n">
        <v>202883</v>
      </c>
      <c r="H405" s="3" t="str">
        <f>HYPERLINK("http://funmeta.oebiotech.com/network/202883", "http://funmeta.oebiotech.com/network/202883")</f>
      </c>
      <c r="I405" s="2" t="s">
        <v>3420</v>
      </c>
      <c r="J405" s="2" t="s">
        <v>3421</v>
      </c>
      <c r="K405" s="2"/>
      <c r="L405" s="2"/>
      <c r="M405" s="2"/>
      <c r="N405" s="2" t="s">
        <v>3422</v>
      </c>
      <c r="O405" s="2" t="s">
        <v>3423</v>
      </c>
      <c r="P405" s="2" t="s">
        <v>3424</v>
      </c>
      <c r="Q405" s="2" t="s">
        <v>3425</v>
      </c>
      <c r="R405" s="2" t="s">
        <v>114</v>
      </c>
      <c r="S405" s="2" t="s">
        <v>2325</v>
      </c>
      <c r="T405" s="2" t="s">
        <v>215</v>
      </c>
      <c r="U405" s="2" t="s">
        <v>3417</v>
      </c>
      <c r="V405" s="2" t="s">
        <v>86</v>
      </c>
      <c r="W405" s="2"/>
    </row>
    <row r="406">
      <c r="A406" s="2" t="n">
        <v>295</v>
      </c>
      <c r="B406" s="2" t="s">
        <v>13530</v>
      </c>
      <c r="C406" s="2" t="s">
        <v>3426</v>
      </c>
      <c r="D406" s="2" t="n">
        <v>252.104141238</v>
      </c>
      <c r="E406" s="2" t="n">
        <v>7.58813567118358</v>
      </c>
      <c r="F406" s="2" t="s">
        <v>3428</v>
      </c>
      <c r="G406" s="2" t="n">
        <v>198770</v>
      </c>
      <c r="H406" s="3" t="str">
        <f>HYPERLINK("http://funmeta.oebiotech.com/network/198770", "http://funmeta.oebiotech.com/network/198770")</f>
      </c>
      <c r="I406" s="2" t="s">
        <v>3430</v>
      </c>
      <c r="J406" s="2"/>
      <c r="K406" s="2"/>
      <c r="L406" s="2"/>
      <c r="M406" s="2"/>
      <c r="N406" s="2" t="s">
        <v>3431</v>
      </c>
      <c r="O406" s="2"/>
      <c r="P406" s="2" t="s">
        <v>3432</v>
      </c>
      <c r="Q406" s="2" t="s">
        <v>3433</v>
      </c>
      <c r="R406" s="2" t="s">
        <v>186</v>
      </c>
      <c r="S406" s="2" t="s">
        <v>187</v>
      </c>
      <c r="T406" s="2" t="s">
        <v>2791</v>
      </c>
      <c r="U406" s="2" t="s">
        <v>3427</v>
      </c>
      <c r="V406" s="2" t="s">
        <v>205</v>
      </c>
      <c r="W406" s="2"/>
    </row>
    <row r="407">
      <c r="A407" s="2" t="n">
        <v>296</v>
      </c>
      <c r="B407" s="2" t="s">
        <v>13531</v>
      </c>
      <c r="C407" s="2" t="s">
        <v>3434</v>
      </c>
      <c r="D407" s="2" t="n">
        <v>252.954539784</v>
      </c>
      <c r="E407" s="2" t="n">
        <v>0.918441027005739</v>
      </c>
      <c r="F407" s="2" t="s">
        <v>3436</v>
      </c>
      <c r="G407" s="2" t="n">
        <v>202774</v>
      </c>
      <c r="H407" s="3" t="str">
        <f>HYPERLINK("http://funmeta.oebiotech.com/network/202774", "http://funmeta.oebiotech.com/network/202774")</f>
      </c>
      <c r="I407" s="2" t="s">
        <v>3438</v>
      </c>
      <c r="J407" s="2"/>
      <c r="K407" s="2"/>
      <c r="L407" s="2"/>
      <c r="M407" s="2"/>
      <c r="N407" s="2" t="s">
        <v>3439</v>
      </c>
      <c r="O407" s="2"/>
      <c r="P407" s="2" t="s">
        <v>3440</v>
      </c>
      <c r="Q407" s="2" t="s">
        <v>3441</v>
      </c>
      <c r="R407" s="2" t="s">
        <v>114</v>
      </c>
      <c r="S407" s="2" t="s">
        <v>3442</v>
      </c>
      <c r="T407" s="2" t="s">
        <v>215</v>
      </c>
      <c r="U407" s="2" t="s">
        <v>3435</v>
      </c>
      <c r="V407" s="2" t="s">
        <v>86</v>
      </c>
      <c r="W407" s="2"/>
    </row>
    <row r="408">
      <c r="A408" s="2" t="n">
        <v>297</v>
      </c>
      <c r="B408" s="2" t="s">
        <v>13532</v>
      </c>
      <c r="C408" s="2" t="s">
        <v>3443</v>
      </c>
      <c r="D408" s="2" t="n">
        <v>253.108147686</v>
      </c>
      <c r="E408" s="2" t="n">
        <v>2.14765528256182</v>
      </c>
      <c r="F408" s="2" t="s">
        <v>3445</v>
      </c>
      <c r="G408" s="2" t="n">
        <v>57067</v>
      </c>
      <c r="H408" s="3" t="str">
        <f>HYPERLINK("http://funmeta.oebiotech.com/network/57067", "http://funmeta.oebiotech.com/network/57067")</f>
      </c>
      <c r="I408" s="2" t="s">
        <v>3447</v>
      </c>
      <c r="J408" s="2" t="s">
        <v>3448</v>
      </c>
      <c r="K408" s="2"/>
      <c r="L408" s="2"/>
      <c r="M408" s="2" t="s">
        <v>3449</v>
      </c>
      <c r="N408" s="2" t="s">
        <v>3450</v>
      </c>
      <c r="O408" s="2" t="s">
        <v>3451</v>
      </c>
      <c r="P408" s="2" t="s">
        <v>3452</v>
      </c>
      <c r="Q408" s="2" t="s">
        <v>3453</v>
      </c>
      <c r="R408" s="2" t="s">
        <v>186</v>
      </c>
      <c r="S408" s="2" t="s">
        <v>187</v>
      </c>
      <c r="T408" s="2" t="s">
        <v>3454</v>
      </c>
      <c r="U408" s="2" t="s">
        <v>3444</v>
      </c>
      <c r="V408" s="2" t="s">
        <v>24</v>
      </c>
      <c r="W408" s="2" t="s">
        <v>56</v>
      </c>
    </row>
    <row r="409">
      <c r="A409" s="2" t="n">
        <v>298</v>
      </c>
      <c r="B409" s="2" t="s">
        <v>13533</v>
      </c>
      <c r="C409" s="2" t="s">
        <v>3455</v>
      </c>
      <c r="D409" s="2" t="n">
        <v>253.217304206</v>
      </c>
      <c r="E409" s="2" t="n">
        <v>10.2411098692931</v>
      </c>
      <c r="F409" s="2" t="s">
        <v>3457</v>
      </c>
      <c r="G409" s="2" t="n">
        <v>200148</v>
      </c>
      <c r="H409" s="3" t="str">
        <f>HYPERLINK("http://funmeta.oebiotech.com/network/200148", "http://funmeta.oebiotech.com/network/200148")</f>
      </c>
      <c r="I409" s="2" t="s">
        <v>3459</v>
      </c>
      <c r="J409" s="2"/>
      <c r="K409" s="2"/>
      <c r="L409" s="2"/>
      <c r="M409" s="2"/>
      <c r="N409" s="2" t="s">
        <v>3460</v>
      </c>
      <c r="O409" s="2"/>
      <c r="P409" s="2" t="s">
        <v>3461</v>
      </c>
      <c r="Q409" s="2" t="s">
        <v>3462</v>
      </c>
      <c r="R409" s="2" t="s">
        <v>794</v>
      </c>
      <c r="S409" s="2" t="s">
        <v>795</v>
      </c>
      <c r="T409" s="2" t="s">
        <v>796</v>
      </c>
      <c r="U409" s="2" t="s">
        <v>3456</v>
      </c>
      <c r="V409" s="2" t="s">
        <v>24</v>
      </c>
      <c r="W409" s="2" t="s">
        <v>39</v>
      </c>
    </row>
    <row r="410">
      <c r="A410" s="2" t="n">
        <v>299</v>
      </c>
      <c r="B410" s="2" t="s">
        <v>13534</v>
      </c>
      <c r="C410" s="2" t="s">
        <v>3463</v>
      </c>
      <c r="D410" s="2" t="n">
        <v>254.081716973</v>
      </c>
      <c r="E410" s="2" t="n">
        <v>0.324280016893755</v>
      </c>
      <c r="F410" s="2" t="s">
        <v>3465</v>
      </c>
      <c r="G410" s="2" t="n">
        <v>47147</v>
      </c>
      <c r="H410" s="3" t="str">
        <f>HYPERLINK("http://funmeta.oebiotech.com/network/47147", "http://funmeta.oebiotech.com/network/47147")</f>
      </c>
      <c r="I410" s="2" t="s">
        <v>3467</v>
      </c>
      <c r="J410" s="2" t="s">
        <v>3468</v>
      </c>
      <c r="K410" s="2"/>
      <c r="L410" s="2"/>
      <c r="M410" s="2" t="s">
        <v>3469</v>
      </c>
      <c r="N410" s="2" t="s">
        <v>3470</v>
      </c>
      <c r="O410" s="2" t="s">
        <v>3471</v>
      </c>
      <c r="P410" s="2" t="s">
        <v>3472</v>
      </c>
      <c r="Q410" s="2" t="s">
        <v>3473</v>
      </c>
      <c r="R410" s="2" t="s">
        <v>36</v>
      </c>
      <c r="S410" s="2" t="s">
        <v>37</v>
      </c>
      <c r="T410" s="2" t="s">
        <v>69</v>
      </c>
      <c r="U410" s="2" t="s">
        <v>3464</v>
      </c>
      <c r="V410" s="2" t="s">
        <v>161</v>
      </c>
      <c r="W410" s="2" t="s">
        <v>56</v>
      </c>
    </row>
    <row r="411">
      <c r="A411" s="2" t="n">
        <v>300</v>
      </c>
      <c r="B411" s="2" t="s">
        <v>13535</v>
      </c>
      <c r="C411" s="2" t="s">
        <v>3474</v>
      </c>
      <c r="D411" s="2" t="n">
        <v>254.148608617</v>
      </c>
      <c r="E411" s="2" t="n">
        <v>4.69585930366933</v>
      </c>
      <c r="F411" s="2" t="s">
        <v>3476</v>
      </c>
      <c r="G411" s="2" t="n">
        <v>1965</v>
      </c>
      <c r="H411" s="3" t="str">
        <f>HYPERLINK("http://funmeta.oebiotech.com/network/1965", "http://funmeta.oebiotech.com/network/1965")</f>
      </c>
      <c r="I411" s="2" t="s">
        <v>3478</v>
      </c>
      <c r="J411" s="2"/>
      <c r="K411" s="2" t="s">
        <v>3479</v>
      </c>
      <c r="L411" s="2"/>
      <c r="M411" s="2"/>
      <c r="N411" s="2" t="s">
        <v>3480</v>
      </c>
      <c r="O411" s="2" t="s">
        <v>3481</v>
      </c>
      <c r="P411" s="2" t="s">
        <v>3482</v>
      </c>
      <c r="Q411" s="2" t="s">
        <v>3483</v>
      </c>
      <c r="R411" s="2" t="s">
        <v>36</v>
      </c>
      <c r="S411" s="2" t="s">
        <v>37</v>
      </c>
      <c r="T411" s="2" t="s">
        <v>69</v>
      </c>
      <c r="U411" s="2" t="s">
        <v>3475</v>
      </c>
      <c r="V411" s="2" t="s">
        <v>531</v>
      </c>
      <c r="W411" s="2" t="s">
        <v>56</v>
      </c>
    </row>
    <row r="412">
      <c r="A412" s="2" t="n">
        <v>301</v>
      </c>
      <c r="B412" s="2" t="s">
        <v>13536</v>
      </c>
      <c r="C412" s="2" t="s">
        <v>3484</v>
      </c>
      <c r="D412" s="2" t="n">
        <v>254.8790934</v>
      </c>
      <c r="E412" s="2" t="n">
        <v>11.3254833905887</v>
      </c>
      <c r="F412" s="2" t="s">
        <v>3486</v>
      </c>
      <c r="G412" s="2" t="n">
        <v>204954</v>
      </c>
      <c r="H412" s="3" t="str">
        <f>HYPERLINK("http://funmeta.oebiotech.com/network/204954", "http://funmeta.oebiotech.com/network/204954")</f>
      </c>
      <c r="I412" s="2" t="s">
        <v>3488</v>
      </c>
      <c r="J412" s="2"/>
      <c r="K412" s="2"/>
      <c r="L412" s="2"/>
      <c r="M412" s="2"/>
      <c r="N412" s="2" t="s">
        <v>3489</v>
      </c>
      <c r="O412" s="2"/>
      <c r="P412" s="2" t="s">
        <v>3490</v>
      </c>
      <c r="Q412" s="2" t="s">
        <v>3491</v>
      </c>
      <c r="R412" s="2" t="s">
        <v>36</v>
      </c>
      <c r="S412" s="2" t="s">
        <v>282</v>
      </c>
      <c r="T412" s="2" t="s">
        <v>215</v>
      </c>
      <c r="U412" s="2" t="s">
        <v>3485</v>
      </c>
      <c r="V412" s="2" t="s">
        <v>683</v>
      </c>
      <c r="W412" s="2"/>
    </row>
    <row r="413">
      <c r="A413" s="2" t="n">
        <v>302</v>
      </c>
      <c r="B413" s="2" t="s">
        <v>13537</v>
      </c>
      <c r="C413" s="2" t="s">
        <v>3492</v>
      </c>
      <c r="D413" s="2" t="n">
        <v>254.982291646</v>
      </c>
      <c r="E413" s="2" t="n">
        <v>1.96627404726815</v>
      </c>
      <c r="F413" s="2" t="s">
        <v>13538</v>
      </c>
      <c r="G413" s="2" t="n">
        <v>201938</v>
      </c>
      <c r="H413" s="3" t="str">
        <f>HYPERLINK("http://funmeta.oebiotech.com/network/201938", "http://funmeta.oebiotech.com/network/201938")</f>
      </c>
      <c r="I413" s="2" t="s">
        <v>13539</v>
      </c>
      <c r="J413" s="2" t="s">
        <v>13540</v>
      </c>
      <c r="K413" s="2"/>
      <c r="L413" s="2"/>
      <c r="M413" s="2" t="s">
        <v>13541</v>
      </c>
      <c r="N413" s="2" t="s">
        <v>13542</v>
      </c>
      <c r="O413" s="2"/>
      <c r="P413" s="2" t="s">
        <v>13543</v>
      </c>
      <c r="Q413" s="2" t="s">
        <v>13544</v>
      </c>
      <c r="R413" s="2" t="s">
        <v>114</v>
      </c>
      <c r="S413" s="2" t="s">
        <v>936</v>
      </c>
      <c r="T413" s="2" t="s">
        <v>215</v>
      </c>
      <c r="U413" s="2" t="s">
        <v>3493</v>
      </c>
      <c r="V413" s="2" t="s">
        <v>86</v>
      </c>
      <c r="W413" s="2"/>
    </row>
    <row r="414">
      <c r="A414" s="2" t="n">
        <v>302</v>
      </c>
      <c r="B414" s="2" t="s">
        <v>13545</v>
      </c>
      <c r="C414" s="2" t="s">
        <v>3492</v>
      </c>
      <c r="D414" s="2" t="n">
        <v>254.982292614</v>
      </c>
      <c r="E414" s="2" t="n">
        <v>1.96627404726815</v>
      </c>
      <c r="F414" s="2" t="s">
        <v>13546</v>
      </c>
      <c r="G414" s="2" t="n">
        <v>200787</v>
      </c>
      <c r="H414" s="3" t="str">
        <f>HYPERLINK("http://funmeta.oebiotech.com/network/200787", "http://funmeta.oebiotech.com/network/200787")</f>
      </c>
      <c r="I414" s="2" t="s">
        <v>13547</v>
      </c>
      <c r="J414" s="2" t="s">
        <v>13548</v>
      </c>
      <c r="K414" s="2"/>
      <c r="L414" s="2"/>
      <c r="M414" s="2" t="s">
        <v>13549</v>
      </c>
      <c r="N414" s="2" t="s">
        <v>13550</v>
      </c>
      <c r="O414" s="2"/>
      <c r="P414" s="2" t="s">
        <v>13551</v>
      </c>
      <c r="Q414" s="2" t="s">
        <v>13552</v>
      </c>
      <c r="R414" s="2" t="s">
        <v>114</v>
      </c>
      <c r="S414" s="2" t="s">
        <v>936</v>
      </c>
      <c r="T414" s="2" t="s">
        <v>215</v>
      </c>
      <c r="U414" s="2" t="s">
        <v>3493</v>
      </c>
      <c r="V414" s="2" t="s">
        <v>86</v>
      </c>
      <c r="W414" s="2"/>
    </row>
    <row r="415">
      <c r="A415" s="2" t="n">
        <v>303</v>
      </c>
      <c r="B415" s="2" t="s">
        <v>13553</v>
      </c>
      <c r="C415" s="2" t="s">
        <v>3502</v>
      </c>
      <c r="D415" s="2" t="n">
        <v>255.006398532</v>
      </c>
      <c r="E415" s="2" t="n">
        <v>10.4067802801423</v>
      </c>
      <c r="F415" s="2" t="s">
        <v>3504</v>
      </c>
      <c r="G415" s="2" t="n">
        <v>201856</v>
      </c>
      <c r="H415" s="3" t="str">
        <f>HYPERLINK("http://funmeta.oebiotech.com/network/201856", "http://funmeta.oebiotech.com/network/201856")</f>
      </c>
      <c r="I415" s="2" t="s">
        <v>3506</v>
      </c>
      <c r="J415" s="2" t="s">
        <v>3507</v>
      </c>
      <c r="K415" s="2"/>
      <c r="L415" s="2"/>
      <c r="M415" s="2"/>
      <c r="N415" s="2" t="s">
        <v>3508</v>
      </c>
      <c r="O415" s="2"/>
      <c r="P415" s="2" t="s">
        <v>3509</v>
      </c>
      <c r="Q415" s="2" t="s">
        <v>3510</v>
      </c>
      <c r="R415" s="2" t="s">
        <v>1355</v>
      </c>
      <c r="S415" s="2" t="s">
        <v>3298</v>
      </c>
      <c r="T415" s="2" t="s">
        <v>215</v>
      </c>
      <c r="U415" s="2" t="s">
        <v>3503</v>
      </c>
      <c r="V415" s="2" t="s">
        <v>24</v>
      </c>
      <c r="W415" s="2"/>
    </row>
    <row r="416">
      <c r="A416" s="2" t="n">
        <v>304</v>
      </c>
      <c r="B416" s="2" t="s">
        <v>13554</v>
      </c>
      <c r="C416" s="2" t="s">
        <v>3511</v>
      </c>
      <c r="D416" s="2" t="n">
        <v>255.170866325</v>
      </c>
      <c r="E416" s="2" t="n">
        <v>10.3707181739967</v>
      </c>
      <c r="F416" s="2" t="s">
        <v>3513</v>
      </c>
      <c r="G416" s="2" t="n">
        <v>203169</v>
      </c>
      <c r="H416" s="3" t="str">
        <f>HYPERLINK("http://funmeta.oebiotech.com/network/203169", "http://funmeta.oebiotech.com/network/203169")</f>
      </c>
      <c r="I416" s="2" t="s">
        <v>3515</v>
      </c>
      <c r="J416" s="2" t="s">
        <v>3516</v>
      </c>
      <c r="K416" s="2"/>
      <c r="L416" s="2"/>
      <c r="M416" s="2"/>
      <c r="N416" s="2" t="s">
        <v>3517</v>
      </c>
      <c r="O416" s="2"/>
      <c r="P416" s="2" t="s">
        <v>3518</v>
      </c>
      <c r="Q416" s="2" t="s">
        <v>3519</v>
      </c>
      <c r="R416" s="2" t="s">
        <v>601</v>
      </c>
      <c r="S416" s="2" t="s">
        <v>602</v>
      </c>
      <c r="T416" s="2" t="s">
        <v>1800</v>
      </c>
      <c r="U416" s="2" t="s">
        <v>3512</v>
      </c>
      <c r="V416" s="2" t="s">
        <v>161</v>
      </c>
      <c r="W416" s="2"/>
    </row>
    <row r="417">
      <c r="A417" s="2" t="n">
        <v>305</v>
      </c>
      <c r="B417" s="2" t="s">
        <v>13555</v>
      </c>
      <c r="C417" s="2" t="s">
        <v>3520</v>
      </c>
      <c r="D417" s="2" t="n">
        <v>255.232954268</v>
      </c>
      <c r="E417" s="2" t="n">
        <v>10.3602173310127</v>
      </c>
      <c r="F417" s="2" t="s">
        <v>3522</v>
      </c>
      <c r="G417" s="2" t="n">
        <v>48</v>
      </c>
      <c r="H417" s="3" t="str">
        <f>HYPERLINK("http://funmeta.oebiotech.com/network/48", "http://funmeta.oebiotech.com/network/48")</f>
      </c>
      <c r="I417" s="2" t="s">
        <v>3524</v>
      </c>
      <c r="J417" s="2" t="s">
        <v>3525</v>
      </c>
      <c r="K417" s="2" t="s">
        <v>3526</v>
      </c>
      <c r="L417" s="2" t="s">
        <v>3527</v>
      </c>
      <c r="M417" s="2" t="s">
        <v>3528</v>
      </c>
      <c r="N417" s="2" t="s">
        <v>3529</v>
      </c>
      <c r="O417" s="2" t="s">
        <v>3530</v>
      </c>
      <c r="P417" s="2" t="s">
        <v>3531</v>
      </c>
      <c r="Q417" s="2" t="s">
        <v>3532</v>
      </c>
      <c r="R417" s="2" t="s">
        <v>794</v>
      </c>
      <c r="S417" s="2" t="s">
        <v>795</v>
      </c>
      <c r="T417" s="2" t="s">
        <v>796</v>
      </c>
      <c r="U417" s="2" t="s">
        <v>3521</v>
      </c>
      <c r="V417" s="2" t="s">
        <v>24</v>
      </c>
      <c r="W417" s="2" t="s">
        <v>39</v>
      </c>
    </row>
    <row r="418">
      <c r="A418" s="2" t="n">
        <v>306</v>
      </c>
      <c r="B418" s="2" t="s">
        <v>13556</v>
      </c>
      <c r="C418" s="2" t="s">
        <v>3533</v>
      </c>
      <c r="D418" s="2" t="n">
        <v>256.060676621</v>
      </c>
      <c r="E418" s="2" t="n">
        <v>8.2606567419284</v>
      </c>
      <c r="F418" s="2" t="s">
        <v>3535</v>
      </c>
      <c r="G418" s="2" t="n">
        <v>47020</v>
      </c>
      <c r="H418" s="3" t="str">
        <f>HYPERLINK("http://funmeta.oebiotech.com/network/47020", "http://funmeta.oebiotech.com/network/47020")</f>
      </c>
      <c r="I418" s="2" t="s">
        <v>3537</v>
      </c>
      <c r="J418" s="2"/>
      <c r="K418" s="2"/>
      <c r="L418" s="2"/>
      <c r="M418" s="2" t="s">
        <v>3538</v>
      </c>
      <c r="N418" s="2" t="s">
        <v>3539</v>
      </c>
      <c r="O418" s="2" t="s">
        <v>3540</v>
      </c>
      <c r="P418" s="2" t="s">
        <v>3541</v>
      </c>
      <c r="Q418" s="2" t="s">
        <v>3542</v>
      </c>
      <c r="R418" s="2" t="s">
        <v>114</v>
      </c>
      <c r="S418" s="2" t="s">
        <v>680</v>
      </c>
      <c r="T418" s="2" t="s">
        <v>3543</v>
      </c>
      <c r="U418" s="2" t="s">
        <v>3534</v>
      </c>
      <c r="V418" s="2" t="s">
        <v>86</v>
      </c>
      <c r="W418" s="2" t="s">
        <v>56</v>
      </c>
    </row>
    <row r="419">
      <c r="A419" s="2" t="n">
        <v>307</v>
      </c>
      <c r="B419" s="2" t="s">
        <v>13557</v>
      </c>
      <c r="C419" s="2" t="s">
        <v>3544</v>
      </c>
      <c r="D419" s="2" t="n">
        <v>256.099055858</v>
      </c>
      <c r="E419" s="2" t="n">
        <v>0.713469251235067</v>
      </c>
      <c r="F419" s="2" t="s">
        <v>3546</v>
      </c>
      <c r="G419" s="2" t="n">
        <v>200550</v>
      </c>
      <c r="H419" s="3" t="str">
        <f>HYPERLINK("http://funmeta.oebiotech.com/network/200550", "http://funmeta.oebiotech.com/network/200550")</f>
      </c>
      <c r="I419" s="2" t="s">
        <v>3548</v>
      </c>
      <c r="J419" s="2"/>
      <c r="K419" s="2"/>
      <c r="L419" s="2"/>
      <c r="M419" s="2"/>
      <c r="N419" s="2" t="s">
        <v>3549</v>
      </c>
      <c r="O419" s="2"/>
      <c r="P419" s="2" t="s">
        <v>3550</v>
      </c>
      <c r="Q419" s="2" t="s">
        <v>3551</v>
      </c>
      <c r="R419" s="2" t="s">
        <v>186</v>
      </c>
      <c r="S419" s="2" t="s">
        <v>187</v>
      </c>
      <c r="T419" s="2" t="s">
        <v>3552</v>
      </c>
      <c r="U419" s="2" t="s">
        <v>3545</v>
      </c>
      <c r="V419" s="2" t="s">
        <v>205</v>
      </c>
      <c r="W419" s="2"/>
    </row>
    <row r="420">
      <c r="A420" s="2" t="n">
        <v>308</v>
      </c>
      <c r="B420" s="2" t="s">
        <v>13558</v>
      </c>
      <c r="C420" s="2" t="s">
        <v>3553</v>
      </c>
      <c r="D420" s="2" t="n">
        <v>257.17583332</v>
      </c>
      <c r="E420" s="2" t="n">
        <v>17.2101545763723</v>
      </c>
      <c r="F420" s="2" t="s">
        <v>3555</v>
      </c>
      <c r="G420" s="2" t="n">
        <v>2833</v>
      </c>
      <c r="H420" s="3" t="str">
        <f>HYPERLINK("http://funmeta.oebiotech.com/network/2833", "http://funmeta.oebiotech.com/network/2833")</f>
      </c>
      <c r="I420" s="2" t="s">
        <v>3557</v>
      </c>
      <c r="J420" s="2" t="s">
        <v>3558</v>
      </c>
      <c r="K420" s="2" t="s">
        <v>3559</v>
      </c>
      <c r="L420" s="2" t="s">
        <v>3560</v>
      </c>
      <c r="M420" s="2" t="s">
        <v>3561</v>
      </c>
      <c r="N420" s="2" t="s">
        <v>3562</v>
      </c>
      <c r="O420" s="2" t="s">
        <v>3563</v>
      </c>
      <c r="P420" s="2" t="s">
        <v>3564</v>
      </c>
      <c r="Q420" s="2" t="s">
        <v>3565</v>
      </c>
      <c r="R420" s="2" t="s">
        <v>794</v>
      </c>
      <c r="S420" s="2" t="s">
        <v>795</v>
      </c>
      <c r="T420" s="2" t="s">
        <v>796</v>
      </c>
      <c r="U420" s="2" t="s">
        <v>3554</v>
      </c>
      <c r="V420" s="2" t="s">
        <v>24</v>
      </c>
      <c r="W420" s="2" t="s">
        <v>56</v>
      </c>
    </row>
    <row r="421">
      <c r="A421" s="2" t="n">
        <v>309</v>
      </c>
      <c r="B421" s="2" t="s">
        <v>13559</v>
      </c>
      <c r="C421" s="2" t="s">
        <v>3566</v>
      </c>
      <c r="D421" s="2" t="n">
        <v>259.035128586</v>
      </c>
      <c r="E421" s="2" t="n">
        <v>0.388213710047155</v>
      </c>
      <c r="F421" s="2" t="s">
        <v>3568</v>
      </c>
      <c r="G421" s="2" t="n">
        <v>211385</v>
      </c>
      <c r="H421" s="3" t="str">
        <f>HYPERLINK("http://funmeta.oebiotech.com/network/211385", "http://funmeta.oebiotech.com/network/211385")</f>
      </c>
      <c r="I421" s="2" t="s">
        <v>3570</v>
      </c>
      <c r="J421" s="2"/>
      <c r="K421" s="2"/>
      <c r="L421" s="2"/>
      <c r="M421" s="2"/>
      <c r="N421" s="2" t="s">
        <v>3571</v>
      </c>
      <c r="O421" s="2"/>
      <c r="P421" s="2" t="s">
        <v>3572</v>
      </c>
      <c r="Q421" s="2" t="s">
        <v>3573</v>
      </c>
      <c r="R421" s="2" t="s">
        <v>114</v>
      </c>
      <c r="S421" s="2" t="s">
        <v>730</v>
      </c>
      <c r="T421" s="2" t="s">
        <v>731</v>
      </c>
      <c r="U421" s="2" t="s">
        <v>3567</v>
      </c>
      <c r="V421" s="2" t="s">
        <v>218</v>
      </c>
      <c r="W421" s="2"/>
    </row>
    <row r="422">
      <c r="A422" s="2" t="n">
        <v>310</v>
      </c>
      <c r="B422" s="2" t="s">
        <v>13560</v>
      </c>
      <c r="C422" s="2" t="s">
        <v>3574</v>
      </c>
      <c r="D422" s="2" t="n">
        <v>259.129945752</v>
      </c>
      <c r="E422" s="2" t="n">
        <v>4.11504749679407</v>
      </c>
      <c r="F422" s="2" t="s">
        <v>13561</v>
      </c>
      <c r="G422" s="2" t="n">
        <v>53856</v>
      </c>
      <c r="H422" s="3" t="str">
        <f>HYPERLINK("http://funmeta.oebiotech.com/network/53856", "http://funmeta.oebiotech.com/network/53856")</f>
      </c>
      <c r="I422" s="2" t="s">
        <v>13562</v>
      </c>
      <c r="J422" s="2"/>
      <c r="K422" s="2"/>
      <c r="L422" s="2"/>
      <c r="M422" s="2" t="s">
        <v>13563</v>
      </c>
      <c r="N422" s="2" t="s">
        <v>13564</v>
      </c>
      <c r="O422" s="2" t="s">
        <v>13565</v>
      </c>
      <c r="P422" s="2" t="s">
        <v>13566</v>
      </c>
      <c r="Q422" s="2" t="s">
        <v>13567</v>
      </c>
      <c r="R422" s="2" t="s">
        <v>36</v>
      </c>
      <c r="S422" s="2" t="s">
        <v>37</v>
      </c>
      <c r="T422" s="2" t="s">
        <v>69</v>
      </c>
      <c r="U422" s="2" t="s">
        <v>3575</v>
      </c>
      <c r="V422" s="2" t="s">
        <v>24</v>
      </c>
      <c r="W422" s="2" t="s">
        <v>39</v>
      </c>
    </row>
    <row r="423">
      <c r="A423" s="2" t="n">
        <v>310</v>
      </c>
      <c r="B423" s="2" t="s">
        <v>13568</v>
      </c>
      <c r="C423" s="2" t="s">
        <v>3574</v>
      </c>
      <c r="D423" s="2" t="n">
        <v>259.129945752</v>
      </c>
      <c r="E423" s="2" t="n">
        <v>4.11504749679407</v>
      </c>
      <c r="F423" s="2" t="s">
        <v>13569</v>
      </c>
      <c r="G423" s="2" t="n">
        <v>53857</v>
      </c>
      <c r="H423" s="3" t="str">
        <f>HYPERLINK("http://funmeta.oebiotech.com/network/53857", "http://funmeta.oebiotech.com/network/53857")</f>
      </c>
      <c r="I423" s="2" t="s">
        <v>13570</v>
      </c>
      <c r="J423" s="2" t="s">
        <v>13571</v>
      </c>
      <c r="K423" s="2"/>
      <c r="L423" s="2"/>
      <c r="M423" s="2" t="s">
        <v>13572</v>
      </c>
      <c r="N423" s="2" t="s">
        <v>13573</v>
      </c>
      <c r="O423" s="2" t="s">
        <v>13574</v>
      </c>
      <c r="P423" s="2" t="s">
        <v>13575</v>
      </c>
      <c r="Q423" s="2" t="s">
        <v>13576</v>
      </c>
      <c r="R423" s="2" t="s">
        <v>36</v>
      </c>
      <c r="S423" s="2" t="s">
        <v>37</v>
      </c>
      <c r="T423" s="2" t="s">
        <v>69</v>
      </c>
      <c r="U423" s="2" t="s">
        <v>3575</v>
      </c>
      <c r="V423" s="2" t="s">
        <v>24</v>
      </c>
      <c r="W423" s="2" t="s">
        <v>39</v>
      </c>
    </row>
    <row r="424">
      <c r="A424" s="2" t="n">
        <v>310</v>
      </c>
      <c r="B424" s="2" t="s">
        <v>13577</v>
      </c>
      <c r="C424" s="2" t="s">
        <v>3574</v>
      </c>
      <c r="D424" s="2" t="n">
        <v>259.12994576</v>
      </c>
      <c r="E424" s="2" t="n">
        <v>4.11504749679407</v>
      </c>
      <c r="F424" s="2" t="s">
        <v>13578</v>
      </c>
      <c r="G424" s="2" t="n">
        <v>51189</v>
      </c>
      <c r="H424" s="3" t="str">
        <f>HYPERLINK("http://funmeta.oebiotech.com/network/51189", "http://funmeta.oebiotech.com/network/51189")</f>
      </c>
      <c r="I424" s="2" t="s">
        <v>13579</v>
      </c>
      <c r="J424" s="2" t="s">
        <v>13580</v>
      </c>
      <c r="K424" s="2"/>
      <c r="L424" s="2"/>
      <c r="M424" s="2" t="s">
        <v>13581</v>
      </c>
      <c r="N424" s="2" t="s">
        <v>13582</v>
      </c>
      <c r="O424" s="2" t="s">
        <v>13583</v>
      </c>
      <c r="P424" s="2" t="s">
        <v>13584</v>
      </c>
      <c r="Q424" s="2" t="s">
        <v>13585</v>
      </c>
      <c r="R424" s="2" t="s">
        <v>36</v>
      </c>
      <c r="S424" s="2" t="s">
        <v>37</v>
      </c>
      <c r="T424" s="2" t="s">
        <v>69</v>
      </c>
      <c r="U424" s="2" t="s">
        <v>3575</v>
      </c>
      <c r="V424" s="2" t="s">
        <v>24</v>
      </c>
      <c r="W424" s="2" t="s">
        <v>39</v>
      </c>
    </row>
    <row r="425">
      <c r="A425" s="2" t="n">
        <v>311</v>
      </c>
      <c r="B425" s="2" t="s">
        <v>13586</v>
      </c>
      <c r="C425" s="2" t="s">
        <v>3585</v>
      </c>
      <c r="D425" s="2" t="n">
        <v>260.040120801</v>
      </c>
      <c r="E425" s="2" t="n">
        <v>3.83246695595702</v>
      </c>
      <c r="F425" s="2" t="s">
        <v>3587</v>
      </c>
      <c r="G425" s="2" t="n">
        <v>82665</v>
      </c>
      <c r="H425" s="3" t="str">
        <f>HYPERLINK("http://funmeta.oebiotech.com/network/82665", "http://funmeta.oebiotech.com/network/82665")</f>
      </c>
      <c r="I425" s="2" t="s">
        <v>3589</v>
      </c>
      <c r="J425" s="2"/>
      <c r="K425" s="2"/>
      <c r="L425" s="2"/>
      <c r="M425" s="2"/>
      <c r="N425" s="2" t="s">
        <v>3590</v>
      </c>
      <c r="O425" s="2"/>
      <c r="P425" s="2" t="s">
        <v>3591</v>
      </c>
      <c r="Q425" s="2" t="s">
        <v>3592</v>
      </c>
      <c r="R425" s="2" t="s">
        <v>114</v>
      </c>
      <c r="S425" s="2" t="s">
        <v>730</v>
      </c>
      <c r="T425" s="2" t="s">
        <v>731</v>
      </c>
      <c r="U425" s="2" t="s">
        <v>3586</v>
      </c>
      <c r="V425" s="2" t="s">
        <v>531</v>
      </c>
      <c r="W425" s="2" t="s">
        <v>56</v>
      </c>
    </row>
    <row r="426">
      <c r="A426" s="2" t="n">
        <v>312</v>
      </c>
      <c r="B426" s="2" t="s">
        <v>13587</v>
      </c>
      <c r="C426" s="2" t="s">
        <v>3593</v>
      </c>
      <c r="D426" s="2" t="n">
        <v>261.035591135</v>
      </c>
      <c r="E426" s="2" t="n">
        <v>2.06176553843063</v>
      </c>
      <c r="F426" s="2" t="s">
        <v>3595</v>
      </c>
      <c r="G426" s="2" t="n">
        <v>206731</v>
      </c>
      <c r="H426" s="3" t="str">
        <f>HYPERLINK("http://funmeta.oebiotech.com/network/206731", "http://funmeta.oebiotech.com/network/206731")</f>
      </c>
      <c r="I426" s="2" t="s">
        <v>3597</v>
      </c>
      <c r="J426" s="2"/>
      <c r="K426" s="2"/>
      <c r="L426" s="2"/>
      <c r="M426" s="2"/>
      <c r="N426" s="2" t="s">
        <v>3598</v>
      </c>
      <c r="O426" s="2"/>
      <c r="P426" s="2" t="s">
        <v>3599</v>
      </c>
      <c r="Q426" s="2" t="s">
        <v>3600</v>
      </c>
      <c r="R426" s="2" t="s">
        <v>186</v>
      </c>
      <c r="S426" s="2" t="s">
        <v>187</v>
      </c>
      <c r="T426" s="2" t="s">
        <v>3601</v>
      </c>
      <c r="U426" s="2" t="s">
        <v>3594</v>
      </c>
      <c r="V426" s="2" t="s">
        <v>24</v>
      </c>
      <c r="W426" s="2"/>
    </row>
    <row r="427">
      <c r="A427" s="2" t="n">
        <v>313</v>
      </c>
      <c r="B427" s="2" t="s">
        <v>13588</v>
      </c>
      <c r="C427" s="2" t="s">
        <v>3602</v>
      </c>
      <c r="D427" s="2" t="n">
        <v>261.141552704</v>
      </c>
      <c r="E427" s="2" t="n">
        <v>1.08701107587282</v>
      </c>
      <c r="F427" s="2" t="s">
        <v>3604</v>
      </c>
      <c r="G427" s="2" t="n">
        <v>55698</v>
      </c>
      <c r="H427" s="3" t="str">
        <f>HYPERLINK("http://funmeta.oebiotech.com/network/55698", "http://funmeta.oebiotech.com/network/55698")</f>
      </c>
      <c r="I427" s="2" t="s">
        <v>3606</v>
      </c>
      <c r="J427" s="2" t="s">
        <v>3607</v>
      </c>
      <c r="K427" s="2"/>
      <c r="L427" s="2"/>
      <c r="M427" s="2"/>
      <c r="N427" s="2" t="s">
        <v>3608</v>
      </c>
      <c r="O427" s="2" t="s">
        <v>3609</v>
      </c>
      <c r="P427" s="2" t="s">
        <v>3610</v>
      </c>
      <c r="Q427" s="2" t="s">
        <v>3611</v>
      </c>
      <c r="R427" s="2" t="s">
        <v>501</v>
      </c>
      <c r="S427" s="2" t="s">
        <v>502</v>
      </c>
      <c r="T427" s="2" t="s">
        <v>3612</v>
      </c>
      <c r="U427" s="2" t="s">
        <v>3603</v>
      </c>
      <c r="V427" s="2" t="s">
        <v>86</v>
      </c>
      <c r="W427" s="2"/>
    </row>
    <row r="428">
      <c r="A428" s="2" t="n">
        <v>314</v>
      </c>
      <c r="B428" s="2" t="s">
        <v>13589</v>
      </c>
      <c r="C428" s="2" t="s">
        <v>3613</v>
      </c>
      <c r="D428" s="2" t="n">
        <v>261.944400823</v>
      </c>
      <c r="E428" s="2" t="n">
        <v>15.7790104227078</v>
      </c>
      <c r="F428" s="2" t="s">
        <v>3615</v>
      </c>
      <c r="G428" s="2" t="n">
        <v>210807</v>
      </c>
      <c r="H428" s="3" t="str">
        <f>HYPERLINK("http://funmeta.oebiotech.com/network/210807", "http://funmeta.oebiotech.com/network/210807")</f>
      </c>
      <c r="I428" s="2" t="s">
        <v>3617</v>
      </c>
      <c r="J428" s="2" t="s">
        <v>3618</v>
      </c>
      <c r="K428" s="2"/>
      <c r="L428" s="2" t="s">
        <v>3619</v>
      </c>
      <c r="M428" s="2" t="s">
        <v>3620</v>
      </c>
      <c r="N428" s="2" t="s">
        <v>3621</v>
      </c>
      <c r="O428" s="2" t="s">
        <v>3622</v>
      </c>
      <c r="P428" s="2" t="s">
        <v>3623</v>
      </c>
      <c r="Q428" s="2" t="s">
        <v>3624</v>
      </c>
      <c r="R428" s="2" t="s">
        <v>114</v>
      </c>
      <c r="S428" s="2" t="s">
        <v>2057</v>
      </c>
      <c r="T428" s="2" t="s">
        <v>3625</v>
      </c>
      <c r="U428" s="2" t="s">
        <v>3614</v>
      </c>
      <c r="V428" s="2" t="s">
        <v>531</v>
      </c>
      <c r="W428" s="2" t="s">
        <v>101</v>
      </c>
    </row>
    <row r="429">
      <c r="A429" s="2" t="n">
        <v>315</v>
      </c>
      <c r="B429" s="2" t="s">
        <v>13590</v>
      </c>
      <c r="C429" s="2" t="s">
        <v>3626</v>
      </c>
      <c r="D429" s="2" t="n">
        <v>262.094012993</v>
      </c>
      <c r="E429" s="2" t="n">
        <v>2.29090300678236</v>
      </c>
      <c r="F429" s="2" t="s">
        <v>13591</v>
      </c>
      <c r="G429" s="2" t="n">
        <v>48062</v>
      </c>
      <c r="H429" s="3" t="str">
        <f>HYPERLINK("http://funmeta.oebiotech.com/network/48062", "http://funmeta.oebiotech.com/network/48062")</f>
      </c>
      <c r="I429" s="2" t="s">
        <v>13592</v>
      </c>
      <c r="J429" s="2" t="s">
        <v>13593</v>
      </c>
      <c r="K429" s="2"/>
      <c r="L429" s="2" t="s">
        <v>13594</v>
      </c>
      <c r="M429" s="2" t="s">
        <v>13595</v>
      </c>
      <c r="N429" s="2" t="s">
        <v>13596</v>
      </c>
      <c r="O429" s="2" t="s">
        <v>13597</v>
      </c>
      <c r="P429" s="2" t="s">
        <v>13598</v>
      </c>
      <c r="Q429" s="2" t="s">
        <v>13599</v>
      </c>
      <c r="R429" s="2" t="s">
        <v>2416</v>
      </c>
      <c r="S429" s="2" t="s">
        <v>6560</v>
      </c>
      <c r="T429" s="2" t="s">
        <v>215</v>
      </c>
      <c r="U429" s="2" t="s">
        <v>3627</v>
      </c>
      <c r="V429" s="2" t="s">
        <v>161</v>
      </c>
      <c r="W429" s="2" t="s">
        <v>56</v>
      </c>
    </row>
    <row r="430">
      <c r="A430" s="2" t="n">
        <v>315</v>
      </c>
      <c r="B430" s="2" t="s">
        <v>13600</v>
      </c>
      <c r="C430" s="2" t="s">
        <v>3626</v>
      </c>
      <c r="D430" s="2" t="n">
        <v>262.094012993</v>
      </c>
      <c r="E430" s="2" t="n">
        <v>2.29090300678236</v>
      </c>
      <c r="F430" s="2" t="s">
        <v>13601</v>
      </c>
      <c r="G430" s="2" t="n">
        <v>48280</v>
      </c>
      <c r="H430" s="3" t="str">
        <f>HYPERLINK("http://funmeta.oebiotech.com/network/48280", "http://funmeta.oebiotech.com/network/48280")</f>
      </c>
      <c r="I430" s="2" t="s">
        <v>13602</v>
      </c>
      <c r="J430" s="2" t="s">
        <v>13603</v>
      </c>
      <c r="K430" s="2"/>
      <c r="L430" s="2" t="s">
        <v>13604</v>
      </c>
      <c r="M430" s="2" t="s">
        <v>13605</v>
      </c>
      <c r="N430" s="2" t="s">
        <v>13606</v>
      </c>
      <c r="O430" s="2" t="s">
        <v>13607</v>
      </c>
      <c r="P430" s="2" t="s">
        <v>13608</v>
      </c>
      <c r="Q430" s="2" t="s">
        <v>13609</v>
      </c>
      <c r="R430" s="2" t="s">
        <v>2416</v>
      </c>
      <c r="S430" s="2" t="s">
        <v>6560</v>
      </c>
      <c r="T430" s="2" t="s">
        <v>215</v>
      </c>
      <c r="U430" s="2" t="s">
        <v>3627</v>
      </c>
      <c r="V430" s="2" t="s">
        <v>161</v>
      </c>
      <c r="W430" s="2" t="s">
        <v>56</v>
      </c>
    </row>
    <row r="431">
      <c r="A431" s="2" t="n">
        <v>316</v>
      </c>
      <c r="B431" s="2" t="s">
        <v>13610</v>
      </c>
      <c r="C431" s="2" t="s">
        <v>3640</v>
      </c>
      <c r="D431" s="2" t="n">
        <v>263.03443243</v>
      </c>
      <c r="E431" s="2" t="n">
        <v>7.09089338481054</v>
      </c>
      <c r="F431" s="2" t="s">
        <v>3642</v>
      </c>
      <c r="G431" s="2" t="n">
        <v>29192</v>
      </c>
      <c r="H431" s="3" t="str">
        <f>HYPERLINK("http://funmeta.oebiotech.com/network/29192", "http://funmeta.oebiotech.com/network/29192")</f>
      </c>
      <c r="I431" s="2" t="s">
        <v>3644</v>
      </c>
      <c r="J431" s="2" t="s">
        <v>3645</v>
      </c>
      <c r="K431" s="2" t="s">
        <v>3646</v>
      </c>
      <c r="L431" s="2" t="s">
        <v>3647</v>
      </c>
      <c r="M431" s="2" t="s">
        <v>3648</v>
      </c>
      <c r="N431" s="2" t="s">
        <v>3649</v>
      </c>
      <c r="O431" s="2" t="s">
        <v>3650</v>
      </c>
      <c r="P431" s="2" t="s">
        <v>3651</v>
      </c>
      <c r="Q431" s="2" t="s">
        <v>3652</v>
      </c>
      <c r="R431" s="2" t="s">
        <v>1355</v>
      </c>
      <c r="S431" s="2" t="s">
        <v>3653</v>
      </c>
      <c r="T431" s="2" t="s">
        <v>3654</v>
      </c>
      <c r="U431" s="2" t="s">
        <v>3641</v>
      </c>
      <c r="V431" s="2" t="s">
        <v>161</v>
      </c>
      <c r="W431" s="2" t="s">
        <v>101</v>
      </c>
    </row>
    <row r="432">
      <c r="A432" s="2" t="n">
        <v>317</v>
      </c>
      <c r="B432" s="2" t="s">
        <v>13611</v>
      </c>
      <c r="C432" s="2" t="s">
        <v>3655</v>
      </c>
      <c r="D432" s="2" t="n">
        <v>263.063302384</v>
      </c>
      <c r="E432" s="2" t="n">
        <v>1.6811786445451</v>
      </c>
      <c r="F432" s="2" t="s">
        <v>13612</v>
      </c>
      <c r="G432" s="2" t="n">
        <v>203997</v>
      </c>
      <c r="H432" s="3" t="str">
        <f>HYPERLINK("http://funmeta.oebiotech.com/network/203997", "http://funmeta.oebiotech.com/network/203997")</f>
      </c>
      <c r="I432" s="2" t="s">
        <v>13613</v>
      </c>
      <c r="J432" s="2" t="s">
        <v>13614</v>
      </c>
      <c r="K432" s="2"/>
      <c r="L432" s="2" t="s">
        <v>13615</v>
      </c>
      <c r="M432" s="2" t="s">
        <v>13616</v>
      </c>
      <c r="N432" s="2" t="s">
        <v>13617</v>
      </c>
      <c r="O432" s="2" t="s">
        <v>13618</v>
      </c>
      <c r="P432" s="2" t="s">
        <v>13619</v>
      </c>
      <c r="Q432" s="2" t="s">
        <v>13620</v>
      </c>
      <c r="R432" s="2" t="s">
        <v>186</v>
      </c>
      <c r="S432" s="2" t="s">
        <v>3770</v>
      </c>
      <c r="T432" s="2" t="s">
        <v>215</v>
      </c>
      <c r="U432" s="2" t="s">
        <v>3656</v>
      </c>
      <c r="V432" s="2" t="s">
        <v>86</v>
      </c>
      <c r="W432" s="2" t="s">
        <v>101</v>
      </c>
    </row>
    <row r="433">
      <c r="A433" s="2" t="n">
        <v>317</v>
      </c>
      <c r="B433" s="2" t="s">
        <v>13621</v>
      </c>
      <c r="C433" s="2" t="s">
        <v>3655</v>
      </c>
      <c r="D433" s="2" t="n">
        <v>263.063302384</v>
      </c>
      <c r="E433" s="2" t="n">
        <v>1.6811786445451</v>
      </c>
      <c r="F433" s="2" t="s">
        <v>13622</v>
      </c>
      <c r="G433" s="2" t="n">
        <v>205034</v>
      </c>
      <c r="H433" s="3" t="str">
        <f>HYPERLINK("http://funmeta.oebiotech.com/network/205034", "http://funmeta.oebiotech.com/network/205034")</f>
      </c>
      <c r="I433" s="2" t="s">
        <v>13623</v>
      </c>
      <c r="J433" s="2" t="s">
        <v>13624</v>
      </c>
      <c r="K433" s="2"/>
      <c r="L433" s="2" t="s">
        <v>13625</v>
      </c>
      <c r="M433" s="2" t="s">
        <v>13626</v>
      </c>
      <c r="N433" s="2" t="s">
        <v>13627</v>
      </c>
      <c r="O433" s="2" t="s">
        <v>13628</v>
      </c>
      <c r="P433" s="2" t="s">
        <v>13629</v>
      </c>
      <c r="Q433" s="2" t="s">
        <v>13630</v>
      </c>
      <c r="R433" s="2" t="s">
        <v>186</v>
      </c>
      <c r="S433" s="2" t="s">
        <v>3770</v>
      </c>
      <c r="T433" s="2" t="s">
        <v>13631</v>
      </c>
      <c r="U433" s="2" t="s">
        <v>3656</v>
      </c>
      <c r="V433" s="2" t="s">
        <v>86</v>
      </c>
      <c r="W433" s="2" t="s">
        <v>101</v>
      </c>
    </row>
    <row r="434">
      <c r="A434" s="2" t="n">
        <v>318</v>
      </c>
      <c r="B434" s="2" t="s">
        <v>13632</v>
      </c>
      <c r="C434" s="2" t="s">
        <v>3669</v>
      </c>
      <c r="D434" s="2" t="n">
        <v>263.132249638</v>
      </c>
      <c r="E434" s="2" t="n">
        <v>3.94886202920278</v>
      </c>
      <c r="F434" s="2" t="s">
        <v>13633</v>
      </c>
      <c r="G434" s="2" t="n">
        <v>62268</v>
      </c>
      <c r="H434" s="3" t="str">
        <f>HYPERLINK("http://funmeta.oebiotech.com/network/62268", "http://funmeta.oebiotech.com/network/62268")</f>
      </c>
      <c r="I434" s="2" t="s">
        <v>13634</v>
      </c>
      <c r="J434" s="2" t="s">
        <v>13635</v>
      </c>
      <c r="K434" s="2"/>
      <c r="L434" s="2"/>
      <c r="M434" s="2" t="s">
        <v>13636</v>
      </c>
      <c r="N434" s="2" t="s">
        <v>13637</v>
      </c>
      <c r="O434" s="2" t="s">
        <v>13638</v>
      </c>
      <c r="P434" s="2" t="s">
        <v>13639</v>
      </c>
      <c r="Q434" s="2" t="s">
        <v>13640</v>
      </c>
      <c r="R434" s="2" t="s">
        <v>794</v>
      </c>
      <c r="S434" s="2" t="s">
        <v>795</v>
      </c>
      <c r="T434" s="2" t="s">
        <v>1870</v>
      </c>
      <c r="U434" s="2" t="s">
        <v>3670</v>
      </c>
      <c r="V434" s="2" t="s">
        <v>205</v>
      </c>
      <c r="W434" s="2" t="s">
        <v>56</v>
      </c>
    </row>
    <row r="435">
      <c r="A435" s="2" t="n">
        <v>318</v>
      </c>
      <c r="B435" s="2" t="s">
        <v>13641</v>
      </c>
      <c r="C435" s="2" t="s">
        <v>3669</v>
      </c>
      <c r="D435" s="2" t="n">
        <v>263.132249638</v>
      </c>
      <c r="E435" s="2" t="n">
        <v>3.94886202920278</v>
      </c>
      <c r="F435" s="2" t="s">
        <v>13642</v>
      </c>
      <c r="G435" s="2" t="n">
        <v>62267</v>
      </c>
      <c r="H435" s="3" t="str">
        <f>HYPERLINK("http://funmeta.oebiotech.com/network/62267", "http://funmeta.oebiotech.com/network/62267")</f>
      </c>
      <c r="I435" s="2" t="s">
        <v>13643</v>
      </c>
      <c r="J435" s="2" t="s">
        <v>13644</v>
      </c>
      <c r="K435" s="2"/>
      <c r="L435" s="2"/>
      <c r="M435" s="2" t="s">
        <v>13645</v>
      </c>
      <c r="N435" s="2" t="s">
        <v>13646</v>
      </c>
      <c r="O435" s="2"/>
      <c r="P435" s="2" t="s">
        <v>13647</v>
      </c>
      <c r="Q435" s="2" t="s">
        <v>13648</v>
      </c>
      <c r="R435" s="2" t="s">
        <v>794</v>
      </c>
      <c r="S435" s="2" t="s">
        <v>795</v>
      </c>
      <c r="T435" s="2" t="s">
        <v>1870</v>
      </c>
      <c r="U435" s="2" t="s">
        <v>3670</v>
      </c>
      <c r="V435" s="2" t="s">
        <v>205</v>
      </c>
      <c r="W435" s="2" t="s">
        <v>56</v>
      </c>
    </row>
    <row r="436">
      <c r="A436" s="2" t="n">
        <v>319</v>
      </c>
      <c r="B436" s="2" t="s">
        <v>13649</v>
      </c>
      <c r="C436" s="2" t="s">
        <v>3681</v>
      </c>
      <c r="D436" s="2" t="n">
        <v>263.165268634</v>
      </c>
      <c r="E436" s="2" t="n">
        <v>2.23571305622903</v>
      </c>
      <c r="F436" s="2" t="s">
        <v>3683</v>
      </c>
      <c r="G436" s="2" t="n">
        <v>56539</v>
      </c>
      <c r="H436" s="3" t="str">
        <f>HYPERLINK("http://funmeta.oebiotech.com/network/56539", "http://funmeta.oebiotech.com/network/56539")</f>
      </c>
      <c r="I436" s="2" t="s">
        <v>3685</v>
      </c>
      <c r="J436" s="2" t="s">
        <v>3686</v>
      </c>
      <c r="K436" s="2"/>
      <c r="L436" s="2"/>
      <c r="M436" s="2" t="s">
        <v>3687</v>
      </c>
      <c r="N436" s="2" t="s">
        <v>3688</v>
      </c>
      <c r="O436" s="2" t="s">
        <v>3689</v>
      </c>
      <c r="P436" s="2" t="s">
        <v>3690</v>
      </c>
      <c r="Q436" s="2" t="s">
        <v>3691</v>
      </c>
      <c r="R436" s="2" t="s">
        <v>794</v>
      </c>
      <c r="S436" s="2" t="s">
        <v>795</v>
      </c>
      <c r="T436" s="2" t="s">
        <v>3692</v>
      </c>
      <c r="U436" s="2" t="s">
        <v>3682</v>
      </c>
      <c r="V436" s="2" t="s">
        <v>24</v>
      </c>
      <c r="W436" s="2" t="s">
        <v>56</v>
      </c>
    </row>
    <row r="437">
      <c r="A437" s="2" t="n">
        <v>320</v>
      </c>
      <c r="B437" s="2" t="s">
        <v>13650</v>
      </c>
      <c r="C437" s="2" t="s">
        <v>3693</v>
      </c>
      <c r="D437" s="2" t="n">
        <v>265.02310692</v>
      </c>
      <c r="E437" s="2" t="n">
        <v>0.0966446283662164</v>
      </c>
      <c r="F437" s="2" t="s">
        <v>3695</v>
      </c>
      <c r="G437" s="2" t="n">
        <v>51931</v>
      </c>
      <c r="H437" s="3" t="str">
        <f>HYPERLINK("http://funmeta.oebiotech.com/network/51931", "http://funmeta.oebiotech.com/network/51931")</f>
      </c>
      <c r="I437" s="2" t="s">
        <v>3697</v>
      </c>
      <c r="J437" s="2" t="s">
        <v>3698</v>
      </c>
      <c r="K437" s="2"/>
      <c r="L437" s="2" t="s">
        <v>3699</v>
      </c>
      <c r="M437" s="2" t="s">
        <v>3700</v>
      </c>
      <c r="N437" s="2" t="s">
        <v>3701</v>
      </c>
      <c r="O437" s="2" t="s">
        <v>3702</v>
      </c>
      <c r="P437" s="2" t="s">
        <v>3703</v>
      </c>
      <c r="Q437" s="2" t="s">
        <v>3704</v>
      </c>
      <c r="R437" s="2" t="s">
        <v>36</v>
      </c>
      <c r="S437" s="2" t="s">
        <v>2572</v>
      </c>
      <c r="T437" s="2" t="s">
        <v>2637</v>
      </c>
      <c r="U437" s="2" t="s">
        <v>3694</v>
      </c>
      <c r="V437" s="2" t="s">
        <v>205</v>
      </c>
      <c r="W437" s="2" t="s">
        <v>56</v>
      </c>
    </row>
    <row r="438">
      <c r="A438" s="2" t="n">
        <v>321</v>
      </c>
      <c r="B438" s="2" t="s">
        <v>13651</v>
      </c>
      <c r="C438" s="2" t="s">
        <v>3705</v>
      </c>
      <c r="D438" s="2" t="n">
        <v>265.217304204</v>
      </c>
      <c r="E438" s="2" t="n">
        <v>17.3187614234264</v>
      </c>
      <c r="F438" s="2" t="s">
        <v>3707</v>
      </c>
      <c r="G438" s="2" t="n">
        <v>55700</v>
      </c>
      <c r="H438" s="3" t="str">
        <f>HYPERLINK("http://funmeta.oebiotech.com/network/55700", "http://funmeta.oebiotech.com/network/55700")</f>
      </c>
      <c r="I438" s="2" t="s">
        <v>3709</v>
      </c>
      <c r="J438" s="2" t="s">
        <v>3710</v>
      </c>
      <c r="K438" s="2"/>
      <c r="L438" s="2"/>
      <c r="M438" s="2" t="s">
        <v>3711</v>
      </c>
      <c r="N438" s="2" t="s">
        <v>3712</v>
      </c>
      <c r="O438" s="2" t="s">
        <v>3713</v>
      </c>
      <c r="P438" s="2" t="s">
        <v>3714</v>
      </c>
      <c r="Q438" s="2" t="s">
        <v>3715</v>
      </c>
      <c r="R438" s="2" t="s">
        <v>794</v>
      </c>
      <c r="S438" s="2" t="s">
        <v>795</v>
      </c>
      <c r="T438" s="2" t="s">
        <v>1870</v>
      </c>
      <c r="U438" s="2" t="s">
        <v>3706</v>
      </c>
      <c r="V438" s="2" t="s">
        <v>24</v>
      </c>
      <c r="W438" s="2" t="s">
        <v>56</v>
      </c>
    </row>
    <row r="439">
      <c r="A439" s="2" t="n">
        <v>322</v>
      </c>
      <c r="B439" s="2" t="s">
        <v>13652</v>
      </c>
      <c r="C439" s="2" t="s">
        <v>3716</v>
      </c>
      <c r="D439" s="2" t="n">
        <v>266.019976488</v>
      </c>
      <c r="E439" s="2" t="n">
        <v>1.57547340159309</v>
      </c>
      <c r="F439" s="2" t="s">
        <v>3718</v>
      </c>
      <c r="G439" s="2" t="n">
        <v>201574</v>
      </c>
      <c r="H439" s="3" t="str">
        <f>HYPERLINK("http://funmeta.oebiotech.com/network/201574", "http://funmeta.oebiotech.com/network/201574")</f>
      </c>
      <c r="I439" s="2" t="s">
        <v>3720</v>
      </c>
      <c r="J439" s="2"/>
      <c r="K439" s="2"/>
      <c r="L439" s="2"/>
      <c r="M439" s="2"/>
      <c r="N439" s="2"/>
      <c r="O439" s="2"/>
      <c r="P439" s="2" t="s">
        <v>3721</v>
      </c>
      <c r="Q439" s="2" t="s">
        <v>3722</v>
      </c>
      <c r="R439" s="2" t="s">
        <v>186</v>
      </c>
      <c r="S439" s="2" t="s">
        <v>187</v>
      </c>
      <c r="T439" s="2" t="s">
        <v>1206</v>
      </c>
      <c r="U439" s="2" t="s">
        <v>3717</v>
      </c>
      <c r="V439" s="2" t="s">
        <v>531</v>
      </c>
      <c r="W439" s="2"/>
    </row>
    <row r="440">
      <c r="A440" s="2" t="n">
        <v>323</v>
      </c>
      <c r="B440" s="2" t="s">
        <v>13653</v>
      </c>
      <c r="C440" s="2" t="s">
        <v>3723</v>
      </c>
      <c r="D440" s="2" t="n">
        <v>266.088140525</v>
      </c>
      <c r="E440" s="2" t="n">
        <v>0.850599527090676</v>
      </c>
      <c r="F440" s="2" t="s">
        <v>3725</v>
      </c>
      <c r="G440" s="2" t="n">
        <v>47247</v>
      </c>
      <c r="H440" s="3" t="str">
        <f>HYPERLINK("http://funmeta.oebiotech.com/network/47247", "http://funmeta.oebiotech.com/network/47247")</f>
      </c>
      <c r="I440" s="2" t="s">
        <v>3727</v>
      </c>
      <c r="J440" s="2" t="s">
        <v>3728</v>
      </c>
      <c r="K440" s="2"/>
      <c r="L440" s="2" t="s">
        <v>3729</v>
      </c>
      <c r="M440" s="2" t="s">
        <v>3730</v>
      </c>
      <c r="N440" s="2" t="s">
        <v>3731</v>
      </c>
      <c r="O440" s="2" t="s">
        <v>3732</v>
      </c>
      <c r="P440" s="2" t="s">
        <v>3733</v>
      </c>
      <c r="Q440" s="2" t="s">
        <v>3734</v>
      </c>
      <c r="R440" s="2" t="s">
        <v>129</v>
      </c>
      <c r="S440" s="2" t="s">
        <v>130</v>
      </c>
      <c r="T440" s="2" t="s">
        <v>1681</v>
      </c>
      <c r="U440" s="2" t="s">
        <v>3724</v>
      </c>
      <c r="V440" s="2" t="s">
        <v>24</v>
      </c>
      <c r="W440" s="2" t="s">
        <v>56</v>
      </c>
    </row>
    <row r="441">
      <c r="A441" s="2" t="n">
        <v>324</v>
      </c>
      <c r="B441" s="2" t="s">
        <v>13654</v>
      </c>
      <c r="C441" s="2" t="s">
        <v>3735</v>
      </c>
      <c r="D441" s="2" t="n">
        <v>266.817314</v>
      </c>
      <c r="E441" s="2" t="n">
        <v>0.97067100368329</v>
      </c>
      <c r="F441" s="2" t="s">
        <v>3737</v>
      </c>
      <c r="G441" s="2" t="n">
        <v>205977</v>
      </c>
      <c r="H441" s="3" t="str">
        <f>HYPERLINK("http://funmeta.oebiotech.com/network/205977", "http://funmeta.oebiotech.com/network/205977")</f>
      </c>
      <c r="I441" s="2" t="s">
        <v>3739</v>
      </c>
      <c r="J441" s="2" t="s">
        <v>3740</v>
      </c>
      <c r="K441" s="2"/>
      <c r="L441" s="2"/>
      <c r="M441" s="2"/>
      <c r="N441" s="2" t="s">
        <v>3741</v>
      </c>
      <c r="O441" s="2"/>
      <c r="P441" s="2" t="s">
        <v>3742</v>
      </c>
      <c r="Q441" s="2" t="s">
        <v>3743</v>
      </c>
      <c r="R441" s="2" t="s">
        <v>213</v>
      </c>
      <c r="S441" s="2" t="s">
        <v>3744</v>
      </c>
      <c r="T441" s="2" t="s">
        <v>3745</v>
      </c>
      <c r="U441" s="2" t="s">
        <v>3736</v>
      </c>
      <c r="V441" s="2" t="s">
        <v>24</v>
      </c>
      <c r="W441" s="2"/>
    </row>
    <row r="442">
      <c r="A442" s="2" t="n">
        <v>325</v>
      </c>
      <c r="B442" s="2" t="s">
        <v>13655</v>
      </c>
      <c r="C442" s="2" t="s">
        <v>3746</v>
      </c>
      <c r="D442" s="2" t="n">
        <v>267.07751626</v>
      </c>
      <c r="E442" s="2" t="n">
        <v>0.866233519940726</v>
      </c>
      <c r="F442" s="2" t="s">
        <v>3748</v>
      </c>
      <c r="G442" s="2" t="n">
        <v>82546</v>
      </c>
      <c r="H442" s="3" t="str">
        <f>HYPERLINK("http://funmeta.oebiotech.com/network/82546", "http://funmeta.oebiotech.com/network/82546")</f>
      </c>
      <c r="I442" s="2" t="s">
        <v>3750</v>
      </c>
      <c r="J442" s="2" t="s">
        <v>3751</v>
      </c>
      <c r="K442" s="2"/>
      <c r="L442" s="2" t="s">
        <v>3752</v>
      </c>
      <c r="M442" s="2" t="s">
        <v>3753</v>
      </c>
      <c r="N442" s="2" t="s">
        <v>3754</v>
      </c>
      <c r="O442" s="2"/>
      <c r="P442" s="2" t="s">
        <v>3755</v>
      </c>
      <c r="Q442" s="2" t="s">
        <v>3756</v>
      </c>
      <c r="R442" s="2" t="s">
        <v>114</v>
      </c>
      <c r="S442" s="2" t="s">
        <v>3757</v>
      </c>
      <c r="T442" s="2" t="s">
        <v>3758</v>
      </c>
      <c r="U442" s="2" t="s">
        <v>3747</v>
      </c>
      <c r="V442" s="2" t="s">
        <v>24</v>
      </c>
      <c r="W442" s="2" t="s">
        <v>56</v>
      </c>
    </row>
    <row r="443">
      <c r="A443" s="2" t="n">
        <v>326</v>
      </c>
      <c r="B443" s="2" t="s">
        <v>13656</v>
      </c>
      <c r="C443" s="2" t="s">
        <v>3759</v>
      </c>
      <c r="D443" s="2" t="n">
        <v>267.117924515</v>
      </c>
      <c r="E443" s="2" t="n">
        <v>8.53501495051891</v>
      </c>
      <c r="F443" s="2" t="s">
        <v>3761</v>
      </c>
      <c r="G443" s="2" t="n">
        <v>201308</v>
      </c>
      <c r="H443" s="3" t="str">
        <f>HYPERLINK("http://funmeta.oebiotech.com/network/201308", "http://funmeta.oebiotech.com/network/201308")</f>
      </c>
      <c r="I443" s="2" t="s">
        <v>3763</v>
      </c>
      <c r="J443" s="2" t="s">
        <v>3764</v>
      </c>
      <c r="K443" s="2"/>
      <c r="L443" s="2" t="s">
        <v>3765</v>
      </c>
      <c r="M443" s="2" t="s">
        <v>3766</v>
      </c>
      <c r="N443" s="2" t="s">
        <v>3767</v>
      </c>
      <c r="O443" s="2"/>
      <c r="P443" s="2" t="s">
        <v>3768</v>
      </c>
      <c r="Q443" s="2" t="s">
        <v>3769</v>
      </c>
      <c r="R443" s="2" t="s">
        <v>186</v>
      </c>
      <c r="S443" s="2" t="s">
        <v>3770</v>
      </c>
      <c r="T443" s="2" t="s">
        <v>215</v>
      </c>
      <c r="U443" s="2" t="s">
        <v>3760</v>
      </c>
      <c r="V443" s="2" t="s">
        <v>24</v>
      </c>
      <c r="W443" s="2" t="s">
        <v>101</v>
      </c>
    </row>
    <row r="444">
      <c r="A444" s="2" t="n">
        <v>327</v>
      </c>
      <c r="B444" s="2" t="s">
        <v>13657</v>
      </c>
      <c r="C444" s="2" t="s">
        <v>3771</v>
      </c>
      <c r="D444" s="2" t="n">
        <v>267.232403954</v>
      </c>
      <c r="E444" s="2" t="n">
        <v>11.2154856730061</v>
      </c>
      <c r="F444" s="2" t="s">
        <v>13658</v>
      </c>
      <c r="G444" s="2" t="n">
        <v>83252</v>
      </c>
      <c r="H444" s="3" t="str">
        <f>HYPERLINK("http://funmeta.oebiotech.com/network/83252", "http://funmeta.oebiotech.com/network/83252")</f>
      </c>
      <c r="I444" s="2" t="s">
        <v>13659</v>
      </c>
      <c r="J444" s="2"/>
      <c r="K444" s="2"/>
      <c r="L444" s="2"/>
      <c r="M444" s="2"/>
      <c r="N444" s="2" t="s">
        <v>13660</v>
      </c>
      <c r="O444" s="2"/>
      <c r="P444" s="2" t="s">
        <v>13661</v>
      </c>
      <c r="Q444" s="2" t="s">
        <v>13662</v>
      </c>
      <c r="R444" s="2" t="s">
        <v>794</v>
      </c>
      <c r="S444" s="2" t="s">
        <v>795</v>
      </c>
      <c r="T444" s="2" t="s">
        <v>796</v>
      </c>
      <c r="U444" s="2" t="s">
        <v>3772</v>
      </c>
      <c r="V444" s="2" t="s">
        <v>161</v>
      </c>
      <c r="W444" s="2" t="s">
        <v>56</v>
      </c>
    </row>
    <row r="445">
      <c r="A445" s="2" t="n">
        <v>327</v>
      </c>
      <c r="B445" s="2" t="s">
        <v>13663</v>
      </c>
      <c r="C445" s="2" t="s">
        <v>3771</v>
      </c>
      <c r="D445" s="2" t="n">
        <v>267.232403954</v>
      </c>
      <c r="E445" s="2" t="n">
        <v>11.2154856730061</v>
      </c>
      <c r="F445" s="2" t="s">
        <v>13664</v>
      </c>
      <c r="G445" s="2" t="n">
        <v>6359</v>
      </c>
      <c r="H445" s="3" t="str">
        <f>HYPERLINK("http://funmeta.oebiotech.com/network/6359", "http://funmeta.oebiotech.com/network/6359")</f>
      </c>
      <c r="I445" s="2" t="s">
        <v>13665</v>
      </c>
      <c r="J445" s="2" t="s">
        <v>13666</v>
      </c>
      <c r="K445" s="2" t="s">
        <v>13667</v>
      </c>
      <c r="L445" s="2"/>
      <c r="M445" s="2" t="s">
        <v>13668</v>
      </c>
      <c r="N445" s="2" t="s">
        <v>13669</v>
      </c>
      <c r="O445" s="2" t="s">
        <v>13670</v>
      </c>
      <c r="P445" s="2" t="s">
        <v>13671</v>
      </c>
      <c r="Q445" s="2" t="s">
        <v>13672</v>
      </c>
      <c r="R445" s="2" t="s">
        <v>794</v>
      </c>
      <c r="S445" s="2" t="s">
        <v>795</v>
      </c>
      <c r="T445" s="2" t="s">
        <v>3273</v>
      </c>
      <c r="U445" s="2" t="s">
        <v>3772</v>
      </c>
      <c r="V445" s="2" t="s">
        <v>161</v>
      </c>
      <c r="W445" s="2" t="s">
        <v>56</v>
      </c>
    </row>
    <row r="446">
      <c r="A446" s="2" t="n">
        <v>328</v>
      </c>
      <c r="B446" s="2" t="s">
        <v>13673</v>
      </c>
      <c r="C446" s="2" t="s">
        <v>3784</v>
      </c>
      <c r="D446" s="2" t="n">
        <v>268.105127983</v>
      </c>
      <c r="E446" s="2" t="n">
        <v>7.14066445456545</v>
      </c>
      <c r="F446" s="2" t="s">
        <v>13674</v>
      </c>
      <c r="G446" s="2" t="n">
        <v>53772</v>
      </c>
      <c r="H446" s="3" t="str">
        <f>HYPERLINK("http://funmeta.oebiotech.com/network/53772", "http://funmeta.oebiotech.com/network/53772")</f>
      </c>
      <c r="I446" s="2" t="s">
        <v>13675</v>
      </c>
      <c r="J446" s="2" t="s">
        <v>13676</v>
      </c>
      <c r="K446" s="2"/>
      <c r="L446" s="2"/>
      <c r="M446" s="2" t="s">
        <v>13677</v>
      </c>
      <c r="N446" s="2" t="s">
        <v>13678</v>
      </c>
      <c r="O446" s="2" t="s">
        <v>13679</v>
      </c>
      <c r="P446" s="2" t="s">
        <v>13680</v>
      </c>
      <c r="Q446" s="2" t="s">
        <v>13681</v>
      </c>
      <c r="R446" s="2" t="s">
        <v>36</v>
      </c>
      <c r="S446" s="2" t="s">
        <v>37</v>
      </c>
      <c r="T446" s="2" t="s">
        <v>69</v>
      </c>
      <c r="U446" s="2" t="s">
        <v>3785</v>
      </c>
      <c r="V446" s="2" t="s">
        <v>24</v>
      </c>
      <c r="W446" s="2" t="s">
        <v>56</v>
      </c>
    </row>
    <row r="447">
      <c r="A447" s="2" t="n">
        <v>328</v>
      </c>
      <c r="B447" s="2" t="s">
        <v>13682</v>
      </c>
      <c r="C447" s="2" t="s">
        <v>3784</v>
      </c>
      <c r="D447" s="2" t="n">
        <v>268.105127983</v>
      </c>
      <c r="E447" s="2" t="n">
        <v>7.14066445456545</v>
      </c>
      <c r="F447" s="2" t="s">
        <v>13683</v>
      </c>
      <c r="G447" s="2" t="n">
        <v>53904</v>
      </c>
      <c r="H447" s="3" t="str">
        <f>HYPERLINK("http://funmeta.oebiotech.com/network/53904", "http://funmeta.oebiotech.com/network/53904")</f>
      </c>
      <c r="I447" s="2" t="s">
        <v>13684</v>
      </c>
      <c r="J447" s="2"/>
      <c r="K447" s="2"/>
      <c r="L447" s="2"/>
      <c r="M447" s="2"/>
      <c r="N447" s="2" t="s">
        <v>13685</v>
      </c>
      <c r="O447" s="2" t="s">
        <v>13686</v>
      </c>
      <c r="P447" s="2" t="s">
        <v>13687</v>
      </c>
      <c r="Q447" s="2" t="s">
        <v>13688</v>
      </c>
      <c r="R447" s="2" t="s">
        <v>36</v>
      </c>
      <c r="S447" s="2" t="s">
        <v>37</v>
      </c>
      <c r="T447" s="2" t="s">
        <v>69</v>
      </c>
      <c r="U447" s="2" t="s">
        <v>3785</v>
      </c>
      <c r="V447" s="2" t="s">
        <v>24</v>
      </c>
      <c r="W447" s="2" t="s">
        <v>56</v>
      </c>
    </row>
    <row r="448">
      <c r="A448" s="2" t="n">
        <v>329</v>
      </c>
      <c r="B448" s="2" t="s">
        <v>13689</v>
      </c>
      <c r="C448" s="2" t="s">
        <v>3795</v>
      </c>
      <c r="D448" s="2" t="n">
        <v>269.093162016</v>
      </c>
      <c r="E448" s="2" t="n">
        <v>2.56615171375449</v>
      </c>
      <c r="F448" s="2" t="s">
        <v>3797</v>
      </c>
      <c r="G448" s="2" t="n">
        <v>55196</v>
      </c>
      <c r="H448" s="3" t="str">
        <f>HYPERLINK("http://funmeta.oebiotech.com/network/55196", "http://funmeta.oebiotech.com/network/55196")</f>
      </c>
      <c r="I448" s="2" t="s">
        <v>3799</v>
      </c>
      <c r="J448" s="2" t="s">
        <v>3800</v>
      </c>
      <c r="K448" s="2"/>
      <c r="L448" s="2"/>
      <c r="M448" s="2"/>
      <c r="N448" s="2" t="s">
        <v>3801</v>
      </c>
      <c r="O448" s="2" t="s">
        <v>3802</v>
      </c>
      <c r="P448" s="2" t="s">
        <v>3803</v>
      </c>
      <c r="Q448" s="2" t="s">
        <v>3804</v>
      </c>
      <c r="R448" s="2" t="s">
        <v>3003</v>
      </c>
      <c r="S448" s="2" t="s">
        <v>3805</v>
      </c>
      <c r="T448" s="2" t="s">
        <v>215</v>
      </c>
      <c r="U448" s="2" t="s">
        <v>3796</v>
      </c>
      <c r="V448" s="2" t="s">
        <v>205</v>
      </c>
      <c r="W448" s="2" t="s">
        <v>56</v>
      </c>
    </row>
    <row r="449">
      <c r="A449" s="2" t="n">
        <v>330</v>
      </c>
      <c r="B449" s="2" t="s">
        <v>13690</v>
      </c>
      <c r="C449" s="2" t="s">
        <v>3806</v>
      </c>
      <c r="D449" s="2" t="n">
        <v>269.211668512</v>
      </c>
      <c r="E449" s="2" t="n">
        <v>17.0542545291593</v>
      </c>
      <c r="F449" s="2" t="s">
        <v>3808</v>
      </c>
      <c r="G449" s="2" t="n">
        <v>1846</v>
      </c>
      <c r="H449" s="3" t="str">
        <f>HYPERLINK("http://funmeta.oebiotech.com/network/1846", "http://funmeta.oebiotech.com/network/1846")</f>
      </c>
      <c r="I449" s="2" t="s">
        <v>3810</v>
      </c>
      <c r="J449" s="2" t="s">
        <v>3811</v>
      </c>
      <c r="K449" s="2" t="s">
        <v>3812</v>
      </c>
      <c r="L449" s="2" t="s">
        <v>3813</v>
      </c>
      <c r="M449" s="2" t="s">
        <v>3814</v>
      </c>
      <c r="N449" s="2" t="s">
        <v>3815</v>
      </c>
      <c r="O449" s="2" t="s">
        <v>3816</v>
      </c>
      <c r="P449" s="2" t="s">
        <v>3817</v>
      </c>
      <c r="Q449" s="2" t="s">
        <v>3818</v>
      </c>
      <c r="R449" s="2" t="s">
        <v>794</v>
      </c>
      <c r="S449" s="2" t="s">
        <v>795</v>
      </c>
      <c r="T449" s="2" t="s">
        <v>796</v>
      </c>
      <c r="U449" s="2" t="s">
        <v>3807</v>
      </c>
      <c r="V449" s="2" t="s">
        <v>161</v>
      </c>
      <c r="W449" s="2" t="s">
        <v>56</v>
      </c>
    </row>
    <row r="450">
      <c r="A450" s="2" t="n">
        <v>331</v>
      </c>
      <c r="B450" s="2" t="s">
        <v>13691</v>
      </c>
      <c r="C450" s="2" t="s">
        <v>3819</v>
      </c>
      <c r="D450" s="2" t="n">
        <v>269.248600024</v>
      </c>
      <c r="E450" s="2" t="n">
        <v>9.60201561231207</v>
      </c>
      <c r="F450" s="2" t="s">
        <v>3821</v>
      </c>
      <c r="G450" s="2" t="n">
        <v>199424</v>
      </c>
      <c r="H450" s="3" t="str">
        <f>HYPERLINK("http://funmeta.oebiotech.com/network/199424", "http://funmeta.oebiotech.com/network/199424")</f>
      </c>
      <c r="I450" s="2" t="s">
        <v>3823</v>
      </c>
      <c r="J450" s="2"/>
      <c r="K450" s="2"/>
      <c r="L450" s="2"/>
      <c r="M450" s="2" t="s">
        <v>3824</v>
      </c>
      <c r="N450" s="2"/>
      <c r="O450" s="2"/>
      <c r="P450" s="2" t="s">
        <v>3825</v>
      </c>
      <c r="Q450" s="2" t="s">
        <v>3826</v>
      </c>
      <c r="R450" s="2" t="s">
        <v>501</v>
      </c>
      <c r="S450" s="2" t="s">
        <v>502</v>
      </c>
      <c r="T450" s="2" t="s">
        <v>3827</v>
      </c>
      <c r="U450" s="2" t="s">
        <v>3820</v>
      </c>
      <c r="V450" s="2" t="s">
        <v>205</v>
      </c>
      <c r="W450" s="2"/>
    </row>
    <row r="451">
      <c r="A451" s="2" t="n">
        <v>332</v>
      </c>
      <c r="B451" s="2" t="s">
        <v>13692</v>
      </c>
      <c r="C451" s="2" t="s">
        <v>3828</v>
      </c>
      <c r="D451" s="2" t="n">
        <v>271.005729204</v>
      </c>
      <c r="E451" s="2" t="n">
        <v>8.28716694568439</v>
      </c>
      <c r="F451" s="2" t="s">
        <v>13693</v>
      </c>
      <c r="G451" s="2" t="n">
        <v>57324</v>
      </c>
      <c r="H451" s="3" t="str">
        <f>HYPERLINK("http://funmeta.oebiotech.com/network/57324", "http://funmeta.oebiotech.com/network/57324")</f>
      </c>
      <c r="I451" s="2" t="s">
        <v>13694</v>
      </c>
      <c r="J451" s="2" t="s">
        <v>13695</v>
      </c>
      <c r="K451" s="2"/>
      <c r="L451" s="2"/>
      <c r="M451" s="2" t="s">
        <v>13696</v>
      </c>
      <c r="N451" s="2" t="s">
        <v>13697</v>
      </c>
      <c r="O451" s="2"/>
      <c r="P451" s="2" t="s">
        <v>13698</v>
      </c>
      <c r="Q451" s="2" t="s">
        <v>13699</v>
      </c>
      <c r="R451" s="2" t="s">
        <v>644</v>
      </c>
      <c r="S451" s="2" t="s">
        <v>2156</v>
      </c>
      <c r="T451" s="2" t="s">
        <v>215</v>
      </c>
      <c r="U451" s="2" t="s">
        <v>3829</v>
      </c>
      <c r="V451" s="2" t="s">
        <v>86</v>
      </c>
      <c r="W451" s="2"/>
    </row>
    <row r="452">
      <c r="A452" s="2" t="n">
        <v>332</v>
      </c>
      <c r="B452" s="2" t="s">
        <v>13700</v>
      </c>
      <c r="C452" s="2" t="s">
        <v>3828</v>
      </c>
      <c r="D452" s="2" t="n">
        <v>271.005729204</v>
      </c>
      <c r="E452" s="2" t="n">
        <v>8.28716694568439</v>
      </c>
      <c r="F452" s="2" t="s">
        <v>13701</v>
      </c>
      <c r="G452" s="2" t="n">
        <v>60133</v>
      </c>
      <c r="H452" s="3" t="str">
        <f>HYPERLINK("http://funmeta.oebiotech.com/network/60133", "http://funmeta.oebiotech.com/network/60133")</f>
      </c>
      <c r="I452" s="2" t="s">
        <v>13702</v>
      </c>
      <c r="J452" s="2" t="s">
        <v>13703</v>
      </c>
      <c r="K452" s="2"/>
      <c r="L452" s="2"/>
      <c r="M452" s="2" t="s">
        <v>13704</v>
      </c>
      <c r="N452" s="2" t="s">
        <v>13705</v>
      </c>
      <c r="O452" s="2" t="s">
        <v>13706</v>
      </c>
      <c r="P452" s="2" t="s">
        <v>13707</v>
      </c>
      <c r="Q452" s="2" t="s">
        <v>13708</v>
      </c>
      <c r="R452" s="2" t="s">
        <v>644</v>
      </c>
      <c r="S452" s="2" t="s">
        <v>2156</v>
      </c>
      <c r="T452" s="2" t="s">
        <v>215</v>
      </c>
      <c r="U452" s="2" t="s">
        <v>3829</v>
      </c>
      <c r="V452" s="2" t="s">
        <v>86</v>
      </c>
      <c r="W452" s="2"/>
    </row>
    <row r="453">
      <c r="A453" s="2" t="n">
        <v>332</v>
      </c>
      <c r="B453" s="2" t="s">
        <v>13709</v>
      </c>
      <c r="C453" s="2" t="s">
        <v>3828</v>
      </c>
      <c r="D453" s="2" t="n">
        <v>271.005729204</v>
      </c>
      <c r="E453" s="2" t="n">
        <v>8.28716694568439</v>
      </c>
      <c r="F453" s="2" t="s">
        <v>13710</v>
      </c>
      <c r="G453" s="2" t="n">
        <v>60134</v>
      </c>
      <c r="H453" s="3" t="str">
        <f>HYPERLINK("http://funmeta.oebiotech.com/network/60134", "http://funmeta.oebiotech.com/network/60134")</f>
      </c>
      <c r="I453" s="2" t="s">
        <v>13711</v>
      </c>
      <c r="J453" s="2"/>
      <c r="K453" s="2"/>
      <c r="L453" s="2"/>
      <c r="M453" s="2" t="s">
        <v>13712</v>
      </c>
      <c r="N453" s="2" t="s">
        <v>13713</v>
      </c>
      <c r="O453" s="2" t="s">
        <v>13706</v>
      </c>
      <c r="P453" s="2" t="s">
        <v>13714</v>
      </c>
      <c r="Q453" s="2" t="s">
        <v>13715</v>
      </c>
      <c r="R453" s="2" t="s">
        <v>644</v>
      </c>
      <c r="S453" s="2" t="s">
        <v>2156</v>
      </c>
      <c r="T453" s="2" t="s">
        <v>215</v>
      </c>
      <c r="U453" s="2" t="s">
        <v>3829</v>
      </c>
      <c r="V453" s="2" t="s">
        <v>86</v>
      </c>
      <c r="W453" s="2"/>
    </row>
    <row r="454">
      <c r="A454" s="2" t="n">
        <v>333</v>
      </c>
      <c r="B454" s="2" t="s">
        <v>13716</v>
      </c>
      <c r="C454" s="2" t="s">
        <v>3841</v>
      </c>
      <c r="D454" s="2" t="n">
        <v>271.22786889</v>
      </c>
      <c r="E454" s="2" t="n">
        <v>8.27341053140943</v>
      </c>
      <c r="F454" s="2" t="s">
        <v>3843</v>
      </c>
      <c r="G454" s="2" t="n">
        <v>1695</v>
      </c>
      <c r="H454" s="3" t="str">
        <f>HYPERLINK("http://funmeta.oebiotech.com/network/1695", "http://funmeta.oebiotech.com/network/1695")</f>
      </c>
      <c r="I454" s="2" t="s">
        <v>3845</v>
      </c>
      <c r="J454" s="2" t="s">
        <v>3846</v>
      </c>
      <c r="K454" s="2" t="s">
        <v>3847</v>
      </c>
      <c r="L454" s="2" t="s">
        <v>3848</v>
      </c>
      <c r="M454" s="2" t="s">
        <v>3849</v>
      </c>
      <c r="N454" s="2" t="s">
        <v>3850</v>
      </c>
      <c r="O454" s="2" t="s">
        <v>3851</v>
      </c>
      <c r="P454" s="2" t="s">
        <v>3852</v>
      </c>
      <c r="Q454" s="2" t="s">
        <v>3853</v>
      </c>
      <c r="R454" s="2" t="s">
        <v>794</v>
      </c>
      <c r="S454" s="2" t="s">
        <v>795</v>
      </c>
      <c r="T454" s="2" t="s">
        <v>796</v>
      </c>
      <c r="U454" s="2" t="s">
        <v>3842</v>
      </c>
      <c r="V454" s="2" t="s">
        <v>24</v>
      </c>
      <c r="W454" s="2" t="s">
        <v>56</v>
      </c>
    </row>
    <row r="455">
      <c r="A455" s="2" t="n">
        <v>334</v>
      </c>
      <c r="B455" s="2" t="s">
        <v>13717</v>
      </c>
      <c r="C455" s="2" t="s">
        <v>3854</v>
      </c>
      <c r="D455" s="2" t="n">
        <v>272.0114445</v>
      </c>
      <c r="E455" s="2" t="n">
        <v>5.21435257110549</v>
      </c>
      <c r="F455" s="2" t="s">
        <v>3856</v>
      </c>
      <c r="G455" s="2" t="n">
        <v>208330</v>
      </c>
      <c r="H455" s="3" t="str">
        <f>HYPERLINK("http://funmeta.oebiotech.com/network/208330", "http://funmeta.oebiotech.com/network/208330")</f>
      </c>
      <c r="I455" s="2" t="s">
        <v>3858</v>
      </c>
      <c r="J455" s="2" t="s">
        <v>3859</v>
      </c>
      <c r="K455" s="2"/>
      <c r="L455" s="2"/>
      <c r="M455" s="2"/>
      <c r="N455" s="2" t="s">
        <v>3860</v>
      </c>
      <c r="O455" s="2"/>
      <c r="P455" s="2" t="s">
        <v>3861</v>
      </c>
      <c r="Q455" s="2" t="s">
        <v>3862</v>
      </c>
      <c r="R455" s="2" t="s">
        <v>186</v>
      </c>
      <c r="S455" s="2" t="s">
        <v>187</v>
      </c>
      <c r="T455" s="2" t="s">
        <v>3454</v>
      </c>
      <c r="U455" s="2" t="s">
        <v>3855</v>
      </c>
      <c r="V455" s="2" t="s">
        <v>161</v>
      </c>
      <c r="W455" s="2"/>
    </row>
    <row r="456">
      <c r="A456" s="2" t="n">
        <v>335</v>
      </c>
      <c r="B456" s="2" t="s">
        <v>13718</v>
      </c>
      <c r="C456" s="2" t="s">
        <v>3863</v>
      </c>
      <c r="D456" s="2" t="n">
        <v>272.092827665</v>
      </c>
      <c r="E456" s="2" t="n">
        <v>0.516575424290936</v>
      </c>
      <c r="F456" s="2" t="s">
        <v>13719</v>
      </c>
      <c r="G456" s="2" t="n">
        <v>57682</v>
      </c>
      <c r="H456" s="3" t="str">
        <f>HYPERLINK("http://funmeta.oebiotech.com/network/57682", "http://funmeta.oebiotech.com/network/57682")</f>
      </c>
      <c r="I456" s="2" t="s">
        <v>13720</v>
      </c>
      <c r="J456" s="2" t="s">
        <v>13721</v>
      </c>
      <c r="K456" s="2"/>
      <c r="L456" s="2"/>
      <c r="M456" s="2" t="s">
        <v>13722</v>
      </c>
      <c r="N456" s="2" t="s">
        <v>13723</v>
      </c>
      <c r="O456" s="2" t="s">
        <v>13724</v>
      </c>
      <c r="P456" s="2" t="s">
        <v>13725</v>
      </c>
      <c r="Q456" s="2" t="s">
        <v>13726</v>
      </c>
      <c r="R456" s="2" t="s">
        <v>114</v>
      </c>
      <c r="S456" s="2" t="s">
        <v>994</v>
      </c>
      <c r="T456" s="2" t="s">
        <v>3328</v>
      </c>
      <c r="U456" s="2" t="s">
        <v>3864</v>
      </c>
      <c r="V456" s="2" t="s">
        <v>205</v>
      </c>
      <c r="W456" s="2"/>
    </row>
    <row r="457">
      <c r="A457" s="2" t="n">
        <v>335</v>
      </c>
      <c r="B457" s="2" t="s">
        <v>13727</v>
      </c>
      <c r="C457" s="2" t="s">
        <v>3863</v>
      </c>
      <c r="D457" s="2" t="n">
        <v>272.092827665</v>
      </c>
      <c r="E457" s="2" t="n">
        <v>0.516575424290936</v>
      </c>
      <c r="F457" s="2" t="s">
        <v>13728</v>
      </c>
      <c r="G457" s="2" t="n">
        <v>64533</v>
      </c>
      <c r="H457" s="3" t="str">
        <f>HYPERLINK("http://funmeta.oebiotech.com/network/64533", "http://funmeta.oebiotech.com/network/64533")</f>
      </c>
      <c r="I457" s="2" t="s">
        <v>13729</v>
      </c>
      <c r="J457" s="2" t="s">
        <v>13730</v>
      </c>
      <c r="K457" s="2"/>
      <c r="L457" s="2"/>
      <c r="M457" s="2" t="s">
        <v>13731</v>
      </c>
      <c r="N457" s="2" t="s">
        <v>13732</v>
      </c>
      <c r="O457" s="2" t="s">
        <v>13733</v>
      </c>
      <c r="P457" s="2" t="s">
        <v>13734</v>
      </c>
      <c r="Q457" s="2" t="s">
        <v>13735</v>
      </c>
      <c r="R457" s="2" t="s">
        <v>114</v>
      </c>
      <c r="S457" s="2" t="s">
        <v>994</v>
      </c>
      <c r="T457" s="2" t="s">
        <v>3328</v>
      </c>
      <c r="U457" s="2" t="s">
        <v>3864</v>
      </c>
      <c r="V457" s="2" t="s">
        <v>205</v>
      </c>
      <c r="W457" s="2"/>
    </row>
    <row r="458">
      <c r="A458" s="2" t="n">
        <v>336</v>
      </c>
      <c r="B458" s="2" t="s">
        <v>13736</v>
      </c>
      <c r="C458" s="2" t="s">
        <v>3874</v>
      </c>
      <c r="D458" s="2" t="n">
        <v>273.055167866</v>
      </c>
      <c r="E458" s="2" t="n">
        <v>1.68392967618716</v>
      </c>
      <c r="F458" s="2" t="s">
        <v>13737</v>
      </c>
      <c r="G458" s="2" t="n">
        <v>31631</v>
      </c>
      <c r="H458" s="3" t="str">
        <f>HYPERLINK("http://funmeta.oebiotech.com/network/31631", "http://funmeta.oebiotech.com/network/31631")</f>
      </c>
      <c r="I458" s="2" t="s">
        <v>13738</v>
      </c>
      <c r="J458" s="2" t="s">
        <v>13739</v>
      </c>
      <c r="K458" s="2" t="s">
        <v>13740</v>
      </c>
      <c r="L458" s="2"/>
      <c r="M458" s="2"/>
      <c r="N458" s="2" t="s">
        <v>13741</v>
      </c>
      <c r="O458" s="2" t="s">
        <v>13742</v>
      </c>
      <c r="P458" s="2" t="s">
        <v>13743</v>
      </c>
      <c r="Q458" s="2" t="s">
        <v>13744</v>
      </c>
      <c r="R458" s="2" t="s">
        <v>1355</v>
      </c>
      <c r="S458" s="2" t="s">
        <v>5199</v>
      </c>
      <c r="T458" s="2" t="s">
        <v>13745</v>
      </c>
      <c r="U458" s="2" t="s">
        <v>3875</v>
      </c>
      <c r="V458" s="2" t="s">
        <v>161</v>
      </c>
      <c r="W458" s="2"/>
    </row>
    <row r="459">
      <c r="A459" s="2" t="n">
        <v>336</v>
      </c>
      <c r="B459" s="2" t="s">
        <v>13746</v>
      </c>
      <c r="C459" s="2" t="s">
        <v>3874</v>
      </c>
      <c r="D459" s="2" t="n">
        <v>273.055167872</v>
      </c>
      <c r="E459" s="2" t="n">
        <v>1.68392967618716</v>
      </c>
      <c r="F459" s="2" t="s">
        <v>13747</v>
      </c>
      <c r="G459" s="2" t="n">
        <v>62681</v>
      </c>
      <c r="H459" s="3" t="str">
        <f>HYPERLINK("http://funmeta.oebiotech.com/network/62681", "http://funmeta.oebiotech.com/network/62681")</f>
      </c>
      <c r="I459" s="2" t="s">
        <v>13748</v>
      </c>
      <c r="J459" s="2" t="s">
        <v>13749</v>
      </c>
      <c r="K459" s="2"/>
      <c r="L459" s="2"/>
      <c r="M459" s="2"/>
      <c r="N459" s="2" t="s">
        <v>13750</v>
      </c>
      <c r="O459" s="2"/>
      <c r="P459" s="2" t="s">
        <v>13751</v>
      </c>
      <c r="Q459" s="2" t="s">
        <v>13752</v>
      </c>
      <c r="R459" s="2" t="s">
        <v>186</v>
      </c>
      <c r="S459" s="2" t="s">
        <v>4086</v>
      </c>
      <c r="T459" s="2" t="s">
        <v>13753</v>
      </c>
      <c r="U459" s="2" t="s">
        <v>3875</v>
      </c>
      <c r="V459" s="2" t="s">
        <v>161</v>
      </c>
      <c r="W459" s="2"/>
    </row>
    <row r="460">
      <c r="A460" s="2" t="n">
        <v>336</v>
      </c>
      <c r="B460" s="2" t="s">
        <v>13754</v>
      </c>
      <c r="C460" s="2" t="s">
        <v>3874</v>
      </c>
      <c r="D460" s="2" t="n">
        <v>273.055167872</v>
      </c>
      <c r="E460" s="2" t="n">
        <v>1.68392967618716</v>
      </c>
      <c r="F460" s="2" t="s">
        <v>13755</v>
      </c>
      <c r="G460" s="2" t="n">
        <v>62682</v>
      </c>
      <c r="H460" s="3" t="str">
        <f>HYPERLINK("http://funmeta.oebiotech.com/network/62682", "http://funmeta.oebiotech.com/network/62682")</f>
      </c>
      <c r="I460" s="2" t="s">
        <v>13756</v>
      </c>
      <c r="J460" s="2" t="s">
        <v>13757</v>
      </c>
      <c r="K460" s="2"/>
      <c r="L460" s="2"/>
      <c r="M460" s="2"/>
      <c r="N460" s="2" t="s">
        <v>13758</v>
      </c>
      <c r="O460" s="2"/>
      <c r="P460" s="2" t="s">
        <v>13759</v>
      </c>
      <c r="Q460" s="2" t="s">
        <v>13760</v>
      </c>
      <c r="R460" s="2" t="s">
        <v>186</v>
      </c>
      <c r="S460" s="2" t="s">
        <v>4086</v>
      </c>
      <c r="T460" s="2" t="s">
        <v>13753</v>
      </c>
      <c r="U460" s="2" t="s">
        <v>3875</v>
      </c>
      <c r="V460" s="2" t="s">
        <v>161</v>
      </c>
      <c r="W460" s="2"/>
    </row>
    <row r="461">
      <c r="A461" s="2" t="n">
        <v>337</v>
      </c>
      <c r="B461" s="2" t="s">
        <v>13761</v>
      </c>
      <c r="C461" s="2" t="s">
        <v>3888</v>
      </c>
      <c r="D461" s="2" t="n">
        <v>273.092103692</v>
      </c>
      <c r="E461" s="2" t="n">
        <v>1.40449248868698</v>
      </c>
      <c r="F461" s="2" t="s">
        <v>3890</v>
      </c>
      <c r="G461" s="2" t="n">
        <v>56606</v>
      </c>
      <c r="H461" s="3" t="str">
        <f>HYPERLINK("http://funmeta.oebiotech.com/network/56606", "http://funmeta.oebiotech.com/network/56606")</f>
      </c>
      <c r="I461" s="2" t="s">
        <v>3892</v>
      </c>
      <c r="J461" s="2" t="s">
        <v>3893</v>
      </c>
      <c r="K461" s="2"/>
      <c r="L461" s="2"/>
      <c r="M461" s="2"/>
      <c r="N461" s="2" t="s">
        <v>3894</v>
      </c>
      <c r="O461" s="2" t="s">
        <v>3895</v>
      </c>
      <c r="P461" s="2" t="s">
        <v>3896</v>
      </c>
      <c r="Q461" s="2" t="s">
        <v>3897</v>
      </c>
      <c r="R461" s="2" t="s">
        <v>186</v>
      </c>
      <c r="S461" s="2" t="s">
        <v>3898</v>
      </c>
      <c r="T461" s="2" t="s">
        <v>215</v>
      </c>
      <c r="U461" s="2" t="s">
        <v>3889</v>
      </c>
      <c r="V461" s="2" t="s">
        <v>24</v>
      </c>
      <c r="W461" s="2" t="s">
        <v>56</v>
      </c>
    </row>
    <row r="462">
      <c r="A462" s="2" t="n">
        <v>338</v>
      </c>
      <c r="B462" s="2" t="s">
        <v>13762</v>
      </c>
      <c r="C462" s="2" t="s">
        <v>3899</v>
      </c>
      <c r="D462" s="2" t="n">
        <v>273.193214713</v>
      </c>
      <c r="E462" s="2" t="n">
        <v>10.6462770950081</v>
      </c>
      <c r="F462" s="2" t="s">
        <v>3901</v>
      </c>
      <c r="G462" s="2" t="n">
        <v>53977</v>
      </c>
      <c r="H462" s="3" t="str">
        <f>HYPERLINK("http://funmeta.oebiotech.com/network/53977", "http://funmeta.oebiotech.com/network/53977")</f>
      </c>
      <c r="I462" s="2" t="s">
        <v>3903</v>
      </c>
      <c r="J462" s="2" t="s">
        <v>3904</v>
      </c>
      <c r="K462" s="2"/>
      <c r="L462" s="2"/>
      <c r="M462" s="2" t="s">
        <v>3905</v>
      </c>
      <c r="N462" s="2" t="s">
        <v>3906</v>
      </c>
      <c r="O462" s="2" t="s">
        <v>3907</v>
      </c>
      <c r="P462" s="2" t="s">
        <v>3908</v>
      </c>
      <c r="Q462" s="2" t="s">
        <v>3909</v>
      </c>
      <c r="R462" s="2" t="s">
        <v>36</v>
      </c>
      <c r="S462" s="2" t="s">
        <v>37</v>
      </c>
      <c r="T462" s="2" t="s">
        <v>69</v>
      </c>
      <c r="U462" s="2" t="s">
        <v>3900</v>
      </c>
      <c r="V462" s="2" t="s">
        <v>24</v>
      </c>
      <c r="W462" s="2" t="s">
        <v>56</v>
      </c>
    </row>
    <row r="463">
      <c r="A463" s="2" t="n">
        <v>339</v>
      </c>
      <c r="B463" s="2" t="s">
        <v>13763</v>
      </c>
      <c r="C463" s="2" t="s">
        <v>3910</v>
      </c>
      <c r="D463" s="2" t="n">
        <v>273.222389582</v>
      </c>
      <c r="E463" s="2" t="n">
        <v>18.7359022323967</v>
      </c>
      <c r="F463" s="2" t="s">
        <v>3912</v>
      </c>
      <c r="G463" s="2" t="n">
        <v>44896</v>
      </c>
      <c r="H463" s="3" t="str">
        <f>HYPERLINK("http://funmeta.oebiotech.com/network/44896", "http://funmeta.oebiotech.com/network/44896")</f>
      </c>
      <c r="I463" s="2" t="s">
        <v>3914</v>
      </c>
      <c r="J463" s="2"/>
      <c r="K463" s="2" t="s">
        <v>3915</v>
      </c>
      <c r="L463" s="2"/>
      <c r="M463" s="2" t="s">
        <v>3916</v>
      </c>
      <c r="N463" s="2" t="s">
        <v>3917</v>
      </c>
      <c r="O463" s="2" t="s">
        <v>3918</v>
      </c>
      <c r="P463" s="2" t="s">
        <v>3919</v>
      </c>
      <c r="Q463" s="2" t="s">
        <v>3920</v>
      </c>
      <c r="R463" s="2" t="s">
        <v>794</v>
      </c>
      <c r="S463" s="2" t="s">
        <v>2971</v>
      </c>
      <c r="T463" s="2" t="s">
        <v>3921</v>
      </c>
      <c r="U463" s="2" t="s">
        <v>3911</v>
      </c>
      <c r="V463" s="2" t="s">
        <v>24</v>
      </c>
      <c r="W463" s="2" t="s">
        <v>56</v>
      </c>
    </row>
    <row r="464">
      <c r="A464" s="2" t="n">
        <v>340</v>
      </c>
      <c r="B464" s="2" t="s">
        <v>13764</v>
      </c>
      <c r="C464" s="2" t="s">
        <v>3922</v>
      </c>
      <c r="D464" s="2" t="n">
        <v>274.035706709</v>
      </c>
      <c r="E464" s="2" t="n">
        <v>0.415917031192044</v>
      </c>
      <c r="F464" s="2" t="s">
        <v>3924</v>
      </c>
      <c r="G464" s="2" t="n">
        <v>210900</v>
      </c>
      <c r="H464" s="3" t="str">
        <f>HYPERLINK("http://funmeta.oebiotech.com/network/210900", "http://funmeta.oebiotech.com/network/210900")</f>
      </c>
      <c r="I464" s="2" t="s">
        <v>3926</v>
      </c>
      <c r="J464" s="2" t="s">
        <v>3927</v>
      </c>
      <c r="K464" s="2"/>
      <c r="L464" s="2" t="s">
        <v>3928</v>
      </c>
      <c r="M464" s="2"/>
      <c r="N464" s="2" t="s">
        <v>3929</v>
      </c>
      <c r="O464" s="2" t="s">
        <v>3930</v>
      </c>
      <c r="P464" s="2" t="s">
        <v>3931</v>
      </c>
      <c r="Q464" s="2" t="s">
        <v>3932</v>
      </c>
      <c r="R464" s="2" t="s">
        <v>114</v>
      </c>
      <c r="S464" s="2" t="s">
        <v>3933</v>
      </c>
      <c r="T464" s="2" t="s">
        <v>3934</v>
      </c>
      <c r="U464" s="2" t="s">
        <v>3923</v>
      </c>
      <c r="V464" s="2" t="s">
        <v>205</v>
      </c>
      <c r="W464" s="2" t="s">
        <v>101</v>
      </c>
    </row>
    <row r="465">
      <c r="A465" s="2" t="n">
        <v>341</v>
      </c>
      <c r="B465" s="2" t="s">
        <v>13765</v>
      </c>
      <c r="C465" s="2" t="s">
        <v>3935</v>
      </c>
      <c r="D465" s="2" t="n">
        <v>274.104459291</v>
      </c>
      <c r="E465" s="2" t="n">
        <v>0.496174363956244</v>
      </c>
      <c r="F465" s="2" t="s">
        <v>3937</v>
      </c>
      <c r="G465" s="2" t="n">
        <v>51507</v>
      </c>
      <c r="H465" s="3" t="str">
        <f>HYPERLINK("http://funmeta.oebiotech.com/network/51507", "http://funmeta.oebiotech.com/network/51507")</f>
      </c>
      <c r="I465" s="2" t="s">
        <v>3939</v>
      </c>
      <c r="J465" s="2" t="s">
        <v>3940</v>
      </c>
      <c r="K465" s="2"/>
      <c r="L465" s="2" t="s">
        <v>3941</v>
      </c>
      <c r="M465" s="2" t="s">
        <v>3942</v>
      </c>
      <c r="N465" s="2" t="s">
        <v>3943</v>
      </c>
      <c r="O465" s="2" t="s">
        <v>3944</v>
      </c>
      <c r="P465" s="2" t="s">
        <v>3945</v>
      </c>
      <c r="Q465" s="2" t="s">
        <v>3946</v>
      </c>
      <c r="R465" s="2" t="s">
        <v>36</v>
      </c>
      <c r="S465" s="2" t="s">
        <v>37</v>
      </c>
      <c r="T465" s="2" t="s">
        <v>69</v>
      </c>
      <c r="U465" s="2" t="s">
        <v>3936</v>
      </c>
      <c r="V465" s="2" t="s">
        <v>24</v>
      </c>
      <c r="W465" s="2" t="s">
        <v>56</v>
      </c>
    </row>
    <row r="466">
      <c r="A466" s="2" t="n">
        <v>342</v>
      </c>
      <c r="B466" s="2" t="s">
        <v>13766</v>
      </c>
      <c r="C466" s="2" t="s">
        <v>3947</v>
      </c>
      <c r="D466" s="2" t="n">
        <v>275.052958731</v>
      </c>
      <c r="E466" s="2" t="n">
        <v>0.924151896756059</v>
      </c>
      <c r="F466" s="2" t="s">
        <v>3949</v>
      </c>
      <c r="G466" s="2" t="n">
        <v>204209</v>
      </c>
      <c r="H466" s="3" t="str">
        <f>HYPERLINK("http://funmeta.oebiotech.com/network/204209", "http://funmeta.oebiotech.com/network/204209")</f>
      </c>
      <c r="I466" s="2" t="s">
        <v>3951</v>
      </c>
      <c r="J466" s="2"/>
      <c r="K466" s="2"/>
      <c r="L466" s="2"/>
      <c r="M466" s="2"/>
      <c r="N466" s="2"/>
      <c r="O466" s="2"/>
      <c r="P466" s="2" t="s">
        <v>3952</v>
      </c>
      <c r="Q466" s="2" t="s">
        <v>3953</v>
      </c>
      <c r="R466" s="2" t="s">
        <v>114</v>
      </c>
      <c r="S466" s="2" t="s">
        <v>3954</v>
      </c>
      <c r="T466" s="2" t="s">
        <v>215</v>
      </c>
      <c r="U466" s="2" t="s">
        <v>3948</v>
      </c>
      <c r="V466" s="2" t="s">
        <v>24</v>
      </c>
      <c r="W466" s="2"/>
    </row>
    <row r="467">
      <c r="A467" s="2" t="n">
        <v>343</v>
      </c>
      <c r="B467" s="2" t="s">
        <v>13767</v>
      </c>
      <c r="C467" s="2" t="s">
        <v>3955</v>
      </c>
      <c r="D467" s="2" t="n">
        <v>275.9505687</v>
      </c>
      <c r="E467" s="2" t="n">
        <v>16.2644854079226</v>
      </c>
      <c r="F467" s="2" t="s">
        <v>3957</v>
      </c>
      <c r="G467" s="2" t="n">
        <v>211076</v>
      </c>
      <c r="H467" s="3" t="str">
        <f>HYPERLINK("http://funmeta.oebiotech.com/network/211076", "http://funmeta.oebiotech.com/network/211076")</f>
      </c>
      <c r="I467" s="2" t="s">
        <v>3959</v>
      </c>
      <c r="J467" s="2"/>
      <c r="K467" s="2"/>
      <c r="L467" s="2"/>
      <c r="M467" s="2"/>
      <c r="N467" s="2"/>
      <c r="O467" s="2"/>
      <c r="P467" s="2" t="s">
        <v>3960</v>
      </c>
      <c r="Q467" s="2" t="s">
        <v>3961</v>
      </c>
      <c r="R467" s="2" t="s">
        <v>36</v>
      </c>
      <c r="S467" s="2" t="s">
        <v>37</v>
      </c>
      <c r="T467" s="2" t="s">
        <v>69</v>
      </c>
      <c r="U467" s="2" t="s">
        <v>3956</v>
      </c>
      <c r="V467" s="2" t="s">
        <v>205</v>
      </c>
      <c r="W467" s="2"/>
    </row>
    <row r="468">
      <c r="A468" s="2" t="n">
        <v>344</v>
      </c>
      <c r="B468" s="2" t="s">
        <v>13768</v>
      </c>
      <c r="C468" s="2" t="s">
        <v>3962</v>
      </c>
      <c r="D468" s="2" t="n">
        <v>276.079680729</v>
      </c>
      <c r="E468" s="2" t="n">
        <v>2.72304792598565</v>
      </c>
      <c r="F468" s="2" t="s">
        <v>3964</v>
      </c>
      <c r="G468" s="2" t="n">
        <v>54331</v>
      </c>
      <c r="H468" s="3" t="str">
        <f>HYPERLINK("http://funmeta.oebiotech.com/network/54331", "http://funmeta.oebiotech.com/network/54331")</f>
      </c>
      <c r="I468" s="2" t="s">
        <v>3966</v>
      </c>
      <c r="J468" s="2" t="s">
        <v>3967</v>
      </c>
      <c r="K468" s="2"/>
      <c r="L468" s="2"/>
      <c r="M468" s="2" t="s">
        <v>3968</v>
      </c>
      <c r="N468" s="2" t="s">
        <v>3969</v>
      </c>
      <c r="O468" s="2" t="s">
        <v>3970</v>
      </c>
      <c r="P468" s="2" t="s">
        <v>3971</v>
      </c>
      <c r="Q468" s="2" t="s">
        <v>3972</v>
      </c>
      <c r="R468" s="2" t="s">
        <v>186</v>
      </c>
      <c r="S468" s="2" t="s">
        <v>357</v>
      </c>
      <c r="T468" s="2" t="s">
        <v>358</v>
      </c>
      <c r="U468" s="2" t="s">
        <v>3963</v>
      </c>
      <c r="V468" s="2" t="s">
        <v>86</v>
      </c>
      <c r="W468" s="2" t="s">
        <v>56</v>
      </c>
    </row>
    <row r="469">
      <c r="A469" s="2" t="n">
        <v>345</v>
      </c>
      <c r="B469" s="2" t="s">
        <v>13769</v>
      </c>
      <c r="C469" s="2" t="s">
        <v>3973</v>
      </c>
      <c r="D469" s="2" t="n">
        <v>277.036174734</v>
      </c>
      <c r="E469" s="2" t="n">
        <v>3.25438503303469</v>
      </c>
      <c r="F469" s="2" t="s">
        <v>3975</v>
      </c>
      <c r="G469" s="2" t="n">
        <v>81706</v>
      </c>
      <c r="H469" s="3" t="str">
        <f>HYPERLINK("http://funmeta.oebiotech.com/network/81706", "http://funmeta.oebiotech.com/network/81706")</f>
      </c>
      <c r="I469" s="2" t="s">
        <v>3977</v>
      </c>
      <c r="J469" s="2" t="s">
        <v>3978</v>
      </c>
      <c r="K469" s="2"/>
      <c r="L469" s="2" t="s">
        <v>3979</v>
      </c>
      <c r="M469" s="2" t="s">
        <v>3980</v>
      </c>
      <c r="N469" s="2" t="s">
        <v>3981</v>
      </c>
      <c r="O469" s="2"/>
      <c r="P469" s="2" t="s">
        <v>3982</v>
      </c>
      <c r="Q469" s="2" t="s">
        <v>3983</v>
      </c>
      <c r="R469" s="2" t="s">
        <v>36</v>
      </c>
      <c r="S469" s="2" t="s">
        <v>37</v>
      </c>
      <c r="T469" s="2" t="s">
        <v>69</v>
      </c>
      <c r="U469" s="2" t="s">
        <v>3974</v>
      </c>
      <c r="V469" s="2" t="s">
        <v>86</v>
      </c>
      <c r="W469" s="2" t="s">
        <v>101</v>
      </c>
    </row>
    <row r="470">
      <c r="A470" s="2" t="n">
        <v>346</v>
      </c>
      <c r="B470" s="2" t="s">
        <v>13770</v>
      </c>
      <c r="C470" s="2" t="s">
        <v>3984</v>
      </c>
      <c r="D470" s="2" t="n">
        <v>277.076470402</v>
      </c>
      <c r="E470" s="2" t="n">
        <v>3.40671293511383</v>
      </c>
      <c r="F470" s="2" t="s">
        <v>3986</v>
      </c>
      <c r="G470" s="2" t="n">
        <v>53571</v>
      </c>
      <c r="H470" s="3" t="str">
        <f>HYPERLINK("http://funmeta.oebiotech.com/network/53571", "http://funmeta.oebiotech.com/network/53571")</f>
      </c>
      <c r="I470" s="2" t="s">
        <v>3988</v>
      </c>
      <c r="J470" s="2" t="s">
        <v>3989</v>
      </c>
      <c r="K470" s="2"/>
      <c r="L470" s="2" t="s">
        <v>3990</v>
      </c>
      <c r="M470" s="2" t="s">
        <v>3991</v>
      </c>
      <c r="N470" s="2" t="s">
        <v>3992</v>
      </c>
      <c r="O470" s="2" t="s">
        <v>3993</v>
      </c>
      <c r="P470" s="2" t="s">
        <v>3994</v>
      </c>
      <c r="Q470" s="2" t="s">
        <v>3995</v>
      </c>
      <c r="R470" s="2" t="s">
        <v>186</v>
      </c>
      <c r="S470" s="2" t="s">
        <v>187</v>
      </c>
      <c r="T470" s="2" t="s">
        <v>3996</v>
      </c>
      <c r="U470" s="2" t="s">
        <v>3985</v>
      </c>
      <c r="V470" s="2" t="s">
        <v>24</v>
      </c>
      <c r="W470" s="2" t="s">
        <v>56</v>
      </c>
    </row>
    <row r="471">
      <c r="A471" s="2" t="n">
        <v>347</v>
      </c>
      <c r="B471" s="2" t="s">
        <v>13771</v>
      </c>
      <c r="C471" s="2" t="s">
        <v>3997</v>
      </c>
      <c r="D471" s="2" t="n">
        <v>277.147700716</v>
      </c>
      <c r="E471" s="2" t="n">
        <v>10.4384270912174</v>
      </c>
      <c r="F471" s="2" t="s">
        <v>3999</v>
      </c>
      <c r="G471" s="2" t="n">
        <v>208413</v>
      </c>
      <c r="H471" s="3" t="str">
        <f>HYPERLINK("http://funmeta.oebiotech.com/network/208413", "http://funmeta.oebiotech.com/network/208413")</f>
      </c>
      <c r="I471" s="2" t="s">
        <v>4001</v>
      </c>
      <c r="J471" s="2"/>
      <c r="K471" s="2"/>
      <c r="L471" s="2"/>
      <c r="M471" s="2"/>
      <c r="N471" s="2" t="s">
        <v>4002</v>
      </c>
      <c r="O471" s="2"/>
      <c r="P471" s="2" t="s">
        <v>4003</v>
      </c>
      <c r="Q471" s="2" t="s">
        <v>4004</v>
      </c>
      <c r="R471" s="2" t="s">
        <v>114</v>
      </c>
      <c r="S471" s="2" t="s">
        <v>4005</v>
      </c>
      <c r="T471" s="2" t="s">
        <v>215</v>
      </c>
      <c r="U471" s="2" t="s">
        <v>3998</v>
      </c>
      <c r="V471" s="2" t="s">
        <v>86</v>
      </c>
      <c r="W471" s="2"/>
    </row>
    <row r="472">
      <c r="A472" s="2" t="n">
        <v>348</v>
      </c>
      <c r="B472" s="2" t="s">
        <v>13772</v>
      </c>
      <c r="C472" s="2" t="s">
        <v>4006</v>
      </c>
      <c r="D472" s="2" t="n">
        <v>277.21675389</v>
      </c>
      <c r="E472" s="2" t="n">
        <v>18.3977220169411</v>
      </c>
      <c r="F472" s="2" t="s">
        <v>13773</v>
      </c>
      <c r="G472" s="2" t="n">
        <v>2992</v>
      </c>
      <c r="H472" s="3" t="str">
        <f>HYPERLINK("http://funmeta.oebiotech.com/network/2992", "http://funmeta.oebiotech.com/network/2992")</f>
      </c>
      <c r="I472" s="2" t="s">
        <v>13774</v>
      </c>
      <c r="J472" s="2"/>
      <c r="K472" s="2" t="s">
        <v>13775</v>
      </c>
      <c r="L472" s="2" t="s">
        <v>13776</v>
      </c>
      <c r="M472" s="2" t="s">
        <v>13777</v>
      </c>
      <c r="N472" s="2" t="s">
        <v>13778</v>
      </c>
      <c r="O472" s="2"/>
      <c r="P472" s="2" t="s">
        <v>13779</v>
      </c>
      <c r="Q472" s="2" t="s">
        <v>13780</v>
      </c>
      <c r="R472" s="2" t="s">
        <v>794</v>
      </c>
      <c r="S472" s="2" t="s">
        <v>795</v>
      </c>
      <c r="T472" s="2" t="s">
        <v>796</v>
      </c>
      <c r="U472" s="2" t="s">
        <v>4007</v>
      </c>
      <c r="V472" s="2" t="s">
        <v>161</v>
      </c>
      <c r="W472" s="2" t="s">
        <v>56</v>
      </c>
    </row>
    <row r="473">
      <c r="A473" s="2" t="n">
        <v>348</v>
      </c>
      <c r="B473" s="2" t="s">
        <v>13781</v>
      </c>
      <c r="C473" s="2" t="s">
        <v>4006</v>
      </c>
      <c r="D473" s="2" t="n">
        <v>277.21675389</v>
      </c>
      <c r="E473" s="2" t="n">
        <v>18.3977220169411</v>
      </c>
      <c r="F473" s="2" t="s">
        <v>13782</v>
      </c>
      <c r="G473" s="2" t="n">
        <v>2993</v>
      </c>
      <c r="H473" s="3" t="str">
        <f>HYPERLINK("http://funmeta.oebiotech.com/network/2993", "http://funmeta.oebiotech.com/network/2993")</f>
      </c>
      <c r="I473" s="2" t="s">
        <v>13783</v>
      </c>
      <c r="J473" s="2" t="s">
        <v>13784</v>
      </c>
      <c r="K473" s="2" t="s">
        <v>13785</v>
      </c>
      <c r="L473" s="2" t="s">
        <v>13786</v>
      </c>
      <c r="M473" s="2" t="s">
        <v>13787</v>
      </c>
      <c r="N473" s="2" t="s">
        <v>13788</v>
      </c>
      <c r="O473" s="2"/>
      <c r="P473" s="2" t="s">
        <v>13789</v>
      </c>
      <c r="Q473" s="2" t="s">
        <v>13790</v>
      </c>
      <c r="R473" s="2" t="s">
        <v>794</v>
      </c>
      <c r="S473" s="2" t="s">
        <v>795</v>
      </c>
      <c r="T473" s="2" t="s">
        <v>796</v>
      </c>
      <c r="U473" s="2" t="s">
        <v>4007</v>
      </c>
      <c r="V473" s="2" t="s">
        <v>161</v>
      </c>
      <c r="W473" s="2" t="s">
        <v>56</v>
      </c>
    </row>
    <row r="474">
      <c r="A474" s="2" t="n">
        <v>348</v>
      </c>
      <c r="B474" s="2" t="s">
        <v>13791</v>
      </c>
      <c r="C474" s="2" t="s">
        <v>4006</v>
      </c>
      <c r="D474" s="2" t="n">
        <v>277.21675389</v>
      </c>
      <c r="E474" s="2" t="n">
        <v>18.3977220169411</v>
      </c>
      <c r="F474" s="2" t="s">
        <v>13792</v>
      </c>
      <c r="G474" s="2" t="n">
        <v>3142</v>
      </c>
      <c r="H474" s="3" t="str">
        <f>HYPERLINK("http://funmeta.oebiotech.com/network/3142", "http://funmeta.oebiotech.com/network/3142")</f>
      </c>
      <c r="I474" s="2" t="s">
        <v>13793</v>
      </c>
      <c r="J474" s="2" t="s">
        <v>13794</v>
      </c>
      <c r="K474" s="2" t="s">
        <v>13795</v>
      </c>
      <c r="L474" s="2" t="s">
        <v>13796</v>
      </c>
      <c r="M474" s="2" t="s">
        <v>13797</v>
      </c>
      <c r="N474" s="2" t="s">
        <v>13798</v>
      </c>
      <c r="O474" s="2" t="s">
        <v>13799</v>
      </c>
      <c r="P474" s="2" t="s">
        <v>13800</v>
      </c>
      <c r="Q474" s="2" t="s">
        <v>13801</v>
      </c>
      <c r="R474" s="2" t="s">
        <v>794</v>
      </c>
      <c r="S474" s="2" t="s">
        <v>795</v>
      </c>
      <c r="T474" s="2" t="s">
        <v>2391</v>
      </c>
      <c r="U474" s="2" t="s">
        <v>4007</v>
      </c>
      <c r="V474" s="2" t="s">
        <v>161</v>
      </c>
      <c r="W474" s="2" t="s">
        <v>56</v>
      </c>
    </row>
    <row r="475">
      <c r="A475" s="2" t="n">
        <v>349</v>
      </c>
      <c r="B475" s="2" t="s">
        <v>13802</v>
      </c>
      <c r="C475" s="2" t="s">
        <v>4020</v>
      </c>
      <c r="D475" s="2" t="n">
        <v>278.043689143</v>
      </c>
      <c r="E475" s="2" t="n">
        <v>5.26684225514508</v>
      </c>
      <c r="F475" s="2" t="s">
        <v>4022</v>
      </c>
      <c r="G475" s="2" t="n">
        <v>199347</v>
      </c>
      <c r="H475" s="3" t="str">
        <f>HYPERLINK("http://funmeta.oebiotech.com/network/199347", "http://funmeta.oebiotech.com/network/199347")</f>
      </c>
      <c r="I475" s="2" t="s">
        <v>4024</v>
      </c>
      <c r="J475" s="2"/>
      <c r="K475" s="2"/>
      <c r="L475" s="2"/>
      <c r="M475" s="2"/>
      <c r="N475" s="2" t="s">
        <v>4025</v>
      </c>
      <c r="O475" s="2"/>
      <c r="P475" s="2" t="s">
        <v>4026</v>
      </c>
      <c r="Q475" s="2" t="s">
        <v>4027</v>
      </c>
      <c r="R475" s="2" t="s">
        <v>129</v>
      </c>
      <c r="S475" s="2" t="s">
        <v>130</v>
      </c>
      <c r="T475" s="2" t="s">
        <v>1681</v>
      </c>
      <c r="U475" s="2" t="s">
        <v>4021</v>
      </c>
      <c r="V475" s="2" t="s">
        <v>86</v>
      </c>
      <c r="W475" s="2"/>
    </row>
    <row r="476">
      <c r="A476" s="2" t="n">
        <v>350</v>
      </c>
      <c r="B476" s="2" t="s">
        <v>13803</v>
      </c>
      <c r="C476" s="2" t="s">
        <v>4028</v>
      </c>
      <c r="D476" s="2" t="n">
        <v>278.129886179</v>
      </c>
      <c r="E476" s="2" t="n">
        <v>5.41603985479442</v>
      </c>
      <c r="F476" s="2" t="s">
        <v>13804</v>
      </c>
      <c r="G476" s="2" t="n">
        <v>205220</v>
      </c>
      <c r="H476" s="3" t="str">
        <f>HYPERLINK("http://funmeta.oebiotech.com/network/205220", "http://funmeta.oebiotech.com/network/205220")</f>
      </c>
      <c r="I476" s="2" t="s">
        <v>13805</v>
      </c>
      <c r="J476" s="2"/>
      <c r="K476" s="2"/>
      <c r="L476" s="2"/>
      <c r="M476" s="2"/>
      <c r="N476" s="2" t="s">
        <v>13806</v>
      </c>
      <c r="O476" s="2"/>
      <c r="P476" s="2" t="s">
        <v>13807</v>
      </c>
      <c r="Q476" s="2" t="s">
        <v>13808</v>
      </c>
      <c r="R476" s="2" t="s">
        <v>114</v>
      </c>
      <c r="S476" s="2" t="s">
        <v>172</v>
      </c>
      <c r="T476" s="2" t="s">
        <v>12182</v>
      </c>
      <c r="U476" s="2" t="s">
        <v>4029</v>
      </c>
      <c r="V476" s="2" t="s">
        <v>24</v>
      </c>
      <c r="W476" s="2"/>
    </row>
    <row r="477">
      <c r="A477" s="2" t="n">
        <v>350</v>
      </c>
      <c r="B477" s="2" t="s">
        <v>13809</v>
      </c>
      <c r="C477" s="2" t="s">
        <v>4028</v>
      </c>
      <c r="D477" s="2" t="n">
        <v>278.129886179</v>
      </c>
      <c r="E477" s="2" t="n">
        <v>5.41603985479442</v>
      </c>
      <c r="F477" s="2" t="s">
        <v>13810</v>
      </c>
      <c r="G477" s="2" t="n">
        <v>210853</v>
      </c>
      <c r="H477" s="3" t="str">
        <f>HYPERLINK("http://funmeta.oebiotech.com/network/210853", "http://funmeta.oebiotech.com/network/210853")</f>
      </c>
      <c r="I477" s="2" t="s">
        <v>13811</v>
      </c>
      <c r="J477" s="2"/>
      <c r="K477" s="2"/>
      <c r="L477" s="2"/>
      <c r="M477" s="2"/>
      <c r="N477" s="2" t="s">
        <v>13812</v>
      </c>
      <c r="O477" s="2"/>
      <c r="P477" s="2" t="s">
        <v>13813</v>
      </c>
      <c r="Q477" s="2" t="s">
        <v>13814</v>
      </c>
      <c r="R477" s="2" t="s">
        <v>114</v>
      </c>
      <c r="S477" s="2" t="s">
        <v>994</v>
      </c>
      <c r="T477" s="2" t="s">
        <v>2801</v>
      </c>
      <c r="U477" s="2" t="s">
        <v>4029</v>
      </c>
      <c r="V477" s="2" t="s">
        <v>24</v>
      </c>
      <c r="W477" s="2"/>
    </row>
    <row r="478">
      <c r="A478" s="2" t="n">
        <v>350</v>
      </c>
      <c r="B478" s="2" t="s">
        <v>13815</v>
      </c>
      <c r="C478" s="2" t="s">
        <v>4028</v>
      </c>
      <c r="D478" s="2" t="n">
        <v>278.129886179</v>
      </c>
      <c r="E478" s="2" t="n">
        <v>5.41603985479442</v>
      </c>
      <c r="F478" s="2" t="s">
        <v>13816</v>
      </c>
      <c r="G478" s="2" t="n">
        <v>202721</v>
      </c>
      <c r="H478" s="3" t="str">
        <f>HYPERLINK("http://funmeta.oebiotech.com/network/202721", "http://funmeta.oebiotech.com/network/202721")</f>
      </c>
      <c r="I478" s="2" t="s">
        <v>13817</v>
      </c>
      <c r="J478" s="2"/>
      <c r="K478" s="2"/>
      <c r="L478" s="2"/>
      <c r="M478" s="2"/>
      <c r="N478" s="2" t="s">
        <v>13818</v>
      </c>
      <c r="O478" s="2"/>
      <c r="P478" s="2" t="s">
        <v>13819</v>
      </c>
      <c r="Q478" s="2" t="s">
        <v>13820</v>
      </c>
      <c r="R478" s="2" t="s">
        <v>601</v>
      </c>
      <c r="S478" s="2" t="s">
        <v>602</v>
      </c>
      <c r="T478" s="2" t="s">
        <v>1800</v>
      </c>
      <c r="U478" s="2" t="s">
        <v>4029</v>
      </c>
      <c r="V478" s="2" t="s">
        <v>24</v>
      </c>
      <c r="W478" s="2"/>
    </row>
    <row r="479">
      <c r="A479" s="2" t="n">
        <v>351</v>
      </c>
      <c r="B479" s="2" t="s">
        <v>13821</v>
      </c>
      <c r="C479" s="2" t="s">
        <v>4039</v>
      </c>
      <c r="D479" s="2" t="n">
        <v>279.090579766</v>
      </c>
      <c r="E479" s="2" t="n">
        <v>3.90419891503182</v>
      </c>
      <c r="F479" s="2" t="s">
        <v>4041</v>
      </c>
      <c r="G479" s="2" t="n">
        <v>52680</v>
      </c>
      <c r="H479" s="3" t="str">
        <f>HYPERLINK("http://funmeta.oebiotech.com/network/52680", "http://funmeta.oebiotech.com/network/52680")</f>
      </c>
      <c r="I479" s="2" t="s">
        <v>4043</v>
      </c>
      <c r="J479" s="2" t="s">
        <v>4044</v>
      </c>
      <c r="K479" s="2"/>
      <c r="L479" s="2" t="s">
        <v>4045</v>
      </c>
      <c r="M479" s="2" t="s">
        <v>4046</v>
      </c>
      <c r="N479" s="2" t="s">
        <v>4047</v>
      </c>
      <c r="O479" s="2" t="s">
        <v>4048</v>
      </c>
      <c r="P479" s="2" t="s">
        <v>4049</v>
      </c>
      <c r="Q479" s="2" t="s">
        <v>4050</v>
      </c>
      <c r="R479" s="2" t="s">
        <v>114</v>
      </c>
      <c r="S479" s="2" t="s">
        <v>172</v>
      </c>
      <c r="T479" s="2" t="s">
        <v>173</v>
      </c>
      <c r="U479" s="2" t="s">
        <v>4040</v>
      </c>
      <c r="V479" s="2" t="s">
        <v>86</v>
      </c>
      <c r="W479" s="2" t="s">
        <v>56</v>
      </c>
    </row>
    <row r="480">
      <c r="A480" s="2" t="n">
        <v>352</v>
      </c>
      <c r="B480" s="2" t="s">
        <v>13822</v>
      </c>
      <c r="C480" s="2" t="s">
        <v>4051</v>
      </c>
      <c r="D480" s="2" t="n">
        <v>279.159632942</v>
      </c>
      <c r="E480" s="2" t="n">
        <v>4.54404088056817</v>
      </c>
      <c r="F480" s="2" t="s">
        <v>4053</v>
      </c>
      <c r="G480" s="2" t="n">
        <v>53671</v>
      </c>
      <c r="H480" s="3" t="str">
        <f>HYPERLINK("http://funmeta.oebiotech.com/network/53671", "http://funmeta.oebiotech.com/network/53671")</f>
      </c>
      <c r="I480" s="2" t="s">
        <v>4055</v>
      </c>
      <c r="J480" s="2" t="s">
        <v>4056</v>
      </c>
      <c r="K480" s="2"/>
      <c r="L480" s="2"/>
      <c r="M480" s="2" t="s">
        <v>4057</v>
      </c>
      <c r="N480" s="2" t="s">
        <v>4058</v>
      </c>
      <c r="O480" s="2" t="s">
        <v>4059</v>
      </c>
      <c r="P480" s="2" t="s">
        <v>4060</v>
      </c>
      <c r="Q480" s="2" t="s">
        <v>4061</v>
      </c>
      <c r="R480" s="2" t="s">
        <v>794</v>
      </c>
      <c r="S480" s="2" t="s">
        <v>1098</v>
      </c>
      <c r="T480" s="2" t="s">
        <v>3079</v>
      </c>
      <c r="U480" s="2" t="s">
        <v>4052</v>
      </c>
      <c r="V480" s="2" t="s">
        <v>161</v>
      </c>
      <c r="W480" s="2" t="s">
        <v>56</v>
      </c>
    </row>
    <row r="481">
      <c r="A481" s="2" t="n">
        <v>353</v>
      </c>
      <c r="B481" s="2" t="s">
        <v>13823</v>
      </c>
      <c r="C481" s="2" t="s">
        <v>4062</v>
      </c>
      <c r="D481" s="2" t="n">
        <v>279.232954268</v>
      </c>
      <c r="E481" s="2" t="n">
        <v>12.5902374664037</v>
      </c>
      <c r="F481" s="2" t="s">
        <v>4064</v>
      </c>
      <c r="G481" s="2" t="n">
        <v>633</v>
      </c>
      <c r="H481" s="3" t="str">
        <f>HYPERLINK("http://funmeta.oebiotech.com/network/633", "http://funmeta.oebiotech.com/network/633")</f>
      </c>
      <c r="I481" s="2" t="s">
        <v>4066</v>
      </c>
      <c r="J481" s="2" t="s">
        <v>4067</v>
      </c>
      <c r="K481" s="2" t="s">
        <v>4068</v>
      </c>
      <c r="L481" s="2"/>
      <c r="M481" s="2" t="s">
        <v>4069</v>
      </c>
      <c r="N481" s="2" t="s">
        <v>4070</v>
      </c>
      <c r="O481" s="2" t="s">
        <v>4071</v>
      </c>
      <c r="P481" s="2" t="s">
        <v>4072</v>
      </c>
      <c r="Q481" s="2" t="s">
        <v>4073</v>
      </c>
      <c r="R481" s="2" t="s">
        <v>794</v>
      </c>
      <c r="S481" s="2" t="s">
        <v>795</v>
      </c>
      <c r="T481" s="2" t="s">
        <v>2391</v>
      </c>
      <c r="U481" s="2" t="s">
        <v>4063</v>
      </c>
      <c r="V481" s="2" t="s">
        <v>24</v>
      </c>
      <c r="W481" s="2" t="s">
        <v>39</v>
      </c>
    </row>
    <row r="482">
      <c r="A482" s="2" t="n">
        <v>354</v>
      </c>
      <c r="B482" s="2" t="s">
        <v>13824</v>
      </c>
      <c r="C482" s="2" t="s">
        <v>4074</v>
      </c>
      <c r="D482" s="2" t="n">
        <v>280.043222977</v>
      </c>
      <c r="E482" s="2" t="n">
        <v>2.99145598964667</v>
      </c>
      <c r="F482" s="2" t="s">
        <v>4076</v>
      </c>
      <c r="G482" s="2" t="n">
        <v>83372</v>
      </c>
      <c r="H482" s="3" t="str">
        <f>HYPERLINK("http://funmeta.oebiotech.com/network/83372", "http://funmeta.oebiotech.com/network/83372")</f>
      </c>
      <c r="I482" s="2" t="s">
        <v>4078</v>
      </c>
      <c r="J482" s="2" t="s">
        <v>4079</v>
      </c>
      <c r="K482" s="2"/>
      <c r="L482" s="2" t="s">
        <v>4080</v>
      </c>
      <c r="M482" s="2" t="s">
        <v>4081</v>
      </c>
      <c r="N482" s="2" t="s">
        <v>4082</v>
      </c>
      <c r="O482" s="2" t="s">
        <v>4083</v>
      </c>
      <c r="P482" s="2" t="s">
        <v>4084</v>
      </c>
      <c r="Q482" s="2" t="s">
        <v>4085</v>
      </c>
      <c r="R482" s="2" t="s">
        <v>186</v>
      </c>
      <c r="S482" s="2" t="s">
        <v>4086</v>
      </c>
      <c r="T482" s="2" t="s">
        <v>4087</v>
      </c>
      <c r="U482" s="2" t="s">
        <v>4075</v>
      </c>
      <c r="V482" s="2" t="s">
        <v>161</v>
      </c>
      <c r="W482" s="2" t="s">
        <v>101</v>
      </c>
    </row>
    <row r="483">
      <c r="A483" s="2" t="n">
        <v>355</v>
      </c>
      <c r="B483" s="2" t="s">
        <v>13825</v>
      </c>
      <c r="C483" s="2" t="s">
        <v>4088</v>
      </c>
      <c r="D483" s="2" t="n">
        <v>280.995395414</v>
      </c>
      <c r="E483" s="2" t="n">
        <v>0.228558232879542</v>
      </c>
      <c r="F483" s="2" t="s">
        <v>4090</v>
      </c>
      <c r="G483" s="2" t="n">
        <v>56273</v>
      </c>
      <c r="H483" s="3" t="str">
        <f>HYPERLINK("http://funmeta.oebiotech.com/network/56273", "http://funmeta.oebiotech.com/network/56273")</f>
      </c>
      <c r="I483" s="2" t="s">
        <v>4092</v>
      </c>
      <c r="J483" s="2" t="s">
        <v>4093</v>
      </c>
      <c r="K483" s="2"/>
      <c r="L483" s="2" t="s">
        <v>4094</v>
      </c>
      <c r="M483" s="2" t="s">
        <v>4095</v>
      </c>
      <c r="N483" s="2" t="s">
        <v>4096</v>
      </c>
      <c r="O483" s="2" t="s">
        <v>4097</v>
      </c>
      <c r="P483" s="2" t="s">
        <v>4098</v>
      </c>
      <c r="Q483" s="2" t="s">
        <v>4099</v>
      </c>
      <c r="R483" s="2" t="s">
        <v>1905</v>
      </c>
      <c r="S483" s="2" t="s">
        <v>1906</v>
      </c>
      <c r="T483" s="2" t="s">
        <v>4100</v>
      </c>
      <c r="U483" s="2" t="s">
        <v>4089</v>
      </c>
      <c r="V483" s="2" t="s">
        <v>683</v>
      </c>
      <c r="W483" s="2" t="s">
        <v>56</v>
      </c>
    </row>
    <row r="484">
      <c r="A484" s="2" t="n">
        <v>356</v>
      </c>
      <c r="B484" s="2" t="s">
        <v>13826</v>
      </c>
      <c r="C484" s="2" t="s">
        <v>4101</v>
      </c>
      <c r="D484" s="2" t="n">
        <v>281.095987306</v>
      </c>
      <c r="E484" s="2" t="n">
        <v>4.57666117819504</v>
      </c>
      <c r="F484" s="2" t="s">
        <v>4103</v>
      </c>
      <c r="G484" s="2" t="n">
        <v>211268</v>
      </c>
      <c r="H484" s="3" t="str">
        <f>HYPERLINK("http://funmeta.oebiotech.com/network/211268", "http://funmeta.oebiotech.com/network/211268")</f>
      </c>
      <c r="I484" s="2" t="s">
        <v>4105</v>
      </c>
      <c r="J484" s="2"/>
      <c r="K484" s="2"/>
      <c r="L484" s="2"/>
      <c r="M484" s="2"/>
      <c r="N484" s="2" t="s">
        <v>4106</v>
      </c>
      <c r="O484" s="2"/>
      <c r="P484" s="2" t="s">
        <v>4107</v>
      </c>
      <c r="Q484" s="2" t="s">
        <v>4108</v>
      </c>
      <c r="R484" s="2" t="s">
        <v>186</v>
      </c>
      <c r="S484" s="2" t="s">
        <v>187</v>
      </c>
      <c r="T484" s="2" t="s">
        <v>3996</v>
      </c>
      <c r="U484" s="2" t="s">
        <v>4102</v>
      </c>
      <c r="V484" s="2" t="s">
        <v>161</v>
      </c>
      <c r="W484" s="2"/>
    </row>
    <row r="485">
      <c r="A485" s="2" t="n">
        <v>357</v>
      </c>
      <c r="B485" s="2" t="s">
        <v>13827</v>
      </c>
      <c r="C485" s="2" t="s">
        <v>4109</v>
      </c>
      <c r="D485" s="2" t="n">
        <v>281.142615336</v>
      </c>
      <c r="E485" s="2" t="n">
        <v>0.0565825149012391</v>
      </c>
      <c r="F485" s="2" t="s">
        <v>4111</v>
      </c>
      <c r="G485" s="2" t="n">
        <v>53214</v>
      </c>
      <c r="H485" s="3" t="str">
        <f>HYPERLINK("http://funmeta.oebiotech.com/network/53214", "http://funmeta.oebiotech.com/network/53214")</f>
      </c>
      <c r="I485" s="2" t="s">
        <v>4113</v>
      </c>
      <c r="J485" s="2" t="s">
        <v>4114</v>
      </c>
      <c r="K485" s="2"/>
      <c r="L485" s="2" t="s">
        <v>4115</v>
      </c>
      <c r="M485" s="2" t="s">
        <v>4116</v>
      </c>
      <c r="N485" s="2" t="s">
        <v>4117</v>
      </c>
      <c r="O485" s="2" t="s">
        <v>4118</v>
      </c>
      <c r="P485" s="2" t="s">
        <v>4119</v>
      </c>
      <c r="Q485" s="2" t="s">
        <v>4120</v>
      </c>
      <c r="R485" s="2" t="s">
        <v>114</v>
      </c>
      <c r="S485" s="2" t="s">
        <v>4121</v>
      </c>
      <c r="T485" s="2" t="s">
        <v>4122</v>
      </c>
      <c r="U485" s="2" t="s">
        <v>4110</v>
      </c>
      <c r="V485" s="2" t="s">
        <v>86</v>
      </c>
      <c r="W485" s="2" t="s">
        <v>56</v>
      </c>
    </row>
    <row r="486">
      <c r="A486" s="2" t="n">
        <v>358</v>
      </c>
      <c r="B486" s="2" t="s">
        <v>13828</v>
      </c>
      <c r="C486" s="2" t="s">
        <v>4123</v>
      </c>
      <c r="D486" s="2" t="n">
        <v>281.188896826</v>
      </c>
      <c r="E486" s="2" t="n">
        <v>16.614381538964</v>
      </c>
      <c r="F486" s="2" t="s">
        <v>4125</v>
      </c>
      <c r="G486" s="2" t="n">
        <v>58555</v>
      </c>
      <c r="H486" s="3" t="str">
        <f>HYPERLINK("http://funmeta.oebiotech.com/network/58555", "http://funmeta.oebiotech.com/network/58555")</f>
      </c>
      <c r="I486" s="2" t="s">
        <v>4127</v>
      </c>
      <c r="J486" s="2" t="s">
        <v>4128</v>
      </c>
      <c r="K486" s="2"/>
      <c r="L486" s="2"/>
      <c r="M486" s="2"/>
      <c r="N486" s="2" t="s">
        <v>4129</v>
      </c>
      <c r="O486" s="2" t="s">
        <v>4130</v>
      </c>
      <c r="P486" s="2" t="s">
        <v>4131</v>
      </c>
      <c r="Q486" s="2" t="s">
        <v>4132</v>
      </c>
      <c r="R486" s="2" t="s">
        <v>129</v>
      </c>
      <c r="S486" s="2" t="s">
        <v>130</v>
      </c>
      <c r="T486" s="2" t="s">
        <v>4133</v>
      </c>
      <c r="U486" s="2" t="s">
        <v>4124</v>
      </c>
      <c r="V486" s="2" t="s">
        <v>86</v>
      </c>
      <c r="W486" s="2" t="s">
        <v>56</v>
      </c>
    </row>
    <row r="487">
      <c r="A487" s="2" t="n">
        <v>359</v>
      </c>
      <c r="B487" s="2" t="s">
        <v>13829</v>
      </c>
      <c r="C487" s="2" t="s">
        <v>4134</v>
      </c>
      <c r="D487" s="2" t="n">
        <v>281.248604332</v>
      </c>
      <c r="E487" s="2" t="n">
        <v>15.5909657202776</v>
      </c>
      <c r="F487" s="2" t="s">
        <v>4136</v>
      </c>
      <c r="G487" s="2" t="n">
        <v>512</v>
      </c>
      <c r="H487" s="3" t="str">
        <f>HYPERLINK("http://funmeta.oebiotech.com/network/512", "http://funmeta.oebiotech.com/network/512")</f>
      </c>
      <c r="I487" s="2" t="s">
        <v>4138</v>
      </c>
      <c r="J487" s="2" t="s">
        <v>754</v>
      </c>
      <c r="K487" s="2" t="s">
        <v>4139</v>
      </c>
      <c r="L487" s="2" t="s">
        <v>4140</v>
      </c>
      <c r="M487" s="2" t="s">
        <v>4141</v>
      </c>
      <c r="N487" s="2" t="s">
        <v>4142</v>
      </c>
      <c r="O487" s="2" t="s">
        <v>4143</v>
      </c>
      <c r="P487" s="2" t="s">
        <v>4144</v>
      </c>
      <c r="Q487" s="2" t="s">
        <v>4145</v>
      </c>
      <c r="R487" s="2" t="s">
        <v>794</v>
      </c>
      <c r="S487" s="2" t="s">
        <v>795</v>
      </c>
      <c r="T487" s="2" t="s">
        <v>796</v>
      </c>
      <c r="U487" s="2" t="s">
        <v>4135</v>
      </c>
      <c r="V487" s="2" t="s">
        <v>24</v>
      </c>
      <c r="W487" s="2" t="s">
        <v>39</v>
      </c>
    </row>
    <row r="488">
      <c r="A488" s="2" t="n">
        <v>360</v>
      </c>
      <c r="B488" s="2" t="s">
        <v>13830</v>
      </c>
      <c r="C488" s="2" t="s">
        <v>4146</v>
      </c>
      <c r="D488" s="2" t="n">
        <v>281.980057311</v>
      </c>
      <c r="E488" s="2" t="n">
        <v>5.22519193274191</v>
      </c>
      <c r="F488" s="2" t="s">
        <v>4148</v>
      </c>
      <c r="G488" s="2" t="n">
        <v>198908</v>
      </c>
      <c r="H488" s="3" t="str">
        <f>HYPERLINK("http://funmeta.oebiotech.com/network/198908", "http://funmeta.oebiotech.com/network/198908")</f>
      </c>
      <c r="I488" s="2" t="s">
        <v>4150</v>
      </c>
      <c r="J488" s="2"/>
      <c r="K488" s="2"/>
      <c r="L488" s="2"/>
      <c r="M488" s="2"/>
      <c r="N488" s="2" t="s">
        <v>4151</v>
      </c>
      <c r="O488" s="2"/>
      <c r="P488" s="2" t="s">
        <v>4152</v>
      </c>
      <c r="Q488" s="2" t="s">
        <v>4153</v>
      </c>
      <c r="R488" s="2" t="s">
        <v>114</v>
      </c>
      <c r="S488" s="2" t="s">
        <v>730</v>
      </c>
      <c r="T488" s="2" t="s">
        <v>731</v>
      </c>
      <c r="U488" s="2" t="s">
        <v>4147</v>
      </c>
      <c r="V488" s="2" t="s">
        <v>86</v>
      </c>
      <c r="W488" s="2"/>
    </row>
    <row r="489">
      <c r="A489" s="2" t="n">
        <v>361</v>
      </c>
      <c r="B489" s="2" t="s">
        <v>13831</v>
      </c>
      <c r="C489" s="2" t="s">
        <v>4154</v>
      </c>
      <c r="D489" s="2" t="n">
        <v>282.0393906</v>
      </c>
      <c r="E489" s="2" t="n">
        <v>4.13024241416023</v>
      </c>
      <c r="F489" s="2" t="s">
        <v>13832</v>
      </c>
      <c r="G489" s="2" t="n">
        <v>200512</v>
      </c>
      <c r="H489" s="3" t="str">
        <f>HYPERLINK("http://funmeta.oebiotech.com/network/200512", "http://funmeta.oebiotech.com/network/200512")</f>
      </c>
      <c r="I489" s="2" t="s">
        <v>13833</v>
      </c>
      <c r="J489" s="2"/>
      <c r="K489" s="2"/>
      <c r="L489" s="2"/>
      <c r="M489" s="2"/>
      <c r="N489" s="2" t="s">
        <v>13834</v>
      </c>
      <c r="O489" s="2"/>
      <c r="P489" s="2" t="s">
        <v>13835</v>
      </c>
      <c r="Q489" s="2" t="s">
        <v>13836</v>
      </c>
      <c r="R489" s="2" t="s">
        <v>2416</v>
      </c>
      <c r="S489" s="2" t="s">
        <v>6560</v>
      </c>
      <c r="T489" s="2" t="s">
        <v>215</v>
      </c>
      <c r="U489" s="2" t="s">
        <v>4155</v>
      </c>
      <c r="V489" s="2" t="s">
        <v>161</v>
      </c>
      <c r="W489" s="2"/>
    </row>
    <row r="490">
      <c r="A490" s="2" t="n">
        <v>361</v>
      </c>
      <c r="B490" s="2" t="s">
        <v>13837</v>
      </c>
      <c r="C490" s="2" t="s">
        <v>4154</v>
      </c>
      <c r="D490" s="2" t="n">
        <v>282.039390604</v>
      </c>
      <c r="E490" s="2" t="n">
        <v>4.13024241416023</v>
      </c>
      <c r="F490" s="2" t="s">
        <v>13838</v>
      </c>
      <c r="G490" s="2" t="n">
        <v>202659</v>
      </c>
      <c r="H490" s="3" t="str">
        <f>HYPERLINK("http://funmeta.oebiotech.com/network/202659", "http://funmeta.oebiotech.com/network/202659")</f>
      </c>
      <c r="I490" s="2" t="s">
        <v>13839</v>
      </c>
      <c r="J490" s="2"/>
      <c r="K490" s="2"/>
      <c r="L490" s="2"/>
      <c r="M490" s="2"/>
      <c r="N490" s="2" t="s">
        <v>13840</v>
      </c>
      <c r="O490" s="2"/>
      <c r="P490" s="2" t="s">
        <v>13841</v>
      </c>
      <c r="Q490" s="2" t="s">
        <v>13842</v>
      </c>
      <c r="R490" s="2" t="s">
        <v>2416</v>
      </c>
      <c r="S490" s="2" t="s">
        <v>6560</v>
      </c>
      <c r="T490" s="2" t="s">
        <v>215</v>
      </c>
      <c r="U490" s="2" t="s">
        <v>4155</v>
      </c>
      <c r="V490" s="2" t="s">
        <v>161</v>
      </c>
      <c r="W490" s="2"/>
    </row>
    <row r="491">
      <c r="A491" s="2" t="n">
        <v>362</v>
      </c>
      <c r="B491" s="2" t="s">
        <v>13843</v>
      </c>
      <c r="C491" s="2" t="s">
        <v>4162</v>
      </c>
      <c r="D491" s="2" t="n">
        <v>282.091786593</v>
      </c>
      <c r="E491" s="2" t="n">
        <v>1.78232102475097</v>
      </c>
      <c r="F491" s="2" t="s">
        <v>4164</v>
      </c>
      <c r="G491" s="2" t="n">
        <v>204584</v>
      </c>
      <c r="H491" s="3" t="str">
        <f>HYPERLINK("http://funmeta.oebiotech.com/network/204584", "http://funmeta.oebiotech.com/network/204584")</f>
      </c>
      <c r="I491" s="2" t="s">
        <v>4166</v>
      </c>
      <c r="J491" s="2" t="s">
        <v>4167</v>
      </c>
      <c r="K491" s="2"/>
      <c r="L491" s="2"/>
      <c r="M491" s="2"/>
      <c r="N491" s="2" t="s">
        <v>4168</v>
      </c>
      <c r="O491" s="2"/>
      <c r="P491" s="2" t="s">
        <v>4169</v>
      </c>
      <c r="Q491" s="2" t="s">
        <v>4170</v>
      </c>
      <c r="R491" s="2" t="s">
        <v>794</v>
      </c>
      <c r="S491" s="2" t="s">
        <v>1098</v>
      </c>
      <c r="T491" s="2" t="s">
        <v>1099</v>
      </c>
      <c r="U491" s="2" t="s">
        <v>4163</v>
      </c>
      <c r="V491" s="2" t="s">
        <v>24</v>
      </c>
      <c r="W491" s="2"/>
    </row>
    <row r="492">
      <c r="A492" s="2" t="n">
        <v>363</v>
      </c>
      <c r="B492" s="2" t="s">
        <v>13844</v>
      </c>
      <c r="C492" s="2" t="s">
        <v>4171</v>
      </c>
      <c r="D492" s="2" t="n">
        <v>282.991793467</v>
      </c>
      <c r="E492" s="2" t="n">
        <v>3.44587335865173</v>
      </c>
      <c r="F492" s="2" t="s">
        <v>4173</v>
      </c>
      <c r="G492" s="2" t="n">
        <v>201010</v>
      </c>
      <c r="H492" s="3" t="str">
        <f>HYPERLINK("http://funmeta.oebiotech.com/network/201010", "http://funmeta.oebiotech.com/network/201010")</f>
      </c>
      <c r="I492" s="2" t="s">
        <v>4175</v>
      </c>
      <c r="J492" s="2" t="s">
        <v>4176</v>
      </c>
      <c r="K492" s="2"/>
      <c r="L492" s="2"/>
      <c r="M492" s="2" t="s">
        <v>4177</v>
      </c>
      <c r="N492" s="2" t="s">
        <v>4178</v>
      </c>
      <c r="O492" s="2"/>
      <c r="P492" s="2" t="s">
        <v>4179</v>
      </c>
      <c r="Q492" s="2" t="s">
        <v>4180</v>
      </c>
      <c r="R492" s="2" t="s">
        <v>186</v>
      </c>
      <c r="S492" s="2" t="s">
        <v>4086</v>
      </c>
      <c r="T492" s="2" t="s">
        <v>4181</v>
      </c>
      <c r="U492" s="2" t="s">
        <v>4172</v>
      </c>
      <c r="V492" s="2" t="s">
        <v>205</v>
      </c>
      <c r="W492" s="2"/>
    </row>
    <row r="493">
      <c r="A493" s="2" t="n">
        <v>364</v>
      </c>
      <c r="B493" s="2" t="s">
        <v>13845</v>
      </c>
      <c r="C493" s="2" t="s">
        <v>4182</v>
      </c>
      <c r="D493" s="2" t="n">
        <v>283.023956754</v>
      </c>
      <c r="E493" s="2" t="n">
        <v>1.21654481405273</v>
      </c>
      <c r="F493" s="2" t="s">
        <v>4184</v>
      </c>
      <c r="G493" s="2" t="n">
        <v>209590</v>
      </c>
      <c r="H493" s="3" t="str">
        <f>HYPERLINK("http://funmeta.oebiotech.com/network/209590", "http://funmeta.oebiotech.com/network/209590")</f>
      </c>
      <c r="I493" s="2" t="s">
        <v>4186</v>
      </c>
      <c r="J493" s="2" t="s">
        <v>4187</v>
      </c>
      <c r="K493" s="2"/>
      <c r="L493" s="2"/>
      <c r="M493" s="2"/>
      <c r="N493" s="2" t="s">
        <v>4188</v>
      </c>
      <c r="O493" s="2"/>
      <c r="P493" s="2" t="s">
        <v>4189</v>
      </c>
      <c r="Q493" s="2" t="s">
        <v>4190</v>
      </c>
      <c r="R493" s="2" t="s">
        <v>114</v>
      </c>
      <c r="S493" s="2" t="s">
        <v>172</v>
      </c>
      <c r="T493" s="2" t="s">
        <v>173</v>
      </c>
      <c r="U493" s="2" t="s">
        <v>4183</v>
      </c>
      <c r="V493" s="2" t="s">
        <v>86</v>
      </c>
      <c r="W493" s="2"/>
    </row>
    <row r="494">
      <c r="A494" s="2" t="n">
        <v>365</v>
      </c>
      <c r="B494" s="2" t="s">
        <v>13846</v>
      </c>
      <c r="C494" s="2" t="s">
        <v>4191</v>
      </c>
      <c r="D494" s="2" t="n">
        <v>283.070238243</v>
      </c>
      <c r="E494" s="2" t="n">
        <v>1.8053894358027</v>
      </c>
      <c r="F494" s="2" t="s">
        <v>4193</v>
      </c>
      <c r="G494" s="2" t="n">
        <v>54162</v>
      </c>
      <c r="H494" s="3" t="str">
        <f>HYPERLINK("http://funmeta.oebiotech.com/network/54162", "http://funmeta.oebiotech.com/network/54162")</f>
      </c>
      <c r="I494" s="2" t="s">
        <v>4195</v>
      </c>
      <c r="J494" s="2"/>
      <c r="K494" s="2"/>
      <c r="L494" s="2"/>
      <c r="M494" s="2" t="s">
        <v>4196</v>
      </c>
      <c r="N494" s="2" t="s">
        <v>4197</v>
      </c>
      <c r="O494" s="2" t="s">
        <v>4198</v>
      </c>
      <c r="P494" s="2" t="s">
        <v>4199</v>
      </c>
      <c r="Q494" s="2" t="s">
        <v>4200</v>
      </c>
      <c r="R494" s="2" t="s">
        <v>36</v>
      </c>
      <c r="S494" s="2" t="s">
        <v>37</v>
      </c>
      <c r="T494" s="2" t="s">
        <v>69</v>
      </c>
      <c r="U494" s="2" t="s">
        <v>4192</v>
      </c>
      <c r="V494" s="2" t="s">
        <v>86</v>
      </c>
      <c r="W494" s="2" t="s">
        <v>56</v>
      </c>
    </row>
    <row r="495">
      <c r="A495" s="2" t="n">
        <v>366</v>
      </c>
      <c r="B495" s="2" t="s">
        <v>13847</v>
      </c>
      <c r="C495" s="2" t="s">
        <v>4201</v>
      </c>
      <c r="D495" s="2" t="n">
        <v>283.108812079</v>
      </c>
      <c r="E495" s="2" t="n">
        <v>1.62841075357063</v>
      </c>
      <c r="F495" s="2" t="s">
        <v>13848</v>
      </c>
      <c r="G495" s="2" t="n">
        <v>209418</v>
      </c>
      <c r="H495" s="3" t="str">
        <f>HYPERLINK("http://funmeta.oebiotech.com/network/209418", "http://funmeta.oebiotech.com/network/209418")</f>
      </c>
      <c r="I495" s="2" t="s">
        <v>13849</v>
      </c>
      <c r="J495" s="2"/>
      <c r="K495" s="2"/>
      <c r="L495" s="2"/>
      <c r="M495" s="2"/>
      <c r="N495" s="2" t="s">
        <v>13850</v>
      </c>
      <c r="O495" s="2"/>
      <c r="P495" s="2" t="s">
        <v>13851</v>
      </c>
      <c r="Q495" s="2" t="s">
        <v>13852</v>
      </c>
      <c r="R495" s="2" t="s">
        <v>186</v>
      </c>
      <c r="S495" s="2" t="s">
        <v>4086</v>
      </c>
      <c r="T495" s="2" t="s">
        <v>215</v>
      </c>
      <c r="U495" s="2" t="s">
        <v>4202</v>
      </c>
      <c r="V495" s="2" t="s">
        <v>205</v>
      </c>
      <c r="W495" s="2"/>
    </row>
    <row r="496">
      <c r="A496" s="2" t="n">
        <v>366</v>
      </c>
      <c r="B496" s="2" t="s">
        <v>13853</v>
      </c>
      <c r="C496" s="2" t="s">
        <v>4201</v>
      </c>
      <c r="D496" s="2" t="n">
        <v>283.108812079</v>
      </c>
      <c r="E496" s="2" t="n">
        <v>1.62841075357063</v>
      </c>
      <c r="F496" s="2" t="s">
        <v>13854</v>
      </c>
      <c r="G496" s="2" t="n">
        <v>211787</v>
      </c>
      <c r="H496" s="3" t="str">
        <f>HYPERLINK("http://funmeta.oebiotech.com/network/211787", "http://funmeta.oebiotech.com/network/211787")</f>
      </c>
      <c r="I496" s="2" t="s">
        <v>13855</v>
      </c>
      <c r="J496" s="2"/>
      <c r="K496" s="2"/>
      <c r="L496" s="2"/>
      <c r="M496" s="2"/>
      <c r="N496" s="2"/>
      <c r="O496" s="2"/>
      <c r="P496" s="2" t="s">
        <v>13856</v>
      </c>
      <c r="Q496" s="2" t="s">
        <v>13857</v>
      </c>
      <c r="R496" s="2" t="s">
        <v>114</v>
      </c>
      <c r="S496" s="2" t="s">
        <v>994</v>
      </c>
      <c r="T496" s="2" t="s">
        <v>215</v>
      </c>
      <c r="U496" s="2" t="s">
        <v>4202</v>
      </c>
      <c r="V496" s="2" t="s">
        <v>205</v>
      </c>
      <c r="W496" s="2"/>
    </row>
    <row r="497">
      <c r="A497" s="2" t="n">
        <v>366</v>
      </c>
      <c r="B497" s="2" t="s">
        <v>13858</v>
      </c>
      <c r="C497" s="2" t="s">
        <v>4201</v>
      </c>
      <c r="D497" s="2" t="n">
        <v>283.108812079</v>
      </c>
      <c r="E497" s="2" t="n">
        <v>1.62841075357063</v>
      </c>
      <c r="F497" s="2" t="s">
        <v>13859</v>
      </c>
      <c r="G497" s="2" t="n">
        <v>199795</v>
      </c>
      <c r="H497" s="3" t="str">
        <f>HYPERLINK("http://funmeta.oebiotech.com/network/199795", "http://funmeta.oebiotech.com/network/199795")</f>
      </c>
      <c r="I497" s="2" t="s">
        <v>13860</v>
      </c>
      <c r="J497" s="2"/>
      <c r="K497" s="2"/>
      <c r="L497" s="2"/>
      <c r="M497" s="2"/>
      <c r="N497" s="2" t="s">
        <v>13861</v>
      </c>
      <c r="O497" s="2"/>
      <c r="P497" s="2" t="s">
        <v>13862</v>
      </c>
      <c r="Q497" s="2" t="s">
        <v>13863</v>
      </c>
      <c r="R497" s="2" t="s">
        <v>114</v>
      </c>
      <c r="S497" s="2" t="s">
        <v>3757</v>
      </c>
      <c r="T497" s="2" t="s">
        <v>3758</v>
      </c>
      <c r="U497" s="2" t="s">
        <v>4202</v>
      </c>
      <c r="V497" s="2" t="s">
        <v>205</v>
      </c>
      <c r="W497" s="2"/>
    </row>
    <row r="498">
      <c r="A498" s="2" t="n">
        <v>367</v>
      </c>
      <c r="B498" s="2" t="s">
        <v>13864</v>
      </c>
      <c r="C498" s="2" t="s">
        <v>4212</v>
      </c>
      <c r="D498" s="2" t="n">
        <v>283.191483382</v>
      </c>
      <c r="E498" s="2" t="n">
        <v>3.12285649821529</v>
      </c>
      <c r="F498" s="2" t="s">
        <v>4214</v>
      </c>
      <c r="G498" s="2" t="n">
        <v>212358</v>
      </c>
      <c r="H498" s="3" t="str">
        <f>HYPERLINK("http://funmeta.oebiotech.com/network/212358", "http://funmeta.oebiotech.com/network/212358")</f>
      </c>
      <c r="I498" s="2" t="s">
        <v>4216</v>
      </c>
      <c r="J498" s="2"/>
      <c r="K498" s="2"/>
      <c r="L498" s="2"/>
      <c r="M498" s="2"/>
      <c r="N498" s="2"/>
      <c r="O498" s="2"/>
      <c r="P498" s="2" t="s">
        <v>4217</v>
      </c>
      <c r="Q498" s="2" t="s">
        <v>4218</v>
      </c>
      <c r="R498" s="2" t="s">
        <v>794</v>
      </c>
      <c r="S498" s="2" t="s">
        <v>795</v>
      </c>
      <c r="T498" s="2" t="s">
        <v>796</v>
      </c>
      <c r="U498" s="2" t="s">
        <v>4213</v>
      </c>
      <c r="V498" s="2" t="s">
        <v>24</v>
      </c>
      <c r="W498" s="2"/>
    </row>
    <row r="499">
      <c r="A499" s="2" t="n">
        <v>368</v>
      </c>
      <c r="B499" s="2" t="s">
        <v>13865</v>
      </c>
      <c r="C499" s="2" t="s">
        <v>4219</v>
      </c>
      <c r="D499" s="2" t="n">
        <v>283.264254396</v>
      </c>
      <c r="E499" s="2" t="n">
        <v>7.99471986740894</v>
      </c>
      <c r="F499" s="2" t="s">
        <v>4221</v>
      </c>
      <c r="G499" s="2" t="n">
        <v>64</v>
      </c>
      <c r="H499" s="3" t="str">
        <f>HYPERLINK("http://funmeta.oebiotech.com/network/64", "http://funmeta.oebiotech.com/network/64")</f>
      </c>
      <c r="I499" s="2" t="s">
        <v>4223</v>
      </c>
      <c r="J499" s="2" t="s">
        <v>4224</v>
      </c>
      <c r="K499" s="2" t="s">
        <v>4225</v>
      </c>
      <c r="L499" s="2" t="s">
        <v>4226</v>
      </c>
      <c r="M499" s="2" t="s">
        <v>4227</v>
      </c>
      <c r="N499" s="2" t="s">
        <v>4228</v>
      </c>
      <c r="O499" s="2" t="s">
        <v>4229</v>
      </c>
      <c r="P499" s="2" t="s">
        <v>4230</v>
      </c>
      <c r="Q499" s="2" t="s">
        <v>4231</v>
      </c>
      <c r="R499" s="2" t="s">
        <v>794</v>
      </c>
      <c r="S499" s="2" t="s">
        <v>795</v>
      </c>
      <c r="T499" s="2" t="s">
        <v>796</v>
      </c>
      <c r="U499" s="2" t="s">
        <v>4220</v>
      </c>
      <c r="V499" s="2" t="s">
        <v>24</v>
      </c>
      <c r="W499" s="2" t="s">
        <v>39</v>
      </c>
    </row>
    <row r="500">
      <c r="A500" s="2" t="n">
        <v>369</v>
      </c>
      <c r="B500" s="2" t="s">
        <v>13866</v>
      </c>
      <c r="C500" s="2" t="s">
        <v>4232</v>
      </c>
      <c r="D500" s="2" t="n">
        <v>284.072845413</v>
      </c>
      <c r="E500" s="2" t="n">
        <v>0.867153092586236</v>
      </c>
      <c r="F500" s="2" t="s">
        <v>4234</v>
      </c>
      <c r="G500" s="2" t="n">
        <v>206834</v>
      </c>
      <c r="H500" s="3" t="str">
        <f>HYPERLINK("http://funmeta.oebiotech.com/network/206834", "http://funmeta.oebiotech.com/network/206834")</f>
      </c>
      <c r="I500" s="2" t="s">
        <v>4236</v>
      </c>
      <c r="J500" s="2"/>
      <c r="K500" s="2"/>
      <c r="L500" s="2"/>
      <c r="M500" s="2"/>
      <c r="N500" s="2" t="s">
        <v>4237</v>
      </c>
      <c r="O500" s="2"/>
      <c r="P500" s="2" t="s">
        <v>4238</v>
      </c>
      <c r="Q500" s="2" t="s">
        <v>4239</v>
      </c>
      <c r="R500" s="2" t="s">
        <v>114</v>
      </c>
      <c r="S500" s="2" t="s">
        <v>172</v>
      </c>
      <c r="T500" s="2" t="s">
        <v>4240</v>
      </c>
      <c r="U500" s="2" t="s">
        <v>4233</v>
      </c>
      <c r="V500" s="2" t="s">
        <v>24</v>
      </c>
      <c r="W500" s="2"/>
    </row>
    <row r="501">
      <c r="A501" s="2" t="n">
        <v>370</v>
      </c>
      <c r="B501" s="2" t="s">
        <v>13867</v>
      </c>
      <c r="C501" s="2" t="s">
        <v>4241</v>
      </c>
      <c r="D501" s="2" t="n">
        <v>284.100038307</v>
      </c>
      <c r="E501" s="2" t="n">
        <v>1.63442141768541</v>
      </c>
      <c r="F501" s="2" t="s">
        <v>13868</v>
      </c>
      <c r="G501" s="2" t="n">
        <v>47789</v>
      </c>
      <c r="H501" s="3" t="str">
        <f>HYPERLINK("http://funmeta.oebiotech.com/network/47789", "http://funmeta.oebiotech.com/network/47789")</f>
      </c>
      <c r="I501" s="2" t="s">
        <v>13869</v>
      </c>
      <c r="J501" s="2" t="s">
        <v>13870</v>
      </c>
      <c r="K501" s="2"/>
      <c r="L501" s="2" t="s">
        <v>13871</v>
      </c>
      <c r="M501" s="2" t="s">
        <v>13872</v>
      </c>
      <c r="N501" s="2" t="s">
        <v>13873</v>
      </c>
      <c r="O501" s="2" t="s">
        <v>13874</v>
      </c>
      <c r="P501" s="2" t="s">
        <v>13875</v>
      </c>
      <c r="Q501" s="2" t="s">
        <v>13876</v>
      </c>
      <c r="R501" s="2" t="s">
        <v>114</v>
      </c>
      <c r="S501" s="2" t="s">
        <v>680</v>
      </c>
      <c r="T501" s="2" t="s">
        <v>3543</v>
      </c>
      <c r="U501" s="2" t="s">
        <v>4242</v>
      </c>
      <c r="V501" s="2" t="s">
        <v>205</v>
      </c>
      <c r="W501" s="2" t="s">
        <v>101</v>
      </c>
    </row>
    <row r="502">
      <c r="A502" s="2" t="n">
        <v>370</v>
      </c>
      <c r="B502" s="2" t="s">
        <v>13877</v>
      </c>
      <c r="C502" s="2" t="s">
        <v>4241</v>
      </c>
      <c r="D502" s="2" t="n">
        <v>284.100038307</v>
      </c>
      <c r="E502" s="2" t="n">
        <v>1.63442141768541</v>
      </c>
      <c r="F502" s="2" t="s">
        <v>13878</v>
      </c>
      <c r="G502" s="2" t="n">
        <v>46838</v>
      </c>
      <c r="H502" s="3" t="str">
        <f>HYPERLINK("http://funmeta.oebiotech.com/network/46838", "http://funmeta.oebiotech.com/network/46838")</f>
      </c>
      <c r="I502" s="2" t="s">
        <v>13879</v>
      </c>
      <c r="J502" s="2" t="s">
        <v>13880</v>
      </c>
      <c r="K502" s="2"/>
      <c r="L502" s="2" t="s">
        <v>13881</v>
      </c>
      <c r="M502" s="2" t="s">
        <v>13882</v>
      </c>
      <c r="N502" s="2" t="s">
        <v>13883</v>
      </c>
      <c r="O502" s="2" t="s">
        <v>13884</v>
      </c>
      <c r="P502" s="2" t="s">
        <v>13885</v>
      </c>
      <c r="Q502" s="2" t="s">
        <v>13886</v>
      </c>
      <c r="R502" s="2" t="s">
        <v>114</v>
      </c>
      <c r="S502" s="2" t="s">
        <v>680</v>
      </c>
      <c r="T502" s="2" t="s">
        <v>3543</v>
      </c>
      <c r="U502" s="2" t="s">
        <v>4242</v>
      </c>
      <c r="V502" s="2" t="s">
        <v>205</v>
      </c>
      <c r="W502" s="2" t="s">
        <v>101</v>
      </c>
    </row>
    <row r="503">
      <c r="A503" s="2" t="n">
        <v>370</v>
      </c>
      <c r="B503" s="2" t="s">
        <v>13887</v>
      </c>
      <c r="C503" s="2" t="s">
        <v>4241</v>
      </c>
      <c r="D503" s="2" t="n">
        <v>284.100038307</v>
      </c>
      <c r="E503" s="2" t="n">
        <v>1.63442141768541</v>
      </c>
      <c r="F503" s="2" t="s">
        <v>13888</v>
      </c>
      <c r="G503" s="2" t="n">
        <v>47865</v>
      </c>
      <c r="H503" s="3" t="str">
        <f>HYPERLINK("http://funmeta.oebiotech.com/network/47865", "http://funmeta.oebiotech.com/network/47865")</f>
      </c>
      <c r="I503" s="2" t="s">
        <v>13889</v>
      </c>
      <c r="J503" s="2" t="s">
        <v>13890</v>
      </c>
      <c r="K503" s="2"/>
      <c r="L503" s="2" t="s">
        <v>13891</v>
      </c>
      <c r="M503" s="2" t="s">
        <v>13892</v>
      </c>
      <c r="N503" s="2" t="s">
        <v>13893</v>
      </c>
      <c r="O503" s="2" t="s">
        <v>13894</v>
      </c>
      <c r="P503" s="2" t="s">
        <v>13895</v>
      </c>
      <c r="Q503" s="2" t="s">
        <v>13896</v>
      </c>
      <c r="R503" s="2" t="s">
        <v>114</v>
      </c>
      <c r="S503" s="2" t="s">
        <v>680</v>
      </c>
      <c r="T503" s="2" t="s">
        <v>3543</v>
      </c>
      <c r="U503" s="2" t="s">
        <v>4242</v>
      </c>
      <c r="V503" s="2" t="s">
        <v>205</v>
      </c>
      <c r="W503" s="2" t="s">
        <v>101</v>
      </c>
    </row>
    <row r="504">
      <c r="A504" s="2" t="n">
        <v>371</v>
      </c>
      <c r="B504" s="2" t="s">
        <v>13897</v>
      </c>
      <c r="C504" s="2" t="s">
        <v>4255</v>
      </c>
      <c r="D504" s="2" t="n">
        <v>285.070318568</v>
      </c>
      <c r="E504" s="2" t="n">
        <v>1.13203855056105</v>
      </c>
      <c r="F504" s="2" t="s">
        <v>4257</v>
      </c>
      <c r="G504" s="2" t="n">
        <v>201719</v>
      </c>
      <c r="H504" s="3" t="str">
        <f>HYPERLINK("http://funmeta.oebiotech.com/network/201719", "http://funmeta.oebiotech.com/network/201719")</f>
      </c>
      <c r="I504" s="2" t="s">
        <v>4259</v>
      </c>
      <c r="J504" s="2"/>
      <c r="K504" s="2"/>
      <c r="L504" s="2"/>
      <c r="M504" s="2"/>
      <c r="N504" s="2"/>
      <c r="O504" s="2"/>
      <c r="P504" s="2" t="s">
        <v>4260</v>
      </c>
      <c r="Q504" s="2" t="s">
        <v>4261</v>
      </c>
      <c r="R504" s="2" t="s">
        <v>114</v>
      </c>
      <c r="S504" s="2" t="s">
        <v>4262</v>
      </c>
      <c r="T504" s="2" t="s">
        <v>215</v>
      </c>
      <c r="U504" s="2" t="s">
        <v>4256</v>
      </c>
      <c r="V504" s="2" t="s">
        <v>205</v>
      </c>
      <c r="W504" s="2"/>
    </row>
    <row r="505">
      <c r="A505" s="2" t="n">
        <v>372</v>
      </c>
      <c r="B505" s="2" t="s">
        <v>13898</v>
      </c>
      <c r="C505" s="2" t="s">
        <v>4263</v>
      </c>
      <c r="D505" s="2" t="n">
        <v>285.172085344</v>
      </c>
      <c r="E505" s="2" t="n">
        <v>12.3674787637124</v>
      </c>
      <c r="F505" s="2" t="s">
        <v>4265</v>
      </c>
      <c r="G505" s="2" t="n">
        <v>196989</v>
      </c>
      <c r="H505" s="3" t="str">
        <f>HYPERLINK("http://funmeta.oebiotech.com/network/196989", "http://funmeta.oebiotech.com/network/196989")</f>
      </c>
      <c r="I505" s="2" t="s">
        <v>4267</v>
      </c>
      <c r="J505" s="2"/>
      <c r="K505" s="2"/>
      <c r="L505" s="2"/>
      <c r="M505" s="2"/>
      <c r="N505" s="2"/>
      <c r="O505" s="2" t="s">
        <v>4268</v>
      </c>
      <c r="P505" s="2" t="s">
        <v>4269</v>
      </c>
      <c r="Q505" s="2" t="s">
        <v>4270</v>
      </c>
      <c r="R505" s="2" t="s">
        <v>186</v>
      </c>
      <c r="S505" s="2" t="s">
        <v>911</v>
      </c>
      <c r="T505" s="2" t="s">
        <v>2144</v>
      </c>
      <c r="U505" s="2" t="s">
        <v>4264</v>
      </c>
      <c r="V505" s="2" t="s">
        <v>24</v>
      </c>
      <c r="W505" s="2" t="s">
        <v>56</v>
      </c>
    </row>
    <row r="506">
      <c r="A506" s="2" t="n">
        <v>373</v>
      </c>
      <c r="B506" s="2" t="s">
        <v>13899</v>
      </c>
      <c r="C506" s="2" t="s">
        <v>4271</v>
      </c>
      <c r="D506" s="2" t="n">
        <v>285.207133448</v>
      </c>
      <c r="E506" s="2" t="n">
        <v>19.3193864950127</v>
      </c>
      <c r="F506" s="2" t="s">
        <v>4273</v>
      </c>
      <c r="G506" s="2" t="n">
        <v>2837</v>
      </c>
      <c r="H506" s="3" t="str">
        <f>HYPERLINK("http://funmeta.oebiotech.com/network/2837", "http://funmeta.oebiotech.com/network/2837")</f>
      </c>
      <c r="I506" s="2" t="s">
        <v>4275</v>
      </c>
      <c r="J506" s="2" t="s">
        <v>4276</v>
      </c>
      <c r="K506" s="2" t="s">
        <v>4277</v>
      </c>
      <c r="L506" s="2" t="s">
        <v>4278</v>
      </c>
      <c r="M506" s="2" t="s">
        <v>4279</v>
      </c>
      <c r="N506" s="2" t="s">
        <v>4280</v>
      </c>
      <c r="O506" s="2" t="s">
        <v>4281</v>
      </c>
      <c r="P506" s="2" t="s">
        <v>4282</v>
      </c>
      <c r="Q506" s="2" t="s">
        <v>4283</v>
      </c>
      <c r="R506" s="2" t="s">
        <v>794</v>
      </c>
      <c r="S506" s="2" t="s">
        <v>795</v>
      </c>
      <c r="T506" s="2" t="s">
        <v>796</v>
      </c>
      <c r="U506" s="2" t="s">
        <v>4272</v>
      </c>
      <c r="V506" s="2" t="s">
        <v>24</v>
      </c>
      <c r="W506" s="2" t="s">
        <v>39</v>
      </c>
    </row>
    <row r="507">
      <c r="A507" s="2" t="n">
        <v>374</v>
      </c>
      <c r="B507" s="2" t="s">
        <v>13900</v>
      </c>
      <c r="C507" s="2" t="s">
        <v>4284</v>
      </c>
      <c r="D507" s="2" t="n">
        <v>285.957327922</v>
      </c>
      <c r="E507" s="2" t="n">
        <v>18.0354330253883</v>
      </c>
      <c r="F507" s="2" t="s">
        <v>4286</v>
      </c>
      <c r="G507" s="2" t="n">
        <v>205161</v>
      </c>
      <c r="H507" s="3" t="str">
        <f>HYPERLINK("http://funmeta.oebiotech.com/network/205161", "http://funmeta.oebiotech.com/network/205161")</f>
      </c>
      <c r="I507" s="2" t="s">
        <v>4288</v>
      </c>
      <c r="J507" s="2"/>
      <c r="K507" s="2"/>
      <c r="L507" s="2" t="s">
        <v>4289</v>
      </c>
      <c r="M507" s="2" t="s">
        <v>4290</v>
      </c>
      <c r="N507" s="2" t="s">
        <v>4291</v>
      </c>
      <c r="O507" s="2"/>
      <c r="P507" s="2" t="s">
        <v>4292</v>
      </c>
      <c r="Q507" s="2" t="s">
        <v>4293</v>
      </c>
      <c r="R507" s="2" t="s">
        <v>114</v>
      </c>
      <c r="S507" s="2" t="s">
        <v>172</v>
      </c>
      <c r="T507" s="2" t="s">
        <v>4294</v>
      </c>
      <c r="U507" s="2" t="s">
        <v>4285</v>
      </c>
      <c r="V507" s="2" t="s">
        <v>218</v>
      </c>
      <c r="W507" s="2" t="s">
        <v>101</v>
      </c>
    </row>
    <row r="508">
      <c r="A508" s="2" t="n">
        <v>375</v>
      </c>
      <c r="B508" s="2" t="s">
        <v>13901</v>
      </c>
      <c r="C508" s="2" t="s">
        <v>4295</v>
      </c>
      <c r="D508" s="2" t="n">
        <v>286.0631749</v>
      </c>
      <c r="E508" s="2" t="n">
        <v>1.71047373125691</v>
      </c>
      <c r="F508" s="2" t="s">
        <v>4297</v>
      </c>
      <c r="G508" s="2" t="n">
        <v>202230</v>
      </c>
      <c r="H508" s="3" t="str">
        <f>HYPERLINK("http://funmeta.oebiotech.com/network/202230", "http://funmeta.oebiotech.com/network/202230")</f>
      </c>
      <c r="I508" s="2" t="s">
        <v>4299</v>
      </c>
      <c r="J508" s="2"/>
      <c r="K508" s="2"/>
      <c r="L508" s="2"/>
      <c r="M508" s="2"/>
      <c r="N508" s="2" t="s">
        <v>4300</v>
      </c>
      <c r="O508" s="2"/>
      <c r="P508" s="2" t="s">
        <v>4301</v>
      </c>
      <c r="Q508" s="2" t="s">
        <v>4302</v>
      </c>
      <c r="R508" s="2" t="s">
        <v>186</v>
      </c>
      <c r="S508" s="2" t="s">
        <v>187</v>
      </c>
      <c r="T508" s="2" t="s">
        <v>2791</v>
      </c>
      <c r="U508" s="2" t="s">
        <v>4296</v>
      </c>
      <c r="V508" s="2" t="s">
        <v>24</v>
      </c>
      <c r="W508" s="2"/>
    </row>
    <row r="509">
      <c r="A509" s="2" t="n">
        <v>376</v>
      </c>
      <c r="B509" s="2" t="s">
        <v>13902</v>
      </c>
      <c r="C509" s="2" t="s">
        <v>4303</v>
      </c>
      <c r="D509" s="2" t="n">
        <v>287.070513022</v>
      </c>
      <c r="E509" s="2" t="n">
        <v>2.00233771099649</v>
      </c>
      <c r="F509" s="2" t="s">
        <v>4305</v>
      </c>
      <c r="G509" s="2" t="n">
        <v>199834</v>
      </c>
      <c r="H509" s="3" t="str">
        <f>HYPERLINK("http://funmeta.oebiotech.com/network/199834", "http://funmeta.oebiotech.com/network/199834")</f>
      </c>
      <c r="I509" s="2" t="s">
        <v>4307</v>
      </c>
      <c r="J509" s="2"/>
      <c r="K509" s="2"/>
      <c r="L509" s="2"/>
      <c r="M509" s="2"/>
      <c r="N509" s="2"/>
      <c r="O509" s="2"/>
      <c r="P509" s="2" t="s">
        <v>4308</v>
      </c>
      <c r="Q509" s="2" t="s">
        <v>4309</v>
      </c>
      <c r="R509" s="2" t="s">
        <v>186</v>
      </c>
      <c r="S509" s="2" t="s">
        <v>187</v>
      </c>
      <c r="T509" s="2" t="s">
        <v>1656</v>
      </c>
      <c r="U509" s="2" t="s">
        <v>4304</v>
      </c>
      <c r="V509" s="2" t="s">
        <v>86</v>
      </c>
      <c r="W509" s="2"/>
    </row>
    <row r="510">
      <c r="A510" s="2" t="n">
        <v>377</v>
      </c>
      <c r="B510" s="2" t="s">
        <v>13903</v>
      </c>
      <c r="C510" s="2" t="s">
        <v>4310</v>
      </c>
      <c r="D510" s="2" t="n">
        <v>287.222779204</v>
      </c>
      <c r="E510" s="2" t="n">
        <v>7.98922723465023</v>
      </c>
      <c r="F510" s="2" t="s">
        <v>4312</v>
      </c>
      <c r="G510" s="2" t="n">
        <v>62</v>
      </c>
      <c r="H510" s="3" t="str">
        <f>HYPERLINK("http://funmeta.oebiotech.com/network/62", "http://funmeta.oebiotech.com/network/62")</f>
      </c>
      <c r="I510" s="2" t="s">
        <v>4314</v>
      </c>
      <c r="J510" s="2" t="s">
        <v>4315</v>
      </c>
      <c r="K510" s="2" t="s">
        <v>4316</v>
      </c>
      <c r="L510" s="2" t="s">
        <v>4317</v>
      </c>
      <c r="M510" s="2" t="s">
        <v>4318</v>
      </c>
      <c r="N510" s="2" t="s">
        <v>4319</v>
      </c>
      <c r="O510" s="2" t="s">
        <v>4320</v>
      </c>
      <c r="P510" s="2" t="s">
        <v>4321</v>
      </c>
      <c r="Q510" s="2" t="s">
        <v>4322</v>
      </c>
      <c r="R510" s="2" t="s">
        <v>794</v>
      </c>
      <c r="S510" s="2" t="s">
        <v>795</v>
      </c>
      <c r="T510" s="2" t="s">
        <v>796</v>
      </c>
      <c r="U510" s="2" t="s">
        <v>4311</v>
      </c>
      <c r="V510" s="2" t="s">
        <v>205</v>
      </c>
      <c r="W510" s="2" t="s">
        <v>56</v>
      </c>
    </row>
    <row r="511">
      <c r="A511" s="2" t="n">
        <v>378</v>
      </c>
      <c r="B511" s="2" t="s">
        <v>13904</v>
      </c>
      <c r="C511" s="2" t="s">
        <v>4323</v>
      </c>
      <c r="D511" s="2" t="n">
        <v>287.98794866</v>
      </c>
      <c r="E511" s="2" t="n">
        <v>3.67217830432595</v>
      </c>
      <c r="F511" s="2" t="s">
        <v>4325</v>
      </c>
      <c r="G511" s="2" t="n">
        <v>205155</v>
      </c>
      <c r="H511" s="3" t="str">
        <f>HYPERLINK("http://funmeta.oebiotech.com/network/205155", "http://funmeta.oebiotech.com/network/205155")</f>
      </c>
      <c r="I511" s="2" t="s">
        <v>4327</v>
      </c>
      <c r="J511" s="2" t="s">
        <v>4328</v>
      </c>
      <c r="K511" s="2"/>
      <c r="L511" s="2"/>
      <c r="M511" s="2"/>
      <c r="N511" s="2" t="s">
        <v>4329</v>
      </c>
      <c r="O511" s="2"/>
      <c r="P511" s="2" t="s">
        <v>4330</v>
      </c>
      <c r="Q511" s="2" t="s">
        <v>4331</v>
      </c>
      <c r="R511" s="2" t="s">
        <v>601</v>
      </c>
      <c r="S511" s="2" t="s">
        <v>602</v>
      </c>
      <c r="T511" s="2" t="s">
        <v>4332</v>
      </c>
      <c r="U511" s="2" t="s">
        <v>4324</v>
      </c>
      <c r="V511" s="2" t="s">
        <v>161</v>
      </c>
      <c r="W511" s="2"/>
    </row>
    <row r="512">
      <c r="A512" s="2" t="n">
        <v>379</v>
      </c>
      <c r="B512" s="2" t="s">
        <v>13905</v>
      </c>
      <c r="C512" s="2" t="s">
        <v>4333</v>
      </c>
      <c r="D512" s="2" t="n">
        <v>288.120109355</v>
      </c>
      <c r="E512" s="2" t="n">
        <v>3.65116270864323</v>
      </c>
      <c r="F512" s="2" t="s">
        <v>4335</v>
      </c>
      <c r="G512" s="2" t="n">
        <v>48597</v>
      </c>
      <c r="H512" s="3" t="str">
        <f>HYPERLINK("http://funmeta.oebiotech.com/network/48597", "http://funmeta.oebiotech.com/network/48597")</f>
      </c>
      <c r="I512" s="2" t="s">
        <v>4337</v>
      </c>
      <c r="J512" s="2" t="s">
        <v>4338</v>
      </c>
      <c r="K512" s="2"/>
      <c r="L512" s="2"/>
      <c r="M512" s="2" t="s">
        <v>4339</v>
      </c>
      <c r="N512" s="2" t="s">
        <v>4340</v>
      </c>
      <c r="O512" s="2" t="s">
        <v>4341</v>
      </c>
      <c r="P512" s="2" t="s">
        <v>4342</v>
      </c>
      <c r="Q512" s="2" t="s">
        <v>4343</v>
      </c>
      <c r="R512" s="2" t="s">
        <v>36</v>
      </c>
      <c r="S512" s="2" t="s">
        <v>37</v>
      </c>
      <c r="T512" s="2" t="s">
        <v>69</v>
      </c>
      <c r="U512" s="2" t="s">
        <v>4334</v>
      </c>
      <c r="V512" s="2" t="s">
        <v>24</v>
      </c>
      <c r="W512" s="2" t="s">
        <v>39</v>
      </c>
    </row>
    <row r="513">
      <c r="A513" s="2" t="n">
        <v>380</v>
      </c>
      <c r="B513" s="2" t="s">
        <v>13906</v>
      </c>
      <c r="C513" s="2" t="s">
        <v>4344</v>
      </c>
      <c r="D513" s="2" t="n">
        <v>289.038747492</v>
      </c>
      <c r="E513" s="2" t="n">
        <v>2.22106998401299</v>
      </c>
      <c r="F513" s="2" t="s">
        <v>13907</v>
      </c>
      <c r="G513" s="2" t="n">
        <v>81993</v>
      </c>
      <c r="H513" s="3" t="str">
        <f>HYPERLINK("http://funmeta.oebiotech.com/network/81993", "http://funmeta.oebiotech.com/network/81993")</f>
      </c>
      <c r="I513" s="2" t="s">
        <v>13908</v>
      </c>
      <c r="J513" s="2"/>
      <c r="K513" s="2"/>
      <c r="L513" s="2"/>
      <c r="M513" s="2" t="s">
        <v>13909</v>
      </c>
      <c r="N513" s="2" t="s">
        <v>13910</v>
      </c>
      <c r="O513" s="2"/>
      <c r="P513" s="2" t="s">
        <v>13911</v>
      </c>
      <c r="Q513" s="2" t="s">
        <v>13912</v>
      </c>
      <c r="R513" s="2" t="s">
        <v>794</v>
      </c>
      <c r="S513" s="2" t="s">
        <v>795</v>
      </c>
      <c r="T513" s="2" t="s">
        <v>796</v>
      </c>
      <c r="U513" s="2" t="s">
        <v>4345</v>
      </c>
      <c r="V513" s="2" t="s">
        <v>24</v>
      </c>
      <c r="W513" s="2" t="s">
        <v>56</v>
      </c>
    </row>
    <row r="514">
      <c r="A514" s="2" t="n">
        <v>380</v>
      </c>
      <c r="B514" s="2" t="s">
        <v>13913</v>
      </c>
      <c r="C514" s="2" t="s">
        <v>4344</v>
      </c>
      <c r="D514" s="2" t="n">
        <v>289.038747492</v>
      </c>
      <c r="E514" s="2" t="n">
        <v>2.22106998401299</v>
      </c>
      <c r="F514" s="2" t="s">
        <v>13914</v>
      </c>
      <c r="G514" s="2" t="n">
        <v>81994</v>
      </c>
      <c r="H514" s="3" t="str">
        <f>HYPERLINK("http://funmeta.oebiotech.com/network/81994", "http://funmeta.oebiotech.com/network/81994")</f>
      </c>
      <c r="I514" s="2" t="s">
        <v>13915</v>
      </c>
      <c r="J514" s="2"/>
      <c r="K514" s="2"/>
      <c r="L514" s="2"/>
      <c r="M514" s="2" t="s">
        <v>13916</v>
      </c>
      <c r="N514" s="2" t="s">
        <v>13917</v>
      </c>
      <c r="O514" s="2"/>
      <c r="P514" s="2" t="s">
        <v>13918</v>
      </c>
      <c r="Q514" s="2" t="s">
        <v>13919</v>
      </c>
      <c r="R514" s="2" t="s">
        <v>794</v>
      </c>
      <c r="S514" s="2" t="s">
        <v>795</v>
      </c>
      <c r="T514" s="2" t="s">
        <v>796</v>
      </c>
      <c r="U514" s="2" t="s">
        <v>4345</v>
      </c>
      <c r="V514" s="2" t="s">
        <v>24</v>
      </c>
      <c r="W514" s="2" t="s">
        <v>56</v>
      </c>
    </row>
    <row r="515">
      <c r="A515" s="2" t="n">
        <v>381</v>
      </c>
      <c r="B515" s="2" t="s">
        <v>13920</v>
      </c>
      <c r="C515" s="2" t="s">
        <v>4353</v>
      </c>
      <c r="D515" s="2" t="n">
        <v>289.073099578</v>
      </c>
      <c r="E515" s="2" t="n">
        <v>2.43520434408959</v>
      </c>
      <c r="F515" s="2" t="s">
        <v>4355</v>
      </c>
      <c r="G515" s="2" t="n">
        <v>206739</v>
      </c>
      <c r="H515" s="3" t="str">
        <f>HYPERLINK("http://funmeta.oebiotech.com/network/206739", "http://funmeta.oebiotech.com/network/206739")</f>
      </c>
      <c r="I515" s="2" t="s">
        <v>4357</v>
      </c>
      <c r="J515" s="2"/>
      <c r="K515" s="2"/>
      <c r="L515" s="2"/>
      <c r="M515" s="2"/>
      <c r="N515" s="2"/>
      <c r="O515" s="2"/>
      <c r="P515" s="2" t="s">
        <v>4358</v>
      </c>
      <c r="Q515" s="2" t="s">
        <v>4359</v>
      </c>
      <c r="R515" s="2" t="s">
        <v>114</v>
      </c>
      <c r="S515" s="2" t="s">
        <v>2206</v>
      </c>
      <c r="T515" s="2" t="s">
        <v>4360</v>
      </c>
      <c r="U515" s="2" t="s">
        <v>4354</v>
      </c>
      <c r="V515" s="2" t="s">
        <v>24</v>
      </c>
      <c r="W515" s="2"/>
    </row>
    <row r="516">
      <c r="A516" s="2" t="n">
        <v>382</v>
      </c>
      <c r="B516" s="2" t="s">
        <v>13921</v>
      </c>
      <c r="C516" s="2" t="s">
        <v>4361</v>
      </c>
      <c r="D516" s="2" t="n">
        <v>289.130614462</v>
      </c>
      <c r="E516" s="2" t="n">
        <v>3.32535242127205</v>
      </c>
      <c r="F516" s="2" t="s">
        <v>4363</v>
      </c>
      <c r="G516" s="2" t="n">
        <v>56238</v>
      </c>
      <c r="H516" s="3" t="str">
        <f>HYPERLINK("http://funmeta.oebiotech.com/network/56238", "http://funmeta.oebiotech.com/network/56238")</f>
      </c>
      <c r="I516" s="2" t="s">
        <v>4365</v>
      </c>
      <c r="J516" s="2" t="s">
        <v>4366</v>
      </c>
      <c r="K516" s="2"/>
      <c r="L516" s="2" t="s">
        <v>4367</v>
      </c>
      <c r="M516" s="2" t="s">
        <v>4368</v>
      </c>
      <c r="N516" s="2" t="s">
        <v>4369</v>
      </c>
      <c r="O516" s="2" t="s">
        <v>4370</v>
      </c>
      <c r="P516" s="2" t="s">
        <v>4371</v>
      </c>
      <c r="Q516" s="2" t="s">
        <v>4372</v>
      </c>
      <c r="R516" s="2" t="s">
        <v>114</v>
      </c>
      <c r="S516" s="2" t="s">
        <v>2325</v>
      </c>
      <c r="T516" s="2" t="s">
        <v>4373</v>
      </c>
      <c r="U516" s="2" t="s">
        <v>4362</v>
      </c>
      <c r="V516" s="2" t="s">
        <v>24</v>
      </c>
      <c r="W516" s="2" t="s">
        <v>56</v>
      </c>
    </row>
    <row r="517">
      <c r="A517" s="2" t="n">
        <v>383</v>
      </c>
      <c r="B517" s="2" t="s">
        <v>13922</v>
      </c>
      <c r="C517" s="2" t="s">
        <v>4374</v>
      </c>
      <c r="D517" s="2" t="n">
        <v>289.180368384</v>
      </c>
      <c r="E517" s="2" t="n">
        <v>2.8601058526443</v>
      </c>
      <c r="F517" s="2" t="s">
        <v>13923</v>
      </c>
      <c r="G517" s="2" t="n">
        <v>54735</v>
      </c>
      <c r="H517" s="3" t="str">
        <f>HYPERLINK("http://funmeta.oebiotech.com/network/54735", "http://funmeta.oebiotech.com/network/54735")</f>
      </c>
      <c r="I517" s="2" t="s">
        <v>13924</v>
      </c>
      <c r="J517" s="2" t="s">
        <v>13925</v>
      </c>
      <c r="K517" s="2"/>
      <c r="L517" s="2"/>
      <c r="M517" s="2"/>
      <c r="N517" s="2" t="s">
        <v>13926</v>
      </c>
      <c r="O517" s="2"/>
      <c r="P517" s="2" t="s">
        <v>13927</v>
      </c>
      <c r="Q517" s="2" t="s">
        <v>13928</v>
      </c>
      <c r="R517" s="2" t="s">
        <v>186</v>
      </c>
      <c r="S517" s="2" t="s">
        <v>187</v>
      </c>
      <c r="T517" s="2" t="s">
        <v>3552</v>
      </c>
      <c r="U517" s="2" t="s">
        <v>4375</v>
      </c>
      <c r="V517" s="2" t="s">
        <v>161</v>
      </c>
      <c r="W517" s="2" t="s">
        <v>56</v>
      </c>
    </row>
    <row r="518">
      <c r="A518" s="2" t="n">
        <v>383</v>
      </c>
      <c r="B518" s="2" t="s">
        <v>13929</v>
      </c>
      <c r="C518" s="2" t="s">
        <v>4374</v>
      </c>
      <c r="D518" s="2" t="n">
        <v>289.180368384</v>
      </c>
      <c r="E518" s="2" t="n">
        <v>2.8601058526443</v>
      </c>
      <c r="F518" s="2" t="s">
        <v>13930</v>
      </c>
      <c r="G518" s="2" t="n">
        <v>56022</v>
      </c>
      <c r="H518" s="3" t="str">
        <f>HYPERLINK("http://funmeta.oebiotech.com/network/56022", "http://funmeta.oebiotech.com/network/56022")</f>
      </c>
      <c r="I518" s="2" t="s">
        <v>13931</v>
      </c>
      <c r="J518" s="2"/>
      <c r="K518" s="2"/>
      <c r="L518" s="2"/>
      <c r="M518" s="2"/>
      <c r="N518" s="2" t="s">
        <v>13932</v>
      </c>
      <c r="O518" s="2" t="s">
        <v>13933</v>
      </c>
      <c r="P518" s="2" t="s">
        <v>13934</v>
      </c>
      <c r="Q518" s="2" t="s">
        <v>13935</v>
      </c>
      <c r="R518" s="2" t="s">
        <v>36</v>
      </c>
      <c r="S518" s="2" t="s">
        <v>271</v>
      </c>
      <c r="T518" s="2" t="s">
        <v>2066</v>
      </c>
      <c r="U518" s="2" t="s">
        <v>4375</v>
      </c>
      <c r="V518" s="2" t="s">
        <v>161</v>
      </c>
      <c r="W518" s="2" t="s">
        <v>56</v>
      </c>
    </row>
    <row r="519">
      <c r="A519" s="2" t="n">
        <v>383</v>
      </c>
      <c r="B519" s="2" t="s">
        <v>13936</v>
      </c>
      <c r="C519" s="2" t="s">
        <v>4374</v>
      </c>
      <c r="D519" s="2" t="n">
        <v>289.180368384</v>
      </c>
      <c r="E519" s="2" t="n">
        <v>2.8601058526443</v>
      </c>
      <c r="F519" s="2" t="s">
        <v>13937</v>
      </c>
      <c r="G519" s="2" t="n">
        <v>56947</v>
      </c>
      <c r="H519" s="3" t="str">
        <f>HYPERLINK("http://funmeta.oebiotech.com/network/56947", "http://funmeta.oebiotech.com/network/56947")</f>
      </c>
      <c r="I519" s="2" t="s">
        <v>13938</v>
      </c>
      <c r="J519" s="2" t="s">
        <v>13939</v>
      </c>
      <c r="K519" s="2"/>
      <c r="L519" s="2"/>
      <c r="M519" s="2" t="s">
        <v>13940</v>
      </c>
      <c r="N519" s="2" t="s">
        <v>13941</v>
      </c>
      <c r="O519" s="2"/>
      <c r="P519" s="2" t="s">
        <v>13942</v>
      </c>
      <c r="Q519" s="2" t="s">
        <v>13943</v>
      </c>
      <c r="R519" s="2" t="s">
        <v>794</v>
      </c>
      <c r="S519" s="2" t="s">
        <v>795</v>
      </c>
      <c r="T519" s="2" t="s">
        <v>2391</v>
      </c>
      <c r="U519" s="2" t="s">
        <v>4375</v>
      </c>
      <c r="V519" s="2" t="s">
        <v>161</v>
      </c>
      <c r="W519" s="2" t="s">
        <v>56</v>
      </c>
    </row>
    <row r="520">
      <c r="A520" s="2" t="n">
        <v>384</v>
      </c>
      <c r="B520" s="2" t="s">
        <v>13944</v>
      </c>
      <c r="C520" s="2" t="s">
        <v>4388</v>
      </c>
      <c r="D520" s="2" t="n">
        <v>289.224510538</v>
      </c>
      <c r="E520" s="2" t="n">
        <v>12.3256374543073</v>
      </c>
      <c r="F520" s="2" t="s">
        <v>4390</v>
      </c>
      <c r="G520" s="2" t="n">
        <v>47439</v>
      </c>
      <c r="H520" s="3" t="str">
        <f>HYPERLINK("http://funmeta.oebiotech.com/network/47439", "http://funmeta.oebiotech.com/network/47439")</f>
      </c>
      <c r="I520" s="2" t="s">
        <v>4392</v>
      </c>
      <c r="J520" s="2" t="s">
        <v>4393</v>
      </c>
      <c r="K520" s="2"/>
      <c r="L520" s="2" t="s">
        <v>4394</v>
      </c>
      <c r="M520" s="2" t="s">
        <v>4395</v>
      </c>
      <c r="N520" s="2" t="s">
        <v>4396</v>
      </c>
      <c r="O520" s="2" t="s">
        <v>4397</v>
      </c>
      <c r="P520" s="2" t="s">
        <v>4398</v>
      </c>
      <c r="Q520" s="2" t="s">
        <v>4399</v>
      </c>
      <c r="R520" s="2" t="s">
        <v>36</v>
      </c>
      <c r="S520" s="2" t="s">
        <v>37</v>
      </c>
      <c r="T520" s="2" t="s">
        <v>1217</v>
      </c>
      <c r="U520" s="2" t="s">
        <v>4389</v>
      </c>
      <c r="V520" s="2" t="s">
        <v>205</v>
      </c>
      <c r="W520" s="2" t="s">
        <v>56</v>
      </c>
    </row>
    <row r="521">
      <c r="A521" s="2" t="n">
        <v>385</v>
      </c>
      <c r="B521" s="2" t="s">
        <v>13945</v>
      </c>
      <c r="C521" s="2" t="s">
        <v>4400</v>
      </c>
      <c r="D521" s="2" t="n">
        <v>290.082267287</v>
      </c>
      <c r="E521" s="2" t="n">
        <v>8.90223408698631</v>
      </c>
      <c r="F521" s="2" t="s">
        <v>4402</v>
      </c>
      <c r="G521" s="2" t="n">
        <v>62277</v>
      </c>
      <c r="H521" s="3" t="str">
        <f>HYPERLINK("http://funmeta.oebiotech.com/network/62277", "http://funmeta.oebiotech.com/network/62277")</f>
      </c>
      <c r="I521" s="2" t="s">
        <v>4404</v>
      </c>
      <c r="J521" s="2"/>
      <c r="K521" s="2"/>
      <c r="L521" s="2"/>
      <c r="M521" s="2"/>
      <c r="N521" s="2" t="s">
        <v>4405</v>
      </c>
      <c r="O521" s="2" t="s">
        <v>4406</v>
      </c>
      <c r="P521" s="2" t="s">
        <v>4407</v>
      </c>
      <c r="Q521" s="2" t="s">
        <v>4408</v>
      </c>
      <c r="R521" s="2" t="s">
        <v>114</v>
      </c>
      <c r="S521" s="2" t="s">
        <v>3933</v>
      </c>
      <c r="T521" s="2" t="s">
        <v>215</v>
      </c>
      <c r="U521" s="2" t="s">
        <v>4401</v>
      </c>
      <c r="V521" s="2" t="s">
        <v>24</v>
      </c>
      <c r="W521" s="2"/>
    </row>
    <row r="522">
      <c r="A522" s="2" t="n">
        <v>386</v>
      </c>
      <c r="B522" s="2" t="s">
        <v>13946</v>
      </c>
      <c r="C522" s="2" t="s">
        <v>4409</v>
      </c>
      <c r="D522" s="2" t="n">
        <v>290.96709325</v>
      </c>
      <c r="E522" s="2" t="n">
        <v>1.48486872406559</v>
      </c>
      <c r="F522" s="2" t="s">
        <v>4411</v>
      </c>
      <c r="G522" s="2" t="n">
        <v>51470</v>
      </c>
      <c r="H522" s="3" t="str">
        <f>HYPERLINK("http://funmeta.oebiotech.com/network/51470", "http://funmeta.oebiotech.com/network/51470")</f>
      </c>
      <c r="I522" s="2" t="s">
        <v>4413</v>
      </c>
      <c r="J522" s="2"/>
      <c r="K522" s="2"/>
      <c r="L522" s="2" t="s">
        <v>4414</v>
      </c>
      <c r="M522" s="2" t="s">
        <v>4415</v>
      </c>
      <c r="N522" s="2" t="s">
        <v>4416</v>
      </c>
      <c r="O522" s="2" t="s">
        <v>4417</v>
      </c>
      <c r="P522" s="2" t="s">
        <v>4418</v>
      </c>
      <c r="Q522" s="2" t="s">
        <v>4419</v>
      </c>
      <c r="R522" s="2" t="s">
        <v>129</v>
      </c>
      <c r="S522" s="2" t="s">
        <v>130</v>
      </c>
      <c r="T522" s="2" t="s">
        <v>1681</v>
      </c>
      <c r="U522" s="2" t="s">
        <v>4410</v>
      </c>
      <c r="V522" s="2" t="s">
        <v>161</v>
      </c>
      <c r="W522" s="2" t="s">
        <v>56</v>
      </c>
    </row>
    <row r="523">
      <c r="A523" s="2" t="n">
        <v>387</v>
      </c>
      <c r="B523" s="2" t="s">
        <v>13947</v>
      </c>
      <c r="C523" s="2" t="s">
        <v>4420</v>
      </c>
      <c r="D523" s="2" t="n">
        <v>291.10201645</v>
      </c>
      <c r="E523" s="2" t="n">
        <v>3.92903260357549</v>
      </c>
      <c r="F523" s="2" t="s">
        <v>4422</v>
      </c>
      <c r="G523" s="2" t="n">
        <v>62404</v>
      </c>
      <c r="H523" s="3" t="str">
        <f>HYPERLINK("http://funmeta.oebiotech.com/network/62404", "http://funmeta.oebiotech.com/network/62404")</f>
      </c>
      <c r="I523" s="2" t="s">
        <v>4424</v>
      </c>
      <c r="J523" s="2" t="s">
        <v>4425</v>
      </c>
      <c r="K523" s="2"/>
      <c r="L523" s="2"/>
      <c r="M523" s="2" t="s">
        <v>4426</v>
      </c>
      <c r="N523" s="2" t="s">
        <v>4427</v>
      </c>
      <c r="O523" s="2" t="s">
        <v>4428</v>
      </c>
      <c r="P523" s="2" t="s">
        <v>4429</v>
      </c>
      <c r="Q523" s="2" t="s">
        <v>4430</v>
      </c>
      <c r="R523" s="2" t="s">
        <v>36</v>
      </c>
      <c r="S523" s="2" t="s">
        <v>37</v>
      </c>
      <c r="T523" s="2" t="s">
        <v>69</v>
      </c>
      <c r="U523" s="2" t="s">
        <v>4421</v>
      </c>
      <c r="V523" s="2" t="s">
        <v>24</v>
      </c>
      <c r="W523" s="2" t="s">
        <v>56</v>
      </c>
    </row>
    <row r="524">
      <c r="A524" s="2" t="n">
        <v>388</v>
      </c>
      <c r="B524" s="2" t="s">
        <v>13948</v>
      </c>
      <c r="C524" s="2" t="s">
        <v>4431</v>
      </c>
      <c r="D524" s="2" t="n">
        <v>291.232949966</v>
      </c>
      <c r="E524" s="2" t="n">
        <v>13.7265436680972</v>
      </c>
      <c r="F524" s="2" t="s">
        <v>13949</v>
      </c>
      <c r="G524" s="2" t="n">
        <v>206185</v>
      </c>
      <c r="H524" s="3" t="str">
        <f>HYPERLINK("http://funmeta.oebiotech.com/network/206185", "http://funmeta.oebiotech.com/network/206185")</f>
      </c>
      <c r="I524" s="2" t="s">
        <v>13950</v>
      </c>
      <c r="J524" s="2" t="s">
        <v>13951</v>
      </c>
      <c r="K524" s="2"/>
      <c r="L524" s="2"/>
      <c r="M524" s="2"/>
      <c r="N524" s="2" t="s">
        <v>13952</v>
      </c>
      <c r="O524" s="2"/>
      <c r="P524" s="2" t="s">
        <v>13953</v>
      </c>
      <c r="Q524" s="2" t="s">
        <v>13954</v>
      </c>
      <c r="R524" s="2" t="s">
        <v>186</v>
      </c>
      <c r="S524" s="2" t="s">
        <v>187</v>
      </c>
      <c r="T524" s="2" t="s">
        <v>215</v>
      </c>
      <c r="U524" s="2" t="s">
        <v>4432</v>
      </c>
      <c r="V524" s="2" t="s">
        <v>205</v>
      </c>
      <c r="W524" s="2"/>
    </row>
    <row r="525">
      <c r="A525" s="2" t="n">
        <v>388</v>
      </c>
      <c r="B525" s="2" t="s">
        <v>13955</v>
      </c>
      <c r="C525" s="2" t="s">
        <v>4431</v>
      </c>
      <c r="D525" s="2" t="n">
        <v>291.232949966</v>
      </c>
      <c r="E525" s="2" t="n">
        <v>13.7265436680972</v>
      </c>
      <c r="F525" s="2" t="s">
        <v>13956</v>
      </c>
      <c r="G525" s="2" t="n">
        <v>206507</v>
      </c>
      <c r="H525" s="3" t="str">
        <f>HYPERLINK("http://funmeta.oebiotech.com/network/206507", "http://funmeta.oebiotech.com/network/206507")</f>
      </c>
      <c r="I525" s="2" t="s">
        <v>13957</v>
      </c>
      <c r="J525" s="2"/>
      <c r="K525" s="2"/>
      <c r="L525" s="2"/>
      <c r="M525" s="2"/>
      <c r="N525" s="2" t="s">
        <v>13958</v>
      </c>
      <c r="O525" s="2"/>
      <c r="P525" s="2" t="s">
        <v>13959</v>
      </c>
      <c r="Q525" s="2" t="s">
        <v>13960</v>
      </c>
      <c r="R525" s="2" t="s">
        <v>794</v>
      </c>
      <c r="S525" s="2" t="s">
        <v>2971</v>
      </c>
      <c r="T525" s="2" t="s">
        <v>5934</v>
      </c>
      <c r="U525" s="2" t="s">
        <v>4432</v>
      </c>
      <c r="V525" s="2" t="s">
        <v>205</v>
      </c>
      <c r="W525" s="2"/>
    </row>
    <row r="526">
      <c r="A526" s="2" t="n">
        <v>389</v>
      </c>
      <c r="B526" s="2" t="s">
        <v>13961</v>
      </c>
      <c r="C526" s="2" t="s">
        <v>4442</v>
      </c>
      <c r="D526" s="2" t="n">
        <v>292.075586213</v>
      </c>
      <c r="E526" s="2" t="n">
        <v>0.363743547644595</v>
      </c>
      <c r="F526" s="2" t="s">
        <v>4444</v>
      </c>
      <c r="G526" s="2" t="n">
        <v>208610</v>
      </c>
      <c r="H526" s="3" t="str">
        <f>HYPERLINK("http://funmeta.oebiotech.com/network/208610", "http://funmeta.oebiotech.com/network/208610")</f>
      </c>
      <c r="I526" s="2" t="s">
        <v>4446</v>
      </c>
      <c r="J526" s="2"/>
      <c r="K526" s="2"/>
      <c r="L526" s="2"/>
      <c r="M526" s="2" t="s">
        <v>4447</v>
      </c>
      <c r="N526" s="2" t="s">
        <v>4448</v>
      </c>
      <c r="O526" s="2"/>
      <c r="P526" s="2" t="s">
        <v>4449</v>
      </c>
      <c r="Q526" s="2" t="s">
        <v>4450</v>
      </c>
      <c r="R526" s="2" t="s">
        <v>114</v>
      </c>
      <c r="S526" s="2" t="s">
        <v>172</v>
      </c>
      <c r="T526" s="2" t="s">
        <v>4451</v>
      </c>
      <c r="U526" s="2" t="s">
        <v>4443</v>
      </c>
      <c r="V526" s="2" t="s">
        <v>161</v>
      </c>
      <c r="W526" s="2"/>
    </row>
    <row r="527">
      <c r="A527" s="2" t="n">
        <v>390</v>
      </c>
      <c r="B527" s="2" t="s">
        <v>13962</v>
      </c>
      <c r="C527" s="2" t="s">
        <v>4452</v>
      </c>
      <c r="D527" s="2" t="n">
        <v>292.14017178</v>
      </c>
      <c r="E527" s="2" t="n">
        <v>2.63301656226565</v>
      </c>
      <c r="F527" s="2" t="s">
        <v>13963</v>
      </c>
      <c r="G527" s="2" t="n">
        <v>52185</v>
      </c>
      <c r="H527" s="3" t="str">
        <f>HYPERLINK("http://funmeta.oebiotech.com/network/52185", "http://funmeta.oebiotech.com/network/52185")</f>
      </c>
      <c r="I527" s="2" t="s">
        <v>13964</v>
      </c>
      <c r="J527" s="2"/>
      <c r="K527" s="2"/>
      <c r="L527" s="2"/>
      <c r="M527" s="2"/>
      <c r="N527" s="2"/>
      <c r="O527" s="2" t="s">
        <v>13965</v>
      </c>
      <c r="P527" s="2" t="s">
        <v>13966</v>
      </c>
      <c r="Q527" s="2" t="s">
        <v>13967</v>
      </c>
      <c r="R527" s="2" t="s">
        <v>794</v>
      </c>
      <c r="S527" s="2" t="s">
        <v>795</v>
      </c>
      <c r="T527" s="2" t="s">
        <v>1870</v>
      </c>
      <c r="U527" s="2" t="s">
        <v>4453</v>
      </c>
      <c r="V527" s="2" t="s">
        <v>205</v>
      </c>
      <c r="W527" s="2" t="s">
        <v>39</v>
      </c>
    </row>
    <row r="528">
      <c r="A528" s="2" t="n">
        <v>390</v>
      </c>
      <c r="B528" s="2" t="s">
        <v>13968</v>
      </c>
      <c r="C528" s="2" t="s">
        <v>4452</v>
      </c>
      <c r="D528" s="2" t="n">
        <v>292.14017178</v>
      </c>
      <c r="E528" s="2" t="n">
        <v>2.63301656226565</v>
      </c>
      <c r="F528" s="2" t="s">
        <v>13969</v>
      </c>
      <c r="G528" s="2" t="n">
        <v>83757</v>
      </c>
      <c r="H528" s="3" t="str">
        <f>HYPERLINK("http://funmeta.oebiotech.com/network/83757", "http://funmeta.oebiotech.com/network/83757")</f>
      </c>
      <c r="I528" s="2" t="s">
        <v>13970</v>
      </c>
      <c r="J528" s="2"/>
      <c r="K528" s="2"/>
      <c r="L528" s="2"/>
      <c r="M528" s="2" t="s">
        <v>13971</v>
      </c>
      <c r="N528" s="2" t="s">
        <v>13972</v>
      </c>
      <c r="O528" s="2"/>
      <c r="P528" s="2" t="s">
        <v>13973</v>
      </c>
      <c r="Q528" s="2" t="s">
        <v>13974</v>
      </c>
      <c r="R528" s="2" t="s">
        <v>794</v>
      </c>
      <c r="S528" s="2" t="s">
        <v>795</v>
      </c>
      <c r="T528" s="2" t="s">
        <v>1870</v>
      </c>
      <c r="U528" s="2" t="s">
        <v>4453</v>
      </c>
      <c r="V528" s="2" t="s">
        <v>205</v>
      </c>
      <c r="W528" s="2" t="s">
        <v>39</v>
      </c>
    </row>
    <row r="529">
      <c r="A529" s="2" t="n">
        <v>391</v>
      </c>
      <c r="B529" s="2" t="s">
        <v>13975</v>
      </c>
      <c r="C529" s="2" t="s">
        <v>4462</v>
      </c>
      <c r="D529" s="2" t="n">
        <v>292.170688363</v>
      </c>
      <c r="E529" s="2" t="n">
        <v>0.89972360300151</v>
      </c>
      <c r="F529" s="2" t="s">
        <v>4464</v>
      </c>
      <c r="G529" s="2" t="n">
        <v>52500</v>
      </c>
      <c r="H529" s="3" t="str">
        <f>HYPERLINK("http://funmeta.oebiotech.com/network/52500", "http://funmeta.oebiotech.com/network/52500")</f>
      </c>
      <c r="I529" s="2" t="s">
        <v>4466</v>
      </c>
      <c r="J529" s="2"/>
      <c r="K529" s="2"/>
      <c r="L529" s="2"/>
      <c r="M529" s="2"/>
      <c r="N529" s="2" t="s">
        <v>4467</v>
      </c>
      <c r="O529" s="2"/>
      <c r="P529" s="2" t="s">
        <v>4468</v>
      </c>
      <c r="Q529" s="2" t="s">
        <v>4469</v>
      </c>
      <c r="R529" s="2" t="s">
        <v>186</v>
      </c>
      <c r="S529" s="2" t="s">
        <v>4470</v>
      </c>
      <c r="T529" s="2" t="s">
        <v>215</v>
      </c>
      <c r="U529" s="2" t="s">
        <v>4463</v>
      </c>
      <c r="V529" s="2" t="s">
        <v>24</v>
      </c>
      <c r="W529" s="2"/>
    </row>
    <row r="530">
      <c r="A530" s="2" t="n">
        <v>392</v>
      </c>
      <c r="B530" s="2" t="s">
        <v>13976</v>
      </c>
      <c r="C530" s="2" t="s">
        <v>4471</v>
      </c>
      <c r="D530" s="2" t="n">
        <v>292.204881242</v>
      </c>
      <c r="E530" s="2" t="n">
        <v>3.17847850105028</v>
      </c>
      <c r="F530" s="2" t="s">
        <v>4473</v>
      </c>
      <c r="G530" s="2" t="n">
        <v>209149</v>
      </c>
      <c r="H530" s="3" t="str">
        <f>HYPERLINK("http://funmeta.oebiotech.com/network/209149", "http://funmeta.oebiotech.com/network/209149")</f>
      </c>
      <c r="I530" s="2" t="s">
        <v>4475</v>
      </c>
      <c r="J530" s="2" t="s">
        <v>4476</v>
      </c>
      <c r="K530" s="2"/>
      <c r="L530" s="2"/>
      <c r="M530" s="2"/>
      <c r="N530" s="2" t="s">
        <v>4477</v>
      </c>
      <c r="O530" s="2"/>
      <c r="P530" s="2" t="s">
        <v>4478</v>
      </c>
      <c r="Q530" s="2" t="s">
        <v>4479</v>
      </c>
      <c r="R530" s="2" t="s">
        <v>36</v>
      </c>
      <c r="S530" s="2" t="s">
        <v>37</v>
      </c>
      <c r="T530" s="2" t="s">
        <v>69</v>
      </c>
      <c r="U530" s="2" t="s">
        <v>4472</v>
      </c>
      <c r="V530" s="2" t="s">
        <v>86</v>
      </c>
      <c r="W530" s="2"/>
    </row>
    <row r="531">
      <c r="A531" s="2" t="n">
        <v>393</v>
      </c>
      <c r="B531" s="2" t="s">
        <v>13977</v>
      </c>
      <c r="C531" s="2" t="s">
        <v>4480</v>
      </c>
      <c r="D531" s="2" t="n">
        <v>293.065821578</v>
      </c>
      <c r="E531" s="2" t="n">
        <v>0.388995039913238</v>
      </c>
      <c r="F531" s="2" t="s">
        <v>4482</v>
      </c>
      <c r="G531" s="2" t="n">
        <v>83449</v>
      </c>
      <c r="H531" s="3" t="str">
        <f>HYPERLINK("http://funmeta.oebiotech.com/network/83449", "http://funmeta.oebiotech.com/network/83449")</f>
      </c>
      <c r="I531" s="2" t="s">
        <v>4484</v>
      </c>
      <c r="J531" s="2" t="s">
        <v>4485</v>
      </c>
      <c r="K531" s="2"/>
      <c r="L531" s="2"/>
      <c r="M531" s="2" t="s">
        <v>4486</v>
      </c>
      <c r="N531" s="2" t="s">
        <v>4487</v>
      </c>
      <c r="O531" s="2" t="s">
        <v>4488</v>
      </c>
      <c r="P531" s="2" t="s">
        <v>4489</v>
      </c>
      <c r="Q531" s="2" t="s">
        <v>4490</v>
      </c>
      <c r="R531" s="2" t="s">
        <v>2416</v>
      </c>
      <c r="S531" s="2" t="s">
        <v>3186</v>
      </c>
      <c r="T531" s="2" t="s">
        <v>215</v>
      </c>
      <c r="U531" s="2" t="s">
        <v>4481</v>
      </c>
      <c r="V531" s="2" t="s">
        <v>86</v>
      </c>
      <c r="W531" s="2" t="s">
        <v>56</v>
      </c>
    </row>
    <row r="532">
      <c r="A532" s="2" t="n">
        <v>394</v>
      </c>
      <c r="B532" s="2" t="s">
        <v>13978</v>
      </c>
      <c r="C532" s="2" t="s">
        <v>4491</v>
      </c>
      <c r="D532" s="2" t="n">
        <v>293.140785218</v>
      </c>
      <c r="E532" s="2" t="n">
        <v>1.68113055201811</v>
      </c>
      <c r="F532" s="2" t="s">
        <v>4493</v>
      </c>
      <c r="G532" s="2" t="n">
        <v>53220</v>
      </c>
      <c r="H532" s="3" t="str">
        <f>HYPERLINK("http://funmeta.oebiotech.com/network/53220", "http://funmeta.oebiotech.com/network/53220")</f>
      </c>
      <c r="I532" s="2" t="s">
        <v>4495</v>
      </c>
      <c r="J532" s="2" t="s">
        <v>4496</v>
      </c>
      <c r="K532" s="2"/>
      <c r="L532" s="2"/>
      <c r="M532" s="2" t="s">
        <v>4497</v>
      </c>
      <c r="N532" s="2" t="s">
        <v>4498</v>
      </c>
      <c r="O532" s="2" t="s">
        <v>4499</v>
      </c>
      <c r="P532" s="2" t="s">
        <v>4500</v>
      </c>
      <c r="Q532" s="2" t="s">
        <v>4501</v>
      </c>
      <c r="R532" s="2" t="s">
        <v>114</v>
      </c>
      <c r="S532" s="2" t="s">
        <v>994</v>
      </c>
      <c r="T532" s="2" t="s">
        <v>2801</v>
      </c>
      <c r="U532" s="2" t="s">
        <v>4492</v>
      </c>
      <c r="V532" s="2" t="s">
        <v>24</v>
      </c>
      <c r="W532" s="2" t="s">
        <v>56</v>
      </c>
    </row>
    <row r="533">
      <c r="A533" s="2" t="n">
        <v>395</v>
      </c>
      <c r="B533" s="2" t="s">
        <v>13979</v>
      </c>
      <c r="C533" s="2" t="s">
        <v>4502</v>
      </c>
      <c r="D533" s="2" t="n">
        <v>293.248604332</v>
      </c>
      <c r="E533" s="2" t="n">
        <v>9.00933506391914</v>
      </c>
      <c r="F533" s="2" t="s">
        <v>4504</v>
      </c>
      <c r="G533" s="2" t="n">
        <v>58418</v>
      </c>
      <c r="H533" s="3" t="str">
        <f>HYPERLINK("http://funmeta.oebiotech.com/network/58418", "http://funmeta.oebiotech.com/network/58418")</f>
      </c>
      <c r="I533" s="2" t="s">
        <v>4506</v>
      </c>
      <c r="J533" s="2"/>
      <c r="K533" s="2"/>
      <c r="L533" s="2"/>
      <c r="M533" s="2" t="s">
        <v>4507</v>
      </c>
      <c r="N533" s="2" t="s">
        <v>4508</v>
      </c>
      <c r="O533" s="2" t="s">
        <v>4509</v>
      </c>
      <c r="P533" s="2" t="s">
        <v>4510</v>
      </c>
      <c r="Q533" s="2" t="s">
        <v>4511</v>
      </c>
      <c r="R533" s="2" t="s">
        <v>794</v>
      </c>
      <c r="S533" s="2" t="s">
        <v>795</v>
      </c>
      <c r="T533" s="2" t="s">
        <v>2391</v>
      </c>
      <c r="U533" s="2" t="s">
        <v>4503</v>
      </c>
      <c r="V533" s="2" t="s">
        <v>24</v>
      </c>
      <c r="W533" s="2" t="s">
        <v>56</v>
      </c>
    </row>
    <row r="534">
      <c r="A534" s="2" t="n">
        <v>396</v>
      </c>
      <c r="B534" s="2" t="s">
        <v>13980</v>
      </c>
      <c r="C534" s="2" t="s">
        <v>4512</v>
      </c>
      <c r="D534" s="2" t="n">
        <v>294.06787847</v>
      </c>
      <c r="E534" s="2" t="n">
        <v>6.18487727177908</v>
      </c>
      <c r="F534" s="2" t="s">
        <v>4514</v>
      </c>
      <c r="G534" s="2" t="n">
        <v>53561</v>
      </c>
      <c r="H534" s="3" t="str">
        <f>HYPERLINK("http://funmeta.oebiotech.com/network/53561", "http://funmeta.oebiotech.com/network/53561")</f>
      </c>
      <c r="I534" s="2" t="s">
        <v>4516</v>
      </c>
      <c r="J534" s="2" t="s">
        <v>4517</v>
      </c>
      <c r="K534" s="2"/>
      <c r="L534" s="2"/>
      <c r="M534" s="2" t="s">
        <v>4518</v>
      </c>
      <c r="N534" s="2" t="s">
        <v>4519</v>
      </c>
      <c r="O534" s="2" t="s">
        <v>4520</v>
      </c>
      <c r="P534" s="2" t="s">
        <v>4521</v>
      </c>
      <c r="Q534" s="2" t="s">
        <v>4522</v>
      </c>
      <c r="R534" s="2" t="s">
        <v>114</v>
      </c>
      <c r="S534" s="2" t="s">
        <v>4523</v>
      </c>
      <c r="T534" s="2" t="s">
        <v>4524</v>
      </c>
      <c r="U534" s="2" t="s">
        <v>4513</v>
      </c>
      <c r="V534" s="2" t="s">
        <v>161</v>
      </c>
      <c r="W534" s="2" t="s">
        <v>56</v>
      </c>
    </row>
    <row r="535">
      <c r="A535" s="2" t="n">
        <v>397</v>
      </c>
      <c r="B535" s="2" t="s">
        <v>13981</v>
      </c>
      <c r="C535" s="2" t="s">
        <v>4525</v>
      </c>
      <c r="D535" s="2" t="n">
        <v>295.07917348</v>
      </c>
      <c r="E535" s="2" t="n">
        <v>3.12103753877642</v>
      </c>
      <c r="F535" s="2" t="s">
        <v>4527</v>
      </c>
      <c r="G535" s="2" t="n">
        <v>201377</v>
      </c>
      <c r="H535" s="3" t="str">
        <f>HYPERLINK("http://funmeta.oebiotech.com/network/201377", "http://funmeta.oebiotech.com/network/201377")</f>
      </c>
      <c r="I535" s="2" t="s">
        <v>4529</v>
      </c>
      <c r="J535" s="2" t="s">
        <v>4530</v>
      </c>
      <c r="K535" s="2"/>
      <c r="L535" s="2"/>
      <c r="M535" s="2"/>
      <c r="N535" s="2" t="s">
        <v>4531</v>
      </c>
      <c r="O535" s="2" t="s">
        <v>4532</v>
      </c>
      <c r="P535" s="2" t="s">
        <v>4533</v>
      </c>
      <c r="Q535" s="2" t="s">
        <v>4534</v>
      </c>
      <c r="R535" s="2" t="s">
        <v>36</v>
      </c>
      <c r="S535" s="2" t="s">
        <v>37</v>
      </c>
      <c r="T535" s="2" t="s">
        <v>69</v>
      </c>
      <c r="U535" s="2" t="s">
        <v>4526</v>
      </c>
      <c r="V535" s="2" t="s">
        <v>24</v>
      </c>
      <c r="W535" s="2"/>
    </row>
    <row r="536">
      <c r="A536" s="2" t="n">
        <v>398</v>
      </c>
      <c r="B536" s="2" t="s">
        <v>13982</v>
      </c>
      <c r="C536" s="2" t="s">
        <v>4535</v>
      </c>
      <c r="D536" s="2" t="n">
        <v>295.227318576</v>
      </c>
      <c r="E536" s="2" t="n">
        <v>12.5354461325153</v>
      </c>
      <c r="F536" s="2" t="s">
        <v>4537</v>
      </c>
      <c r="G536" s="2" t="n">
        <v>2844</v>
      </c>
      <c r="H536" s="3" t="str">
        <f>HYPERLINK("http://funmeta.oebiotech.com/network/2844", "http://funmeta.oebiotech.com/network/2844")</f>
      </c>
      <c r="I536" s="2" t="s">
        <v>4539</v>
      </c>
      <c r="J536" s="2" t="s">
        <v>4540</v>
      </c>
      <c r="K536" s="2" t="s">
        <v>4541</v>
      </c>
      <c r="L536" s="2"/>
      <c r="M536" s="2" t="s">
        <v>4542</v>
      </c>
      <c r="N536" s="2" t="s">
        <v>4543</v>
      </c>
      <c r="O536" s="2" t="s">
        <v>4544</v>
      </c>
      <c r="P536" s="2" t="s">
        <v>4545</v>
      </c>
      <c r="Q536" s="2" t="s">
        <v>4546</v>
      </c>
      <c r="R536" s="2" t="s">
        <v>794</v>
      </c>
      <c r="S536" s="2" t="s">
        <v>795</v>
      </c>
      <c r="T536" s="2" t="s">
        <v>796</v>
      </c>
      <c r="U536" s="2" t="s">
        <v>4536</v>
      </c>
      <c r="V536" s="2" t="s">
        <v>161</v>
      </c>
      <c r="W536" s="2" t="s">
        <v>39</v>
      </c>
    </row>
    <row r="537">
      <c r="A537" s="2" t="n">
        <v>399</v>
      </c>
      <c r="B537" s="2" t="s">
        <v>13983</v>
      </c>
      <c r="C537" s="2" t="s">
        <v>4547</v>
      </c>
      <c r="D537" s="2" t="n">
        <v>295.264254396</v>
      </c>
      <c r="E537" s="2" t="n">
        <v>14.0109826001012</v>
      </c>
      <c r="F537" s="2" t="s">
        <v>4549</v>
      </c>
      <c r="G537" s="2" t="n">
        <v>854</v>
      </c>
      <c r="H537" s="3" t="str">
        <f>HYPERLINK("http://funmeta.oebiotech.com/network/854", "http://funmeta.oebiotech.com/network/854")</f>
      </c>
      <c r="I537" s="2" t="s">
        <v>4551</v>
      </c>
      <c r="J537" s="2" t="s">
        <v>4552</v>
      </c>
      <c r="K537" s="2" t="s">
        <v>4553</v>
      </c>
      <c r="L537" s="2"/>
      <c r="M537" s="2" t="s">
        <v>4554</v>
      </c>
      <c r="N537" s="2" t="s">
        <v>4555</v>
      </c>
      <c r="O537" s="2" t="s">
        <v>4556</v>
      </c>
      <c r="P537" s="2" t="s">
        <v>4557</v>
      </c>
      <c r="Q537" s="2" t="s">
        <v>4558</v>
      </c>
      <c r="R537" s="2" t="s">
        <v>794</v>
      </c>
      <c r="S537" s="2" t="s">
        <v>795</v>
      </c>
      <c r="T537" s="2" t="s">
        <v>796</v>
      </c>
      <c r="U537" s="2" t="s">
        <v>4548</v>
      </c>
      <c r="V537" s="2" t="s">
        <v>24</v>
      </c>
      <c r="W537" s="2" t="s">
        <v>56</v>
      </c>
    </row>
    <row r="538">
      <c r="A538" s="2" t="n">
        <v>400</v>
      </c>
      <c r="B538" s="2" t="s">
        <v>13984</v>
      </c>
      <c r="C538" s="2" t="s">
        <v>4559</v>
      </c>
      <c r="D538" s="2" t="n">
        <v>297.055066258</v>
      </c>
      <c r="E538" s="2" t="n">
        <v>3.40119253974679</v>
      </c>
      <c r="F538" s="2" t="s">
        <v>4561</v>
      </c>
      <c r="G538" s="2" t="n">
        <v>82692</v>
      </c>
      <c r="H538" s="3" t="str">
        <f>HYPERLINK("http://funmeta.oebiotech.com/network/82692", "http://funmeta.oebiotech.com/network/82692")</f>
      </c>
      <c r="I538" s="2" t="s">
        <v>4563</v>
      </c>
      <c r="J538" s="2" t="s">
        <v>4564</v>
      </c>
      <c r="K538" s="2"/>
      <c r="L538" s="2"/>
      <c r="M538" s="2"/>
      <c r="N538" s="2" t="s">
        <v>4565</v>
      </c>
      <c r="O538" s="2" t="s">
        <v>4566</v>
      </c>
      <c r="P538" s="2" t="s">
        <v>4567</v>
      </c>
      <c r="Q538" s="2" t="s">
        <v>4568</v>
      </c>
      <c r="R538" s="2" t="s">
        <v>36</v>
      </c>
      <c r="S538" s="2" t="s">
        <v>37</v>
      </c>
      <c r="T538" s="2" t="s">
        <v>1217</v>
      </c>
      <c r="U538" s="2" t="s">
        <v>4560</v>
      </c>
      <c r="V538" s="2" t="s">
        <v>24</v>
      </c>
      <c r="W538" s="2"/>
    </row>
    <row r="539">
      <c r="A539" s="2" t="n">
        <v>401</v>
      </c>
      <c r="B539" s="2" t="s">
        <v>13985</v>
      </c>
      <c r="C539" s="2" t="s">
        <v>4569</v>
      </c>
      <c r="D539" s="2" t="n">
        <v>297.0899108</v>
      </c>
      <c r="E539" s="2" t="n">
        <v>2.23257667692875</v>
      </c>
      <c r="F539" s="2" t="s">
        <v>13986</v>
      </c>
      <c r="G539" s="2" t="n">
        <v>200386</v>
      </c>
      <c r="H539" s="3" t="str">
        <f>HYPERLINK("http://funmeta.oebiotech.com/network/200386", "http://funmeta.oebiotech.com/network/200386")</f>
      </c>
      <c r="I539" s="2" t="s">
        <v>13987</v>
      </c>
      <c r="J539" s="2"/>
      <c r="K539" s="2"/>
      <c r="L539" s="2"/>
      <c r="M539" s="2"/>
      <c r="N539" s="2" t="s">
        <v>13988</v>
      </c>
      <c r="O539" s="2"/>
      <c r="P539" s="2" t="s">
        <v>13989</v>
      </c>
      <c r="Q539" s="2" t="s">
        <v>13990</v>
      </c>
      <c r="R539" s="2" t="s">
        <v>186</v>
      </c>
      <c r="S539" s="2" t="s">
        <v>911</v>
      </c>
      <c r="T539" s="2" t="s">
        <v>215</v>
      </c>
      <c r="U539" s="2" t="s">
        <v>4570</v>
      </c>
      <c r="V539" s="2" t="s">
        <v>24</v>
      </c>
      <c r="W539" s="2"/>
    </row>
    <row r="540">
      <c r="A540" s="2" t="n">
        <v>401</v>
      </c>
      <c r="B540" s="2" t="s">
        <v>13991</v>
      </c>
      <c r="C540" s="2" t="s">
        <v>4569</v>
      </c>
      <c r="D540" s="2" t="n">
        <v>297.089910803</v>
      </c>
      <c r="E540" s="2" t="n">
        <v>2.23257667692875</v>
      </c>
      <c r="F540" s="2" t="s">
        <v>13992</v>
      </c>
      <c r="G540" s="2" t="n">
        <v>64147</v>
      </c>
      <c r="H540" s="3" t="str">
        <f>HYPERLINK("http://funmeta.oebiotech.com/network/64147", "http://funmeta.oebiotech.com/network/64147")</f>
      </c>
      <c r="I540" s="2" t="s">
        <v>13993</v>
      </c>
      <c r="J540" s="2" t="s">
        <v>13994</v>
      </c>
      <c r="K540" s="2"/>
      <c r="L540" s="2"/>
      <c r="M540" s="2"/>
      <c r="N540" s="2" t="s">
        <v>13995</v>
      </c>
      <c r="O540" s="2" t="s">
        <v>13996</v>
      </c>
      <c r="P540" s="2" t="s">
        <v>13997</v>
      </c>
      <c r="Q540" s="2" t="s">
        <v>13998</v>
      </c>
      <c r="R540" s="2" t="s">
        <v>794</v>
      </c>
      <c r="S540" s="2" t="s">
        <v>1098</v>
      </c>
      <c r="T540" s="2" t="s">
        <v>3308</v>
      </c>
      <c r="U540" s="2" t="s">
        <v>4570</v>
      </c>
      <c r="V540" s="2" t="s">
        <v>24</v>
      </c>
      <c r="W540" s="2"/>
    </row>
    <row r="541">
      <c r="A541" s="2" t="n">
        <v>402</v>
      </c>
      <c r="B541" s="2" t="s">
        <v>13999</v>
      </c>
      <c r="C541" s="2" t="s">
        <v>4581</v>
      </c>
      <c r="D541" s="2" t="n">
        <v>297.222389582</v>
      </c>
      <c r="E541" s="2" t="n">
        <v>19.0867553563411</v>
      </c>
      <c r="F541" s="2" t="s">
        <v>4583</v>
      </c>
      <c r="G541" s="2" t="n">
        <v>58024</v>
      </c>
      <c r="H541" s="3" t="str">
        <f>HYPERLINK("http://funmeta.oebiotech.com/network/58024", "http://funmeta.oebiotech.com/network/58024")</f>
      </c>
      <c r="I541" s="2" t="s">
        <v>4585</v>
      </c>
      <c r="J541" s="2" t="s">
        <v>4586</v>
      </c>
      <c r="K541" s="2"/>
      <c r="L541" s="2"/>
      <c r="M541" s="2" t="s">
        <v>4587</v>
      </c>
      <c r="N541" s="2" t="s">
        <v>4588</v>
      </c>
      <c r="O541" s="2" t="s">
        <v>4589</v>
      </c>
      <c r="P541" s="2" t="s">
        <v>4590</v>
      </c>
      <c r="Q541" s="2" t="s">
        <v>4591</v>
      </c>
      <c r="R541" s="2" t="s">
        <v>186</v>
      </c>
      <c r="S541" s="2" t="s">
        <v>357</v>
      </c>
      <c r="T541" s="2" t="s">
        <v>4592</v>
      </c>
      <c r="U541" s="2" t="s">
        <v>4582</v>
      </c>
      <c r="V541" s="2" t="s">
        <v>24</v>
      </c>
      <c r="W541" s="2" t="s">
        <v>56</v>
      </c>
    </row>
    <row r="542">
      <c r="A542" s="2" t="n">
        <v>403</v>
      </c>
      <c r="B542" s="2" t="s">
        <v>14000</v>
      </c>
      <c r="C542" s="2" t="s">
        <v>4593</v>
      </c>
      <c r="D542" s="2" t="n">
        <v>297.243518954</v>
      </c>
      <c r="E542" s="2" t="n">
        <v>18.3137953000189</v>
      </c>
      <c r="F542" s="2" t="s">
        <v>4595</v>
      </c>
      <c r="G542" s="2" t="n">
        <v>58342</v>
      </c>
      <c r="H542" s="3" t="str">
        <f>HYPERLINK("http://funmeta.oebiotech.com/network/58342", "http://funmeta.oebiotech.com/network/58342")</f>
      </c>
      <c r="I542" s="2" t="s">
        <v>4597</v>
      </c>
      <c r="J542" s="2"/>
      <c r="K542" s="2"/>
      <c r="L542" s="2" t="s">
        <v>4598</v>
      </c>
      <c r="M542" s="2" t="s">
        <v>4599</v>
      </c>
      <c r="N542" s="2" t="s">
        <v>4600</v>
      </c>
      <c r="O542" s="2" t="s">
        <v>4601</v>
      </c>
      <c r="P542" s="2" t="s">
        <v>4602</v>
      </c>
      <c r="Q542" s="2" t="s">
        <v>4603</v>
      </c>
      <c r="R542" s="2" t="s">
        <v>794</v>
      </c>
      <c r="S542" s="2" t="s">
        <v>795</v>
      </c>
      <c r="T542" s="2" t="s">
        <v>796</v>
      </c>
      <c r="U542" s="2" t="s">
        <v>4594</v>
      </c>
      <c r="V542" s="2" t="s">
        <v>24</v>
      </c>
      <c r="W542" s="2" t="s">
        <v>56</v>
      </c>
    </row>
    <row r="543">
      <c r="A543" s="2" t="n">
        <v>404</v>
      </c>
      <c r="B543" s="2" t="s">
        <v>14001</v>
      </c>
      <c r="C543" s="2" t="s">
        <v>4604</v>
      </c>
      <c r="D543" s="2" t="n">
        <v>298.1188599</v>
      </c>
      <c r="E543" s="2" t="n">
        <v>3.48901608397835</v>
      </c>
      <c r="F543" s="2" t="s">
        <v>14002</v>
      </c>
      <c r="G543" s="2" t="n">
        <v>202059</v>
      </c>
      <c r="H543" s="3" t="str">
        <f>HYPERLINK("http://funmeta.oebiotech.com/network/202059", "http://funmeta.oebiotech.com/network/202059")</f>
      </c>
      <c r="I543" s="2" t="s">
        <v>14003</v>
      </c>
      <c r="J543" s="2"/>
      <c r="K543" s="2"/>
      <c r="L543" s="2"/>
      <c r="M543" s="2"/>
      <c r="N543" s="2" t="s">
        <v>14004</v>
      </c>
      <c r="O543" s="2"/>
      <c r="P543" s="2" t="s">
        <v>14005</v>
      </c>
      <c r="Q543" s="2" t="s">
        <v>14006</v>
      </c>
      <c r="R543" s="2" t="s">
        <v>114</v>
      </c>
      <c r="S543" s="2" t="s">
        <v>369</v>
      </c>
      <c r="T543" s="2" t="s">
        <v>656</v>
      </c>
      <c r="U543" s="2" t="s">
        <v>4605</v>
      </c>
      <c r="V543" s="2" t="s">
        <v>24</v>
      </c>
      <c r="W543" s="2"/>
    </row>
    <row r="544">
      <c r="A544" s="2" t="n">
        <v>404</v>
      </c>
      <c r="B544" s="2" t="s">
        <v>14007</v>
      </c>
      <c r="C544" s="2" t="s">
        <v>4604</v>
      </c>
      <c r="D544" s="2" t="n">
        <v>298.1188599</v>
      </c>
      <c r="E544" s="2" t="n">
        <v>3.48901608397835</v>
      </c>
      <c r="F544" s="2" t="s">
        <v>14008</v>
      </c>
      <c r="G544" s="2" t="n">
        <v>206320</v>
      </c>
      <c r="H544" s="3" t="str">
        <f>HYPERLINK("http://funmeta.oebiotech.com/network/206320", "http://funmeta.oebiotech.com/network/206320")</f>
      </c>
      <c r="I544" s="2" t="s">
        <v>14009</v>
      </c>
      <c r="J544" s="2" t="s">
        <v>14010</v>
      </c>
      <c r="K544" s="2"/>
      <c r="L544" s="2"/>
      <c r="M544" s="2" t="s">
        <v>14011</v>
      </c>
      <c r="N544" s="2" t="s">
        <v>14012</v>
      </c>
      <c r="O544" s="2"/>
      <c r="P544" s="2" t="s">
        <v>14013</v>
      </c>
      <c r="Q544" s="2" t="s">
        <v>14014</v>
      </c>
      <c r="R544" s="2" t="s">
        <v>114</v>
      </c>
      <c r="S544" s="2" t="s">
        <v>369</v>
      </c>
      <c r="T544" s="2" t="s">
        <v>656</v>
      </c>
      <c r="U544" s="2" t="s">
        <v>4605</v>
      </c>
      <c r="V544" s="2" t="s">
        <v>24</v>
      </c>
      <c r="W544" s="2"/>
    </row>
    <row r="545">
      <c r="A545" s="2" t="n">
        <v>405</v>
      </c>
      <c r="B545" s="2" t="s">
        <v>14015</v>
      </c>
      <c r="C545" s="2" t="s">
        <v>4616</v>
      </c>
      <c r="D545" s="2" t="n">
        <v>298.999775428</v>
      </c>
      <c r="E545" s="2" t="n">
        <v>2.06034679307501</v>
      </c>
      <c r="F545" s="2" t="s">
        <v>14016</v>
      </c>
      <c r="G545" s="2" t="n">
        <v>48063</v>
      </c>
      <c r="H545" s="3" t="str">
        <f>HYPERLINK("http://funmeta.oebiotech.com/network/48063", "http://funmeta.oebiotech.com/network/48063")</f>
      </c>
      <c r="I545" s="2" t="s">
        <v>14017</v>
      </c>
      <c r="J545" s="2" t="s">
        <v>14018</v>
      </c>
      <c r="K545" s="2"/>
      <c r="L545" s="2"/>
      <c r="M545" s="2"/>
      <c r="N545" s="2" t="s">
        <v>14019</v>
      </c>
      <c r="O545" s="2" t="s">
        <v>14020</v>
      </c>
      <c r="P545" s="2" t="s">
        <v>14021</v>
      </c>
      <c r="Q545" s="2" t="s">
        <v>14022</v>
      </c>
      <c r="R545" s="2" t="s">
        <v>186</v>
      </c>
      <c r="S545" s="2" t="s">
        <v>357</v>
      </c>
      <c r="T545" s="2" t="s">
        <v>5859</v>
      </c>
      <c r="U545" s="2" t="s">
        <v>4617</v>
      </c>
      <c r="V545" s="2" t="s">
        <v>86</v>
      </c>
      <c r="W545" s="2" t="s">
        <v>56</v>
      </c>
    </row>
    <row r="546">
      <c r="A546" s="2" t="n">
        <v>405</v>
      </c>
      <c r="B546" s="2" t="s">
        <v>14023</v>
      </c>
      <c r="C546" s="2" t="s">
        <v>4616</v>
      </c>
      <c r="D546" s="2" t="n">
        <v>298.999775428</v>
      </c>
      <c r="E546" s="2" t="n">
        <v>2.06034679307501</v>
      </c>
      <c r="F546" s="2" t="s">
        <v>14024</v>
      </c>
      <c r="G546" s="2" t="n">
        <v>47092</v>
      </c>
      <c r="H546" s="3" t="str">
        <f>HYPERLINK("http://funmeta.oebiotech.com/network/47092", "http://funmeta.oebiotech.com/network/47092")</f>
      </c>
      <c r="I546" s="2" t="s">
        <v>14025</v>
      </c>
      <c r="J546" s="2" t="s">
        <v>14026</v>
      </c>
      <c r="K546" s="2"/>
      <c r="L546" s="2"/>
      <c r="M546" s="2" t="s">
        <v>14027</v>
      </c>
      <c r="N546" s="2" t="s">
        <v>14028</v>
      </c>
      <c r="O546" s="2" t="s">
        <v>14029</v>
      </c>
      <c r="P546" s="2" t="s">
        <v>14030</v>
      </c>
      <c r="Q546" s="2" t="s">
        <v>14031</v>
      </c>
      <c r="R546" s="2" t="s">
        <v>36</v>
      </c>
      <c r="S546" s="2" t="s">
        <v>1857</v>
      </c>
      <c r="T546" s="2" t="s">
        <v>1858</v>
      </c>
      <c r="U546" s="2" t="s">
        <v>4617</v>
      </c>
      <c r="V546" s="2" t="s">
        <v>86</v>
      </c>
      <c r="W546" s="2" t="s">
        <v>56</v>
      </c>
    </row>
    <row r="547">
      <c r="A547" s="2" t="n">
        <v>406</v>
      </c>
      <c r="B547" s="2" t="s">
        <v>14032</v>
      </c>
      <c r="C547" s="2" t="s">
        <v>4630</v>
      </c>
      <c r="D547" s="2" t="n">
        <v>299.0956649</v>
      </c>
      <c r="E547" s="2" t="n">
        <v>0.613140858025562</v>
      </c>
      <c r="F547" s="2" t="s">
        <v>4632</v>
      </c>
      <c r="G547" s="2" t="n">
        <v>206618</v>
      </c>
      <c r="H547" s="3" t="str">
        <f>HYPERLINK("http://funmeta.oebiotech.com/network/206618", "http://funmeta.oebiotech.com/network/206618")</f>
      </c>
      <c r="I547" s="2" t="s">
        <v>4634</v>
      </c>
      <c r="J547" s="2"/>
      <c r="K547" s="2"/>
      <c r="L547" s="2"/>
      <c r="M547" s="2"/>
      <c r="N547" s="2" t="s">
        <v>4635</v>
      </c>
      <c r="O547" s="2"/>
      <c r="P547" s="2" t="s">
        <v>4636</v>
      </c>
      <c r="Q547" s="2" t="s">
        <v>4637</v>
      </c>
      <c r="R547" s="2" t="s">
        <v>114</v>
      </c>
      <c r="S547" s="2" t="s">
        <v>3933</v>
      </c>
      <c r="T547" s="2" t="s">
        <v>215</v>
      </c>
      <c r="U547" s="2" t="s">
        <v>4631</v>
      </c>
      <c r="V547" s="2" t="s">
        <v>24</v>
      </c>
      <c r="W547" s="2"/>
    </row>
    <row r="548">
      <c r="A548" s="2" t="n">
        <v>407</v>
      </c>
      <c r="B548" s="2" t="s">
        <v>14033</v>
      </c>
      <c r="C548" s="2" t="s">
        <v>4638</v>
      </c>
      <c r="D548" s="2" t="n">
        <v>299.132050389</v>
      </c>
      <c r="E548" s="2" t="n">
        <v>4.74653269666723</v>
      </c>
      <c r="F548" s="2" t="s">
        <v>14034</v>
      </c>
      <c r="G548" s="2" t="n">
        <v>196991</v>
      </c>
      <c r="H548" s="3" t="str">
        <f>HYPERLINK("http://funmeta.oebiotech.com/network/196991", "http://funmeta.oebiotech.com/network/196991")</f>
      </c>
      <c r="I548" s="2" t="s">
        <v>14035</v>
      </c>
      <c r="J548" s="2" t="s">
        <v>14036</v>
      </c>
      <c r="K548" s="2"/>
      <c r="L548" s="2"/>
      <c r="M548" s="2"/>
      <c r="N548" s="2" t="s">
        <v>14037</v>
      </c>
      <c r="O548" s="2" t="s">
        <v>14038</v>
      </c>
      <c r="P548" s="2" t="s">
        <v>14039</v>
      </c>
      <c r="Q548" s="2" t="s">
        <v>14040</v>
      </c>
      <c r="R548" s="2" t="s">
        <v>186</v>
      </c>
      <c r="S548" s="2" t="s">
        <v>187</v>
      </c>
      <c r="T548" s="2" t="s">
        <v>8537</v>
      </c>
      <c r="U548" s="2" t="s">
        <v>4639</v>
      </c>
      <c r="V548" s="2" t="s">
        <v>24</v>
      </c>
      <c r="W548" s="2"/>
    </row>
    <row r="549">
      <c r="A549" s="2" t="n">
        <v>407</v>
      </c>
      <c r="B549" s="2" t="s">
        <v>14041</v>
      </c>
      <c r="C549" s="2" t="s">
        <v>4638</v>
      </c>
      <c r="D549" s="2" t="n">
        <v>299.132050389</v>
      </c>
      <c r="E549" s="2" t="n">
        <v>4.74653269666723</v>
      </c>
      <c r="F549" s="2" t="s">
        <v>14042</v>
      </c>
      <c r="G549" s="2" t="n">
        <v>82796</v>
      </c>
      <c r="H549" s="3" t="str">
        <f>HYPERLINK("http://funmeta.oebiotech.com/network/82796", "http://funmeta.oebiotech.com/network/82796")</f>
      </c>
      <c r="I549" s="2" t="s">
        <v>14043</v>
      </c>
      <c r="J549" s="2"/>
      <c r="K549" s="2"/>
      <c r="L549" s="2"/>
      <c r="M549" s="2" t="s">
        <v>14044</v>
      </c>
      <c r="N549" s="2" t="s">
        <v>14045</v>
      </c>
      <c r="O549" s="2" t="s">
        <v>14046</v>
      </c>
      <c r="P549" s="2" t="s">
        <v>14047</v>
      </c>
      <c r="Q549" s="2" t="s">
        <v>14048</v>
      </c>
      <c r="R549" s="2" t="s">
        <v>114</v>
      </c>
      <c r="S549" s="2" t="s">
        <v>3757</v>
      </c>
      <c r="T549" s="2" t="s">
        <v>3758</v>
      </c>
      <c r="U549" s="2" t="s">
        <v>4639</v>
      </c>
      <c r="V549" s="2" t="s">
        <v>24</v>
      </c>
      <c r="W549" s="2"/>
    </row>
    <row r="550">
      <c r="A550" s="2" t="n">
        <v>408</v>
      </c>
      <c r="B550" s="2" t="s">
        <v>14049</v>
      </c>
      <c r="C550" s="2" t="s">
        <v>4652</v>
      </c>
      <c r="D550" s="2" t="n">
        <v>299.201649832</v>
      </c>
      <c r="E550" s="2" t="n">
        <v>3.45441398876135</v>
      </c>
      <c r="F550" s="2" t="s">
        <v>4654</v>
      </c>
      <c r="G550" s="2" t="n">
        <v>64462</v>
      </c>
      <c r="H550" s="3" t="str">
        <f>HYPERLINK("http://funmeta.oebiotech.com/network/64462", "http://funmeta.oebiotech.com/network/64462")</f>
      </c>
      <c r="I550" s="2" t="s">
        <v>4656</v>
      </c>
      <c r="J550" s="2" t="s">
        <v>4657</v>
      </c>
      <c r="K550" s="2"/>
      <c r="L550" s="2"/>
      <c r="M550" s="2"/>
      <c r="N550" s="2" t="s">
        <v>4658</v>
      </c>
      <c r="O550" s="2" t="s">
        <v>4659</v>
      </c>
      <c r="P550" s="2" t="s">
        <v>4660</v>
      </c>
      <c r="Q550" s="2" t="s">
        <v>4661</v>
      </c>
      <c r="R550" s="2" t="s">
        <v>794</v>
      </c>
      <c r="S550" s="2" t="s">
        <v>1098</v>
      </c>
      <c r="T550" s="2" t="s">
        <v>4662</v>
      </c>
      <c r="U550" s="2" t="s">
        <v>4653</v>
      </c>
      <c r="V550" s="2" t="s">
        <v>205</v>
      </c>
      <c r="W550" s="2" t="s">
        <v>56</v>
      </c>
    </row>
    <row r="551">
      <c r="A551" s="2" t="n">
        <v>409</v>
      </c>
      <c r="B551" s="2" t="s">
        <v>14050</v>
      </c>
      <c r="C551" s="2" t="s">
        <v>4663</v>
      </c>
      <c r="D551" s="2" t="n">
        <v>300.048441313</v>
      </c>
      <c r="E551" s="2" t="n">
        <v>7.66199988487746</v>
      </c>
      <c r="F551" s="2" t="s">
        <v>4665</v>
      </c>
      <c r="G551" s="2" t="n">
        <v>56678</v>
      </c>
      <c r="H551" s="3" t="str">
        <f>HYPERLINK("http://funmeta.oebiotech.com/network/56678", "http://funmeta.oebiotech.com/network/56678")</f>
      </c>
      <c r="I551" s="2" t="s">
        <v>4667</v>
      </c>
      <c r="J551" s="2" t="s">
        <v>4668</v>
      </c>
      <c r="K551" s="2"/>
      <c r="L551" s="2"/>
      <c r="M551" s="2"/>
      <c r="N551" s="2" t="s">
        <v>4669</v>
      </c>
      <c r="O551" s="2" t="s">
        <v>4670</v>
      </c>
      <c r="P551" s="2" t="s">
        <v>4671</v>
      </c>
      <c r="Q551" s="2" t="s">
        <v>4672</v>
      </c>
      <c r="R551" s="2" t="s">
        <v>36</v>
      </c>
      <c r="S551" s="2" t="s">
        <v>2572</v>
      </c>
      <c r="T551" s="2" t="s">
        <v>2637</v>
      </c>
      <c r="U551" s="2" t="s">
        <v>4664</v>
      </c>
      <c r="V551" s="2" t="s">
        <v>161</v>
      </c>
      <c r="W551" s="2" t="s">
        <v>56</v>
      </c>
    </row>
    <row r="552">
      <c r="A552" s="2" t="n">
        <v>410</v>
      </c>
      <c r="B552" s="2" t="s">
        <v>14051</v>
      </c>
      <c r="C552" s="2" t="s">
        <v>4673</v>
      </c>
      <c r="D552" s="2" t="n">
        <v>301.056621</v>
      </c>
      <c r="E552" s="2" t="n">
        <v>4.07721169911687</v>
      </c>
      <c r="F552" s="2" t="s">
        <v>4675</v>
      </c>
      <c r="G552" s="2" t="n">
        <v>206374</v>
      </c>
      <c r="H552" s="3" t="str">
        <f>HYPERLINK("http://funmeta.oebiotech.com/network/206374", "http://funmeta.oebiotech.com/network/206374")</f>
      </c>
      <c r="I552" s="2" t="s">
        <v>4677</v>
      </c>
      <c r="J552" s="2"/>
      <c r="K552" s="2"/>
      <c r="L552" s="2"/>
      <c r="M552" s="2"/>
      <c r="N552" s="2" t="s">
        <v>4678</v>
      </c>
      <c r="O552" s="2"/>
      <c r="P552" s="2" t="s">
        <v>4679</v>
      </c>
      <c r="Q552" s="2" t="s">
        <v>4680</v>
      </c>
      <c r="R552" s="2" t="s">
        <v>114</v>
      </c>
      <c r="S552" s="2" t="s">
        <v>4681</v>
      </c>
      <c r="T552" s="2" t="s">
        <v>4682</v>
      </c>
      <c r="U552" s="2" t="s">
        <v>4674</v>
      </c>
      <c r="V552" s="2" t="s">
        <v>161</v>
      </c>
      <c r="W552" s="2"/>
    </row>
    <row r="553">
      <c r="A553" s="2" t="n">
        <v>411</v>
      </c>
      <c r="B553" s="2" t="s">
        <v>14052</v>
      </c>
      <c r="C553" s="2" t="s">
        <v>4683</v>
      </c>
      <c r="D553" s="2" t="n">
        <v>301.094228947</v>
      </c>
      <c r="E553" s="2" t="n">
        <v>1.21690668461088</v>
      </c>
      <c r="F553" s="2" t="s">
        <v>4685</v>
      </c>
      <c r="G553" s="2" t="n">
        <v>212276</v>
      </c>
      <c r="H553" s="3" t="str">
        <f>HYPERLINK("http://funmeta.oebiotech.com/network/212276", "http://funmeta.oebiotech.com/network/212276")</f>
      </c>
      <c r="I553" s="2" t="s">
        <v>4687</v>
      </c>
      <c r="J553" s="2"/>
      <c r="K553" s="2"/>
      <c r="L553" s="2"/>
      <c r="M553" s="2"/>
      <c r="N553" s="2" t="s">
        <v>4688</v>
      </c>
      <c r="O553" s="2"/>
      <c r="P553" s="2" t="s">
        <v>4689</v>
      </c>
      <c r="Q553" s="2" t="s">
        <v>4690</v>
      </c>
      <c r="R553" s="2" t="s">
        <v>186</v>
      </c>
      <c r="S553" s="2" t="s">
        <v>187</v>
      </c>
      <c r="T553" s="2" t="s">
        <v>215</v>
      </c>
      <c r="U553" s="2" t="s">
        <v>4684</v>
      </c>
      <c r="V553" s="2" t="s">
        <v>24</v>
      </c>
      <c r="W553" s="2"/>
    </row>
    <row r="554">
      <c r="A554" s="2" t="n">
        <v>412</v>
      </c>
      <c r="B554" s="2" t="s">
        <v>14053</v>
      </c>
      <c r="C554" s="2" t="s">
        <v>4691</v>
      </c>
      <c r="D554" s="2" t="n">
        <v>301.141847844</v>
      </c>
      <c r="E554" s="2" t="n">
        <v>1.5211001744967</v>
      </c>
      <c r="F554" s="2" t="s">
        <v>4693</v>
      </c>
      <c r="G554" s="2" t="n">
        <v>83594</v>
      </c>
      <c r="H554" s="3" t="str">
        <f>HYPERLINK("http://funmeta.oebiotech.com/network/83594", "http://funmeta.oebiotech.com/network/83594")</f>
      </c>
      <c r="I554" s="2" t="s">
        <v>4695</v>
      </c>
      <c r="J554" s="2"/>
      <c r="K554" s="2"/>
      <c r="L554" s="2"/>
      <c r="M554" s="2"/>
      <c r="N554" s="2" t="s">
        <v>4696</v>
      </c>
      <c r="O554" s="2"/>
      <c r="P554" s="2" t="s">
        <v>4697</v>
      </c>
      <c r="Q554" s="2" t="s">
        <v>4698</v>
      </c>
      <c r="R554" s="2" t="s">
        <v>186</v>
      </c>
      <c r="S554" s="2" t="s">
        <v>187</v>
      </c>
      <c r="T554" s="2" t="s">
        <v>2195</v>
      </c>
      <c r="U554" s="2" t="s">
        <v>4692</v>
      </c>
      <c r="V554" s="2" t="s">
        <v>683</v>
      </c>
      <c r="W554" s="2" t="s">
        <v>56</v>
      </c>
    </row>
    <row r="555">
      <c r="A555" s="2" t="n">
        <v>413</v>
      </c>
      <c r="B555" s="2" t="s">
        <v>14054</v>
      </c>
      <c r="C555" s="2" t="s">
        <v>4699</v>
      </c>
      <c r="D555" s="2" t="n">
        <v>302.070178671</v>
      </c>
      <c r="E555" s="2" t="n">
        <v>3.59298476433386</v>
      </c>
      <c r="F555" s="2" t="s">
        <v>4701</v>
      </c>
      <c r="G555" s="2" t="n">
        <v>210577</v>
      </c>
      <c r="H555" s="3" t="str">
        <f>HYPERLINK("http://funmeta.oebiotech.com/network/210577", "http://funmeta.oebiotech.com/network/210577")</f>
      </c>
      <c r="I555" s="2" t="s">
        <v>4703</v>
      </c>
      <c r="J555" s="2" t="s">
        <v>4704</v>
      </c>
      <c r="K555" s="2"/>
      <c r="L555" s="2" t="s">
        <v>4705</v>
      </c>
      <c r="M555" s="2" t="s">
        <v>4706</v>
      </c>
      <c r="N555" s="2" t="s">
        <v>4707</v>
      </c>
      <c r="O555" s="2" t="s">
        <v>4708</v>
      </c>
      <c r="P555" s="2" t="s">
        <v>4709</v>
      </c>
      <c r="Q555" s="2" t="s">
        <v>4710</v>
      </c>
      <c r="R555" s="2" t="s">
        <v>186</v>
      </c>
      <c r="S555" s="2" t="s">
        <v>187</v>
      </c>
      <c r="T555" s="2" t="s">
        <v>4711</v>
      </c>
      <c r="U555" s="2" t="s">
        <v>4700</v>
      </c>
      <c r="V555" s="2" t="s">
        <v>86</v>
      </c>
      <c r="W555" s="2" t="s">
        <v>101</v>
      </c>
    </row>
    <row r="556">
      <c r="A556" s="2" t="n">
        <v>414</v>
      </c>
      <c r="B556" s="2" t="s">
        <v>14055</v>
      </c>
      <c r="C556" s="2" t="s">
        <v>4712</v>
      </c>
      <c r="D556" s="2" t="n">
        <v>302.106564181</v>
      </c>
      <c r="E556" s="2" t="n">
        <v>2.69701118675363</v>
      </c>
      <c r="F556" s="2" t="s">
        <v>4714</v>
      </c>
      <c r="G556" s="2" t="n">
        <v>208418</v>
      </c>
      <c r="H556" s="3" t="str">
        <f>HYPERLINK("http://funmeta.oebiotech.com/network/208418", "http://funmeta.oebiotech.com/network/208418")</f>
      </c>
      <c r="I556" s="2" t="s">
        <v>4716</v>
      </c>
      <c r="J556" s="2"/>
      <c r="K556" s="2"/>
      <c r="L556" s="2"/>
      <c r="M556" s="2"/>
      <c r="N556" s="2" t="s">
        <v>4717</v>
      </c>
      <c r="O556" s="2"/>
      <c r="P556" s="2" t="s">
        <v>4718</v>
      </c>
      <c r="Q556" s="2" t="s">
        <v>4719</v>
      </c>
      <c r="R556" s="2" t="s">
        <v>3003</v>
      </c>
      <c r="S556" s="2" t="s">
        <v>4720</v>
      </c>
      <c r="T556" s="2" t="s">
        <v>4721</v>
      </c>
      <c r="U556" s="2" t="s">
        <v>4713</v>
      </c>
      <c r="V556" s="2" t="s">
        <v>86</v>
      </c>
      <c r="W556" s="2"/>
    </row>
    <row r="557">
      <c r="A557" s="2" t="n">
        <v>415</v>
      </c>
      <c r="B557" s="2" t="s">
        <v>14056</v>
      </c>
      <c r="C557" s="2" t="s">
        <v>4722</v>
      </c>
      <c r="D557" s="2" t="n">
        <v>303.047322076</v>
      </c>
      <c r="E557" s="2" t="n">
        <v>1.08628775627832</v>
      </c>
      <c r="F557" s="2" t="s">
        <v>4724</v>
      </c>
      <c r="G557" s="2" t="n">
        <v>61892</v>
      </c>
      <c r="H557" s="3" t="str">
        <f>HYPERLINK("http://funmeta.oebiotech.com/network/61892", "http://funmeta.oebiotech.com/network/61892")</f>
      </c>
      <c r="I557" s="2" t="s">
        <v>4726</v>
      </c>
      <c r="J557" s="2" t="s">
        <v>4727</v>
      </c>
      <c r="K557" s="2"/>
      <c r="L557" s="2"/>
      <c r="M557" s="2" t="s">
        <v>4728</v>
      </c>
      <c r="N557" s="2" t="s">
        <v>4729</v>
      </c>
      <c r="O557" s="2"/>
      <c r="P557" s="2" t="s">
        <v>4730</v>
      </c>
      <c r="Q557" s="2" t="s">
        <v>4731</v>
      </c>
      <c r="R557" s="2" t="s">
        <v>36</v>
      </c>
      <c r="S557" s="2" t="s">
        <v>37</v>
      </c>
      <c r="T557" s="2" t="s">
        <v>69</v>
      </c>
      <c r="U557" s="2" t="s">
        <v>4723</v>
      </c>
      <c r="V557" s="2" t="s">
        <v>161</v>
      </c>
      <c r="W557" s="2" t="s">
        <v>56</v>
      </c>
    </row>
    <row r="558">
      <c r="A558" s="2" t="n">
        <v>416</v>
      </c>
      <c r="B558" s="2" t="s">
        <v>14057</v>
      </c>
      <c r="C558" s="2" t="s">
        <v>4732</v>
      </c>
      <c r="D558" s="2" t="n">
        <v>303.163350781</v>
      </c>
      <c r="E558" s="2" t="n">
        <v>0.127339680160968</v>
      </c>
      <c r="F558" s="2" t="s">
        <v>4734</v>
      </c>
      <c r="G558" s="2" t="n">
        <v>202633</v>
      </c>
      <c r="H558" s="3" t="str">
        <f>HYPERLINK("http://funmeta.oebiotech.com/network/202633", "http://funmeta.oebiotech.com/network/202633")</f>
      </c>
      <c r="I558" s="2" t="s">
        <v>4736</v>
      </c>
      <c r="J558" s="2"/>
      <c r="K558" s="2"/>
      <c r="L558" s="2"/>
      <c r="M558" s="2"/>
      <c r="N558" s="2"/>
      <c r="O558" s="2"/>
      <c r="P558" s="2" t="s">
        <v>4737</v>
      </c>
      <c r="Q558" s="2" t="s">
        <v>4738</v>
      </c>
      <c r="R558" s="2" t="s">
        <v>601</v>
      </c>
      <c r="S558" s="2" t="s">
        <v>602</v>
      </c>
      <c r="T558" s="2" t="s">
        <v>1800</v>
      </c>
      <c r="U558" s="2" t="s">
        <v>4733</v>
      </c>
      <c r="V558" s="2" t="s">
        <v>86</v>
      </c>
      <c r="W558" s="2"/>
    </row>
    <row r="559">
      <c r="A559" s="2" t="n">
        <v>417</v>
      </c>
      <c r="B559" s="2" t="s">
        <v>14058</v>
      </c>
      <c r="C559" s="2" t="s">
        <v>4739</v>
      </c>
      <c r="D559" s="2" t="n">
        <v>304.066528963</v>
      </c>
      <c r="E559" s="2" t="n">
        <v>2.66728796619073</v>
      </c>
      <c r="F559" s="2" t="s">
        <v>4741</v>
      </c>
      <c r="G559" s="2" t="n">
        <v>48449</v>
      </c>
      <c r="H559" s="3" t="str">
        <f>HYPERLINK("http://funmeta.oebiotech.com/network/48449", "http://funmeta.oebiotech.com/network/48449")</f>
      </c>
      <c r="I559" s="2" t="s">
        <v>4743</v>
      </c>
      <c r="J559" s="2" t="s">
        <v>4744</v>
      </c>
      <c r="K559" s="2"/>
      <c r="L559" s="2" t="s">
        <v>4745</v>
      </c>
      <c r="M559" s="2" t="s">
        <v>4746</v>
      </c>
      <c r="N559" s="2" t="s">
        <v>4747</v>
      </c>
      <c r="O559" s="2" t="s">
        <v>4748</v>
      </c>
      <c r="P559" s="2" t="s">
        <v>4749</v>
      </c>
      <c r="Q559" s="2" t="s">
        <v>4750</v>
      </c>
      <c r="R559" s="2" t="s">
        <v>186</v>
      </c>
      <c r="S559" s="2" t="s">
        <v>4751</v>
      </c>
      <c r="T559" s="2" t="s">
        <v>4752</v>
      </c>
      <c r="U559" s="2" t="s">
        <v>4740</v>
      </c>
      <c r="V559" s="2" t="s">
        <v>24</v>
      </c>
      <c r="W559" s="2" t="s">
        <v>101</v>
      </c>
    </row>
    <row r="560">
      <c r="A560" s="2" t="n">
        <v>418</v>
      </c>
      <c r="B560" s="2" t="s">
        <v>14059</v>
      </c>
      <c r="C560" s="2" t="s">
        <v>4753</v>
      </c>
      <c r="D560" s="2" t="n">
        <v>304.902805327</v>
      </c>
      <c r="E560" s="2" t="n">
        <v>1.11273334140849</v>
      </c>
      <c r="F560" s="2" t="s">
        <v>4755</v>
      </c>
      <c r="G560" s="2" t="n">
        <v>82271</v>
      </c>
      <c r="H560" s="3" t="str">
        <f>HYPERLINK("http://funmeta.oebiotech.com/network/82271", "http://funmeta.oebiotech.com/network/82271")</f>
      </c>
      <c r="I560" s="2" t="s">
        <v>4757</v>
      </c>
      <c r="J560" s="2" t="s">
        <v>4758</v>
      </c>
      <c r="K560" s="2"/>
      <c r="L560" s="2" t="s">
        <v>4759</v>
      </c>
      <c r="M560" s="2" t="s">
        <v>4760</v>
      </c>
      <c r="N560" s="2" t="s">
        <v>4761</v>
      </c>
      <c r="O560" s="2"/>
      <c r="P560" s="2" t="s">
        <v>4762</v>
      </c>
      <c r="Q560" s="2" t="s">
        <v>4763</v>
      </c>
      <c r="R560" s="2" t="s">
        <v>36</v>
      </c>
      <c r="S560" s="2" t="s">
        <v>271</v>
      </c>
      <c r="T560" s="2" t="s">
        <v>2534</v>
      </c>
      <c r="U560" s="2" t="s">
        <v>4754</v>
      </c>
      <c r="V560" s="2" t="s">
        <v>205</v>
      </c>
      <c r="W560" s="2" t="s">
        <v>101</v>
      </c>
    </row>
    <row r="561">
      <c r="A561" s="2" t="n">
        <v>419</v>
      </c>
      <c r="B561" s="2" t="s">
        <v>14060</v>
      </c>
      <c r="C561" s="2" t="s">
        <v>4764</v>
      </c>
      <c r="D561" s="2" t="n">
        <v>305.075461091</v>
      </c>
      <c r="E561" s="2" t="n">
        <v>3.11461531736879</v>
      </c>
      <c r="F561" s="2" t="s">
        <v>4766</v>
      </c>
      <c r="G561" s="2" t="n">
        <v>205754</v>
      </c>
      <c r="H561" s="3" t="str">
        <f>HYPERLINK("http://funmeta.oebiotech.com/network/205754", "http://funmeta.oebiotech.com/network/205754")</f>
      </c>
      <c r="I561" s="2" t="s">
        <v>4768</v>
      </c>
      <c r="J561" s="2"/>
      <c r="K561" s="2"/>
      <c r="L561" s="2"/>
      <c r="M561" s="2"/>
      <c r="N561" s="2" t="s">
        <v>4769</v>
      </c>
      <c r="O561" s="2"/>
      <c r="P561" s="2" t="s">
        <v>4770</v>
      </c>
      <c r="Q561" s="2" t="s">
        <v>4771</v>
      </c>
      <c r="R561" s="2" t="s">
        <v>186</v>
      </c>
      <c r="S561" s="2" t="s">
        <v>187</v>
      </c>
      <c r="T561" s="2" t="s">
        <v>1760</v>
      </c>
      <c r="U561" s="2" t="s">
        <v>4765</v>
      </c>
      <c r="V561" s="2" t="s">
        <v>205</v>
      </c>
      <c r="W561" s="2"/>
    </row>
    <row r="562">
      <c r="A562" s="2" t="n">
        <v>420</v>
      </c>
      <c r="B562" s="2" t="s">
        <v>14061</v>
      </c>
      <c r="C562" s="2" t="s">
        <v>4772</v>
      </c>
      <c r="D562" s="2" t="n">
        <v>305.183479106</v>
      </c>
      <c r="E562" s="2" t="n">
        <v>0.269663922962033</v>
      </c>
      <c r="F562" s="2" t="s">
        <v>14062</v>
      </c>
      <c r="G562" s="2" t="n">
        <v>201767</v>
      </c>
      <c r="H562" s="3" t="str">
        <f>HYPERLINK("http://funmeta.oebiotech.com/network/201767", "http://funmeta.oebiotech.com/network/201767")</f>
      </c>
      <c r="I562" s="2" t="s">
        <v>14063</v>
      </c>
      <c r="J562" s="2"/>
      <c r="K562" s="2"/>
      <c r="L562" s="2"/>
      <c r="M562" s="2"/>
      <c r="N562" s="2" t="s">
        <v>14064</v>
      </c>
      <c r="O562" s="2"/>
      <c r="P562" s="2" t="s">
        <v>14065</v>
      </c>
      <c r="Q562" s="2" t="s">
        <v>14066</v>
      </c>
      <c r="R562" s="2" t="s">
        <v>186</v>
      </c>
      <c r="S562" s="2" t="s">
        <v>187</v>
      </c>
      <c r="T562" s="2" t="s">
        <v>11522</v>
      </c>
      <c r="U562" s="2" t="s">
        <v>4773</v>
      </c>
      <c r="V562" s="2" t="s">
        <v>683</v>
      </c>
      <c r="W562" s="2"/>
    </row>
    <row r="563">
      <c r="A563" s="2" t="n">
        <v>420</v>
      </c>
      <c r="B563" s="2" t="s">
        <v>14067</v>
      </c>
      <c r="C563" s="2" t="s">
        <v>4772</v>
      </c>
      <c r="D563" s="2" t="n">
        <v>305.183479106</v>
      </c>
      <c r="E563" s="2" t="n">
        <v>0.269663922962033</v>
      </c>
      <c r="F563" s="2" t="s">
        <v>14068</v>
      </c>
      <c r="G563" s="2" t="n">
        <v>200573</v>
      </c>
      <c r="H563" s="3" t="str">
        <f>HYPERLINK("http://funmeta.oebiotech.com/network/200573", "http://funmeta.oebiotech.com/network/200573")</f>
      </c>
      <c r="I563" s="2" t="s">
        <v>14069</v>
      </c>
      <c r="J563" s="2" t="s">
        <v>14070</v>
      </c>
      <c r="K563" s="2"/>
      <c r="L563" s="2"/>
      <c r="M563" s="2"/>
      <c r="N563" s="2" t="s">
        <v>14071</v>
      </c>
      <c r="O563" s="2" t="s">
        <v>14072</v>
      </c>
      <c r="P563" s="2" t="s">
        <v>14073</v>
      </c>
      <c r="Q563" s="2" t="s">
        <v>14074</v>
      </c>
      <c r="R563" s="2" t="s">
        <v>186</v>
      </c>
      <c r="S563" s="2" t="s">
        <v>187</v>
      </c>
      <c r="T563" s="2" t="s">
        <v>11522</v>
      </c>
      <c r="U563" s="2" t="s">
        <v>4773</v>
      </c>
      <c r="V563" s="2" t="s">
        <v>683</v>
      </c>
      <c r="W563" s="2"/>
    </row>
    <row r="564">
      <c r="A564" s="2" t="n">
        <v>421</v>
      </c>
      <c r="B564" s="2" t="s">
        <v>14075</v>
      </c>
      <c r="C564" s="2" t="s">
        <v>4783</v>
      </c>
      <c r="D564" s="2" t="n">
        <v>305.24860003</v>
      </c>
      <c r="E564" s="2" t="n">
        <v>5.58723866311104</v>
      </c>
      <c r="F564" s="2" t="s">
        <v>4785</v>
      </c>
      <c r="G564" s="2" t="n">
        <v>202295</v>
      </c>
      <c r="H564" s="3" t="str">
        <f>HYPERLINK("http://funmeta.oebiotech.com/network/202295", "http://funmeta.oebiotech.com/network/202295")</f>
      </c>
      <c r="I564" s="2" t="s">
        <v>4787</v>
      </c>
      <c r="J564" s="2"/>
      <c r="K564" s="2"/>
      <c r="L564" s="2"/>
      <c r="M564" s="2"/>
      <c r="N564" s="2" t="s">
        <v>4788</v>
      </c>
      <c r="O564" s="2"/>
      <c r="P564" s="2" t="s">
        <v>4789</v>
      </c>
      <c r="Q564" s="2" t="s">
        <v>4790</v>
      </c>
      <c r="R564" s="2" t="s">
        <v>794</v>
      </c>
      <c r="S564" s="2" t="s">
        <v>2971</v>
      </c>
      <c r="T564" s="2" t="s">
        <v>3921</v>
      </c>
      <c r="U564" s="2" t="s">
        <v>4784</v>
      </c>
      <c r="V564" s="2" t="s">
        <v>205</v>
      </c>
      <c r="W564" s="2"/>
    </row>
    <row r="565">
      <c r="A565" s="2" t="n">
        <v>422</v>
      </c>
      <c r="B565" s="2" t="s">
        <v>14076</v>
      </c>
      <c r="C565" s="2" t="s">
        <v>4791</v>
      </c>
      <c r="D565" s="2" t="n">
        <v>306.076529981</v>
      </c>
      <c r="E565" s="2" t="n">
        <v>6.46681650673924</v>
      </c>
      <c r="F565" s="2" t="s">
        <v>4793</v>
      </c>
      <c r="G565" s="2" t="n">
        <v>46883</v>
      </c>
      <c r="H565" s="3" t="str">
        <f>HYPERLINK("http://funmeta.oebiotech.com/network/46883", "http://funmeta.oebiotech.com/network/46883")</f>
      </c>
      <c r="I565" s="2" t="s">
        <v>4795</v>
      </c>
      <c r="J565" s="2" t="s">
        <v>4796</v>
      </c>
      <c r="K565" s="2"/>
      <c r="L565" s="2" t="s">
        <v>4797</v>
      </c>
      <c r="M565" s="2" t="s">
        <v>4798</v>
      </c>
      <c r="N565" s="2" t="s">
        <v>4799</v>
      </c>
      <c r="O565" s="2" t="s">
        <v>4800</v>
      </c>
      <c r="P565" s="2" t="s">
        <v>4801</v>
      </c>
      <c r="Q565" s="2" t="s">
        <v>4802</v>
      </c>
      <c r="R565" s="2" t="s">
        <v>36</v>
      </c>
      <c r="S565" s="2" t="s">
        <v>37</v>
      </c>
      <c r="T565" s="2" t="s">
        <v>69</v>
      </c>
      <c r="U565" s="2" t="s">
        <v>4792</v>
      </c>
      <c r="V565" s="2" t="s">
        <v>24</v>
      </c>
      <c r="W565" s="2" t="s">
        <v>39</v>
      </c>
    </row>
    <row r="566">
      <c r="A566" s="2" t="n">
        <v>423</v>
      </c>
      <c r="B566" s="2" t="s">
        <v>14077</v>
      </c>
      <c r="C566" s="2" t="s">
        <v>4803</v>
      </c>
      <c r="D566" s="2" t="n">
        <v>306.184145799</v>
      </c>
      <c r="E566" s="2" t="n">
        <v>2.11417569618373</v>
      </c>
      <c r="F566" s="2" t="s">
        <v>4805</v>
      </c>
      <c r="G566" s="2" t="n">
        <v>52246</v>
      </c>
      <c r="H566" s="3" t="str">
        <f>HYPERLINK("http://funmeta.oebiotech.com/network/52246", "http://funmeta.oebiotech.com/network/52246")</f>
      </c>
      <c r="I566" s="2" t="s">
        <v>4807</v>
      </c>
      <c r="J566" s="2"/>
      <c r="K566" s="2"/>
      <c r="L566" s="2"/>
      <c r="M566" s="2" t="s">
        <v>4808</v>
      </c>
      <c r="N566" s="2" t="s">
        <v>4809</v>
      </c>
      <c r="O566" s="2"/>
      <c r="P566" s="2" t="s">
        <v>4810</v>
      </c>
      <c r="Q566" s="2" t="s">
        <v>4811</v>
      </c>
      <c r="R566" s="2" t="s">
        <v>36</v>
      </c>
      <c r="S566" s="2" t="s">
        <v>37</v>
      </c>
      <c r="T566" s="2" t="s">
        <v>69</v>
      </c>
      <c r="U566" s="2" t="s">
        <v>4804</v>
      </c>
      <c r="V566" s="2" t="s">
        <v>86</v>
      </c>
      <c r="W566" s="2" t="s">
        <v>56</v>
      </c>
    </row>
    <row r="567">
      <c r="A567" s="2" t="n">
        <v>424</v>
      </c>
      <c r="B567" s="2" t="s">
        <v>14078</v>
      </c>
      <c r="C567" s="2" t="s">
        <v>4812</v>
      </c>
      <c r="D567" s="2" t="n">
        <v>306.944394876</v>
      </c>
      <c r="E567" s="2" t="n">
        <v>8.13040600839193</v>
      </c>
      <c r="F567" s="2" t="s">
        <v>4814</v>
      </c>
      <c r="G567" s="2" t="n">
        <v>64187</v>
      </c>
      <c r="H567" s="3" t="str">
        <f>HYPERLINK("http://funmeta.oebiotech.com/network/64187", "http://funmeta.oebiotech.com/network/64187")</f>
      </c>
      <c r="I567" s="2" t="s">
        <v>4816</v>
      </c>
      <c r="J567" s="2" t="s">
        <v>4817</v>
      </c>
      <c r="K567" s="2"/>
      <c r="L567" s="2"/>
      <c r="M567" s="2" t="s">
        <v>4818</v>
      </c>
      <c r="N567" s="2" t="s">
        <v>4819</v>
      </c>
      <c r="O567" s="2"/>
      <c r="P567" s="2" t="s">
        <v>4820</v>
      </c>
      <c r="Q567" s="2" t="s">
        <v>4821</v>
      </c>
      <c r="R567" s="2" t="s">
        <v>644</v>
      </c>
      <c r="S567" s="2" t="s">
        <v>1197</v>
      </c>
      <c r="T567" s="2" t="s">
        <v>215</v>
      </c>
      <c r="U567" s="2" t="s">
        <v>4813</v>
      </c>
      <c r="V567" s="2" t="s">
        <v>683</v>
      </c>
      <c r="W567" s="2"/>
    </row>
    <row r="568">
      <c r="A568" s="2" t="n">
        <v>425</v>
      </c>
      <c r="B568" s="2" t="s">
        <v>14079</v>
      </c>
      <c r="C568" s="2" t="s">
        <v>4822</v>
      </c>
      <c r="D568" s="2" t="n">
        <v>307.118712372</v>
      </c>
      <c r="E568" s="2" t="n">
        <v>2.53050312814831</v>
      </c>
      <c r="F568" s="2" t="s">
        <v>14080</v>
      </c>
      <c r="G568" s="2" t="n">
        <v>115425</v>
      </c>
      <c r="H568" s="3" t="str">
        <f>HYPERLINK("http://funmeta.oebiotech.com/network/115425", "http://funmeta.oebiotech.com/network/115425")</f>
      </c>
      <c r="I568" s="2" t="s">
        <v>14081</v>
      </c>
      <c r="J568" s="2"/>
      <c r="K568" s="2"/>
      <c r="L568" s="2"/>
      <c r="M568" s="2" t="s">
        <v>14082</v>
      </c>
      <c r="N568" s="2" t="s">
        <v>14083</v>
      </c>
      <c r="O568" s="2"/>
      <c r="P568" s="2" t="s">
        <v>14084</v>
      </c>
      <c r="Q568" s="2" t="s">
        <v>14085</v>
      </c>
      <c r="R568" s="2" t="s">
        <v>186</v>
      </c>
      <c r="S568" s="2" t="s">
        <v>187</v>
      </c>
      <c r="T568" s="2" t="s">
        <v>3454</v>
      </c>
      <c r="U568" s="2" t="s">
        <v>4823</v>
      </c>
      <c r="V568" s="2" t="s">
        <v>24</v>
      </c>
      <c r="W568" s="2" t="s">
        <v>56</v>
      </c>
    </row>
    <row r="569">
      <c r="A569" s="2" t="n">
        <v>425</v>
      </c>
      <c r="B569" s="2" t="s">
        <v>14086</v>
      </c>
      <c r="C569" s="2" t="s">
        <v>4822</v>
      </c>
      <c r="D569" s="2" t="n">
        <v>307.118712372</v>
      </c>
      <c r="E569" s="2" t="n">
        <v>2.53050312814831</v>
      </c>
      <c r="F569" s="2" t="s">
        <v>14087</v>
      </c>
      <c r="G569" s="2" t="n">
        <v>61267</v>
      </c>
      <c r="H569" s="3" t="str">
        <f>HYPERLINK("http://funmeta.oebiotech.com/network/61267", "http://funmeta.oebiotech.com/network/61267")</f>
      </c>
      <c r="I569" s="2" t="s">
        <v>14088</v>
      </c>
      <c r="J569" s="2" t="s">
        <v>14089</v>
      </c>
      <c r="K569" s="2"/>
      <c r="L569" s="2"/>
      <c r="M569" s="2"/>
      <c r="N569" s="2" t="s">
        <v>14090</v>
      </c>
      <c r="O569" s="2" t="s">
        <v>14091</v>
      </c>
      <c r="P569" s="2" t="s">
        <v>14092</v>
      </c>
      <c r="Q569" s="2" t="s">
        <v>14093</v>
      </c>
      <c r="R569" s="2" t="s">
        <v>114</v>
      </c>
      <c r="S569" s="2" t="s">
        <v>14094</v>
      </c>
      <c r="T569" s="2" t="s">
        <v>215</v>
      </c>
      <c r="U569" s="2" t="s">
        <v>4823</v>
      </c>
      <c r="V569" s="2" t="s">
        <v>24</v>
      </c>
      <c r="W569" s="2" t="s">
        <v>56</v>
      </c>
    </row>
    <row r="570">
      <c r="A570" s="2" t="n">
        <v>426</v>
      </c>
      <c r="B570" s="2" t="s">
        <v>14095</v>
      </c>
      <c r="C570" s="2" t="s">
        <v>4835</v>
      </c>
      <c r="D570" s="2" t="n">
        <v>307.158265401</v>
      </c>
      <c r="E570" s="2" t="n">
        <v>5.89438412847769</v>
      </c>
      <c r="F570" s="2" t="s">
        <v>4837</v>
      </c>
      <c r="G570" s="2" t="n">
        <v>210385</v>
      </c>
      <c r="H570" s="3" t="str">
        <f>HYPERLINK("http://funmeta.oebiotech.com/network/210385", "http://funmeta.oebiotech.com/network/210385")</f>
      </c>
      <c r="I570" s="2" t="s">
        <v>4839</v>
      </c>
      <c r="J570" s="2" t="s">
        <v>4840</v>
      </c>
      <c r="K570" s="2"/>
      <c r="L570" s="2"/>
      <c r="M570" s="2" t="s">
        <v>4841</v>
      </c>
      <c r="N570" s="2" t="s">
        <v>4842</v>
      </c>
      <c r="O570" s="2"/>
      <c r="P570" s="2" t="s">
        <v>4843</v>
      </c>
      <c r="Q570" s="2" t="s">
        <v>4844</v>
      </c>
      <c r="R570" s="2" t="s">
        <v>36</v>
      </c>
      <c r="S570" s="2" t="s">
        <v>37</v>
      </c>
      <c r="T570" s="2" t="s">
        <v>69</v>
      </c>
      <c r="U570" s="2" t="s">
        <v>4836</v>
      </c>
      <c r="V570" s="2" t="s">
        <v>86</v>
      </c>
      <c r="W570" s="2"/>
    </row>
    <row r="571">
      <c r="A571" s="2" t="n">
        <v>427</v>
      </c>
      <c r="B571" s="2" t="s">
        <v>14096</v>
      </c>
      <c r="C571" s="2" t="s">
        <v>4845</v>
      </c>
      <c r="D571" s="2" t="n">
        <v>307.19093307</v>
      </c>
      <c r="E571" s="2" t="n">
        <v>4.0563687928414</v>
      </c>
      <c r="F571" s="2" t="s">
        <v>4847</v>
      </c>
      <c r="G571" s="2" t="n">
        <v>56425</v>
      </c>
      <c r="H571" s="3" t="str">
        <f>HYPERLINK("http://funmeta.oebiotech.com/network/56425", "http://funmeta.oebiotech.com/network/56425")</f>
      </c>
      <c r="I571" s="2" t="s">
        <v>4849</v>
      </c>
      <c r="J571" s="2" t="s">
        <v>4850</v>
      </c>
      <c r="K571" s="2"/>
      <c r="L571" s="2"/>
      <c r="M571" s="2" t="s">
        <v>4851</v>
      </c>
      <c r="N571" s="2" t="s">
        <v>4852</v>
      </c>
      <c r="O571" s="2"/>
      <c r="P571" s="2" t="s">
        <v>4853</v>
      </c>
      <c r="Q571" s="2" t="s">
        <v>4854</v>
      </c>
      <c r="R571" s="2" t="s">
        <v>114</v>
      </c>
      <c r="S571" s="2" t="s">
        <v>4855</v>
      </c>
      <c r="T571" s="2" t="s">
        <v>215</v>
      </c>
      <c r="U571" s="2" t="s">
        <v>4846</v>
      </c>
      <c r="V571" s="2" t="s">
        <v>161</v>
      </c>
      <c r="W571" s="2" t="s">
        <v>56</v>
      </c>
    </row>
    <row r="572">
      <c r="A572" s="2" t="n">
        <v>428</v>
      </c>
      <c r="B572" s="2" t="s">
        <v>14097</v>
      </c>
      <c r="C572" s="2" t="s">
        <v>4856</v>
      </c>
      <c r="D572" s="2" t="n">
        <v>307.264254396</v>
      </c>
      <c r="E572" s="2" t="n">
        <v>5.87864201712701</v>
      </c>
      <c r="F572" s="2" t="s">
        <v>14098</v>
      </c>
      <c r="G572" s="2" t="n">
        <v>1397</v>
      </c>
      <c r="H572" s="3" t="str">
        <f>HYPERLINK("http://funmeta.oebiotech.com/network/1397", "http://funmeta.oebiotech.com/network/1397")</f>
      </c>
      <c r="I572" s="2" t="s">
        <v>14099</v>
      </c>
      <c r="J572" s="2" t="s">
        <v>14100</v>
      </c>
      <c r="K572" s="2" t="s">
        <v>14101</v>
      </c>
      <c r="L572" s="2" t="s">
        <v>14102</v>
      </c>
      <c r="M572" s="2" t="s">
        <v>14103</v>
      </c>
      <c r="N572" s="2" t="s">
        <v>14104</v>
      </c>
      <c r="O572" s="2" t="s">
        <v>14105</v>
      </c>
      <c r="P572" s="2" t="s">
        <v>14106</v>
      </c>
      <c r="Q572" s="2" t="s">
        <v>14107</v>
      </c>
      <c r="R572" s="2" t="s">
        <v>794</v>
      </c>
      <c r="S572" s="2" t="s">
        <v>795</v>
      </c>
      <c r="T572" s="2" t="s">
        <v>796</v>
      </c>
      <c r="U572" s="2" t="s">
        <v>4857</v>
      </c>
      <c r="V572" s="2" t="s">
        <v>24</v>
      </c>
      <c r="W572" s="2" t="s">
        <v>56</v>
      </c>
    </row>
    <row r="573">
      <c r="A573" s="2" t="n">
        <v>428</v>
      </c>
      <c r="B573" s="2" t="s">
        <v>14108</v>
      </c>
      <c r="C573" s="2" t="s">
        <v>4856</v>
      </c>
      <c r="D573" s="2" t="n">
        <v>307.264254396</v>
      </c>
      <c r="E573" s="2" t="n">
        <v>5.87864201712701</v>
      </c>
      <c r="F573" s="2" t="s">
        <v>14109</v>
      </c>
      <c r="G573" s="2" t="n">
        <v>60500</v>
      </c>
      <c r="H573" s="3" t="str">
        <f>HYPERLINK("http://funmeta.oebiotech.com/network/60500", "http://funmeta.oebiotech.com/network/60500")</f>
      </c>
      <c r="I573" s="2" t="s">
        <v>14110</v>
      </c>
      <c r="J573" s="2"/>
      <c r="K573" s="2"/>
      <c r="L573" s="2" t="s">
        <v>14111</v>
      </c>
      <c r="M573" s="2" t="s">
        <v>14112</v>
      </c>
      <c r="N573" s="2" t="s">
        <v>14113</v>
      </c>
      <c r="O573" s="2" t="s">
        <v>14114</v>
      </c>
      <c r="P573" s="2" t="s">
        <v>14115</v>
      </c>
      <c r="Q573" s="2" t="s">
        <v>14116</v>
      </c>
      <c r="R573" s="2" t="s">
        <v>794</v>
      </c>
      <c r="S573" s="2" t="s">
        <v>1098</v>
      </c>
      <c r="T573" s="2" t="s">
        <v>4662</v>
      </c>
      <c r="U573" s="2" t="s">
        <v>4857</v>
      </c>
      <c r="V573" s="2" t="s">
        <v>24</v>
      </c>
      <c r="W573" s="2" t="s">
        <v>56</v>
      </c>
    </row>
    <row r="574">
      <c r="A574" s="2" t="n">
        <v>429</v>
      </c>
      <c r="B574" s="2" t="s">
        <v>14117</v>
      </c>
      <c r="C574" s="2" t="s">
        <v>4871</v>
      </c>
      <c r="D574" s="2" t="n">
        <v>308.186732357</v>
      </c>
      <c r="E574" s="2" t="n">
        <v>16.8381302993249</v>
      </c>
      <c r="F574" s="2" t="s">
        <v>14118</v>
      </c>
      <c r="G574" s="2" t="n">
        <v>53417</v>
      </c>
      <c r="H574" s="3" t="str">
        <f>HYPERLINK("http://funmeta.oebiotech.com/network/53417", "http://funmeta.oebiotech.com/network/53417")</f>
      </c>
      <c r="I574" s="2" t="s">
        <v>14119</v>
      </c>
      <c r="J574" s="2" t="s">
        <v>14120</v>
      </c>
      <c r="K574" s="2"/>
      <c r="L574" s="2" t="s">
        <v>14121</v>
      </c>
      <c r="M574" s="2" t="s">
        <v>14122</v>
      </c>
      <c r="N574" s="2" t="s">
        <v>14123</v>
      </c>
      <c r="O574" s="2" t="s">
        <v>14124</v>
      </c>
      <c r="P574" s="2" t="s">
        <v>14125</v>
      </c>
      <c r="Q574" s="2" t="s">
        <v>14126</v>
      </c>
      <c r="R574" s="2" t="s">
        <v>186</v>
      </c>
      <c r="S574" s="2" t="s">
        <v>4751</v>
      </c>
      <c r="T574" s="2" t="s">
        <v>215</v>
      </c>
      <c r="U574" s="2" t="s">
        <v>4872</v>
      </c>
      <c r="V574" s="2" t="s">
        <v>24</v>
      </c>
      <c r="W574" s="2" t="s">
        <v>56</v>
      </c>
    </row>
    <row r="575">
      <c r="A575" s="2" t="n">
        <v>429</v>
      </c>
      <c r="B575" s="2" t="s">
        <v>14127</v>
      </c>
      <c r="C575" s="2" t="s">
        <v>4871</v>
      </c>
      <c r="D575" s="2" t="n">
        <v>308.186732357</v>
      </c>
      <c r="E575" s="2" t="n">
        <v>16.8381302993249</v>
      </c>
      <c r="F575" s="2" t="s">
        <v>14128</v>
      </c>
      <c r="G575" s="2" t="n">
        <v>53427</v>
      </c>
      <c r="H575" s="3" t="str">
        <f>HYPERLINK("http://funmeta.oebiotech.com/network/53427", "http://funmeta.oebiotech.com/network/53427")</f>
      </c>
      <c r="I575" s="2" t="s">
        <v>14129</v>
      </c>
      <c r="J575" s="2" t="s">
        <v>14130</v>
      </c>
      <c r="K575" s="2"/>
      <c r="L575" s="2" t="s">
        <v>14131</v>
      </c>
      <c r="M575" s="2" t="s">
        <v>14132</v>
      </c>
      <c r="N575" s="2" t="s">
        <v>14133</v>
      </c>
      <c r="O575" s="2" t="s">
        <v>14134</v>
      </c>
      <c r="P575" s="2" t="s">
        <v>14135</v>
      </c>
      <c r="Q575" s="2" t="s">
        <v>14136</v>
      </c>
      <c r="R575" s="2" t="s">
        <v>186</v>
      </c>
      <c r="S575" s="2" t="s">
        <v>8491</v>
      </c>
      <c r="T575" s="2" t="s">
        <v>215</v>
      </c>
      <c r="U575" s="2" t="s">
        <v>4872</v>
      </c>
      <c r="V575" s="2" t="s">
        <v>24</v>
      </c>
      <c r="W575" s="2" t="s">
        <v>56</v>
      </c>
    </row>
    <row r="576">
      <c r="A576" s="2" t="n">
        <v>430</v>
      </c>
      <c r="B576" s="2" t="s">
        <v>14137</v>
      </c>
      <c r="C576" s="2" t="s">
        <v>4884</v>
      </c>
      <c r="D576" s="2" t="n">
        <v>309.085636156</v>
      </c>
      <c r="E576" s="2" t="n">
        <v>0.68618277576628</v>
      </c>
      <c r="F576" s="2" t="s">
        <v>4886</v>
      </c>
      <c r="G576" s="2" t="n">
        <v>208187</v>
      </c>
      <c r="H576" s="3" t="str">
        <f>HYPERLINK("http://funmeta.oebiotech.com/network/208187", "http://funmeta.oebiotech.com/network/208187")</f>
      </c>
      <c r="I576" s="2" t="s">
        <v>4888</v>
      </c>
      <c r="J576" s="2"/>
      <c r="K576" s="2"/>
      <c r="L576" s="2"/>
      <c r="M576" s="2"/>
      <c r="N576" s="2" t="s">
        <v>4889</v>
      </c>
      <c r="O576" s="2"/>
      <c r="P576" s="2" t="s">
        <v>4890</v>
      </c>
      <c r="Q576" s="2" t="s">
        <v>4891</v>
      </c>
      <c r="R576" s="2" t="s">
        <v>186</v>
      </c>
      <c r="S576" s="2" t="s">
        <v>187</v>
      </c>
      <c r="T576" s="2" t="s">
        <v>1760</v>
      </c>
      <c r="U576" s="2" t="s">
        <v>4885</v>
      </c>
      <c r="V576" s="2" t="s">
        <v>24</v>
      </c>
      <c r="W576" s="2"/>
    </row>
    <row r="577">
      <c r="A577" s="2" t="n">
        <v>431</v>
      </c>
      <c r="B577" s="2" t="s">
        <v>14138</v>
      </c>
      <c r="C577" s="2" t="s">
        <v>4892</v>
      </c>
      <c r="D577" s="2" t="n">
        <v>309.13569984</v>
      </c>
      <c r="E577" s="2" t="n">
        <v>5.94004790336181</v>
      </c>
      <c r="F577" s="2" t="s">
        <v>4894</v>
      </c>
      <c r="G577" s="2" t="n">
        <v>208239</v>
      </c>
      <c r="H577" s="3" t="str">
        <f>HYPERLINK("http://funmeta.oebiotech.com/network/208239", "http://funmeta.oebiotech.com/network/208239")</f>
      </c>
      <c r="I577" s="2" t="s">
        <v>4896</v>
      </c>
      <c r="J577" s="2" t="s">
        <v>4897</v>
      </c>
      <c r="K577" s="2"/>
      <c r="L577" s="2"/>
      <c r="M577" s="2"/>
      <c r="N577" s="2" t="s">
        <v>4898</v>
      </c>
      <c r="O577" s="2"/>
      <c r="P577" s="2" t="s">
        <v>4899</v>
      </c>
      <c r="Q577" s="2" t="s">
        <v>4900</v>
      </c>
      <c r="R577" s="2" t="s">
        <v>129</v>
      </c>
      <c r="S577" s="2" t="s">
        <v>130</v>
      </c>
      <c r="T577" s="2" t="s">
        <v>4901</v>
      </c>
      <c r="U577" s="2" t="s">
        <v>4893</v>
      </c>
      <c r="V577" s="2" t="s">
        <v>24</v>
      </c>
      <c r="W577" s="2"/>
    </row>
    <row r="578">
      <c r="A578" s="2" t="n">
        <v>432</v>
      </c>
      <c r="B578" s="2" t="s">
        <v>14139</v>
      </c>
      <c r="C578" s="2" t="s">
        <v>4902</v>
      </c>
      <c r="D578" s="2" t="n">
        <v>309.1757453</v>
      </c>
      <c r="E578" s="2" t="n">
        <v>5.32044576792119</v>
      </c>
      <c r="F578" s="2" t="s">
        <v>14140</v>
      </c>
      <c r="G578" s="2" t="n">
        <v>209976</v>
      </c>
      <c r="H578" s="3" t="str">
        <f>HYPERLINK("http://funmeta.oebiotech.com/network/209976", "http://funmeta.oebiotech.com/network/209976")</f>
      </c>
      <c r="I578" s="2" t="s">
        <v>14141</v>
      </c>
      <c r="J578" s="2" t="s">
        <v>14142</v>
      </c>
      <c r="K578" s="2"/>
      <c r="L578" s="2"/>
      <c r="M578" s="2"/>
      <c r="N578" s="2" t="s">
        <v>14143</v>
      </c>
      <c r="O578" s="2"/>
      <c r="P578" s="2" t="s">
        <v>14144</v>
      </c>
      <c r="Q578" s="2" t="s">
        <v>14145</v>
      </c>
      <c r="R578" s="2" t="s">
        <v>213</v>
      </c>
      <c r="S578" s="2" t="s">
        <v>14146</v>
      </c>
      <c r="T578" s="2" t="s">
        <v>14147</v>
      </c>
      <c r="U578" s="2" t="s">
        <v>4903</v>
      </c>
      <c r="V578" s="2" t="s">
        <v>86</v>
      </c>
      <c r="W578" s="2"/>
    </row>
    <row r="579">
      <c r="A579" s="2" t="n">
        <v>432</v>
      </c>
      <c r="B579" s="2" t="s">
        <v>14148</v>
      </c>
      <c r="C579" s="2" t="s">
        <v>4902</v>
      </c>
      <c r="D579" s="2" t="n">
        <v>309.1757453</v>
      </c>
      <c r="E579" s="2" t="n">
        <v>5.32044576792119</v>
      </c>
      <c r="F579" s="2" t="s">
        <v>14149</v>
      </c>
      <c r="G579" s="2" t="n">
        <v>6579</v>
      </c>
      <c r="H579" s="3" t="str">
        <f>HYPERLINK("http://funmeta.oebiotech.com/network/6579", "http://funmeta.oebiotech.com/network/6579")</f>
      </c>
      <c r="I579" s="2" t="s">
        <v>14150</v>
      </c>
      <c r="J579" s="2" t="s">
        <v>14151</v>
      </c>
      <c r="K579" s="2" t="s">
        <v>14152</v>
      </c>
      <c r="L579" s="2"/>
      <c r="M579" s="2"/>
      <c r="N579" s="2" t="s">
        <v>14153</v>
      </c>
      <c r="O579" s="2"/>
      <c r="P579" s="2" t="s">
        <v>14154</v>
      </c>
      <c r="Q579" s="2" t="s">
        <v>14155</v>
      </c>
      <c r="R579" s="2" t="s">
        <v>213</v>
      </c>
      <c r="S579" s="2" t="s">
        <v>466</v>
      </c>
      <c r="T579" s="2" t="s">
        <v>215</v>
      </c>
      <c r="U579" s="2" t="s">
        <v>4903</v>
      </c>
      <c r="V579" s="2" t="s">
        <v>86</v>
      </c>
      <c r="W579" s="2"/>
    </row>
    <row r="580">
      <c r="A580" s="2" t="n">
        <v>433</v>
      </c>
      <c r="B580" s="2" t="s">
        <v>14156</v>
      </c>
      <c r="C580" s="2" t="s">
        <v>4914</v>
      </c>
      <c r="D580" s="2" t="n">
        <v>309.217816518</v>
      </c>
      <c r="E580" s="2" t="n">
        <v>13.7943913810386</v>
      </c>
      <c r="F580" s="2" t="s">
        <v>4916</v>
      </c>
      <c r="G580" s="2" t="n">
        <v>198537</v>
      </c>
      <c r="H580" s="3" t="str">
        <f>HYPERLINK("http://funmeta.oebiotech.com/network/198537", "http://funmeta.oebiotech.com/network/198537")</f>
      </c>
      <c r="I580" s="2" t="s">
        <v>4918</v>
      </c>
      <c r="J580" s="2"/>
      <c r="K580" s="2"/>
      <c r="L580" s="2"/>
      <c r="M580" s="2"/>
      <c r="N580" s="2" t="s">
        <v>4919</v>
      </c>
      <c r="O580" s="2"/>
      <c r="P580" s="2" t="s">
        <v>4920</v>
      </c>
      <c r="Q580" s="2" t="s">
        <v>4921</v>
      </c>
      <c r="R580" s="2" t="s">
        <v>36</v>
      </c>
      <c r="S580" s="2" t="s">
        <v>37</v>
      </c>
      <c r="T580" s="2" t="s">
        <v>69</v>
      </c>
      <c r="U580" s="2" t="s">
        <v>4915</v>
      </c>
      <c r="V580" s="2" t="s">
        <v>161</v>
      </c>
      <c r="W580" s="2"/>
    </row>
    <row r="581">
      <c r="A581" s="2" t="n">
        <v>434</v>
      </c>
      <c r="B581" s="2" t="s">
        <v>14157</v>
      </c>
      <c r="C581" s="2" t="s">
        <v>4922</v>
      </c>
      <c r="D581" s="2" t="n">
        <v>309.27990446</v>
      </c>
      <c r="E581" s="2" t="n">
        <v>13.6449353317567</v>
      </c>
      <c r="F581" s="2" t="s">
        <v>14158</v>
      </c>
      <c r="G581" s="2" t="n">
        <v>7546</v>
      </c>
      <c r="H581" s="3" t="str">
        <f>HYPERLINK("http://funmeta.oebiotech.com/network/7546", "http://funmeta.oebiotech.com/network/7546")</f>
      </c>
      <c r="I581" s="2" t="s">
        <v>14159</v>
      </c>
      <c r="J581" s="2" t="s">
        <v>14160</v>
      </c>
      <c r="K581" s="2" t="s">
        <v>14161</v>
      </c>
      <c r="L581" s="2" t="s">
        <v>14162</v>
      </c>
      <c r="M581" s="2"/>
      <c r="N581" s="2" t="s">
        <v>14163</v>
      </c>
      <c r="O581" s="2" t="s">
        <v>14164</v>
      </c>
      <c r="P581" s="2" t="s">
        <v>14165</v>
      </c>
      <c r="Q581" s="2" t="s">
        <v>14166</v>
      </c>
      <c r="R581" s="2" t="s">
        <v>794</v>
      </c>
      <c r="S581" s="2" t="s">
        <v>795</v>
      </c>
      <c r="T581" s="2" t="s">
        <v>1870</v>
      </c>
      <c r="U581" s="2" t="s">
        <v>4923</v>
      </c>
      <c r="V581" s="2" t="s">
        <v>24</v>
      </c>
      <c r="W581" s="2" t="s">
        <v>56</v>
      </c>
    </row>
    <row r="582">
      <c r="A582" s="2" t="n">
        <v>434</v>
      </c>
      <c r="B582" s="2" t="s">
        <v>14167</v>
      </c>
      <c r="C582" s="2" t="s">
        <v>4922</v>
      </c>
      <c r="D582" s="2" t="n">
        <v>309.27990446</v>
      </c>
      <c r="E582" s="2" t="n">
        <v>13.6449353317567</v>
      </c>
      <c r="F582" s="2" t="s">
        <v>14168</v>
      </c>
      <c r="G582" s="2" t="n">
        <v>593</v>
      </c>
      <c r="H582" s="3" t="str">
        <f>HYPERLINK("http://funmeta.oebiotech.com/network/593", "http://funmeta.oebiotech.com/network/593")</f>
      </c>
      <c r="I582" s="2" t="s">
        <v>14169</v>
      </c>
      <c r="J582" s="2" t="s">
        <v>14170</v>
      </c>
      <c r="K582" s="2" t="s">
        <v>14171</v>
      </c>
      <c r="L582" s="2" t="s">
        <v>14172</v>
      </c>
      <c r="M582" s="2" t="s">
        <v>14173</v>
      </c>
      <c r="N582" s="2" t="s">
        <v>14174</v>
      </c>
      <c r="O582" s="2" t="s">
        <v>14175</v>
      </c>
      <c r="P582" s="2" t="s">
        <v>14176</v>
      </c>
      <c r="Q582" s="2" t="s">
        <v>14177</v>
      </c>
      <c r="R582" s="2" t="s">
        <v>794</v>
      </c>
      <c r="S582" s="2" t="s">
        <v>795</v>
      </c>
      <c r="T582" s="2" t="s">
        <v>796</v>
      </c>
      <c r="U582" s="2" t="s">
        <v>4923</v>
      </c>
      <c r="V582" s="2" t="s">
        <v>24</v>
      </c>
      <c r="W582" s="2" t="s">
        <v>56</v>
      </c>
    </row>
    <row r="583">
      <c r="A583" s="2" t="n">
        <v>435</v>
      </c>
      <c r="B583" s="2" t="s">
        <v>14178</v>
      </c>
      <c r="C583" s="2" t="s">
        <v>4936</v>
      </c>
      <c r="D583" s="2" t="n">
        <v>310.044079222</v>
      </c>
      <c r="E583" s="2" t="n">
        <v>1.61319105208997</v>
      </c>
      <c r="F583" s="2" t="s">
        <v>4938</v>
      </c>
      <c r="G583" s="2" t="n">
        <v>206004</v>
      </c>
      <c r="H583" s="3" t="str">
        <f>HYPERLINK("http://funmeta.oebiotech.com/network/206004", "http://funmeta.oebiotech.com/network/206004")</f>
      </c>
      <c r="I583" s="2" t="s">
        <v>4940</v>
      </c>
      <c r="J583" s="2" t="s">
        <v>4941</v>
      </c>
      <c r="K583" s="2"/>
      <c r="L583" s="2" t="s">
        <v>4942</v>
      </c>
      <c r="M583" s="2" t="s">
        <v>4943</v>
      </c>
      <c r="N583" s="2" t="s">
        <v>4944</v>
      </c>
      <c r="O583" s="2" t="s">
        <v>4945</v>
      </c>
      <c r="P583" s="2" t="s">
        <v>4946</v>
      </c>
      <c r="Q583" s="2" t="s">
        <v>4947</v>
      </c>
      <c r="R583" s="2" t="s">
        <v>114</v>
      </c>
      <c r="S583" s="2" t="s">
        <v>877</v>
      </c>
      <c r="T583" s="2" t="s">
        <v>215</v>
      </c>
      <c r="U583" s="2" t="s">
        <v>4937</v>
      </c>
      <c r="V583" s="2" t="s">
        <v>86</v>
      </c>
      <c r="W583" s="2" t="s">
        <v>101</v>
      </c>
    </row>
    <row r="584">
      <c r="A584" s="2" t="n">
        <v>436</v>
      </c>
      <c r="B584" s="2" t="s">
        <v>14179</v>
      </c>
      <c r="C584" s="2" t="s">
        <v>4948</v>
      </c>
      <c r="D584" s="2" t="n">
        <v>310.114350967</v>
      </c>
      <c r="E584" s="2" t="n">
        <v>0.78769477202045</v>
      </c>
      <c r="F584" s="2" t="s">
        <v>4950</v>
      </c>
      <c r="G584" s="2" t="n">
        <v>62028</v>
      </c>
      <c r="H584" s="3" t="str">
        <f>HYPERLINK("http://funmeta.oebiotech.com/network/62028", "http://funmeta.oebiotech.com/network/62028")</f>
      </c>
      <c r="I584" s="2" t="s">
        <v>4952</v>
      </c>
      <c r="J584" s="2"/>
      <c r="K584" s="2"/>
      <c r="L584" s="2"/>
      <c r="M584" s="2" t="s">
        <v>4953</v>
      </c>
      <c r="N584" s="2" t="s">
        <v>4954</v>
      </c>
      <c r="O584" s="2" t="s">
        <v>4955</v>
      </c>
      <c r="P584" s="2" t="s">
        <v>4956</v>
      </c>
      <c r="Q584" s="2" t="s">
        <v>4957</v>
      </c>
      <c r="R584" s="2" t="s">
        <v>36</v>
      </c>
      <c r="S584" s="2" t="s">
        <v>37</v>
      </c>
      <c r="T584" s="2" t="s">
        <v>69</v>
      </c>
      <c r="U584" s="2" t="s">
        <v>4949</v>
      </c>
      <c r="V584" s="2" t="s">
        <v>205</v>
      </c>
      <c r="W584" s="2" t="s">
        <v>39</v>
      </c>
    </row>
    <row r="585">
      <c r="A585" s="2" t="n">
        <v>437</v>
      </c>
      <c r="B585" s="2" t="s">
        <v>14180</v>
      </c>
      <c r="C585" s="2" t="s">
        <v>4958</v>
      </c>
      <c r="D585" s="2" t="n">
        <v>310.156100928</v>
      </c>
      <c r="E585" s="2" t="n">
        <v>5.22625839552557</v>
      </c>
      <c r="F585" s="2" t="s">
        <v>4960</v>
      </c>
      <c r="G585" s="2" t="n">
        <v>200055</v>
      </c>
      <c r="H585" s="3" t="str">
        <f>HYPERLINK("http://funmeta.oebiotech.com/network/200055", "http://funmeta.oebiotech.com/network/200055")</f>
      </c>
      <c r="I585" s="2" t="s">
        <v>4962</v>
      </c>
      <c r="J585" s="2" t="s">
        <v>4963</v>
      </c>
      <c r="K585" s="2"/>
      <c r="L585" s="2"/>
      <c r="M585" s="2"/>
      <c r="N585" s="2" t="s">
        <v>4964</v>
      </c>
      <c r="O585" s="2"/>
      <c r="P585" s="2" t="s">
        <v>4965</v>
      </c>
      <c r="Q585" s="2" t="s">
        <v>4966</v>
      </c>
      <c r="R585" s="2" t="s">
        <v>114</v>
      </c>
      <c r="S585" s="2" t="s">
        <v>4967</v>
      </c>
      <c r="T585" s="2" t="s">
        <v>215</v>
      </c>
      <c r="U585" s="2" t="s">
        <v>4959</v>
      </c>
      <c r="V585" s="2" t="s">
        <v>24</v>
      </c>
      <c r="W585" s="2"/>
    </row>
    <row r="586">
      <c r="A586" s="2" t="n">
        <v>438</v>
      </c>
      <c r="B586" s="2" t="s">
        <v>14181</v>
      </c>
      <c r="C586" s="2" t="s">
        <v>4968</v>
      </c>
      <c r="D586" s="2" t="n">
        <v>310.217638555</v>
      </c>
      <c r="E586" s="2" t="n">
        <v>4.37919911401144</v>
      </c>
      <c r="F586" s="2" t="s">
        <v>4970</v>
      </c>
      <c r="G586" s="2" t="n">
        <v>53093</v>
      </c>
      <c r="H586" s="3" t="str">
        <f>HYPERLINK("http://funmeta.oebiotech.com/network/53093", "http://funmeta.oebiotech.com/network/53093")</f>
      </c>
      <c r="I586" s="2" t="s">
        <v>4972</v>
      </c>
      <c r="J586" s="2" t="s">
        <v>4973</v>
      </c>
      <c r="K586" s="2"/>
      <c r="L586" s="2" t="s">
        <v>4974</v>
      </c>
      <c r="M586" s="2" t="s">
        <v>4975</v>
      </c>
      <c r="N586" s="2" t="s">
        <v>4976</v>
      </c>
      <c r="O586" s="2" t="s">
        <v>4977</v>
      </c>
      <c r="P586" s="2" t="s">
        <v>4978</v>
      </c>
      <c r="Q586" s="2" t="s">
        <v>4979</v>
      </c>
      <c r="R586" s="2" t="s">
        <v>601</v>
      </c>
      <c r="S586" s="2" t="s">
        <v>602</v>
      </c>
      <c r="T586" s="2" t="s">
        <v>1800</v>
      </c>
      <c r="U586" s="2" t="s">
        <v>4969</v>
      </c>
      <c r="V586" s="2" t="s">
        <v>24</v>
      </c>
      <c r="W586" s="2" t="s">
        <v>101</v>
      </c>
    </row>
    <row r="587">
      <c r="A587" s="2" t="n">
        <v>439</v>
      </c>
      <c r="B587" s="2" t="s">
        <v>14182</v>
      </c>
      <c r="C587" s="2" t="s">
        <v>4980</v>
      </c>
      <c r="D587" s="2" t="n">
        <v>311.113622686</v>
      </c>
      <c r="E587" s="2" t="n">
        <v>0.323681983324717</v>
      </c>
      <c r="F587" s="2" t="s">
        <v>14183</v>
      </c>
      <c r="G587" s="2" t="n">
        <v>64013</v>
      </c>
      <c r="H587" s="3" t="str">
        <f>HYPERLINK("http://funmeta.oebiotech.com/network/64013", "http://funmeta.oebiotech.com/network/64013")</f>
      </c>
      <c r="I587" s="2" t="s">
        <v>14184</v>
      </c>
      <c r="J587" s="2" t="s">
        <v>14185</v>
      </c>
      <c r="K587" s="2"/>
      <c r="L587" s="2"/>
      <c r="M587" s="2" t="s">
        <v>14186</v>
      </c>
      <c r="N587" s="2" t="s">
        <v>14187</v>
      </c>
      <c r="O587" s="2" t="s">
        <v>14188</v>
      </c>
      <c r="P587" s="2" t="s">
        <v>14189</v>
      </c>
      <c r="Q587" s="2" t="s">
        <v>14190</v>
      </c>
      <c r="R587" s="2" t="s">
        <v>186</v>
      </c>
      <c r="S587" s="2" t="s">
        <v>911</v>
      </c>
      <c r="T587" s="2" t="s">
        <v>2144</v>
      </c>
      <c r="U587" s="2" t="s">
        <v>4981</v>
      </c>
      <c r="V587" s="2" t="s">
        <v>205</v>
      </c>
      <c r="W587" s="2"/>
    </row>
    <row r="588">
      <c r="A588" s="2" t="n">
        <v>439</v>
      </c>
      <c r="B588" s="2" t="s">
        <v>14191</v>
      </c>
      <c r="C588" s="2" t="s">
        <v>4980</v>
      </c>
      <c r="D588" s="2" t="n">
        <v>311.113622686</v>
      </c>
      <c r="E588" s="2" t="n">
        <v>0.323681983324717</v>
      </c>
      <c r="F588" s="2" t="s">
        <v>14192</v>
      </c>
      <c r="G588" s="2" t="n">
        <v>64661</v>
      </c>
      <c r="H588" s="3" t="str">
        <f>HYPERLINK("http://funmeta.oebiotech.com/network/64661", "http://funmeta.oebiotech.com/network/64661")</f>
      </c>
      <c r="I588" s="2" t="s">
        <v>14193</v>
      </c>
      <c r="J588" s="2" t="s">
        <v>14194</v>
      </c>
      <c r="K588" s="2"/>
      <c r="L588" s="2"/>
      <c r="M588" s="2"/>
      <c r="N588" s="2" t="s">
        <v>14195</v>
      </c>
      <c r="O588" s="2" t="s">
        <v>14196</v>
      </c>
      <c r="P588" s="2" t="s">
        <v>14197</v>
      </c>
      <c r="Q588" s="2" t="s">
        <v>14198</v>
      </c>
      <c r="R588" s="2" t="s">
        <v>114</v>
      </c>
      <c r="S588" s="2" t="s">
        <v>1646</v>
      </c>
      <c r="T588" s="2" t="s">
        <v>1647</v>
      </c>
      <c r="U588" s="2" t="s">
        <v>4981</v>
      </c>
      <c r="V588" s="2" t="s">
        <v>205</v>
      </c>
      <c r="W588" s="2"/>
    </row>
    <row r="589">
      <c r="A589" s="2" t="n">
        <v>440</v>
      </c>
      <c r="B589" s="2" t="s">
        <v>14199</v>
      </c>
      <c r="C589" s="2" t="s">
        <v>4993</v>
      </c>
      <c r="D589" s="2" t="n">
        <v>311.22278351</v>
      </c>
      <c r="E589" s="2" t="n">
        <v>18.1163268649823</v>
      </c>
      <c r="F589" s="2" t="s">
        <v>14200</v>
      </c>
      <c r="G589" s="2" t="n">
        <v>2972</v>
      </c>
      <c r="H589" s="3" t="str">
        <f>HYPERLINK("http://funmeta.oebiotech.com/network/2972", "http://funmeta.oebiotech.com/network/2972")</f>
      </c>
      <c r="I589" s="2" t="s">
        <v>14201</v>
      </c>
      <c r="J589" s="2" t="s">
        <v>14202</v>
      </c>
      <c r="K589" s="2" t="s">
        <v>14203</v>
      </c>
      <c r="L589" s="2" t="s">
        <v>14204</v>
      </c>
      <c r="M589" s="2" t="s">
        <v>14205</v>
      </c>
      <c r="N589" s="2" t="s">
        <v>14206</v>
      </c>
      <c r="O589" s="2" t="s">
        <v>14207</v>
      </c>
      <c r="P589" s="2" t="s">
        <v>14208</v>
      </c>
      <c r="Q589" s="2" t="s">
        <v>14209</v>
      </c>
      <c r="R589" s="2" t="s">
        <v>794</v>
      </c>
      <c r="S589" s="2" t="s">
        <v>795</v>
      </c>
      <c r="T589" s="2" t="s">
        <v>2391</v>
      </c>
      <c r="U589" s="2" t="s">
        <v>4994</v>
      </c>
      <c r="V589" s="2" t="s">
        <v>24</v>
      </c>
      <c r="W589" s="2" t="s">
        <v>56</v>
      </c>
    </row>
    <row r="590">
      <c r="A590" s="2" t="n">
        <v>440</v>
      </c>
      <c r="B590" s="2" t="s">
        <v>14210</v>
      </c>
      <c r="C590" s="2" t="s">
        <v>4993</v>
      </c>
      <c r="D590" s="2" t="n">
        <v>311.222783512</v>
      </c>
      <c r="E590" s="2" t="n">
        <v>18.1163268649823</v>
      </c>
      <c r="F590" s="2" t="s">
        <v>14211</v>
      </c>
      <c r="G590" s="2" t="n">
        <v>2989</v>
      </c>
      <c r="H590" s="3" t="str">
        <f>HYPERLINK("http://funmeta.oebiotech.com/network/2989", "http://funmeta.oebiotech.com/network/2989")</f>
      </c>
      <c r="I590" s="2" t="s">
        <v>14212</v>
      </c>
      <c r="J590" s="2" t="s">
        <v>14213</v>
      </c>
      <c r="K590" s="2" t="s">
        <v>14214</v>
      </c>
      <c r="L590" s="2" t="s">
        <v>14215</v>
      </c>
      <c r="M590" s="2" t="s">
        <v>14216</v>
      </c>
      <c r="N590" s="2" t="s">
        <v>14217</v>
      </c>
      <c r="O590" s="2" t="s">
        <v>14218</v>
      </c>
      <c r="P590" s="2" t="s">
        <v>14219</v>
      </c>
      <c r="Q590" s="2" t="s">
        <v>14220</v>
      </c>
      <c r="R590" s="2" t="s">
        <v>794</v>
      </c>
      <c r="S590" s="2" t="s">
        <v>795</v>
      </c>
      <c r="T590" s="2" t="s">
        <v>2391</v>
      </c>
      <c r="U590" s="2" t="s">
        <v>4994</v>
      </c>
      <c r="V590" s="2" t="s">
        <v>24</v>
      </c>
      <c r="W590" s="2" t="s">
        <v>56</v>
      </c>
    </row>
    <row r="591">
      <c r="A591" s="2" t="n">
        <v>441</v>
      </c>
      <c r="B591" s="2" t="s">
        <v>14221</v>
      </c>
      <c r="C591" s="2" t="s">
        <v>5007</v>
      </c>
      <c r="D591" s="2" t="n">
        <v>312.090914115</v>
      </c>
      <c r="E591" s="2" t="n">
        <v>0.354124382876229</v>
      </c>
      <c r="F591" s="2" t="s">
        <v>5009</v>
      </c>
      <c r="G591" s="2" t="n">
        <v>211212</v>
      </c>
      <c r="H591" s="3" t="str">
        <f>HYPERLINK("http://funmeta.oebiotech.com/network/211212", "http://funmeta.oebiotech.com/network/211212")</f>
      </c>
      <c r="I591" s="2" t="s">
        <v>5011</v>
      </c>
      <c r="J591" s="2"/>
      <c r="K591" s="2"/>
      <c r="L591" s="2"/>
      <c r="M591" s="2"/>
      <c r="N591" s="2"/>
      <c r="O591" s="2"/>
      <c r="P591" s="2" t="s">
        <v>5012</v>
      </c>
      <c r="Q591" s="2" t="s">
        <v>5013</v>
      </c>
      <c r="R591" s="2" t="s">
        <v>114</v>
      </c>
      <c r="S591" s="2" t="s">
        <v>5014</v>
      </c>
      <c r="T591" s="2" t="s">
        <v>215</v>
      </c>
      <c r="U591" s="2" t="s">
        <v>5008</v>
      </c>
      <c r="V591" s="2" t="s">
        <v>86</v>
      </c>
      <c r="W591" s="2"/>
    </row>
    <row r="592">
      <c r="A592" s="2" t="n">
        <v>442</v>
      </c>
      <c r="B592" s="2" t="s">
        <v>14222</v>
      </c>
      <c r="C592" s="2" t="s">
        <v>5015</v>
      </c>
      <c r="D592" s="2" t="n">
        <v>313.103574626</v>
      </c>
      <c r="E592" s="2" t="n">
        <v>0.705819648981813</v>
      </c>
      <c r="F592" s="2" t="s">
        <v>5017</v>
      </c>
      <c r="G592" s="2" t="n">
        <v>62314</v>
      </c>
      <c r="H592" s="3" t="str">
        <f>HYPERLINK("http://funmeta.oebiotech.com/network/62314", "http://funmeta.oebiotech.com/network/62314")</f>
      </c>
      <c r="I592" s="2" t="s">
        <v>5019</v>
      </c>
      <c r="J592" s="2"/>
      <c r="K592" s="2"/>
      <c r="L592" s="2"/>
      <c r="M592" s="2"/>
      <c r="N592" s="2"/>
      <c r="O592" s="2" t="s">
        <v>5020</v>
      </c>
      <c r="P592" s="2" t="s">
        <v>5021</v>
      </c>
      <c r="Q592" s="2" t="s">
        <v>5022</v>
      </c>
      <c r="R592" s="2" t="s">
        <v>36</v>
      </c>
      <c r="S592" s="2" t="s">
        <v>37</v>
      </c>
      <c r="T592" s="2" t="s">
        <v>69</v>
      </c>
      <c r="U592" s="2" t="s">
        <v>5016</v>
      </c>
      <c r="V592" s="2" t="s">
        <v>161</v>
      </c>
      <c r="W592" s="2" t="s">
        <v>56</v>
      </c>
    </row>
    <row r="593">
      <c r="A593" s="2" t="n">
        <v>443</v>
      </c>
      <c r="B593" s="2" t="s">
        <v>14223</v>
      </c>
      <c r="C593" s="2" t="s">
        <v>5023</v>
      </c>
      <c r="D593" s="2" t="n">
        <v>313.180918698</v>
      </c>
      <c r="E593" s="2" t="n">
        <v>13.9477667185442</v>
      </c>
      <c r="F593" s="2" t="s">
        <v>5025</v>
      </c>
      <c r="G593" s="2" t="n">
        <v>37392</v>
      </c>
      <c r="H593" s="3" t="str">
        <f>HYPERLINK("http://funmeta.oebiotech.com/network/37392", "http://funmeta.oebiotech.com/network/37392")</f>
      </c>
      <c r="I593" s="2" t="s">
        <v>5027</v>
      </c>
      <c r="J593" s="2" t="s">
        <v>5028</v>
      </c>
      <c r="K593" s="2" t="s">
        <v>5029</v>
      </c>
      <c r="L593" s="2" t="s">
        <v>5030</v>
      </c>
      <c r="M593" s="2" t="s">
        <v>5031</v>
      </c>
      <c r="N593" s="2" t="s">
        <v>5032</v>
      </c>
      <c r="O593" s="2" t="s">
        <v>5033</v>
      </c>
      <c r="P593" s="2" t="s">
        <v>5034</v>
      </c>
      <c r="Q593" s="2" t="s">
        <v>5035</v>
      </c>
      <c r="R593" s="2" t="s">
        <v>794</v>
      </c>
      <c r="S593" s="2" t="s">
        <v>1098</v>
      </c>
      <c r="T593" s="2" t="s">
        <v>5036</v>
      </c>
      <c r="U593" s="2" t="s">
        <v>5024</v>
      </c>
      <c r="V593" s="2" t="s">
        <v>24</v>
      </c>
      <c r="W593" s="2" t="s">
        <v>39</v>
      </c>
    </row>
    <row r="594">
      <c r="A594" s="2" t="n">
        <v>444</v>
      </c>
      <c r="B594" s="2" t="s">
        <v>14224</v>
      </c>
      <c r="C594" s="2" t="s">
        <v>5037</v>
      </c>
      <c r="D594" s="2" t="n">
        <v>314.994486493</v>
      </c>
      <c r="E594" s="2" t="n">
        <v>7.24311687851693</v>
      </c>
      <c r="F594" s="2" t="s">
        <v>5039</v>
      </c>
      <c r="G594" s="2" t="n">
        <v>206750</v>
      </c>
      <c r="H594" s="3" t="str">
        <f>HYPERLINK("http://funmeta.oebiotech.com/network/206750", "http://funmeta.oebiotech.com/network/206750")</f>
      </c>
      <c r="I594" s="2" t="s">
        <v>5041</v>
      </c>
      <c r="J594" s="2"/>
      <c r="K594" s="2"/>
      <c r="L594" s="2"/>
      <c r="M594" s="2"/>
      <c r="N594" s="2"/>
      <c r="O594" s="2"/>
      <c r="P594" s="2" t="s">
        <v>5042</v>
      </c>
      <c r="Q594" s="2" t="s">
        <v>5043</v>
      </c>
      <c r="R594" s="2" t="s">
        <v>36</v>
      </c>
      <c r="S594" s="2" t="s">
        <v>37</v>
      </c>
      <c r="T594" s="2" t="s">
        <v>69</v>
      </c>
      <c r="U594" s="2" t="s">
        <v>5038</v>
      </c>
      <c r="V594" s="2" t="s">
        <v>86</v>
      </c>
      <c r="W594" s="2"/>
    </row>
    <row r="595">
      <c r="A595" s="2" t="n">
        <v>445</v>
      </c>
      <c r="B595" s="2" t="s">
        <v>14225</v>
      </c>
      <c r="C595" s="2" t="s">
        <v>5044</v>
      </c>
      <c r="D595" s="2" t="n">
        <v>315.07751195</v>
      </c>
      <c r="E595" s="2" t="n">
        <v>1.83622846135408</v>
      </c>
      <c r="F595" s="2" t="s">
        <v>5046</v>
      </c>
      <c r="G595" s="2" t="n">
        <v>208379</v>
      </c>
      <c r="H595" s="3" t="str">
        <f>HYPERLINK("http://funmeta.oebiotech.com/network/208379", "http://funmeta.oebiotech.com/network/208379")</f>
      </c>
      <c r="I595" s="2" t="s">
        <v>5048</v>
      </c>
      <c r="J595" s="2" t="s">
        <v>5049</v>
      </c>
      <c r="K595" s="2"/>
      <c r="L595" s="2"/>
      <c r="M595" s="2"/>
      <c r="N595" s="2" t="s">
        <v>5050</v>
      </c>
      <c r="O595" s="2"/>
      <c r="P595" s="2" t="s">
        <v>5051</v>
      </c>
      <c r="Q595" s="2" t="s">
        <v>5052</v>
      </c>
      <c r="R595" s="2" t="s">
        <v>114</v>
      </c>
      <c r="S595" s="2" t="s">
        <v>5053</v>
      </c>
      <c r="T595" s="2" t="s">
        <v>5054</v>
      </c>
      <c r="U595" s="2" t="s">
        <v>5045</v>
      </c>
      <c r="V595" s="2" t="s">
        <v>205</v>
      </c>
      <c r="W595" s="2"/>
    </row>
    <row r="596">
      <c r="A596" s="2" t="n">
        <v>446</v>
      </c>
      <c r="B596" s="2" t="s">
        <v>14226</v>
      </c>
      <c r="C596" s="2" t="s">
        <v>5055</v>
      </c>
      <c r="D596" s="2" t="n">
        <v>315.113901763</v>
      </c>
      <c r="E596" s="2" t="n">
        <v>1.04594342431525</v>
      </c>
      <c r="F596" s="2" t="s">
        <v>14227</v>
      </c>
      <c r="G596" s="2" t="n">
        <v>206360</v>
      </c>
      <c r="H596" s="3" t="str">
        <f>HYPERLINK("http://funmeta.oebiotech.com/network/206360", "http://funmeta.oebiotech.com/network/206360")</f>
      </c>
      <c r="I596" s="2" t="s">
        <v>14228</v>
      </c>
      <c r="J596" s="2"/>
      <c r="K596" s="2"/>
      <c r="L596" s="2"/>
      <c r="M596" s="2"/>
      <c r="N596" s="2" t="s">
        <v>14229</v>
      </c>
      <c r="O596" s="2"/>
      <c r="P596" s="2" t="s">
        <v>14230</v>
      </c>
      <c r="Q596" s="2" t="s">
        <v>14231</v>
      </c>
      <c r="R596" s="2" t="s">
        <v>14232</v>
      </c>
      <c r="S596" s="2" t="s">
        <v>215</v>
      </c>
      <c r="T596" s="2" t="s">
        <v>215</v>
      </c>
      <c r="U596" s="2" t="s">
        <v>5056</v>
      </c>
      <c r="V596" s="2" t="s">
        <v>24</v>
      </c>
      <c r="W596" s="2"/>
    </row>
    <row r="597">
      <c r="A597" s="2" t="n">
        <v>446</v>
      </c>
      <c r="B597" s="2" t="s">
        <v>14233</v>
      </c>
      <c r="C597" s="2" t="s">
        <v>5055</v>
      </c>
      <c r="D597" s="2" t="n">
        <v>315.113901763</v>
      </c>
      <c r="E597" s="2" t="n">
        <v>1.04594342431525</v>
      </c>
      <c r="F597" s="2" t="s">
        <v>14234</v>
      </c>
      <c r="G597" s="2" t="n">
        <v>201598</v>
      </c>
      <c r="H597" s="3" t="str">
        <f>HYPERLINK("http://funmeta.oebiotech.com/network/201598", "http://funmeta.oebiotech.com/network/201598")</f>
      </c>
      <c r="I597" s="2" t="s">
        <v>14235</v>
      </c>
      <c r="J597" s="2"/>
      <c r="K597" s="2"/>
      <c r="L597" s="2"/>
      <c r="M597" s="2"/>
      <c r="N597" s="2" t="s">
        <v>14236</v>
      </c>
      <c r="O597" s="2"/>
      <c r="P597" s="2" t="s">
        <v>14237</v>
      </c>
      <c r="Q597" s="2" t="s">
        <v>14238</v>
      </c>
      <c r="R597" s="2" t="s">
        <v>186</v>
      </c>
      <c r="S597" s="2" t="s">
        <v>357</v>
      </c>
      <c r="T597" s="2" t="s">
        <v>4592</v>
      </c>
      <c r="U597" s="2" t="s">
        <v>5056</v>
      </c>
      <c r="V597" s="2" t="s">
        <v>24</v>
      </c>
      <c r="W597" s="2"/>
    </row>
    <row r="598">
      <c r="A598" s="2" t="n">
        <v>447</v>
      </c>
      <c r="B598" s="2" t="s">
        <v>14239</v>
      </c>
      <c r="C598" s="2" t="s">
        <v>5066</v>
      </c>
      <c r="D598" s="2" t="n">
        <v>315.196568762</v>
      </c>
      <c r="E598" s="2" t="n">
        <v>3.25272758878932</v>
      </c>
      <c r="F598" s="2" t="s">
        <v>5068</v>
      </c>
      <c r="G598" s="2" t="n">
        <v>37391</v>
      </c>
      <c r="H598" s="3" t="str">
        <f>HYPERLINK("http://funmeta.oebiotech.com/network/37391", "http://funmeta.oebiotech.com/network/37391")</f>
      </c>
      <c r="I598" s="2" t="s">
        <v>5070</v>
      </c>
      <c r="J598" s="2" t="s">
        <v>5071</v>
      </c>
      <c r="K598" s="2" t="s">
        <v>5072</v>
      </c>
      <c r="L598" s="2" t="s">
        <v>5073</v>
      </c>
      <c r="M598" s="2" t="s">
        <v>5074</v>
      </c>
      <c r="N598" s="2" t="s">
        <v>5075</v>
      </c>
      <c r="O598" s="2" t="s">
        <v>5076</v>
      </c>
      <c r="P598" s="2" t="s">
        <v>5077</v>
      </c>
      <c r="Q598" s="2" t="s">
        <v>5078</v>
      </c>
      <c r="R598" s="2" t="s">
        <v>794</v>
      </c>
      <c r="S598" s="2" t="s">
        <v>1098</v>
      </c>
      <c r="T598" s="2" t="s">
        <v>5036</v>
      </c>
      <c r="U598" s="2" t="s">
        <v>5067</v>
      </c>
      <c r="V598" s="2" t="s">
        <v>24</v>
      </c>
      <c r="W598" s="2" t="s">
        <v>39</v>
      </c>
    </row>
    <row r="599">
      <c r="A599" s="2" t="n">
        <v>448</v>
      </c>
      <c r="B599" s="2" t="s">
        <v>14240</v>
      </c>
      <c r="C599" s="2" t="s">
        <v>5079</v>
      </c>
      <c r="D599" s="2" t="n">
        <v>316.118191492</v>
      </c>
      <c r="E599" s="2" t="n">
        <v>3.01778971969975</v>
      </c>
      <c r="F599" s="2" t="s">
        <v>5081</v>
      </c>
      <c r="G599" s="2" t="n">
        <v>202643</v>
      </c>
      <c r="H599" s="3" t="str">
        <f>HYPERLINK("http://funmeta.oebiotech.com/network/202643", "http://funmeta.oebiotech.com/network/202643")</f>
      </c>
      <c r="I599" s="2" t="s">
        <v>5083</v>
      </c>
      <c r="J599" s="2"/>
      <c r="K599" s="2"/>
      <c r="L599" s="2"/>
      <c r="M599" s="2"/>
      <c r="N599" s="2" t="s">
        <v>5084</v>
      </c>
      <c r="O599" s="2"/>
      <c r="P599" s="2" t="s">
        <v>5085</v>
      </c>
      <c r="Q599" s="2" t="s">
        <v>5086</v>
      </c>
      <c r="R599" s="2" t="s">
        <v>114</v>
      </c>
      <c r="S599" s="2" t="s">
        <v>730</v>
      </c>
      <c r="T599" s="2" t="s">
        <v>731</v>
      </c>
      <c r="U599" s="2" t="s">
        <v>5080</v>
      </c>
      <c r="V599" s="2" t="s">
        <v>86</v>
      </c>
      <c r="W599" s="2"/>
    </row>
    <row r="600">
      <c r="A600" s="2" t="n">
        <v>449</v>
      </c>
      <c r="B600" s="2" t="s">
        <v>14241</v>
      </c>
      <c r="C600" s="2" t="s">
        <v>5087</v>
      </c>
      <c r="D600" s="2" t="n">
        <v>316.191817735</v>
      </c>
      <c r="E600" s="2" t="n">
        <v>2.61072234781633</v>
      </c>
      <c r="F600" s="2" t="s">
        <v>14242</v>
      </c>
      <c r="G600" s="2" t="n">
        <v>53029</v>
      </c>
      <c r="H600" s="3" t="str">
        <f>HYPERLINK("http://funmeta.oebiotech.com/network/53029", "http://funmeta.oebiotech.com/network/53029")</f>
      </c>
      <c r="I600" s="2" t="s">
        <v>14243</v>
      </c>
      <c r="J600" s="2"/>
      <c r="K600" s="2"/>
      <c r="L600" s="2" t="s">
        <v>14244</v>
      </c>
      <c r="M600" s="2" t="s">
        <v>14245</v>
      </c>
      <c r="N600" s="2"/>
      <c r="O600" s="2" t="s">
        <v>14246</v>
      </c>
      <c r="P600" s="2" t="s">
        <v>14247</v>
      </c>
      <c r="Q600" s="2" t="s">
        <v>14248</v>
      </c>
      <c r="R600" s="2" t="s">
        <v>36</v>
      </c>
      <c r="S600" s="2" t="s">
        <v>37</v>
      </c>
      <c r="T600" s="2" t="s">
        <v>69</v>
      </c>
      <c r="U600" s="2" t="s">
        <v>5088</v>
      </c>
      <c r="V600" s="2" t="s">
        <v>24</v>
      </c>
      <c r="W600" s="2" t="s">
        <v>56</v>
      </c>
    </row>
    <row r="601">
      <c r="A601" s="2" t="n">
        <v>449</v>
      </c>
      <c r="B601" s="2" t="s">
        <v>14249</v>
      </c>
      <c r="C601" s="2" t="s">
        <v>5087</v>
      </c>
      <c r="D601" s="2" t="n">
        <v>316.191817735</v>
      </c>
      <c r="E601" s="2" t="n">
        <v>2.61072234781633</v>
      </c>
      <c r="F601" s="2" t="s">
        <v>14250</v>
      </c>
      <c r="G601" s="2" t="n">
        <v>53628</v>
      </c>
      <c r="H601" s="3" t="str">
        <f>HYPERLINK("http://funmeta.oebiotech.com/network/53628", "http://funmeta.oebiotech.com/network/53628")</f>
      </c>
      <c r="I601" s="2" t="s">
        <v>14251</v>
      </c>
      <c r="J601" s="2" t="s">
        <v>14252</v>
      </c>
      <c r="K601" s="2"/>
      <c r="L601" s="2" t="s">
        <v>14253</v>
      </c>
      <c r="M601" s="2" t="s">
        <v>14254</v>
      </c>
      <c r="N601" s="2" t="s">
        <v>14255</v>
      </c>
      <c r="O601" s="2" t="s">
        <v>14256</v>
      </c>
      <c r="P601" s="2" t="s">
        <v>14257</v>
      </c>
      <c r="Q601" s="2" t="s">
        <v>14258</v>
      </c>
      <c r="R601" s="2" t="s">
        <v>114</v>
      </c>
      <c r="S601" s="2" t="s">
        <v>6078</v>
      </c>
      <c r="T601" s="2" t="s">
        <v>215</v>
      </c>
      <c r="U601" s="2" t="s">
        <v>5088</v>
      </c>
      <c r="V601" s="2" t="s">
        <v>24</v>
      </c>
      <c r="W601" s="2" t="s">
        <v>56</v>
      </c>
    </row>
    <row r="602">
      <c r="A602" s="2" t="n">
        <v>450</v>
      </c>
      <c r="B602" s="2" t="s">
        <v>14259</v>
      </c>
      <c r="C602" s="2" t="s">
        <v>5102</v>
      </c>
      <c r="D602" s="2" t="n">
        <v>316.241266747</v>
      </c>
      <c r="E602" s="2" t="n">
        <v>2.8092070848118</v>
      </c>
      <c r="F602" s="2" t="s">
        <v>5104</v>
      </c>
      <c r="G602" s="2" t="n">
        <v>8567</v>
      </c>
      <c r="H602" s="3" t="str">
        <f>HYPERLINK("http://funmeta.oebiotech.com/network/8567", "http://funmeta.oebiotech.com/network/8567")</f>
      </c>
      <c r="I602" s="2" t="s">
        <v>5106</v>
      </c>
      <c r="J602" s="2" t="s">
        <v>5107</v>
      </c>
      <c r="K602" s="2" t="s">
        <v>5108</v>
      </c>
      <c r="L602" s="2" t="s">
        <v>5109</v>
      </c>
      <c r="M602" s="2" t="s">
        <v>5110</v>
      </c>
      <c r="N602" s="2" t="s">
        <v>5111</v>
      </c>
      <c r="O602" s="2" t="s">
        <v>5112</v>
      </c>
      <c r="P602" s="2" t="s">
        <v>5113</v>
      </c>
      <c r="Q602" s="2" t="s">
        <v>5114</v>
      </c>
      <c r="R602" s="2" t="s">
        <v>794</v>
      </c>
      <c r="S602" s="2" t="s">
        <v>795</v>
      </c>
      <c r="T602" s="2" t="s">
        <v>5115</v>
      </c>
      <c r="U602" s="2" t="s">
        <v>5103</v>
      </c>
      <c r="V602" s="2" t="s">
        <v>86</v>
      </c>
      <c r="W602" s="2" t="s">
        <v>39</v>
      </c>
    </row>
    <row r="603">
      <c r="A603" s="2" t="n">
        <v>451</v>
      </c>
      <c r="B603" s="2" t="s">
        <v>14260</v>
      </c>
      <c r="C603" s="2" t="s">
        <v>5116</v>
      </c>
      <c r="D603" s="2" t="n">
        <v>317.17583332</v>
      </c>
      <c r="E603" s="2" t="n">
        <v>2.33498070347158</v>
      </c>
      <c r="F603" s="2" t="s">
        <v>14261</v>
      </c>
      <c r="G603" s="2" t="n">
        <v>7635</v>
      </c>
      <c r="H603" s="3" t="str">
        <f>HYPERLINK("http://funmeta.oebiotech.com/network/7635", "http://funmeta.oebiotech.com/network/7635")</f>
      </c>
      <c r="I603" s="2" t="s">
        <v>14262</v>
      </c>
      <c r="J603" s="2" t="s">
        <v>14263</v>
      </c>
      <c r="K603" s="2" t="s">
        <v>14264</v>
      </c>
      <c r="L603" s="2"/>
      <c r="M603" s="2"/>
      <c r="N603" s="2" t="s">
        <v>14265</v>
      </c>
      <c r="O603" s="2" t="s">
        <v>14266</v>
      </c>
      <c r="P603" s="2" t="s">
        <v>14267</v>
      </c>
      <c r="Q603" s="2" t="s">
        <v>14268</v>
      </c>
      <c r="R603" s="2" t="s">
        <v>794</v>
      </c>
      <c r="S603" s="2" t="s">
        <v>795</v>
      </c>
      <c r="T603" s="2" t="s">
        <v>1370</v>
      </c>
      <c r="U603" s="2" t="s">
        <v>5117</v>
      </c>
      <c r="V603" s="2" t="s">
        <v>24</v>
      </c>
      <c r="W603" s="2" t="s">
        <v>56</v>
      </c>
    </row>
    <row r="604">
      <c r="A604" s="2" t="n">
        <v>451</v>
      </c>
      <c r="B604" s="2" t="s">
        <v>14269</v>
      </c>
      <c r="C604" s="2" t="s">
        <v>5116</v>
      </c>
      <c r="D604" s="2" t="n">
        <v>317.17583332</v>
      </c>
      <c r="E604" s="2" t="n">
        <v>2.33498070347158</v>
      </c>
      <c r="F604" s="2" t="s">
        <v>14270</v>
      </c>
      <c r="G604" s="2" t="n">
        <v>55947</v>
      </c>
      <c r="H604" s="3" t="str">
        <f>HYPERLINK("http://funmeta.oebiotech.com/network/55947", "http://funmeta.oebiotech.com/network/55947")</f>
      </c>
      <c r="I604" s="2" t="s">
        <v>14271</v>
      </c>
      <c r="J604" s="2" t="s">
        <v>14272</v>
      </c>
      <c r="K604" s="2"/>
      <c r="L604" s="2"/>
      <c r="M604" s="2" t="s">
        <v>14273</v>
      </c>
      <c r="N604" s="2" t="s">
        <v>14274</v>
      </c>
      <c r="O604" s="2"/>
      <c r="P604" s="2" t="s">
        <v>14275</v>
      </c>
      <c r="Q604" s="2" t="s">
        <v>14276</v>
      </c>
      <c r="R604" s="2" t="s">
        <v>794</v>
      </c>
      <c r="S604" s="2" t="s">
        <v>1098</v>
      </c>
      <c r="T604" s="2" t="s">
        <v>3308</v>
      </c>
      <c r="U604" s="2" t="s">
        <v>5117</v>
      </c>
      <c r="V604" s="2" t="s">
        <v>24</v>
      </c>
      <c r="W604" s="2" t="s">
        <v>56</v>
      </c>
    </row>
    <row r="605">
      <c r="A605" s="2" t="n">
        <v>452</v>
      </c>
      <c r="B605" s="2" t="s">
        <v>14277</v>
      </c>
      <c r="C605" s="2" t="s">
        <v>5129</v>
      </c>
      <c r="D605" s="2" t="n">
        <v>317.219425158</v>
      </c>
      <c r="E605" s="2" t="n">
        <v>4.07221716215876</v>
      </c>
      <c r="F605" s="2" t="s">
        <v>5131</v>
      </c>
      <c r="G605" s="2" t="n">
        <v>206656</v>
      </c>
      <c r="H605" s="3" t="str">
        <f>HYPERLINK("http://funmeta.oebiotech.com/network/206656", "http://funmeta.oebiotech.com/network/206656")</f>
      </c>
      <c r="I605" s="2" t="s">
        <v>5133</v>
      </c>
      <c r="J605" s="2"/>
      <c r="K605" s="2"/>
      <c r="L605" s="2"/>
      <c r="M605" s="2"/>
      <c r="N605" s="2" t="s">
        <v>5134</v>
      </c>
      <c r="O605" s="2"/>
      <c r="P605" s="2" t="s">
        <v>5135</v>
      </c>
      <c r="Q605" s="2" t="s">
        <v>5136</v>
      </c>
      <c r="R605" s="2" t="s">
        <v>601</v>
      </c>
      <c r="S605" s="2" t="s">
        <v>602</v>
      </c>
      <c r="T605" s="2" t="s">
        <v>5137</v>
      </c>
      <c r="U605" s="2" t="s">
        <v>5130</v>
      </c>
      <c r="V605" s="2" t="s">
        <v>205</v>
      </c>
      <c r="W605" s="2"/>
    </row>
    <row r="606">
      <c r="A606" s="2" t="n">
        <v>453</v>
      </c>
      <c r="B606" s="2" t="s">
        <v>14278</v>
      </c>
      <c r="C606" s="2" t="s">
        <v>5138</v>
      </c>
      <c r="D606" s="2" t="n">
        <v>317.248600024</v>
      </c>
      <c r="E606" s="2" t="n">
        <v>4.79270510575356</v>
      </c>
      <c r="F606" s="2" t="s">
        <v>14279</v>
      </c>
      <c r="G606" s="2" t="n">
        <v>35902</v>
      </c>
      <c r="H606" s="3" t="str">
        <f>HYPERLINK("http://funmeta.oebiotech.com/network/35902", "http://funmeta.oebiotech.com/network/35902")</f>
      </c>
      <c r="I606" s="2" t="s">
        <v>14280</v>
      </c>
      <c r="J606" s="2"/>
      <c r="K606" s="2" t="s">
        <v>14281</v>
      </c>
      <c r="L606" s="2" t="s">
        <v>14282</v>
      </c>
      <c r="M606" s="2" t="s">
        <v>14283</v>
      </c>
      <c r="N606" s="2" t="s">
        <v>14284</v>
      </c>
      <c r="O606" s="2"/>
      <c r="P606" s="2" t="s">
        <v>14285</v>
      </c>
      <c r="Q606" s="2" t="s">
        <v>14286</v>
      </c>
      <c r="R606" s="2" t="s">
        <v>794</v>
      </c>
      <c r="S606" s="2" t="s">
        <v>1098</v>
      </c>
      <c r="T606" s="2" t="s">
        <v>4662</v>
      </c>
      <c r="U606" s="2" t="s">
        <v>5139</v>
      </c>
      <c r="V606" s="2" t="s">
        <v>205</v>
      </c>
      <c r="W606" s="2" t="s">
        <v>101</v>
      </c>
    </row>
    <row r="607">
      <c r="A607" s="2" t="n">
        <v>453</v>
      </c>
      <c r="B607" s="2" t="s">
        <v>14287</v>
      </c>
      <c r="C607" s="2" t="s">
        <v>5138</v>
      </c>
      <c r="D607" s="2" t="n">
        <v>317.248600024</v>
      </c>
      <c r="E607" s="2" t="n">
        <v>4.79270510575356</v>
      </c>
      <c r="F607" s="2" t="s">
        <v>14288</v>
      </c>
      <c r="G607" s="2" t="n">
        <v>35964</v>
      </c>
      <c r="H607" s="3" t="str">
        <f>HYPERLINK("http://funmeta.oebiotech.com/network/35964", "http://funmeta.oebiotech.com/network/35964")</f>
      </c>
      <c r="I607" s="2" t="s">
        <v>14289</v>
      </c>
      <c r="J607" s="2" t="s">
        <v>14290</v>
      </c>
      <c r="K607" s="2" t="s">
        <v>14291</v>
      </c>
      <c r="L607" s="2" t="s">
        <v>14292</v>
      </c>
      <c r="M607" s="2" t="s">
        <v>14293</v>
      </c>
      <c r="N607" s="2" t="s">
        <v>14294</v>
      </c>
      <c r="O607" s="2"/>
      <c r="P607" s="2" t="s">
        <v>14295</v>
      </c>
      <c r="Q607" s="2" t="s">
        <v>14296</v>
      </c>
      <c r="R607" s="2" t="s">
        <v>794</v>
      </c>
      <c r="S607" s="2" t="s">
        <v>1098</v>
      </c>
      <c r="T607" s="2" t="s">
        <v>4662</v>
      </c>
      <c r="U607" s="2" t="s">
        <v>5139</v>
      </c>
      <c r="V607" s="2" t="s">
        <v>205</v>
      </c>
      <c r="W607" s="2" t="s">
        <v>101</v>
      </c>
    </row>
    <row r="608">
      <c r="A608" s="2" t="n">
        <v>453</v>
      </c>
      <c r="B608" s="2" t="s">
        <v>14297</v>
      </c>
      <c r="C608" s="2" t="s">
        <v>5138</v>
      </c>
      <c r="D608" s="2" t="n">
        <v>317.248600024</v>
      </c>
      <c r="E608" s="2" t="n">
        <v>4.79270510575356</v>
      </c>
      <c r="F608" s="2" t="s">
        <v>14298</v>
      </c>
      <c r="G608" s="2" t="n">
        <v>35939</v>
      </c>
      <c r="H608" s="3" t="str">
        <f>HYPERLINK("http://funmeta.oebiotech.com/network/35939", "http://funmeta.oebiotech.com/network/35939")</f>
      </c>
      <c r="I608" s="2" t="s">
        <v>14299</v>
      </c>
      <c r="J608" s="2"/>
      <c r="K608" s="2" t="s">
        <v>14300</v>
      </c>
      <c r="L608" s="2" t="s">
        <v>14301</v>
      </c>
      <c r="M608" s="2" t="s">
        <v>14302</v>
      </c>
      <c r="N608" s="2" t="s">
        <v>14303</v>
      </c>
      <c r="O608" s="2"/>
      <c r="P608" s="2" t="s">
        <v>14304</v>
      </c>
      <c r="Q608" s="2" t="s">
        <v>14305</v>
      </c>
      <c r="R608" s="2" t="s">
        <v>794</v>
      </c>
      <c r="S608" s="2" t="s">
        <v>1098</v>
      </c>
      <c r="T608" s="2" t="s">
        <v>4662</v>
      </c>
      <c r="U608" s="2" t="s">
        <v>5139</v>
      </c>
      <c r="V608" s="2" t="s">
        <v>205</v>
      </c>
      <c r="W608" s="2" t="s">
        <v>101</v>
      </c>
    </row>
    <row r="609">
      <c r="A609" s="2" t="n">
        <v>454</v>
      </c>
      <c r="B609" s="2" t="s">
        <v>14306</v>
      </c>
      <c r="C609" s="2" t="s">
        <v>5151</v>
      </c>
      <c r="D609" s="2" t="n">
        <v>318.005324</v>
      </c>
      <c r="E609" s="2" t="n">
        <v>3.03362684033044</v>
      </c>
      <c r="F609" s="2" t="s">
        <v>5153</v>
      </c>
      <c r="G609" s="2" t="n">
        <v>201728</v>
      </c>
      <c r="H609" s="3" t="str">
        <f>HYPERLINK("http://funmeta.oebiotech.com/network/201728", "http://funmeta.oebiotech.com/network/201728")</f>
      </c>
      <c r="I609" s="2" t="s">
        <v>5155</v>
      </c>
      <c r="J609" s="2" t="s">
        <v>5156</v>
      </c>
      <c r="K609" s="2"/>
      <c r="L609" s="2"/>
      <c r="M609" s="2"/>
      <c r="N609" s="2" t="s">
        <v>5157</v>
      </c>
      <c r="O609" s="2"/>
      <c r="P609" s="2" t="s">
        <v>5158</v>
      </c>
      <c r="Q609" s="2" t="s">
        <v>5159</v>
      </c>
      <c r="R609" s="2" t="s">
        <v>1355</v>
      </c>
      <c r="S609" s="2" t="s">
        <v>5160</v>
      </c>
      <c r="T609" s="2" t="s">
        <v>215</v>
      </c>
      <c r="U609" s="2" t="s">
        <v>5152</v>
      </c>
      <c r="V609" s="2" t="s">
        <v>218</v>
      </c>
      <c r="W609" s="2"/>
    </row>
    <row r="610">
      <c r="A610" s="2" t="n">
        <v>455</v>
      </c>
      <c r="B610" s="2" t="s">
        <v>14307</v>
      </c>
      <c r="C610" s="2" t="s">
        <v>5161</v>
      </c>
      <c r="D610" s="2" t="n">
        <v>319.227318576</v>
      </c>
      <c r="E610" s="2" t="n">
        <v>18.5032805894632</v>
      </c>
      <c r="F610" s="2" t="s">
        <v>5163</v>
      </c>
      <c r="G610" s="2" t="n">
        <v>3843</v>
      </c>
      <c r="H610" s="3" t="str">
        <f>HYPERLINK("http://funmeta.oebiotech.com/network/3843", "http://funmeta.oebiotech.com/network/3843")</f>
      </c>
      <c r="I610" s="2" t="s">
        <v>5165</v>
      </c>
      <c r="J610" s="2" t="s">
        <v>5166</v>
      </c>
      <c r="K610" s="2" t="s">
        <v>5167</v>
      </c>
      <c r="L610" s="2" t="s">
        <v>5168</v>
      </c>
      <c r="M610" s="2" t="s">
        <v>5169</v>
      </c>
      <c r="N610" s="2" t="s">
        <v>5170</v>
      </c>
      <c r="O610" s="2"/>
      <c r="P610" s="2" t="s">
        <v>5171</v>
      </c>
      <c r="Q610" s="2" t="s">
        <v>5172</v>
      </c>
      <c r="R610" s="2" t="s">
        <v>794</v>
      </c>
      <c r="S610" s="2" t="s">
        <v>795</v>
      </c>
      <c r="T610" s="2" t="s">
        <v>3692</v>
      </c>
      <c r="U610" s="2" t="s">
        <v>5162</v>
      </c>
      <c r="V610" s="2" t="s">
        <v>161</v>
      </c>
      <c r="W610" s="2" t="s">
        <v>56</v>
      </c>
    </row>
    <row r="611">
      <c r="A611" s="2" t="n">
        <v>456</v>
      </c>
      <c r="B611" s="2" t="s">
        <v>14308</v>
      </c>
      <c r="C611" s="2" t="s">
        <v>5173</v>
      </c>
      <c r="D611" s="2" t="n">
        <v>320.080396343</v>
      </c>
      <c r="E611" s="2" t="n">
        <v>1.63301741374308</v>
      </c>
      <c r="F611" s="2" t="s">
        <v>5175</v>
      </c>
      <c r="G611" s="2" t="n">
        <v>48466</v>
      </c>
      <c r="H611" s="3" t="str">
        <f>HYPERLINK("http://funmeta.oebiotech.com/network/48466", "http://funmeta.oebiotech.com/network/48466")</f>
      </c>
      <c r="I611" s="2" t="s">
        <v>5177</v>
      </c>
      <c r="J611" s="2" t="s">
        <v>5178</v>
      </c>
      <c r="K611" s="2"/>
      <c r="L611" s="2" t="s">
        <v>5179</v>
      </c>
      <c r="M611" s="2" t="s">
        <v>5180</v>
      </c>
      <c r="N611" s="2" t="s">
        <v>5181</v>
      </c>
      <c r="O611" s="2" t="s">
        <v>5182</v>
      </c>
      <c r="P611" s="2" t="s">
        <v>5183</v>
      </c>
      <c r="Q611" s="2" t="s">
        <v>5184</v>
      </c>
      <c r="R611" s="2" t="s">
        <v>114</v>
      </c>
      <c r="S611" s="2" t="s">
        <v>5185</v>
      </c>
      <c r="T611" s="2" t="s">
        <v>215</v>
      </c>
      <c r="U611" s="2" t="s">
        <v>5174</v>
      </c>
      <c r="V611" s="2" t="s">
        <v>161</v>
      </c>
      <c r="W611" s="2" t="s">
        <v>56</v>
      </c>
    </row>
    <row r="612">
      <c r="A612" s="2" t="n">
        <v>457</v>
      </c>
      <c r="B612" s="2" t="s">
        <v>14309</v>
      </c>
      <c r="C612" s="2" t="s">
        <v>5186</v>
      </c>
      <c r="D612" s="2" t="n">
        <v>323.032790116</v>
      </c>
      <c r="E612" s="2" t="n">
        <v>2.39198752973809</v>
      </c>
      <c r="F612" s="2" t="s">
        <v>5188</v>
      </c>
      <c r="G612" s="2" t="n">
        <v>34184</v>
      </c>
      <c r="H612" s="3" t="str">
        <f>HYPERLINK("http://funmeta.oebiotech.com/network/34184", "http://funmeta.oebiotech.com/network/34184")</f>
      </c>
      <c r="I612" s="2" t="s">
        <v>5190</v>
      </c>
      <c r="J612" s="2" t="s">
        <v>5191</v>
      </c>
      <c r="K612" s="2" t="s">
        <v>5192</v>
      </c>
      <c r="L612" s="2" t="s">
        <v>5193</v>
      </c>
      <c r="M612" s="2" t="s">
        <v>5194</v>
      </c>
      <c r="N612" s="2" t="s">
        <v>5195</v>
      </c>
      <c r="O612" s="2" t="s">
        <v>5196</v>
      </c>
      <c r="P612" s="2" t="s">
        <v>5197</v>
      </c>
      <c r="Q612" s="2" t="s">
        <v>5198</v>
      </c>
      <c r="R612" s="2" t="s">
        <v>1355</v>
      </c>
      <c r="S612" s="2" t="s">
        <v>5199</v>
      </c>
      <c r="T612" s="2" t="s">
        <v>5200</v>
      </c>
      <c r="U612" s="2" t="s">
        <v>5187</v>
      </c>
      <c r="V612" s="2" t="s">
        <v>86</v>
      </c>
      <c r="W612" s="2" t="s">
        <v>56</v>
      </c>
    </row>
    <row r="613">
      <c r="A613" s="2" t="n">
        <v>458</v>
      </c>
      <c r="B613" s="2" t="s">
        <v>14310</v>
      </c>
      <c r="C613" s="2" t="s">
        <v>5201</v>
      </c>
      <c r="D613" s="2" t="n">
        <v>323.186398006</v>
      </c>
      <c r="E613" s="2" t="n">
        <v>5.56644106140919</v>
      </c>
      <c r="F613" s="2" t="s">
        <v>14311</v>
      </c>
      <c r="G613" s="2" t="n">
        <v>57843</v>
      </c>
      <c r="H613" s="3" t="str">
        <f>HYPERLINK("http://funmeta.oebiotech.com/network/57843", "http://funmeta.oebiotech.com/network/57843")</f>
      </c>
      <c r="I613" s="2" t="s">
        <v>14312</v>
      </c>
      <c r="J613" s="2"/>
      <c r="K613" s="2"/>
      <c r="L613" s="2"/>
      <c r="M613" s="2"/>
      <c r="N613" s="2" t="s">
        <v>14313</v>
      </c>
      <c r="O613" s="2" t="s">
        <v>14314</v>
      </c>
      <c r="P613" s="2" t="s">
        <v>14315</v>
      </c>
      <c r="Q613" s="2" t="s">
        <v>14316</v>
      </c>
      <c r="R613" s="2" t="s">
        <v>794</v>
      </c>
      <c r="S613" s="2" t="s">
        <v>1098</v>
      </c>
      <c r="T613" s="2" t="s">
        <v>4662</v>
      </c>
      <c r="U613" s="2" t="s">
        <v>5202</v>
      </c>
      <c r="V613" s="2" t="s">
        <v>24</v>
      </c>
      <c r="W613" s="2" t="s">
        <v>56</v>
      </c>
    </row>
    <row r="614">
      <c r="A614" s="2" t="n">
        <v>458</v>
      </c>
      <c r="B614" s="2" t="s">
        <v>14317</v>
      </c>
      <c r="C614" s="2" t="s">
        <v>5201</v>
      </c>
      <c r="D614" s="2" t="n">
        <v>323.186398006</v>
      </c>
      <c r="E614" s="2" t="n">
        <v>5.56644106140919</v>
      </c>
      <c r="F614" s="2" t="s">
        <v>14318</v>
      </c>
      <c r="G614" s="2" t="n">
        <v>61949</v>
      </c>
      <c r="H614" s="3" t="str">
        <f>HYPERLINK("http://funmeta.oebiotech.com/network/61949", "http://funmeta.oebiotech.com/network/61949")</f>
      </c>
      <c r="I614" s="2" t="s">
        <v>14319</v>
      </c>
      <c r="J614" s="2" t="s">
        <v>14320</v>
      </c>
      <c r="K614" s="2"/>
      <c r="L614" s="2"/>
      <c r="M614" s="2" t="s">
        <v>14321</v>
      </c>
      <c r="N614" s="2" t="s">
        <v>14322</v>
      </c>
      <c r="O614" s="2" t="s">
        <v>14323</v>
      </c>
      <c r="P614" s="2" t="s">
        <v>14324</v>
      </c>
      <c r="Q614" s="2" t="s">
        <v>14325</v>
      </c>
      <c r="R614" s="2" t="s">
        <v>794</v>
      </c>
      <c r="S614" s="2" t="s">
        <v>795</v>
      </c>
      <c r="T614" s="2" t="s">
        <v>2391</v>
      </c>
      <c r="U614" s="2" t="s">
        <v>5202</v>
      </c>
      <c r="V614" s="2" t="s">
        <v>24</v>
      </c>
      <c r="W614" s="2" t="s">
        <v>56</v>
      </c>
    </row>
    <row r="615">
      <c r="A615" s="2" t="n">
        <v>459</v>
      </c>
      <c r="B615" s="2" t="s">
        <v>14326</v>
      </c>
      <c r="C615" s="2" t="s">
        <v>5214</v>
      </c>
      <c r="D615" s="2" t="n">
        <v>323.259169018</v>
      </c>
      <c r="E615" s="2" t="n">
        <v>16.0439047221785</v>
      </c>
      <c r="F615" s="2" t="s">
        <v>14327</v>
      </c>
      <c r="G615" s="2" t="n">
        <v>54687</v>
      </c>
      <c r="H615" s="3" t="str">
        <f>HYPERLINK("http://funmeta.oebiotech.com/network/54687", "http://funmeta.oebiotech.com/network/54687")</f>
      </c>
      <c r="I615" s="2" t="s">
        <v>14328</v>
      </c>
      <c r="J615" s="2" t="s">
        <v>14329</v>
      </c>
      <c r="K615" s="2"/>
      <c r="L615" s="2"/>
      <c r="M615" s="2"/>
      <c r="N615" s="2" t="s">
        <v>14330</v>
      </c>
      <c r="O615" s="2" t="s">
        <v>14331</v>
      </c>
      <c r="P615" s="2" t="s">
        <v>14332</v>
      </c>
      <c r="Q615" s="2" t="s">
        <v>14333</v>
      </c>
      <c r="R615" s="2" t="s">
        <v>794</v>
      </c>
      <c r="S615" s="2" t="s">
        <v>795</v>
      </c>
      <c r="T615" s="2" t="s">
        <v>796</v>
      </c>
      <c r="U615" s="2" t="s">
        <v>5215</v>
      </c>
      <c r="V615" s="2" t="s">
        <v>24</v>
      </c>
      <c r="W615" s="2" t="s">
        <v>56</v>
      </c>
    </row>
    <row r="616">
      <c r="A616" s="2" t="n">
        <v>459</v>
      </c>
      <c r="B616" s="2" t="s">
        <v>14334</v>
      </c>
      <c r="C616" s="2" t="s">
        <v>5214</v>
      </c>
      <c r="D616" s="2" t="n">
        <v>323.259169018</v>
      </c>
      <c r="E616" s="2" t="n">
        <v>16.0439047221785</v>
      </c>
      <c r="F616" s="2" t="s">
        <v>14335</v>
      </c>
      <c r="G616" s="2" t="n">
        <v>58883</v>
      </c>
      <c r="H616" s="3" t="str">
        <f>HYPERLINK("http://funmeta.oebiotech.com/network/58883", "http://funmeta.oebiotech.com/network/58883")</f>
      </c>
      <c r="I616" s="2" t="s">
        <v>14336</v>
      </c>
      <c r="J616" s="2" t="s">
        <v>14337</v>
      </c>
      <c r="K616" s="2"/>
      <c r="L616" s="2"/>
      <c r="M616" s="2"/>
      <c r="N616" s="2" t="s">
        <v>14338</v>
      </c>
      <c r="O616" s="2"/>
      <c r="P616" s="2" t="s">
        <v>14339</v>
      </c>
      <c r="Q616" s="2" t="s">
        <v>14340</v>
      </c>
      <c r="R616" s="2" t="s">
        <v>794</v>
      </c>
      <c r="S616" s="2" t="s">
        <v>1098</v>
      </c>
      <c r="T616" s="2" t="s">
        <v>4662</v>
      </c>
      <c r="U616" s="2" t="s">
        <v>5215</v>
      </c>
      <c r="V616" s="2" t="s">
        <v>24</v>
      </c>
      <c r="W616" s="2" t="s">
        <v>56</v>
      </c>
    </row>
    <row r="617">
      <c r="A617" s="2" t="n">
        <v>459</v>
      </c>
      <c r="B617" s="2" t="s">
        <v>14341</v>
      </c>
      <c r="C617" s="2" t="s">
        <v>5214</v>
      </c>
      <c r="D617" s="2" t="n">
        <v>323.259169018</v>
      </c>
      <c r="E617" s="2" t="n">
        <v>16.0439047221785</v>
      </c>
      <c r="F617" s="2" t="s">
        <v>14342</v>
      </c>
      <c r="G617" s="2" t="n">
        <v>58884</v>
      </c>
      <c r="H617" s="3" t="str">
        <f>HYPERLINK("http://funmeta.oebiotech.com/network/58884", "http://funmeta.oebiotech.com/network/58884")</f>
      </c>
      <c r="I617" s="2" t="s">
        <v>14343</v>
      </c>
      <c r="J617" s="2" t="s">
        <v>14344</v>
      </c>
      <c r="K617" s="2"/>
      <c r="L617" s="2"/>
      <c r="M617" s="2"/>
      <c r="N617" s="2" t="s">
        <v>14345</v>
      </c>
      <c r="O617" s="2"/>
      <c r="P617" s="2" t="s">
        <v>14346</v>
      </c>
      <c r="Q617" s="2" t="s">
        <v>14347</v>
      </c>
      <c r="R617" s="2" t="s">
        <v>794</v>
      </c>
      <c r="S617" s="2" t="s">
        <v>1098</v>
      </c>
      <c r="T617" s="2" t="s">
        <v>4662</v>
      </c>
      <c r="U617" s="2" t="s">
        <v>5215</v>
      </c>
      <c r="V617" s="2" t="s">
        <v>24</v>
      </c>
      <c r="W617" s="2" t="s">
        <v>56</v>
      </c>
    </row>
    <row r="618">
      <c r="A618" s="2" t="n">
        <v>460</v>
      </c>
      <c r="B618" s="2" t="s">
        <v>14348</v>
      </c>
      <c r="C618" s="2" t="s">
        <v>5226</v>
      </c>
      <c r="D618" s="2" t="n">
        <v>324.0328598</v>
      </c>
      <c r="E618" s="2" t="n">
        <v>4.99506975773773</v>
      </c>
      <c r="F618" s="2" t="s">
        <v>5228</v>
      </c>
      <c r="G618" s="2" t="n">
        <v>207542</v>
      </c>
      <c r="H618" s="3" t="str">
        <f>HYPERLINK("http://funmeta.oebiotech.com/network/207542", "http://funmeta.oebiotech.com/network/207542")</f>
      </c>
      <c r="I618" s="2" t="s">
        <v>5230</v>
      </c>
      <c r="J618" s="2"/>
      <c r="K618" s="2"/>
      <c r="L618" s="2"/>
      <c r="M618" s="2"/>
      <c r="N618" s="2" t="s">
        <v>5231</v>
      </c>
      <c r="O618" s="2"/>
      <c r="P618" s="2" t="s">
        <v>5232</v>
      </c>
      <c r="Q618" s="2" t="s">
        <v>5233</v>
      </c>
      <c r="R618" s="2" t="s">
        <v>186</v>
      </c>
      <c r="S618" s="2" t="s">
        <v>187</v>
      </c>
      <c r="T618" s="2" t="s">
        <v>2791</v>
      </c>
      <c r="U618" s="2" t="s">
        <v>5227</v>
      </c>
      <c r="V618" s="2" t="s">
        <v>24</v>
      </c>
      <c r="W618" s="2"/>
    </row>
    <row r="619">
      <c r="A619" s="2" t="n">
        <v>461</v>
      </c>
      <c r="B619" s="2" t="s">
        <v>14349</v>
      </c>
      <c r="C619" s="2" t="s">
        <v>5234</v>
      </c>
      <c r="D619" s="2" t="n">
        <v>325.03559459</v>
      </c>
      <c r="E619" s="2" t="n">
        <v>3.15100077481027</v>
      </c>
      <c r="F619" s="2" t="s">
        <v>5236</v>
      </c>
      <c r="G619" s="2" t="n">
        <v>197190</v>
      </c>
      <c r="H619" s="3" t="str">
        <f>HYPERLINK("http://funmeta.oebiotech.com/network/197190", "http://funmeta.oebiotech.com/network/197190")</f>
      </c>
      <c r="I619" s="2" t="s">
        <v>5238</v>
      </c>
      <c r="J619" s="2"/>
      <c r="K619" s="2"/>
      <c r="L619" s="2"/>
      <c r="M619" s="2"/>
      <c r="N619" s="2" t="s">
        <v>5239</v>
      </c>
      <c r="O619" s="2"/>
      <c r="P619" s="2" t="s">
        <v>5240</v>
      </c>
      <c r="Q619" s="2" t="s">
        <v>5241</v>
      </c>
      <c r="R619" s="2" t="s">
        <v>36</v>
      </c>
      <c r="S619" s="2" t="s">
        <v>37</v>
      </c>
      <c r="T619" s="2" t="s">
        <v>69</v>
      </c>
      <c r="U619" s="2" t="s">
        <v>5235</v>
      </c>
      <c r="V619" s="2" t="s">
        <v>24</v>
      </c>
      <c r="W619" s="2"/>
    </row>
    <row r="620">
      <c r="A620" s="2" t="n">
        <v>462</v>
      </c>
      <c r="B620" s="2" t="s">
        <v>14350</v>
      </c>
      <c r="C620" s="2" t="s">
        <v>5242</v>
      </c>
      <c r="D620" s="2" t="n">
        <v>325.11883076</v>
      </c>
      <c r="E620" s="2" t="n">
        <v>2.49843465050855</v>
      </c>
      <c r="F620" s="2" t="s">
        <v>5244</v>
      </c>
      <c r="G620" s="2" t="n">
        <v>54128</v>
      </c>
      <c r="H620" s="3" t="str">
        <f>HYPERLINK("http://funmeta.oebiotech.com/network/54128", "http://funmeta.oebiotech.com/network/54128")</f>
      </c>
      <c r="I620" s="2" t="s">
        <v>5246</v>
      </c>
      <c r="J620" s="2"/>
      <c r="K620" s="2"/>
      <c r="L620" s="2"/>
      <c r="M620" s="2" t="s">
        <v>5247</v>
      </c>
      <c r="N620" s="2"/>
      <c r="O620" s="2"/>
      <c r="P620" s="2" t="s">
        <v>5248</v>
      </c>
      <c r="Q620" s="2" t="s">
        <v>5249</v>
      </c>
      <c r="R620" s="2" t="s">
        <v>36</v>
      </c>
      <c r="S620" s="2" t="s">
        <v>37</v>
      </c>
      <c r="T620" s="2" t="s">
        <v>69</v>
      </c>
      <c r="U620" s="2" t="s">
        <v>5243</v>
      </c>
      <c r="V620" s="2" t="s">
        <v>161</v>
      </c>
      <c r="W620" s="2" t="s">
        <v>56</v>
      </c>
    </row>
    <row r="621">
      <c r="A621" s="2" t="n">
        <v>463</v>
      </c>
      <c r="B621" s="2" t="s">
        <v>14351</v>
      </c>
      <c r="C621" s="2" t="s">
        <v>5250</v>
      </c>
      <c r="D621" s="2" t="n">
        <v>325.274268768</v>
      </c>
      <c r="E621" s="2" t="n">
        <v>6.83132546889607</v>
      </c>
      <c r="F621" s="2" t="s">
        <v>14352</v>
      </c>
      <c r="G621" s="2" t="n">
        <v>56386</v>
      </c>
      <c r="H621" s="3" t="str">
        <f>HYPERLINK("http://funmeta.oebiotech.com/network/56386", "http://funmeta.oebiotech.com/network/56386")</f>
      </c>
      <c r="I621" s="2" t="s">
        <v>14353</v>
      </c>
      <c r="J621" s="2" t="s">
        <v>14354</v>
      </c>
      <c r="K621" s="2"/>
      <c r="L621" s="2"/>
      <c r="M621" s="2" t="s">
        <v>14355</v>
      </c>
      <c r="N621" s="2" t="s">
        <v>14356</v>
      </c>
      <c r="O621" s="2" t="s">
        <v>14357</v>
      </c>
      <c r="P621" s="2" t="s">
        <v>14358</v>
      </c>
      <c r="Q621" s="2" t="s">
        <v>14359</v>
      </c>
      <c r="R621" s="2" t="s">
        <v>794</v>
      </c>
      <c r="S621" s="2" t="s">
        <v>795</v>
      </c>
      <c r="T621" s="2" t="s">
        <v>796</v>
      </c>
      <c r="U621" s="2" t="s">
        <v>5251</v>
      </c>
      <c r="V621" s="2" t="s">
        <v>161</v>
      </c>
      <c r="W621" s="2" t="s">
        <v>56</v>
      </c>
    </row>
    <row r="622">
      <c r="A622" s="2" t="n">
        <v>463</v>
      </c>
      <c r="B622" s="2" t="s">
        <v>14360</v>
      </c>
      <c r="C622" s="2" t="s">
        <v>5250</v>
      </c>
      <c r="D622" s="2" t="n">
        <v>325.274268768</v>
      </c>
      <c r="E622" s="2" t="n">
        <v>6.83132546889607</v>
      </c>
      <c r="F622" s="2" t="s">
        <v>14361</v>
      </c>
      <c r="G622" s="2" t="n">
        <v>93680</v>
      </c>
      <c r="H622" s="3" t="str">
        <f>HYPERLINK("http://funmeta.oebiotech.com/network/93680", "http://funmeta.oebiotech.com/network/93680")</f>
      </c>
      <c r="I622" s="2" t="s">
        <v>14362</v>
      </c>
      <c r="J622" s="2"/>
      <c r="K622" s="2"/>
      <c r="L622" s="2"/>
      <c r="M622" s="2"/>
      <c r="N622" s="2" t="s">
        <v>14363</v>
      </c>
      <c r="O622" s="2"/>
      <c r="P622" s="2" t="s">
        <v>14364</v>
      </c>
      <c r="Q622" s="2" t="s">
        <v>14365</v>
      </c>
      <c r="R622" s="2" t="s">
        <v>794</v>
      </c>
      <c r="S622" s="2" t="s">
        <v>2600</v>
      </c>
      <c r="T622" s="2" t="s">
        <v>2601</v>
      </c>
      <c r="U622" s="2" t="s">
        <v>5251</v>
      </c>
      <c r="V622" s="2" t="s">
        <v>161</v>
      </c>
      <c r="W622" s="2" t="s">
        <v>56</v>
      </c>
    </row>
    <row r="623">
      <c r="A623" s="2" t="n">
        <v>464</v>
      </c>
      <c r="B623" s="2" t="s">
        <v>14366</v>
      </c>
      <c r="C623" s="2" t="s">
        <v>5263</v>
      </c>
      <c r="D623" s="2" t="n">
        <v>326.076051899</v>
      </c>
      <c r="E623" s="2" t="n">
        <v>2.55683209606334</v>
      </c>
      <c r="F623" s="2" t="s">
        <v>5265</v>
      </c>
      <c r="G623" s="2" t="n">
        <v>207245</v>
      </c>
      <c r="H623" s="3" t="str">
        <f>HYPERLINK("http://funmeta.oebiotech.com/network/207245", "http://funmeta.oebiotech.com/network/207245")</f>
      </c>
      <c r="I623" s="2" t="s">
        <v>5267</v>
      </c>
      <c r="J623" s="2"/>
      <c r="K623" s="2"/>
      <c r="L623" s="2"/>
      <c r="M623" s="2"/>
      <c r="N623" s="2"/>
      <c r="O623" s="2"/>
      <c r="P623" s="2" t="s">
        <v>5268</v>
      </c>
      <c r="Q623" s="2" t="s">
        <v>5269</v>
      </c>
      <c r="R623" s="2" t="s">
        <v>36</v>
      </c>
      <c r="S623" s="2" t="s">
        <v>37</v>
      </c>
      <c r="T623" s="2" t="s">
        <v>69</v>
      </c>
      <c r="U623" s="2" t="s">
        <v>5264</v>
      </c>
      <c r="V623" s="2" t="s">
        <v>86</v>
      </c>
      <c r="W623" s="2"/>
    </row>
    <row r="624">
      <c r="A624" s="2" t="n">
        <v>465</v>
      </c>
      <c r="B624" s="2" t="s">
        <v>14367</v>
      </c>
      <c r="C624" s="2" t="s">
        <v>5270</v>
      </c>
      <c r="D624" s="2" t="n">
        <v>326.119627426</v>
      </c>
      <c r="E624" s="2" t="n">
        <v>1.78414201099382</v>
      </c>
      <c r="F624" s="2" t="s">
        <v>5272</v>
      </c>
      <c r="G624" s="2" t="n">
        <v>64899</v>
      </c>
      <c r="H624" s="3" t="str">
        <f>HYPERLINK("http://funmeta.oebiotech.com/network/64899", "http://funmeta.oebiotech.com/network/64899")</f>
      </c>
      <c r="I624" s="2" t="s">
        <v>5274</v>
      </c>
      <c r="J624" s="2" t="s">
        <v>5275</v>
      </c>
      <c r="K624" s="2"/>
      <c r="L624" s="2"/>
      <c r="M624" s="2"/>
      <c r="N624" s="2" t="s">
        <v>5276</v>
      </c>
      <c r="O624" s="2" t="s">
        <v>5277</v>
      </c>
      <c r="P624" s="2" t="s">
        <v>5278</v>
      </c>
      <c r="Q624" s="2" t="s">
        <v>5279</v>
      </c>
      <c r="R624" s="2" t="s">
        <v>114</v>
      </c>
      <c r="S624" s="2" t="s">
        <v>2057</v>
      </c>
      <c r="T624" s="2" t="s">
        <v>5280</v>
      </c>
      <c r="U624" s="2" t="s">
        <v>5271</v>
      </c>
      <c r="V624" s="2" t="s">
        <v>86</v>
      </c>
      <c r="W624" s="2"/>
    </row>
    <row r="625">
      <c r="A625" s="2" t="n">
        <v>466</v>
      </c>
      <c r="B625" s="2" t="s">
        <v>14368</v>
      </c>
      <c r="C625" s="2" t="s">
        <v>5281</v>
      </c>
      <c r="D625" s="2" t="n">
        <v>327.144927122</v>
      </c>
      <c r="E625" s="2" t="n">
        <v>0.990030135349796</v>
      </c>
      <c r="F625" s="2" t="s">
        <v>14369</v>
      </c>
      <c r="G625" s="2" t="n">
        <v>63629</v>
      </c>
      <c r="H625" s="3" t="str">
        <f>HYPERLINK("http://funmeta.oebiotech.com/network/63629", "http://funmeta.oebiotech.com/network/63629")</f>
      </c>
      <c r="I625" s="2" t="s">
        <v>14370</v>
      </c>
      <c r="J625" s="2" t="s">
        <v>14371</v>
      </c>
      <c r="K625" s="2"/>
      <c r="L625" s="2"/>
      <c r="M625" s="2" t="s">
        <v>14372</v>
      </c>
      <c r="N625" s="2" t="s">
        <v>14373</v>
      </c>
      <c r="O625" s="2"/>
      <c r="P625" s="2" t="s">
        <v>14374</v>
      </c>
      <c r="Q625" s="2" t="s">
        <v>14375</v>
      </c>
      <c r="R625" s="2" t="s">
        <v>794</v>
      </c>
      <c r="S625" s="2" t="s">
        <v>1098</v>
      </c>
      <c r="T625" s="2" t="s">
        <v>7878</v>
      </c>
      <c r="U625" s="2" t="s">
        <v>5282</v>
      </c>
      <c r="V625" s="2" t="s">
        <v>24</v>
      </c>
      <c r="W625" s="2" t="s">
        <v>56</v>
      </c>
    </row>
    <row r="626">
      <c r="A626" s="2" t="n">
        <v>466</v>
      </c>
      <c r="B626" s="2" t="s">
        <v>14376</v>
      </c>
      <c r="C626" s="2" t="s">
        <v>5281</v>
      </c>
      <c r="D626" s="2" t="n">
        <v>327.144927122</v>
      </c>
      <c r="E626" s="2" t="n">
        <v>0.990030135349796</v>
      </c>
      <c r="F626" s="2" t="s">
        <v>14377</v>
      </c>
      <c r="G626" s="2" t="n">
        <v>54668</v>
      </c>
      <c r="H626" s="3" t="str">
        <f>HYPERLINK("http://funmeta.oebiotech.com/network/54668", "http://funmeta.oebiotech.com/network/54668")</f>
      </c>
      <c r="I626" s="2" t="s">
        <v>14378</v>
      </c>
      <c r="J626" s="2" t="s">
        <v>14379</v>
      </c>
      <c r="K626" s="2"/>
      <c r="L626" s="2"/>
      <c r="M626" s="2" t="s">
        <v>14380</v>
      </c>
      <c r="N626" s="2" t="s">
        <v>14381</v>
      </c>
      <c r="O626" s="2" t="s">
        <v>14382</v>
      </c>
      <c r="P626" s="2" t="s">
        <v>14383</v>
      </c>
      <c r="Q626" s="2" t="s">
        <v>14384</v>
      </c>
      <c r="R626" s="2" t="s">
        <v>129</v>
      </c>
      <c r="S626" s="2" t="s">
        <v>130</v>
      </c>
      <c r="T626" s="2" t="s">
        <v>1681</v>
      </c>
      <c r="U626" s="2" t="s">
        <v>5282</v>
      </c>
      <c r="V626" s="2" t="s">
        <v>24</v>
      </c>
      <c r="W626" s="2" t="s">
        <v>56</v>
      </c>
    </row>
    <row r="627">
      <c r="A627" s="2" t="n">
        <v>466</v>
      </c>
      <c r="B627" s="2" t="s">
        <v>14385</v>
      </c>
      <c r="C627" s="2" t="s">
        <v>5281</v>
      </c>
      <c r="D627" s="2" t="n">
        <v>327.144927122</v>
      </c>
      <c r="E627" s="2" t="n">
        <v>0.990030135349796</v>
      </c>
      <c r="F627" s="2" t="s">
        <v>14386</v>
      </c>
      <c r="G627" s="2" t="n">
        <v>62662</v>
      </c>
      <c r="H627" s="3" t="str">
        <f>HYPERLINK("http://funmeta.oebiotech.com/network/62662", "http://funmeta.oebiotech.com/network/62662")</f>
      </c>
      <c r="I627" s="2" t="s">
        <v>14387</v>
      </c>
      <c r="J627" s="2" t="s">
        <v>14388</v>
      </c>
      <c r="K627" s="2"/>
      <c r="L627" s="2"/>
      <c r="M627" s="2" t="s">
        <v>14389</v>
      </c>
      <c r="N627" s="2" t="s">
        <v>14390</v>
      </c>
      <c r="O627" s="2" t="s">
        <v>14391</v>
      </c>
      <c r="P627" s="2" t="s">
        <v>14392</v>
      </c>
      <c r="Q627" s="2" t="s">
        <v>14393</v>
      </c>
      <c r="R627" s="2" t="s">
        <v>794</v>
      </c>
      <c r="S627" s="2" t="s">
        <v>1098</v>
      </c>
      <c r="T627" s="2" t="s">
        <v>7878</v>
      </c>
      <c r="U627" s="2" t="s">
        <v>5282</v>
      </c>
      <c r="V627" s="2" t="s">
        <v>24</v>
      </c>
      <c r="W627" s="2" t="s">
        <v>56</v>
      </c>
    </row>
    <row r="628">
      <c r="A628" s="2" t="n">
        <v>467</v>
      </c>
      <c r="B628" s="2" t="s">
        <v>14394</v>
      </c>
      <c r="C628" s="2" t="s">
        <v>5295</v>
      </c>
      <c r="D628" s="2" t="n">
        <v>327.232403954</v>
      </c>
      <c r="E628" s="2" t="n">
        <v>8.95461310554108</v>
      </c>
      <c r="F628" s="2" t="s">
        <v>14395</v>
      </c>
      <c r="G628" s="2" t="n">
        <v>58872</v>
      </c>
      <c r="H628" s="3" t="str">
        <f>HYPERLINK("http://funmeta.oebiotech.com/network/58872", "http://funmeta.oebiotech.com/network/58872")</f>
      </c>
      <c r="I628" s="2" t="s">
        <v>14396</v>
      </c>
      <c r="J628" s="2"/>
      <c r="K628" s="2"/>
      <c r="L628" s="2"/>
      <c r="M628" s="2"/>
      <c r="N628" s="2" t="s">
        <v>14397</v>
      </c>
      <c r="O628" s="2" t="s">
        <v>14398</v>
      </c>
      <c r="P628" s="2" t="s">
        <v>14399</v>
      </c>
      <c r="Q628" s="2" t="s">
        <v>14400</v>
      </c>
      <c r="R628" s="2" t="s">
        <v>794</v>
      </c>
      <c r="S628" s="2" t="s">
        <v>1098</v>
      </c>
      <c r="T628" s="2" t="s">
        <v>4662</v>
      </c>
      <c r="U628" s="2" t="s">
        <v>5296</v>
      </c>
      <c r="V628" s="2" t="s">
        <v>161</v>
      </c>
      <c r="W628" s="2" t="s">
        <v>56</v>
      </c>
    </row>
    <row r="629">
      <c r="A629" s="2" t="n">
        <v>467</v>
      </c>
      <c r="B629" s="2" t="s">
        <v>14401</v>
      </c>
      <c r="C629" s="2" t="s">
        <v>5295</v>
      </c>
      <c r="D629" s="2" t="n">
        <v>327.232403954</v>
      </c>
      <c r="E629" s="2" t="n">
        <v>8.95461310554108</v>
      </c>
      <c r="F629" s="2" t="s">
        <v>14402</v>
      </c>
      <c r="G629" s="2" t="n">
        <v>64114</v>
      </c>
      <c r="H629" s="3" t="str">
        <f>HYPERLINK("http://funmeta.oebiotech.com/network/64114", "http://funmeta.oebiotech.com/network/64114")</f>
      </c>
      <c r="I629" s="2" t="s">
        <v>14403</v>
      </c>
      <c r="J629" s="2"/>
      <c r="K629" s="2"/>
      <c r="L629" s="2"/>
      <c r="M629" s="2"/>
      <c r="N629" s="2" t="s">
        <v>14404</v>
      </c>
      <c r="O629" s="2" t="s">
        <v>14405</v>
      </c>
      <c r="P629" s="2" t="s">
        <v>14406</v>
      </c>
      <c r="Q629" s="2" t="s">
        <v>14407</v>
      </c>
      <c r="R629" s="2" t="s">
        <v>794</v>
      </c>
      <c r="S629" s="2" t="s">
        <v>1098</v>
      </c>
      <c r="T629" s="2" t="s">
        <v>3308</v>
      </c>
      <c r="U629" s="2" t="s">
        <v>5296</v>
      </c>
      <c r="V629" s="2" t="s">
        <v>161</v>
      </c>
      <c r="W629" s="2" t="s">
        <v>56</v>
      </c>
    </row>
    <row r="630">
      <c r="A630" s="2" t="n">
        <v>468</v>
      </c>
      <c r="B630" s="2" t="s">
        <v>14408</v>
      </c>
      <c r="C630" s="2" t="s">
        <v>5306</v>
      </c>
      <c r="D630" s="2" t="n">
        <v>328.116854095</v>
      </c>
      <c r="E630" s="2" t="n">
        <v>2.75137804510268</v>
      </c>
      <c r="F630" s="2" t="s">
        <v>14409</v>
      </c>
      <c r="G630" s="2" t="n">
        <v>63032</v>
      </c>
      <c r="H630" s="3" t="str">
        <f>HYPERLINK("http://funmeta.oebiotech.com/network/63032", "http://funmeta.oebiotech.com/network/63032")</f>
      </c>
      <c r="I630" s="2" t="s">
        <v>14410</v>
      </c>
      <c r="J630" s="2"/>
      <c r="K630" s="2"/>
      <c r="L630" s="2"/>
      <c r="M630" s="2" t="s">
        <v>14411</v>
      </c>
      <c r="N630" s="2" t="s">
        <v>14412</v>
      </c>
      <c r="O630" s="2" t="s">
        <v>14413</v>
      </c>
      <c r="P630" s="2" t="s">
        <v>14414</v>
      </c>
      <c r="Q630" s="2" t="s">
        <v>14415</v>
      </c>
      <c r="R630" s="2" t="s">
        <v>36</v>
      </c>
      <c r="S630" s="2" t="s">
        <v>37</v>
      </c>
      <c r="T630" s="2" t="s">
        <v>69</v>
      </c>
      <c r="U630" s="2" t="s">
        <v>5307</v>
      </c>
      <c r="V630" s="2" t="s">
        <v>86</v>
      </c>
      <c r="W630" s="2" t="s">
        <v>39</v>
      </c>
    </row>
    <row r="631">
      <c r="A631" s="2" t="n">
        <v>468</v>
      </c>
      <c r="B631" s="2" t="s">
        <v>14416</v>
      </c>
      <c r="C631" s="2" t="s">
        <v>5306</v>
      </c>
      <c r="D631" s="2" t="n">
        <v>328.116854095</v>
      </c>
      <c r="E631" s="2" t="n">
        <v>2.75137804510268</v>
      </c>
      <c r="F631" s="2" t="s">
        <v>14417</v>
      </c>
      <c r="G631" s="2" t="n">
        <v>61325</v>
      </c>
      <c r="H631" s="3" t="str">
        <f>HYPERLINK("http://funmeta.oebiotech.com/network/61325", "http://funmeta.oebiotech.com/network/61325")</f>
      </c>
      <c r="I631" s="2" t="s">
        <v>14418</v>
      </c>
      <c r="J631" s="2"/>
      <c r="K631" s="2"/>
      <c r="L631" s="2"/>
      <c r="M631" s="2" t="s">
        <v>14419</v>
      </c>
      <c r="N631" s="2" t="s">
        <v>14420</v>
      </c>
      <c r="O631" s="2" t="s">
        <v>14421</v>
      </c>
      <c r="P631" s="2" t="s">
        <v>14422</v>
      </c>
      <c r="Q631" s="2" t="s">
        <v>14423</v>
      </c>
      <c r="R631" s="2" t="s">
        <v>36</v>
      </c>
      <c r="S631" s="2" t="s">
        <v>37</v>
      </c>
      <c r="T631" s="2" t="s">
        <v>69</v>
      </c>
      <c r="U631" s="2" t="s">
        <v>5307</v>
      </c>
      <c r="V631" s="2" t="s">
        <v>86</v>
      </c>
      <c r="W631" s="2" t="s">
        <v>39</v>
      </c>
    </row>
    <row r="632">
      <c r="A632" s="2" t="n">
        <v>469</v>
      </c>
      <c r="B632" s="2" t="s">
        <v>14424</v>
      </c>
      <c r="C632" s="2" t="s">
        <v>5316</v>
      </c>
      <c r="D632" s="2" t="n">
        <v>329.171806261</v>
      </c>
      <c r="E632" s="2" t="n">
        <v>1.0994084441883</v>
      </c>
      <c r="F632" s="2" t="s">
        <v>5318</v>
      </c>
      <c r="G632" s="2" t="n">
        <v>202773</v>
      </c>
      <c r="H632" s="3" t="str">
        <f>HYPERLINK("http://funmeta.oebiotech.com/network/202773", "http://funmeta.oebiotech.com/network/202773")</f>
      </c>
      <c r="I632" s="2" t="s">
        <v>5320</v>
      </c>
      <c r="J632" s="2" t="s">
        <v>5321</v>
      </c>
      <c r="K632" s="2"/>
      <c r="L632" s="2"/>
      <c r="M632" s="2"/>
      <c r="N632" s="2" t="s">
        <v>5322</v>
      </c>
      <c r="O632" s="2"/>
      <c r="P632" s="2" t="s">
        <v>5323</v>
      </c>
      <c r="Q632" s="2" t="s">
        <v>5324</v>
      </c>
      <c r="R632" s="2" t="s">
        <v>114</v>
      </c>
      <c r="S632" s="2" t="s">
        <v>4121</v>
      </c>
      <c r="T632" s="2" t="s">
        <v>4122</v>
      </c>
      <c r="U632" s="2" t="s">
        <v>5317</v>
      </c>
      <c r="V632" s="2" t="s">
        <v>205</v>
      </c>
      <c r="W632" s="2"/>
    </row>
    <row r="633">
      <c r="A633" s="2" t="n">
        <v>470</v>
      </c>
      <c r="B633" s="2" t="s">
        <v>14425</v>
      </c>
      <c r="C633" s="2" t="s">
        <v>5325</v>
      </c>
      <c r="D633" s="2" t="n">
        <v>329.259837723</v>
      </c>
      <c r="E633" s="2" t="n">
        <v>16.314464841836</v>
      </c>
      <c r="F633" s="2" t="s">
        <v>5327</v>
      </c>
      <c r="G633" s="2" t="n">
        <v>211150</v>
      </c>
      <c r="H633" s="3" t="str">
        <f>HYPERLINK("http://funmeta.oebiotech.com/network/211150", "http://funmeta.oebiotech.com/network/211150")</f>
      </c>
      <c r="I633" s="2" t="s">
        <v>5329</v>
      </c>
      <c r="J633" s="2" t="s">
        <v>5330</v>
      </c>
      <c r="K633" s="2"/>
      <c r="L633" s="2"/>
      <c r="M633" s="2"/>
      <c r="N633" s="2" t="s">
        <v>5331</v>
      </c>
      <c r="O633" s="2"/>
      <c r="P633" s="2" t="s">
        <v>5332</v>
      </c>
      <c r="Q633" s="2" t="s">
        <v>5333</v>
      </c>
      <c r="R633" s="2" t="s">
        <v>114</v>
      </c>
      <c r="S633" s="2" t="s">
        <v>4121</v>
      </c>
      <c r="T633" s="2" t="s">
        <v>5334</v>
      </c>
      <c r="U633" s="2" t="s">
        <v>5326</v>
      </c>
      <c r="V633" s="2" t="s">
        <v>24</v>
      </c>
      <c r="W633" s="2"/>
    </row>
    <row r="634">
      <c r="A634" s="2" t="n">
        <v>471</v>
      </c>
      <c r="B634" s="2" t="s">
        <v>14426</v>
      </c>
      <c r="C634" s="2" t="s">
        <v>5335</v>
      </c>
      <c r="D634" s="2" t="n">
        <v>330.053133237</v>
      </c>
      <c r="E634" s="2" t="n">
        <v>4.58303619217485</v>
      </c>
      <c r="F634" s="2" t="s">
        <v>5337</v>
      </c>
      <c r="G634" s="2" t="n">
        <v>201111</v>
      </c>
      <c r="H634" s="3" t="str">
        <f>HYPERLINK("http://funmeta.oebiotech.com/network/201111", "http://funmeta.oebiotech.com/network/201111")</f>
      </c>
      <c r="I634" s="2" t="s">
        <v>5339</v>
      </c>
      <c r="J634" s="2"/>
      <c r="K634" s="2"/>
      <c r="L634" s="2"/>
      <c r="M634" s="2"/>
      <c r="N634" s="2" t="s">
        <v>5340</v>
      </c>
      <c r="O634" s="2"/>
      <c r="P634" s="2" t="s">
        <v>5341</v>
      </c>
      <c r="Q634" s="2" t="s">
        <v>5342</v>
      </c>
      <c r="R634" s="2" t="s">
        <v>114</v>
      </c>
      <c r="S634" s="2" t="s">
        <v>5343</v>
      </c>
      <c r="T634" s="2" t="s">
        <v>5344</v>
      </c>
      <c r="U634" s="2" t="s">
        <v>5336</v>
      </c>
      <c r="V634" s="2" t="s">
        <v>161</v>
      </c>
      <c r="W634" s="2"/>
    </row>
    <row r="635">
      <c r="A635" s="2" t="n">
        <v>472</v>
      </c>
      <c r="B635" s="2" t="s">
        <v>14427</v>
      </c>
      <c r="C635" s="2" t="s">
        <v>5345</v>
      </c>
      <c r="D635" s="2" t="n">
        <v>330.181765367</v>
      </c>
      <c r="E635" s="2" t="n">
        <v>7.33615345407698</v>
      </c>
      <c r="F635" s="2" t="s">
        <v>5347</v>
      </c>
      <c r="G635" s="2" t="n">
        <v>54210</v>
      </c>
      <c r="H635" s="3" t="str">
        <f>HYPERLINK("http://funmeta.oebiotech.com/network/54210", "http://funmeta.oebiotech.com/network/54210")</f>
      </c>
      <c r="I635" s="2" t="s">
        <v>5349</v>
      </c>
      <c r="J635" s="2" t="s">
        <v>5350</v>
      </c>
      <c r="K635" s="2"/>
      <c r="L635" s="2" t="s">
        <v>5351</v>
      </c>
      <c r="M635" s="2"/>
      <c r="N635" s="2" t="s">
        <v>5352</v>
      </c>
      <c r="O635" s="2"/>
      <c r="P635" s="2" t="s">
        <v>5353</v>
      </c>
      <c r="Q635" s="2" t="s">
        <v>5354</v>
      </c>
      <c r="R635" s="2" t="s">
        <v>186</v>
      </c>
      <c r="S635" s="2" t="s">
        <v>187</v>
      </c>
      <c r="T635" s="2" t="s">
        <v>3454</v>
      </c>
      <c r="U635" s="2" t="s">
        <v>5346</v>
      </c>
      <c r="V635" s="2" t="s">
        <v>161</v>
      </c>
      <c r="W635" s="2" t="s">
        <v>56</v>
      </c>
    </row>
    <row r="636">
      <c r="A636" s="2" t="n">
        <v>473</v>
      </c>
      <c r="B636" s="2" t="s">
        <v>14428</v>
      </c>
      <c r="C636" s="2" t="s">
        <v>5355</v>
      </c>
      <c r="D636" s="2" t="n">
        <v>331.075802177</v>
      </c>
      <c r="E636" s="2" t="n">
        <v>1.26768454639386</v>
      </c>
      <c r="F636" s="2" t="s">
        <v>5357</v>
      </c>
      <c r="G636" s="2" t="n">
        <v>203075</v>
      </c>
      <c r="H636" s="3" t="str">
        <f>HYPERLINK("http://funmeta.oebiotech.com/network/203075", "http://funmeta.oebiotech.com/network/203075")</f>
      </c>
      <c r="I636" s="2" t="s">
        <v>5359</v>
      </c>
      <c r="J636" s="2"/>
      <c r="K636" s="2"/>
      <c r="L636" s="2"/>
      <c r="M636" s="2" t="s">
        <v>5360</v>
      </c>
      <c r="N636" s="2" t="s">
        <v>5361</v>
      </c>
      <c r="O636" s="2"/>
      <c r="P636" s="2" t="s">
        <v>5362</v>
      </c>
      <c r="Q636" s="2" t="s">
        <v>5363</v>
      </c>
      <c r="R636" s="2" t="s">
        <v>186</v>
      </c>
      <c r="S636" s="2" t="s">
        <v>187</v>
      </c>
      <c r="T636" s="2" t="s">
        <v>4711</v>
      </c>
      <c r="U636" s="2" t="s">
        <v>5356</v>
      </c>
      <c r="V636" s="2" t="s">
        <v>24</v>
      </c>
      <c r="W636" s="2"/>
    </row>
    <row r="637">
      <c r="A637" s="2" t="n">
        <v>474</v>
      </c>
      <c r="B637" s="2" t="s">
        <v>14429</v>
      </c>
      <c r="C637" s="2" t="s">
        <v>5364</v>
      </c>
      <c r="D637" s="2" t="n">
        <v>331.166326958</v>
      </c>
      <c r="E637" s="2" t="n">
        <v>0.101242736091323</v>
      </c>
      <c r="F637" s="2" t="s">
        <v>5366</v>
      </c>
      <c r="G637" s="2" t="n">
        <v>82833</v>
      </c>
      <c r="H637" s="3" t="str">
        <f>HYPERLINK("http://funmeta.oebiotech.com/network/82833", "http://funmeta.oebiotech.com/network/82833")</f>
      </c>
      <c r="I637" s="2" t="s">
        <v>5368</v>
      </c>
      <c r="J637" s="2"/>
      <c r="K637" s="2"/>
      <c r="L637" s="2"/>
      <c r="M637" s="2"/>
      <c r="N637" s="2" t="s">
        <v>5369</v>
      </c>
      <c r="O637" s="2"/>
      <c r="P637" s="2" t="s">
        <v>5370</v>
      </c>
      <c r="Q637" s="2" t="s">
        <v>5371</v>
      </c>
      <c r="R637" s="2" t="s">
        <v>3003</v>
      </c>
      <c r="S637" s="2" t="s">
        <v>4720</v>
      </c>
      <c r="T637" s="2" t="s">
        <v>5372</v>
      </c>
      <c r="U637" s="2" t="s">
        <v>5365</v>
      </c>
      <c r="V637" s="2" t="s">
        <v>205</v>
      </c>
      <c r="W637" s="2"/>
    </row>
    <row r="638">
      <c r="A638" s="2" t="n">
        <v>475</v>
      </c>
      <c r="B638" s="2" t="s">
        <v>14430</v>
      </c>
      <c r="C638" s="2" t="s">
        <v>5373</v>
      </c>
      <c r="D638" s="2" t="n">
        <v>331.191479076</v>
      </c>
      <c r="E638" s="2" t="n">
        <v>3.22551138135087</v>
      </c>
      <c r="F638" s="2" t="s">
        <v>5375</v>
      </c>
      <c r="G638" s="2" t="n">
        <v>44895</v>
      </c>
      <c r="H638" s="3" t="str">
        <f>HYPERLINK("http://funmeta.oebiotech.com/network/44895", "http://funmeta.oebiotech.com/network/44895")</f>
      </c>
      <c r="I638" s="2" t="s">
        <v>5377</v>
      </c>
      <c r="J638" s="2" t="s">
        <v>5378</v>
      </c>
      <c r="K638" s="2" t="s">
        <v>5379</v>
      </c>
      <c r="L638" s="2" t="s">
        <v>5380</v>
      </c>
      <c r="M638" s="2" t="s">
        <v>5381</v>
      </c>
      <c r="N638" s="2" t="s">
        <v>5382</v>
      </c>
      <c r="O638" s="2" t="s">
        <v>5383</v>
      </c>
      <c r="P638" s="2" t="s">
        <v>5384</v>
      </c>
      <c r="Q638" s="2" t="s">
        <v>5385</v>
      </c>
      <c r="R638" s="2" t="s">
        <v>794</v>
      </c>
      <c r="S638" s="2" t="s">
        <v>2971</v>
      </c>
      <c r="T638" s="2" t="s">
        <v>3921</v>
      </c>
      <c r="U638" s="2" t="s">
        <v>5374</v>
      </c>
      <c r="V638" s="2" t="s">
        <v>205</v>
      </c>
      <c r="W638" s="2" t="s">
        <v>56</v>
      </c>
    </row>
    <row r="639">
      <c r="A639" s="2" t="n">
        <v>476</v>
      </c>
      <c r="B639" s="2" t="s">
        <v>14431</v>
      </c>
      <c r="C639" s="2" t="s">
        <v>5386</v>
      </c>
      <c r="D639" s="2" t="n">
        <v>331.264250095</v>
      </c>
      <c r="E639" s="2" t="n">
        <v>4.53733309605757</v>
      </c>
      <c r="F639" s="2" t="s">
        <v>5388</v>
      </c>
      <c r="G639" s="2" t="n">
        <v>210560</v>
      </c>
      <c r="H639" s="3" t="str">
        <f>HYPERLINK("http://funmeta.oebiotech.com/network/210560", "http://funmeta.oebiotech.com/network/210560")</f>
      </c>
      <c r="I639" s="2" t="s">
        <v>5390</v>
      </c>
      <c r="J639" s="2"/>
      <c r="K639" s="2"/>
      <c r="L639" s="2"/>
      <c r="M639" s="2"/>
      <c r="N639" s="2"/>
      <c r="O639" s="2"/>
      <c r="P639" s="2" t="s">
        <v>5391</v>
      </c>
      <c r="Q639" s="2" t="s">
        <v>5392</v>
      </c>
      <c r="R639" s="2" t="s">
        <v>794</v>
      </c>
      <c r="S639" s="2" t="s">
        <v>2971</v>
      </c>
      <c r="T639" s="2" t="s">
        <v>5393</v>
      </c>
      <c r="U639" s="2" t="s">
        <v>5387</v>
      </c>
      <c r="V639" s="2" t="s">
        <v>205</v>
      </c>
      <c r="W639" s="2"/>
    </row>
    <row r="640">
      <c r="A640" s="2" t="n">
        <v>477</v>
      </c>
      <c r="B640" s="2" t="s">
        <v>14432</v>
      </c>
      <c r="C640" s="2" t="s">
        <v>5394</v>
      </c>
      <c r="D640" s="2" t="n">
        <v>333.100457142</v>
      </c>
      <c r="E640" s="2" t="n">
        <v>2.3730209242389</v>
      </c>
      <c r="F640" s="2" t="s">
        <v>5396</v>
      </c>
      <c r="G640" s="2" t="n">
        <v>209897</v>
      </c>
      <c r="H640" s="3" t="str">
        <f>HYPERLINK("http://funmeta.oebiotech.com/network/209897", "http://funmeta.oebiotech.com/network/209897")</f>
      </c>
      <c r="I640" s="2" t="s">
        <v>5398</v>
      </c>
      <c r="J640" s="2"/>
      <c r="K640" s="2"/>
      <c r="L640" s="2"/>
      <c r="M640" s="2"/>
      <c r="N640" s="2"/>
      <c r="O640" s="2"/>
      <c r="P640" s="2" t="s">
        <v>5399</v>
      </c>
      <c r="Q640" s="2" t="s">
        <v>5400</v>
      </c>
      <c r="R640" s="2" t="s">
        <v>114</v>
      </c>
      <c r="S640" s="2" t="s">
        <v>1254</v>
      </c>
      <c r="T640" s="2" t="s">
        <v>5401</v>
      </c>
      <c r="U640" s="2" t="s">
        <v>5395</v>
      </c>
      <c r="V640" s="2" t="s">
        <v>24</v>
      </c>
      <c r="W640" s="2"/>
    </row>
    <row r="641">
      <c r="A641" s="2" t="n">
        <v>478</v>
      </c>
      <c r="B641" s="2" t="s">
        <v>14433</v>
      </c>
      <c r="C641" s="2" t="s">
        <v>5402</v>
      </c>
      <c r="D641" s="2" t="n">
        <v>333.177954276</v>
      </c>
      <c r="E641" s="2" t="n">
        <v>3.97015129601278</v>
      </c>
      <c r="F641" s="2" t="s">
        <v>5404</v>
      </c>
      <c r="G641" s="2" t="n">
        <v>58552</v>
      </c>
      <c r="H641" s="3" t="str">
        <f>HYPERLINK("http://funmeta.oebiotech.com/network/58552", "http://funmeta.oebiotech.com/network/58552")</f>
      </c>
      <c r="I641" s="2" t="s">
        <v>5406</v>
      </c>
      <c r="J641" s="2" t="s">
        <v>5407</v>
      </c>
      <c r="K641" s="2"/>
      <c r="L641" s="2"/>
      <c r="M641" s="2"/>
      <c r="N641" s="2" t="s">
        <v>5408</v>
      </c>
      <c r="O641" s="2" t="s">
        <v>5409</v>
      </c>
      <c r="P641" s="2" t="s">
        <v>5410</v>
      </c>
      <c r="Q641" s="2" t="s">
        <v>5411</v>
      </c>
      <c r="R641" s="2" t="s">
        <v>36</v>
      </c>
      <c r="S641" s="2" t="s">
        <v>37</v>
      </c>
      <c r="T641" s="2" t="s">
        <v>69</v>
      </c>
      <c r="U641" s="2" t="s">
        <v>5403</v>
      </c>
      <c r="V641" s="2" t="s">
        <v>205</v>
      </c>
      <c r="W641" s="2" t="s">
        <v>56</v>
      </c>
    </row>
    <row r="642">
      <c r="A642" s="2" t="n">
        <v>479</v>
      </c>
      <c r="B642" s="2" t="s">
        <v>14434</v>
      </c>
      <c r="C642" s="2" t="s">
        <v>5412</v>
      </c>
      <c r="D642" s="2" t="n">
        <v>333.210500444</v>
      </c>
      <c r="E642" s="2" t="n">
        <v>3.09638020695867</v>
      </c>
      <c r="F642" s="2" t="s">
        <v>14435</v>
      </c>
      <c r="G642" s="2" t="n">
        <v>200202</v>
      </c>
      <c r="H642" s="3" t="str">
        <f>HYPERLINK("http://funmeta.oebiotech.com/network/200202", "http://funmeta.oebiotech.com/network/200202")</f>
      </c>
      <c r="I642" s="2" t="s">
        <v>14436</v>
      </c>
      <c r="J642" s="2"/>
      <c r="K642" s="2"/>
      <c r="L642" s="2"/>
      <c r="M642" s="2"/>
      <c r="N642" s="2" t="s">
        <v>14437</v>
      </c>
      <c r="O642" s="2"/>
      <c r="P642" s="2" t="s">
        <v>14438</v>
      </c>
      <c r="Q642" s="2" t="s">
        <v>14439</v>
      </c>
      <c r="R642" s="2" t="s">
        <v>794</v>
      </c>
      <c r="S642" s="2" t="s">
        <v>795</v>
      </c>
      <c r="T642" s="2" t="s">
        <v>796</v>
      </c>
      <c r="U642" s="2" t="s">
        <v>5413</v>
      </c>
      <c r="V642" s="2" t="s">
        <v>205</v>
      </c>
      <c r="W642" s="2"/>
    </row>
    <row r="643">
      <c r="A643" s="2" t="n">
        <v>479</v>
      </c>
      <c r="B643" s="2" t="s">
        <v>14440</v>
      </c>
      <c r="C643" s="2" t="s">
        <v>5412</v>
      </c>
      <c r="D643" s="2" t="n">
        <v>333.210500444</v>
      </c>
      <c r="E643" s="2" t="n">
        <v>3.09638020695867</v>
      </c>
      <c r="F643" s="2" t="s">
        <v>14441</v>
      </c>
      <c r="G643" s="2" t="n">
        <v>212325</v>
      </c>
      <c r="H643" s="3" t="str">
        <f>HYPERLINK("http://funmeta.oebiotech.com/network/212325", "http://funmeta.oebiotech.com/network/212325")</f>
      </c>
      <c r="I643" s="2" t="s">
        <v>14442</v>
      </c>
      <c r="J643" s="2"/>
      <c r="K643" s="2"/>
      <c r="L643" s="2"/>
      <c r="M643" s="2"/>
      <c r="N643" s="2"/>
      <c r="O643" s="2"/>
      <c r="P643" s="2" t="s">
        <v>14443</v>
      </c>
      <c r="Q643" s="2" t="s">
        <v>14444</v>
      </c>
      <c r="R643" s="2" t="s">
        <v>794</v>
      </c>
      <c r="S643" s="2" t="s">
        <v>795</v>
      </c>
      <c r="T643" s="2" t="s">
        <v>796</v>
      </c>
      <c r="U643" s="2" t="s">
        <v>5413</v>
      </c>
      <c r="V643" s="2" t="s">
        <v>205</v>
      </c>
      <c r="W643" s="2"/>
    </row>
    <row r="644">
      <c r="A644" s="2" t="n">
        <v>480</v>
      </c>
      <c r="B644" s="2" t="s">
        <v>14445</v>
      </c>
      <c r="C644" s="2" t="s">
        <v>5420</v>
      </c>
      <c r="D644" s="2" t="n">
        <v>334.0037723</v>
      </c>
      <c r="E644" s="2" t="n">
        <v>1.00841129512713</v>
      </c>
      <c r="F644" s="2" t="s">
        <v>5422</v>
      </c>
      <c r="G644" s="2" t="n">
        <v>203074</v>
      </c>
      <c r="H644" s="3" t="str">
        <f>HYPERLINK("http://funmeta.oebiotech.com/network/203074", "http://funmeta.oebiotech.com/network/203074")</f>
      </c>
      <c r="I644" s="2" t="s">
        <v>5424</v>
      </c>
      <c r="J644" s="2"/>
      <c r="K644" s="2"/>
      <c r="L644" s="2"/>
      <c r="M644" s="2" t="s">
        <v>5425</v>
      </c>
      <c r="N644" s="2" t="s">
        <v>5426</v>
      </c>
      <c r="O644" s="2"/>
      <c r="P644" s="2" t="s">
        <v>5427</v>
      </c>
      <c r="Q644" s="2" t="s">
        <v>5428</v>
      </c>
      <c r="R644" s="2" t="s">
        <v>186</v>
      </c>
      <c r="S644" s="2" t="s">
        <v>187</v>
      </c>
      <c r="T644" s="2" t="s">
        <v>2791</v>
      </c>
      <c r="U644" s="2" t="s">
        <v>5421</v>
      </c>
      <c r="V644" s="2" t="s">
        <v>161</v>
      </c>
      <c r="W644" s="2"/>
    </row>
    <row r="645">
      <c r="A645" s="2" t="n">
        <v>481</v>
      </c>
      <c r="B645" s="2" t="s">
        <v>14446</v>
      </c>
      <c r="C645" s="2" t="s">
        <v>5429</v>
      </c>
      <c r="D645" s="2" t="n">
        <v>334.063378737</v>
      </c>
      <c r="E645" s="2" t="n">
        <v>1.97164906057962</v>
      </c>
      <c r="F645" s="2" t="s">
        <v>5431</v>
      </c>
      <c r="G645" s="2" t="n">
        <v>53581</v>
      </c>
      <c r="H645" s="3" t="str">
        <f>HYPERLINK("http://funmeta.oebiotech.com/network/53581", "http://funmeta.oebiotech.com/network/53581")</f>
      </c>
      <c r="I645" s="2" t="s">
        <v>5433</v>
      </c>
      <c r="J645" s="2" t="s">
        <v>5434</v>
      </c>
      <c r="K645" s="2"/>
      <c r="L645" s="2" t="s">
        <v>5435</v>
      </c>
      <c r="M645" s="2" t="s">
        <v>5436</v>
      </c>
      <c r="N645" s="2" t="s">
        <v>5437</v>
      </c>
      <c r="O645" s="2" t="s">
        <v>5438</v>
      </c>
      <c r="P645" s="2" t="s">
        <v>5439</v>
      </c>
      <c r="Q645" s="2" t="s">
        <v>5440</v>
      </c>
      <c r="R645" s="2" t="s">
        <v>114</v>
      </c>
      <c r="S645" s="2" t="s">
        <v>5441</v>
      </c>
      <c r="T645" s="2" t="s">
        <v>5442</v>
      </c>
      <c r="U645" s="2" t="s">
        <v>5430</v>
      </c>
      <c r="V645" s="2" t="s">
        <v>86</v>
      </c>
      <c r="W645" s="2" t="s">
        <v>101</v>
      </c>
    </row>
    <row r="646">
      <c r="A646" s="2" t="n">
        <v>482</v>
      </c>
      <c r="B646" s="2" t="s">
        <v>14447</v>
      </c>
      <c r="C646" s="2" t="s">
        <v>5443</v>
      </c>
      <c r="D646" s="2" t="n">
        <v>334.10201463</v>
      </c>
      <c r="E646" s="2" t="n">
        <v>4.21917725328914</v>
      </c>
      <c r="F646" s="2" t="s">
        <v>5445</v>
      </c>
      <c r="G646" s="2" t="n">
        <v>212613</v>
      </c>
      <c r="H646" s="3" t="str">
        <f>HYPERLINK("http://funmeta.oebiotech.com/network/212613", "http://funmeta.oebiotech.com/network/212613")</f>
      </c>
      <c r="I646" s="2" t="s">
        <v>5447</v>
      </c>
      <c r="J646" s="2" t="s">
        <v>5448</v>
      </c>
      <c r="K646" s="2"/>
      <c r="L646" s="2" t="s">
        <v>5449</v>
      </c>
      <c r="M646" s="2" t="s">
        <v>5450</v>
      </c>
      <c r="N646" s="2" t="s">
        <v>5451</v>
      </c>
      <c r="O646" s="2" t="s">
        <v>5452</v>
      </c>
      <c r="P646" s="2" t="s">
        <v>5453</v>
      </c>
      <c r="Q646" s="2" t="s">
        <v>5454</v>
      </c>
      <c r="R646" s="2" t="s">
        <v>186</v>
      </c>
      <c r="S646" s="2" t="s">
        <v>187</v>
      </c>
      <c r="T646" s="2" t="s">
        <v>5455</v>
      </c>
      <c r="U646" s="2" t="s">
        <v>5444</v>
      </c>
      <c r="V646" s="2" t="s">
        <v>24</v>
      </c>
      <c r="W646" s="2" t="s">
        <v>101</v>
      </c>
    </row>
    <row r="647">
      <c r="A647" s="2" t="n">
        <v>483</v>
      </c>
      <c r="B647" s="2" t="s">
        <v>14448</v>
      </c>
      <c r="C647" s="2" t="s">
        <v>5456</v>
      </c>
      <c r="D647" s="2" t="n">
        <v>334.21495848</v>
      </c>
      <c r="E647" s="2" t="n">
        <v>9.91209702305829</v>
      </c>
      <c r="F647" s="2" t="s">
        <v>14449</v>
      </c>
      <c r="G647" s="2" t="n">
        <v>82092</v>
      </c>
      <c r="H647" s="3" t="str">
        <f>HYPERLINK("http://funmeta.oebiotech.com/network/82092", "http://funmeta.oebiotech.com/network/82092")</f>
      </c>
      <c r="I647" s="2" t="s">
        <v>14450</v>
      </c>
      <c r="J647" s="2"/>
      <c r="K647" s="2"/>
      <c r="L647" s="2"/>
      <c r="M647" s="2"/>
      <c r="N647" s="2" t="s">
        <v>14451</v>
      </c>
      <c r="O647" s="2"/>
      <c r="P647" s="2" t="s">
        <v>14452</v>
      </c>
      <c r="Q647" s="2" t="s">
        <v>14453</v>
      </c>
      <c r="R647" s="2" t="s">
        <v>794</v>
      </c>
      <c r="S647" s="2" t="s">
        <v>795</v>
      </c>
      <c r="T647" s="2" t="s">
        <v>796</v>
      </c>
      <c r="U647" s="2" t="s">
        <v>5457</v>
      </c>
      <c r="V647" s="2" t="s">
        <v>24</v>
      </c>
      <c r="W647" s="2"/>
    </row>
    <row r="648">
      <c r="A648" s="2" t="n">
        <v>483</v>
      </c>
      <c r="B648" s="2" t="s">
        <v>14454</v>
      </c>
      <c r="C648" s="2" t="s">
        <v>5456</v>
      </c>
      <c r="D648" s="2" t="n">
        <v>334.21495848</v>
      </c>
      <c r="E648" s="2" t="n">
        <v>9.91209702305829</v>
      </c>
      <c r="F648" s="2" t="s">
        <v>14455</v>
      </c>
      <c r="G648" s="2" t="n">
        <v>82093</v>
      </c>
      <c r="H648" s="3" t="str">
        <f>HYPERLINK("http://funmeta.oebiotech.com/network/82093", "http://funmeta.oebiotech.com/network/82093")</f>
      </c>
      <c r="I648" s="2" t="s">
        <v>14456</v>
      </c>
      <c r="J648" s="2"/>
      <c r="K648" s="2"/>
      <c r="L648" s="2"/>
      <c r="M648" s="2"/>
      <c r="N648" s="2" t="s">
        <v>14457</v>
      </c>
      <c r="O648" s="2"/>
      <c r="P648" s="2" t="s">
        <v>14458</v>
      </c>
      <c r="Q648" s="2" t="s">
        <v>14459</v>
      </c>
      <c r="R648" s="2" t="s">
        <v>794</v>
      </c>
      <c r="S648" s="2" t="s">
        <v>795</v>
      </c>
      <c r="T648" s="2" t="s">
        <v>796</v>
      </c>
      <c r="U648" s="2" t="s">
        <v>5457</v>
      </c>
      <c r="V648" s="2" t="s">
        <v>24</v>
      </c>
      <c r="W648" s="2"/>
    </row>
    <row r="649">
      <c r="A649" s="2" t="n">
        <v>484</v>
      </c>
      <c r="B649" s="2" t="s">
        <v>14460</v>
      </c>
      <c r="C649" s="2" t="s">
        <v>5464</v>
      </c>
      <c r="D649" s="2" t="n">
        <v>335.058827656</v>
      </c>
      <c r="E649" s="2" t="n">
        <v>2.74725683740708</v>
      </c>
      <c r="F649" s="2" t="s">
        <v>5466</v>
      </c>
      <c r="G649" s="2" t="n">
        <v>207476</v>
      </c>
      <c r="H649" s="3" t="str">
        <f>HYPERLINK("http://funmeta.oebiotech.com/network/207476", "http://funmeta.oebiotech.com/network/207476")</f>
      </c>
      <c r="I649" s="2" t="s">
        <v>5468</v>
      </c>
      <c r="J649" s="2"/>
      <c r="K649" s="2"/>
      <c r="L649" s="2"/>
      <c r="M649" s="2"/>
      <c r="N649" s="2" t="s">
        <v>5469</v>
      </c>
      <c r="O649" s="2"/>
      <c r="P649" s="2" t="s">
        <v>5470</v>
      </c>
      <c r="Q649" s="2" t="s">
        <v>5471</v>
      </c>
      <c r="R649" s="2" t="s">
        <v>36</v>
      </c>
      <c r="S649" s="2" t="s">
        <v>1857</v>
      </c>
      <c r="T649" s="2" t="s">
        <v>215</v>
      </c>
      <c r="U649" s="2" t="s">
        <v>5465</v>
      </c>
      <c r="V649" s="2" t="s">
        <v>205</v>
      </c>
      <c r="W649" s="2"/>
    </row>
    <row r="650">
      <c r="A650" s="2" t="n">
        <v>485</v>
      </c>
      <c r="B650" s="2" t="s">
        <v>14461</v>
      </c>
      <c r="C650" s="2" t="s">
        <v>5472</v>
      </c>
      <c r="D650" s="2" t="n">
        <v>335.099703947</v>
      </c>
      <c r="E650" s="2" t="n">
        <v>2.96694212335222</v>
      </c>
      <c r="F650" s="2" t="s">
        <v>5474</v>
      </c>
      <c r="G650" s="2" t="n">
        <v>205293</v>
      </c>
      <c r="H650" s="3" t="str">
        <f>HYPERLINK("http://funmeta.oebiotech.com/network/205293", "http://funmeta.oebiotech.com/network/205293")</f>
      </c>
      <c r="I650" s="2" t="s">
        <v>5476</v>
      </c>
      <c r="J650" s="2"/>
      <c r="K650" s="2"/>
      <c r="L650" s="2"/>
      <c r="M650" s="2"/>
      <c r="N650" s="2" t="s">
        <v>5477</v>
      </c>
      <c r="O650" s="2"/>
      <c r="P650" s="2" t="s">
        <v>5478</v>
      </c>
      <c r="Q650" s="2" t="s">
        <v>5479</v>
      </c>
      <c r="R650" s="2" t="s">
        <v>186</v>
      </c>
      <c r="S650" s="2" t="s">
        <v>187</v>
      </c>
      <c r="T650" s="2" t="s">
        <v>3454</v>
      </c>
      <c r="U650" s="2" t="s">
        <v>5473</v>
      </c>
      <c r="V650" s="2" t="s">
        <v>205</v>
      </c>
      <c r="W650" s="2"/>
    </row>
    <row r="651">
      <c r="A651" s="2" t="n">
        <v>486</v>
      </c>
      <c r="B651" s="2" t="s">
        <v>14462</v>
      </c>
      <c r="C651" s="2" t="s">
        <v>5480</v>
      </c>
      <c r="D651" s="2" t="n">
        <v>335.186393698</v>
      </c>
      <c r="E651" s="2" t="n">
        <v>5.54276153026199</v>
      </c>
      <c r="F651" s="2" t="s">
        <v>5482</v>
      </c>
      <c r="G651" s="2" t="n">
        <v>55724</v>
      </c>
      <c r="H651" s="3" t="str">
        <f>HYPERLINK("http://funmeta.oebiotech.com/network/55724", "http://funmeta.oebiotech.com/network/55724")</f>
      </c>
      <c r="I651" s="2" t="s">
        <v>5484</v>
      </c>
      <c r="J651" s="2" t="s">
        <v>5485</v>
      </c>
      <c r="K651" s="2"/>
      <c r="L651" s="2"/>
      <c r="M651" s="2" t="s">
        <v>5486</v>
      </c>
      <c r="N651" s="2" t="s">
        <v>5487</v>
      </c>
      <c r="O651" s="2" t="s">
        <v>5488</v>
      </c>
      <c r="P651" s="2" t="s">
        <v>5489</v>
      </c>
      <c r="Q651" s="2" t="s">
        <v>5490</v>
      </c>
      <c r="R651" s="2" t="s">
        <v>794</v>
      </c>
      <c r="S651" s="2" t="s">
        <v>795</v>
      </c>
      <c r="T651" s="2" t="s">
        <v>2391</v>
      </c>
      <c r="U651" s="2" t="s">
        <v>5481</v>
      </c>
      <c r="V651" s="2" t="s">
        <v>205</v>
      </c>
      <c r="W651" s="2" t="s">
        <v>56</v>
      </c>
    </row>
    <row r="652">
      <c r="A652" s="2" t="n">
        <v>487</v>
      </c>
      <c r="B652" s="2" t="s">
        <v>14463</v>
      </c>
      <c r="C652" s="2" t="s">
        <v>5491</v>
      </c>
      <c r="D652" s="2" t="n">
        <v>335.222783512</v>
      </c>
      <c r="E652" s="2" t="n">
        <v>13.7866048889619</v>
      </c>
      <c r="F652" s="2" t="s">
        <v>14464</v>
      </c>
      <c r="G652" s="2" t="n">
        <v>3637</v>
      </c>
      <c r="H652" s="3" t="str">
        <f>HYPERLINK("http://funmeta.oebiotech.com/network/3637", "http://funmeta.oebiotech.com/network/3637")</f>
      </c>
      <c r="I652" s="2" t="s">
        <v>14465</v>
      </c>
      <c r="J652" s="2" t="s">
        <v>14466</v>
      </c>
      <c r="K652" s="2" t="s">
        <v>14467</v>
      </c>
      <c r="L652" s="2" t="s">
        <v>14468</v>
      </c>
      <c r="M652" s="2" t="s">
        <v>14469</v>
      </c>
      <c r="N652" s="2" t="s">
        <v>14470</v>
      </c>
      <c r="O652" s="2" t="s">
        <v>14471</v>
      </c>
      <c r="P652" s="2" t="s">
        <v>14472</v>
      </c>
      <c r="Q652" s="2" t="s">
        <v>14473</v>
      </c>
      <c r="R652" s="2" t="s">
        <v>794</v>
      </c>
      <c r="S652" s="2" t="s">
        <v>795</v>
      </c>
      <c r="T652" s="2" t="s">
        <v>3692</v>
      </c>
      <c r="U652" s="2" t="s">
        <v>5492</v>
      </c>
      <c r="V652" s="2" t="s">
        <v>24</v>
      </c>
      <c r="W652" s="2" t="s">
        <v>56</v>
      </c>
    </row>
    <row r="653">
      <c r="A653" s="2" t="n">
        <v>487</v>
      </c>
      <c r="B653" s="2" t="s">
        <v>14474</v>
      </c>
      <c r="C653" s="2" t="s">
        <v>5491</v>
      </c>
      <c r="D653" s="2" t="n">
        <v>335.222783512</v>
      </c>
      <c r="E653" s="2" t="n">
        <v>13.7866048889619</v>
      </c>
      <c r="F653" s="2" t="s">
        <v>14475</v>
      </c>
      <c r="G653" s="2" t="n">
        <v>4109</v>
      </c>
      <c r="H653" s="3" t="str">
        <f>HYPERLINK("http://funmeta.oebiotech.com/network/4109", "http://funmeta.oebiotech.com/network/4109")</f>
      </c>
      <c r="I653" s="2" t="s">
        <v>14476</v>
      </c>
      <c r="J653" s="2" t="s">
        <v>14477</v>
      </c>
      <c r="K653" s="2" t="s">
        <v>14478</v>
      </c>
      <c r="L653" s="2" t="s">
        <v>14479</v>
      </c>
      <c r="M653" s="2"/>
      <c r="N653" s="2" t="s">
        <v>14480</v>
      </c>
      <c r="O653" s="2" t="s">
        <v>14481</v>
      </c>
      <c r="P653" s="2" t="s">
        <v>14482</v>
      </c>
      <c r="Q653" s="2" t="s">
        <v>14483</v>
      </c>
      <c r="R653" s="2" t="s">
        <v>794</v>
      </c>
      <c r="S653" s="2" t="s">
        <v>795</v>
      </c>
      <c r="T653" s="2" t="s">
        <v>796</v>
      </c>
      <c r="U653" s="2" t="s">
        <v>5492</v>
      </c>
      <c r="V653" s="2" t="s">
        <v>24</v>
      </c>
      <c r="W653" s="2" t="s">
        <v>56</v>
      </c>
    </row>
    <row r="654">
      <c r="A654" s="2" t="n">
        <v>487</v>
      </c>
      <c r="B654" s="2" t="s">
        <v>14484</v>
      </c>
      <c r="C654" s="2" t="s">
        <v>5491</v>
      </c>
      <c r="D654" s="2" t="n">
        <v>335.222783512</v>
      </c>
      <c r="E654" s="2" t="n">
        <v>13.7866048889619</v>
      </c>
      <c r="F654" s="2" t="s">
        <v>14485</v>
      </c>
      <c r="G654" s="2" t="n">
        <v>4108</v>
      </c>
      <c r="H654" s="3" t="str">
        <f>HYPERLINK("http://funmeta.oebiotech.com/network/4108", "http://funmeta.oebiotech.com/network/4108")</f>
      </c>
      <c r="I654" s="2" t="s">
        <v>14486</v>
      </c>
      <c r="J654" s="2"/>
      <c r="K654" s="2" t="s">
        <v>14487</v>
      </c>
      <c r="L654" s="2" t="s">
        <v>14488</v>
      </c>
      <c r="M654" s="2" t="s">
        <v>14489</v>
      </c>
      <c r="N654" s="2" t="s">
        <v>14490</v>
      </c>
      <c r="O654" s="2" t="s">
        <v>14491</v>
      </c>
      <c r="P654" s="2" t="s">
        <v>14492</v>
      </c>
      <c r="Q654" s="2" t="s">
        <v>14493</v>
      </c>
      <c r="R654" s="2" t="s">
        <v>36</v>
      </c>
      <c r="S654" s="2" t="s">
        <v>82</v>
      </c>
      <c r="T654" s="2" t="s">
        <v>1594</v>
      </c>
      <c r="U654" s="2" t="s">
        <v>5492</v>
      </c>
      <c r="V654" s="2" t="s">
        <v>24</v>
      </c>
      <c r="W654" s="2" t="s">
        <v>56</v>
      </c>
    </row>
    <row r="655">
      <c r="A655" s="2" t="n">
        <v>488</v>
      </c>
      <c r="B655" s="2" t="s">
        <v>14494</v>
      </c>
      <c r="C655" s="2" t="s">
        <v>5505</v>
      </c>
      <c r="D655" s="2" t="n">
        <v>336.098979975</v>
      </c>
      <c r="E655" s="2" t="n">
        <v>4.69043973550725</v>
      </c>
      <c r="F655" s="2" t="s">
        <v>5507</v>
      </c>
      <c r="G655" s="2" t="n">
        <v>201858</v>
      </c>
      <c r="H655" s="3" t="str">
        <f>HYPERLINK("http://funmeta.oebiotech.com/network/201858", "http://funmeta.oebiotech.com/network/201858")</f>
      </c>
      <c r="I655" s="2" t="s">
        <v>5509</v>
      </c>
      <c r="J655" s="2"/>
      <c r="K655" s="2"/>
      <c r="L655" s="2"/>
      <c r="M655" s="2"/>
      <c r="N655" s="2"/>
      <c r="O655" s="2"/>
      <c r="P655" s="2" t="s">
        <v>5510</v>
      </c>
      <c r="Q655" s="2" t="s">
        <v>5511</v>
      </c>
      <c r="R655" s="2" t="s">
        <v>186</v>
      </c>
      <c r="S655" s="2" t="s">
        <v>187</v>
      </c>
      <c r="T655" s="2" t="s">
        <v>3454</v>
      </c>
      <c r="U655" s="2" t="s">
        <v>5506</v>
      </c>
      <c r="V655" s="2" t="s">
        <v>24</v>
      </c>
      <c r="W655" s="2"/>
    </row>
    <row r="656">
      <c r="A656" s="2" t="n">
        <v>489</v>
      </c>
      <c r="B656" s="2" t="s">
        <v>14495</v>
      </c>
      <c r="C656" s="2" t="s">
        <v>5512</v>
      </c>
      <c r="D656" s="2" t="n">
        <v>337.084825686</v>
      </c>
      <c r="E656" s="2" t="n">
        <v>2.53008333989125</v>
      </c>
      <c r="F656" s="2" t="s">
        <v>5514</v>
      </c>
      <c r="G656" s="2" t="n">
        <v>55470</v>
      </c>
      <c r="H656" s="3" t="str">
        <f>HYPERLINK("http://funmeta.oebiotech.com/network/55470", "http://funmeta.oebiotech.com/network/55470")</f>
      </c>
      <c r="I656" s="2" t="s">
        <v>5516</v>
      </c>
      <c r="J656" s="2"/>
      <c r="K656" s="2"/>
      <c r="L656" s="2"/>
      <c r="M656" s="2" t="s">
        <v>5517</v>
      </c>
      <c r="N656" s="2" t="s">
        <v>5518</v>
      </c>
      <c r="O656" s="2" t="s">
        <v>5519</v>
      </c>
      <c r="P656" s="2" t="s">
        <v>5520</v>
      </c>
      <c r="Q656" s="2" t="s">
        <v>5521</v>
      </c>
      <c r="R656" s="2" t="s">
        <v>1355</v>
      </c>
      <c r="S656" s="2" t="s">
        <v>3653</v>
      </c>
      <c r="T656" s="2" t="s">
        <v>5522</v>
      </c>
      <c r="U656" s="2" t="s">
        <v>5513</v>
      </c>
      <c r="V656" s="2" t="s">
        <v>86</v>
      </c>
      <c r="W656" s="2" t="s">
        <v>56</v>
      </c>
    </row>
    <row r="657">
      <c r="A657" s="2" t="n">
        <v>490</v>
      </c>
      <c r="B657" s="2" t="s">
        <v>14496</v>
      </c>
      <c r="C657" s="2" t="s">
        <v>5523</v>
      </c>
      <c r="D657" s="2" t="n">
        <v>337.20204807</v>
      </c>
      <c r="E657" s="2" t="n">
        <v>12.405472781144</v>
      </c>
      <c r="F657" s="2" t="s">
        <v>5525</v>
      </c>
      <c r="G657" s="2" t="n">
        <v>63715</v>
      </c>
      <c r="H657" s="3" t="str">
        <f>HYPERLINK("http://funmeta.oebiotech.com/network/63715", "http://funmeta.oebiotech.com/network/63715")</f>
      </c>
      <c r="I657" s="2" t="s">
        <v>5527</v>
      </c>
      <c r="J657" s="2" t="s">
        <v>5528</v>
      </c>
      <c r="K657" s="2"/>
      <c r="L657" s="2"/>
      <c r="M657" s="2" t="s">
        <v>5529</v>
      </c>
      <c r="N657" s="2" t="s">
        <v>5530</v>
      </c>
      <c r="O657" s="2" t="s">
        <v>5531</v>
      </c>
      <c r="P657" s="2" t="s">
        <v>5532</v>
      </c>
      <c r="Q657" s="2" t="s">
        <v>5533</v>
      </c>
      <c r="R657" s="2" t="s">
        <v>794</v>
      </c>
      <c r="S657" s="2" t="s">
        <v>795</v>
      </c>
      <c r="T657" s="2" t="s">
        <v>1370</v>
      </c>
      <c r="U657" s="2" t="s">
        <v>5524</v>
      </c>
      <c r="V657" s="2" t="s">
        <v>24</v>
      </c>
      <c r="W657" s="2" t="s">
        <v>56</v>
      </c>
    </row>
    <row r="658">
      <c r="A658" s="2" t="n">
        <v>491</v>
      </c>
      <c r="B658" s="2" t="s">
        <v>14497</v>
      </c>
      <c r="C658" s="2" t="s">
        <v>5534</v>
      </c>
      <c r="D658" s="2" t="n">
        <v>338.244365619</v>
      </c>
      <c r="E658" s="2" t="n">
        <v>0.41981205302468</v>
      </c>
      <c r="F658" s="2" t="s">
        <v>5536</v>
      </c>
      <c r="G658" s="2" t="n">
        <v>115426</v>
      </c>
      <c r="H658" s="3" t="str">
        <f>HYPERLINK("http://funmeta.oebiotech.com/network/115426", "http://funmeta.oebiotech.com/network/115426")</f>
      </c>
      <c r="I658" s="2" t="s">
        <v>5538</v>
      </c>
      <c r="J658" s="2" t="s">
        <v>5539</v>
      </c>
      <c r="K658" s="2"/>
      <c r="L658" s="2"/>
      <c r="M658" s="2"/>
      <c r="N658" s="2" t="s">
        <v>5540</v>
      </c>
      <c r="O658" s="2"/>
      <c r="P658" s="2" t="s">
        <v>5541</v>
      </c>
      <c r="Q658" s="2" t="s">
        <v>5542</v>
      </c>
      <c r="R658" s="2" t="s">
        <v>36</v>
      </c>
      <c r="S658" s="2" t="s">
        <v>37</v>
      </c>
      <c r="T658" s="2" t="s">
        <v>69</v>
      </c>
      <c r="U658" s="2" t="s">
        <v>5535</v>
      </c>
      <c r="V658" s="2" t="s">
        <v>161</v>
      </c>
      <c r="W658" s="2" t="s">
        <v>56</v>
      </c>
    </row>
    <row r="659">
      <c r="A659" s="2" t="n">
        <v>492</v>
      </c>
      <c r="B659" s="2" t="s">
        <v>14498</v>
      </c>
      <c r="C659" s="2" t="s">
        <v>5543</v>
      </c>
      <c r="D659" s="2" t="n">
        <v>339.060502637</v>
      </c>
      <c r="E659" s="2" t="n">
        <v>4.18359124581572</v>
      </c>
      <c r="F659" s="2" t="s">
        <v>5545</v>
      </c>
      <c r="G659" s="2" t="n">
        <v>206800</v>
      </c>
      <c r="H659" s="3" t="str">
        <f>HYPERLINK("http://funmeta.oebiotech.com/network/206800", "http://funmeta.oebiotech.com/network/206800")</f>
      </c>
      <c r="I659" s="2" t="s">
        <v>5547</v>
      </c>
      <c r="J659" s="2"/>
      <c r="K659" s="2"/>
      <c r="L659" s="2"/>
      <c r="M659" s="2"/>
      <c r="N659" s="2"/>
      <c r="O659" s="2"/>
      <c r="P659" s="2" t="s">
        <v>5548</v>
      </c>
      <c r="Q659" s="2" t="s">
        <v>5549</v>
      </c>
      <c r="R659" s="2" t="s">
        <v>129</v>
      </c>
      <c r="S659" s="2" t="s">
        <v>130</v>
      </c>
      <c r="T659" s="2" t="s">
        <v>131</v>
      </c>
      <c r="U659" s="2" t="s">
        <v>5544</v>
      </c>
      <c r="V659" s="2" t="s">
        <v>86</v>
      </c>
      <c r="W659" s="2"/>
    </row>
    <row r="660">
      <c r="A660" s="2" t="n">
        <v>493</v>
      </c>
      <c r="B660" s="2" t="s">
        <v>14499</v>
      </c>
      <c r="C660" s="2" t="s">
        <v>5550</v>
      </c>
      <c r="D660" s="2" t="n">
        <v>339.196568762</v>
      </c>
      <c r="E660" s="2" t="n">
        <v>6.92254452912206</v>
      </c>
      <c r="F660" s="2" t="s">
        <v>14500</v>
      </c>
      <c r="G660" s="2" t="n">
        <v>63778</v>
      </c>
      <c r="H660" s="3" t="str">
        <f>HYPERLINK("http://funmeta.oebiotech.com/network/63778", "http://funmeta.oebiotech.com/network/63778")</f>
      </c>
      <c r="I660" s="2" t="s">
        <v>14501</v>
      </c>
      <c r="J660" s="2" t="s">
        <v>14502</v>
      </c>
      <c r="K660" s="2"/>
      <c r="L660" s="2"/>
      <c r="M660" s="2" t="s">
        <v>14503</v>
      </c>
      <c r="N660" s="2" t="s">
        <v>14504</v>
      </c>
      <c r="O660" s="2" t="s">
        <v>14505</v>
      </c>
      <c r="P660" s="2" t="s">
        <v>14506</v>
      </c>
      <c r="Q660" s="2" t="s">
        <v>14507</v>
      </c>
      <c r="R660" s="2" t="s">
        <v>794</v>
      </c>
      <c r="S660" s="2" t="s">
        <v>1098</v>
      </c>
      <c r="T660" s="2" t="s">
        <v>1099</v>
      </c>
      <c r="U660" s="2" t="s">
        <v>5551</v>
      </c>
      <c r="V660" s="2" t="s">
        <v>24</v>
      </c>
      <c r="W660" s="2" t="s">
        <v>56</v>
      </c>
    </row>
    <row r="661">
      <c r="A661" s="2" t="n">
        <v>493</v>
      </c>
      <c r="B661" s="2" t="s">
        <v>14508</v>
      </c>
      <c r="C661" s="2" t="s">
        <v>5550</v>
      </c>
      <c r="D661" s="2" t="n">
        <v>339.196568762</v>
      </c>
      <c r="E661" s="2" t="n">
        <v>6.92254452912206</v>
      </c>
      <c r="F661" s="2" t="s">
        <v>14509</v>
      </c>
      <c r="G661" s="2" t="n">
        <v>48015</v>
      </c>
      <c r="H661" s="3" t="str">
        <f>HYPERLINK("http://funmeta.oebiotech.com/network/48015", "http://funmeta.oebiotech.com/network/48015")</f>
      </c>
      <c r="I661" s="2" t="s">
        <v>14510</v>
      </c>
      <c r="J661" s="2" t="s">
        <v>14511</v>
      </c>
      <c r="K661" s="2"/>
      <c r="L661" s="2"/>
      <c r="M661" s="2" t="s">
        <v>14512</v>
      </c>
      <c r="N661" s="2" t="s">
        <v>14513</v>
      </c>
      <c r="O661" s="2" t="s">
        <v>14514</v>
      </c>
      <c r="P661" s="2" t="s">
        <v>14515</v>
      </c>
      <c r="Q661" s="2" t="s">
        <v>14516</v>
      </c>
      <c r="R661" s="2" t="s">
        <v>794</v>
      </c>
      <c r="S661" s="2" t="s">
        <v>2971</v>
      </c>
      <c r="T661" s="2" t="s">
        <v>6693</v>
      </c>
      <c r="U661" s="2" t="s">
        <v>5551</v>
      </c>
      <c r="V661" s="2" t="s">
        <v>24</v>
      </c>
      <c r="W661" s="2" t="s">
        <v>56</v>
      </c>
    </row>
    <row r="662">
      <c r="A662" s="2" t="n">
        <v>494</v>
      </c>
      <c r="B662" s="2" t="s">
        <v>14517</v>
      </c>
      <c r="C662" s="2" t="s">
        <v>5563</v>
      </c>
      <c r="D662" s="2" t="n">
        <v>339.253533326</v>
      </c>
      <c r="E662" s="2" t="n">
        <v>18.3474007625909</v>
      </c>
      <c r="F662" s="2" t="s">
        <v>5565</v>
      </c>
      <c r="G662" s="2" t="n">
        <v>48477</v>
      </c>
      <c r="H662" s="3" t="str">
        <f>HYPERLINK("http://funmeta.oebiotech.com/network/48477", "http://funmeta.oebiotech.com/network/48477")</f>
      </c>
      <c r="I662" s="2" t="s">
        <v>5567</v>
      </c>
      <c r="J662" s="2"/>
      <c r="K662" s="2"/>
      <c r="L662" s="2"/>
      <c r="M662" s="2" t="s">
        <v>5568</v>
      </c>
      <c r="N662" s="2" t="s">
        <v>5569</v>
      </c>
      <c r="O662" s="2"/>
      <c r="P662" s="2" t="s">
        <v>5570</v>
      </c>
      <c r="Q662" s="2" t="s">
        <v>5571</v>
      </c>
      <c r="R662" s="2" t="s">
        <v>794</v>
      </c>
      <c r="S662" s="2" t="s">
        <v>795</v>
      </c>
      <c r="T662" s="2" t="s">
        <v>3692</v>
      </c>
      <c r="U662" s="2" t="s">
        <v>5564</v>
      </c>
      <c r="V662" s="2" t="s">
        <v>161</v>
      </c>
      <c r="W662" s="2" t="s">
        <v>56</v>
      </c>
    </row>
    <row r="663">
      <c r="A663" s="2" t="n">
        <v>495</v>
      </c>
      <c r="B663" s="2" t="s">
        <v>14518</v>
      </c>
      <c r="C663" s="2" t="s">
        <v>5572</v>
      </c>
      <c r="D663" s="2" t="n">
        <v>341.006969296</v>
      </c>
      <c r="E663" s="2" t="n">
        <v>7.46470192843636</v>
      </c>
      <c r="F663" s="2" t="s">
        <v>5574</v>
      </c>
      <c r="G663" s="2" t="n">
        <v>81741</v>
      </c>
      <c r="H663" s="3" t="str">
        <f>HYPERLINK("http://funmeta.oebiotech.com/network/81741", "http://funmeta.oebiotech.com/network/81741")</f>
      </c>
      <c r="I663" s="2" t="s">
        <v>5576</v>
      </c>
      <c r="J663" s="2"/>
      <c r="K663" s="2"/>
      <c r="L663" s="2" t="s">
        <v>5577</v>
      </c>
      <c r="M663" s="2" t="s">
        <v>5578</v>
      </c>
      <c r="N663" s="2" t="s">
        <v>5579</v>
      </c>
      <c r="O663" s="2"/>
      <c r="P663" s="2" t="s">
        <v>5580</v>
      </c>
      <c r="Q663" s="2" t="s">
        <v>5581</v>
      </c>
      <c r="R663" s="2" t="s">
        <v>1355</v>
      </c>
      <c r="S663" s="2" t="s">
        <v>5582</v>
      </c>
      <c r="T663" s="2" t="s">
        <v>215</v>
      </c>
      <c r="U663" s="2" t="s">
        <v>5573</v>
      </c>
      <c r="V663" s="2" t="s">
        <v>86</v>
      </c>
      <c r="W663" s="2" t="s">
        <v>56</v>
      </c>
    </row>
    <row r="664">
      <c r="A664" s="2" t="n">
        <v>496</v>
      </c>
      <c r="B664" s="2" t="s">
        <v>14519</v>
      </c>
      <c r="C664" s="2" t="s">
        <v>5583</v>
      </c>
      <c r="D664" s="2" t="n">
        <v>341.208196074</v>
      </c>
      <c r="E664" s="2" t="n">
        <v>0.153743148212472</v>
      </c>
      <c r="F664" s="2" t="s">
        <v>5585</v>
      </c>
      <c r="G664" s="2" t="n">
        <v>203323</v>
      </c>
      <c r="H664" s="3" t="str">
        <f>HYPERLINK("http://funmeta.oebiotech.com/network/203323", "http://funmeta.oebiotech.com/network/203323")</f>
      </c>
      <c r="I664" s="2" t="s">
        <v>5587</v>
      </c>
      <c r="J664" s="2"/>
      <c r="K664" s="2"/>
      <c r="L664" s="2"/>
      <c r="M664" s="2"/>
      <c r="N664" s="2" t="s">
        <v>5588</v>
      </c>
      <c r="O664" s="2"/>
      <c r="P664" s="2" t="s">
        <v>5589</v>
      </c>
      <c r="Q664" s="2" t="s">
        <v>5590</v>
      </c>
      <c r="R664" s="2" t="s">
        <v>36</v>
      </c>
      <c r="S664" s="2" t="s">
        <v>37</v>
      </c>
      <c r="T664" s="2" t="s">
        <v>69</v>
      </c>
      <c r="U664" s="2" t="s">
        <v>5584</v>
      </c>
      <c r="V664" s="2" t="s">
        <v>24</v>
      </c>
      <c r="W664" s="2"/>
    </row>
    <row r="665">
      <c r="A665" s="2" t="n">
        <v>497</v>
      </c>
      <c r="B665" s="2" t="s">
        <v>14520</v>
      </c>
      <c r="C665" s="2" t="s">
        <v>5591</v>
      </c>
      <c r="D665" s="2" t="n">
        <v>342.218701187</v>
      </c>
      <c r="E665" s="2" t="n">
        <v>9.06861945302402</v>
      </c>
      <c r="F665" s="2" t="s">
        <v>5593</v>
      </c>
      <c r="G665" s="2" t="n">
        <v>52866</v>
      </c>
      <c r="H665" s="3" t="str">
        <f>HYPERLINK("http://funmeta.oebiotech.com/network/52866", "http://funmeta.oebiotech.com/network/52866")</f>
      </c>
      <c r="I665" s="2" t="s">
        <v>5595</v>
      </c>
      <c r="J665" s="2" t="s">
        <v>5596</v>
      </c>
      <c r="K665" s="2"/>
      <c r="L665" s="2" t="s">
        <v>5597</v>
      </c>
      <c r="M665" s="2" t="s">
        <v>5598</v>
      </c>
      <c r="N665" s="2" t="s">
        <v>5599</v>
      </c>
      <c r="O665" s="2" t="s">
        <v>5600</v>
      </c>
      <c r="P665" s="2" t="s">
        <v>5601</v>
      </c>
      <c r="Q665" s="2" t="s">
        <v>5602</v>
      </c>
      <c r="R665" s="2" t="s">
        <v>114</v>
      </c>
      <c r="S665" s="2" t="s">
        <v>2057</v>
      </c>
      <c r="T665" s="2" t="s">
        <v>5603</v>
      </c>
      <c r="U665" s="2" t="s">
        <v>5592</v>
      </c>
      <c r="V665" s="2" t="s">
        <v>24</v>
      </c>
      <c r="W665" s="2" t="s">
        <v>56</v>
      </c>
    </row>
    <row r="666">
      <c r="A666" s="2" t="n">
        <v>498</v>
      </c>
      <c r="B666" s="2" t="s">
        <v>14521</v>
      </c>
      <c r="C666" s="2" t="s">
        <v>5604</v>
      </c>
      <c r="D666" s="2" t="n">
        <v>343.225461954</v>
      </c>
      <c r="E666" s="2" t="n">
        <v>16.134640975055</v>
      </c>
      <c r="F666" s="2" t="s">
        <v>5606</v>
      </c>
      <c r="G666" s="2" t="n">
        <v>3939</v>
      </c>
      <c r="H666" s="3" t="str">
        <f>HYPERLINK("http://funmeta.oebiotech.com/network/3939", "http://funmeta.oebiotech.com/network/3939")</f>
      </c>
      <c r="I666" s="2" t="s">
        <v>5608</v>
      </c>
      <c r="J666" s="2" t="s">
        <v>5609</v>
      </c>
      <c r="K666" s="2" t="s">
        <v>5610</v>
      </c>
      <c r="L666" s="2"/>
      <c r="M666" s="2" t="s">
        <v>5611</v>
      </c>
      <c r="N666" s="2" t="s">
        <v>5612</v>
      </c>
      <c r="O666" s="2" t="s">
        <v>5613</v>
      </c>
      <c r="P666" s="2" t="s">
        <v>5614</v>
      </c>
      <c r="Q666" s="2" t="s">
        <v>5615</v>
      </c>
      <c r="R666" s="2" t="s">
        <v>794</v>
      </c>
      <c r="S666" s="2" t="s">
        <v>795</v>
      </c>
      <c r="T666" s="2" t="s">
        <v>3692</v>
      </c>
      <c r="U666" s="2" t="s">
        <v>5605</v>
      </c>
      <c r="V666" s="2" t="s">
        <v>531</v>
      </c>
      <c r="W666" s="2" t="s">
        <v>56</v>
      </c>
    </row>
    <row r="667">
      <c r="A667" s="2" t="n">
        <v>499</v>
      </c>
      <c r="B667" s="2" t="s">
        <v>14522</v>
      </c>
      <c r="C667" s="2" t="s">
        <v>5616</v>
      </c>
      <c r="D667" s="2" t="n">
        <v>344.139735654</v>
      </c>
      <c r="E667" s="2" t="n">
        <v>4.49430163216372</v>
      </c>
      <c r="F667" s="2" t="s">
        <v>5618</v>
      </c>
      <c r="G667" s="2" t="n">
        <v>211574</v>
      </c>
      <c r="H667" s="3" t="str">
        <f>HYPERLINK("http://funmeta.oebiotech.com/network/211574", "http://funmeta.oebiotech.com/network/211574")</f>
      </c>
      <c r="I667" s="2" t="s">
        <v>5620</v>
      </c>
      <c r="J667" s="2"/>
      <c r="K667" s="2"/>
      <c r="L667" s="2"/>
      <c r="M667" s="2"/>
      <c r="N667" s="2" t="s">
        <v>5621</v>
      </c>
      <c r="O667" s="2"/>
      <c r="P667" s="2" t="s">
        <v>5622</v>
      </c>
      <c r="Q667" s="2" t="s">
        <v>5623</v>
      </c>
      <c r="R667" s="2" t="s">
        <v>36</v>
      </c>
      <c r="S667" s="2" t="s">
        <v>2572</v>
      </c>
      <c r="T667" s="2" t="s">
        <v>2637</v>
      </c>
      <c r="U667" s="2" t="s">
        <v>5617</v>
      </c>
      <c r="V667" s="2" t="s">
        <v>24</v>
      </c>
      <c r="W667" s="2"/>
    </row>
    <row r="668">
      <c r="A668" s="2" t="n">
        <v>500</v>
      </c>
      <c r="B668" s="2" t="s">
        <v>14523</v>
      </c>
      <c r="C668" s="2" t="s">
        <v>5624</v>
      </c>
      <c r="D668" s="2" t="n">
        <v>344.910726205</v>
      </c>
      <c r="E668" s="2" t="n">
        <v>10.8966222931054</v>
      </c>
      <c r="F668" s="2" t="s">
        <v>5626</v>
      </c>
      <c r="G668" s="2" t="n">
        <v>56205</v>
      </c>
      <c r="H668" s="3" t="str">
        <f>HYPERLINK("http://funmeta.oebiotech.com/network/56205", "http://funmeta.oebiotech.com/network/56205")</f>
      </c>
      <c r="I668" s="2" t="s">
        <v>5628</v>
      </c>
      <c r="J668" s="2"/>
      <c r="K668" s="2"/>
      <c r="L668" s="2"/>
      <c r="M668" s="2"/>
      <c r="N668" s="2" t="s">
        <v>5629</v>
      </c>
      <c r="O668" s="2" t="s">
        <v>5630</v>
      </c>
      <c r="P668" s="2" t="s">
        <v>5631</v>
      </c>
      <c r="Q668" s="2" t="s">
        <v>5632</v>
      </c>
      <c r="R668" s="2" t="s">
        <v>129</v>
      </c>
      <c r="S668" s="2" t="s">
        <v>130</v>
      </c>
      <c r="T668" s="2" t="s">
        <v>1681</v>
      </c>
      <c r="U668" s="2" t="s">
        <v>5625</v>
      </c>
      <c r="V668" s="2" t="s">
        <v>218</v>
      </c>
      <c r="W668" s="2"/>
    </row>
    <row r="669">
      <c r="A669" s="2" t="n">
        <v>501</v>
      </c>
      <c r="B669" s="2" t="s">
        <v>14524</v>
      </c>
      <c r="C669" s="2" t="s">
        <v>5633</v>
      </c>
      <c r="D669" s="2" t="n">
        <v>345.1568249</v>
      </c>
      <c r="E669" s="2" t="n">
        <v>2.03182411533474</v>
      </c>
      <c r="F669" s="2" t="s">
        <v>5635</v>
      </c>
      <c r="G669" s="2" t="n">
        <v>203806</v>
      </c>
      <c r="H669" s="3" t="str">
        <f>HYPERLINK("http://funmeta.oebiotech.com/network/203806", "http://funmeta.oebiotech.com/network/203806")</f>
      </c>
      <c r="I669" s="2" t="s">
        <v>5637</v>
      </c>
      <c r="J669" s="2"/>
      <c r="K669" s="2"/>
      <c r="L669" s="2"/>
      <c r="M669" s="2" t="s">
        <v>5638</v>
      </c>
      <c r="N669" s="2" t="s">
        <v>5639</v>
      </c>
      <c r="O669" s="2"/>
      <c r="P669" s="2" t="s">
        <v>5640</v>
      </c>
      <c r="Q669" s="2" t="s">
        <v>5641</v>
      </c>
      <c r="R669" s="2" t="s">
        <v>114</v>
      </c>
      <c r="S669" s="2" t="s">
        <v>2206</v>
      </c>
      <c r="T669" s="2" t="s">
        <v>3383</v>
      </c>
      <c r="U669" s="2" t="s">
        <v>5634</v>
      </c>
      <c r="V669" s="2" t="s">
        <v>205</v>
      </c>
      <c r="W669" s="2"/>
    </row>
    <row r="670">
      <c r="A670" s="2" t="n">
        <v>502</v>
      </c>
      <c r="B670" s="2" t="s">
        <v>14525</v>
      </c>
      <c r="C670" s="2" t="s">
        <v>5642</v>
      </c>
      <c r="D670" s="2" t="n">
        <v>346.055808339</v>
      </c>
      <c r="E670" s="2" t="n">
        <v>7.35015186817222</v>
      </c>
      <c r="F670" s="2" t="s">
        <v>14526</v>
      </c>
      <c r="G670" s="2" t="n">
        <v>46841</v>
      </c>
      <c r="H670" s="3" t="str">
        <f>HYPERLINK("http://funmeta.oebiotech.com/network/46841", "http://funmeta.oebiotech.com/network/46841")</f>
      </c>
      <c r="I670" s="2" t="s">
        <v>14527</v>
      </c>
      <c r="J670" s="2" t="s">
        <v>14528</v>
      </c>
      <c r="K670" s="2"/>
      <c r="L670" s="2" t="s">
        <v>14529</v>
      </c>
      <c r="M670" s="2" t="s">
        <v>14530</v>
      </c>
      <c r="N670" s="2" t="s">
        <v>14531</v>
      </c>
      <c r="O670" s="2" t="s">
        <v>14532</v>
      </c>
      <c r="P670" s="2" t="s">
        <v>14533</v>
      </c>
      <c r="Q670" s="2" t="s">
        <v>14534</v>
      </c>
      <c r="R670" s="2" t="s">
        <v>2416</v>
      </c>
      <c r="S670" s="2" t="s">
        <v>7795</v>
      </c>
      <c r="T670" s="2" t="s">
        <v>7796</v>
      </c>
      <c r="U670" s="2" t="s">
        <v>5643</v>
      </c>
      <c r="V670" s="2" t="s">
        <v>24</v>
      </c>
      <c r="W670" s="2" t="s">
        <v>39</v>
      </c>
    </row>
    <row r="671">
      <c r="A671" s="2" t="n">
        <v>502</v>
      </c>
      <c r="B671" s="2" t="s">
        <v>14535</v>
      </c>
      <c r="C671" s="2" t="s">
        <v>5642</v>
      </c>
      <c r="D671" s="2" t="n">
        <v>346.055808339</v>
      </c>
      <c r="E671" s="2" t="n">
        <v>7.35015186817222</v>
      </c>
      <c r="F671" s="2" t="s">
        <v>14536</v>
      </c>
      <c r="G671" s="2" t="n">
        <v>48128</v>
      </c>
      <c r="H671" s="3" t="str">
        <f>HYPERLINK("http://funmeta.oebiotech.com/network/48128", "http://funmeta.oebiotech.com/network/48128")</f>
      </c>
      <c r="I671" s="2" t="s">
        <v>14537</v>
      </c>
      <c r="J671" s="2" t="s">
        <v>14538</v>
      </c>
      <c r="K671" s="2"/>
      <c r="L671" s="2" t="s">
        <v>14539</v>
      </c>
      <c r="M671" s="2" t="s">
        <v>14540</v>
      </c>
      <c r="N671" s="2" t="s">
        <v>14541</v>
      </c>
      <c r="O671" s="2" t="s">
        <v>14542</v>
      </c>
      <c r="P671" s="2" t="s">
        <v>14543</v>
      </c>
      <c r="Q671" s="2" t="s">
        <v>14544</v>
      </c>
      <c r="R671" s="2" t="s">
        <v>2416</v>
      </c>
      <c r="S671" s="2" t="s">
        <v>14545</v>
      </c>
      <c r="T671" s="2" t="s">
        <v>215</v>
      </c>
      <c r="U671" s="2" t="s">
        <v>5643</v>
      </c>
      <c r="V671" s="2" t="s">
        <v>24</v>
      </c>
      <c r="W671" s="2" t="s">
        <v>39</v>
      </c>
    </row>
    <row r="672">
      <c r="A672" s="2" t="n">
        <v>503</v>
      </c>
      <c r="B672" s="2" t="s">
        <v>14546</v>
      </c>
      <c r="C672" s="2" t="s">
        <v>5656</v>
      </c>
      <c r="D672" s="2" t="n">
        <v>346.130948807</v>
      </c>
      <c r="E672" s="2" t="n">
        <v>1.27655426801869</v>
      </c>
      <c r="F672" s="2" t="s">
        <v>5658</v>
      </c>
      <c r="G672" s="2" t="n">
        <v>209414</v>
      </c>
      <c r="H672" s="3" t="str">
        <f>HYPERLINK("http://funmeta.oebiotech.com/network/209414", "http://funmeta.oebiotech.com/network/209414")</f>
      </c>
      <c r="I672" s="2" t="s">
        <v>5660</v>
      </c>
      <c r="J672" s="2"/>
      <c r="K672" s="2"/>
      <c r="L672" s="2"/>
      <c r="M672" s="2"/>
      <c r="N672" s="2" t="s">
        <v>5661</v>
      </c>
      <c r="O672" s="2"/>
      <c r="P672" s="2" t="s">
        <v>5662</v>
      </c>
      <c r="Q672" s="2" t="s">
        <v>5663</v>
      </c>
      <c r="R672" s="2" t="s">
        <v>186</v>
      </c>
      <c r="S672" s="2" t="s">
        <v>187</v>
      </c>
      <c r="T672" s="2" t="s">
        <v>3454</v>
      </c>
      <c r="U672" s="2" t="s">
        <v>5657</v>
      </c>
      <c r="V672" s="2" t="s">
        <v>24</v>
      </c>
      <c r="W672" s="2"/>
    </row>
    <row r="673">
      <c r="A673" s="2" t="n">
        <v>504</v>
      </c>
      <c r="B673" s="2" t="s">
        <v>14547</v>
      </c>
      <c r="C673" s="2" t="s">
        <v>5664</v>
      </c>
      <c r="D673" s="2" t="n">
        <v>347.044222492</v>
      </c>
      <c r="E673" s="2" t="n">
        <v>0.0352586738060765</v>
      </c>
      <c r="F673" s="2" t="s">
        <v>5666</v>
      </c>
      <c r="G673" s="2" t="n">
        <v>82045</v>
      </c>
      <c r="H673" s="3" t="str">
        <f>HYPERLINK("http://funmeta.oebiotech.com/network/82045", "http://funmeta.oebiotech.com/network/82045")</f>
      </c>
      <c r="I673" s="2" t="s">
        <v>5668</v>
      </c>
      <c r="J673" s="2"/>
      <c r="K673" s="2"/>
      <c r="L673" s="2"/>
      <c r="M673" s="2" t="s">
        <v>5669</v>
      </c>
      <c r="N673" s="2" t="s">
        <v>5670</v>
      </c>
      <c r="O673" s="2"/>
      <c r="P673" s="2" t="s">
        <v>5671</v>
      </c>
      <c r="Q673" s="2" t="s">
        <v>5672</v>
      </c>
      <c r="R673" s="2" t="s">
        <v>36</v>
      </c>
      <c r="S673" s="2" t="s">
        <v>1857</v>
      </c>
      <c r="T673" s="2" t="s">
        <v>1858</v>
      </c>
      <c r="U673" s="2" t="s">
        <v>5665</v>
      </c>
      <c r="V673" s="2" t="s">
        <v>205</v>
      </c>
      <c r="W673" s="2" t="s">
        <v>56</v>
      </c>
    </row>
    <row r="674">
      <c r="A674" s="2" t="n">
        <v>505</v>
      </c>
      <c r="B674" s="2" t="s">
        <v>14548</v>
      </c>
      <c r="C674" s="2" t="s">
        <v>5673</v>
      </c>
      <c r="D674" s="2" t="n">
        <v>347.187735409</v>
      </c>
      <c r="E674" s="2" t="n">
        <v>5.60209838205726</v>
      </c>
      <c r="F674" s="2" t="s">
        <v>14549</v>
      </c>
      <c r="G674" s="2" t="n">
        <v>207831</v>
      </c>
      <c r="H674" s="3" t="str">
        <f>HYPERLINK("http://funmeta.oebiotech.com/network/207831", "http://funmeta.oebiotech.com/network/207831")</f>
      </c>
      <c r="I674" s="2" t="s">
        <v>14550</v>
      </c>
      <c r="J674" s="2" t="s">
        <v>14551</v>
      </c>
      <c r="K674" s="2"/>
      <c r="L674" s="2"/>
      <c r="M674" s="2"/>
      <c r="N674" s="2" t="s">
        <v>14552</v>
      </c>
      <c r="O674" s="2"/>
      <c r="P674" s="2" t="s">
        <v>14553</v>
      </c>
      <c r="Q674" s="2" t="s">
        <v>14554</v>
      </c>
      <c r="R674" s="2" t="s">
        <v>114</v>
      </c>
      <c r="S674" s="2" t="s">
        <v>994</v>
      </c>
      <c r="T674" s="2" t="s">
        <v>14555</v>
      </c>
      <c r="U674" s="2" t="s">
        <v>5674</v>
      </c>
      <c r="V674" s="2" t="s">
        <v>24</v>
      </c>
      <c r="W674" s="2"/>
    </row>
    <row r="675">
      <c r="A675" s="2" t="n">
        <v>505</v>
      </c>
      <c r="B675" s="2" t="s">
        <v>14556</v>
      </c>
      <c r="C675" s="2" t="s">
        <v>5673</v>
      </c>
      <c r="D675" s="2" t="n">
        <v>347.187735409</v>
      </c>
      <c r="E675" s="2" t="n">
        <v>5.60209838205726</v>
      </c>
      <c r="F675" s="2" t="s">
        <v>14557</v>
      </c>
      <c r="G675" s="2" t="n">
        <v>202951</v>
      </c>
      <c r="H675" s="3" t="str">
        <f>HYPERLINK("http://funmeta.oebiotech.com/network/202951", "http://funmeta.oebiotech.com/network/202951")</f>
      </c>
      <c r="I675" s="2" t="s">
        <v>14558</v>
      </c>
      <c r="J675" s="2"/>
      <c r="K675" s="2"/>
      <c r="L675" s="2"/>
      <c r="M675" s="2"/>
      <c r="N675" s="2" t="s">
        <v>14559</v>
      </c>
      <c r="O675" s="2"/>
      <c r="P675" s="2" t="s">
        <v>14560</v>
      </c>
      <c r="Q675" s="2" t="s">
        <v>14561</v>
      </c>
      <c r="R675" s="2" t="s">
        <v>114</v>
      </c>
      <c r="S675" s="2" t="s">
        <v>14562</v>
      </c>
      <c r="T675" s="2" t="s">
        <v>14563</v>
      </c>
      <c r="U675" s="2" t="s">
        <v>5674</v>
      </c>
      <c r="V675" s="2" t="s">
        <v>24</v>
      </c>
      <c r="W675" s="2"/>
    </row>
    <row r="676">
      <c r="A676" s="2" t="n">
        <v>506</v>
      </c>
      <c r="B676" s="2" t="s">
        <v>14564</v>
      </c>
      <c r="C676" s="2" t="s">
        <v>5684</v>
      </c>
      <c r="D676" s="2" t="n">
        <v>347.226150509</v>
      </c>
      <c r="E676" s="2" t="n">
        <v>9.36315099051583</v>
      </c>
      <c r="F676" s="2" t="s">
        <v>5686</v>
      </c>
      <c r="G676" s="2" t="n">
        <v>199341</v>
      </c>
      <c r="H676" s="3" t="str">
        <f>HYPERLINK("http://funmeta.oebiotech.com/network/199341", "http://funmeta.oebiotech.com/network/199341")</f>
      </c>
      <c r="I676" s="2" t="s">
        <v>5688</v>
      </c>
      <c r="J676" s="2" t="s">
        <v>5689</v>
      </c>
      <c r="K676" s="2"/>
      <c r="L676" s="2"/>
      <c r="M676" s="2"/>
      <c r="N676" s="2" t="s">
        <v>5690</v>
      </c>
      <c r="O676" s="2"/>
      <c r="P676" s="2" t="s">
        <v>5691</v>
      </c>
      <c r="Q676" s="2" t="s">
        <v>5692</v>
      </c>
      <c r="R676" s="2" t="s">
        <v>794</v>
      </c>
      <c r="S676" s="2" t="s">
        <v>795</v>
      </c>
      <c r="T676" s="2" t="s">
        <v>796</v>
      </c>
      <c r="U676" s="2" t="s">
        <v>5685</v>
      </c>
      <c r="V676" s="2" t="s">
        <v>205</v>
      </c>
      <c r="W676" s="2"/>
    </row>
    <row r="677">
      <c r="A677" s="2" t="n">
        <v>507</v>
      </c>
      <c r="B677" s="2" t="s">
        <v>14565</v>
      </c>
      <c r="C677" s="2" t="s">
        <v>5693</v>
      </c>
      <c r="D677" s="2" t="n">
        <v>347.26637966</v>
      </c>
      <c r="E677" s="2" t="n">
        <v>5.15099221119057</v>
      </c>
      <c r="F677" s="2" t="s">
        <v>5695</v>
      </c>
      <c r="G677" s="2" t="n">
        <v>52236</v>
      </c>
      <c r="H677" s="3" t="str">
        <f>HYPERLINK("http://funmeta.oebiotech.com/network/52236", "http://funmeta.oebiotech.com/network/52236")</f>
      </c>
      <c r="I677" s="2" t="s">
        <v>5697</v>
      </c>
      <c r="J677" s="2"/>
      <c r="K677" s="2"/>
      <c r="L677" s="2" t="s">
        <v>5698</v>
      </c>
      <c r="M677" s="2" t="s">
        <v>5699</v>
      </c>
      <c r="N677" s="2" t="s">
        <v>5700</v>
      </c>
      <c r="O677" s="2"/>
      <c r="P677" s="2" t="s">
        <v>5701</v>
      </c>
      <c r="Q677" s="2" t="s">
        <v>5702</v>
      </c>
      <c r="R677" s="2" t="s">
        <v>36</v>
      </c>
      <c r="S677" s="2" t="s">
        <v>37</v>
      </c>
      <c r="T677" s="2" t="s">
        <v>69</v>
      </c>
      <c r="U677" s="2" t="s">
        <v>5694</v>
      </c>
      <c r="V677" s="2" t="s">
        <v>683</v>
      </c>
      <c r="W677" s="2" t="s">
        <v>56</v>
      </c>
    </row>
    <row r="678">
      <c r="A678" s="2" t="n">
        <v>508</v>
      </c>
      <c r="B678" s="2" t="s">
        <v>14566</v>
      </c>
      <c r="C678" s="2" t="s">
        <v>5703</v>
      </c>
      <c r="D678" s="2" t="n">
        <v>348.049168447</v>
      </c>
      <c r="E678" s="2" t="n">
        <v>2.77810617813201</v>
      </c>
      <c r="F678" s="2" t="s">
        <v>5705</v>
      </c>
      <c r="G678" s="2" t="n">
        <v>211138</v>
      </c>
      <c r="H678" s="3" t="str">
        <f>HYPERLINK("http://funmeta.oebiotech.com/network/211138", "http://funmeta.oebiotech.com/network/211138")</f>
      </c>
      <c r="I678" s="2" t="s">
        <v>5707</v>
      </c>
      <c r="J678" s="2"/>
      <c r="K678" s="2"/>
      <c r="L678" s="2"/>
      <c r="M678" s="2"/>
      <c r="N678" s="2"/>
      <c r="O678" s="2"/>
      <c r="P678" s="2" t="s">
        <v>5708</v>
      </c>
      <c r="Q678" s="2" t="s">
        <v>5709</v>
      </c>
      <c r="R678" s="2" t="s">
        <v>129</v>
      </c>
      <c r="S678" s="2" t="s">
        <v>130</v>
      </c>
      <c r="T678" s="2" t="s">
        <v>1681</v>
      </c>
      <c r="U678" s="2" t="s">
        <v>5704</v>
      </c>
      <c r="V678" s="2" t="s">
        <v>86</v>
      </c>
      <c r="W678" s="2"/>
    </row>
    <row r="679">
      <c r="A679" s="2" t="n">
        <v>509</v>
      </c>
      <c r="B679" s="2" t="s">
        <v>14567</v>
      </c>
      <c r="C679" s="2" t="s">
        <v>5710</v>
      </c>
      <c r="D679" s="2" t="n">
        <v>348.092744</v>
      </c>
      <c r="E679" s="2" t="n">
        <v>1.07347342066901</v>
      </c>
      <c r="F679" s="2" t="s">
        <v>5712</v>
      </c>
      <c r="G679" s="2" t="n">
        <v>206290</v>
      </c>
      <c r="H679" s="3" t="str">
        <f>HYPERLINK("http://funmeta.oebiotech.com/network/206290", "http://funmeta.oebiotech.com/network/206290")</f>
      </c>
      <c r="I679" s="2" t="s">
        <v>5714</v>
      </c>
      <c r="J679" s="2"/>
      <c r="K679" s="2"/>
      <c r="L679" s="2"/>
      <c r="M679" s="2"/>
      <c r="N679" s="2" t="s">
        <v>5715</v>
      </c>
      <c r="O679" s="2"/>
      <c r="P679" s="2" t="s">
        <v>5716</v>
      </c>
      <c r="Q679" s="2" t="s">
        <v>5717</v>
      </c>
      <c r="R679" s="2" t="s">
        <v>114</v>
      </c>
      <c r="S679" s="2" t="s">
        <v>3757</v>
      </c>
      <c r="T679" s="2" t="s">
        <v>215</v>
      </c>
      <c r="U679" s="2" t="s">
        <v>5711</v>
      </c>
      <c r="V679" s="2" t="s">
        <v>86</v>
      </c>
      <c r="W679" s="2"/>
    </row>
    <row r="680">
      <c r="A680" s="2" t="n">
        <v>510</v>
      </c>
      <c r="B680" s="2" t="s">
        <v>14568</v>
      </c>
      <c r="C680" s="2" t="s">
        <v>5718</v>
      </c>
      <c r="D680" s="2" t="n">
        <v>348.156490548</v>
      </c>
      <c r="E680" s="2" t="n">
        <v>2.32970616399138</v>
      </c>
      <c r="F680" s="2" t="s">
        <v>14569</v>
      </c>
      <c r="G680" s="2" t="n">
        <v>54149</v>
      </c>
      <c r="H680" s="3" t="str">
        <f>HYPERLINK("http://funmeta.oebiotech.com/network/54149", "http://funmeta.oebiotech.com/network/54149")</f>
      </c>
      <c r="I680" s="2" t="s">
        <v>14570</v>
      </c>
      <c r="J680" s="2" t="s">
        <v>14571</v>
      </c>
      <c r="K680" s="2"/>
      <c r="L680" s="2"/>
      <c r="M680" s="2"/>
      <c r="N680" s="2" t="s">
        <v>14572</v>
      </c>
      <c r="O680" s="2" t="s">
        <v>14573</v>
      </c>
      <c r="P680" s="2" t="s">
        <v>14574</v>
      </c>
      <c r="Q680" s="2" t="s">
        <v>14575</v>
      </c>
      <c r="R680" s="2" t="s">
        <v>36</v>
      </c>
      <c r="S680" s="2" t="s">
        <v>37</v>
      </c>
      <c r="T680" s="2" t="s">
        <v>69</v>
      </c>
      <c r="U680" s="2" t="s">
        <v>5719</v>
      </c>
      <c r="V680" s="2" t="s">
        <v>205</v>
      </c>
      <c r="W680" s="2" t="s">
        <v>56</v>
      </c>
    </row>
    <row r="681">
      <c r="A681" s="2" t="n">
        <v>510</v>
      </c>
      <c r="B681" s="2" t="s">
        <v>14576</v>
      </c>
      <c r="C681" s="2" t="s">
        <v>5718</v>
      </c>
      <c r="D681" s="2" t="n">
        <v>348.156490553</v>
      </c>
      <c r="E681" s="2" t="n">
        <v>2.32970616399138</v>
      </c>
      <c r="F681" s="2" t="s">
        <v>14577</v>
      </c>
      <c r="G681" s="2" t="n">
        <v>54107</v>
      </c>
      <c r="H681" s="3" t="str">
        <f>HYPERLINK("http://funmeta.oebiotech.com/network/54107", "http://funmeta.oebiotech.com/network/54107")</f>
      </c>
      <c r="I681" s="2" t="s">
        <v>14578</v>
      </c>
      <c r="J681" s="2"/>
      <c r="K681" s="2"/>
      <c r="L681" s="2"/>
      <c r="M681" s="2"/>
      <c r="N681" s="2" t="s">
        <v>14579</v>
      </c>
      <c r="O681" s="2"/>
      <c r="P681" s="2" t="s">
        <v>14580</v>
      </c>
      <c r="Q681" s="2" t="s">
        <v>14581</v>
      </c>
      <c r="R681" s="2" t="s">
        <v>36</v>
      </c>
      <c r="S681" s="2" t="s">
        <v>37</v>
      </c>
      <c r="T681" s="2" t="s">
        <v>69</v>
      </c>
      <c r="U681" s="2" t="s">
        <v>5719</v>
      </c>
      <c r="V681" s="2" t="s">
        <v>205</v>
      </c>
      <c r="W681" s="2" t="s">
        <v>56</v>
      </c>
    </row>
    <row r="682">
      <c r="A682" s="2" t="n">
        <v>511</v>
      </c>
      <c r="B682" s="2" t="s">
        <v>14582</v>
      </c>
      <c r="C682" s="2" t="s">
        <v>5728</v>
      </c>
      <c r="D682" s="2" t="n">
        <v>349.063044386</v>
      </c>
      <c r="E682" s="2" t="n">
        <v>0.327669577112397</v>
      </c>
      <c r="F682" s="2" t="s">
        <v>14583</v>
      </c>
      <c r="G682" s="2" t="n">
        <v>209712</v>
      </c>
      <c r="H682" s="3" t="str">
        <f>HYPERLINK("http://funmeta.oebiotech.com/network/209712", "http://funmeta.oebiotech.com/network/209712")</f>
      </c>
      <c r="I682" s="2" t="s">
        <v>14584</v>
      </c>
      <c r="J682" s="2" t="s">
        <v>14585</v>
      </c>
      <c r="K682" s="2"/>
      <c r="L682" s="2"/>
      <c r="M682" s="2" t="s">
        <v>14586</v>
      </c>
      <c r="N682" s="2" t="s">
        <v>14587</v>
      </c>
      <c r="O682" s="2" t="s">
        <v>14588</v>
      </c>
      <c r="P682" s="2" t="s">
        <v>14589</v>
      </c>
      <c r="Q682" s="2" t="s">
        <v>14590</v>
      </c>
      <c r="R682" s="2" t="s">
        <v>186</v>
      </c>
      <c r="S682" s="2" t="s">
        <v>187</v>
      </c>
      <c r="T682" s="2" t="s">
        <v>1206</v>
      </c>
      <c r="U682" s="2" t="s">
        <v>5729</v>
      </c>
      <c r="V682" s="2" t="s">
        <v>86</v>
      </c>
      <c r="W682" s="2"/>
    </row>
    <row r="683">
      <c r="A683" s="2" t="n">
        <v>511</v>
      </c>
      <c r="B683" s="2" t="s">
        <v>14591</v>
      </c>
      <c r="C683" s="2" t="s">
        <v>5728</v>
      </c>
      <c r="D683" s="2" t="n">
        <v>349.063044862</v>
      </c>
      <c r="E683" s="2" t="n">
        <v>0.327669577112397</v>
      </c>
      <c r="F683" s="2" t="s">
        <v>14592</v>
      </c>
      <c r="G683" s="2" t="n">
        <v>211305</v>
      </c>
      <c r="H683" s="3" t="str">
        <f>HYPERLINK("http://funmeta.oebiotech.com/network/211305", "http://funmeta.oebiotech.com/network/211305")</f>
      </c>
      <c r="I683" s="2" t="s">
        <v>14593</v>
      </c>
      <c r="J683" s="2"/>
      <c r="K683" s="2"/>
      <c r="L683" s="2"/>
      <c r="M683" s="2"/>
      <c r="N683" s="2" t="s">
        <v>14594</v>
      </c>
      <c r="O683" s="2"/>
      <c r="P683" s="2" t="s">
        <v>14595</v>
      </c>
      <c r="Q683" s="2" t="s">
        <v>14596</v>
      </c>
      <c r="R683" s="2" t="s">
        <v>186</v>
      </c>
      <c r="S683" s="2" t="s">
        <v>187</v>
      </c>
      <c r="T683" s="2" t="s">
        <v>3996</v>
      </c>
      <c r="U683" s="2" t="s">
        <v>5729</v>
      </c>
      <c r="V683" s="2" t="s">
        <v>86</v>
      </c>
      <c r="W683" s="2"/>
    </row>
    <row r="684">
      <c r="A684" s="2" t="n">
        <v>512</v>
      </c>
      <c r="B684" s="2" t="s">
        <v>14597</v>
      </c>
      <c r="C684" s="2" t="s">
        <v>5740</v>
      </c>
      <c r="D684" s="2" t="n">
        <v>349.155766576</v>
      </c>
      <c r="E684" s="2" t="n">
        <v>2.63791252129087</v>
      </c>
      <c r="F684" s="2" t="s">
        <v>14598</v>
      </c>
      <c r="G684" s="2" t="n">
        <v>257279</v>
      </c>
      <c r="H684" s="3" t="str">
        <f>HYPERLINK("http://funmeta.oebiotech.com/network/257279", "http://funmeta.oebiotech.com/network/257279")</f>
      </c>
      <c r="I684" s="2" t="s">
        <v>14599</v>
      </c>
      <c r="J684" s="2"/>
      <c r="K684" s="2"/>
      <c r="L684" s="2"/>
      <c r="M684" s="2"/>
      <c r="N684" s="2" t="s">
        <v>14600</v>
      </c>
      <c r="O684" s="2"/>
      <c r="P684" s="2" t="s">
        <v>14601</v>
      </c>
      <c r="Q684" s="2" t="s">
        <v>14602</v>
      </c>
      <c r="R684" s="2" t="s">
        <v>3003</v>
      </c>
      <c r="S684" s="2" t="s">
        <v>14603</v>
      </c>
      <c r="T684" s="2" t="s">
        <v>215</v>
      </c>
      <c r="U684" s="2" t="s">
        <v>5741</v>
      </c>
      <c r="V684" s="2" t="s">
        <v>24</v>
      </c>
      <c r="W684" s="2"/>
    </row>
    <row r="685">
      <c r="A685" s="2" t="n">
        <v>512</v>
      </c>
      <c r="B685" s="2" t="s">
        <v>14604</v>
      </c>
      <c r="C685" s="2" t="s">
        <v>5740</v>
      </c>
      <c r="D685" s="2" t="n">
        <v>349.155766576</v>
      </c>
      <c r="E685" s="2" t="n">
        <v>2.63791252129087</v>
      </c>
      <c r="F685" s="2" t="s">
        <v>14605</v>
      </c>
      <c r="G685" s="2" t="n">
        <v>207134</v>
      </c>
      <c r="H685" s="3" t="str">
        <f>HYPERLINK("http://funmeta.oebiotech.com/network/207134", "http://funmeta.oebiotech.com/network/207134")</f>
      </c>
      <c r="I685" s="2" t="s">
        <v>14606</v>
      </c>
      <c r="J685" s="2"/>
      <c r="K685" s="2"/>
      <c r="L685" s="2"/>
      <c r="M685" s="2"/>
      <c r="N685" s="2" t="s">
        <v>14607</v>
      </c>
      <c r="O685" s="2"/>
      <c r="P685" s="2" t="s">
        <v>14608</v>
      </c>
      <c r="Q685" s="2" t="s">
        <v>14609</v>
      </c>
      <c r="R685" s="2" t="s">
        <v>3003</v>
      </c>
      <c r="S685" s="2" t="s">
        <v>14610</v>
      </c>
      <c r="T685" s="2" t="s">
        <v>215</v>
      </c>
      <c r="U685" s="2" t="s">
        <v>5741</v>
      </c>
      <c r="V685" s="2" t="s">
        <v>24</v>
      </c>
      <c r="W685" s="2"/>
    </row>
    <row r="686">
      <c r="A686" s="2" t="n">
        <v>512</v>
      </c>
      <c r="B686" s="2" t="s">
        <v>14611</v>
      </c>
      <c r="C686" s="2" t="s">
        <v>5740</v>
      </c>
      <c r="D686" s="2" t="n">
        <v>349.155766576</v>
      </c>
      <c r="E686" s="2" t="n">
        <v>2.63791252129087</v>
      </c>
      <c r="F686" s="2" t="s">
        <v>14612</v>
      </c>
      <c r="G686" s="2" t="n">
        <v>210003</v>
      </c>
      <c r="H686" s="3" t="str">
        <f>HYPERLINK("http://funmeta.oebiotech.com/network/210003", "http://funmeta.oebiotech.com/network/210003")</f>
      </c>
      <c r="I686" s="2" t="s">
        <v>14613</v>
      </c>
      <c r="J686" s="2" t="s">
        <v>14614</v>
      </c>
      <c r="K686" s="2"/>
      <c r="L686" s="2"/>
      <c r="M686" s="2"/>
      <c r="N686" s="2" t="s">
        <v>14615</v>
      </c>
      <c r="O686" s="2"/>
      <c r="P686" s="2" t="s">
        <v>14616</v>
      </c>
      <c r="Q686" s="2" t="s">
        <v>14617</v>
      </c>
      <c r="R686" s="2" t="s">
        <v>186</v>
      </c>
      <c r="S686" s="2" t="s">
        <v>187</v>
      </c>
      <c r="T686" s="2" t="s">
        <v>4711</v>
      </c>
      <c r="U686" s="2" t="s">
        <v>5741</v>
      </c>
      <c r="V686" s="2" t="s">
        <v>24</v>
      </c>
      <c r="W686" s="2"/>
    </row>
    <row r="687">
      <c r="A687" s="2" t="n">
        <v>513</v>
      </c>
      <c r="B687" s="2" t="s">
        <v>14618</v>
      </c>
      <c r="C687" s="2" t="s">
        <v>5752</v>
      </c>
      <c r="D687" s="2" t="n">
        <v>349.247260027</v>
      </c>
      <c r="E687" s="2" t="n">
        <v>8.99505754841817</v>
      </c>
      <c r="F687" s="2" t="s">
        <v>5754</v>
      </c>
      <c r="G687" s="2" t="n">
        <v>198542</v>
      </c>
      <c r="H687" s="3" t="str">
        <f>HYPERLINK("http://funmeta.oebiotech.com/network/198542", "http://funmeta.oebiotech.com/network/198542")</f>
      </c>
      <c r="I687" s="2" t="s">
        <v>5756</v>
      </c>
      <c r="J687" s="2"/>
      <c r="K687" s="2"/>
      <c r="L687" s="2"/>
      <c r="M687" s="2"/>
      <c r="N687" s="2" t="s">
        <v>5757</v>
      </c>
      <c r="O687" s="2"/>
      <c r="P687" s="2" t="s">
        <v>5758</v>
      </c>
      <c r="Q687" s="2" t="s">
        <v>5759</v>
      </c>
      <c r="R687" s="2" t="s">
        <v>36</v>
      </c>
      <c r="S687" s="2" t="s">
        <v>37</v>
      </c>
      <c r="T687" s="2" t="s">
        <v>69</v>
      </c>
      <c r="U687" s="2" t="s">
        <v>5753</v>
      </c>
      <c r="V687" s="2" t="s">
        <v>531</v>
      </c>
      <c r="W687" s="2"/>
    </row>
    <row r="688">
      <c r="A688" s="2" t="n">
        <v>514</v>
      </c>
      <c r="B688" s="2" t="s">
        <v>14619</v>
      </c>
      <c r="C688" s="2" t="s">
        <v>5760</v>
      </c>
      <c r="D688" s="2" t="n">
        <v>349.9800203</v>
      </c>
      <c r="E688" s="2" t="n">
        <v>4.50424465346074</v>
      </c>
      <c r="F688" s="2" t="s">
        <v>5762</v>
      </c>
      <c r="G688" s="2" t="n">
        <v>209168</v>
      </c>
      <c r="H688" s="3" t="str">
        <f>HYPERLINK("http://funmeta.oebiotech.com/network/209168", "http://funmeta.oebiotech.com/network/209168")</f>
      </c>
      <c r="I688" s="2" t="s">
        <v>5764</v>
      </c>
      <c r="J688" s="2"/>
      <c r="K688" s="2"/>
      <c r="L688" s="2"/>
      <c r="M688" s="2"/>
      <c r="N688" s="2" t="s">
        <v>5765</v>
      </c>
      <c r="O688" s="2"/>
      <c r="P688" s="2" t="s">
        <v>5766</v>
      </c>
      <c r="Q688" s="2" t="s">
        <v>5767</v>
      </c>
      <c r="R688" s="2" t="s">
        <v>36</v>
      </c>
      <c r="S688" s="2" t="s">
        <v>37</v>
      </c>
      <c r="T688" s="2" t="s">
        <v>69</v>
      </c>
      <c r="U688" s="2" t="s">
        <v>5761</v>
      </c>
      <c r="V688" s="2" t="s">
        <v>531</v>
      </c>
      <c r="W688" s="2"/>
    </row>
    <row r="689">
      <c r="A689" s="2" t="n">
        <v>515</v>
      </c>
      <c r="B689" s="2" t="s">
        <v>14620</v>
      </c>
      <c r="C689" s="2" t="s">
        <v>5768</v>
      </c>
      <c r="D689" s="2" t="n">
        <v>350.042657569</v>
      </c>
      <c r="E689" s="2" t="n">
        <v>1.17052189915913</v>
      </c>
      <c r="F689" s="2" t="s">
        <v>5770</v>
      </c>
      <c r="G689" s="2" t="n">
        <v>210331</v>
      </c>
      <c r="H689" s="3" t="str">
        <f>HYPERLINK("http://funmeta.oebiotech.com/network/210331", "http://funmeta.oebiotech.com/network/210331")</f>
      </c>
      <c r="I689" s="2" t="s">
        <v>5772</v>
      </c>
      <c r="J689" s="2"/>
      <c r="K689" s="2"/>
      <c r="L689" s="2"/>
      <c r="M689" s="2"/>
      <c r="N689" s="2" t="s">
        <v>5773</v>
      </c>
      <c r="O689" s="2"/>
      <c r="P689" s="2" t="s">
        <v>5774</v>
      </c>
      <c r="Q689" s="2" t="s">
        <v>5775</v>
      </c>
      <c r="R689" s="2" t="s">
        <v>114</v>
      </c>
      <c r="S689" s="2" t="s">
        <v>730</v>
      </c>
      <c r="T689" s="2" t="s">
        <v>731</v>
      </c>
      <c r="U689" s="2" t="s">
        <v>5769</v>
      </c>
      <c r="V689" s="2" t="s">
        <v>86</v>
      </c>
      <c r="W689" s="2"/>
    </row>
    <row r="690">
      <c r="A690" s="2" t="n">
        <v>516</v>
      </c>
      <c r="B690" s="2" t="s">
        <v>14621</v>
      </c>
      <c r="C690" s="2" t="s">
        <v>5776</v>
      </c>
      <c r="D690" s="2" t="n">
        <v>350.109269897</v>
      </c>
      <c r="E690" s="2" t="n">
        <v>3.05385615116224</v>
      </c>
      <c r="F690" s="2" t="s">
        <v>14622</v>
      </c>
      <c r="G690" s="2" t="n">
        <v>47220</v>
      </c>
      <c r="H690" s="3" t="str">
        <f>HYPERLINK("http://funmeta.oebiotech.com/network/47220", "http://funmeta.oebiotech.com/network/47220")</f>
      </c>
      <c r="I690" s="2" t="s">
        <v>14623</v>
      </c>
      <c r="J690" s="2" t="s">
        <v>14624</v>
      </c>
      <c r="K690" s="2"/>
      <c r="L690" s="2" t="s">
        <v>14625</v>
      </c>
      <c r="M690" s="2"/>
      <c r="N690" s="2" t="s">
        <v>14626</v>
      </c>
      <c r="O690" s="2" t="s">
        <v>14627</v>
      </c>
      <c r="P690" s="2" t="s">
        <v>14628</v>
      </c>
      <c r="Q690" s="2" t="s">
        <v>14629</v>
      </c>
      <c r="R690" s="2" t="s">
        <v>129</v>
      </c>
      <c r="S690" s="2" t="s">
        <v>130</v>
      </c>
      <c r="T690" s="2" t="s">
        <v>1681</v>
      </c>
      <c r="U690" s="2" t="s">
        <v>5777</v>
      </c>
      <c r="V690" s="2" t="s">
        <v>24</v>
      </c>
      <c r="W690" s="2" t="s">
        <v>56</v>
      </c>
    </row>
    <row r="691">
      <c r="A691" s="2" t="n">
        <v>516</v>
      </c>
      <c r="B691" s="2" t="s">
        <v>14630</v>
      </c>
      <c r="C691" s="2" t="s">
        <v>5776</v>
      </c>
      <c r="D691" s="2" t="n">
        <v>350.109269897</v>
      </c>
      <c r="E691" s="2" t="n">
        <v>3.05385615116224</v>
      </c>
      <c r="F691" s="2" t="s">
        <v>14631</v>
      </c>
      <c r="G691" s="2" t="n">
        <v>47226</v>
      </c>
      <c r="H691" s="3" t="str">
        <f>HYPERLINK("http://funmeta.oebiotech.com/network/47226", "http://funmeta.oebiotech.com/network/47226")</f>
      </c>
      <c r="I691" s="2" t="s">
        <v>14632</v>
      </c>
      <c r="J691" s="2" t="s">
        <v>14633</v>
      </c>
      <c r="K691" s="2"/>
      <c r="L691" s="2" t="s">
        <v>14634</v>
      </c>
      <c r="M691" s="2" t="s">
        <v>14635</v>
      </c>
      <c r="N691" s="2" t="s">
        <v>14636</v>
      </c>
      <c r="O691" s="2" t="s">
        <v>14637</v>
      </c>
      <c r="P691" s="2" t="s">
        <v>14638</v>
      </c>
      <c r="Q691" s="2" t="s">
        <v>14639</v>
      </c>
      <c r="R691" s="2" t="s">
        <v>129</v>
      </c>
      <c r="S691" s="2" t="s">
        <v>130</v>
      </c>
      <c r="T691" s="2" t="s">
        <v>1681</v>
      </c>
      <c r="U691" s="2" t="s">
        <v>5777</v>
      </c>
      <c r="V691" s="2" t="s">
        <v>24</v>
      </c>
      <c r="W691" s="2" t="s">
        <v>56</v>
      </c>
    </row>
    <row r="692">
      <c r="A692" s="2" t="n">
        <v>516</v>
      </c>
      <c r="B692" s="2" t="s">
        <v>14640</v>
      </c>
      <c r="C692" s="2" t="s">
        <v>5776</v>
      </c>
      <c r="D692" s="2" t="n">
        <v>350.109269897</v>
      </c>
      <c r="E692" s="2" t="n">
        <v>3.05385615116224</v>
      </c>
      <c r="F692" s="2" t="s">
        <v>14641</v>
      </c>
      <c r="G692" s="2" t="n">
        <v>47227</v>
      </c>
      <c r="H692" s="3" t="str">
        <f>HYPERLINK("http://funmeta.oebiotech.com/network/47227", "http://funmeta.oebiotech.com/network/47227")</f>
      </c>
      <c r="I692" s="2" t="s">
        <v>14642</v>
      </c>
      <c r="J692" s="2" t="s">
        <v>14643</v>
      </c>
      <c r="K692" s="2"/>
      <c r="L692" s="2" t="s">
        <v>14644</v>
      </c>
      <c r="M692" s="2" t="s">
        <v>14645</v>
      </c>
      <c r="N692" s="2" t="s">
        <v>14646</v>
      </c>
      <c r="O692" s="2" t="s">
        <v>14647</v>
      </c>
      <c r="P692" s="2" t="s">
        <v>14648</v>
      </c>
      <c r="Q692" s="2" t="s">
        <v>14649</v>
      </c>
      <c r="R692" s="2" t="s">
        <v>129</v>
      </c>
      <c r="S692" s="2" t="s">
        <v>130</v>
      </c>
      <c r="T692" s="2" t="s">
        <v>1681</v>
      </c>
      <c r="U692" s="2" t="s">
        <v>5777</v>
      </c>
      <c r="V692" s="2" t="s">
        <v>24</v>
      </c>
      <c r="W692" s="2" t="s">
        <v>56</v>
      </c>
    </row>
    <row r="693">
      <c r="A693" s="2" t="n">
        <v>517</v>
      </c>
      <c r="B693" s="2" t="s">
        <v>14650</v>
      </c>
      <c r="C693" s="2" t="s">
        <v>5791</v>
      </c>
      <c r="D693" s="2" t="n">
        <v>350.210360547</v>
      </c>
      <c r="E693" s="2" t="n">
        <v>0.395343639809071</v>
      </c>
      <c r="F693" s="2" t="s">
        <v>5793</v>
      </c>
      <c r="G693" s="2" t="n">
        <v>8288</v>
      </c>
      <c r="H693" s="3" t="str">
        <f>HYPERLINK("http://funmeta.oebiotech.com/network/8288", "http://funmeta.oebiotech.com/network/8288")</f>
      </c>
      <c r="I693" s="2" t="s">
        <v>5795</v>
      </c>
      <c r="J693" s="2" t="s">
        <v>5796</v>
      </c>
      <c r="K693" s="2" t="s">
        <v>5797</v>
      </c>
      <c r="L693" s="2" t="s">
        <v>5798</v>
      </c>
      <c r="M693" s="2" t="s">
        <v>5799</v>
      </c>
      <c r="N693" s="2" t="s">
        <v>5800</v>
      </c>
      <c r="O693" s="2" t="s">
        <v>5801</v>
      </c>
      <c r="P693" s="2" t="s">
        <v>5802</v>
      </c>
      <c r="Q693" s="2" t="s">
        <v>5803</v>
      </c>
      <c r="R693" s="2" t="s">
        <v>794</v>
      </c>
      <c r="S693" s="2" t="s">
        <v>795</v>
      </c>
      <c r="T693" s="2" t="s">
        <v>1870</v>
      </c>
      <c r="U693" s="2" t="s">
        <v>5792</v>
      </c>
      <c r="V693" s="2" t="s">
        <v>86</v>
      </c>
      <c r="W693" s="2" t="s">
        <v>56</v>
      </c>
    </row>
    <row r="694">
      <c r="A694" s="2" t="n">
        <v>518</v>
      </c>
      <c r="B694" s="2" t="s">
        <v>14651</v>
      </c>
      <c r="C694" s="2" t="s">
        <v>5804</v>
      </c>
      <c r="D694" s="2" t="n">
        <v>351.064090244</v>
      </c>
      <c r="E694" s="2" t="n">
        <v>1.21098899809738</v>
      </c>
      <c r="F694" s="2" t="s">
        <v>14652</v>
      </c>
      <c r="G694" s="2" t="n">
        <v>29637</v>
      </c>
      <c r="H694" s="3" t="str">
        <f>HYPERLINK("http://funmeta.oebiotech.com/network/29637", "http://funmeta.oebiotech.com/network/29637")</f>
      </c>
      <c r="I694" s="2" t="s">
        <v>14653</v>
      </c>
      <c r="J694" s="2" t="s">
        <v>14654</v>
      </c>
      <c r="K694" s="2" t="s">
        <v>14655</v>
      </c>
      <c r="L694" s="2" t="s">
        <v>14656</v>
      </c>
      <c r="M694" s="2"/>
      <c r="N694" s="2" t="s">
        <v>14657</v>
      </c>
      <c r="O694" s="2" t="s">
        <v>14658</v>
      </c>
      <c r="P694" s="2" t="s">
        <v>14659</v>
      </c>
      <c r="Q694" s="2" t="s">
        <v>14660</v>
      </c>
      <c r="R694" s="2" t="s">
        <v>1355</v>
      </c>
      <c r="S694" s="2" t="s">
        <v>3653</v>
      </c>
      <c r="T694" s="2" t="s">
        <v>5522</v>
      </c>
      <c r="U694" s="2" t="s">
        <v>5805</v>
      </c>
      <c r="V694" s="2" t="s">
        <v>86</v>
      </c>
      <c r="W694" s="2" t="s">
        <v>101</v>
      </c>
    </row>
    <row r="695">
      <c r="A695" s="2" t="n">
        <v>518</v>
      </c>
      <c r="B695" s="2" t="s">
        <v>14661</v>
      </c>
      <c r="C695" s="2" t="s">
        <v>5804</v>
      </c>
      <c r="D695" s="2" t="n">
        <v>351.064090244</v>
      </c>
      <c r="E695" s="2" t="n">
        <v>1.21098899809738</v>
      </c>
      <c r="F695" s="2" t="s">
        <v>14662</v>
      </c>
      <c r="G695" s="2" t="n">
        <v>29640</v>
      </c>
      <c r="H695" s="3" t="str">
        <f>HYPERLINK("http://funmeta.oebiotech.com/network/29640", "http://funmeta.oebiotech.com/network/29640")</f>
      </c>
      <c r="I695" s="2" t="s">
        <v>14663</v>
      </c>
      <c r="J695" s="2" t="s">
        <v>14664</v>
      </c>
      <c r="K695" s="2" t="s">
        <v>14665</v>
      </c>
      <c r="L695" s="2" t="s">
        <v>14666</v>
      </c>
      <c r="M695" s="2" t="s">
        <v>14667</v>
      </c>
      <c r="N695" s="2" t="s">
        <v>14668</v>
      </c>
      <c r="O695" s="2" t="s">
        <v>14669</v>
      </c>
      <c r="P695" s="2" t="s">
        <v>14670</v>
      </c>
      <c r="Q695" s="2" t="s">
        <v>14671</v>
      </c>
      <c r="R695" s="2" t="s">
        <v>1355</v>
      </c>
      <c r="S695" s="2" t="s">
        <v>3653</v>
      </c>
      <c r="T695" s="2" t="s">
        <v>5522</v>
      </c>
      <c r="U695" s="2" t="s">
        <v>5805</v>
      </c>
      <c r="V695" s="2" t="s">
        <v>86</v>
      </c>
      <c r="W695" s="2" t="s">
        <v>101</v>
      </c>
    </row>
    <row r="696">
      <c r="A696" s="2" t="n">
        <v>518</v>
      </c>
      <c r="B696" s="2" t="s">
        <v>14672</v>
      </c>
      <c r="C696" s="2" t="s">
        <v>5804</v>
      </c>
      <c r="D696" s="2" t="n">
        <v>351.064090244</v>
      </c>
      <c r="E696" s="2" t="n">
        <v>1.21098899809738</v>
      </c>
      <c r="F696" s="2" t="s">
        <v>14673</v>
      </c>
      <c r="G696" s="2" t="n">
        <v>255480</v>
      </c>
      <c r="H696" s="3" t="str">
        <f>HYPERLINK("http://funmeta.oebiotech.com/network/255480", "http://funmeta.oebiotech.com/network/255480")</f>
      </c>
      <c r="I696" s="2" t="s">
        <v>14674</v>
      </c>
      <c r="J696" s="2" t="s">
        <v>14675</v>
      </c>
      <c r="K696" s="2"/>
      <c r="L696" s="2" t="s">
        <v>14676</v>
      </c>
      <c r="M696" s="2"/>
      <c r="N696" s="2" t="s">
        <v>14677</v>
      </c>
      <c r="O696" s="2" t="s">
        <v>14678</v>
      </c>
      <c r="P696" s="2" t="s">
        <v>14679</v>
      </c>
      <c r="Q696" s="2" t="s">
        <v>14680</v>
      </c>
      <c r="R696" s="2" t="s">
        <v>1355</v>
      </c>
      <c r="S696" s="2" t="s">
        <v>3298</v>
      </c>
      <c r="T696" s="2" t="s">
        <v>3299</v>
      </c>
      <c r="U696" s="2" t="s">
        <v>5805</v>
      </c>
      <c r="V696" s="2" t="s">
        <v>86</v>
      </c>
      <c r="W696" s="2" t="s">
        <v>101</v>
      </c>
    </row>
    <row r="697">
      <c r="A697" s="2" t="n">
        <v>519</v>
      </c>
      <c r="B697" s="2" t="s">
        <v>14681</v>
      </c>
      <c r="C697" s="2" t="s">
        <v>5820</v>
      </c>
      <c r="D697" s="2" t="n">
        <v>351.114827923</v>
      </c>
      <c r="E697" s="2" t="n">
        <v>0.578212090789994</v>
      </c>
      <c r="F697" s="2" t="s">
        <v>5822</v>
      </c>
      <c r="G697" s="2" t="n">
        <v>52854</v>
      </c>
      <c r="H697" s="3" t="str">
        <f>HYPERLINK("http://funmeta.oebiotech.com/network/52854", "http://funmeta.oebiotech.com/network/52854")</f>
      </c>
      <c r="I697" s="2" t="s">
        <v>5824</v>
      </c>
      <c r="J697" s="2" t="s">
        <v>5825</v>
      </c>
      <c r="K697" s="2"/>
      <c r="L697" s="2"/>
      <c r="M697" s="2" t="s">
        <v>5826</v>
      </c>
      <c r="N697" s="2" t="s">
        <v>5827</v>
      </c>
      <c r="O697" s="2" t="s">
        <v>5828</v>
      </c>
      <c r="P697" s="2" t="s">
        <v>5829</v>
      </c>
      <c r="Q697" s="2" t="s">
        <v>5830</v>
      </c>
      <c r="R697" s="2" t="s">
        <v>114</v>
      </c>
      <c r="S697" s="2" t="s">
        <v>5831</v>
      </c>
      <c r="T697" s="2" t="s">
        <v>5832</v>
      </c>
      <c r="U697" s="2" t="s">
        <v>5821</v>
      </c>
      <c r="V697" s="2" t="s">
        <v>24</v>
      </c>
      <c r="W697" s="2" t="s">
        <v>56</v>
      </c>
    </row>
    <row r="698">
      <c r="A698" s="2" t="n">
        <v>520</v>
      </c>
      <c r="B698" s="2" t="s">
        <v>14682</v>
      </c>
      <c r="C698" s="2" t="s">
        <v>5833</v>
      </c>
      <c r="D698" s="2" t="n">
        <v>351.20780215</v>
      </c>
      <c r="E698" s="2" t="n">
        <v>4.86051695497448</v>
      </c>
      <c r="F698" s="2" t="s">
        <v>14683</v>
      </c>
      <c r="G698" s="2" t="n">
        <v>212219</v>
      </c>
      <c r="H698" s="3" t="str">
        <f>HYPERLINK("http://funmeta.oebiotech.com/network/212219", "http://funmeta.oebiotech.com/network/212219")</f>
      </c>
      <c r="I698" s="2" t="s">
        <v>14684</v>
      </c>
      <c r="J698" s="2" t="s">
        <v>14685</v>
      </c>
      <c r="K698" s="2"/>
      <c r="L698" s="2" t="s">
        <v>14686</v>
      </c>
      <c r="M698" s="2" t="s">
        <v>14687</v>
      </c>
      <c r="N698" s="2" t="s">
        <v>14688</v>
      </c>
      <c r="O698" s="2" t="s">
        <v>14689</v>
      </c>
      <c r="P698" s="2" t="s">
        <v>14690</v>
      </c>
      <c r="Q698" s="2" t="s">
        <v>14691</v>
      </c>
      <c r="R698" s="2" t="s">
        <v>186</v>
      </c>
      <c r="S698" s="2" t="s">
        <v>187</v>
      </c>
      <c r="T698" s="2" t="s">
        <v>3454</v>
      </c>
      <c r="U698" s="2" t="s">
        <v>5834</v>
      </c>
      <c r="V698" s="2" t="s">
        <v>24</v>
      </c>
      <c r="W698" s="2" t="s">
        <v>101</v>
      </c>
    </row>
    <row r="699">
      <c r="A699" s="2" t="n">
        <v>520</v>
      </c>
      <c r="B699" s="2" t="s">
        <v>14692</v>
      </c>
      <c r="C699" s="2" t="s">
        <v>5833</v>
      </c>
      <c r="D699" s="2" t="n">
        <v>351.20780215</v>
      </c>
      <c r="E699" s="2" t="n">
        <v>4.86051695497448</v>
      </c>
      <c r="F699" s="2" t="s">
        <v>14693</v>
      </c>
      <c r="G699" s="2" t="n">
        <v>53437</v>
      </c>
      <c r="H699" s="3" t="str">
        <f>HYPERLINK("http://funmeta.oebiotech.com/network/53437", "http://funmeta.oebiotech.com/network/53437")</f>
      </c>
      <c r="I699" s="2" t="s">
        <v>14694</v>
      </c>
      <c r="J699" s="2" t="s">
        <v>14695</v>
      </c>
      <c r="K699" s="2"/>
      <c r="L699" s="2" t="s">
        <v>14696</v>
      </c>
      <c r="M699" s="2" t="s">
        <v>14697</v>
      </c>
      <c r="N699" s="2" t="s">
        <v>14698</v>
      </c>
      <c r="O699" s="2" t="s">
        <v>14699</v>
      </c>
      <c r="P699" s="2" t="s">
        <v>14700</v>
      </c>
      <c r="Q699" s="2" t="s">
        <v>14701</v>
      </c>
      <c r="R699" s="2" t="s">
        <v>186</v>
      </c>
      <c r="S699" s="2" t="s">
        <v>187</v>
      </c>
      <c r="T699" s="2" t="s">
        <v>4711</v>
      </c>
      <c r="U699" s="2" t="s">
        <v>5834</v>
      </c>
      <c r="V699" s="2" t="s">
        <v>24</v>
      </c>
      <c r="W699" s="2" t="s">
        <v>101</v>
      </c>
    </row>
    <row r="700">
      <c r="A700" s="2" t="n">
        <v>521</v>
      </c>
      <c r="B700" s="2" t="s">
        <v>14702</v>
      </c>
      <c r="C700" s="2" t="s">
        <v>5846</v>
      </c>
      <c r="D700" s="2" t="n">
        <v>352.212942799</v>
      </c>
      <c r="E700" s="2" t="n">
        <v>12.1353133500254</v>
      </c>
      <c r="F700" s="2" t="s">
        <v>5848</v>
      </c>
      <c r="G700" s="2" t="n">
        <v>8892</v>
      </c>
      <c r="H700" s="3" t="str">
        <f>HYPERLINK("http://funmeta.oebiotech.com/network/8892", "http://funmeta.oebiotech.com/network/8892")</f>
      </c>
      <c r="I700" s="2" t="s">
        <v>5850</v>
      </c>
      <c r="J700" s="2" t="s">
        <v>5851</v>
      </c>
      <c r="K700" s="2" t="s">
        <v>5852</v>
      </c>
      <c r="L700" s="2" t="s">
        <v>5853</v>
      </c>
      <c r="M700" s="2" t="s">
        <v>5854</v>
      </c>
      <c r="N700" s="2" t="s">
        <v>5855</v>
      </c>
      <c r="O700" s="2" t="s">
        <v>5856</v>
      </c>
      <c r="P700" s="2" t="s">
        <v>5857</v>
      </c>
      <c r="Q700" s="2" t="s">
        <v>5858</v>
      </c>
      <c r="R700" s="2" t="s">
        <v>186</v>
      </c>
      <c r="S700" s="2" t="s">
        <v>357</v>
      </c>
      <c r="T700" s="2" t="s">
        <v>5859</v>
      </c>
      <c r="U700" s="2" t="s">
        <v>5847</v>
      </c>
      <c r="V700" s="2" t="s">
        <v>205</v>
      </c>
      <c r="W700" s="2" t="s">
        <v>56</v>
      </c>
    </row>
    <row r="701">
      <c r="A701" s="2" t="n">
        <v>522</v>
      </c>
      <c r="B701" s="2" t="s">
        <v>14703</v>
      </c>
      <c r="C701" s="2" t="s">
        <v>5860</v>
      </c>
      <c r="D701" s="2" t="n">
        <v>353.171806266</v>
      </c>
      <c r="E701" s="2" t="n">
        <v>4.91664228032356</v>
      </c>
      <c r="F701" s="2" t="s">
        <v>5862</v>
      </c>
      <c r="G701" s="2" t="n">
        <v>82828</v>
      </c>
      <c r="H701" s="3" t="str">
        <f>HYPERLINK("http://funmeta.oebiotech.com/network/82828", "http://funmeta.oebiotech.com/network/82828")</f>
      </c>
      <c r="I701" s="2" t="s">
        <v>5864</v>
      </c>
      <c r="J701" s="2" t="s">
        <v>5865</v>
      </c>
      <c r="K701" s="2"/>
      <c r="L701" s="2"/>
      <c r="M701" s="2"/>
      <c r="N701" s="2" t="s">
        <v>5866</v>
      </c>
      <c r="O701" s="2" t="s">
        <v>5867</v>
      </c>
      <c r="P701" s="2" t="s">
        <v>5868</v>
      </c>
      <c r="Q701" s="2" t="s">
        <v>5869</v>
      </c>
      <c r="R701" s="2" t="s">
        <v>114</v>
      </c>
      <c r="S701" s="2" t="s">
        <v>2057</v>
      </c>
      <c r="T701" s="2" t="s">
        <v>5603</v>
      </c>
      <c r="U701" s="2" t="s">
        <v>5861</v>
      </c>
      <c r="V701" s="2" t="s">
        <v>205</v>
      </c>
      <c r="W701" s="2" t="s">
        <v>56</v>
      </c>
    </row>
    <row r="702">
      <c r="A702" s="2" t="n">
        <v>523</v>
      </c>
      <c r="B702" s="2" t="s">
        <v>14704</v>
      </c>
      <c r="C702" s="2" t="s">
        <v>5870</v>
      </c>
      <c r="D702" s="2" t="n">
        <v>354.074774967</v>
      </c>
      <c r="E702" s="2" t="n">
        <v>3.30131100279813</v>
      </c>
      <c r="F702" s="2" t="s">
        <v>5872</v>
      </c>
      <c r="G702" s="2" t="n">
        <v>209670</v>
      </c>
      <c r="H702" s="3" t="str">
        <f>HYPERLINK("http://funmeta.oebiotech.com/network/209670", "http://funmeta.oebiotech.com/network/209670")</f>
      </c>
      <c r="I702" s="2" t="s">
        <v>5874</v>
      </c>
      <c r="J702" s="2" t="s">
        <v>5875</v>
      </c>
      <c r="K702" s="2"/>
      <c r="L702" s="2" t="s">
        <v>5876</v>
      </c>
      <c r="M702" s="2"/>
      <c r="N702" s="2" t="s">
        <v>5877</v>
      </c>
      <c r="O702" s="2" t="s">
        <v>5878</v>
      </c>
      <c r="P702" s="2" t="s">
        <v>5879</v>
      </c>
      <c r="Q702" s="2" t="s">
        <v>5880</v>
      </c>
      <c r="R702" s="2" t="s">
        <v>114</v>
      </c>
      <c r="S702" s="2" t="s">
        <v>2057</v>
      </c>
      <c r="T702" s="2" t="s">
        <v>3067</v>
      </c>
      <c r="U702" s="2" t="s">
        <v>5871</v>
      </c>
      <c r="V702" s="2" t="s">
        <v>531</v>
      </c>
      <c r="W702" s="2" t="s">
        <v>101</v>
      </c>
    </row>
    <row r="703">
      <c r="A703" s="2" t="n">
        <v>524</v>
      </c>
      <c r="B703" s="2" t="s">
        <v>14705</v>
      </c>
      <c r="C703" s="2" t="s">
        <v>5881</v>
      </c>
      <c r="D703" s="2" t="n">
        <v>354.162324819</v>
      </c>
      <c r="E703" s="2" t="n">
        <v>2.62906821937549</v>
      </c>
      <c r="F703" s="2" t="s">
        <v>5883</v>
      </c>
      <c r="G703" s="2" t="n">
        <v>206889</v>
      </c>
      <c r="H703" s="3" t="str">
        <f>HYPERLINK("http://funmeta.oebiotech.com/network/206889", "http://funmeta.oebiotech.com/network/206889")</f>
      </c>
      <c r="I703" s="2" t="s">
        <v>5885</v>
      </c>
      <c r="J703" s="2" t="s">
        <v>5886</v>
      </c>
      <c r="K703" s="2"/>
      <c r="L703" s="2" t="s">
        <v>5887</v>
      </c>
      <c r="M703" s="2"/>
      <c r="N703" s="2" t="s">
        <v>5888</v>
      </c>
      <c r="O703" s="2" t="s">
        <v>5889</v>
      </c>
      <c r="P703" s="2" t="s">
        <v>5890</v>
      </c>
      <c r="Q703" s="2" t="s">
        <v>5891</v>
      </c>
      <c r="R703" s="2" t="s">
        <v>114</v>
      </c>
      <c r="S703" s="2" t="s">
        <v>3757</v>
      </c>
      <c r="T703" s="2" t="s">
        <v>215</v>
      </c>
      <c r="U703" s="2" t="s">
        <v>5882</v>
      </c>
      <c r="V703" s="2" t="s">
        <v>205</v>
      </c>
      <c r="W703" s="2" t="s">
        <v>101</v>
      </c>
    </row>
    <row r="704">
      <c r="A704" s="2" t="n">
        <v>525</v>
      </c>
      <c r="B704" s="2" t="s">
        <v>14706</v>
      </c>
      <c r="C704" s="2" t="s">
        <v>5892</v>
      </c>
      <c r="D704" s="2" t="n">
        <v>354.220531307</v>
      </c>
      <c r="E704" s="2" t="n">
        <v>2.61628637066926</v>
      </c>
      <c r="F704" s="2" t="s">
        <v>5894</v>
      </c>
      <c r="G704" s="2" t="n">
        <v>212322</v>
      </c>
      <c r="H704" s="3" t="str">
        <f>HYPERLINK("http://funmeta.oebiotech.com/network/212322", "http://funmeta.oebiotech.com/network/212322")</f>
      </c>
      <c r="I704" s="2" t="s">
        <v>5896</v>
      </c>
      <c r="J704" s="2"/>
      <c r="K704" s="2"/>
      <c r="L704" s="2"/>
      <c r="M704" s="2"/>
      <c r="N704" s="2"/>
      <c r="O704" s="2"/>
      <c r="P704" s="2" t="s">
        <v>5897</v>
      </c>
      <c r="Q704" s="2" t="s">
        <v>5898</v>
      </c>
      <c r="R704" s="2" t="s">
        <v>114</v>
      </c>
      <c r="S704" s="2" t="s">
        <v>936</v>
      </c>
      <c r="T704" s="2" t="s">
        <v>1749</v>
      </c>
      <c r="U704" s="2" t="s">
        <v>5893</v>
      </c>
      <c r="V704" s="2" t="s">
        <v>86</v>
      </c>
      <c r="W704" s="2"/>
    </row>
    <row r="705">
      <c r="A705" s="2" t="n">
        <v>526</v>
      </c>
      <c r="B705" s="2" t="s">
        <v>14707</v>
      </c>
      <c r="C705" s="2" t="s">
        <v>5899</v>
      </c>
      <c r="D705" s="2" t="n">
        <v>354.9282946</v>
      </c>
      <c r="E705" s="2" t="n">
        <v>3.76926707476985</v>
      </c>
      <c r="F705" s="2" t="s">
        <v>5901</v>
      </c>
      <c r="G705" s="2" t="n">
        <v>203793</v>
      </c>
      <c r="H705" s="3" t="str">
        <f>HYPERLINK("http://funmeta.oebiotech.com/network/203793", "http://funmeta.oebiotech.com/network/203793")</f>
      </c>
      <c r="I705" s="2" t="s">
        <v>5903</v>
      </c>
      <c r="J705" s="2"/>
      <c r="K705" s="2"/>
      <c r="L705" s="2"/>
      <c r="M705" s="2"/>
      <c r="N705" s="2" t="s">
        <v>5904</v>
      </c>
      <c r="O705" s="2"/>
      <c r="P705" s="2" t="s">
        <v>5905</v>
      </c>
      <c r="Q705" s="2" t="s">
        <v>5906</v>
      </c>
      <c r="R705" s="2" t="s">
        <v>186</v>
      </c>
      <c r="S705" s="2" t="s">
        <v>187</v>
      </c>
      <c r="T705" s="2" t="s">
        <v>2791</v>
      </c>
      <c r="U705" s="2" t="s">
        <v>5900</v>
      </c>
      <c r="V705" s="2" t="s">
        <v>161</v>
      </c>
      <c r="W705" s="2"/>
    </row>
    <row r="706">
      <c r="A706" s="2" t="n">
        <v>527</v>
      </c>
      <c r="B706" s="2" t="s">
        <v>14708</v>
      </c>
      <c r="C706" s="2" t="s">
        <v>5907</v>
      </c>
      <c r="D706" s="2" t="n">
        <v>355.035430703</v>
      </c>
      <c r="E706" s="2" t="n">
        <v>3.40284238738928</v>
      </c>
      <c r="F706" s="2" t="s">
        <v>5909</v>
      </c>
      <c r="G706" s="2" t="n">
        <v>202494</v>
      </c>
      <c r="H706" s="3" t="str">
        <f>HYPERLINK("http://funmeta.oebiotech.com/network/202494", "http://funmeta.oebiotech.com/network/202494")</f>
      </c>
      <c r="I706" s="2" t="s">
        <v>5911</v>
      </c>
      <c r="J706" s="2" t="s">
        <v>5912</v>
      </c>
      <c r="K706" s="2"/>
      <c r="L706" s="2"/>
      <c r="M706" s="2"/>
      <c r="N706" s="2" t="s">
        <v>5913</v>
      </c>
      <c r="O706" s="2"/>
      <c r="P706" s="2" t="s">
        <v>5914</v>
      </c>
      <c r="Q706" s="2" t="s">
        <v>5915</v>
      </c>
      <c r="R706" s="2" t="s">
        <v>1355</v>
      </c>
      <c r="S706" s="2" t="s">
        <v>3298</v>
      </c>
      <c r="T706" s="2" t="s">
        <v>215</v>
      </c>
      <c r="U706" s="2" t="s">
        <v>5908</v>
      </c>
      <c r="V706" s="2" t="s">
        <v>86</v>
      </c>
      <c r="W706" s="2"/>
    </row>
    <row r="707">
      <c r="A707" s="2" t="n">
        <v>528</v>
      </c>
      <c r="B707" s="2" t="s">
        <v>14709</v>
      </c>
      <c r="C707" s="2" t="s">
        <v>5916</v>
      </c>
      <c r="D707" s="2" t="n">
        <v>355.088200104</v>
      </c>
      <c r="E707" s="2" t="n">
        <v>2.83290123164981</v>
      </c>
      <c r="F707" s="2" t="s">
        <v>5918</v>
      </c>
      <c r="G707" s="2" t="n">
        <v>54805</v>
      </c>
      <c r="H707" s="3" t="str">
        <f>HYPERLINK("http://funmeta.oebiotech.com/network/54805", "http://funmeta.oebiotech.com/network/54805")</f>
      </c>
      <c r="I707" s="2" t="s">
        <v>5920</v>
      </c>
      <c r="J707" s="2"/>
      <c r="K707" s="2"/>
      <c r="L707" s="2"/>
      <c r="M707" s="2" t="s">
        <v>5921</v>
      </c>
      <c r="N707" s="2" t="s">
        <v>5922</v>
      </c>
      <c r="O707" s="2" t="s">
        <v>5923</v>
      </c>
      <c r="P707" s="2" t="s">
        <v>5924</v>
      </c>
      <c r="Q707" s="2" t="s">
        <v>5925</v>
      </c>
      <c r="R707" s="2" t="s">
        <v>129</v>
      </c>
      <c r="S707" s="2" t="s">
        <v>130</v>
      </c>
      <c r="T707" s="2" t="s">
        <v>1681</v>
      </c>
      <c r="U707" s="2" t="s">
        <v>5917</v>
      </c>
      <c r="V707" s="2" t="s">
        <v>24</v>
      </c>
      <c r="W707" s="2" t="s">
        <v>56</v>
      </c>
    </row>
    <row r="708">
      <c r="A708" s="2" t="n">
        <v>529</v>
      </c>
      <c r="B708" s="2" t="s">
        <v>14710</v>
      </c>
      <c r="C708" s="2" t="s">
        <v>5926</v>
      </c>
      <c r="D708" s="2" t="n">
        <v>355.186788824</v>
      </c>
      <c r="E708" s="2" t="n">
        <v>4.65898415225123</v>
      </c>
      <c r="F708" s="2" t="s">
        <v>5928</v>
      </c>
      <c r="G708" s="2" t="n">
        <v>207462</v>
      </c>
      <c r="H708" s="3" t="str">
        <f>HYPERLINK("http://funmeta.oebiotech.com/network/207462", "http://funmeta.oebiotech.com/network/207462")</f>
      </c>
      <c r="I708" s="2" t="s">
        <v>5930</v>
      </c>
      <c r="J708" s="2"/>
      <c r="K708" s="2"/>
      <c r="L708" s="2"/>
      <c r="M708" s="2"/>
      <c r="N708" s="2" t="s">
        <v>5931</v>
      </c>
      <c r="O708" s="2"/>
      <c r="P708" s="2" t="s">
        <v>5932</v>
      </c>
      <c r="Q708" s="2" t="s">
        <v>5933</v>
      </c>
      <c r="R708" s="2" t="s">
        <v>794</v>
      </c>
      <c r="S708" s="2" t="s">
        <v>2971</v>
      </c>
      <c r="T708" s="2" t="s">
        <v>5934</v>
      </c>
      <c r="U708" s="2" t="s">
        <v>5927</v>
      </c>
      <c r="V708" s="2" t="s">
        <v>86</v>
      </c>
      <c r="W708" s="2"/>
    </row>
    <row r="709">
      <c r="A709" s="2" t="n">
        <v>530</v>
      </c>
      <c r="B709" s="2" t="s">
        <v>14711</v>
      </c>
      <c r="C709" s="2" t="s">
        <v>5935</v>
      </c>
      <c r="D709" s="2" t="n">
        <v>355.26184746</v>
      </c>
      <c r="E709" s="2" t="n">
        <v>13.733142123731</v>
      </c>
      <c r="F709" s="2" t="s">
        <v>5937</v>
      </c>
      <c r="G709" s="2" t="n">
        <v>899</v>
      </c>
      <c r="H709" s="3" t="str">
        <f>HYPERLINK("http://funmeta.oebiotech.com/network/899", "http://funmeta.oebiotech.com/network/899")</f>
      </c>
      <c r="I709" s="2" t="s">
        <v>5939</v>
      </c>
      <c r="J709" s="2" t="s">
        <v>5940</v>
      </c>
      <c r="K709" s="2" t="s">
        <v>5941</v>
      </c>
      <c r="L709" s="2"/>
      <c r="M709" s="2" t="s">
        <v>5942</v>
      </c>
      <c r="N709" s="2" t="s">
        <v>5943</v>
      </c>
      <c r="O709" s="2" t="s">
        <v>5944</v>
      </c>
      <c r="P709" s="2" t="s">
        <v>5945</v>
      </c>
      <c r="Q709" s="2" t="s">
        <v>5946</v>
      </c>
      <c r="R709" s="2" t="s">
        <v>794</v>
      </c>
      <c r="S709" s="2" t="s">
        <v>795</v>
      </c>
      <c r="T709" s="2" t="s">
        <v>796</v>
      </c>
      <c r="U709" s="2" t="s">
        <v>5936</v>
      </c>
      <c r="V709" s="2" t="s">
        <v>531</v>
      </c>
      <c r="W709" s="2" t="s">
        <v>56</v>
      </c>
    </row>
    <row r="710">
      <c r="A710" s="2" t="n">
        <v>531</v>
      </c>
      <c r="B710" s="2" t="s">
        <v>14712</v>
      </c>
      <c r="C710" s="2" t="s">
        <v>5947</v>
      </c>
      <c r="D710" s="2" t="n">
        <v>356.117332639</v>
      </c>
      <c r="E710" s="2" t="n">
        <v>1.21581382472107</v>
      </c>
      <c r="F710" s="2" t="s">
        <v>5949</v>
      </c>
      <c r="G710" s="2" t="n">
        <v>56406</v>
      </c>
      <c r="H710" s="3" t="str">
        <f>HYPERLINK("http://funmeta.oebiotech.com/network/56406", "http://funmeta.oebiotech.com/network/56406")</f>
      </c>
      <c r="I710" s="2" t="s">
        <v>5951</v>
      </c>
      <c r="J710" s="2"/>
      <c r="K710" s="2"/>
      <c r="L710" s="2"/>
      <c r="M710" s="2"/>
      <c r="N710" s="2" t="s">
        <v>5952</v>
      </c>
      <c r="O710" s="2" t="s">
        <v>5953</v>
      </c>
      <c r="P710" s="2" t="s">
        <v>5954</v>
      </c>
      <c r="Q710" s="2" t="s">
        <v>5955</v>
      </c>
      <c r="R710" s="2" t="s">
        <v>129</v>
      </c>
      <c r="S710" s="2" t="s">
        <v>130</v>
      </c>
      <c r="T710" s="2" t="s">
        <v>1681</v>
      </c>
      <c r="U710" s="2" t="s">
        <v>5948</v>
      </c>
      <c r="V710" s="2" t="s">
        <v>24</v>
      </c>
      <c r="W710" s="2" t="s">
        <v>56</v>
      </c>
    </row>
    <row r="711">
      <c r="A711" s="2" t="n">
        <v>532</v>
      </c>
      <c r="B711" s="2" t="s">
        <v>14713</v>
      </c>
      <c r="C711" s="2" t="s">
        <v>5956</v>
      </c>
      <c r="D711" s="2" t="n">
        <v>356.193942989</v>
      </c>
      <c r="E711" s="2" t="n">
        <v>1.10634429952796</v>
      </c>
      <c r="F711" s="2" t="s">
        <v>5958</v>
      </c>
      <c r="G711" s="2" t="n">
        <v>206267</v>
      </c>
      <c r="H711" s="3" t="str">
        <f>HYPERLINK("http://funmeta.oebiotech.com/network/206267", "http://funmeta.oebiotech.com/network/206267")</f>
      </c>
      <c r="I711" s="2" t="s">
        <v>5960</v>
      </c>
      <c r="J711" s="2"/>
      <c r="K711" s="2"/>
      <c r="L711" s="2"/>
      <c r="M711" s="2"/>
      <c r="N711" s="2" t="s">
        <v>5961</v>
      </c>
      <c r="O711" s="2"/>
      <c r="P711" s="2" t="s">
        <v>5962</v>
      </c>
      <c r="Q711" s="2" t="s">
        <v>5963</v>
      </c>
      <c r="R711" s="2" t="s">
        <v>36</v>
      </c>
      <c r="S711" s="2" t="s">
        <v>37</v>
      </c>
      <c r="T711" s="2" t="s">
        <v>69</v>
      </c>
      <c r="U711" s="2" t="s">
        <v>5957</v>
      </c>
      <c r="V711" s="2" t="s">
        <v>24</v>
      </c>
      <c r="W711" s="2"/>
    </row>
    <row r="712">
      <c r="A712" s="2" t="n">
        <v>533</v>
      </c>
      <c r="B712" s="2" t="s">
        <v>14714</v>
      </c>
      <c r="C712" s="2" t="s">
        <v>5964</v>
      </c>
      <c r="D712" s="2" t="n">
        <v>357.096653665</v>
      </c>
      <c r="E712" s="2" t="n">
        <v>2.71798742524348</v>
      </c>
      <c r="F712" s="2" t="s">
        <v>5966</v>
      </c>
      <c r="G712" s="2" t="n">
        <v>199578</v>
      </c>
      <c r="H712" s="3" t="str">
        <f>HYPERLINK("http://funmeta.oebiotech.com/network/199578", "http://funmeta.oebiotech.com/network/199578")</f>
      </c>
      <c r="I712" s="2" t="s">
        <v>5968</v>
      </c>
      <c r="J712" s="2"/>
      <c r="K712" s="2"/>
      <c r="L712" s="2"/>
      <c r="M712" s="2"/>
      <c r="N712" s="2" t="s">
        <v>5969</v>
      </c>
      <c r="O712" s="2"/>
      <c r="P712" s="2" t="s">
        <v>5970</v>
      </c>
      <c r="Q712" s="2" t="s">
        <v>5971</v>
      </c>
      <c r="R712" s="2" t="s">
        <v>36</v>
      </c>
      <c r="S712" s="2" t="s">
        <v>37</v>
      </c>
      <c r="T712" s="2" t="s">
        <v>242</v>
      </c>
      <c r="U712" s="2" t="s">
        <v>5965</v>
      </c>
      <c r="V712" s="2" t="s">
        <v>86</v>
      </c>
      <c r="W712" s="2"/>
    </row>
    <row r="713">
      <c r="A713" s="2" t="n">
        <v>534</v>
      </c>
      <c r="B713" s="2" t="s">
        <v>14715</v>
      </c>
      <c r="C713" s="2" t="s">
        <v>5972</v>
      </c>
      <c r="D713" s="2" t="n">
        <v>357.18937538</v>
      </c>
      <c r="E713" s="2" t="n">
        <v>2.07512087074887</v>
      </c>
      <c r="F713" s="2" t="s">
        <v>14716</v>
      </c>
      <c r="G713" s="2" t="n">
        <v>202886</v>
      </c>
      <c r="H713" s="3" t="str">
        <f>HYPERLINK("http://funmeta.oebiotech.com/network/202886", "http://funmeta.oebiotech.com/network/202886")</f>
      </c>
      <c r="I713" s="2" t="s">
        <v>14717</v>
      </c>
      <c r="J713" s="2"/>
      <c r="K713" s="2"/>
      <c r="L713" s="2"/>
      <c r="M713" s="2"/>
      <c r="N713" s="2" t="s">
        <v>14718</v>
      </c>
      <c r="O713" s="2"/>
      <c r="P713" s="2" t="s">
        <v>14719</v>
      </c>
      <c r="Q713" s="2" t="s">
        <v>14720</v>
      </c>
      <c r="R713" s="2" t="s">
        <v>644</v>
      </c>
      <c r="S713" s="2" t="s">
        <v>12701</v>
      </c>
      <c r="T713" s="2" t="s">
        <v>12702</v>
      </c>
      <c r="U713" s="2" t="s">
        <v>5973</v>
      </c>
      <c r="V713" s="2" t="s">
        <v>24</v>
      </c>
      <c r="W713" s="2"/>
    </row>
    <row r="714">
      <c r="A714" s="2" t="n">
        <v>534</v>
      </c>
      <c r="B714" s="2" t="s">
        <v>14721</v>
      </c>
      <c r="C714" s="2" t="s">
        <v>5972</v>
      </c>
      <c r="D714" s="2" t="n">
        <v>357.18937538</v>
      </c>
      <c r="E714" s="2" t="n">
        <v>2.07512087074887</v>
      </c>
      <c r="F714" s="2" t="s">
        <v>14722</v>
      </c>
      <c r="G714" s="2" t="n">
        <v>200378</v>
      </c>
      <c r="H714" s="3" t="str">
        <f>HYPERLINK("http://funmeta.oebiotech.com/network/200378", "http://funmeta.oebiotech.com/network/200378")</f>
      </c>
      <c r="I714" s="2" t="s">
        <v>14723</v>
      </c>
      <c r="J714" s="2"/>
      <c r="K714" s="2"/>
      <c r="L714" s="2"/>
      <c r="M714" s="2"/>
      <c r="N714" s="2" t="s">
        <v>14724</v>
      </c>
      <c r="O714" s="2"/>
      <c r="P714" s="2" t="s">
        <v>14725</v>
      </c>
      <c r="Q714" s="2" t="s">
        <v>14726</v>
      </c>
      <c r="R714" s="2" t="s">
        <v>794</v>
      </c>
      <c r="S714" s="2" t="s">
        <v>1098</v>
      </c>
      <c r="T714" s="2" t="s">
        <v>3079</v>
      </c>
      <c r="U714" s="2" t="s">
        <v>5973</v>
      </c>
      <c r="V714" s="2" t="s">
        <v>24</v>
      </c>
      <c r="W714" s="2"/>
    </row>
    <row r="715">
      <c r="A715" s="2" t="n">
        <v>535</v>
      </c>
      <c r="B715" s="2" t="s">
        <v>14727</v>
      </c>
      <c r="C715" s="2" t="s">
        <v>5983</v>
      </c>
      <c r="D715" s="2" t="n">
        <v>357.27990446</v>
      </c>
      <c r="E715" s="2" t="n">
        <v>11.8549787127218</v>
      </c>
      <c r="F715" s="2" t="s">
        <v>14728</v>
      </c>
      <c r="G715" s="2" t="n">
        <v>1232</v>
      </c>
      <c r="H715" s="3" t="str">
        <f>HYPERLINK("http://funmeta.oebiotech.com/network/1232", "http://funmeta.oebiotech.com/network/1232")</f>
      </c>
      <c r="I715" s="2" t="s">
        <v>14729</v>
      </c>
      <c r="J715" s="2" t="s">
        <v>14730</v>
      </c>
      <c r="K715" s="2" t="s">
        <v>14731</v>
      </c>
      <c r="L715" s="2"/>
      <c r="M715" s="2" t="s">
        <v>14732</v>
      </c>
      <c r="N715" s="2" t="s">
        <v>14733</v>
      </c>
      <c r="O715" s="2"/>
      <c r="P715" s="2" t="s">
        <v>14734</v>
      </c>
      <c r="Q715" s="2" t="s">
        <v>14735</v>
      </c>
      <c r="R715" s="2" t="s">
        <v>794</v>
      </c>
      <c r="S715" s="2" t="s">
        <v>795</v>
      </c>
      <c r="T715" s="2" t="s">
        <v>796</v>
      </c>
      <c r="U715" s="2" t="s">
        <v>5984</v>
      </c>
      <c r="V715" s="2" t="s">
        <v>24</v>
      </c>
      <c r="W715" s="2" t="s">
        <v>56</v>
      </c>
    </row>
    <row r="716">
      <c r="A716" s="2" t="n">
        <v>535</v>
      </c>
      <c r="B716" s="2" t="s">
        <v>14736</v>
      </c>
      <c r="C716" s="2" t="s">
        <v>5983</v>
      </c>
      <c r="D716" s="2" t="n">
        <v>357.27990446</v>
      </c>
      <c r="E716" s="2" t="n">
        <v>11.8549787127218</v>
      </c>
      <c r="F716" s="2" t="s">
        <v>14737</v>
      </c>
      <c r="G716" s="2" t="n">
        <v>1231</v>
      </c>
      <c r="H716" s="3" t="str">
        <f>HYPERLINK("http://funmeta.oebiotech.com/network/1231", "http://funmeta.oebiotech.com/network/1231")</f>
      </c>
      <c r="I716" s="2" t="s">
        <v>14738</v>
      </c>
      <c r="J716" s="2" t="s">
        <v>14739</v>
      </c>
      <c r="K716" s="2" t="s">
        <v>14740</v>
      </c>
      <c r="L716" s="2"/>
      <c r="M716" s="2" t="s">
        <v>14741</v>
      </c>
      <c r="N716" s="2" t="s">
        <v>14742</v>
      </c>
      <c r="O716" s="2"/>
      <c r="P716" s="2" t="s">
        <v>14743</v>
      </c>
      <c r="Q716" s="2" t="s">
        <v>14744</v>
      </c>
      <c r="R716" s="2" t="s">
        <v>794</v>
      </c>
      <c r="S716" s="2" t="s">
        <v>795</v>
      </c>
      <c r="T716" s="2" t="s">
        <v>796</v>
      </c>
      <c r="U716" s="2" t="s">
        <v>5984</v>
      </c>
      <c r="V716" s="2" t="s">
        <v>24</v>
      </c>
      <c r="W716" s="2" t="s">
        <v>56</v>
      </c>
    </row>
    <row r="717">
      <c r="A717" s="2" t="n">
        <v>536</v>
      </c>
      <c r="B717" s="2" t="s">
        <v>14745</v>
      </c>
      <c r="C717" s="2" t="s">
        <v>5994</v>
      </c>
      <c r="D717" s="2" t="n">
        <v>358.288216939</v>
      </c>
      <c r="E717" s="2" t="n">
        <v>10.5447652797708</v>
      </c>
      <c r="F717" s="2" t="s">
        <v>5996</v>
      </c>
      <c r="G717" s="2" t="n">
        <v>58411</v>
      </c>
      <c r="H717" s="3" t="str">
        <f>HYPERLINK("http://funmeta.oebiotech.com/network/58411", "http://funmeta.oebiotech.com/network/58411")</f>
      </c>
      <c r="I717" s="2" t="s">
        <v>5998</v>
      </c>
      <c r="J717" s="2" t="s">
        <v>5999</v>
      </c>
      <c r="K717" s="2"/>
      <c r="L717" s="2"/>
      <c r="M717" s="2"/>
      <c r="N717" s="2" t="s">
        <v>6000</v>
      </c>
      <c r="O717" s="2" t="s">
        <v>6001</v>
      </c>
      <c r="P717" s="2" t="s">
        <v>6002</v>
      </c>
      <c r="Q717" s="2" t="s">
        <v>6003</v>
      </c>
      <c r="R717" s="2" t="s">
        <v>114</v>
      </c>
      <c r="S717" s="2" t="s">
        <v>6004</v>
      </c>
      <c r="T717" s="2" t="s">
        <v>6005</v>
      </c>
      <c r="U717" s="2" t="s">
        <v>5995</v>
      </c>
      <c r="V717" s="2" t="s">
        <v>86</v>
      </c>
      <c r="W717" s="2" t="s">
        <v>56</v>
      </c>
    </row>
    <row r="718">
      <c r="A718" s="2" t="n">
        <v>537</v>
      </c>
      <c r="B718" s="2" t="s">
        <v>14746</v>
      </c>
      <c r="C718" s="2" t="s">
        <v>6006</v>
      </c>
      <c r="D718" s="2" t="n">
        <v>359.116794516</v>
      </c>
      <c r="E718" s="2" t="n">
        <v>0.520906824669469</v>
      </c>
      <c r="F718" s="2" t="s">
        <v>6008</v>
      </c>
      <c r="G718" s="2" t="n">
        <v>53047</v>
      </c>
      <c r="H718" s="3" t="str">
        <f>HYPERLINK("http://funmeta.oebiotech.com/network/53047", "http://funmeta.oebiotech.com/network/53047")</f>
      </c>
      <c r="I718" s="2" t="s">
        <v>6010</v>
      </c>
      <c r="J718" s="2"/>
      <c r="K718" s="2"/>
      <c r="L718" s="2" t="s">
        <v>6011</v>
      </c>
      <c r="M718" s="2"/>
      <c r="N718" s="2" t="s">
        <v>6012</v>
      </c>
      <c r="O718" s="2" t="s">
        <v>6013</v>
      </c>
      <c r="P718" s="2" t="s">
        <v>6014</v>
      </c>
      <c r="Q718" s="2" t="s">
        <v>6015</v>
      </c>
      <c r="R718" s="2" t="s">
        <v>114</v>
      </c>
      <c r="S718" s="2" t="s">
        <v>994</v>
      </c>
      <c r="T718" s="2" t="s">
        <v>1611</v>
      </c>
      <c r="U718" s="2" t="s">
        <v>6007</v>
      </c>
      <c r="V718" s="2" t="s">
        <v>86</v>
      </c>
      <c r="W718" s="2" t="s">
        <v>56</v>
      </c>
    </row>
    <row r="719">
      <c r="A719" s="2" t="n">
        <v>538</v>
      </c>
      <c r="B719" s="2" t="s">
        <v>14747</v>
      </c>
      <c r="C719" s="2" t="s">
        <v>6016</v>
      </c>
      <c r="D719" s="2" t="n">
        <v>359.29500421</v>
      </c>
      <c r="E719" s="2" t="n">
        <v>8.4306942033071</v>
      </c>
      <c r="F719" s="2" t="s">
        <v>6018</v>
      </c>
      <c r="G719" s="2" t="n">
        <v>2628</v>
      </c>
      <c r="H719" s="3" t="str">
        <f>HYPERLINK("http://funmeta.oebiotech.com/network/2628", "http://funmeta.oebiotech.com/network/2628")</f>
      </c>
      <c r="I719" s="2" t="s">
        <v>6020</v>
      </c>
      <c r="J719" s="2" t="s">
        <v>6021</v>
      </c>
      <c r="K719" s="2" t="s">
        <v>6022</v>
      </c>
      <c r="L719" s="2"/>
      <c r="M719" s="2"/>
      <c r="N719" s="2" t="s">
        <v>6023</v>
      </c>
      <c r="O719" s="2" t="s">
        <v>6024</v>
      </c>
      <c r="P719" s="2" t="s">
        <v>6025</v>
      </c>
      <c r="Q719" s="2" t="s">
        <v>6026</v>
      </c>
      <c r="R719" s="2" t="s">
        <v>794</v>
      </c>
      <c r="S719" s="2" t="s">
        <v>795</v>
      </c>
      <c r="T719" s="2" t="s">
        <v>796</v>
      </c>
      <c r="U719" s="2" t="s">
        <v>6017</v>
      </c>
      <c r="V719" s="2" t="s">
        <v>161</v>
      </c>
      <c r="W719" s="2" t="s">
        <v>56</v>
      </c>
    </row>
    <row r="720">
      <c r="A720" s="2" t="n">
        <v>539</v>
      </c>
      <c r="B720" s="2" t="s">
        <v>14748</v>
      </c>
      <c r="C720" s="2" t="s">
        <v>6027</v>
      </c>
      <c r="D720" s="2" t="n">
        <v>359.999732623</v>
      </c>
      <c r="E720" s="2" t="n">
        <v>0.518202608565889</v>
      </c>
      <c r="F720" s="2" t="s">
        <v>6029</v>
      </c>
      <c r="G720" s="2" t="n">
        <v>47927</v>
      </c>
      <c r="H720" s="3" t="str">
        <f>HYPERLINK("http://funmeta.oebiotech.com/network/47927", "http://funmeta.oebiotech.com/network/47927")</f>
      </c>
      <c r="I720" s="2" t="s">
        <v>6031</v>
      </c>
      <c r="J720" s="2" t="s">
        <v>6032</v>
      </c>
      <c r="K720" s="2"/>
      <c r="L720" s="2"/>
      <c r="M720" s="2" t="s">
        <v>6033</v>
      </c>
      <c r="N720" s="2" t="s">
        <v>6034</v>
      </c>
      <c r="O720" s="2" t="s">
        <v>6035</v>
      </c>
      <c r="P720" s="2" t="s">
        <v>6036</v>
      </c>
      <c r="Q720" s="2" t="s">
        <v>6037</v>
      </c>
      <c r="R720" s="2" t="s">
        <v>114</v>
      </c>
      <c r="S720" s="2" t="s">
        <v>680</v>
      </c>
      <c r="T720" s="2" t="s">
        <v>3543</v>
      </c>
      <c r="U720" s="2" t="s">
        <v>6028</v>
      </c>
      <c r="V720" s="2" t="s">
        <v>86</v>
      </c>
      <c r="W720" s="2"/>
    </row>
    <row r="721">
      <c r="A721" s="2" t="n">
        <v>540</v>
      </c>
      <c r="B721" s="2" t="s">
        <v>14749</v>
      </c>
      <c r="C721" s="2" t="s">
        <v>6038</v>
      </c>
      <c r="D721" s="2" t="n">
        <v>360.131338427</v>
      </c>
      <c r="E721" s="2" t="n">
        <v>1.49066476594898</v>
      </c>
      <c r="F721" s="2" t="s">
        <v>6040</v>
      </c>
      <c r="G721" s="2" t="n">
        <v>201046</v>
      </c>
      <c r="H721" s="3" t="str">
        <f>HYPERLINK("http://funmeta.oebiotech.com/network/201046", "http://funmeta.oebiotech.com/network/201046")</f>
      </c>
      <c r="I721" s="2" t="s">
        <v>6042</v>
      </c>
      <c r="J721" s="2"/>
      <c r="K721" s="2"/>
      <c r="L721" s="2"/>
      <c r="M721" s="2"/>
      <c r="N721" s="2" t="s">
        <v>6043</v>
      </c>
      <c r="O721" s="2"/>
      <c r="P721" s="2" t="s">
        <v>6044</v>
      </c>
      <c r="Q721" s="2" t="s">
        <v>6045</v>
      </c>
      <c r="R721" s="2" t="s">
        <v>114</v>
      </c>
      <c r="S721" s="2" t="s">
        <v>730</v>
      </c>
      <c r="T721" s="2" t="s">
        <v>731</v>
      </c>
      <c r="U721" s="2" t="s">
        <v>6039</v>
      </c>
      <c r="V721" s="2" t="s">
        <v>205</v>
      </c>
      <c r="W721" s="2"/>
    </row>
    <row r="722">
      <c r="A722" s="2" t="n">
        <v>541</v>
      </c>
      <c r="B722" s="2" t="s">
        <v>14750</v>
      </c>
      <c r="C722" s="2" t="s">
        <v>6046</v>
      </c>
      <c r="D722" s="2" t="n">
        <v>360.231095991</v>
      </c>
      <c r="E722" s="2" t="n">
        <v>2.84072708616264</v>
      </c>
      <c r="F722" s="2" t="s">
        <v>6048</v>
      </c>
      <c r="G722" s="2" t="n">
        <v>198564</v>
      </c>
      <c r="H722" s="3" t="str">
        <f>HYPERLINK("http://funmeta.oebiotech.com/network/198564", "http://funmeta.oebiotech.com/network/198564")</f>
      </c>
      <c r="I722" s="2" t="s">
        <v>6050</v>
      </c>
      <c r="J722" s="2"/>
      <c r="K722" s="2"/>
      <c r="L722" s="2"/>
      <c r="M722" s="2"/>
      <c r="N722" s="2" t="s">
        <v>6051</v>
      </c>
      <c r="O722" s="2"/>
      <c r="P722" s="2" t="s">
        <v>6052</v>
      </c>
      <c r="Q722" s="2" t="s">
        <v>6053</v>
      </c>
      <c r="R722" s="2" t="s">
        <v>36</v>
      </c>
      <c r="S722" s="2" t="s">
        <v>37</v>
      </c>
      <c r="T722" s="2" t="s">
        <v>69</v>
      </c>
      <c r="U722" s="2" t="s">
        <v>6047</v>
      </c>
      <c r="V722" s="2" t="s">
        <v>86</v>
      </c>
      <c r="W722" s="2"/>
    </row>
    <row r="723">
      <c r="A723" s="2" t="n">
        <v>542</v>
      </c>
      <c r="B723" s="2" t="s">
        <v>14751</v>
      </c>
      <c r="C723" s="2" t="s">
        <v>6054</v>
      </c>
      <c r="D723" s="2" t="n">
        <v>360.898962911</v>
      </c>
      <c r="E723" s="2" t="n">
        <v>15.6099100717276</v>
      </c>
      <c r="F723" s="2" t="s">
        <v>6056</v>
      </c>
      <c r="G723" s="2" t="n">
        <v>200903</v>
      </c>
      <c r="H723" s="3" t="str">
        <f>HYPERLINK("http://funmeta.oebiotech.com/network/200903", "http://funmeta.oebiotech.com/network/200903")</f>
      </c>
      <c r="I723" s="2" t="s">
        <v>6058</v>
      </c>
      <c r="J723" s="2"/>
      <c r="K723" s="2"/>
      <c r="L723" s="2"/>
      <c r="M723" s="2"/>
      <c r="N723" s="2" t="s">
        <v>6059</v>
      </c>
      <c r="O723" s="2"/>
      <c r="P723" s="2" t="s">
        <v>6060</v>
      </c>
      <c r="Q723" s="2" t="s">
        <v>6061</v>
      </c>
      <c r="R723" s="2" t="s">
        <v>186</v>
      </c>
      <c r="S723" s="2" t="s">
        <v>187</v>
      </c>
      <c r="T723" s="2" t="s">
        <v>3996</v>
      </c>
      <c r="U723" s="2" t="s">
        <v>6055</v>
      </c>
      <c r="V723" s="2" t="s">
        <v>531</v>
      </c>
      <c r="W723" s="2"/>
    </row>
    <row r="724">
      <c r="A724" s="2" t="n">
        <v>543</v>
      </c>
      <c r="B724" s="2" t="s">
        <v>14752</v>
      </c>
      <c r="C724" s="2" t="s">
        <v>6062</v>
      </c>
      <c r="D724" s="2" t="n">
        <v>360.993583591</v>
      </c>
      <c r="E724" s="2" t="n">
        <v>3.89338246803081</v>
      </c>
      <c r="F724" s="2" t="s">
        <v>14753</v>
      </c>
      <c r="G724" s="2" t="n">
        <v>211243</v>
      </c>
      <c r="H724" s="3" t="str">
        <f>HYPERLINK("http://funmeta.oebiotech.com/network/211243", "http://funmeta.oebiotech.com/network/211243")</f>
      </c>
      <c r="I724" s="2" t="s">
        <v>14754</v>
      </c>
      <c r="J724" s="2"/>
      <c r="K724" s="2"/>
      <c r="L724" s="2"/>
      <c r="M724" s="2"/>
      <c r="N724" s="2" t="s">
        <v>14755</v>
      </c>
      <c r="O724" s="2"/>
      <c r="P724" s="2" t="s">
        <v>14756</v>
      </c>
      <c r="Q724" s="2" t="s">
        <v>14757</v>
      </c>
      <c r="R724" s="2" t="s">
        <v>36</v>
      </c>
      <c r="S724" s="2" t="s">
        <v>37</v>
      </c>
      <c r="T724" s="2" t="s">
        <v>69</v>
      </c>
      <c r="U724" s="2" t="s">
        <v>6063</v>
      </c>
      <c r="V724" s="2" t="s">
        <v>218</v>
      </c>
      <c r="W724" s="2"/>
    </row>
    <row r="725">
      <c r="A725" s="2" t="n">
        <v>543</v>
      </c>
      <c r="B725" s="2" t="s">
        <v>14758</v>
      </c>
      <c r="C725" s="2" t="s">
        <v>6062</v>
      </c>
      <c r="D725" s="2" t="n">
        <v>360.993583591</v>
      </c>
      <c r="E725" s="2" t="n">
        <v>3.89338246803081</v>
      </c>
      <c r="F725" s="2" t="s">
        <v>14759</v>
      </c>
      <c r="G725" s="2" t="n">
        <v>198964</v>
      </c>
      <c r="H725" s="3" t="str">
        <f>HYPERLINK("http://funmeta.oebiotech.com/network/198964", "http://funmeta.oebiotech.com/network/198964")</f>
      </c>
      <c r="I725" s="2" t="s">
        <v>14760</v>
      </c>
      <c r="J725" s="2"/>
      <c r="K725" s="2"/>
      <c r="L725" s="2"/>
      <c r="M725" s="2"/>
      <c r="N725" s="2" t="s">
        <v>14761</v>
      </c>
      <c r="O725" s="2"/>
      <c r="P725" s="2" t="s">
        <v>14762</v>
      </c>
      <c r="Q725" s="2" t="s">
        <v>14763</v>
      </c>
      <c r="R725" s="2" t="s">
        <v>36</v>
      </c>
      <c r="S725" s="2" t="s">
        <v>37</v>
      </c>
      <c r="T725" s="2" t="s">
        <v>69</v>
      </c>
      <c r="U725" s="2" t="s">
        <v>6063</v>
      </c>
      <c r="V725" s="2" t="s">
        <v>218</v>
      </c>
      <c r="W725" s="2"/>
    </row>
    <row r="726">
      <c r="A726" s="2" t="n">
        <v>544</v>
      </c>
      <c r="B726" s="2" t="s">
        <v>14764</v>
      </c>
      <c r="C726" s="2" t="s">
        <v>6070</v>
      </c>
      <c r="D726" s="2" t="n">
        <v>361.18339892</v>
      </c>
      <c r="E726" s="2" t="n">
        <v>6.47766106504116</v>
      </c>
      <c r="F726" s="2" t="s">
        <v>6072</v>
      </c>
      <c r="G726" s="2" t="n">
        <v>200311</v>
      </c>
      <c r="H726" s="3" t="str">
        <f>HYPERLINK("http://funmeta.oebiotech.com/network/200311", "http://funmeta.oebiotech.com/network/200311")</f>
      </c>
      <c r="I726" s="2" t="s">
        <v>6074</v>
      </c>
      <c r="J726" s="2"/>
      <c r="K726" s="2"/>
      <c r="L726" s="2"/>
      <c r="M726" s="2"/>
      <c r="N726" s="2" t="s">
        <v>6075</v>
      </c>
      <c r="O726" s="2"/>
      <c r="P726" s="2" t="s">
        <v>6076</v>
      </c>
      <c r="Q726" s="2" t="s">
        <v>6077</v>
      </c>
      <c r="R726" s="2" t="s">
        <v>114</v>
      </c>
      <c r="S726" s="2" t="s">
        <v>6078</v>
      </c>
      <c r="T726" s="2" t="s">
        <v>215</v>
      </c>
      <c r="U726" s="2" t="s">
        <v>6071</v>
      </c>
      <c r="V726" s="2" t="s">
        <v>24</v>
      </c>
      <c r="W726" s="2"/>
    </row>
    <row r="727">
      <c r="A727" s="2" t="n">
        <v>545</v>
      </c>
      <c r="B727" s="2" t="s">
        <v>14765</v>
      </c>
      <c r="C727" s="2" t="s">
        <v>6079</v>
      </c>
      <c r="D727" s="2" t="n">
        <v>361.238433576</v>
      </c>
      <c r="E727" s="2" t="n">
        <v>19.3013108387241</v>
      </c>
      <c r="F727" s="2" t="s">
        <v>14766</v>
      </c>
      <c r="G727" s="2" t="n">
        <v>4858</v>
      </c>
      <c r="H727" s="3" t="str">
        <f>HYPERLINK("http://funmeta.oebiotech.com/network/4858", "http://funmeta.oebiotech.com/network/4858")</f>
      </c>
      <c r="I727" s="2" t="s">
        <v>14767</v>
      </c>
      <c r="J727" s="2" t="s">
        <v>14768</v>
      </c>
      <c r="K727" s="2" t="s">
        <v>14769</v>
      </c>
      <c r="L727" s="2"/>
      <c r="M727" s="2" t="s">
        <v>14770</v>
      </c>
      <c r="N727" s="2" t="s">
        <v>14771</v>
      </c>
      <c r="O727" s="2"/>
      <c r="P727" s="2" t="s">
        <v>14772</v>
      </c>
      <c r="Q727" s="2" t="s">
        <v>14773</v>
      </c>
      <c r="R727" s="2" t="s">
        <v>794</v>
      </c>
      <c r="S727" s="2" t="s">
        <v>795</v>
      </c>
      <c r="T727" s="2" t="s">
        <v>796</v>
      </c>
      <c r="U727" s="2" t="s">
        <v>6080</v>
      </c>
      <c r="V727" s="2" t="s">
        <v>24</v>
      </c>
      <c r="W727" s="2" t="s">
        <v>56</v>
      </c>
    </row>
    <row r="728">
      <c r="A728" s="2" t="n">
        <v>545</v>
      </c>
      <c r="B728" s="2" t="s">
        <v>14774</v>
      </c>
      <c r="C728" s="2" t="s">
        <v>6079</v>
      </c>
      <c r="D728" s="2" t="n">
        <v>361.238433576</v>
      </c>
      <c r="E728" s="2" t="n">
        <v>19.3013108387241</v>
      </c>
      <c r="F728" s="2" t="s">
        <v>14775</v>
      </c>
      <c r="G728" s="2" t="n">
        <v>55751</v>
      </c>
      <c r="H728" s="3" t="str">
        <f>HYPERLINK("http://funmeta.oebiotech.com/network/55751", "http://funmeta.oebiotech.com/network/55751")</f>
      </c>
      <c r="I728" s="2" t="s">
        <v>14776</v>
      </c>
      <c r="J728" s="2" t="s">
        <v>14777</v>
      </c>
      <c r="K728" s="2"/>
      <c r="L728" s="2"/>
      <c r="M728" s="2"/>
      <c r="N728" s="2" t="s">
        <v>14778</v>
      </c>
      <c r="O728" s="2" t="s">
        <v>14779</v>
      </c>
      <c r="P728" s="2" t="s">
        <v>14780</v>
      </c>
      <c r="Q728" s="2" t="s">
        <v>14781</v>
      </c>
      <c r="R728" s="2" t="s">
        <v>794</v>
      </c>
      <c r="S728" s="2" t="s">
        <v>1098</v>
      </c>
      <c r="T728" s="2" t="s">
        <v>4662</v>
      </c>
      <c r="U728" s="2" t="s">
        <v>6080</v>
      </c>
      <c r="V728" s="2" t="s">
        <v>24</v>
      </c>
      <c r="W728" s="2" t="s">
        <v>56</v>
      </c>
    </row>
    <row r="729">
      <c r="A729" s="2" t="n">
        <v>545</v>
      </c>
      <c r="B729" s="2" t="s">
        <v>14782</v>
      </c>
      <c r="C729" s="2" t="s">
        <v>6079</v>
      </c>
      <c r="D729" s="2" t="n">
        <v>361.238433576</v>
      </c>
      <c r="E729" s="2" t="n">
        <v>19.3013108387241</v>
      </c>
      <c r="F729" s="2" t="s">
        <v>14783</v>
      </c>
      <c r="G729" s="2" t="n">
        <v>57883</v>
      </c>
      <c r="H729" s="3" t="str">
        <f>HYPERLINK("http://funmeta.oebiotech.com/network/57883", "http://funmeta.oebiotech.com/network/57883")</f>
      </c>
      <c r="I729" s="2" t="s">
        <v>14784</v>
      </c>
      <c r="J729" s="2" t="s">
        <v>14785</v>
      </c>
      <c r="K729" s="2"/>
      <c r="L729" s="2"/>
      <c r="M729" s="2"/>
      <c r="N729" s="2" t="s">
        <v>14786</v>
      </c>
      <c r="O729" s="2" t="s">
        <v>14787</v>
      </c>
      <c r="P729" s="2" t="s">
        <v>14788</v>
      </c>
      <c r="Q729" s="2" t="s">
        <v>14789</v>
      </c>
      <c r="R729" s="2" t="s">
        <v>794</v>
      </c>
      <c r="S729" s="2" t="s">
        <v>2971</v>
      </c>
      <c r="T729" s="2" t="s">
        <v>6693</v>
      </c>
      <c r="U729" s="2" t="s">
        <v>6080</v>
      </c>
      <c r="V729" s="2" t="s">
        <v>24</v>
      </c>
      <c r="W729" s="2" t="s">
        <v>56</v>
      </c>
    </row>
    <row r="730">
      <c r="A730" s="2" t="n">
        <v>546</v>
      </c>
      <c r="B730" s="2" t="s">
        <v>14790</v>
      </c>
      <c r="C730" s="2" t="s">
        <v>6093</v>
      </c>
      <c r="D730" s="2" t="n">
        <v>361.992736216</v>
      </c>
      <c r="E730" s="2" t="n">
        <v>1.62965494889945</v>
      </c>
      <c r="F730" s="2" t="s">
        <v>6095</v>
      </c>
      <c r="G730" s="2" t="n">
        <v>210315</v>
      </c>
      <c r="H730" s="3" t="str">
        <f>HYPERLINK("http://funmeta.oebiotech.com/network/210315", "http://funmeta.oebiotech.com/network/210315")</f>
      </c>
      <c r="I730" s="2" t="s">
        <v>6097</v>
      </c>
      <c r="J730" s="2" t="s">
        <v>6098</v>
      </c>
      <c r="K730" s="2"/>
      <c r="L730" s="2" t="s">
        <v>6099</v>
      </c>
      <c r="M730" s="2" t="s">
        <v>6100</v>
      </c>
      <c r="N730" s="2" t="s">
        <v>6101</v>
      </c>
      <c r="O730" s="2" t="s">
        <v>6102</v>
      </c>
      <c r="P730" s="2" t="s">
        <v>6103</v>
      </c>
      <c r="Q730" s="2" t="s">
        <v>6104</v>
      </c>
      <c r="R730" s="2" t="s">
        <v>114</v>
      </c>
      <c r="S730" s="2" t="s">
        <v>6105</v>
      </c>
      <c r="T730" s="2" t="s">
        <v>6106</v>
      </c>
      <c r="U730" s="2" t="s">
        <v>6094</v>
      </c>
      <c r="V730" s="2" t="s">
        <v>205</v>
      </c>
      <c r="W730" s="2" t="s">
        <v>101</v>
      </c>
    </row>
    <row r="731">
      <c r="A731" s="2" t="n">
        <v>547</v>
      </c>
      <c r="B731" s="2" t="s">
        <v>14791</v>
      </c>
      <c r="C731" s="2" t="s">
        <v>6107</v>
      </c>
      <c r="D731" s="2" t="n">
        <v>362.057643315</v>
      </c>
      <c r="E731" s="2" t="n">
        <v>1.42732724784609</v>
      </c>
      <c r="F731" s="2" t="s">
        <v>6109</v>
      </c>
      <c r="G731" s="2" t="n">
        <v>211004</v>
      </c>
      <c r="H731" s="3" t="str">
        <f>HYPERLINK("http://funmeta.oebiotech.com/network/211004", "http://funmeta.oebiotech.com/network/211004")</f>
      </c>
      <c r="I731" s="2" t="s">
        <v>6111</v>
      </c>
      <c r="J731" s="2" t="s">
        <v>6112</v>
      </c>
      <c r="K731" s="2"/>
      <c r="L731" s="2"/>
      <c r="M731" s="2" t="s">
        <v>6113</v>
      </c>
      <c r="N731" s="2" t="s">
        <v>6114</v>
      </c>
      <c r="O731" s="2"/>
      <c r="P731" s="2" t="s">
        <v>6115</v>
      </c>
      <c r="Q731" s="2" t="s">
        <v>6116</v>
      </c>
      <c r="R731" s="2" t="s">
        <v>186</v>
      </c>
      <c r="S731" s="2" t="s">
        <v>187</v>
      </c>
      <c r="T731" s="2" t="s">
        <v>5455</v>
      </c>
      <c r="U731" s="2" t="s">
        <v>6108</v>
      </c>
      <c r="V731" s="2" t="s">
        <v>86</v>
      </c>
      <c r="W731" s="2"/>
    </row>
    <row r="732">
      <c r="A732" s="2" t="n">
        <v>548</v>
      </c>
      <c r="B732" s="2" t="s">
        <v>14792</v>
      </c>
      <c r="C732" s="2" t="s">
        <v>6117</v>
      </c>
      <c r="D732" s="2" t="n">
        <v>362.237053849</v>
      </c>
      <c r="E732" s="2" t="n">
        <v>8.28974872654516</v>
      </c>
      <c r="F732" s="2" t="s">
        <v>6119</v>
      </c>
      <c r="G732" s="2" t="n">
        <v>8657</v>
      </c>
      <c r="H732" s="3" t="str">
        <f>HYPERLINK("http://funmeta.oebiotech.com/network/8657", "http://funmeta.oebiotech.com/network/8657")</f>
      </c>
      <c r="I732" s="2" t="s">
        <v>6121</v>
      </c>
      <c r="J732" s="2" t="s">
        <v>6122</v>
      </c>
      <c r="K732" s="2" t="s">
        <v>6123</v>
      </c>
      <c r="L732" s="2"/>
      <c r="M732" s="2" t="s">
        <v>6124</v>
      </c>
      <c r="N732" s="2" t="s">
        <v>6125</v>
      </c>
      <c r="O732" s="2" t="s">
        <v>6126</v>
      </c>
      <c r="P732" s="2" t="s">
        <v>6127</v>
      </c>
      <c r="Q732" s="2" t="s">
        <v>6128</v>
      </c>
      <c r="R732" s="2" t="s">
        <v>794</v>
      </c>
      <c r="S732" s="2" t="s">
        <v>795</v>
      </c>
      <c r="T732" s="2" t="s">
        <v>5115</v>
      </c>
      <c r="U732" s="2" t="s">
        <v>6118</v>
      </c>
      <c r="V732" s="2" t="s">
        <v>24</v>
      </c>
      <c r="W732" s="2"/>
    </row>
    <row r="733">
      <c r="A733" s="2" t="n">
        <v>549</v>
      </c>
      <c r="B733" s="2" t="s">
        <v>14793</v>
      </c>
      <c r="C733" s="2" t="s">
        <v>6129</v>
      </c>
      <c r="D733" s="2" t="n">
        <v>363.062255818</v>
      </c>
      <c r="E733" s="2" t="n">
        <v>0.457359633176157</v>
      </c>
      <c r="F733" s="2" t="s">
        <v>6131</v>
      </c>
      <c r="G733" s="2" t="n">
        <v>48220</v>
      </c>
      <c r="H733" s="3" t="str">
        <f>HYPERLINK("http://funmeta.oebiotech.com/network/48220", "http://funmeta.oebiotech.com/network/48220")</f>
      </c>
      <c r="I733" s="2" t="s">
        <v>6133</v>
      </c>
      <c r="J733" s="2" t="s">
        <v>6134</v>
      </c>
      <c r="K733" s="2"/>
      <c r="L733" s="2" t="s">
        <v>6135</v>
      </c>
      <c r="M733" s="2" t="s">
        <v>6136</v>
      </c>
      <c r="N733" s="2" t="s">
        <v>6137</v>
      </c>
      <c r="O733" s="2" t="s">
        <v>6138</v>
      </c>
      <c r="P733" s="2" t="s">
        <v>6139</v>
      </c>
      <c r="Q733" s="2" t="s">
        <v>6140</v>
      </c>
      <c r="R733" s="2" t="s">
        <v>186</v>
      </c>
      <c r="S733" s="2" t="s">
        <v>6141</v>
      </c>
      <c r="T733" s="2" t="s">
        <v>215</v>
      </c>
      <c r="U733" s="2" t="s">
        <v>6130</v>
      </c>
      <c r="V733" s="2" t="s">
        <v>205</v>
      </c>
      <c r="W733" s="2" t="s">
        <v>56</v>
      </c>
    </row>
    <row r="734">
      <c r="A734" s="2" t="n">
        <v>550</v>
      </c>
      <c r="B734" s="2" t="s">
        <v>14794</v>
      </c>
      <c r="C734" s="2" t="s">
        <v>6142</v>
      </c>
      <c r="D734" s="2" t="n">
        <v>363.199389749</v>
      </c>
      <c r="E734" s="2" t="n">
        <v>2.21413128789025</v>
      </c>
      <c r="F734" s="2" t="s">
        <v>6144</v>
      </c>
      <c r="G734" s="2" t="n">
        <v>211813</v>
      </c>
      <c r="H734" s="3" t="str">
        <f>HYPERLINK("http://funmeta.oebiotech.com/network/211813", "http://funmeta.oebiotech.com/network/211813")</f>
      </c>
      <c r="I734" s="2" t="s">
        <v>6146</v>
      </c>
      <c r="J734" s="2"/>
      <c r="K734" s="2"/>
      <c r="L734" s="2"/>
      <c r="M734" s="2"/>
      <c r="N734" s="2" t="s">
        <v>6147</v>
      </c>
      <c r="O734" s="2"/>
      <c r="P734" s="2" t="s">
        <v>6148</v>
      </c>
      <c r="Q734" s="2" t="s">
        <v>6149</v>
      </c>
      <c r="R734" s="2" t="s">
        <v>794</v>
      </c>
      <c r="S734" s="2" t="s">
        <v>1098</v>
      </c>
      <c r="T734" s="2" t="s">
        <v>4662</v>
      </c>
      <c r="U734" s="2" t="s">
        <v>6143</v>
      </c>
      <c r="V734" s="2" t="s">
        <v>161</v>
      </c>
      <c r="W734" s="2"/>
    </row>
    <row r="735">
      <c r="A735" s="2" t="n">
        <v>551</v>
      </c>
      <c r="B735" s="2" t="s">
        <v>14795</v>
      </c>
      <c r="C735" s="2" t="s">
        <v>6150</v>
      </c>
      <c r="D735" s="2" t="n">
        <v>363.255421046</v>
      </c>
      <c r="E735" s="2" t="n">
        <v>3.42790317201205</v>
      </c>
      <c r="F735" s="2" t="s">
        <v>6152</v>
      </c>
      <c r="G735" s="2" t="n">
        <v>205277</v>
      </c>
      <c r="H735" s="3" t="str">
        <f>HYPERLINK("http://funmeta.oebiotech.com/network/205277", "http://funmeta.oebiotech.com/network/205277")</f>
      </c>
      <c r="I735" s="2" t="s">
        <v>6154</v>
      </c>
      <c r="J735" s="2"/>
      <c r="K735" s="2"/>
      <c r="L735" s="2"/>
      <c r="M735" s="2"/>
      <c r="N735" s="2" t="s">
        <v>6155</v>
      </c>
      <c r="O735" s="2"/>
      <c r="P735" s="2" t="s">
        <v>6156</v>
      </c>
      <c r="Q735" s="2" t="s">
        <v>6157</v>
      </c>
      <c r="R735" s="2" t="s">
        <v>114</v>
      </c>
      <c r="S735" s="2" t="s">
        <v>397</v>
      </c>
      <c r="T735" s="2" t="s">
        <v>6158</v>
      </c>
      <c r="U735" s="2" t="s">
        <v>6151</v>
      </c>
      <c r="V735" s="2" t="s">
        <v>24</v>
      </c>
      <c r="W735" s="2"/>
    </row>
    <row r="736">
      <c r="A736" s="2" t="n">
        <v>552</v>
      </c>
      <c r="B736" s="2" t="s">
        <v>14796</v>
      </c>
      <c r="C736" s="2" t="s">
        <v>6159</v>
      </c>
      <c r="D736" s="2" t="n">
        <v>364.072150564</v>
      </c>
      <c r="E736" s="2" t="n">
        <v>1.15728795504867</v>
      </c>
      <c r="F736" s="2" t="s">
        <v>6161</v>
      </c>
      <c r="G736" s="2" t="n">
        <v>206898</v>
      </c>
      <c r="H736" s="3" t="str">
        <f>HYPERLINK("http://funmeta.oebiotech.com/network/206898", "http://funmeta.oebiotech.com/network/206898")</f>
      </c>
      <c r="I736" s="2" t="s">
        <v>6163</v>
      </c>
      <c r="J736" s="2" t="s">
        <v>6164</v>
      </c>
      <c r="K736" s="2"/>
      <c r="L736" s="2" t="s">
        <v>6165</v>
      </c>
      <c r="M736" s="2"/>
      <c r="N736" s="2" t="s">
        <v>6166</v>
      </c>
      <c r="O736" s="2" t="s">
        <v>6167</v>
      </c>
      <c r="P736" s="2" t="s">
        <v>6168</v>
      </c>
      <c r="Q736" s="2" t="s">
        <v>6169</v>
      </c>
      <c r="R736" s="2" t="s">
        <v>114</v>
      </c>
      <c r="S736" s="2" t="s">
        <v>936</v>
      </c>
      <c r="T736" s="2" t="s">
        <v>2291</v>
      </c>
      <c r="U736" s="2" t="s">
        <v>6160</v>
      </c>
      <c r="V736" s="2" t="s">
        <v>86</v>
      </c>
      <c r="W736" s="2" t="s">
        <v>101</v>
      </c>
    </row>
    <row r="737">
      <c r="A737" s="2" t="n">
        <v>553</v>
      </c>
      <c r="B737" s="2" t="s">
        <v>14797</v>
      </c>
      <c r="C737" s="2" t="s">
        <v>6170</v>
      </c>
      <c r="D737" s="2" t="n">
        <v>364.106958104</v>
      </c>
      <c r="E737" s="2" t="n">
        <v>4.53780855673632</v>
      </c>
      <c r="F737" s="2" t="s">
        <v>14798</v>
      </c>
      <c r="G737" s="2" t="n">
        <v>203552</v>
      </c>
      <c r="H737" s="3" t="str">
        <f>HYPERLINK("http://funmeta.oebiotech.com/network/203552", "http://funmeta.oebiotech.com/network/203552")</f>
      </c>
      <c r="I737" s="2" t="s">
        <v>14799</v>
      </c>
      <c r="J737" s="2"/>
      <c r="K737" s="2"/>
      <c r="L737" s="2"/>
      <c r="M737" s="2"/>
      <c r="N737" s="2" t="s">
        <v>14800</v>
      </c>
      <c r="O737" s="2"/>
      <c r="P737" s="2" t="s">
        <v>14801</v>
      </c>
      <c r="Q737" s="2" t="s">
        <v>14802</v>
      </c>
      <c r="R737" s="2" t="s">
        <v>114</v>
      </c>
      <c r="S737" s="2" t="s">
        <v>4523</v>
      </c>
      <c r="T737" s="2" t="s">
        <v>4524</v>
      </c>
      <c r="U737" s="2" t="s">
        <v>6171</v>
      </c>
      <c r="V737" s="2" t="s">
        <v>86</v>
      </c>
      <c r="W737" s="2"/>
    </row>
    <row r="738">
      <c r="A738" s="2" t="n">
        <v>553</v>
      </c>
      <c r="B738" s="2" t="s">
        <v>14803</v>
      </c>
      <c r="C738" s="2" t="s">
        <v>6170</v>
      </c>
      <c r="D738" s="2" t="n">
        <v>364.106958104</v>
      </c>
      <c r="E738" s="2" t="n">
        <v>4.53780855673632</v>
      </c>
      <c r="F738" s="2" t="s">
        <v>14804</v>
      </c>
      <c r="G738" s="2" t="n">
        <v>207264</v>
      </c>
      <c r="H738" s="3" t="str">
        <f>HYPERLINK("http://funmeta.oebiotech.com/network/207264", "http://funmeta.oebiotech.com/network/207264")</f>
      </c>
      <c r="I738" s="2" t="s">
        <v>14805</v>
      </c>
      <c r="J738" s="2"/>
      <c r="K738" s="2"/>
      <c r="L738" s="2"/>
      <c r="M738" s="2"/>
      <c r="N738" s="2" t="s">
        <v>14806</v>
      </c>
      <c r="O738" s="2"/>
      <c r="P738" s="2" t="s">
        <v>14807</v>
      </c>
      <c r="Q738" s="2" t="s">
        <v>14808</v>
      </c>
      <c r="R738" s="2" t="s">
        <v>36</v>
      </c>
      <c r="S738" s="2" t="s">
        <v>37</v>
      </c>
      <c r="T738" s="2" t="s">
        <v>69</v>
      </c>
      <c r="U738" s="2" t="s">
        <v>6171</v>
      </c>
      <c r="V738" s="2" t="s">
        <v>86</v>
      </c>
      <c r="W738" s="2"/>
    </row>
    <row r="739">
      <c r="A739" s="2" t="n">
        <v>554</v>
      </c>
      <c r="B739" s="2" t="s">
        <v>14809</v>
      </c>
      <c r="C739" s="2" t="s">
        <v>6180</v>
      </c>
      <c r="D739" s="2" t="n">
        <v>364.260015683</v>
      </c>
      <c r="E739" s="2" t="n">
        <v>3.38785436445289</v>
      </c>
      <c r="F739" s="2" t="s">
        <v>14810</v>
      </c>
      <c r="G739" s="2" t="n">
        <v>203300</v>
      </c>
      <c r="H739" s="3" t="str">
        <f>HYPERLINK("http://funmeta.oebiotech.com/network/203300", "http://funmeta.oebiotech.com/network/203300")</f>
      </c>
      <c r="I739" s="2" t="s">
        <v>14811</v>
      </c>
      <c r="J739" s="2"/>
      <c r="K739" s="2"/>
      <c r="L739" s="2"/>
      <c r="M739" s="2"/>
      <c r="N739" s="2" t="s">
        <v>14812</v>
      </c>
      <c r="O739" s="2"/>
      <c r="P739" s="2" t="s">
        <v>14813</v>
      </c>
      <c r="Q739" s="2" t="s">
        <v>14814</v>
      </c>
      <c r="R739" s="2" t="s">
        <v>36</v>
      </c>
      <c r="S739" s="2" t="s">
        <v>37</v>
      </c>
      <c r="T739" s="2" t="s">
        <v>69</v>
      </c>
      <c r="U739" s="2" t="s">
        <v>6181</v>
      </c>
      <c r="V739" s="2" t="s">
        <v>161</v>
      </c>
      <c r="W739" s="2"/>
    </row>
    <row r="740">
      <c r="A740" s="2" t="n">
        <v>554</v>
      </c>
      <c r="B740" s="2" t="s">
        <v>14815</v>
      </c>
      <c r="C740" s="2" t="s">
        <v>6180</v>
      </c>
      <c r="D740" s="2" t="n">
        <v>364.260015683</v>
      </c>
      <c r="E740" s="2" t="n">
        <v>3.38785436445289</v>
      </c>
      <c r="F740" s="2" t="s">
        <v>14816</v>
      </c>
      <c r="G740" s="2" t="n">
        <v>211351</v>
      </c>
      <c r="H740" s="3" t="str">
        <f>HYPERLINK("http://funmeta.oebiotech.com/network/211351", "http://funmeta.oebiotech.com/network/211351")</f>
      </c>
      <c r="I740" s="2" t="s">
        <v>14817</v>
      </c>
      <c r="J740" s="2"/>
      <c r="K740" s="2"/>
      <c r="L740" s="2"/>
      <c r="M740" s="2"/>
      <c r="N740" s="2"/>
      <c r="O740" s="2"/>
      <c r="P740" s="2" t="s">
        <v>14818</v>
      </c>
      <c r="Q740" s="2" t="s">
        <v>14819</v>
      </c>
      <c r="R740" s="2" t="s">
        <v>36</v>
      </c>
      <c r="S740" s="2" t="s">
        <v>37</v>
      </c>
      <c r="T740" s="2" t="s">
        <v>69</v>
      </c>
      <c r="U740" s="2" t="s">
        <v>6181</v>
      </c>
      <c r="V740" s="2" t="s">
        <v>161</v>
      </c>
      <c r="W740" s="2"/>
    </row>
    <row r="741">
      <c r="A741" s="2" t="n">
        <v>555</v>
      </c>
      <c r="B741" s="2" t="s">
        <v>14820</v>
      </c>
      <c r="C741" s="2" t="s">
        <v>6188</v>
      </c>
      <c r="D741" s="2" t="n">
        <v>365.0577554</v>
      </c>
      <c r="E741" s="2" t="n">
        <v>0.0733896913365778</v>
      </c>
      <c r="F741" s="2" t="s">
        <v>14821</v>
      </c>
      <c r="G741" s="2" t="n">
        <v>199716</v>
      </c>
      <c r="H741" s="3" t="str">
        <f>HYPERLINK("http://funmeta.oebiotech.com/network/199716", "http://funmeta.oebiotech.com/network/199716")</f>
      </c>
      <c r="I741" s="2" t="s">
        <v>14822</v>
      </c>
      <c r="J741" s="2"/>
      <c r="K741" s="2"/>
      <c r="L741" s="2"/>
      <c r="M741" s="2"/>
      <c r="N741" s="2" t="s">
        <v>14823</v>
      </c>
      <c r="O741" s="2"/>
      <c r="P741" s="2" t="s">
        <v>14824</v>
      </c>
      <c r="Q741" s="2" t="s">
        <v>14825</v>
      </c>
      <c r="R741" s="2" t="s">
        <v>114</v>
      </c>
      <c r="S741" s="2" t="s">
        <v>730</v>
      </c>
      <c r="T741" s="2" t="s">
        <v>731</v>
      </c>
      <c r="U741" s="2" t="s">
        <v>6189</v>
      </c>
      <c r="V741" s="2" t="s">
        <v>86</v>
      </c>
      <c r="W741" s="2"/>
    </row>
    <row r="742">
      <c r="A742" s="2" t="n">
        <v>555</v>
      </c>
      <c r="B742" s="2" t="s">
        <v>14826</v>
      </c>
      <c r="C742" s="2" t="s">
        <v>6188</v>
      </c>
      <c r="D742" s="2" t="n">
        <v>365.0577554</v>
      </c>
      <c r="E742" s="2" t="n">
        <v>0.0733896913365778</v>
      </c>
      <c r="F742" s="2" t="s">
        <v>14827</v>
      </c>
      <c r="G742" s="2" t="n">
        <v>202645</v>
      </c>
      <c r="H742" s="3" t="str">
        <f>HYPERLINK("http://funmeta.oebiotech.com/network/202645", "http://funmeta.oebiotech.com/network/202645")</f>
      </c>
      <c r="I742" s="2" t="s">
        <v>14828</v>
      </c>
      <c r="J742" s="2"/>
      <c r="K742" s="2"/>
      <c r="L742" s="2"/>
      <c r="M742" s="2"/>
      <c r="N742" s="2" t="s">
        <v>14829</v>
      </c>
      <c r="O742" s="2"/>
      <c r="P742" s="2" t="s">
        <v>14830</v>
      </c>
      <c r="Q742" s="2" t="s">
        <v>14831</v>
      </c>
      <c r="R742" s="2" t="s">
        <v>114</v>
      </c>
      <c r="S742" s="2" t="s">
        <v>730</v>
      </c>
      <c r="T742" s="2" t="s">
        <v>731</v>
      </c>
      <c r="U742" s="2" t="s">
        <v>6189</v>
      </c>
      <c r="V742" s="2" t="s">
        <v>86</v>
      </c>
      <c r="W742" s="2"/>
    </row>
    <row r="743">
      <c r="A743" s="2" t="n">
        <v>556</v>
      </c>
      <c r="B743" s="2" t="s">
        <v>14832</v>
      </c>
      <c r="C743" s="2" t="s">
        <v>6198</v>
      </c>
      <c r="D743" s="2" t="n">
        <v>365.210026198</v>
      </c>
      <c r="E743" s="2" t="n">
        <v>3.44159447047063</v>
      </c>
      <c r="F743" s="2" t="s">
        <v>6200</v>
      </c>
      <c r="G743" s="2" t="n">
        <v>2974</v>
      </c>
      <c r="H743" s="3" t="str">
        <f>HYPERLINK("http://funmeta.oebiotech.com/network/2974", "http://funmeta.oebiotech.com/network/2974")</f>
      </c>
      <c r="I743" s="2" t="s">
        <v>6202</v>
      </c>
      <c r="J743" s="2" t="s">
        <v>6203</v>
      </c>
      <c r="K743" s="2" t="s">
        <v>6204</v>
      </c>
      <c r="L743" s="2" t="s">
        <v>6205</v>
      </c>
      <c r="M743" s="2" t="s">
        <v>6206</v>
      </c>
      <c r="N743" s="2" t="s">
        <v>6207</v>
      </c>
      <c r="O743" s="2"/>
      <c r="P743" s="2" t="s">
        <v>6208</v>
      </c>
      <c r="Q743" s="2" t="s">
        <v>6209</v>
      </c>
      <c r="R743" s="2" t="s">
        <v>794</v>
      </c>
      <c r="S743" s="2" t="s">
        <v>795</v>
      </c>
      <c r="T743" s="2" t="s">
        <v>796</v>
      </c>
      <c r="U743" s="2" t="s">
        <v>6199</v>
      </c>
      <c r="V743" s="2" t="s">
        <v>86</v>
      </c>
      <c r="W743" s="2" t="s">
        <v>56</v>
      </c>
    </row>
    <row r="744">
      <c r="A744" s="2" t="n">
        <v>557</v>
      </c>
      <c r="B744" s="2" t="s">
        <v>14833</v>
      </c>
      <c r="C744" s="2" t="s">
        <v>6210</v>
      </c>
      <c r="D744" s="2" t="n">
        <v>366.111374787</v>
      </c>
      <c r="E744" s="2" t="n">
        <v>2.97959955632807</v>
      </c>
      <c r="F744" s="2" t="s">
        <v>6212</v>
      </c>
      <c r="G744" s="2" t="n">
        <v>255647</v>
      </c>
      <c r="H744" s="3" t="str">
        <f>HYPERLINK("http://funmeta.oebiotech.com/network/255647", "http://funmeta.oebiotech.com/network/255647")</f>
      </c>
      <c r="I744" s="2" t="s">
        <v>6214</v>
      </c>
      <c r="J744" s="2" t="s">
        <v>6215</v>
      </c>
      <c r="K744" s="2"/>
      <c r="L744" s="2" t="s">
        <v>6216</v>
      </c>
      <c r="M744" s="2"/>
      <c r="N744" s="2" t="s">
        <v>6217</v>
      </c>
      <c r="O744" s="2" t="s">
        <v>6218</v>
      </c>
      <c r="P744" s="2" t="s">
        <v>6219</v>
      </c>
      <c r="Q744" s="2" t="s">
        <v>6220</v>
      </c>
      <c r="R744" s="2" t="s">
        <v>3003</v>
      </c>
      <c r="S744" s="2" t="s">
        <v>6221</v>
      </c>
      <c r="T744" s="2" t="s">
        <v>6222</v>
      </c>
      <c r="U744" s="2" t="s">
        <v>6211</v>
      </c>
      <c r="V744" s="2" t="s">
        <v>86</v>
      </c>
      <c r="W744" s="2" t="s">
        <v>101</v>
      </c>
    </row>
    <row r="745">
      <c r="A745" s="2" t="n">
        <v>558</v>
      </c>
      <c r="B745" s="2" t="s">
        <v>14834</v>
      </c>
      <c r="C745" s="2" t="s">
        <v>6223</v>
      </c>
      <c r="D745" s="2" t="n">
        <v>366.207467799</v>
      </c>
      <c r="E745" s="2" t="n">
        <v>9.8285250374252</v>
      </c>
      <c r="F745" s="2" t="s">
        <v>6225</v>
      </c>
      <c r="G745" s="2" t="n">
        <v>55064</v>
      </c>
      <c r="H745" s="3" t="str">
        <f>HYPERLINK("http://funmeta.oebiotech.com/network/55064", "http://funmeta.oebiotech.com/network/55064")</f>
      </c>
      <c r="I745" s="2" t="s">
        <v>6227</v>
      </c>
      <c r="J745" s="2" t="s">
        <v>6228</v>
      </c>
      <c r="K745" s="2"/>
      <c r="L745" s="2"/>
      <c r="M745" s="2" t="s">
        <v>6229</v>
      </c>
      <c r="N745" s="2" t="s">
        <v>6230</v>
      </c>
      <c r="O745" s="2" t="s">
        <v>6231</v>
      </c>
      <c r="P745" s="2" t="s">
        <v>6232</v>
      </c>
      <c r="Q745" s="2" t="s">
        <v>6233</v>
      </c>
      <c r="R745" s="2" t="s">
        <v>114</v>
      </c>
      <c r="S745" s="2" t="s">
        <v>6234</v>
      </c>
      <c r="T745" s="2" t="s">
        <v>215</v>
      </c>
      <c r="U745" s="2" t="s">
        <v>6224</v>
      </c>
      <c r="V745" s="2" t="s">
        <v>24</v>
      </c>
      <c r="W745" s="2" t="s">
        <v>56</v>
      </c>
    </row>
    <row r="746">
      <c r="A746" s="2" t="n">
        <v>559</v>
      </c>
      <c r="B746" s="2" t="s">
        <v>14835</v>
      </c>
      <c r="C746" s="2" t="s">
        <v>6235</v>
      </c>
      <c r="D746" s="2" t="n">
        <v>367.026127</v>
      </c>
      <c r="E746" s="2" t="n">
        <v>0.244296261540803</v>
      </c>
      <c r="F746" s="2" t="s">
        <v>6237</v>
      </c>
      <c r="G746" s="2" t="n">
        <v>202497</v>
      </c>
      <c r="H746" s="3" t="str">
        <f>HYPERLINK("http://funmeta.oebiotech.com/network/202497", "http://funmeta.oebiotech.com/network/202497")</f>
      </c>
      <c r="I746" s="2" t="s">
        <v>6239</v>
      </c>
      <c r="J746" s="2"/>
      <c r="K746" s="2"/>
      <c r="L746" s="2"/>
      <c r="M746" s="2"/>
      <c r="N746" s="2" t="s">
        <v>6240</v>
      </c>
      <c r="O746" s="2"/>
      <c r="P746" s="2" t="s">
        <v>6241</v>
      </c>
      <c r="Q746" s="2" t="s">
        <v>6242</v>
      </c>
      <c r="R746" s="2" t="s">
        <v>114</v>
      </c>
      <c r="S746" s="2" t="s">
        <v>4523</v>
      </c>
      <c r="T746" s="2" t="s">
        <v>4524</v>
      </c>
      <c r="U746" s="2" t="s">
        <v>6236</v>
      </c>
      <c r="V746" s="2" t="s">
        <v>161</v>
      </c>
      <c r="W746" s="2"/>
    </row>
    <row r="747">
      <c r="A747" s="2" t="n">
        <v>560</v>
      </c>
      <c r="B747" s="2" t="s">
        <v>14836</v>
      </c>
      <c r="C747" s="2" t="s">
        <v>6243</v>
      </c>
      <c r="D747" s="2" t="n">
        <v>367.11163737</v>
      </c>
      <c r="E747" s="2" t="n">
        <v>2.34478231974991</v>
      </c>
      <c r="F747" s="2" t="s">
        <v>6245</v>
      </c>
      <c r="G747" s="2" t="n">
        <v>199959</v>
      </c>
      <c r="H747" s="3" t="str">
        <f>HYPERLINK("http://funmeta.oebiotech.com/network/199959", "http://funmeta.oebiotech.com/network/199959")</f>
      </c>
      <c r="I747" s="2" t="s">
        <v>6247</v>
      </c>
      <c r="J747" s="2"/>
      <c r="K747" s="2"/>
      <c r="L747" s="2"/>
      <c r="M747" s="2"/>
      <c r="N747" s="2" t="s">
        <v>6248</v>
      </c>
      <c r="O747" s="2"/>
      <c r="P747" s="2" t="s">
        <v>6249</v>
      </c>
      <c r="Q747" s="2" t="s">
        <v>6250</v>
      </c>
      <c r="R747" s="2" t="s">
        <v>114</v>
      </c>
      <c r="S747" s="2" t="s">
        <v>6251</v>
      </c>
      <c r="T747" s="2" t="s">
        <v>215</v>
      </c>
      <c r="U747" s="2" t="s">
        <v>6244</v>
      </c>
      <c r="V747" s="2" t="s">
        <v>161</v>
      </c>
      <c r="W747" s="2"/>
    </row>
    <row r="748">
      <c r="A748" s="2" t="n">
        <v>561</v>
      </c>
      <c r="B748" s="2" t="s">
        <v>14837</v>
      </c>
      <c r="C748" s="2" t="s">
        <v>6252</v>
      </c>
      <c r="D748" s="2" t="n">
        <v>367.248998262</v>
      </c>
      <c r="E748" s="2" t="n">
        <v>5.13281292209064</v>
      </c>
      <c r="F748" s="2" t="s">
        <v>14838</v>
      </c>
      <c r="G748" s="2" t="n">
        <v>45095</v>
      </c>
      <c r="H748" s="3" t="str">
        <f>HYPERLINK("http://funmeta.oebiotech.com/network/45095", "http://funmeta.oebiotech.com/network/45095")</f>
      </c>
      <c r="I748" s="2" t="s">
        <v>14839</v>
      </c>
      <c r="J748" s="2" t="s">
        <v>14840</v>
      </c>
      <c r="K748" s="2" t="s">
        <v>14841</v>
      </c>
      <c r="L748" s="2" t="s">
        <v>14842</v>
      </c>
      <c r="M748" s="2" t="s">
        <v>14843</v>
      </c>
      <c r="N748" s="2" t="s">
        <v>14844</v>
      </c>
      <c r="O748" s="2" t="s">
        <v>14845</v>
      </c>
      <c r="P748" s="2" t="s">
        <v>14846</v>
      </c>
      <c r="Q748" s="2" t="s">
        <v>14847</v>
      </c>
      <c r="R748" s="2" t="s">
        <v>794</v>
      </c>
      <c r="S748" s="2" t="s">
        <v>2971</v>
      </c>
      <c r="T748" s="2" t="s">
        <v>7542</v>
      </c>
      <c r="U748" s="2" t="s">
        <v>6253</v>
      </c>
      <c r="V748" s="2" t="s">
        <v>24</v>
      </c>
      <c r="W748" s="2" t="s">
        <v>56</v>
      </c>
    </row>
    <row r="749">
      <c r="A749" s="2" t="n">
        <v>561</v>
      </c>
      <c r="B749" s="2" t="s">
        <v>14848</v>
      </c>
      <c r="C749" s="2" t="s">
        <v>6252</v>
      </c>
      <c r="D749" s="2" t="n">
        <v>367.248998262</v>
      </c>
      <c r="E749" s="2" t="n">
        <v>5.13281292209064</v>
      </c>
      <c r="F749" s="2" t="s">
        <v>14849</v>
      </c>
      <c r="G749" s="2" t="n">
        <v>45094</v>
      </c>
      <c r="H749" s="3" t="str">
        <f>HYPERLINK("http://funmeta.oebiotech.com/network/45094", "http://funmeta.oebiotech.com/network/45094")</f>
      </c>
      <c r="I749" s="2" t="s">
        <v>14850</v>
      </c>
      <c r="J749" s="2" t="s">
        <v>14851</v>
      </c>
      <c r="K749" s="2" t="s">
        <v>14852</v>
      </c>
      <c r="L749" s="2" t="s">
        <v>14853</v>
      </c>
      <c r="M749" s="2" t="s">
        <v>14854</v>
      </c>
      <c r="N749" s="2" t="s">
        <v>14855</v>
      </c>
      <c r="O749" s="2" t="s">
        <v>14856</v>
      </c>
      <c r="P749" s="2" t="s">
        <v>14857</v>
      </c>
      <c r="Q749" s="2" t="s">
        <v>14858</v>
      </c>
      <c r="R749" s="2" t="s">
        <v>794</v>
      </c>
      <c r="S749" s="2" t="s">
        <v>2971</v>
      </c>
      <c r="T749" s="2" t="s">
        <v>7542</v>
      </c>
      <c r="U749" s="2" t="s">
        <v>6253</v>
      </c>
      <c r="V749" s="2" t="s">
        <v>24</v>
      </c>
      <c r="W749" s="2" t="s">
        <v>56</v>
      </c>
    </row>
    <row r="750">
      <c r="A750" s="2" t="n">
        <v>562</v>
      </c>
      <c r="B750" s="2" t="s">
        <v>14859</v>
      </c>
      <c r="C750" s="2" t="s">
        <v>6267</v>
      </c>
      <c r="D750" s="2" t="n">
        <v>367.35815478</v>
      </c>
      <c r="E750" s="2" t="n">
        <v>18.0618337781129</v>
      </c>
      <c r="F750" s="2" t="s">
        <v>6269</v>
      </c>
      <c r="G750" s="2" t="n">
        <v>70</v>
      </c>
      <c r="H750" s="3" t="str">
        <f>HYPERLINK("http://funmeta.oebiotech.com/network/70", "http://funmeta.oebiotech.com/network/70")</f>
      </c>
      <c r="I750" s="2" t="s">
        <v>6271</v>
      </c>
      <c r="J750" s="2" t="s">
        <v>6272</v>
      </c>
      <c r="K750" s="2" t="s">
        <v>6273</v>
      </c>
      <c r="L750" s="2" t="s">
        <v>6274</v>
      </c>
      <c r="M750" s="2" t="s">
        <v>6275</v>
      </c>
      <c r="N750" s="2" t="s">
        <v>6276</v>
      </c>
      <c r="O750" s="2" t="s">
        <v>6277</v>
      </c>
      <c r="P750" s="2" t="s">
        <v>6278</v>
      </c>
      <c r="Q750" s="2" t="s">
        <v>6279</v>
      </c>
      <c r="R750" s="2" t="s">
        <v>794</v>
      </c>
      <c r="S750" s="2" t="s">
        <v>795</v>
      </c>
      <c r="T750" s="2" t="s">
        <v>796</v>
      </c>
      <c r="U750" s="2" t="s">
        <v>6268</v>
      </c>
      <c r="V750" s="2" t="s">
        <v>24</v>
      </c>
      <c r="W750" s="2" t="s">
        <v>39</v>
      </c>
    </row>
    <row r="751">
      <c r="A751" s="2" t="n">
        <v>563</v>
      </c>
      <c r="B751" s="2" t="s">
        <v>14860</v>
      </c>
      <c r="C751" s="2" t="s">
        <v>6280</v>
      </c>
      <c r="D751" s="2" t="n">
        <v>368.223117863</v>
      </c>
      <c r="E751" s="2" t="n">
        <v>9.41669980331911</v>
      </c>
      <c r="F751" s="2" t="s">
        <v>6282</v>
      </c>
      <c r="G751" s="2" t="n">
        <v>53211</v>
      </c>
      <c r="H751" s="3" t="str">
        <f>HYPERLINK("http://funmeta.oebiotech.com/network/53211", "http://funmeta.oebiotech.com/network/53211")</f>
      </c>
      <c r="I751" s="2" t="s">
        <v>6284</v>
      </c>
      <c r="J751" s="2"/>
      <c r="K751" s="2"/>
      <c r="L751" s="2"/>
      <c r="M751" s="2" t="s">
        <v>6285</v>
      </c>
      <c r="N751" s="2" t="s">
        <v>6286</v>
      </c>
      <c r="O751" s="2" t="s">
        <v>6287</v>
      </c>
      <c r="P751" s="2" t="s">
        <v>6288</v>
      </c>
      <c r="Q751" s="2" t="s">
        <v>6289</v>
      </c>
      <c r="R751" s="2" t="s">
        <v>794</v>
      </c>
      <c r="S751" s="2" t="s">
        <v>2971</v>
      </c>
      <c r="T751" s="2" t="s">
        <v>6290</v>
      </c>
      <c r="U751" s="2" t="s">
        <v>6281</v>
      </c>
      <c r="V751" s="2" t="s">
        <v>24</v>
      </c>
      <c r="W751" s="2" t="s">
        <v>56</v>
      </c>
    </row>
    <row r="752">
      <c r="A752" s="2" t="n">
        <v>564</v>
      </c>
      <c r="B752" s="2" t="s">
        <v>14861</v>
      </c>
      <c r="C752" s="2" t="s">
        <v>6291</v>
      </c>
      <c r="D752" s="2" t="n">
        <v>368.257096433</v>
      </c>
      <c r="E752" s="2" t="n">
        <v>8.46317527220123</v>
      </c>
      <c r="F752" s="2" t="s">
        <v>6293</v>
      </c>
      <c r="G752" s="2" t="n">
        <v>9013</v>
      </c>
      <c r="H752" s="3" t="str">
        <f>HYPERLINK("http://funmeta.oebiotech.com/network/9013", "http://funmeta.oebiotech.com/network/9013")</f>
      </c>
      <c r="I752" s="2" t="s">
        <v>6295</v>
      </c>
      <c r="J752" s="2" t="s">
        <v>6296</v>
      </c>
      <c r="K752" s="2" t="s">
        <v>6297</v>
      </c>
      <c r="L752" s="2" t="s">
        <v>6298</v>
      </c>
      <c r="M752" s="2" t="s">
        <v>6299</v>
      </c>
      <c r="N752" s="2" t="s">
        <v>6300</v>
      </c>
      <c r="O752" s="2" t="s">
        <v>6301</v>
      </c>
      <c r="P752" s="2" t="s">
        <v>6302</v>
      </c>
      <c r="Q752" s="2" t="s">
        <v>6303</v>
      </c>
      <c r="R752" s="2" t="s">
        <v>601</v>
      </c>
      <c r="S752" s="2" t="s">
        <v>602</v>
      </c>
      <c r="T752" s="2" t="s">
        <v>1800</v>
      </c>
      <c r="U752" s="2" t="s">
        <v>6292</v>
      </c>
      <c r="V752" s="2" t="s">
        <v>531</v>
      </c>
      <c r="W752" s="2" t="s">
        <v>56</v>
      </c>
    </row>
    <row r="753">
      <c r="A753" s="2" t="n">
        <v>565</v>
      </c>
      <c r="B753" s="2" t="s">
        <v>14862</v>
      </c>
      <c r="C753" s="2" t="s">
        <v>6304</v>
      </c>
      <c r="D753" s="2" t="n">
        <v>369.0277585</v>
      </c>
      <c r="E753" s="2" t="n">
        <v>0.821899723259881</v>
      </c>
      <c r="F753" s="2" t="s">
        <v>6306</v>
      </c>
      <c r="G753" s="2" t="n">
        <v>213306</v>
      </c>
      <c r="H753" s="3" t="str">
        <f>HYPERLINK("http://funmeta.oebiotech.com/network/213306", "http://funmeta.oebiotech.com/network/213306")</f>
      </c>
      <c r="I753" s="2" t="s">
        <v>6308</v>
      </c>
      <c r="J753" s="2"/>
      <c r="K753" s="2"/>
      <c r="L753" s="2"/>
      <c r="M753" s="2"/>
      <c r="N753" s="2" t="s">
        <v>6309</v>
      </c>
      <c r="O753" s="2"/>
      <c r="P753" s="2" t="s">
        <v>6310</v>
      </c>
      <c r="Q753" s="2" t="s">
        <v>6311</v>
      </c>
      <c r="R753" s="2" t="s">
        <v>114</v>
      </c>
      <c r="S753" s="2" t="s">
        <v>6312</v>
      </c>
      <c r="T753" s="2" t="s">
        <v>6313</v>
      </c>
      <c r="U753" s="2" t="s">
        <v>6305</v>
      </c>
      <c r="V753" s="2" t="s">
        <v>86</v>
      </c>
      <c r="W753" s="2"/>
    </row>
    <row r="754">
      <c r="A754" s="2" t="n">
        <v>566</v>
      </c>
      <c r="B754" s="2" t="s">
        <v>14863</v>
      </c>
      <c r="C754" s="2" t="s">
        <v>6314</v>
      </c>
      <c r="D754" s="2" t="n">
        <v>369.17322816</v>
      </c>
      <c r="E754" s="2" t="n">
        <v>0.726129917170257</v>
      </c>
      <c r="F754" s="2" t="s">
        <v>6316</v>
      </c>
      <c r="G754" s="2" t="n">
        <v>209135</v>
      </c>
      <c r="H754" s="3" t="str">
        <f>HYPERLINK("http://funmeta.oebiotech.com/network/209135", "http://funmeta.oebiotech.com/network/209135")</f>
      </c>
      <c r="I754" s="2" t="s">
        <v>6318</v>
      </c>
      <c r="J754" s="2"/>
      <c r="K754" s="2"/>
      <c r="L754" s="2"/>
      <c r="M754" s="2"/>
      <c r="N754" s="2" t="s">
        <v>6319</v>
      </c>
      <c r="O754" s="2"/>
      <c r="P754" s="2" t="s">
        <v>6320</v>
      </c>
      <c r="Q754" s="2" t="s">
        <v>6321</v>
      </c>
      <c r="R754" s="2" t="s">
        <v>114</v>
      </c>
      <c r="S754" s="2" t="s">
        <v>994</v>
      </c>
      <c r="T754" s="2" t="s">
        <v>215</v>
      </c>
      <c r="U754" s="2" t="s">
        <v>6315</v>
      </c>
      <c r="V754" s="2" t="s">
        <v>24</v>
      </c>
      <c r="W754" s="2"/>
    </row>
    <row r="755">
      <c r="A755" s="2" t="n">
        <v>567</v>
      </c>
      <c r="B755" s="2" t="s">
        <v>14864</v>
      </c>
      <c r="C755" s="2" t="s">
        <v>6322</v>
      </c>
      <c r="D755" s="2" t="n">
        <v>369.22826282</v>
      </c>
      <c r="E755" s="2" t="n">
        <v>3.83544571092399</v>
      </c>
      <c r="F755" s="2" t="s">
        <v>14865</v>
      </c>
      <c r="G755" s="2" t="n">
        <v>3910</v>
      </c>
      <c r="H755" s="3" t="str">
        <f>HYPERLINK("http://funmeta.oebiotech.com/network/3910", "http://funmeta.oebiotech.com/network/3910")</f>
      </c>
      <c r="I755" s="2" t="s">
        <v>14866</v>
      </c>
      <c r="J755" s="2" t="s">
        <v>14867</v>
      </c>
      <c r="K755" s="2" t="s">
        <v>14868</v>
      </c>
      <c r="L755" s="2" t="s">
        <v>14869</v>
      </c>
      <c r="M755" s="2" t="s">
        <v>14870</v>
      </c>
      <c r="N755" s="2" t="s">
        <v>14871</v>
      </c>
      <c r="O755" s="2" t="s">
        <v>14872</v>
      </c>
      <c r="P755" s="2" t="s">
        <v>14873</v>
      </c>
      <c r="Q755" s="2" t="s">
        <v>14874</v>
      </c>
      <c r="R755" s="2" t="s">
        <v>794</v>
      </c>
      <c r="S755" s="2" t="s">
        <v>795</v>
      </c>
      <c r="T755" s="2" t="s">
        <v>3692</v>
      </c>
      <c r="U755" s="2" t="s">
        <v>6323</v>
      </c>
      <c r="V755" s="2" t="s">
        <v>24</v>
      </c>
      <c r="W755" s="2" t="s">
        <v>56</v>
      </c>
    </row>
    <row r="756">
      <c r="A756" s="2" t="n">
        <v>567</v>
      </c>
      <c r="B756" s="2" t="s">
        <v>14875</v>
      </c>
      <c r="C756" s="2" t="s">
        <v>6322</v>
      </c>
      <c r="D756" s="2" t="n">
        <v>369.22826282</v>
      </c>
      <c r="E756" s="2" t="n">
        <v>3.83544571092399</v>
      </c>
      <c r="F756" s="2" t="s">
        <v>14876</v>
      </c>
      <c r="G756" s="2" t="n">
        <v>3633</v>
      </c>
      <c r="H756" s="3" t="str">
        <f>HYPERLINK("http://funmeta.oebiotech.com/network/3633", "http://funmeta.oebiotech.com/network/3633")</f>
      </c>
      <c r="I756" s="2" t="s">
        <v>14877</v>
      </c>
      <c r="J756" s="2" t="s">
        <v>14878</v>
      </c>
      <c r="K756" s="2" t="s">
        <v>14879</v>
      </c>
      <c r="L756" s="2" t="s">
        <v>14880</v>
      </c>
      <c r="M756" s="2" t="s">
        <v>14881</v>
      </c>
      <c r="N756" s="2" t="s">
        <v>14882</v>
      </c>
      <c r="O756" s="2" t="s">
        <v>14883</v>
      </c>
      <c r="P756" s="2" t="s">
        <v>14884</v>
      </c>
      <c r="Q756" s="2" t="s">
        <v>14885</v>
      </c>
      <c r="R756" s="2" t="s">
        <v>794</v>
      </c>
      <c r="S756" s="2" t="s">
        <v>795</v>
      </c>
      <c r="T756" s="2" t="s">
        <v>3692</v>
      </c>
      <c r="U756" s="2" t="s">
        <v>6323</v>
      </c>
      <c r="V756" s="2" t="s">
        <v>24</v>
      </c>
      <c r="W756" s="2" t="s">
        <v>56</v>
      </c>
    </row>
    <row r="757">
      <c r="A757" s="2" t="n">
        <v>568</v>
      </c>
      <c r="B757" s="2" t="s">
        <v>14886</v>
      </c>
      <c r="C757" s="2" t="s">
        <v>6336</v>
      </c>
      <c r="D757" s="2" t="n">
        <v>371.179474999</v>
      </c>
      <c r="E757" s="2" t="n">
        <v>2.32837030760859</v>
      </c>
      <c r="F757" s="2" t="s">
        <v>6338</v>
      </c>
      <c r="G757" s="2" t="n">
        <v>44905</v>
      </c>
      <c r="H757" s="3" t="str">
        <f>HYPERLINK("http://funmeta.oebiotech.com/network/44905", "http://funmeta.oebiotech.com/network/44905")</f>
      </c>
      <c r="I757" s="2" t="s">
        <v>6340</v>
      </c>
      <c r="J757" s="2" t="s">
        <v>6341</v>
      </c>
      <c r="K757" s="2" t="s">
        <v>6342</v>
      </c>
      <c r="L757" s="2"/>
      <c r="M757" s="2" t="s">
        <v>6343</v>
      </c>
      <c r="N757" s="2" t="s">
        <v>6344</v>
      </c>
      <c r="O757" s="2" t="s">
        <v>6345</v>
      </c>
      <c r="P757" s="2" t="s">
        <v>6346</v>
      </c>
      <c r="Q757" s="2" t="s">
        <v>6347</v>
      </c>
      <c r="R757" s="2" t="s">
        <v>794</v>
      </c>
      <c r="S757" s="2" t="s">
        <v>2971</v>
      </c>
      <c r="T757" s="2" t="s">
        <v>3921</v>
      </c>
      <c r="U757" s="2" t="s">
        <v>6337</v>
      </c>
      <c r="V757" s="2" t="s">
        <v>86</v>
      </c>
      <c r="W757" s="2"/>
    </row>
    <row r="758">
      <c r="A758" s="2" t="n">
        <v>569</v>
      </c>
      <c r="B758" s="2" t="s">
        <v>14887</v>
      </c>
      <c r="C758" s="2" t="s">
        <v>6348</v>
      </c>
      <c r="D758" s="2" t="n">
        <v>372.947046282</v>
      </c>
      <c r="E758" s="2" t="n">
        <v>16.3290375995222</v>
      </c>
      <c r="F758" s="2" t="s">
        <v>6350</v>
      </c>
      <c r="G758" s="2" t="n">
        <v>210189</v>
      </c>
      <c r="H758" s="3" t="str">
        <f>HYPERLINK("http://funmeta.oebiotech.com/network/210189", "http://funmeta.oebiotech.com/network/210189")</f>
      </c>
      <c r="I758" s="2" t="s">
        <v>6352</v>
      </c>
      <c r="J758" s="2" t="s">
        <v>6353</v>
      </c>
      <c r="K758" s="2"/>
      <c r="L758" s="2"/>
      <c r="M758" s="2" t="s">
        <v>6354</v>
      </c>
      <c r="N758" s="2" t="s">
        <v>6355</v>
      </c>
      <c r="O758" s="2"/>
      <c r="P758" s="2" t="s">
        <v>6356</v>
      </c>
      <c r="Q758" s="2" t="s">
        <v>6357</v>
      </c>
      <c r="R758" s="2" t="s">
        <v>213</v>
      </c>
      <c r="S758" s="2" t="s">
        <v>214</v>
      </c>
      <c r="T758" s="2" t="s">
        <v>215</v>
      </c>
      <c r="U758" s="2" t="s">
        <v>6349</v>
      </c>
      <c r="V758" s="2" t="s">
        <v>86</v>
      </c>
      <c r="W758" s="2"/>
    </row>
    <row r="759">
      <c r="A759" s="2" t="n">
        <v>570</v>
      </c>
      <c r="B759" s="2" t="s">
        <v>14888</v>
      </c>
      <c r="C759" s="2" t="s">
        <v>6358</v>
      </c>
      <c r="D759" s="2" t="n">
        <v>373.191601772</v>
      </c>
      <c r="E759" s="2" t="n">
        <v>3.96839187938041</v>
      </c>
      <c r="F759" s="2" t="s">
        <v>14889</v>
      </c>
      <c r="G759" s="2" t="n">
        <v>53644</v>
      </c>
      <c r="H759" s="3" t="str">
        <f>HYPERLINK("http://funmeta.oebiotech.com/network/53644", "http://funmeta.oebiotech.com/network/53644")</f>
      </c>
      <c r="I759" s="2" t="s">
        <v>14890</v>
      </c>
      <c r="J759" s="2" t="s">
        <v>14891</v>
      </c>
      <c r="K759" s="2"/>
      <c r="L759" s="2"/>
      <c r="M759" s="2" t="s">
        <v>14892</v>
      </c>
      <c r="N759" s="2" t="s">
        <v>14893</v>
      </c>
      <c r="O759" s="2" t="s">
        <v>14894</v>
      </c>
      <c r="P759" s="2" t="s">
        <v>14895</v>
      </c>
      <c r="Q759" s="2" t="s">
        <v>14896</v>
      </c>
      <c r="R759" s="2" t="s">
        <v>114</v>
      </c>
      <c r="S759" s="2" t="s">
        <v>2057</v>
      </c>
      <c r="T759" s="2" t="s">
        <v>5603</v>
      </c>
      <c r="U759" s="2" t="s">
        <v>6359</v>
      </c>
      <c r="V759" s="2" t="s">
        <v>161</v>
      </c>
      <c r="W759" s="2" t="s">
        <v>56</v>
      </c>
    </row>
    <row r="760">
      <c r="A760" s="2" t="n">
        <v>570</v>
      </c>
      <c r="B760" s="2" t="s">
        <v>14897</v>
      </c>
      <c r="C760" s="2" t="s">
        <v>6358</v>
      </c>
      <c r="D760" s="2" t="n">
        <v>373.191601772</v>
      </c>
      <c r="E760" s="2" t="n">
        <v>3.96839187938041</v>
      </c>
      <c r="F760" s="2" t="s">
        <v>14898</v>
      </c>
      <c r="G760" s="2" t="n">
        <v>53720</v>
      </c>
      <c r="H760" s="3" t="str">
        <f>HYPERLINK("http://funmeta.oebiotech.com/network/53720", "http://funmeta.oebiotech.com/network/53720")</f>
      </c>
      <c r="I760" s="2" t="s">
        <v>14899</v>
      </c>
      <c r="J760" s="2" t="s">
        <v>14900</v>
      </c>
      <c r="K760" s="2"/>
      <c r="L760" s="2"/>
      <c r="M760" s="2" t="s">
        <v>14901</v>
      </c>
      <c r="N760" s="2" t="s">
        <v>14902</v>
      </c>
      <c r="O760" s="2" t="s">
        <v>14903</v>
      </c>
      <c r="P760" s="2" t="s">
        <v>14904</v>
      </c>
      <c r="Q760" s="2" t="s">
        <v>14905</v>
      </c>
      <c r="R760" s="2" t="s">
        <v>186</v>
      </c>
      <c r="S760" s="2" t="s">
        <v>187</v>
      </c>
      <c r="T760" s="2" t="s">
        <v>4711</v>
      </c>
      <c r="U760" s="2" t="s">
        <v>6359</v>
      </c>
      <c r="V760" s="2" t="s">
        <v>161</v>
      </c>
      <c r="W760" s="2" t="s">
        <v>56</v>
      </c>
    </row>
    <row r="761">
      <c r="A761" s="2" t="n">
        <v>571</v>
      </c>
      <c r="B761" s="2" t="s">
        <v>14906</v>
      </c>
      <c r="C761" s="2" t="s">
        <v>6371</v>
      </c>
      <c r="D761" s="2" t="n">
        <v>374.93351792</v>
      </c>
      <c r="E761" s="2" t="n">
        <v>4.81463532507733</v>
      </c>
      <c r="F761" s="2" t="s">
        <v>6373</v>
      </c>
      <c r="G761" s="2" t="n">
        <v>207850</v>
      </c>
      <c r="H761" s="3" t="str">
        <f>HYPERLINK("http://funmeta.oebiotech.com/network/207850", "http://funmeta.oebiotech.com/network/207850")</f>
      </c>
      <c r="I761" s="2" t="s">
        <v>6375</v>
      </c>
      <c r="J761" s="2"/>
      <c r="K761" s="2"/>
      <c r="L761" s="2"/>
      <c r="M761" s="2"/>
      <c r="N761" s="2" t="s">
        <v>6376</v>
      </c>
      <c r="O761" s="2"/>
      <c r="P761" s="2" t="s">
        <v>6377</v>
      </c>
      <c r="Q761" s="2" t="s">
        <v>6378</v>
      </c>
      <c r="R761" s="2" t="s">
        <v>186</v>
      </c>
      <c r="S761" s="2" t="s">
        <v>187</v>
      </c>
      <c r="T761" s="2" t="s">
        <v>6379</v>
      </c>
      <c r="U761" s="2" t="s">
        <v>6372</v>
      </c>
      <c r="V761" s="2" t="s">
        <v>24</v>
      </c>
      <c r="W761" s="2"/>
    </row>
    <row r="762">
      <c r="A762" s="2" t="n">
        <v>572</v>
      </c>
      <c r="B762" s="2" t="s">
        <v>14907</v>
      </c>
      <c r="C762" s="2" t="s">
        <v>6380</v>
      </c>
      <c r="D762" s="2" t="n">
        <v>375.027921208</v>
      </c>
      <c r="E762" s="2" t="n">
        <v>4.2035222002221</v>
      </c>
      <c r="F762" s="2" t="s">
        <v>14908</v>
      </c>
      <c r="G762" s="2" t="n">
        <v>82936</v>
      </c>
      <c r="H762" s="3" t="str">
        <f>HYPERLINK("http://funmeta.oebiotech.com/network/82936", "http://funmeta.oebiotech.com/network/82936")</f>
      </c>
      <c r="I762" s="2" t="s">
        <v>14909</v>
      </c>
      <c r="J762" s="2" t="s">
        <v>14910</v>
      </c>
      <c r="K762" s="2"/>
      <c r="L762" s="2"/>
      <c r="M762" s="2"/>
      <c r="N762" s="2" t="s">
        <v>14911</v>
      </c>
      <c r="O762" s="2"/>
      <c r="P762" s="2" t="s">
        <v>14912</v>
      </c>
      <c r="Q762" s="2" t="s">
        <v>14913</v>
      </c>
      <c r="R762" s="2" t="s">
        <v>36</v>
      </c>
      <c r="S762" s="2" t="s">
        <v>37</v>
      </c>
      <c r="T762" s="2" t="s">
        <v>69</v>
      </c>
      <c r="U762" s="2" t="s">
        <v>6381</v>
      </c>
      <c r="V762" s="2" t="s">
        <v>86</v>
      </c>
      <c r="W762" s="2"/>
    </row>
    <row r="763">
      <c r="A763" s="2" t="n">
        <v>572</v>
      </c>
      <c r="B763" s="2" t="s">
        <v>14914</v>
      </c>
      <c r="C763" s="2" t="s">
        <v>6380</v>
      </c>
      <c r="D763" s="2" t="n">
        <v>375.027922654</v>
      </c>
      <c r="E763" s="2" t="n">
        <v>4.2035222002221</v>
      </c>
      <c r="F763" s="2" t="s">
        <v>14915</v>
      </c>
      <c r="G763" s="2" t="n">
        <v>197211</v>
      </c>
      <c r="H763" s="3" t="str">
        <f>HYPERLINK("http://funmeta.oebiotech.com/network/197211", "http://funmeta.oebiotech.com/network/197211")</f>
      </c>
      <c r="I763" s="2" t="s">
        <v>14916</v>
      </c>
      <c r="J763" s="2"/>
      <c r="K763" s="2"/>
      <c r="L763" s="2"/>
      <c r="M763" s="2"/>
      <c r="N763" s="2" t="s">
        <v>14917</v>
      </c>
      <c r="O763" s="2"/>
      <c r="P763" s="2" t="s">
        <v>14918</v>
      </c>
      <c r="Q763" s="2" t="s">
        <v>14919</v>
      </c>
      <c r="R763" s="2" t="s">
        <v>36</v>
      </c>
      <c r="S763" s="2" t="s">
        <v>37</v>
      </c>
      <c r="T763" s="2" t="s">
        <v>69</v>
      </c>
      <c r="U763" s="2" t="s">
        <v>6381</v>
      </c>
      <c r="V763" s="2" t="s">
        <v>86</v>
      </c>
      <c r="W763" s="2"/>
    </row>
    <row r="764">
      <c r="A764" s="2" t="n">
        <v>572</v>
      </c>
      <c r="B764" s="2" t="s">
        <v>14920</v>
      </c>
      <c r="C764" s="2" t="s">
        <v>6380</v>
      </c>
      <c r="D764" s="2" t="n">
        <v>375.027922654</v>
      </c>
      <c r="E764" s="2" t="n">
        <v>4.2035222002221</v>
      </c>
      <c r="F764" s="2" t="s">
        <v>14921</v>
      </c>
      <c r="G764" s="2" t="n">
        <v>257506</v>
      </c>
      <c r="H764" s="3" t="str">
        <f>HYPERLINK("http://funmeta.oebiotech.com/network/257506", "http://funmeta.oebiotech.com/network/257506")</f>
      </c>
      <c r="I764" s="2" t="s">
        <v>14922</v>
      </c>
      <c r="J764" s="2"/>
      <c r="K764" s="2"/>
      <c r="L764" s="2"/>
      <c r="M764" s="2"/>
      <c r="N764" s="2" t="s">
        <v>14923</v>
      </c>
      <c r="O764" s="2"/>
      <c r="P764" s="2" t="s">
        <v>14924</v>
      </c>
      <c r="Q764" s="2" t="s">
        <v>14925</v>
      </c>
      <c r="R764" s="2" t="s">
        <v>36</v>
      </c>
      <c r="S764" s="2" t="s">
        <v>37</v>
      </c>
      <c r="T764" s="2" t="s">
        <v>69</v>
      </c>
      <c r="U764" s="2" t="s">
        <v>6381</v>
      </c>
      <c r="V764" s="2" t="s">
        <v>86</v>
      </c>
      <c r="W764" s="2"/>
    </row>
    <row r="765">
      <c r="A765" s="2" t="n">
        <v>573</v>
      </c>
      <c r="B765" s="2" t="s">
        <v>14926</v>
      </c>
      <c r="C765" s="2" t="s">
        <v>6389</v>
      </c>
      <c r="D765" s="2" t="n">
        <v>375.157493604</v>
      </c>
      <c r="E765" s="2" t="n">
        <v>0.539999121697443</v>
      </c>
      <c r="F765" s="2" t="s">
        <v>6391</v>
      </c>
      <c r="G765" s="2" t="n">
        <v>201627</v>
      </c>
      <c r="H765" s="3" t="str">
        <f>HYPERLINK("http://funmeta.oebiotech.com/network/201627", "http://funmeta.oebiotech.com/network/201627")</f>
      </c>
      <c r="I765" s="2" t="s">
        <v>6393</v>
      </c>
      <c r="J765" s="2"/>
      <c r="K765" s="2"/>
      <c r="L765" s="2"/>
      <c r="M765" s="2"/>
      <c r="N765" s="2" t="s">
        <v>6394</v>
      </c>
      <c r="O765" s="2"/>
      <c r="P765" s="2" t="s">
        <v>6395</v>
      </c>
      <c r="Q765" s="2" t="s">
        <v>6396</v>
      </c>
      <c r="R765" s="2" t="s">
        <v>186</v>
      </c>
      <c r="S765" s="2" t="s">
        <v>187</v>
      </c>
      <c r="T765" s="2" t="s">
        <v>1656</v>
      </c>
      <c r="U765" s="2" t="s">
        <v>6390</v>
      </c>
      <c r="V765" s="2" t="s">
        <v>205</v>
      </c>
      <c r="W765" s="2"/>
    </row>
    <row r="766">
      <c r="A766" s="2" t="n">
        <v>574</v>
      </c>
      <c r="B766" s="2" t="s">
        <v>14927</v>
      </c>
      <c r="C766" s="2" t="s">
        <v>6397</v>
      </c>
      <c r="D766" s="2" t="n">
        <v>375.224908776</v>
      </c>
      <c r="E766" s="2" t="n">
        <v>1.85859913318154</v>
      </c>
      <c r="F766" s="2" t="s">
        <v>6399</v>
      </c>
      <c r="G766" s="2" t="n">
        <v>47205</v>
      </c>
      <c r="H766" s="3" t="str">
        <f>HYPERLINK("http://funmeta.oebiotech.com/network/47205", "http://funmeta.oebiotech.com/network/47205")</f>
      </c>
      <c r="I766" s="2" t="s">
        <v>6401</v>
      </c>
      <c r="J766" s="2" t="s">
        <v>6402</v>
      </c>
      <c r="K766" s="2"/>
      <c r="L766" s="2" t="s">
        <v>6403</v>
      </c>
      <c r="M766" s="2" t="s">
        <v>6404</v>
      </c>
      <c r="N766" s="2" t="s">
        <v>6405</v>
      </c>
      <c r="O766" s="2" t="s">
        <v>6406</v>
      </c>
      <c r="P766" s="2" t="s">
        <v>6407</v>
      </c>
      <c r="Q766" s="2" t="s">
        <v>6408</v>
      </c>
      <c r="R766" s="2" t="s">
        <v>36</v>
      </c>
      <c r="S766" s="2" t="s">
        <v>37</v>
      </c>
      <c r="T766" s="2" t="s">
        <v>69</v>
      </c>
      <c r="U766" s="2" t="s">
        <v>6398</v>
      </c>
      <c r="V766" s="2" t="s">
        <v>683</v>
      </c>
      <c r="W766" s="2" t="s">
        <v>39</v>
      </c>
    </row>
    <row r="767">
      <c r="A767" s="2" t="n">
        <v>575</v>
      </c>
      <c r="B767" s="2" t="s">
        <v>14928</v>
      </c>
      <c r="C767" s="2" t="s">
        <v>6409</v>
      </c>
      <c r="D767" s="2" t="n">
        <v>376.106958104</v>
      </c>
      <c r="E767" s="2" t="n">
        <v>2.95422617926523</v>
      </c>
      <c r="F767" s="2" t="s">
        <v>14929</v>
      </c>
      <c r="G767" s="2" t="n">
        <v>209624</v>
      </c>
      <c r="H767" s="3" t="str">
        <f>HYPERLINK("http://funmeta.oebiotech.com/network/209624", "http://funmeta.oebiotech.com/network/209624")</f>
      </c>
      <c r="I767" s="2" t="s">
        <v>14930</v>
      </c>
      <c r="J767" s="2"/>
      <c r="K767" s="2"/>
      <c r="L767" s="2"/>
      <c r="M767" s="2"/>
      <c r="N767" s="2" t="s">
        <v>14931</v>
      </c>
      <c r="O767" s="2"/>
      <c r="P767" s="2" t="s">
        <v>14932</v>
      </c>
      <c r="Q767" s="2" t="s">
        <v>14933</v>
      </c>
      <c r="R767" s="2" t="s">
        <v>129</v>
      </c>
      <c r="S767" s="2" t="s">
        <v>130</v>
      </c>
      <c r="T767" s="2" t="s">
        <v>4901</v>
      </c>
      <c r="U767" s="2" t="s">
        <v>6410</v>
      </c>
      <c r="V767" s="2" t="s">
        <v>86</v>
      </c>
      <c r="W767" s="2"/>
    </row>
    <row r="768">
      <c r="A768" s="2" t="n">
        <v>575</v>
      </c>
      <c r="B768" s="2" t="s">
        <v>14934</v>
      </c>
      <c r="C768" s="2" t="s">
        <v>6409</v>
      </c>
      <c r="D768" s="2" t="n">
        <v>376.106958104</v>
      </c>
      <c r="E768" s="2" t="n">
        <v>2.95422617926523</v>
      </c>
      <c r="F768" s="2" t="s">
        <v>14935</v>
      </c>
      <c r="G768" s="2" t="n">
        <v>206553</v>
      </c>
      <c r="H768" s="3" t="str">
        <f>HYPERLINK("http://funmeta.oebiotech.com/network/206553", "http://funmeta.oebiotech.com/network/206553")</f>
      </c>
      <c r="I768" s="2" t="s">
        <v>14936</v>
      </c>
      <c r="J768" s="2"/>
      <c r="K768" s="2"/>
      <c r="L768" s="2"/>
      <c r="M768" s="2" t="s">
        <v>14937</v>
      </c>
      <c r="N768" s="2" t="s">
        <v>14938</v>
      </c>
      <c r="O768" s="2"/>
      <c r="P768" s="2" t="s">
        <v>14939</v>
      </c>
      <c r="Q768" s="2" t="s">
        <v>14940</v>
      </c>
      <c r="R768" s="2" t="s">
        <v>114</v>
      </c>
      <c r="S768" s="2" t="s">
        <v>4523</v>
      </c>
      <c r="T768" s="2" t="s">
        <v>4524</v>
      </c>
      <c r="U768" s="2" t="s">
        <v>6410</v>
      </c>
      <c r="V768" s="2" t="s">
        <v>86</v>
      </c>
      <c r="W768" s="2"/>
    </row>
    <row r="769">
      <c r="A769" s="2" t="n">
        <v>575</v>
      </c>
      <c r="B769" s="2" t="s">
        <v>14941</v>
      </c>
      <c r="C769" s="2" t="s">
        <v>6409</v>
      </c>
      <c r="D769" s="2" t="n">
        <v>376.106958104</v>
      </c>
      <c r="E769" s="2" t="n">
        <v>2.95422617926523</v>
      </c>
      <c r="F769" s="2" t="s">
        <v>14942</v>
      </c>
      <c r="G769" s="2" t="n">
        <v>213457</v>
      </c>
      <c r="H769" s="3" t="str">
        <f>HYPERLINK("http://funmeta.oebiotech.com/network/213457", "http://funmeta.oebiotech.com/network/213457")</f>
      </c>
      <c r="I769" s="2" t="s">
        <v>14943</v>
      </c>
      <c r="J769" s="2"/>
      <c r="K769" s="2"/>
      <c r="L769" s="2"/>
      <c r="M769" s="2"/>
      <c r="N769" s="2"/>
      <c r="O769" s="2"/>
      <c r="P769" s="2" t="s">
        <v>14944</v>
      </c>
      <c r="Q769" s="2" t="s">
        <v>14945</v>
      </c>
      <c r="R769" s="2" t="s">
        <v>114</v>
      </c>
      <c r="S769" s="2" t="s">
        <v>1050</v>
      </c>
      <c r="T769" s="2" t="s">
        <v>14946</v>
      </c>
      <c r="U769" s="2" t="s">
        <v>6410</v>
      </c>
      <c r="V769" s="2" t="s">
        <v>86</v>
      </c>
      <c r="W769" s="2"/>
    </row>
    <row r="770">
      <c r="A770" s="2" t="n">
        <v>576</v>
      </c>
      <c r="B770" s="2" t="s">
        <v>14947</v>
      </c>
      <c r="C770" s="2" t="s">
        <v>6421</v>
      </c>
      <c r="D770" s="2" t="n">
        <v>376.226010611</v>
      </c>
      <c r="E770" s="2" t="n">
        <v>9.21224041999089</v>
      </c>
      <c r="F770" s="2" t="s">
        <v>6423</v>
      </c>
      <c r="G770" s="2" t="n">
        <v>52250</v>
      </c>
      <c r="H770" s="3" t="str">
        <f>HYPERLINK("http://funmeta.oebiotech.com/network/52250", "http://funmeta.oebiotech.com/network/52250")</f>
      </c>
      <c r="I770" s="2" t="s">
        <v>6425</v>
      </c>
      <c r="J770" s="2"/>
      <c r="K770" s="2"/>
      <c r="L770" s="2"/>
      <c r="M770" s="2" t="s">
        <v>6426</v>
      </c>
      <c r="N770" s="2" t="s">
        <v>6427</v>
      </c>
      <c r="O770" s="2"/>
      <c r="P770" s="2" t="s">
        <v>6428</v>
      </c>
      <c r="Q770" s="2" t="s">
        <v>6429</v>
      </c>
      <c r="R770" s="2" t="s">
        <v>794</v>
      </c>
      <c r="S770" s="2" t="s">
        <v>795</v>
      </c>
      <c r="T770" s="2" t="s">
        <v>1870</v>
      </c>
      <c r="U770" s="2" t="s">
        <v>6422</v>
      </c>
      <c r="V770" s="2" t="s">
        <v>86</v>
      </c>
      <c r="W770" s="2" t="s">
        <v>56</v>
      </c>
    </row>
    <row r="771">
      <c r="A771" s="2" t="n">
        <v>577</v>
      </c>
      <c r="B771" s="2" t="s">
        <v>14948</v>
      </c>
      <c r="C771" s="2" t="s">
        <v>6430</v>
      </c>
      <c r="D771" s="2" t="n">
        <v>377.028037095</v>
      </c>
      <c r="E771" s="2" t="n">
        <v>0.533251843368121</v>
      </c>
      <c r="F771" s="2" t="s">
        <v>6432</v>
      </c>
      <c r="G771" s="2" t="n">
        <v>144404</v>
      </c>
      <c r="H771" s="3" t="str">
        <f>HYPERLINK("http://funmeta.oebiotech.com/network/144404", "http://funmeta.oebiotech.com/network/144404")</f>
      </c>
      <c r="I771" s="2" t="s">
        <v>6434</v>
      </c>
      <c r="J771" s="2"/>
      <c r="K771" s="2"/>
      <c r="L771" s="2"/>
      <c r="M771" s="2"/>
      <c r="N771" s="2"/>
      <c r="O771" s="2"/>
      <c r="P771" s="2" t="s">
        <v>6435</v>
      </c>
      <c r="Q771" s="2" t="s">
        <v>6436</v>
      </c>
      <c r="R771" s="2" t="s">
        <v>129</v>
      </c>
      <c r="S771" s="2" t="s">
        <v>130</v>
      </c>
      <c r="T771" s="2" t="s">
        <v>1681</v>
      </c>
      <c r="U771" s="2" t="s">
        <v>6431</v>
      </c>
      <c r="V771" s="2" t="s">
        <v>218</v>
      </c>
      <c r="W771" s="2" t="s">
        <v>56</v>
      </c>
    </row>
    <row r="772">
      <c r="A772" s="2" t="n">
        <v>578</v>
      </c>
      <c r="B772" s="2" t="s">
        <v>14949</v>
      </c>
      <c r="C772" s="2" t="s">
        <v>6437</v>
      </c>
      <c r="D772" s="2" t="n">
        <v>377.090973696</v>
      </c>
      <c r="E772" s="2" t="n">
        <v>2.3153880912917</v>
      </c>
      <c r="F772" s="2" t="s">
        <v>6439</v>
      </c>
      <c r="G772" s="2" t="n">
        <v>63609</v>
      </c>
      <c r="H772" s="3" t="str">
        <f>HYPERLINK("http://funmeta.oebiotech.com/network/63609", "http://funmeta.oebiotech.com/network/63609")</f>
      </c>
      <c r="I772" s="2" t="s">
        <v>6441</v>
      </c>
      <c r="J772" s="2" t="s">
        <v>6442</v>
      </c>
      <c r="K772" s="2"/>
      <c r="L772" s="2"/>
      <c r="M772" s="2" t="s">
        <v>6443</v>
      </c>
      <c r="N772" s="2" t="s">
        <v>6444</v>
      </c>
      <c r="O772" s="2"/>
      <c r="P772" s="2" t="s">
        <v>6445</v>
      </c>
      <c r="Q772" s="2" t="s">
        <v>6446</v>
      </c>
      <c r="R772" s="2" t="s">
        <v>114</v>
      </c>
      <c r="S772" s="2" t="s">
        <v>1254</v>
      </c>
      <c r="T772" s="2" t="s">
        <v>1255</v>
      </c>
      <c r="U772" s="2" t="s">
        <v>6438</v>
      </c>
      <c r="V772" s="2" t="s">
        <v>86</v>
      </c>
      <c r="W772" s="2" t="s">
        <v>56</v>
      </c>
    </row>
    <row r="773">
      <c r="A773" s="2" t="n">
        <v>579</v>
      </c>
      <c r="B773" s="2" t="s">
        <v>14950</v>
      </c>
      <c r="C773" s="2" t="s">
        <v>6447</v>
      </c>
      <c r="D773" s="2" t="n">
        <v>377.166901218</v>
      </c>
      <c r="E773" s="2" t="n">
        <v>2.71847341949056</v>
      </c>
      <c r="F773" s="2" t="s">
        <v>14951</v>
      </c>
      <c r="G773" s="2" t="n">
        <v>83289</v>
      </c>
      <c r="H773" s="3" t="str">
        <f>HYPERLINK("http://funmeta.oebiotech.com/network/83289", "http://funmeta.oebiotech.com/network/83289")</f>
      </c>
      <c r="I773" s="2" t="s">
        <v>14952</v>
      </c>
      <c r="J773" s="2"/>
      <c r="K773" s="2"/>
      <c r="L773" s="2"/>
      <c r="M773" s="2" t="s">
        <v>14953</v>
      </c>
      <c r="N773" s="2" t="s">
        <v>14954</v>
      </c>
      <c r="O773" s="2"/>
      <c r="P773" s="2" t="s">
        <v>14955</v>
      </c>
      <c r="Q773" s="2" t="s">
        <v>14956</v>
      </c>
      <c r="R773" s="2" t="s">
        <v>186</v>
      </c>
      <c r="S773" s="2" t="s">
        <v>187</v>
      </c>
      <c r="T773" s="2" t="s">
        <v>4711</v>
      </c>
      <c r="U773" s="2" t="s">
        <v>6448</v>
      </c>
      <c r="V773" s="2" t="s">
        <v>531</v>
      </c>
      <c r="W773" s="2"/>
    </row>
    <row r="774">
      <c r="A774" s="2" t="n">
        <v>579</v>
      </c>
      <c r="B774" s="2" t="s">
        <v>14957</v>
      </c>
      <c r="C774" s="2" t="s">
        <v>6447</v>
      </c>
      <c r="D774" s="2" t="n">
        <v>377.166901704</v>
      </c>
      <c r="E774" s="2" t="n">
        <v>2.71847341949056</v>
      </c>
      <c r="F774" s="2" t="s">
        <v>14958</v>
      </c>
      <c r="G774" s="2" t="n">
        <v>198718</v>
      </c>
      <c r="H774" s="3" t="str">
        <f>HYPERLINK("http://funmeta.oebiotech.com/network/198718", "http://funmeta.oebiotech.com/network/198718")</f>
      </c>
      <c r="I774" s="2" t="s">
        <v>14959</v>
      </c>
      <c r="J774" s="2"/>
      <c r="K774" s="2"/>
      <c r="L774" s="2"/>
      <c r="M774" s="2"/>
      <c r="N774" s="2" t="s">
        <v>14960</v>
      </c>
      <c r="O774" s="2"/>
      <c r="P774" s="2" t="s">
        <v>14961</v>
      </c>
      <c r="Q774" s="2" t="s">
        <v>14962</v>
      </c>
      <c r="R774" s="2" t="s">
        <v>114</v>
      </c>
      <c r="S774" s="2" t="s">
        <v>4681</v>
      </c>
      <c r="T774" s="2" t="s">
        <v>4682</v>
      </c>
      <c r="U774" s="2" t="s">
        <v>6448</v>
      </c>
      <c r="V774" s="2" t="s">
        <v>531</v>
      </c>
      <c r="W774" s="2"/>
    </row>
    <row r="775">
      <c r="A775" s="2" t="n">
        <v>580</v>
      </c>
      <c r="B775" s="2" t="s">
        <v>14963</v>
      </c>
      <c r="C775" s="2" t="s">
        <v>6458</v>
      </c>
      <c r="D775" s="2" t="n">
        <v>377.225282335</v>
      </c>
      <c r="E775" s="2" t="n">
        <v>3.48328043139316</v>
      </c>
      <c r="F775" s="2" t="s">
        <v>14964</v>
      </c>
      <c r="G775" s="2" t="n">
        <v>211539</v>
      </c>
      <c r="H775" s="3" t="str">
        <f>HYPERLINK("http://funmeta.oebiotech.com/network/211539", "http://funmeta.oebiotech.com/network/211539")</f>
      </c>
      <c r="I775" s="2" t="s">
        <v>14965</v>
      </c>
      <c r="J775" s="2"/>
      <c r="K775" s="2"/>
      <c r="L775" s="2"/>
      <c r="M775" s="2"/>
      <c r="N775" s="2" t="s">
        <v>14966</v>
      </c>
      <c r="O775" s="2"/>
      <c r="P775" s="2" t="s">
        <v>14967</v>
      </c>
      <c r="Q775" s="2" t="s">
        <v>14968</v>
      </c>
      <c r="R775" s="2" t="s">
        <v>794</v>
      </c>
      <c r="S775" s="2" t="s">
        <v>2971</v>
      </c>
      <c r="T775" s="2" t="s">
        <v>6693</v>
      </c>
      <c r="U775" s="2" t="s">
        <v>6459</v>
      </c>
      <c r="V775" s="2" t="s">
        <v>86</v>
      </c>
      <c r="W775" s="2"/>
    </row>
    <row r="776">
      <c r="A776" s="2" t="n">
        <v>580</v>
      </c>
      <c r="B776" s="2" t="s">
        <v>14969</v>
      </c>
      <c r="C776" s="2" t="s">
        <v>6458</v>
      </c>
      <c r="D776" s="2" t="n">
        <v>377.225282335</v>
      </c>
      <c r="E776" s="2" t="n">
        <v>3.48328043139316</v>
      </c>
      <c r="F776" s="2" t="s">
        <v>14970</v>
      </c>
      <c r="G776" s="2" t="n">
        <v>210916</v>
      </c>
      <c r="H776" s="3" t="str">
        <f>HYPERLINK("http://funmeta.oebiotech.com/network/210916", "http://funmeta.oebiotech.com/network/210916")</f>
      </c>
      <c r="I776" s="2" t="s">
        <v>14971</v>
      </c>
      <c r="J776" s="2"/>
      <c r="K776" s="2"/>
      <c r="L776" s="2"/>
      <c r="M776" s="2"/>
      <c r="N776" s="2" t="s">
        <v>14972</v>
      </c>
      <c r="O776" s="2"/>
      <c r="P776" s="2" t="s">
        <v>14973</v>
      </c>
      <c r="Q776" s="2" t="s">
        <v>14974</v>
      </c>
      <c r="R776" s="2" t="s">
        <v>794</v>
      </c>
      <c r="S776" s="2" t="s">
        <v>1098</v>
      </c>
      <c r="T776" s="2" t="s">
        <v>5036</v>
      </c>
      <c r="U776" s="2" t="s">
        <v>6459</v>
      </c>
      <c r="V776" s="2" t="s">
        <v>86</v>
      </c>
      <c r="W776" s="2"/>
    </row>
    <row r="777">
      <c r="A777" s="2" t="n">
        <v>580</v>
      </c>
      <c r="B777" s="2" t="s">
        <v>14975</v>
      </c>
      <c r="C777" s="2" t="s">
        <v>6458</v>
      </c>
      <c r="D777" s="2" t="n">
        <v>377.225282335</v>
      </c>
      <c r="E777" s="2" t="n">
        <v>3.48328043139316</v>
      </c>
      <c r="F777" s="2" t="s">
        <v>14976</v>
      </c>
      <c r="G777" s="2" t="n">
        <v>204578</v>
      </c>
      <c r="H777" s="3" t="str">
        <f>HYPERLINK("http://funmeta.oebiotech.com/network/204578", "http://funmeta.oebiotech.com/network/204578")</f>
      </c>
      <c r="I777" s="2" t="s">
        <v>14977</v>
      </c>
      <c r="J777" s="2"/>
      <c r="K777" s="2"/>
      <c r="L777" s="2"/>
      <c r="M777" s="2"/>
      <c r="N777" s="2" t="s">
        <v>14978</v>
      </c>
      <c r="O777" s="2"/>
      <c r="P777" s="2" t="s">
        <v>14979</v>
      </c>
      <c r="Q777" s="2" t="s">
        <v>14980</v>
      </c>
      <c r="R777" s="2" t="s">
        <v>794</v>
      </c>
      <c r="S777" s="2" t="s">
        <v>2971</v>
      </c>
      <c r="T777" s="2" t="s">
        <v>6693</v>
      </c>
      <c r="U777" s="2" t="s">
        <v>6459</v>
      </c>
      <c r="V777" s="2" t="s">
        <v>86</v>
      </c>
      <c r="W777" s="2"/>
    </row>
    <row r="778">
      <c r="A778" s="2" t="n">
        <v>581</v>
      </c>
      <c r="B778" s="2" t="s">
        <v>14981</v>
      </c>
      <c r="C778" s="2" t="s">
        <v>6468</v>
      </c>
      <c r="D778" s="2" t="n">
        <v>379.08514737</v>
      </c>
      <c r="E778" s="2" t="n">
        <v>2.89592377570986</v>
      </c>
      <c r="F778" s="2" t="s">
        <v>6470</v>
      </c>
      <c r="G778" s="2" t="n">
        <v>57835</v>
      </c>
      <c r="H778" s="3" t="str">
        <f>HYPERLINK("http://funmeta.oebiotech.com/network/57835", "http://funmeta.oebiotech.com/network/57835")</f>
      </c>
      <c r="I778" s="2" t="s">
        <v>6472</v>
      </c>
      <c r="J778" s="2" t="s">
        <v>6473</v>
      </c>
      <c r="K778" s="2"/>
      <c r="L778" s="2"/>
      <c r="M778" s="2"/>
      <c r="N778" s="2" t="s">
        <v>6474</v>
      </c>
      <c r="O778" s="2" t="s">
        <v>6475</v>
      </c>
      <c r="P778" s="2" t="s">
        <v>6476</v>
      </c>
      <c r="Q778" s="2" t="s">
        <v>6477</v>
      </c>
      <c r="R778" s="2" t="s">
        <v>1355</v>
      </c>
      <c r="S778" s="2" t="s">
        <v>6478</v>
      </c>
      <c r="T778" s="2" t="s">
        <v>6479</v>
      </c>
      <c r="U778" s="2" t="s">
        <v>6469</v>
      </c>
      <c r="V778" s="2" t="s">
        <v>161</v>
      </c>
      <c r="W778" s="2" t="s">
        <v>56</v>
      </c>
    </row>
    <row r="779">
      <c r="A779" s="2" t="n">
        <v>582</v>
      </c>
      <c r="B779" s="2" t="s">
        <v>14982</v>
      </c>
      <c r="C779" s="2" t="s">
        <v>6480</v>
      </c>
      <c r="D779" s="2" t="n">
        <v>379.173541897</v>
      </c>
      <c r="E779" s="2" t="n">
        <v>4.34436667837848</v>
      </c>
      <c r="F779" s="2" t="s">
        <v>6482</v>
      </c>
      <c r="G779" s="2" t="n">
        <v>207674</v>
      </c>
      <c r="H779" s="3" t="str">
        <f>HYPERLINK("http://funmeta.oebiotech.com/network/207674", "http://funmeta.oebiotech.com/network/207674")</f>
      </c>
      <c r="I779" s="2" t="s">
        <v>6484</v>
      </c>
      <c r="J779" s="2"/>
      <c r="K779" s="2"/>
      <c r="L779" s="2"/>
      <c r="M779" s="2"/>
      <c r="N779" s="2" t="s">
        <v>6485</v>
      </c>
      <c r="O779" s="2"/>
      <c r="P779" s="2" t="s">
        <v>6486</v>
      </c>
      <c r="Q779" s="2" t="s">
        <v>6487</v>
      </c>
      <c r="R779" s="2" t="s">
        <v>2416</v>
      </c>
      <c r="S779" s="2" t="s">
        <v>2417</v>
      </c>
      <c r="T779" s="2" t="s">
        <v>2418</v>
      </c>
      <c r="U779" s="2" t="s">
        <v>6481</v>
      </c>
      <c r="V779" s="2" t="s">
        <v>24</v>
      </c>
      <c r="W779" s="2"/>
    </row>
    <row r="780">
      <c r="A780" s="2" t="n">
        <v>583</v>
      </c>
      <c r="B780" s="2" t="s">
        <v>14983</v>
      </c>
      <c r="C780" s="2" t="s">
        <v>6488</v>
      </c>
      <c r="D780" s="2" t="n">
        <v>379.248998262</v>
      </c>
      <c r="E780" s="2" t="n">
        <v>9.82425288031168</v>
      </c>
      <c r="F780" s="2" t="s">
        <v>6490</v>
      </c>
      <c r="G780" s="2" t="n">
        <v>46564</v>
      </c>
      <c r="H780" s="3" t="str">
        <f>HYPERLINK("http://funmeta.oebiotech.com/network/46564", "http://funmeta.oebiotech.com/network/46564")</f>
      </c>
      <c r="I780" s="2" t="s">
        <v>6492</v>
      </c>
      <c r="J780" s="2" t="s">
        <v>6493</v>
      </c>
      <c r="K780" s="2" t="s">
        <v>6494</v>
      </c>
      <c r="L780" s="2"/>
      <c r="M780" s="2" t="s">
        <v>6495</v>
      </c>
      <c r="N780" s="2" t="s">
        <v>6496</v>
      </c>
      <c r="O780" s="2"/>
      <c r="P780" s="2" t="s">
        <v>6497</v>
      </c>
      <c r="Q780" s="2" t="s">
        <v>6498</v>
      </c>
      <c r="R780" s="2" t="s">
        <v>794</v>
      </c>
      <c r="S780" s="2" t="s">
        <v>2971</v>
      </c>
      <c r="T780" s="2" t="s">
        <v>6499</v>
      </c>
      <c r="U780" s="2" t="s">
        <v>6489</v>
      </c>
      <c r="V780" s="2" t="s">
        <v>24</v>
      </c>
      <c r="W780" s="2" t="s">
        <v>56</v>
      </c>
    </row>
    <row r="781">
      <c r="A781" s="2" t="n">
        <v>584</v>
      </c>
      <c r="B781" s="2" t="s">
        <v>14984</v>
      </c>
      <c r="C781" s="2" t="s">
        <v>6500</v>
      </c>
      <c r="D781" s="2" t="n">
        <v>380.061283339</v>
      </c>
      <c r="E781" s="2" t="n">
        <v>0.830730808632635</v>
      </c>
      <c r="F781" s="2" t="s">
        <v>6502</v>
      </c>
      <c r="G781" s="2" t="n">
        <v>48895</v>
      </c>
      <c r="H781" s="3" t="str">
        <f>HYPERLINK("http://funmeta.oebiotech.com/network/48895", "http://funmeta.oebiotech.com/network/48895")</f>
      </c>
      <c r="I781" s="2" t="s">
        <v>6504</v>
      </c>
      <c r="J781" s="2" t="s">
        <v>6505</v>
      </c>
      <c r="K781" s="2"/>
      <c r="L781" s="2" t="s">
        <v>6506</v>
      </c>
      <c r="M781" s="2" t="s">
        <v>6507</v>
      </c>
      <c r="N781" s="2" t="s">
        <v>6508</v>
      </c>
      <c r="O781" s="2" t="s">
        <v>6509</v>
      </c>
      <c r="P781" s="2" t="s">
        <v>6510</v>
      </c>
      <c r="Q781" s="2" t="s">
        <v>6511</v>
      </c>
      <c r="R781" s="2" t="s">
        <v>114</v>
      </c>
      <c r="S781" s="2" t="s">
        <v>680</v>
      </c>
      <c r="T781" s="2" t="s">
        <v>3543</v>
      </c>
      <c r="U781" s="2" t="s">
        <v>6501</v>
      </c>
      <c r="V781" s="2" t="s">
        <v>205</v>
      </c>
      <c r="W781" s="2" t="s">
        <v>101</v>
      </c>
    </row>
    <row r="782">
      <c r="A782" s="2" t="n">
        <v>585</v>
      </c>
      <c r="B782" s="2" t="s">
        <v>14985</v>
      </c>
      <c r="C782" s="2" t="s">
        <v>6512</v>
      </c>
      <c r="D782" s="2" t="n">
        <v>381.110864079</v>
      </c>
      <c r="E782" s="2" t="n">
        <v>4.9016753769311</v>
      </c>
      <c r="F782" s="2" t="s">
        <v>6514</v>
      </c>
      <c r="G782" s="2" t="n">
        <v>203471</v>
      </c>
      <c r="H782" s="3" t="str">
        <f>HYPERLINK("http://funmeta.oebiotech.com/network/203471", "http://funmeta.oebiotech.com/network/203471")</f>
      </c>
      <c r="I782" s="2" t="s">
        <v>6516</v>
      </c>
      <c r="J782" s="2"/>
      <c r="K782" s="2"/>
      <c r="L782" s="2"/>
      <c r="M782" s="2"/>
      <c r="N782" s="2"/>
      <c r="O782" s="2"/>
      <c r="P782" s="2" t="s">
        <v>6517</v>
      </c>
      <c r="Q782" s="2" t="s">
        <v>6518</v>
      </c>
      <c r="R782" s="2" t="s">
        <v>36</v>
      </c>
      <c r="S782" s="2" t="s">
        <v>2572</v>
      </c>
      <c r="T782" s="2" t="s">
        <v>2637</v>
      </c>
      <c r="U782" s="2" t="s">
        <v>6513</v>
      </c>
      <c r="V782" s="2" t="s">
        <v>24</v>
      </c>
      <c r="W782" s="2"/>
    </row>
    <row r="783">
      <c r="A783" s="2" t="n">
        <v>586</v>
      </c>
      <c r="B783" s="2" t="s">
        <v>14986</v>
      </c>
      <c r="C783" s="2" t="s">
        <v>6519</v>
      </c>
      <c r="D783" s="2" t="n">
        <v>381.191877314</v>
      </c>
      <c r="E783" s="2" t="n">
        <v>0.21523490175061</v>
      </c>
      <c r="F783" s="2" t="s">
        <v>6521</v>
      </c>
      <c r="G783" s="2" t="n">
        <v>59060</v>
      </c>
      <c r="H783" s="3" t="str">
        <f>HYPERLINK("http://funmeta.oebiotech.com/network/59060", "http://funmeta.oebiotech.com/network/59060")</f>
      </c>
      <c r="I783" s="2" t="s">
        <v>6523</v>
      </c>
      <c r="J783" s="2" t="s">
        <v>6524</v>
      </c>
      <c r="K783" s="2"/>
      <c r="L783" s="2" t="s">
        <v>6525</v>
      </c>
      <c r="M783" s="2"/>
      <c r="N783" s="2" t="s">
        <v>6526</v>
      </c>
      <c r="O783" s="2" t="s">
        <v>6527</v>
      </c>
      <c r="P783" s="2" t="s">
        <v>6528</v>
      </c>
      <c r="Q783" s="2" t="s">
        <v>6529</v>
      </c>
      <c r="R783" s="2" t="s">
        <v>794</v>
      </c>
      <c r="S783" s="2" t="s">
        <v>1098</v>
      </c>
      <c r="T783" s="2" t="s">
        <v>3308</v>
      </c>
      <c r="U783" s="2" t="s">
        <v>6520</v>
      </c>
      <c r="V783" s="2" t="s">
        <v>24</v>
      </c>
      <c r="W783" s="2" t="s">
        <v>56</v>
      </c>
    </row>
    <row r="784">
      <c r="A784" s="2" t="n">
        <v>587</v>
      </c>
      <c r="B784" s="2" t="s">
        <v>14987</v>
      </c>
      <c r="C784" s="2" t="s">
        <v>6530</v>
      </c>
      <c r="D784" s="2" t="n">
        <v>381.243518954</v>
      </c>
      <c r="E784" s="2" t="n">
        <v>5.50291806298874</v>
      </c>
      <c r="F784" s="2" t="s">
        <v>6532</v>
      </c>
      <c r="G784" s="2" t="n">
        <v>58879</v>
      </c>
      <c r="H784" s="3" t="str">
        <f>HYPERLINK("http://funmeta.oebiotech.com/network/58879", "http://funmeta.oebiotech.com/network/58879")</f>
      </c>
      <c r="I784" s="2" t="s">
        <v>6534</v>
      </c>
      <c r="J784" s="2" t="s">
        <v>6535</v>
      </c>
      <c r="K784" s="2"/>
      <c r="L784" s="2"/>
      <c r="M784" s="2" t="s">
        <v>6536</v>
      </c>
      <c r="N784" s="2" t="s">
        <v>6537</v>
      </c>
      <c r="O784" s="2"/>
      <c r="P784" s="2" t="s">
        <v>6538</v>
      </c>
      <c r="Q784" s="2" t="s">
        <v>6539</v>
      </c>
      <c r="R784" s="2" t="s">
        <v>794</v>
      </c>
      <c r="S784" s="2" t="s">
        <v>1098</v>
      </c>
      <c r="T784" s="2" t="s">
        <v>4662</v>
      </c>
      <c r="U784" s="2" t="s">
        <v>6531</v>
      </c>
      <c r="V784" s="2" t="s">
        <v>24</v>
      </c>
      <c r="W784" s="2" t="s">
        <v>56</v>
      </c>
    </row>
    <row r="785">
      <c r="A785" s="2" t="n">
        <v>588</v>
      </c>
      <c r="B785" s="2" t="s">
        <v>14988</v>
      </c>
      <c r="C785" s="2" t="s">
        <v>6540</v>
      </c>
      <c r="D785" s="2" t="n">
        <v>381.986622</v>
      </c>
      <c r="E785" s="2" t="n">
        <v>5.24853339472808</v>
      </c>
      <c r="F785" s="2" t="s">
        <v>6542</v>
      </c>
      <c r="G785" s="2" t="n">
        <v>202693</v>
      </c>
      <c r="H785" s="3" t="str">
        <f>HYPERLINK("http://funmeta.oebiotech.com/network/202693", "http://funmeta.oebiotech.com/network/202693")</f>
      </c>
      <c r="I785" s="2" t="s">
        <v>6544</v>
      </c>
      <c r="J785" s="2" t="s">
        <v>6545</v>
      </c>
      <c r="K785" s="2"/>
      <c r="L785" s="2"/>
      <c r="M785" s="2"/>
      <c r="N785" s="2" t="s">
        <v>6546</v>
      </c>
      <c r="O785" s="2"/>
      <c r="P785" s="2" t="s">
        <v>6547</v>
      </c>
      <c r="Q785" s="2" t="s">
        <v>6548</v>
      </c>
      <c r="R785" s="2" t="s">
        <v>114</v>
      </c>
      <c r="S785" s="2" t="s">
        <v>3933</v>
      </c>
      <c r="T785" s="2" t="s">
        <v>215</v>
      </c>
      <c r="U785" s="2" t="s">
        <v>6541</v>
      </c>
      <c r="V785" s="2" t="s">
        <v>86</v>
      </c>
      <c r="W785" s="2"/>
    </row>
    <row r="786">
      <c r="A786" s="2" t="n">
        <v>589</v>
      </c>
      <c r="B786" s="2" t="s">
        <v>14989</v>
      </c>
      <c r="C786" s="2" t="s">
        <v>6549</v>
      </c>
      <c r="D786" s="2" t="n">
        <v>382.100436545</v>
      </c>
      <c r="E786" s="2" t="n">
        <v>3.84107216196094</v>
      </c>
      <c r="F786" s="2" t="s">
        <v>6551</v>
      </c>
      <c r="G786" s="2" t="n">
        <v>47295</v>
      </c>
      <c r="H786" s="3" t="str">
        <f>HYPERLINK("http://funmeta.oebiotech.com/network/47295", "http://funmeta.oebiotech.com/network/47295")</f>
      </c>
      <c r="I786" s="2" t="s">
        <v>6553</v>
      </c>
      <c r="J786" s="2" t="s">
        <v>6554</v>
      </c>
      <c r="K786" s="2"/>
      <c r="L786" s="2"/>
      <c r="M786" s="2" t="s">
        <v>6555</v>
      </c>
      <c r="N786" s="2" t="s">
        <v>6556</v>
      </c>
      <c r="O786" s="2" t="s">
        <v>6557</v>
      </c>
      <c r="P786" s="2" t="s">
        <v>6558</v>
      </c>
      <c r="Q786" s="2" t="s">
        <v>6559</v>
      </c>
      <c r="R786" s="2" t="s">
        <v>2416</v>
      </c>
      <c r="S786" s="2" t="s">
        <v>6560</v>
      </c>
      <c r="T786" s="2" t="s">
        <v>215</v>
      </c>
      <c r="U786" s="2" t="s">
        <v>6550</v>
      </c>
      <c r="V786" s="2" t="s">
        <v>24</v>
      </c>
      <c r="W786" s="2" t="s">
        <v>39</v>
      </c>
    </row>
    <row r="787">
      <c r="A787" s="2" t="n">
        <v>590</v>
      </c>
      <c r="B787" s="2" t="s">
        <v>14990</v>
      </c>
      <c r="C787" s="2" t="s">
        <v>6561</v>
      </c>
      <c r="D787" s="2" t="n">
        <v>382.242134925</v>
      </c>
      <c r="E787" s="2" t="n">
        <v>5.72744033691971</v>
      </c>
      <c r="F787" s="2" t="s">
        <v>6563</v>
      </c>
      <c r="G787" s="2" t="n">
        <v>199000</v>
      </c>
      <c r="H787" s="3" t="str">
        <f>HYPERLINK("http://funmeta.oebiotech.com/network/199000", "http://funmeta.oebiotech.com/network/199000")</f>
      </c>
      <c r="I787" s="2" t="s">
        <v>6565</v>
      </c>
      <c r="J787" s="2" t="s">
        <v>6566</v>
      </c>
      <c r="K787" s="2"/>
      <c r="L787" s="2"/>
      <c r="M787" s="2"/>
      <c r="N787" s="2" t="s">
        <v>6567</v>
      </c>
      <c r="O787" s="2" t="s">
        <v>6568</v>
      </c>
      <c r="P787" s="2" t="s">
        <v>6569</v>
      </c>
      <c r="Q787" s="2" t="s">
        <v>6570</v>
      </c>
      <c r="R787" s="2" t="s">
        <v>186</v>
      </c>
      <c r="S787" s="2" t="s">
        <v>187</v>
      </c>
      <c r="T787" s="2" t="s">
        <v>1895</v>
      </c>
      <c r="U787" s="2" t="s">
        <v>6562</v>
      </c>
      <c r="V787" s="2" t="s">
        <v>205</v>
      </c>
      <c r="W787" s="2"/>
    </row>
    <row r="788">
      <c r="A788" s="2" t="n">
        <v>591</v>
      </c>
      <c r="B788" s="2" t="s">
        <v>14991</v>
      </c>
      <c r="C788" s="2" t="s">
        <v>6571</v>
      </c>
      <c r="D788" s="2" t="n">
        <v>382.9877879</v>
      </c>
      <c r="E788" s="2" t="n">
        <v>7.07431107547681</v>
      </c>
      <c r="F788" s="2" t="s">
        <v>14992</v>
      </c>
      <c r="G788" s="2" t="n">
        <v>205582</v>
      </c>
      <c r="H788" s="3" t="str">
        <f>HYPERLINK("http://funmeta.oebiotech.com/network/205582", "http://funmeta.oebiotech.com/network/205582")</f>
      </c>
      <c r="I788" s="2" t="s">
        <v>14993</v>
      </c>
      <c r="J788" s="2"/>
      <c r="K788" s="2"/>
      <c r="L788" s="2"/>
      <c r="M788" s="2"/>
      <c r="N788" s="2"/>
      <c r="O788" s="2"/>
      <c r="P788" s="2" t="s">
        <v>14994</v>
      </c>
      <c r="Q788" s="2" t="s">
        <v>14995</v>
      </c>
      <c r="R788" s="2" t="s">
        <v>114</v>
      </c>
      <c r="S788" s="2" t="s">
        <v>6312</v>
      </c>
      <c r="T788" s="2" t="s">
        <v>6313</v>
      </c>
      <c r="U788" s="2" t="s">
        <v>6572</v>
      </c>
      <c r="V788" s="2" t="s">
        <v>161</v>
      </c>
      <c r="W788" s="2"/>
    </row>
    <row r="789">
      <c r="A789" s="2" t="n">
        <v>591</v>
      </c>
      <c r="B789" s="2" t="s">
        <v>14996</v>
      </c>
      <c r="C789" s="2" t="s">
        <v>6571</v>
      </c>
      <c r="D789" s="2" t="n">
        <v>382.9877879</v>
      </c>
      <c r="E789" s="2" t="n">
        <v>7.07431107547681</v>
      </c>
      <c r="F789" s="2" t="s">
        <v>14997</v>
      </c>
      <c r="G789" s="2" t="n">
        <v>205840</v>
      </c>
      <c r="H789" s="3" t="str">
        <f>HYPERLINK("http://funmeta.oebiotech.com/network/205840", "http://funmeta.oebiotech.com/network/205840")</f>
      </c>
      <c r="I789" s="2" t="s">
        <v>14998</v>
      </c>
      <c r="J789" s="2"/>
      <c r="K789" s="2"/>
      <c r="L789" s="2"/>
      <c r="M789" s="2"/>
      <c r="N789" s="2" t="s">
        <v>14999</v>
      </c>
      <c r="O789" s="2"/>
      <c r="P789" s="2" t="s">
        <v>15000</v>
      </c>
      <c r="Q789" s="2" t="s">
        <v>15001</v>
      </c>
      <c r="R789" s="2" t="s">
        <v>114</v>
      </c>
      <c r="S789" s="2" t="s">
        <v>6312</v>
      </c>
      <c r="T789" s="2" t="s">
        <v>6313</v>
      </c>
      <c r="U789" s="2" t="s">
        <v>6572</v>
      </c>
      <c r="V789" s="2" t="s">
        <v>161</v>
      </c>
      <c r="W789" s="2"/>
    </row>
    <row r="790">
      <c r="A790" s="2" t="n">
        <v>591</v>
      </c>
      <c r="B790" s="2" t="s">
        <v>15002</v>
      </c>
      <c r="C790" s="2" t="s">
        <v>6571</v>
      </c>
      <c r="D790" s="2" t="n">
        <v>382.9877879</v>
      </c>
      <c r="E790" s="2" t="n">
        <v>7.07431107547681</v>
      </c>
      <c r="F790" s="2" t="s">
        <v>15003</v>
      </c>
      <c r="G790" s="2" t="n">
        <v>205844</v>
      </c>
      <c r="H790" s="3" t="str">
        <f>HYPERLINK("http://funmeta.oebiotech.com/network/205844", "http://funmeta.oebiotech.com/network/205844")</f>
      </c>
      <c r="I790" s="2" t="s">
        <v>15004</v>
      </c>
      <c r="J790" s="2"/>
      <c r="K790" s="2"/>
      <c r="L790" s="2"/>
      <c r="M790" s="2"/>
      <c r="N790" s="2" t="s">
        <v>15005</v>
      </c>
      <c r="O790" s="2"/>
      <c r="P790" s="2" t="s">
        <v>15006</v>
      </c>
      <c r="Q790" s="2" t="s">
        <v>15007</v>
      </c>
      <c r="R790" s="2" t="s">
        <v>114</v>
      </c>
      <c r="S790" s="2" t="s">
        <v>6312</v>
      </c>
      <c r="T790" s="2" t="s">
        <v>6313</v>
      </c>
      <c r="U790" s="2" t="s">
        <v>6572</v>
      </c>
      <c r="V790" s="2" t="s">
        <v>161</v>
      </c>
      <c r="W790" s="2"/>
    </row>
    <row r="791">
      <c r="A791" s="2" t="n">
        <v>592</v>
      </c>
      <c r="B791" s="2" t="s">
        <v>15008</v>
      </c>
      <c r="C791" s="2" t="s">
        <v>6581</v>
      </c>
      <c r="D791" s="2" t="n">
        <v>383.060948988</v>
      </c>
      <c r="E791" s="2" t="n">
        <v>4.94054194204392</v>
      </c>
      <c r="F791" s="2" t="s">
        <v>6583</v>
      </c>
      <c r="G791" s="2" t="n">
        <v>47627</v>
      </c>
      <c r="H791" s="3" t="str">
        <f>HYPERLINK("http://funmeta.oebiotech.com/network/47627", "http://funmeta.oebiotech.com/network/47627")</f>
      </c>
      <c r="I791" s="2" t="s">
        <v>6585</v>
      </c>
      <c r="J791" s="2" t="s">
        <v>6586</v>
      </c>
      <c r="K791" s="2"/>
      <c r="L791" s="2" t="s">
        <v>6587</v>
      </c>
      <c r="M791" s="2" t="s">
        <v>6588</v>
      </c>
      <c r="N791" s="2" t="s">
        <v>6589</v>
      </c>
      <c r="O791" s="2" t="s">
        <v>6590</v>
      </c>
      <c r="P791" s="2" t="s">
        <v>6591</v>
      </c>
      <c r="Q791" s="2" t="s">
        <v>6592</v>
      </c>
      <c r="R791" s="2" t="s">
        <v>2416</v>
      </c>
      <c r="S791" s="2" t="s">
        <v>3186</v>
      </c>
      <c r="T791" s="2" t="s">
        <v>3187</v>
      </c>
      <c r="U791" s="2" t="s">
        <v>6582</v>
      </c>
      <c r="V791" s="2" t="s">
        <v>205</v>
      </c>
      <c r="W791" s="2" t="s">
        <v>56</v>
      </c>
    </row>
    <row r="792">
      <c r="A792" s="2" t="n">
        <v>593</v>
      </c>
      <c r="B792" s="2" t="s">
        <v>15009</v>
      </c>
      <c r="C792" s="2" t="s">
        <v>6593</v>
      </c>
      <c r="D792" s="2" t="n">
        <v>383.1162439</v>
      </c>
      <c r="E792" s="2" t="n">
        <v>1.22380147577598</v>
      </c>
      <c r="F792" s="2" t="s">
        <v>6595</v>
      </c>
      <c r="G792" s="2" t="n">
        <v>210848</v>
      </c>
      <c r="H792" s="3" t="str">
        <f>HYPERLINK("http://funmeta.oebiotech.com/network/210848", "http://funmeta.oebiotech.com/network/210848")</f>
      </c>
      <c r="I792" s="2" t="s">
        <v>6597</v>
      </c>
      <c r="J792" s="2"/>
      <c r="K792" s="2"/>
      <c r="L792" s="2"/>
      <c r="M792" s="2"/>
      <c r="N792" s="2" t="s">
        <v>6598</v>
      </c>
      <c r="O792" s="2"/>
      <c r="P792" s="2" t="s">
        <v>6599</v>
      </c>
      <c r="Q792" s="2" t="s">
        <v>6600</v>
      </c>
      <c r="R792" s="2" t="s">
        <v>186</v>
      </c>
      <c r="S792" s="2" t="s">
        <v>187</v>
      </c>
      <c r="T792" s="2" t="s">
        <v>6601</v>
      </c>
      <c r="U792" s="2" t="s">
        <v>6594</v>
      </c>
      <c r="V792" s="2" t="s">
        <v>161</v>
      </c>
      <c r="W792" s="2"/>
    </row>
    <row r="793">
      <c r="A793" s="2" t="n">
        <v>594</v>
      </c>
      <c r="B793" s="2" t="s">
        <v>15010</v>
      </c>
      <c r="C793" s="2" t="s">
        <v>6602</v>
      </c>
      <c r="D793" s="2" t="n">
        <v>384.028725036</v>
      </c>
      <c r="E793" s="2" t="n">
        <v>9.77686952953928</v>
      </c>
      <c r="F793" s="2" t="s">
        <v>6604</v>
      </c>
      <c r="G793" s="2" t="n">
        <v>207655</v>
      </c>
      <c r="H793" s="3" t="str">
        <f>HYPERLINK("http://funmeta.oebiotech.com/network/207655", "http://funmeta.oebiotech.com/network/207655")</f>
      </c>
      <c r="I793" s="2" t="s">
        <v>6606</v>
      </c>
      <c r="J793" s="2" t="s">
        <v>1874</v>
      </c>
      <c r="K793" s="2"/>
      <c r="L793" s="2"/>
      <c r="M793" s="2"/>
      <c r="N793" s="2" t="s">
        <v>6607</v>
      </c>
      <c r="O793" s="2" t="s">
        <v>6608</v>
      </c>
      <c r="P793" s="2" t="s">
        <v>6609</v>
      </c>
      <c r="Q793" s="2" t="s">
        <v>6610</v>
      </c>
      <c r="R793" s="2" t="s">
        <v>36</v>
      </c>
      <c r="S793" s="2" t="s">
        <v>1857</v>
      </c>
      <c r="T793" s="2" t="s">
        <v>1858</v>
      </c>
      <c r="U793" s="2" t="s">
        <v>6603</v>
      </c>
      <c r="V793" s="2" t="s">
        <v>86</v>
      </c>
      <c r="W793" s="2"/>
    </row>
    <row r="794">
      <c r="A794" s="2" t="n">
        <v>595</v>
      </c>
      <c r="B794" s="2" t="s">
        <v>15011</v>
      </c>
      <c r="C794" s="2" t="s">
        <v>6611</v>
      </c>
      <c r="D794" s="2" t="n">
        <v>384.218032482</v>
      </c>
      <c r="E794" s="2" t="n">
        <v>8.0578453674639</v>
      </c>
      <c r="F794" s="2" t="s">
        <v>6613</v>
      </c>
      <c r="G794" s="2" t="n">
        <v>211984</v>
      </c>
      <c r="H794" s="3" t="str">
        <f>HYPERLINK("http://funmeta.oebiotech.com/network/211984", "http://funmeta.oebiotech.com/network/211984")</f>
      </c>
      <c r="I794" s="2" t="s">
        <v>6615</v>
      </c>
      <c r="J794" s="2"/>
      <c r="K794" s="2"/>
      <c r="L794" s="2"/>
      <c r="M794" s="2"/>
      <c r="N794" s="2" t="s">
        <v>6616</v>
      </c>
      <c r="O794" s="2"/>
      <c r="P794" s="2" t="s">
        <v>6617</v>
      </c>
      <c r="Q794" s="2" t="s">
        <v>6618</v>
      </c>
      <c r="R794" s="2" t="s">
        <v>114</v>
      </c>
      <c r="S794" s="2" t="s">
        <v>6312</v>
      </c>
      <c r="T794" s="2" t="s">
        <v>6313</v>
      </c>
      <c r="U794" s="2" t="s">
        <v>6612</v>
      </c>
      <c r="V794" s="2" t="s">
        <v>24</v>
      </c>
      <c r="W794" s="2"/>
    </row>
    <row r="795">
      <c r="A795" s="2" t="n">
        <v>596</v>
      </c>
      <c r="B795" s="2" t="s">
        <v>15012</v>
      </c>
      <c r="C795" s="2" t="s">
        <v>6619</v>
      </c>
      <c r="D795" s="2" t="n">
        <v>384.994248887</v>
      </c>
      <c r="E795" s="2" t="n">
        <v>1.74411781898905</v>
      </c>
      <c r="F795" s="2" t="s">
        <v>6621</v>
      </c>
      <c r="G795" s="2" t="n">
        <v>199761</v>
      </c>
      <c r="H795" s="3" t="str">
        <f>HYPERLINK("http://funmeta.oebiotech.com/network/199761", "http://funmeta.oebiotech.com/network/199761")</f>
      </c>
      <c r="I795" s="2" t="s">
        <v>6623</v>
      </c>
      <c r="J795" s="2"/>
      <c r="K795" s="2"/>
      <c r="L795" s="2"/>
      <c r="M795" s="2"/>
      <c r="N795" s="2"/>
      <c r="O795" s="2"/>
      <c r="P795" s="2" t="s">
        <v>6624</v>
      </c>
      <c r="Q795" s="2" t="s">
        <v>6625</v>
      </c>
      <c r="R795" s="2" t="s">
        <v>129</v>
      </c>
      <c r="S795" s="2" t="s">
        <v>130</v>
      </c>
      <c r="T795" s="2" t="s">
        <v>1681</v>
      </c>
      <c r="U795" s="2" t="s">
        <v>6620</v>
      </c>
      <c r="V795" s="2" t="s">
        <v>205</v>
      </c>
      <c r="W795" s="2" t="s">
        <v>39</v>
      </c>
    </row>
    <row r="796">
      <c r="A796" s="2" t="n">
        <v>597</v>
      </c>
      <c r="B796" s="2" t="s">
        <v>15013</v>
      </c>
      <c r="C796" s="2" t="s">
        <v>6626</v>
      </c>
      <c r="D796" s="2" t="n">
        <v>385.176895945</v>
      </c>
      <c r="E796" s="2" t="n">
        <v>6.58293096452869</v>
      </c>
      <c r="F796" s="2" t="s">
        <v>6628</v>
      </c>
      <c r="G796" s="2" t="n">
        <v>209861</v>
      </c>
      <c r="H796" s="3" t="str">
        <f>HYPERLINK("http://funmeta.oebiotech.com/network/209861", "http://funmeta.oebiotech.com/network/209861")</f>
      </c>
      <c r="I796" s="2" t="s">
        <v>6630</v>
      </c>
      <c r="J796" s="2"/>
      <c r="K796" s="2"/>
      <c r="L796" s="2"/>
      <c r="M796" s="2"/>
      <c r="N796" s="2" t="s">
        <v>6631</v>
      </c>
      <c r="O796" s="2"/>
      <c r="P796" s="2" t="s">
        <v>6632</v>
      </c>
      <c r="Q796" s="2" t="s">
        <v>6633</v>
      </c>
      <c r="R796" s="2" t="s">
        <v>114</v>
      </c>
      <c r="S796" s="2" t="s">
        <v>3933</v>
      </c>
      <c r="T796" s="2" t="s">
        <v>6634</v>
      </c>
      <c r="U796" s="2" t="s">
        <v>6627</v>
      </c>
      <c r="V796" s="2" t="s">
        <v>24</v>
      </c>
      <c r="W796" s="2"/>
    </row>
    <row r="797">
      <c r="A797" s="2" t="n">
        <v>598</v>
      </c>
      <c r="B797" s="2" t="s">
        <v>15014</v>
      </c>
      <c r="C797" s="2" t="s">
        <v>6635</v>
      </c>
      <c r="D797" s="2" t="n">
        <v>385.23133418</v>
      </c>
      <c r="E797" s="2" t="n">
        <v>2.07641357985868</v>
      </c>
      <c r="F797" s="2" t="s">
        <v>6637</v>
      </c>
      <c r="G797" s="2" t="n">
        <v>213383</v>
      </c>
      <c r="H797" s="3" t="str">
        <f>HYPERLINK("http://funmeta.oebiotech.com/network/213383", "http://funmeta.oebiotech.com/network/213383")</f>
      </c>
      <c r="I797" s="2" t="s">
        <v>6639</v>
      </c>
      <c r="J797" s="2"/>
      <c r="K797" s="2"/>
      <c r="L797" s="2"/>
      <c r="M797" s="2"/>
      <c r="N797" s="2" t="s">
        <v>6640</v>
      </c>
      <c r="O797" s="2"/>
      <c r="P797" s="2" t="s">
        <v>6641</v>
      </c>
      <c r="Q797" s="2" t="s">
        <v>6642</v>
      </c>
      <c r="R797" s="2" t="s">
        <v>36</v>
      </c>
      <c r="S797" s="2" t="s">
        <v>2572</v>
      </c>
      <c r="T797" s="2" t="s">
        <v>2637</v>
      </c>
      <c r="U797" s="2" t="s">
        <v>6636</v>
      </c>
      <c r="V797" s="2" t="s">
        <v>24</v>
      </c>
      <c r="W797" s="2"/>
    </row>
    <row r="798">
      <c r="A798" s="2" t="n">
        <v>599</v>
      </c>
      <c r="B798" s="2" t="s">
        <v>15015</v>
      </c>
      <c r="C798" s="2" t="s">
        <v>6643</v>
      </c>
      <c r="D798" s="2" t="n">
        <v>385.256510702</v>
      </c>
      <c r="E798" s="2" t="n">
        <v>19.3173199176667</v>
      </c>
      <c r="F798" s="2" t="s">
        <v>6645</v>
      </c>
      <c r="G798" s="2" t="n">
        <v>208571</v>
      </c>
      <c r="H798" s="3" t="str">
        <f>HYPERLINK("http://funmeta.oebiotech.com/network/208571", "http://funmeta.oebiotech.com/network/208571")</f>
      </c>
      <c r="I798" s="2" t="s">
        <v>6647</v>
      </c>
      <c r="J798" s="2"/>
      <c r="K798" s="2"/>
      <c r="L798" s="2"/>
      <c r="M798" s="2"/>
      <c r="N798" s="2" t="s">
        <v>6648</v>
      </c>
      <c r="O798" s="2"/>
      <c r="P798" s="2" t="s">
        <v>6649</v>
      </c>
      <c r="Q798" s="2" t="s">
        <v>6650</v>
      </c>
      <c r="R798" s="2" t="s">
        <v>794</v>
      </c>
      <c r="S798" s="2" t="s">
        <v>2971</v>
      </c>
      <c r="T798" s="2" t="s">
        <v>5934</v>
      </c>
      <c r="U798" s="2" t="s">
        <v>6644</v>
      </c>
      <c r="V798" s="2" t="s">
        <v>161</v>
      </c>
      <c r="W798" s="2"/>
    </row>
    <row r="799">
      <c r="A799" s="2" t="n">
        <v>600</v>
      </c>
      <c r="B799" s="2" t="s">
        <v>15016</v>
      </c>
      <c r="C799" s="2" t="s">
        <v>6651</v>
      </c>
      <c r="D799" s="2" t="n">
        <v>386.0212363</v>
      </c>
      <c r="E799" s="2" t="n">
        <v>0.606230986416001</v>
      </c>
      <c r="F799" s="2" t="s">
        <v>6653</v>
      </c>
      <c r="G799" s="2" t="n">
        <v>212749</v>
      </c>
      <c r="H799" s="3" t="str">
        <f>HYPERLINK("http://funmeta.oebiotech.com/network/212749", "http://funmeta.oebiotech.com/network/212749")</f>
      </c>
      <c r="I799" s="2" t="s">
        <v>6655</v>
      </c>
      <c r="J799" s="2"/>
      <c r="K799" s="2"/>
      <c r="L799" s="2"/>
      <c r="M799" s="2"/>
      <c r="N799" s="2" t="s">
        <v>6656</v>
      </c>
      <c r="O799" s="2"/>
      <c r="P799" s="2" t="s">
        <v>6657</v>
      </c>
      <c r="Q799" s="2" t="s">
        <v>6658</v>
      </c>
      <c r="R799" s="2" t="s">
        <v>186</v>
      </c>
      <c r="S799" s="2" t="s">
        <v>911</v>
      </c>
      <c r="T799" s="2" t="s">
        <v>215</v>
      </c>
      <c r="U799" s="2" t="s">
        <v>6652</v>
      </c>
      <c r="V799" s="2" t="s">
        <v>86</v>
      </c>
      <c r="W799" s="2"/>
    </row>
    <row r="800">
      <c r="A800" s="2" t="n">
        <v>601</v>
      </c>
      <c r="B800" s="2" t="s">
        <v>15017</v>
      </c>
      <c r="C800" s="2" t="s">
        <v>6659</v>
      </c>
      <c r="D800" s="2" t="n">
        <v>386.240342867</v>
      </c>
      <c r="E800" s="2" t="n">
        <v>3.65650263763707</v>
      </c>
      <c r="F800" s="2" t="s">
        <v>6661</v>
      </c>
      <c r="G800" s="2" t="n">
        <v>203727</v>
      </c>
      <c r="H800" s="3" t="str">
        <f>HYPERLINK("http://funmeta.oebiotech.com/network/203727", "http://funmeta.oebiotech.com/network/203727")</f>
      </c>
      <c r="I800" s="2" t="s">
        <v>6663</v>
      </c>
      <c r="J800" s="2"/>
      <c r="K800" s="2"/>
      <c r="L800" s="2"/>
      <c r="M800" s="2"/>
      <c r="N800" s="2" t="s">
        <v>6664</v>
      </c>
      <c r="O800" s="2"/>
      <c r="P800" s="2" t="s">
        <v>6665</v>
      </c>
      <c r="Q800" s="2" t="s">
        <v>6666</v>
      </c>
      <c r="R800" s="2" t="s">
        <v>129</v>
      </c>
      <c r="S800" s="2" t="s">
        <v>130</v>
      </c>
      <c r="T800" s="2" t="s">
        <v>1681</v>
      </c>
      <c r="U800" s="2" t="s">
        <v>6660</v>
      </c>
      <c r="V800" s="2" t="s">
        <v>161</v>
      </c>
      <c r="W800" s="2"/>
    </row>
    <row r="801">
      <c r="A801" s="2" t="n">
        <v>602</v>
      </c>
      <c r="B801" s="2" t="s">
        <v>15018</v>
      </c>
      <c r="C801" s="2" t="s">
        <v>6667</v>
      </c>
      <c r="D801" s="2" t="n">
        <v>387.018107511</v>
      </c>
      <c r="E801" s="2" t="n">
        <v>0.494700556241728</v>
      </c>
      <c r="F801" s="2" t="s">
        <v>15019</v>
      </c>
      <c r="G801" s="2" t="n">
        <v>206971</v>
      </c>
      <c r="H801" s="3" t="str">
        <f>HYPERLINK("http://funmeta.oebiotech.com/network/206971", "http://funmeta.oebiotech.com/network/206971")</f>
      </c>
      <c r="I801" s="2" t="s">
        <v>15020</v>
      </c>
      <c r="J801" s="2"/>
      <c r="K801" s="2"/>
      <c r="L801" s="2"/>
      <c r="M801" s="2"/>
      <c r="N801" s="2"/>
      <c r="O801" s="2"/>
      <c r="P801" s="2" t="s">
        <v>15021</v>
      </c>
      <c r="Q801" s="2" t="s">
        <v>15022</v>
      </c>
      <c r="R801" s="2" t="s">
        <v>36</v>
      </c>
      <c r="S801" s="2" t="s">
        <v>37</v>
      </c>
      <c r="T801" s="2" t="s">
        <v>2336</v>
      </c>
      <c r="U801" s="2" t="s">
        <v>6668</v>
      </c>
      <c r="V801" s="2" t="s">
        <v>531</v>
      </c>
      <c r="W801" s="2"/>
    </row>
    <row r="802">
      <c r="A802" s="2" t="n">
        <v>602</v>
      </c>
      <c r="B802" s="2" t="s">
        <v>15023</v>
      </c>
      <c r="C802" s="2" t="s">
        <v>6667</v>
      </c>
      <c r="D802" s="2" t="n">
        <v>387.018107511</v>
      </c>
      <c r="E802" s="2" t="n">
        <v>0.494700556241728</v>
      </c>
      <c r="F802" s="2" t="s">
        <v>15024</v>
      </c>
      <c r="G802" s="2" t="n">
        <v>207212</v>
      </c>
      <c r="H802" s="3" t="str">
        <f>HYPERLINK("http://funmeta.oebiotech.com/network/207212", "http://funmeta.oebiotech.com/network/207212")</f>
      </c>
      <c r="I802" s="2" t="s">
        <v>15025</v>
      </c>
      <c r="J802" s="2"/>
      <c r="K802" s="2"/>
      <c r="L802" s="2"/>
      <c r="M802" s="2"/>
      <c r="N802" s="2"/>
      <c r="O802" s="2"/>
      <c r="P802" s="2" t="s">
        <v>15026</v>
      </c>
      <c r="Q802" s="2" t="s">
        <v>15027</v>
      </c>
      <c r="R802" s="2" t="s">
        <v>36</v>
      </c>
      <c r="S802" s="2" t="s">
        <v>37</v>
      </c>
      <c r="T802" s="2" t="s">
        <v>2336</v>
      </c>
      <c r="U802" s="2" t="s">
        <v>6668</v>
      </c>
      <c r="V802" s="2" t="s">
        <v>531</v>
      </c>
      <c r="W802" s="2"/>
    </row>
    <row r="803">
      <c r="A803" s="2" t="n">
        <v>602</v>
      </c>
      <c r="B803" s="2" t="s">
        <v>15028</v>
      </c>
      <c r="C803" s="2" t="s">
        <v>6667</v>
      </c>
      <c r="D803" s="2" t="n">
        <v>387.018107511</v>
      </c>
      <c r="E803" s="2" t="n">
        <v>0.494700556241728</v>
      </c>
      <c r="F803" s="2" t="s">
        <v>15029</v>
      </c>
      <c r="G803" s="2" t="n">
        <v>211424</v>
      </c>
      <c r="H803" s="3" t="str">
        <f>HYPERLINK("http://funmeta.oebiotech.com/network/211424", "http://funmeta.oebiotech.com/network/211424")</f>
      </c>
      <c r="I803" s="2" t="s">
        <v>15030</v>
      </c>
      <c r="J803" s="2"/>
      <c r="K803" s="2"/>
      <c r="L803" s="2"/>
      <c r="M803" s="2"/>
      <c r="N803" s="2" t="s">
        <v>15031</v>
      </c>
      <c r="O803" s="2"/>
      <c r="P803" s="2" t="s">
        <v>15032</v>
      </c>
      <c r="Q803" s="2" t="s">
        <v>15033</v>
      </c>
      <c r="R803" s="2" t="s">
        <v>36</v>
      </c>
      <c r="S803" s="2" t="s">
        <v>37</v>
      </c>
      <c r="T803" s="2" t="s">
        <v>10514</v>
      </c>
      <c r="U803" s="2" t="s">
        <v>6668</v>
      </c>
      <c r="V803" s="2" t="s">
        <v>531</v>
      </c>
      <c r="W803" s="2"/>
    </row>
    <row r="804">
      <c r="A804" s="2" t="n">
        <v>603</v>
      </c>
      <c r="B804" s="2" t="s">
        <v>15034</v>
      </c>
      <c r="C804" s="2" t="s">
        <v>6676</v>
      </c>
      <c r="D804" s="2" t="n">
        <v>387.153475156</v>
      </c>
      <c r="E804" s="2" t="n">
        <v>2.21209773009243</v>
      </c>
      <c r="F804" s="2" t="s">
        <v>6678</v>
      </c>
      <c r="G804" s="2" t="n">
        <v>211622</v>
      </c>
      <c r="H804" s="3" t="str">
        <f>HYPERLINK("http://funmeta.oebiotech.com/network/211622", "http://funmeta.oebiotech.com/network/211622")</f>
      </c>
      <c r="I804" s="2" t="s">
        <v>6680</v>
      </c>
      <c r="J804" s="2"/>
      <c r="K804" s="2"/>
      <c r="L804" s="2"/>
      <c r="M804" s="2"/>
      <c r="N804" s="2" t="s">
        <v>6681</v>
      </c>
      <c r="O804" s="2"/>
      <c r="P804" s="2" t="s">
        <v>6682</v>
      </c>
      <c r="Q804" s="2" t="s">
        <v>6683</v>
      </c>
      <c r="R804" s="2" t="s">
        <v>601</v>
      </c>
      <c r="S804" s="2" t="s">
        <v>602</v>
      </c>
      <c r="T804" s="2" t="s">
        <v>1800</v>
      </c>
      <c r="U804" s="2" t="s">
        <v>6677</v>
      </c>
      <c r="V804" s="2" t="s">
        <v>24</v>
      </c>
      <c r="W804" s="2"/>
    </row>
    <row r="805">
      <c r="A805" s="2" t="n">
        <v>604</v>
      </c>
      <c r="B805" s="2" t="s">
        <v>15035</v>
      </c>
      <c r="C805" s="2" t="s">
        <v>6684</v>
      </c>
      <c r="D805" s="2" t="n">
        <v>387.199940064</v>
      </c>
      <c r="E805" s="2" t="n">
        <v>5.04703568599901</v>
      </c>
      <c r="F805" s="2" t="s">
        <v>6686</v>
      </c>
      <c r="G805" s="2" t="n">
        <v>201590</v>
      </c>
      <c r="H805" s="3" t="str">
        <f>HYPERLINK("http://funmeta.oebiotech.com/network/201590", "http://funmeta.oebiotech.com/network/201590")</f>
      </c>
      <c r="I805" s="2" t="s">
        <v>6688</v>
      </c>
      <c r="J805" s="2"/>
      <c r="K805" s="2"/>
      <c r="L805" s="2"/>
      <c r="M805" s="2" t="s">
        <v>6689</v>
      </c>
      <c r="N805" s="2" t="s">
        <v>6690</v>
      </c>
      <c r="O805" s="2"/>
      <c r="P805" s="2" t="s">
        <v>6691</v>
      </c>
      <c r="Q805" s="2" t="s">
        <v>6692</v>
      </c>
      <c r="R805" s="2" t="s">
        <v>794</v>
      </c>
      <c r="S805" s="2" t="s">
        <v>2971</v>
      </c>
      <c r="T805" s="2" t="s">
        <v>6693</v>
      </c>
      <c r="U805" s="2" t="s">
        <v>6685</v>
      </c>
      <c r="V805" s="2" t="s">
        <v>24</v>
      </c>
      <c r="W805" s="2"/>
    </row>
    <row r="806">
      <c r="A806" s="2" t="n">
        <v>605</v>
      </c>
      <c r="B806" s="2" t="s">
        <v>15036</v>
      </c>
      <c r="C806" s="2" t="s">
        <v>6694</v>
      </c>
      <c r="D806" s="2" t="n">
        <v>387.238827506</v>
      </c>
      <c r="E806" s="2" t="n">
        <v>1.48176161087471</v>
      </c>
      <c r="F806" s="2" t="s">
        <v>6696</v>
      </c>
      <c r="G806" s="2" t="n">
        <v>51835</v>
      </c>
      <c r="H806" s="3" t="str">
        <f>HYPERLINK("http://funmeta.oebiotech.com/network/51835", "http://funmeta.oebiotech.com/network/51835")</f>
      </c>
      <c r="I806" s="2" t="s">
        <v>6698</v>
      </c>
      <c r="J806" s="2"/>
      <c r="K806" s="2"/>
      <c r="L806" s="2" t="s">
        <v>6699</v>
      </c>
      <c r="M806" s="2" t="s">
        <v>6700</v>
      </c>
      <c r="N806" s="2" t="s">
        <v>6701</v>
      </c>
      <c r="O806" s="2" t="s">
        <v>6702</v>
      </c>
      <c r="P806" s="2" t="s">
        <v>6703</v>
      </c>
      <c r="Q806" s="2" t="s">
        <v>6704</v>
      </c>
      <c r="R806" s="2" t="s">
        <v>794</v>
      </c>
      <c r="S806" s="2" t="s">
        <v>795</v>
      </c>
      <c r="T806" s="2" t="s">
        <v>3692</v>
      </c>
      <c r="U806" s="2" t="s">
        <v>6695</v>
      </c>
      <c r="V806" s="2" t="s">
        <v>24</v>
      </c>
      <c r="W806" s="2" t="s">
        <v>56</v>
      </c>
    </row>
    <row r="807">
      <c r="A807" s="2" t="n">
        <v>606</v>
      </c>
      <c r="B807" s="2" t="s">
        <v>15037</v>
      </c>
      <c r="C807" s="2" t="s">
        <v>6705</v>
      </c>
      <c r="D807" s="2" t="n">
        <v>387.275208704</v>
      </c>
      <c r="E807" s="2" t="n">
        <v>17.6097751366638</v>
      </c>
      <c r="F807" s="2" t="s">
        <v>15038</v>
      </c>
      <c r="G807" s="2" t="n">
        <v>208525</v>
      </c>
      <c r="H807" s="3" t="str">
        <f>HYPERLINK("http://funmeta.oebiotech.com/network/208525", "http://funmeta.oebiotech.com/network/208525")</f>
      </c>
      <c r="I807" s="2" t="s">
        <v>15039</v>
      </c>
      <c r="J807" s="2" t="s">
        <v>15040</v>
      </c>
      <c r="K807" s="2"/>
      <c r="L807" s="2"/>
      <c r="M807" s="2" t="s">
        <v>15041</v>
      </c>
      <c r="N807" s="2" t="s">
        <v>15042</v>
      </c>
      <c r="O807" s="2" t="s">
        <v>15043</v>
      </c>
      <c r="P807" s="2" t="s">
        <v>15044</v>
      </c>
      <c r="Q807" s="2" t="s">
        <v>15045</v>
      </c>
      <c r="R807" s="2" t="s">
        <v>794</v>
      </c>
      <c r="S807" s="2" t="s">
        <v>795</v>
      </c>
      <c r="T807" s="2" t="s">
        <v>796</v>
      </c>
      <c r="U807" s="2" t="s">
        <v>6706</v>
      </c>
      <c r="V807" s="2" t="s">
        <v>205</v>
      </c>
      <c r="W807" s="2"/>
    </row>
    <row r="808">
      <c r="A808" s="2" t="n">
        <v>606</v>
      </c>
      <c r="B808" s="2" t="s">
        <v>15046</v>
      </c>
      <c r="C808" s="2" t="s">
        <v>6705</v>
      </c>
      <c r="D808" s="2" t="n">
        <v>387.275208704</v>
      </c>
      <c r="E808" s="2" t="n">
        <v>17.6097751366638</v>
      </c>
      <c r="F808" s="2" t="s">
        <v>15047</v>
      </c>
      <c r="G808" s="2" t="n">
        <v>2849</v>
      </c>
      <c r="H808" s="3" t="str">
        <f>HYPERLINK("http://funmeta.oebiotech.com/network/2849", "http://funmeta.oebiotech.com/network/2849")</f>
      </c>
      <c r="I808" s="2" t="s">
        <v>15048</v>
      </c>
      <c r="J808" s="2" t="s">
        <v>15049</v>
      </c>
      <c r="K808" s="2" t="s">
        <v>15050</v>
      </c>
      <c r="L808" s="2"/>
      <c r="M808" s="2" t="s">
        <v>15051</v>
      </c>
      <c r="N808" s="2" t="s">
        <v>15052</v>
      </c>
      <c r="O808" s="2"/>
      <c r="P808" s="2" t="s">
        <v>15053</v>
      </c>
      <c r="Q808" s="2" t="s">
        <v>15054</v>
      </c>
      <c r="R808" s="2" t="s">
        <v>794</v>
      </c>
      <c r="S808" s="2" t="s">
        <v>795</v>
      </c>
      <c r="T808" s="2" t="s">
        <v>796</v>
      </c>
      <c r="U808" s="2" t="s">
        <v>6706</v>
      </c>
      <c r="V808" s="2" t="s">
        <v>205</v>
      </c>
      <c r="W808" s="2"/>
    </row>
    <row r="809">
      <c r="A809" s="2" t="n">
        <v>606</v>
      </c>
      <c r="B809" s="2" t="s">
        <v>15055</v>
      </c>
      <c r="C809" s="2" t="s">
        <v>6705</v>
      </c>
      <c r="D809" s="2" t="n">
        <v>387.275208704</v>
      </c>
      <c r="E809" s="2" t="n">
        <v>17.6097751366638</v>
      </c>
      <c r="F809" s="2" t="s">
        <v>15056</v>
      </c>
      <c r="G809" s="2" t="n">
        <v>206597</v>
      </c>
      <c r="H809" s="3" t="str">
        <f>HYPERLINK("http://funmeta.oebiotech.com/network/206597", "http://funmeta.oebiotech.com/network/206597")</f>
      </c>
      <c r="I809" s="2" t="s">
        <v>15057</v>
      </c>
      <c r="J809" s="2"/>
      <c r="K809" s="2"/>
      <c r="L809" s="2"/>
      <c r="M809" s="2"/>
      <c r="N809" s="2" t="s">
        <v>15058</v>
      </c>
      <c r="O809" s="2"/>
      <c r="P809" s="2" t="s">
        <v>15059</v>
      </c>
      <c r="Q809" s="2" t="s">
        <v>15060</v>
      </c>
      <c r="R809" s="2" t="s">
        <v>794</v>
      </c>
      <c r="S809" s="2" t="s">
        <v>795</v>
      </c>
      <c r="T809" s="2" t="s">
        <v>3273</v>
      </c>
      <c r="U809" s="2" t="s">
        <v>6706</v>
      </c>
      <c r="V809" s="2" t="s">
        <v>205</v>
      </c>
      <c r="W809" s="2"/>
    </row>
    <row r="810">
      <c r="A810" s="2" t="n">
        <v>607</v>
      </c>
      <c r="B810" s="2" t="s">
        <v>15061</v>
      </c>
      <c r="C810" s="2" t="s">
        <v>6718</v>
      </c>
      <c r="D810" s="2" t="n">
        <v>388.92725506</v>
      </c>
      <c r="E810" s="2" t="n">
        <v>7.80401254898401</v>
      </c>
      <c r="F810" s="2" t="s">
        <v>6720</v>
      </c>
      <c r="G810" s="2" t="n">
        <v>52634</v>
      </c>
      <c r="H810" s="3" t="str">
        <f>HYPERLINK("http://funmeta.oebiotech.com/network/52634", "http://funmeta.oebiotech.com/network/52634")</f>
      </c>
      <c r="I810" s="2" t="s">
        <v>6722</v>
      </c>
      <c r="J810" s="2" t="s">
        <v>6723</v>
      </c>
      <c r="K810" s="2"/>
      <c r="L810" s="2" t="s">
        <v>6724</v>
      </c>
      <c r="M810" s="2" t="s">
        <v>6725</v>
      </c>
      <c r="N810" s="2" t="s">
        <v>6726</v>
      </c>
      <c r="O810" s="2" t="s">
        <v>6727</v>
      </c>
      <c r="P810" s="2" t="s">
        <v>6728</v>
      </c>
      <c r="Q810" s="2" t="s">
        <v>6729</v>
      </c>
      <c r="R810" s="2" t="s">
        <v>114</v>
      </c>
      <c r="S810" s="2" t="s">
        <v>1038</v>
      </c>
      <c r="T810" s="2" t="s">
        <v>1039</v>
      </c>
      <c r="U810" s="2" t="s">
        <v>6719</v>
      </c>
      <c r="V810" s="2" t="s">
        <v>86</v>
      </c>
      <c r="W810" s="2" t="s">
        <v>101</v>
      </c>
    </row>
    <row r="811">
      <c r="A811" s="2" t="n">
        <v>608</v>
      </c>
      <c r="B811" s="2" t="s">
        <v>15062</v>
      </c>
      <c r="C811" s="2" t="s">
        <v>6730</v>
      </c>
      <c r="D811" s="2" t="n">
        <v>389.028098668</v>
      </c>
      <c r="E811" s="2" t="n">
        <v>2.43682887577625</v>
      </c>
      <c r="F811" s="2" t="s">
        <v>6732</v>
      </c>
      <c r="G811" s="2" t="n">
        <v>63719</v>
      </c>
      <c r="H811" s="3" t="str">
        <f>HYPERLINK("http://funmeta.oebiotech.com/network/63719", "http://funmeta.oebiotech.com/network/63719")</f>
      </c>
      <c r="I811" s="2" t="s">
        <v>6734</v>
      </c>
      <c r="J811" s="2" t="s">
        <v>6735</v>
      </c>
      <c r="K811" s="2"/>
      <c r="L811" s="2"/>
      <c r="M811" s="2" t="s">
        <v>6736</v>
      </c>
      <c r="N811" s="2" t="s">
        <v>6737</v>
      </c>
      <c r="O811" s="2" t="s">
        <v>6738</v>
      </c>
      <c r="P811" s="2" t="s">
        <v>6739</v>
      </c>
      <c r="Q811" s="2" t="s">
        <v>6740</v>
      </c>
      <c r="R811" s="2" t="s">
        <v>1355</v>
      </c>
      <c r="S811" s="2" t="s">
        <v>6741</v>
      </c>
      <c r="T811" s="2" t="s">
        <v>6742</v>
      </c>
      <c r="U811" s="2" t="s">
        <v>6731</v>
      </c>
      <c r="V811" s="2" t="s">
        <v>86</v>
      </c>
      <c r="W811" s="2"/>
    </row>
    <row r="812">
      <c r="A812" s="2" t="n">
        <v>609</v>
      </c>
      <c r="B812" s="2" t="s">
        <v>15063</v>
      </c>
      <c r="C812" s="2" t="s">
        <v>6743</v>
      </c>
      <c r="D812" s="2" t="n">
        <v>389.138592584</v>
      </c>
      <c r="E812" s="2" t="n">
        <v>1.3313851072744</v>
      </c>
      <c r="F812" s="2" t="s">
        <v>15064</v>
      </c>
      <c r="G812" s="2" t="n">
        <v>200123</v>
      </c>
      <c r="H812" s="3" t="str">
        <f>HYPERLINK("http://funmeta.oebiotech.com/network/200123", "http://funmeta.oebiotech.com/network/200123")</f>
      </c>
      <c r="I812" s="2" t="s">
        <v>15065</v>
      </c>
      <c r="J812" s="2"/>
      <c r="K812" s="2"/>
      <c r="L812" s="2"/>
      <c r="M812" s="2"/>
      <c r="N812" s="2" t="s">
        <v>15066</v>
      </c>
      <c r="O812" s="2"/>
      <c r="P812" s="2" t="s">
        <v>15067</v>
      </c>
      <c r="Q812" s="2" t="s">
        <v>15068</v>
      </c>
      <c r="R812" s="2" t="s">
        <v>114</v>
      </c>
      <c r="S812" s="2" t="s">
        <v>172</v>
      </c>
      <c r="T812" s="2" t="s">
        <v>4451</v>
      </c>
      <c r="U812" s="2" t="s">
        <v>6744</v>
      </c>
      <c r="V812" s="2" t="s">
        <v>86</v>
      </c>
      <c r="W812" s="2"/>
    </row>
    <row r="813">
      <c r="A813" s="2" t="n">
        <v>609</v>
      </c>
      <c r="B813" s="2" t="s">
        <v>15069</v>
      </c>
      <c r="C813" s="2" t="s">
        <v>6743</v>
      </c>
      <c r="D813" s="2" t="n">
        <v>389.138592584</v>
      </c>
      <c r="E813" s="2" t="n">
        <v>1.3313851072744</v>
      </c>
      <c r="F813" s="2" t="s">
        <v>15070</v>
      </c>
      <c r="G813" s="2" t="n">
        <v>207707</v>
      </c>
      <c r="H813" s="3" t="str">
        <f>HYPERLINK("http://funmeta.oebiotech.com/network/207707", "http://funmeta.oebiotech.com/network/207707")</f>
      </c>
      <c r="I813" s="2" t="s">
        <v>15071</v>
      </c>
      <c r="J813" s="2"/>
      <c r="K813" s="2"/>
      <c r="L813" s="2"/>
      <c r="M813" s="2" t="s">
        <v>15072</v>
      </c>
      <c r="N813" s="2"/>
      <c r="O813" s="2"/>
      <c r="P813" s="2" t="s">
        <v>15073</v>
      </c>
      <c r="Q813" s="2" t="s">
        <v>15074</v>
      </c>
      <c r="R813" s="2" t="s">
        <v>114</v>
      </c>
      <c r="S813" s="2" t="s">
        <v>6312</v>
      </c>
      <c r="T813" s="2" t="s">
        <v>6313</v>
      </c>
      <c r="U813" s="2" t="s">
        <v>6744</v>
      </c>
      <c r="V813" s="2" t="s">
        <v>86</v>
      </c>
      <c r="W813" s="2"/>
    </row>
    <row r="814">
      <c r="A814" s="2" t="n">
        <v>610</v>
      </c>
      <c r="B814" s="2" t="s">
        <v>15075</v>
      </c>
      <c r="C814" s="2" t="s">
        <v>6754</v>
      </c>
      <c r="D814" s="2" t="n">
        <v>389.248604335</v>
      </c>
      <c r="E814" s="2" t="n">
        <v>5.91812095738561</v>
      </c>
      <c r="F814" s="2" t="s">
        <v>6756</v>
      </c>
      <c r="G814" s="2" t="n">
        <v>211338</v>
      </c>
      <c r="H814" s="3" t="str">
        <f>HYPERLINK("http://funmeta.oebiotech.com/network/211338", "http://funmeta.oebiotech.com/network/211338")</f>
      </c>
      <c r="I814" s="2" t="s">
        <v>6758</v>
      </c>
      <c r="J814" s="2"/>
      <c r="K814" s="2"/>
      <c r="L814" s="2"/>
      <c r="M814" s="2"/>
      <c r="N814" s="2" t="s">
        <v>6759</v>
      </c>
      <c r="O814" s="2"/>
      <c r="P814" s="2" t="s">
        <v>6760</v>
      </c>
      <c r="Q814" s="2" t="s">
        <v>6761</v>
      </c>
      <c r="R814" s="2" t="s">
        <v>794</v>
      </c>
      <c r="S814" s="2" t="s">
        <v>1098</v>
      </c>
      <c r="T814" s="2" t="s">
        <v>5036</v>
      </c>
      <c r="U814" s="2" t="s">
        <v>6755</v>
      </c>
      <c r="V814" s="2" t="s">
        <v>24</v>
      </c>
      <c r="W814" s="2"/>
    </row>
    <row r="815">
      <c r="A815" s="2" t="n">
        <v>611</v>
      </c>
      <c r="B815" s="2" t="s">
        <v>15076</v>
      </c>
      <c r="C815" s="2" t="s">
        <v>6762</v>
      </c>
      <c r="D815" s="2" t="n">
        <v>390.923919442</v>
      </c>
      <c r="E815" s="2" t="n">
        <v>15.9636887379912</v>
      </c>
      <c r="F815" s="2" t="s">
        <v>15077</v>
      </c>
      <c r="G815" s="2" t="n">
        <v>213294</v>
      </c>
      <c r="H815" s="3" t="str">
        <f>HYPERLINK("http://funmeta.oebiotech.com/network/213294", "http://funmeta.oebiotech.com/network/213294")</f>
      </c>
      <c r="I815" s="2" t="s">
        <v>15078</v>
      </c>
      <c r="J815" s="2"/>
      <c r="K815" s="2"/>
      <c r="L815" s="2"/>
      <c r="M815" s="2"/>
      <c r="N815" s="2"/>
      <c r="O815" s="2"/>
      <c r="P815" s="2" t="s">
        <v>15079</v>
      </c>
      <c r="Q815" s="2" t="s">
        <v>15080</v>
      </c>
      <c r="R815" s="2" t="s">
        <v>129</v>
      </c>
      <c r="S815" s="2" t="s">
        <v>15081</v>
      </c>
      <c r="T815" s="2" t="s">
        <v>15082</v>
      </c>
      <c r="U815" s="2" t="s">
        <v>6763</v>
      </c>
      <c r="V815" s="2" t="s">
        <v>218</v>
      </c>
      <c r="W815" s="2"/>
    </row>
    <row r="816">
      <c r="A816" s="2" t="n">
        <v>611</v>
      </c>
      <c r="B816" s="2" t="s">
        <v>15083</v>
      </c>
      <c r="C816" s="2" t="s">
        <v>6762</v>
      </c>
      <c r="D816" s="2" t="n">
        <v>390.923919442</v>
      </c>
      <c r="E816" s="2" t="n">
        <v>15.9636887379912</v>
      </c>
      <c r="F816" s="2" t="s">
        <v>15084</v>
      </c>
      <c r="G816" s="2" t="n">
        <v>206084</v>
      </c>
      <c r="H816" s="3" t="str">
        <f>HYPERLINK("http://funmeta.oebiotech.com/network/206084", "http://funmeta.oebiotech.com/network/206084")</f>
      </c>
      <c r="I816" s="2" t="s">
        <v>15085</v>
      </c>
      <c r="J816" s="2"/>
      <c r="K816" s="2"/>
      <c r="L816" s="2"/>
      <c r="M816" s="2"/>
      <c r="N816" s="2"/>
      <c r="O816" s="2"/>
      <c r="P816" s="2" t="s">
        <v>15086</v>
      </c>
      <c r="Q816" s="2" t="s">
        <v>15087</v>
      </c>
      <c r="R816" s="2" t="s">
        <v>129</v>
      </c>
      <c r="S816" s="2" t="s">
        <v>130</v>
      </c>
      <c r="T816" s="2" t="s">
        <v>1681</v>
      </c>
      <c r="U816" s="2" t="s">
        <v>6763</v>
      </c>
      <c r="V816" s="2" t="s">
        <v>218</v>
      </c>
      <c r="W816" s="2"/>
    </row>
    <row r="817">
      <c r="A817" s="2" t="n">
        <v>612</v>
      </c>
      <c r="B817" s="2" t="s">
        <v>15088</v>
      </c>
      <c r="C817" s="2" t="s">
        <v>6771</v>
      </c>
      <c r="D817" s="2" t="n">
        <v>391.165780952</v>
      </c>
      <c r="E817" s="2" t="n">
        <v>2.30204566361082</v>
      </c>
      <c r="F817" s="2" t="s">
        <v>6773</v>
      </c>
      <c r="G817" s="2" t="n">
        <v>64992</v>
      </c>
      <c r="H817" s="3" t="str">
        <f>HYPERLINK("http://funmeta.oebiotech.com/network/64992", "http://funmeta.oebiotech.com/network/64992")</f>
      </c>
      <c r="I817" s="2" t="s">
        <v>6775</v>
      </c>
      <c r="J817" s="2" t="s">
        <v>6776</v>
      </c>
      <c r="K817" s="2"/>
      <c r="L817" s="2"/>
      <c r="M817" s="2" t="s">
        <v>6777</v>
      </c>
      <c r="N817" s="2" t="s">
        <v>6778</v>
      </c>
      <c r="O817" s="2" t="s">
        <v>6779</v>
      </c>
      <c r="P817" s="2" t="s">
        <v>6780</v>
      </c>
      <c r="Q817" s="2" t="s">
        <v>6781</v>
      </c>
      <c r="R817" s="2" t="s">
        <v>36</v>
      </c>
      <c r="S817" s="2" t="s">
        <v>37</v>
      </c>
      <c r="T817" s="2" t="s">
        <v>69</v>
      </c>
      <c r="U817" s="2" t="s">
        <v>6772</v>
      </c>
      <c r="V817" s="2" t="s">
        <v>161</v>
      </c>
      <c r="W817" s="2" t="s">
        <v>56</v>
      </c>
    </row>
    <row r="818">
      <c r="A818" s="2" t="n">
        <v>613</v>
      </c>
      <c r="B818" s="2" t="s">
        <v>15089</v>
      </c>
      <c r="C818" s="2" t="s">
        <v>6782</v>
      </c>
      <c r="D818" s="2" t="n">
        <v>391.257546302</v>
      </c>
      <c r="E818" s="2" t="n">
        <v>0.744562107429932</v>
      </c>
      <c r="F818" s="2" t="s">
        <v>6784</v>
      </c>
      <c r="G818" s="2" t="n">
        <v>204595</v>
      </c>
      <c r="H818" s="3" t="str">
        <f>HYPERLINK("http://funmeta.oebiotech.com/network/204595", "http://funmeta.oebiotech.com/network/204595")</f>
      </c>
      <c r="I818" s="2" t="s">
        <v>6786</v>
      </c>
      <c r="J818" s="2"/>
      <c r="K818" s="2"/>
      <c r="L818" s="2"/>
      <c r="M818" s="2"/>
      <c r="N818" s="2" t="s">
        <v>6787</v>
      </c>
      <c r="O818" s="2"/>
      <c r="P818" s="2" t="s">
        <v>6788</v>
      </c>
      <c r="Q818" s="2" t="s">
        <v>6789</v>
      </c>
      <c r="R818" s="2" t="s">
        <v>114</v>
      </c>
      <c r="S818" s="2" t="s">
        <v>4121</v>
      </c>
      <c r="T818" s="2" t="s">
        <v>215</v>
      </c>
      <c r="U818" s="2" t="s">
        <v>6783</v>
      </c>
      <c r="V818" s="2" t="s">
        <v>683</v>
      </c>
      <c r="W818" s="2"/>
    </row>
    <row r="819">
      <c r="A819" s="2" t="n">
        <v>614</v>
      </c>
      <c r="B819" s="2" t="s">
        <v>15090</v>
      </c>
      <c r="C819" s="2" t="s">
        <v>6790</v>
      </c>
      <c r="D819" s="2" t="n">
        <v>393.264648326</v>
      </c>
      <c r="E819" s="2" t="n">
        <v>6.78228471901954</v>
      </c>
      <c r="F819" s="2" t="s">
        <v>15091</v>
      </c>
      <c r="G819" s="2" t="n">
        <v>52416</v>
      </c>
      <c r="H819" s="3" t="str">
        <f>HYPERLINK("http://funmeta.oebiotech.com/network/52416", "http://funmeta.oebiotech.com/network/52416")</f>
      </c>
      <c r="I819" s="2" t="s">
        <v>15092</v>
      </c>
      <c r="J819" s="2" t="s">
        <v>15093</v>
      </c>
      <c r="K819" s="2"/>
      <c r="L819" s="2"/>
      <c r="M819" s="2" t="s">
        <v>15094</v>
      </c>
      <c r="N819" s="2" t="s">
        <v>15095</v>
      </c>
      <c r="O819" s="2" t="s">
        <v>15096</v>
      </c>
      <c r="P819" s="2" t="s">
        <v>15097</v>
      </c>
      <c r="Q819" s="2" t="s">
        <v>15098</v>
      </c>
      <c r="R819" s="2" t="s">
        <v>794</v>
      </c>
      <c r="S819" s="2" t="s">
        <v>2600</v>
      </c>
      <c r="T819" s="2" t="s">
        <v>2601</v>
      </c>
      <c r="U819" s="2" t="s">
        <v>6791</v>
      </c>
      <c r="V819" s="2" t="s">
        <v>24</v>
      </c>
      <c r="W819" s="2" t="s">
        <v>56</v>
      </c>
    </row>
    <row r="820">
      <c r="A820" s="2" t="n">
        <v>614</v>
      </c>
      <c r="B820" s="2" t="s">
        <v>15099</v>
      </c>
      <c r="C820" s="2" t="s">
        <v>6790</v>
      </c>
      <c r="D820" s="2" t="n">
        <v>393.264648326</v>
      </c>
      <c r="E820" s="2" t="n">
        <v>6.78228471901954</v>
      </c>
      <c r="F820" s="2" t="s">
        <v>15100</v>
      </c>
      <c r="G820" s="2" t="n">
        <v>52038</v>
      </c>
      <c r="H820" s="3" t="str">
        <f>HYPERLINK("http://funmeta.oebiotech.com/network/52038", "http://funmeta.oebiotech.com/network/52038")</f>
      </c>
      <c r="I820" s="2" t="s">
        <v>15101</v>
      </c>
      <c r="J820" s="2" t="s">
        <v>15102</v>
      </c>
      <c r="K820" s="2"/>
      <c r="L820" s="2"/>
      <c r="M820" s="2" t="s">
        <v>15103</v>
      </c>
      <c r="N820" s="2" t="s">
        <v>15104</v>
      </c>
      <c r="O820" s="2"/>
      <c r="P820" s="2" t="s">
        <v>15105</v>
      </c>
      <c r="Q820" s="2" t="s">
        <v>15106</v>
      </c>
      <c r="R820" s="2" t="s">
        <v>794</v>
      </c>
      <c r="S820" s="2" t="s">
        <v>15107</v>
      </c>
      <c r="T820" s="2" t="s">
        <v>215</v>
      </c>
      <c r="U820" s="2" t="s">
        <v>6791</v>
      </c>
      <c r="V820" s="2" t="s">
        <v>24</v>
      </c>
      <c r="W820" s="2" t="s">
        <v>56</v>
      </c>
    </row>
    <row r="821">
      <c r="A821" s="2" t="n">
        <v>615</v>
      </c>
      <c r="B821" s="2" t="s">
        <v>15108</v>
      </c>
      <c r="C821" s="2" t="s">
        <v>6803</v>
      </c>
      <c r="D821" s="2" t="n">
        <v>395.097820546</v>
      </c>
      <c r="E821" s="2" t="n">
        <v>1.17771033655128</v>
      </c>
      <c r="F821" s="2" t="s">
        <v>15109</v>
      </c>
      <c r="G821" s="2" t="n">
        <v>82042</v>
      </c>
      <c r="H821" s="3" t="str">
        <f>HYPERLINK("http://funmeta.oebiotech.com/network/82042", "http://funmeta.oebiotech.com/network/82042")</f>
      </c>
      <c r="I821" s="2" t="s">
        <v>15110</v>
      </c>
      <c r="J821" s="2"/>
      <c r="K821" s="2"/>
      <c r="L821" s="2"/>
      <c r="M821" s="2" t="s">
        <v>15111</v>
      </c>
      <c r="N821" s="2" t="s">
        <v>15112</v>
      </c>
      <c r="O821" s="2"/>
      <c r="P821" s="2" t="s">
        <v>15113</v>
      </c>
      <c r="Q821" s="2" t="s">
        <v>15114</v>
      </c>
      <c r="R821" s="2" t="s">
        <v>129</v>
      </c>
      <c r="S821" s="2" t="s">
        <v>130</v>
      </c>
      <c r="T821" s="2" t="s">
        <v>1681</v>
      </c>
      <c r="U821" s="2" t="s">
        <v>6804</v>
      </c>
      <c r="V821" s="2" t="s">
        <v>161</v>
      </c>
      <c r="W821" s="2" t="s">
        <v>56</v>
      </c>
    </row>
    <row r="822">
      <c r="A822" s="2" t="n">
        <v>615</v>
      </c>
      <c r="B822" s="2" t="s">
        <v>15115</v>
      </c>
      <c r="C822" s="2" t="s">
        <v>6803</v>
      </c>
      <c r="D822" s="2" t="n">
        <v>395.097820546</v>
      </c>
      <c r="E822" s="2" t="n">
        <v>1.17771033655128</v>
      </c>
      <c r="F822" s="2" t="s">
        <v>15116</v>
      </c>
      <c r="G822" s="2" t="n">
        <v>82041</v>
      </c>
      <c r="H822" s="3" t="str">
        <f>HYPERLINK("http://funmeta.oebiotech.com/network/82041", "http://funmeta.oebiotech.com/network/82041")</f>
      </c>
      <c r="I822" s="2" t="s">
        <v>15117</v>
      </c>
      <c r="J822" s="2"/>
      <c r="K822" s="2"/>
      <c r="L822" s="2"/>
      <c r="M822" s="2" t="s">
        <v>15118</v>
      </c>
      <c r="N822" s="2" t="s">
        <v>15119</v>
      </c>
      <c r="O822" s="2"/>
      <c r="P822" s="2" t="s">
        <v>15120</v>
      </c>
      <c r="Q822" s="2" t="s">
        <v>15121</v>
      </c>
      <c r="R822" s="2" t="s">
        <v>129</v>
      </c>
      <c r="S822" s="2" t="s">
        <v>130</v>
      </c>
      <c r="T822" s="2" t="s">
        <v>1681</v>
      </c>
      <c r="U822" s="2" t="s">
        <v>6804</v>
      </c>
      <c r="V822" s="2" t="s">
        <v>161</v>
      </c>
      <c r="W822" s="2" t="s">
        <v>56</v>
      </c>
    </row>
    <row r="823">
      <c r="A823" s="2" t="n">
        <v>616</v>
      </c>
      <c r="B823" s="2" t="s">
        <v>15122</v>
      </c>
      <c r="C823" s="2" t="s">
        <v>6813</v>
      </c>
      <c r="D823" s="2" t="n">
        <v>395.234012592</v>
      </c>
      <c r="E823" s="2" t="n">
        <v>0.026628926745309</v>
      </c>
      <c r="F823" s="2" t="s">
        <v>15123</v>
      </c>
      <c r="G823" s="2" t="n">
        <v>199166</v>
      </c>
      <c r="H823" s="3" t="str">
        <f>HYPERLINK("http://funmeta.oebiotech.com/network/199166", "http://funmeta.oebiotech.com/network/199166")</f>
      </c>
      <c r="I823" s="2" t="s">
        <v>15124</v>
      </c>
      <c r="J823" s="2"/>
      <c r="K823" s="2"/>
      <c r="L823" s="2"/>
      <c r="M823" s="2" t="s">
        <v>15125</v>
      </c>
      <c r="N823" s="2" t="s">
        <v>15126</v>
      </c>
      <c r="O823" s="2"/>
      <c r="P823" s="2" t="s">
        <v>15127</v>
      </c>
      <c r="Q823" s="2" t="s">
        <v>15128</v>
      </c>
      <c r="R823" s="2" t="s">
        <v>114</v>
      </c>
      <c r="S823" s="2" t="s">
        <v>4121</v>
      </c>
      <c r="T823" s="2" t="s">
        <v>7629</v>
      </c>
      <c r="U823" s="2" t="s">
        <v>6814</v>
      </c>
      <c r="V823" s="2" t="s">
        <v>205</v>
      </c>
      <c r="W823" s="2"/>
    </row>
    <row r="824">
      <c r="A824" s="2" t="n">
        <v>616</v>
      </c>
      <c r="B824" s="2" t="s">
        <v>15129</v>
      </c>
      <c r="C824" s="2" t="s">
        <v>6813</v>
      </c>
      <c r="D824" s="2" t="n">
        <v>395.234012594</v>
      </c>
      <c r="E824" s="2" t="n">
        <v>0.026628926745309</v>
      </c>
      <c r="F824" s="2" t="s">
        <v>15130</v>
      </c>
      <c r="G824" s="2" t="n">
        <v>199924</v>
      </c>
      <c r="H824" s="3" t="str">
        <f>HYPERLINK("http://funmeta.oebiotech.com/network/199924", "http://funmeta.oebiotech.com/network/199924")</f>
      </c>
      <c r="I824" s="2" t="s">
        <v>15131</v>
      </c>
      <c r="J824" s="2"/>
      <c r="K824" s="2"/>
      <c r="L824" s="2"/>
      <c r="M824" s="2"/>
      <c r="N824" s="2" t="s">
        <v>15132</v>
      </c>
      <c r="O824" s="2"/>
      <c r="P824" s="2" t="s">
        <v>15133</v>
      </c>
      <c r="Q824" s="2" t="s">
        <v>15134</v>
      </c>
      <c r="R824" s="2" t="s">
        <v>114</v>
      </c>
      <c r="S824" s="2" t="s">
        <v>4121</v>
      </c>
      <c r="T824" s="2" t="s">
        <v>7629</v>
      </c>
      <c r="U824" s="2" t="s">
        <v>6814</v>
      </c>
      <c r="V824" s="2" t="s">
        <v>205</v>
      </c>
      <c r="W824" s="2"/>
    </row>
    <row r="825">
      <c r="A825" s="2" t="n">
        <v>616</v>
      </c>
      <c r="B825" s="2" t="s">
        <v>15135</v>
      </c>
      <c r="C825" s="2" t="s">
        <v>6813</v>
      </c>
      <c r="D825" s="2" t="n">
        <v>395.234012594</v>
      </c>
      <c r="E825" s="2" t="n">
        <v>0.026628926745309</v>
      </c>
      <c r="F825" s="2" t="s">
        <v>15136</v>
      </c>
      <c r="G825" s="2" t="n">
        <v>207368</v>
      </c>
      <c r="H825" s="3" t="str">
        <f>HYPERLINK("http://funmeta.oebiotech.com/network/207368", "http://funmeta.oebiotech.com/network/207368")</f>
      </c>
      <c r="I825" s="2" t="s">
        <v>15137</v>
      </c>
      <c r="J825" s="2"/>
      <c r="K825" s="2"/>
      <c r="L825" s="2"/>
      <c r="M825" s="2"/>
      <c r="N825" s="2" t="s">
        <v>15138</v>
      </c>
      <c r="O825" s="2"/>
      <c r="P825" s="2" t="s">
        <v>15139</v>
      </c>
      <c r="Q825" s="2" t="s">
        <v>15140</v>
      </c>
      <c r="R825" s="2" t="s">
        <v>186</v>
      </c>
      <c r="S825" s="2" t="s">
        <v>187</v>
      </c>
      <c r="T825" s="2" t="s">
        <v>3454</v>
      </c>
      <c r="U825" s="2" t="s">
        <v>6814</v>
      </c>
      <c r="V825" s="2" t="s">
        <v>205</v>
      </c>
      <c r="W825" s="2"/>
    </row>
    <row r="826">
      <c r="A826" s="2" t="n">
        <v>617</v>
      </c>
      <c r="B826" s="2" t="s">
        <v>15141</v>
      </c>
      <c r="C826" s="2" t="s">
        <v>6825</v>
      </c>
      <c r="D826" s="2" t="n">
        <v>395.280294082</v>
      </c>
      <c r="E826" s="2" t="n">
        <v>0.649275363924554</v>
      </c>
      <c r="F826" s="2" t="s">
        <v>15142</v>
      </c>
      <c r="G826" s="2" t="n">
        <v>2619</v>
      </c>
      <c r="H826" s="3" t="str">
        <f>HYPERLINK("http://funmeta.oebiotech.com/network/2619", "http://funmeta.oebiotech.com/network/2619")</f>
      </c>
      <c r="I826" s="2" t="s">
        <v>15143</v>
      </c>
      <c r="J826" s="2" t="s">
        <v>15144</v>
      </c>
      <c r="K826" s="2" t="s">
        <v>15145</v>
      </c>
      <c r="L826" s="2"/>
      <c r="M826" s="2"/>
      <c r="N826" s="2" t="s">
        <v>15146</v>
      </c>
      <c r="O826" s="2" t="s">
        <v>15147</v>
      </c>
      <c r="P826" s="2" t="s">
        <v>15148</v>
      </c>
      <c r="Q826" s="2" t="s">
        <v>15149</v>
      </c>
      <c r="R826" s="2" t="s">
        <v>794</v>
      </c>
      <c r="S826" s="2" t="s">
        <v>795</v>
      </c>
      <c r="T826" s="2" t="s">
        <v>796</v>
      </c>
      <c r="U826" s="2" t="s">
        <v>6826</v>
      </c>
      <c r="V826" s="2" t="s">
        <v>205</v>
      </c>
      <c r="W826" s="2" t="s">
        <v>56</v>
      </c>
    </row>
    <row r="827">
      <c r="A827" s="2" t="n">
        <v>617</v>
      </c>
      <c r="B827" s="2" t="s">
        <v>15150</v>
      </c>
      <c r="C827" s="2" t="s">
        <v>6825</v>
      </c>
      <c r="D827" s="2" t="n">
        <v>395.280294084</v>
      </c>
      <c r="E827" s="2" t="n">
        <v>0.649275363924554</v>
      </c>
      <c r="F827" s="2" t="s">
        <v>15151</v>
      </c>
      <c r="G827" s="2" t="n">
        <v>2632</v>
      </c>
      <c r="H827" s="3" t="str">
        <f>HYPERLINK("http://funmeta.oebiotech.com/network/2632", "http://funmeta.oebiotech.com/network/2632")</f>
      </c>
      <c r="I827" s="2" t="s">
        <v>15152</v>
      </c>
      <c r="J827" s="2" t="s">
        <v>15153</v>
      </c>
      <c r="K827" s="2" t="s">
        <v>15154</v>
      </c>
      <c r="L827" s="2"/>
      <c r="M827" s="2"/>
      <c r="N827" s="2" t="s">
        <v>15155</v>
      </c>
      <c r="O827" s="2" t="s">
        <v>15156</v>
      </c>
      <c r="P827" s="2" t="s">
        <v>15157</v>
      </c>
      <c r="Q827" s="2" t="s">
        <v>15158</v>
      </c>
      <c r="R827" s="2" t="s">
        <v>794</v>
      </c>
      <c r="S827" s="2" t="s">
        <v>795</v>
      </c>
      <c r="T827" s="2" t="s">
        <v>796</v>
      </c>
      <c r="U827" s="2" t="s">
        <v>6826</v>
      </c>
      <c r="V827" s="2" t="s">
        <v>205</v>
      </c>
      <c r="W827" s="2" t="s">
        <v>56</v>
      </c>
    </row>
    <row r="828">
      <c r="A828" s="2" t="n">
        <v>618</v>
      </c>
      <c r="B828" s="2" t="s">
        <v>15159</v>
      </c>
      <c r="C828" s="2" t="s">
        <v>6836</v>
      </c>
      <c r="D828" s="2" t="n">
        <v>396.994429541</v>
      </c>
      <c r="E828" s="2" t="n">
        <v>7.30654506048067</v>
      </c>
      <c r="F828" s="2" t="s">
        <v>6838</v>
      </c>
      <c r="G828" s="2" t="n">
        <v>206974</v>
      </c>
      <c r="H828" s="3" t="str">
        <f>HYPERLINK("http://funmeta.oebiotech.com/network/206974", "http://funmeta.oebiotech.com/network/206974")</f>
      </c>
      <c r="I828" s="2" t="s">
        <v>6840</v>
      </c>
      <c r="J828" s="2"/>
      <c r="K828" s="2"/>
      <c r="L828" s="2"/>
      <c r="M828" s="2"/>
      <c r="N828" s="2"/>
      <c r="O828" s="2"/>
      <c r="P828" s="2" t="s">
        <v>6841</v>
      </c>
      <c r="Q828" s="2" t="s">
        <v>6842</v>
      </c>
      <c r="R828" s="2" t="s">
        <v>129</v>
      </c>
      <c r="S828" s="2" t="s">
        <v>130</v>
      </c>
      <c r="T828" s="2" t="s">
        <v>1681</v>
      </c>
      <c r="U828" s="2" t="s">
        <v>6837</v>
      </c>
      <c r="V828" s="2" t="s">
        <v>86</v>
      </c>
      <c r="W828" s="2"/>
    </row>
    <row r="829">
      <c r="A829" s="2" t="n">
        <v>619</v>
      </c>
      <c r="B829" s="2" t="s">
        <v>15160</v>
      </c>
      <c r="C829" s="2" t="s">
        <v>6843</v>
      </c>
      <c r="D829" s="2" t="n">
        <v>397.105955048</v>
      </c>
      <c r="E829" s="2" t="n">
        <v>1.93010925592726</v>
      </c>
      <c r="F829" s="2" t="s">
        <v>15161</v>
      </c>
      <c r="G829" s="2" t="n">
        <v>55940</v>
      </c>
      <c r="H829" s="3" t="str">
        <f>HYPERLINK("http://funmeta.oebiotech.com/network/55940", "http://funmeta.oebiotech.com/network/55940")</f>
      </c>
      <c r="I829" s="2" t="s">
        <v>15162</v>
      </c>
      <c r="J829" s="2"/>
      <c r="K829" s="2"/>
      <c r="L829" s="2"/>
      <c r="M829" s="2"/>
      <c r="N829" s="2"/>
      <c r="O829" s="2" t="s">
        <v>15163</v>
      </c>
      <c r="P829" s="2" t="s">
        <v>15164</v>
      </c>
      <c r="Q829" s="2" t="s">
        <v>15165</v>
      </c>
      <c r="R829" s="2" t="s">
        <v>794</v>
      </c>
      <c r="S829" s="2" t="s">
        <v>1098</v>
      </c>
      <c r="T829" s="2" t="s">
        <v>4662</v>
      </c>
      <c r="U829" s="2" t="s">
        <v>6844</v>
      </c>
      <c r="V829" s="2" t="s">
        <v>86</v>
      </c>
      <c r="W829" s="2" t="s">
        <v>56</v>
      </c>
    </row>
    <row r="830">
      <c r="A830" s="2" t="n">
        <v>619</v>
      </c>
      <c r="B830" s="2" t="s">
        <v>15166</v>
      </c>
      <c r="C830" s="2" t="s">
        <v>6843</v>
      </c>
      <c r="D830" s="2" t="n">
        <v>397.105955048</v>
      </c>
      <c r="E830" s="2" t="n">
        <v>1.93010925592726</v>
      </c>
      <c r="F830" s="2" t="s">
        <v>15167</v>
      </c>
      <c r="G830" s="2" t="n">
        <v>58969</v>
      </c>
      <c r="H830" s="3" t="str">
        <f>HYPERLINK("http://funmeta.oebiotech.com/network/58969", "http://funmeta.oebiotech.com/network/58969")</f>
      </c>
      <c r="I830" s="2" t="s">
        <v>15168</v>
      </c>
      <c r="J830" s="2" t="s">
        <v>15169</v>
      </c>
      <c r="K830" s="2"/>
      <c r="L830" s="2"/>
      <c r="M830" s="2"/>
      <c r="N830" s="2" t="s">
        <v>15170</v>
      </c>
      <c r="O830" s="2" t="s">
        <v>15171</v>
      </c>
      <c r="P830" s="2" t="s">
        <v>15172</v>
      </c>
      <c r="Q830" s="2" t="s">
        <v>15173</v>
      </c>
      <c r="R830" s="2" t="s">
        <v>794</v>
      </c>
      <c r="S830" s="2" t="s">
        <v>1098</v>
      </c>
      <c r="T830" s="2" t="s">
        <v>4662</v>
      </c>
      <c r="U830" s="2" t="s">
        <v>6844</v>
      </c>
      <c r="V830" s="2" t="s">
        <v>86</v>
      </c>
      <c r="W830" s="2" t="s">
        <v>56</v>
      </c>
    </row>
    <row r="831">
      <c r="A831" s="2" t="n">
        <v>619</v>
      </c>
      <c r="B831" s="2" t="s">
        <v>15174</v>
      </c>
      <c r="C831" s="2" t="s">
        <v>6843</v>
      </c>
      <c r="D831" s="2" t="n">
        <v>397.105955058</v>
      </c>
      <c r="E831" s="2" t="n">
        <v>1.93010925592726</v>
      </c>
      <c r="F831" s="2" t="s">
        <v>15175</v>
      </c>
      <c r="G831" s="2" t="n">
        <v>60453</v>
      </c>
      <c r="H831" s="3" t="str">
        <f>HYPERLINK("http://funmeta.oebiotech.com/network/60453", "http://funmeta.oebiotech.com/network/60453")</f>
      </c>
      <c r="I831" s="2" t="s">
        <v>15176</v>
      </c>
      <c r="J831" s="2" t="s">
        <v>15177</v>
      </c>
      <c r="K831" s="2"/>
      <c r="L831" s="2"/>
      <c r="M831" s="2"/>
      <c r="N831" s="2" t="s">
        <v>15178</v>
      </c>
      <c r="O831" s="2" t="s">
        <v>15179</v>
      </c>
      <c r="P831" s="2" t="s">
        <v>15180</v>
      </c>
      <c r="Q831" s="2" t="s">
        <v>15181</v>
      </c>
      <c r="R831" s="2" t="s">
        <v>114</v>
      </c>
      <c r="S831" s="2" t="s">
        <v>4855</v>
      </c>
      <c r="T831" s="2" t="s">
        <v>215</v>
      </c>
      <c r="U831" s="2" t="s">
        <v>6844</v>
      </c>
      <c r="V831" s="2" t="s">
        <v>86</v>
      </c>
      <c r="W831" s="2" t="s">
        <v>56</v>
      </c>
    </row>
    <row r="832">
      <c r="A832" s="2" t="n">
        <v>620</v>
      </c>
      <c r="B832" s="2" t="s">
        <v>15182</v>
      </c>
      <c r="C832" s="2" t="s">
        <v>6856</v>
      </c>
      <c r="D832" s="2" t="n">
        <v>397.180267248</v>
      </c>
      <c r="E832" s="2" t="n">
        <v>0.351511739802361</v>
      </c>
      <c r="F832" s="2" t="s">
        <v>6858</v>
      </c>
      <c r="G832" s="2" t="n">
        <v>208962</v>
      </c>
      <c r="H832" s="3" t="str">
        <f>HYPERLINK("http://funmeta.oebiotech.com/network/208962", "http://funmeta.oebiotech.com/network/208962")</f>
      </c>
      <c r="I832" s="2" t="s">
        <v>6860</v>
      </c>
      <c r="J832" s="2"/>
      <c r="K832" s="2"/>
      <c r="L832" s="2"/>
      <c r="M832" s="2"/>
      <c r="N832" s="2" t="s">
        <v>6861</v>
      </c>
      <c r="O832" s="2"/>
      <c r="P832" s="2" t="s">
        <v>6862</v>
      </c>
      <c r="Q832" s="2" t="s">
        <v>6863</v>
      </c>
      <c r="R832" s="2" t="s">
        <v>36</v>
      </c>
      <c r="S832" s="2" t="s">
        <v>37</v>
      </c>
      <c r="T832" s="2" t="s">
        <v>69</v>
      </c>
      <c r="U832" s="2" t="s">
        <v>6857</v>
      </c>
      <c r="V832" s="2" t="s">
        <v>24</v>
      </c>
      <c r="W832" s="2"/>
    </row>
    <row r="833">
      <c r="A833" s="2" t="n">
        <v>621</v>
      </c>
      <c r="B833" s="2" t="s">
        <v>15183</v>
      </c>
      <c r="C833" s="2" t="s">
        <v>6864</v>
      </c>
      <c r="D833" s="2" t="n">
        <v>399.194376134</v>
      </c>
      <c r="E833" s="2" t="n">
        <v>1.76329492040138</v>
      </c>
      <c r="F833" s="2" t="s">
        <v>15184</v>
      </c>
      <c r="G833" s="2" t="n">
        <v>45071</v>
      </c>
      <c r="H833" s="3" t="str">
        <f>HYPERLINK("http://funmeta.oebiotech.com/network/45071", "http://funmeta.oebiotech.com/network/45071")</f>
      </c>
      <c r="I833" s="2" t="s">
        <v>15185</v>
      </c>
      <c r="J833" s="2" t="s">
        <v>15186</v>
      </c>
      <c r="K833" s="2" t="s">
        <v>15187</v>
      </c>
      <c r="L833" s="2" t="s">
        <v>15188</v>
      </c>
      <c r="M833" s="2" t="s">
        <v>15189</v>
      </c>
      <c r="N833" s="2" t="s">
        <v>15190</v>
      </c>
      <c r="O833" s="2" t="s">
        <v>15191</v>
      </c>
      <c r="P833" s="2" t="s">
        <v>15192</v>
      </c>
      <c r="Q833" s="2" t="s">
        <v>15193</v>
      </c>
      <c r="R833" s="2" t="s">
        <v>794</v>
      </c>
      <c r="S833" s="2" t="s">
        <v>2971</v>
      </c>
      <c r="T833" s="2" t="s">
        <v>7542</v>
      </c>
      <c r="U833" s="2" t="s">
        <v>6865</v>
      </c>
      <c r="V833" s="2" t="s">
        <v>86</v>
      </c>
      <c r="W833" s="2" t="s">
        <v>56</v>
      </c>
    </row>
    <row r="834">
      <c r="A834" s="2" t="n">
        <v>621</v>
      </c>
      <c r="B834" s="2" t="s">
        <v>15194</v>
      </c>
      <c r="C834" s="2" t="s">
        <v>6864</v>
      </c>
      <c r="D834" s="2" t="n">
        <v>399.194376134</v>
      </c>
      <c r="E834" s="2" t="n">
        <v>1.76329492040138</v>
      </c>
      <c r="F834" s="2" t="s">
        <v>15195</v>
      </c>
      <c r="G834" s="2" t="n">
        <v>48865</v>
      </c>
      <c r="H834" s="3" t="str">
        <f>HYPERLINK("http://funmeta.oebiotech.com/network/48865", "http://funmeta.oebiotech.com/network/48865")</f>
      </c>
      <c r="I834" s="2" t="s">
        <v>15196</v>
      </c>
      <c r="J834" s="2"/>
      <c r="K834" s="2"/>
      <c r="L834" s="2" t="s">
        <v>15197</v>
      </c>
      <c r="M834" s="2"/>
      <c r="N834" s="2" t="s">
        <v>15198</v>
      </c>
      <c r="O834" s="2"/>
      <c r="P834" s="2" t="s">
        <v>15199</v>
      </c>
      <c r="Q834" s="2" t="s">
        <v>15200</v>
      </c>
      <c r="R834" s="2" t="s">
        <v>794</v>
      </c>
      <c r="S834" s="2" t="s">
        <v>2971</v>
      </c>
      <c r="T834" s="2" t="s">
        <v>7542</v>
      </c>
      <c r="U834" s="2" t="s">
        <v>6865</v>
      </c>
      <c r="V834" s="2" t="s">
        <v>86</v>
      </c>
      <c r="W834" s="2" t="s">
        <v>56</v>
      </c>
    </row>
    <row r="835">
      <c r="A835" s="2" t="n">
        <v>621</v>
      </c>
      <c r="B835" s="2" t="s">
        <v>15201</v>
      </c>
      <c r="C835" s="2" t="s">
        <v>6864</v>
      </c>
      <c r="D835" s="2" t="n">
        <v>399.194376134</v>
      </c>
      <c r="E835" s="2" t="n">
        <v>1.76329492040138</v>
      </c>
      <c r="F835" s="2" t="s">
        <v>15202</v>
      </c>
      <c r="G835" s="2" t="n">
        <v>48862</v>
      </c>
      <c r="H835" s="3" t="str">
        <f>HYPERLINK("http://funmeta.oebiotech.com/network/48862", "http://funmeta.oebiotech.com/network/48862")</f>
      </c>
      <c r="I835" s="2" t="s">
        <v>15203</v>
      </c>
      <c r="J835" s="2"/>
      <c r="K835" s="2"/>
      <c r="L835" s="2" t="s">
        <v>15204</v>
      </c>
      <c r="M835" s="2"/>
      <c r="N835" s="2" t="s">
        <v>15205</v>
      </c>
      <c r="O835" s="2"/>
      <c r="P835" s="2" t="s">
        <v>15206</v>
      </c>
      <c r="Q835" s="2" t="s">
        <v>15207</v>
      </c>
      <c r="R835" s="2" t="s">
        <v>794</v>
      </c>
      <c r="S835" s="2" t="s">
        <v>2971</v>
      </c>
      <c r="T835" s="2" t="s">
        <v>7542</v>
      </c>
      <c r="U835" s="2" t="s">
        <v>6865</v>
      </c>
      <c r="V835" s="2" t="s">
        <v>86</v>
      </c>
      <c r="W835" s="2" t="s">
        <v>56</v>
      </c>
    </row>
    <row r="836">
      <c r="A836" s="2" t="n">
        <v>622</v>
      </c>
      <c r="B836" s="2" t="s">
        <v>15208</v>
      </c>
      <c r="C836" s="2" t="s">
        <v>6879</v>
      </c>
      <c r="D836" s="2" t="n">
        <v>399.264766712</v>
      </c>
      <c r="E836" s="2" t="n">
        <v>3.07510940323905</v>
      </c>
      <c r="F836" s="2" t="s">
        <v>6881</v>
      </c>
      <c r="G836" s="2" t="n">
        <v>212991</v>
      </c>
      <c r="H836" s="3" t="str">
        <f>HYPERLINK("http://funmeta.oebiotech.com/network/212991", "http://funmeta.oebiotech.com/network/212991")</f>
      </c>
      <c r="I836" s="2" t="s">
        <v>6883</v>
      </c>
      <c r="J836" s="2"/>
      <c r="K836" s="2"/>
      <c r="L836" s="2"/>
      <c r="M836" s="2"/>
      <c r="N836" s="2" t="s">
        <v>6884</v>
      </c>
      <c r="O836" s="2"/>
      <c r="P836" s="2" t="s">
        <v>6885</v>
      </c>
      <c r="Q836" s="2" t="s">
        <v>6886</v>
      </c>
      <c r="R836" s="2" t="s">
        <v>36</v>
      </c>
      <c r="S836" s="2" t="s">
        <v>37</v>
      </c>
      <c r="T836" s="2" t="s">
        <v>69</v>
      </c>
      <c r="U836" s="2" t="s">
        <v>6880</v>
      </c>
      <c r="V836" s="2" t="s">
        <v>161</v>
      </c>
      <c r="W836" s="2"/>
    </row>
    <row r="837">
      <c r="A837" s="2" t="n">
        <v>623</v>
      </c>
      <c r="B837" s="2" t="s">
        <v>15209</v>
      </c>
      <c r="C837" s="2" t="s">
        <v>6887</v>
      </c>
      <c r="D837" s="2" t="n">
        <v>400.005121117</v>
      </c>
      <c r="E837" s="2" t="n">
        <v>3.17853547393792</v>
      </c>
      <c r="F837" s="2" t="s">
        <v>6889</v>
      </c>
      <c r="G837" s="2" t="n">
        <v>82415</v>
      </c>
      <c r="H837" s="3" t="str">
        <f>HYPERLINK("http://funmeta.oebiotech.com/network/82415", "http://funmeta.oebiotech.com/network/82415")</f>
      </c>
      <c r="I837" s="2" t="s">
        <v>6891</v>
      </c>
      <c r="J837" s="2"/>
      <c r="K837" s="2"/>
      <c r="L837" s="2"/>
      <c r="M837" s="2"/>
      <c r="N837" s="2" t="s">
        <v>6892</v>
      </c>
      <c r="O837" s="2"/>
      <c r="P837" s="2" t="s">
        <v>6893</v>
      </c>
      <c r="Q837" s="2" t="s">
        <v>6894</v>
      </c>
      <c r="R837" s="2" t="s">
        <v>186</v>
      </c>
      <c r="S837" s="2" t="s">
        <v>187</v>
      </c>
      <c r="T837" s="2" t="s">
        <v>6895</v>
      </c>
      <c r="U837" s="2" t="s">
        <v>6888</v>
      </c>
      <c r="V837" s="2" t="s">
        <v>205</v>
      </c>
      <c r="W837" s="2" t="s">
        <v>56</v>
      </c>
    </row>
    <row r="838">
      <c r="A838" s="2" t="n">
        <v>624</v>
      </c>
      <c r="B838" s="2" t="s">
        <v>15210</v>
      </c>
      <c r="C838" s="2" t="s">
        <v>6896</v>
      </c>
      <c r="D838" s="2" t="n">
        <v>400.9584946</v>
      </c>
      <c r="E838" s="2" t="n">
        <v>1.7992819257405</v>
      </c>
      <c r="F838" s="2" t="s">
        <v>6898</v>
      </c>
      <c r="G838" s="2" t="n">
        <v>201874</v>
      </c>
      <c r="H838" s="3" t="str">
        <f>HYPERLINK("http://funmeta.oebiotech.com/network/201874", "http://funmeta.oebiotech.com/network/201874")</f>
      </c>
      <c r="I838" s="2" t="s">
        <v>6900</v>
      </c>
      <c r="J838" s="2" t="s">
        <v>6901</v>
      </c>
      <c r="K838" s="2"/>
      <c r="L838" s="2"/>
      <c r="M838" s="2"/>
      <c r="N838" s="2" t="s">
        <v>6902</v>
      </c>
      <c r="O838" s="2"/>
      <c r="P838" s="2" t="s">
        <v>6903</v>
      </c>
      <c r="Q838" s="2" t="s">
        <v>6904</v>
      </c>
      <c r="R838" s="2" t="s">
        <v>186</v>
      </c>
      <c r="S838" s="2" t="s">
        <v>187</v>
      </c>
      <c r="T838" s="2" t="s">
        <v>1206</v>
      </c>
      <c r="U838" s="2" t="s">
        <v>6897</v>
      </c>
      <c r="V838" s="2" t="s">
        <v>683</v>
      </c>
      <c r="W838" s="2"/>
    </row>
    <row r="839">
      <c r="A839" s="2" t="n">
        <v>625</v>
      </c>
      <c r="B839" s="2" t="s">
        <v>15211</v>
      </c>
      <c r="C839" s="2" t="s">
        <v>6905</v>
      </c>
      <c r="D839" s="2" t="n">
        <v>401.158384558</v>
      </c>
      <c r="E839" s="2" t="n">
        <v>0.90784002253208</v>
      </c>
      <c r="F839" s="2" t="s">
        <v>15212</v>
      </c>
      <c r="G839" s="2" t="n">
        <v>63208</v>
      </c>
      <c r="H839" s="3" t="str">
        <f>HYPERLINK("http://funmeta.oebiotech.com/network/63208", "http://funmeta.oebiotech.com/network/63208")</f>
      </c>
      <c r="I839" s="2" t="s">
        <v>15213</v>
      </c>
      <c r="J839" s="2" t="s">
        <v>15214</v>
      </c>
      <c r="K839" s="2"/>
      <c r="L839" s="2"/>
      <c r="M839" s="2" t="s">
        <v>15215</v>
      </c>
      <c r="N839" s="2" t="s">
        <v>15216</v>
      </c>
      <c r="O839" s="2" t="s">
        <v>15217</v>
      </c>
      <c r="P839" s="2" t="s">
        <v>15218</v>
      </c>
      <c r="Q839" s="2" t="s">
        <v>15219</v>
      </c>
      <c r="R839" s="2" t="s">
        <v>794</v>
      </c>
      <c r="S839" s="2" t="s">
        <v>1098</v>
      </c>
      <c r="T839" s="2" t="s">
        <v>7878</v>
      </c>
      <c r="U839" s="2" t="s">
        <v>6906</v>
      </c>
      <c r="V839" s="2" t="s">
        <v>86</v>
      </c>
      <c r="W839" s="2" t="s">
        <v>56</v>
      </c>
    </row>
    <row r="840">
      <c r="A840" s="2" t="n">
        <v>625</v>
      </c>
      <c r="B840" s="2" t="s">
        <v>15220</v>
      </c>
      <c r="C840" s="2" t="s">
        <v>6905</v>
      </c>
      <c r="D840" s="2" t="n">
        <v>401.158384558</v>
      </c>
      <c r="E840" s="2" t="n">
        <v>0.90784002253208</v>
      </c>
      <c r="F840" s="2" t="s">
        <v>15221</v>
      </c>
      <c r="G840" s="2" t="n">
        <v>63209</v>
      </c>
      <c r="H840" s="3" t="str">
        <f>HYPERLINK("http://funmeta.oebiotech.com/network/63209", "http://funmeta.oebiotech.com/network/63209")</f>
      </c>
      <c r="I840" s="2" t="s">
        <v>15222</v>
      </c>
      <c r="J840" s="2" t="s">
        <v>15223</v>
      </c>
      <c r="K840" s="2"/>
      <c r="L840" s="2"/>
      <c r="M840" s="2" t="s">
        <v>15224</v>
      </c>
      <c r="N840" s="2" t="s">
        <v>15225</v>
      </c>
      <c r="O840" s="2" t="s">
        <v>15226</v>
      </c>
      <c r="P840" s="2" t="s">
        <v>15227</v>
      </c>
      <c r="Q840" s="2" t="s">
        <v>15228</v>
      </c>
      <c r="R840" s="2" t="s">
        <v>794</v>
      </c>
      <c r="S840" s="2" t="s">
        <v>1098</v>
      </c>
      <c r="T840" s="2" t="s">
        <v>7878</v>
      </c>
      <c r="U840" s="2" t="s">
        <v>6906</v>
      </c>
      <c r="V840" s="2" t="s">
        <v>86</v>
      </c>
      <c r="W840" s="2" t="s">
        <v>56</v>
      </c>
    </row>
    <row r="841">
      <c r="A841" s="2" t="n">
        <v>625</v>
      </c>
      <c r="B841" s="2" t="s">
        <v>15229</v>
      </c>
      <c r="C841" s="2" t="s">
        <v>6905</v>
      </c>
      <c r="D841" s="2" t="n">
        <v>401.158384558</v>
      </c>
      <c r="E841" s="2" t="n">
        <v>0.90784002253208</v>
      </c>
      <c r="F841" s="2" t="s">
        <v>15230</v>
      </c>
      <c r="G841" s="2" t="n">
        <v>57468</v>
      </c>
      <c r="H841" s="3" t="str">
        <f>HYPERLINK("http://funmeta.oebiotech.com/network/57468", "http://funmeta.oebiotech.com/network/57468")</f>
      </c>
      <c r="I841" s="2" t="s">
        <v>15231</v>
      </c>
      <c r="J841" s="2" t="s">
        <v>15232</v>
      </c>
      <c r="K841" s="2"/>
      <c r="L841" s="2"/>
      <c r="M841" s="2" t="s">
        <v>15233</v>
      </c>
      <c r="N841" s="2" t="s">
        <v>15234</v>
      </c>
      <c r="O841" s="2" t="s">
        <v>15235</v>
      </c>
      <c r="P841" s="2" t="s">
        <v>15236</v>
      </c>
      <c r="Q841" s="2" t="s">
        <v>15237</v>
      </c>
      <c r="R841" s="2" t="s">
        <v>794</v>
      </c>
      <c r="S841" s="2" t="s">
        <v>795</v>
      </c>
      <c r="T841" s="2" t="s">
        <v>8424</v>
      </c>
      <c r="U841" s="2" t="s">
        <v>6906</v>
      </c>
      <c r="V841" s="2" t="s">
        <v>86</v>
      </c>
      <c r="W841" s="2" t="s">
        <v>56</v>
      </c>
    </row>
    <row r="842">
      <c r="A842" s="2" t="n">
        <v>626</v>
      </c>
      <c r="B842" s="2" t="s">
        <v>15238</v>
      </c>
      <c r="C842" s="2" t="s">
        <v>6918</v>
      </c>
      <c r="D842" s="2" t="n">
        <v>401.208196074</v>
      </c>
      <c r="E842" s="2" t="n">
        <v>4.25980853917975</v>
      </c>
      <c r="F842" s="2" t="s">
        <v>15239</v>
      </c>
      <c r="G842" s="2" t="n">
        <v>202727</v>
      </c>
      <c r="H842" s="3" t="str">
        <f>HYPERLINK("http://funmeta.oebiotech.com/network/202727", "http://funmeta.oebiotech.com/network/202727")</f>
      </c>
      <c r="I842" s="2" t="s">
        <v>15240</v>
      </c>
      <c r="J842" s="2"/>
      <c r="K842" s="2"/>
      <c r="L842" s="2"/>
      <c r="M842" s="2"/>
      <c r="N842" s="2" t="s">
        <v>15241</v>
      </c>
      <c r="O842" s="2"/>
      <c r="P842" s="2" t="s">
        <v>15242</v>
      </c>
      <c r="Q842" s="2" t="s">
        <v>15243</v>
      </c>
      <c r="R842" s="2" t="s">
        <v>36</v>
      </c>
      <c r="S842" s="2" t="s">
        <v>37</v>
      </c>
      <c r="T842" s="2" t="s">
        <v>69</v>
      </c>
      <c r="U842" s="2" t="s">
        <v>6919</v>
      </c>
      <c r="V842" s="2" t="s">
        <v>24</v>
      </c>
      <c r="W842" s="2"/>
    </row>
    <row r="843">
      <c r="A843" s="2" t="n">
        <v>626</v>
      </c>
      <c r="B843" s="2" t="s">
        <v>15244</v>
      </c>
      <c r="C843" s="2" t="s">
        <v>6918</v>
      </c>
      <c r="D843" s="2" t="n">
        <v>401.20819608</v>
      </c>
      <c r="E843" s="2" t="n">
        <v>4.25980853917975</v>
      </c>
      <c r="F843" s="2" t="s">
        <v>15245</v>
      </c>
      <c r="G843" s="2" t="n">
        <v>82466</v>
      </c>
      <c r="H843" s="3" t="str">
        <f>HYPERLINK("http://funmeta.oebiotech.com/network/82466", "http://funmeta.oebiotech.com/network/82466")</f>
      </c>
      <c r="I843" s="2" t="s">
        <v>15246</v>
      </c>
      <c r="J843" s="2" t="s">
        <v>15247</v>
      </c>
      <c r="K843" s="2"/>
      <c r="L843" s="2"/>
      <c r="M843" s="2"/>
      <c r="N843" s="2" t="s">
        <v>15248</v>
      </c>
      <c r="O843" s="2" t="s">
        <v>15249</v>
      </c>
      <c r="P843" s="2" t="s">
        <v>15250</v>
      </c>
      <c r="Q843" s="2" t="s">
        <v>15251</v>
      </c>
      <c r="R843" s="2" t="s">
        <v>36</v>
      </c>
      <c r="S843" s="2" t="s">
        <v>37</v>
      </c>
      <c r="T843" s="2" t="s">
        <v>69</v>
      </c>
      <c r="U843" s="2" t="s">
        <v>6919</v>
      </c>
      <c r="V843" s="2" t="s">
        <v>24</v>
      </c>
      <c r="W843" s="2"/>
    </row>
    <row r="844">
      <c r="A844" s="2" t="n">
        <v>627</v>
      </c>
      <c r="B844" s="2" t="s">
        <v>15252</v>
      </c>
      <c r="C844" s="2" t="s">
        <v>6928</v>
      </c>
      <c r="D844" s="2" t="n">
        <v>401.259287407</v>
      </c>
      <c r="E844" s="2" t="n">
        <v>0.894162745736161</v>
      </c>
      <c r="F844" s="2" t="s">
        <v>6930</v>
      </c>
      <c r="G844" s="2" t="n">
        <v>199962</v>
      </c>
      <c r="H844" s="3" t="str">
        <f>HYPERLINK("http://funmeta.oebiotech.com/network/199962", "http://funmeta.oebiotech.com/network/199962")</f>
      </c>
      <c r="I844" s="2" t="s">
        <v>6932</v>
      </c>
      <c r="J844" s="2"/>
      <c r="K844" s="2"/>
      <c r="L844" s="2"/>
      <c r="M844" s="2"/>
      <c r="N844" s="2" t="s">
        <v>6933</v>
      </c>
      <c r="O844" s="2"/>
      <c r="P844" s="2" t="s">
        <v>6934</v>
      </c>
      <c r="Q844" s="2" t="s">
        <v>6935</v>
      </c>
      <c r="R844" s="2" t="s">
        <v>186</v>
      </c>
      <c r="S844" s="2" t="s">
        <v>911</v>
      </c>
      <c r="T844" s="2" t="s">
        <v>2144</v>
      </c>
      <c r="U844" s="2" t="s">
        <v>6929</v>
      </c>
      <c r="V844" s="2" t="s">
        <v>161</v>
      </c>
      <c r="W844" s="2"/>
    </row>
    <row r="845">
      <c r="A845" s="2" t="n">
        <v>628</v>
      </c>
      <c r="B845" s="2" t="s">
        <v>15253</v>
      </c>
      <c r="C845" s="2" t="s">
        <v>6936</v>
      </c>
      <c r="D845" s="2" t="n">
        <v>401.290863076</v>
      </c>
      <c r="E845" s="2" t="n">
        <v>9.07085922237275</v>
      </c>
      <c r="F845" s="2" t="s">
        <v>6938</v>
      </c>
      <c r="G845" s="2" t="n">
        <v>7658</v>
      </c>
      <c r="H845" s="3" t="str">
        <f>HYPERLINK("http://funmeta.oebiotech.com/network/7658", "http://funmeta.oebiotech.com/network/7658")</f>
      </c>
      <c r="I845" s="2" t="s">
        <v>6939</v>
      </c>
      <c r="J845" s="2" t="s">
        <v>6940</v>
      </c>
      <c r="K845" s="2" t="s">
        <v>6941</v>
      </c>
      <c r="L845" s="2"/>
      <c r="M845" s="2"/>
      <c r="N845" s="2" t="s">
        <v>6942</v>
      </c>
      <c r="O845" s="2" t="s">
        <v>6943</v>
      </c>
      <c r="P845" s="2" t="s">
        <v>6944</v>
      </c>
      <c r="Q845" s="2" t="s">
        <v>6945</v>
      </c>
      <c r="R845" s="2" t="s">
        <v>794</v>
      </c>
      <c r="S845" s="2" t="s">
        <v>795</v>
      </c>
      <c r="T845" s="2" t="s">
        <v>1870</v>
      </c>
      <c r="U845" s="2" t="s">
        <v>6937</v>
      </c>
      <c r="V845" s="2" t="s">
        <v>24</v>
      </c>
      <c r="W845" s="2" t="s">
        <v>56</v>
      </c>
    </row>
    <row r="846">
      <c r="A846" s="2" t="n">
        <v>629</v>
      </c>
      <c r="B846" s="2" t="s">
        <v>15254</v>
      </c>
      <c r="C846" s="2" t="s">
        <v>6946</v>
      </c>
      <c r="D846" s="2" t="n">
        <v>401.999063921</v>
      </c>
      <c r="E846" s="2" t="n">
        <v>4.83430289306648</v>
      </c>
      <c r="F846" s="2" t="s">
        <v>6948</v>
      </c>
      <c r="G846" s="2" t="n">
        <v>82642</v>
      </c>
      <c r="H846" s="3" t="str">
        <f>HYPERLINK("http://funmeta.oebiotech.com/network/82642", "http://funmeta.oebiotech.com/network/82642")</f>
      </c>
      <c r="I846" s="2" t="s">
        <v>6950</v>
      </c>
      <c r="J846" s="2" t="s">
        <v>6951</v>
      </c>
      <c r="K846" s="2"/>
      <c r="L846" s="2"/>
      <c r="M846" s="2"/>
      <c r="N846" s="2" t="s">
        <v>6952</v>
      </c>
      <c r="O846" s="2" t="s">
        <v>6953</v>
      </c>
      <c r="P846" s="2" t="s">
        <v>6954</v>
      </c>
      <c r="Q846" s="2" t="s">
        <v>6955</v>
      </c>
      <c r="R846" s="2" t="s">
        <v>114</v>
      </c>
      <c r="S846" s="2" t="s">
        <v>5831</v>
      </c>
      <c r="T846" s="2" t="s">
        <v>215</v>
      </c>
      <c r="U846" s="2" t="s">
        <v>6947</v>
      </c>
      <c r="V846" s="2" t="s">
        <v>86</v>
      </c>
      <c r="W846" s="2"/>
    </row>
    <row r="847">
      <c r="A847" s="2" t="n">
        <v>630</v>
      </c>
      <c r="B847" s="2" t="s">
        <v>15255</v>
      </c>
      <c r="C847" s="2" t="s">
        <v>6956</v>
      </c>
      <c r="D847" s="2" t="n">
        <v>403.009291</v>
      </c>
      <c r="E847" s="2" t="n">
        <v>3.46453215682663</v>
      </c>
      <c r="F847" s="2" t="s">
        <v>6958</v>
      </c>
      <c r="G847" s="2" t="n">
        <v>199558</v>
      </c>
      <c r="H847" s="3" t="str">
        <f>HYPERLINK("http://funmeta.oebiotech.com/network/199558", "http://funmeta.oebiotech.com/network/199558")</f>
      </c>
      <c r="I847" s="2" t="s">
        <v>6960</v>
      </c>
      <c r="J847" s="2"/>
      <c r="K847" s="2"/>
      <c r="L847" s="2"/>
      <c r="M847" s="2"/>
      <c r="N847" s="2" t="s">
        <v>6961</v>
      </c>
      <c r="O847" s="2"/>
      <c r="P847" s="2" t="s">
        <v>6962</v>
      </c>
      <c r="Q847" s="2" t="s">
        <v>6963</v>
      </c>
      <c r="R847" s="2" t="s">
        <v>213</v>
      </c>
      <c r="S847" s="2" t="s">
        <v>466</v>
      </c>
      <c r="T847" s="2" t="s">
        <v>215</v>
      </c>
      <c r="U847" s="2" t="s">
        <v>6957</v>
      </c>
      <c r="V847" s="2" t="s">
        <v>683</v>
      </c>
      <c r="W847" s="2"/>
    </row>
    <row r="848">
      <c r="A848" s="2" t="n">
        <v>631</v>
      </c>
      <c r="B848" s="2" t="s">
        <v>15256</v>
      </c>
      <c r="C848" s="2" t="s">
        <v>6964</v>
      </c>
      <c r="D848" s="2" t="n">
        <v>403.176222942</v>
      </c>
      <c r="E848" s="2" t="n">
        <v>0.230020991824031</v>
      </c>
      <c r="F848" s="2" t="s">
        <v>15257</v>
      </c>
      <c r="G848" s="2" t="n">
        <v>55525</v>
      </c>
      <c r="H848" s="3" t="str">
        <f>HYPERLINK("http://funmeta.oebiotech.com/network/55525", "http://funmeta.oebiotech.com/network/55525")</f>
      </c>
      <c r="I848" s="2" t="s">
        <v>15258</v>
      </c>
      <c r="J848" s="2" t="s">
        <v>15259</v>
      </c>
      <c r="K848" s="2"/>
      <c r="L848" s="2"/>
      <c r="M848" s="2" t="s">
        <v>15260</v>
      </c>
      <c r="N848" s="2" t="s">
        <v>15261</v>
      </c>
      <c r="O848" s="2" t="s">
        <v>15262</v>
      </c>
      <c r="P848" s="2" t="s">
        <v>15263</v>
      </c>
      <c r="Q848" s="2" t="s">
        <v>15264</v>
      </c>
      <c r="R848" s="2" t="s">
        <v>1355</v>
      </c>
      <c r="S848" s="2" t="s">
        <v>3298</v>
      </c>
      <c r="T848" s="2" t="s">
        <v>15265</v>
      </c>
      <c r="U848" s="2" t="s">
        <v>6965</v>
      </c>
      <c r="V848" s="2" t="s">
        <v>205</v>
      </c>
      <c r="W848" s="2" t="s">
        <v>56</v>
      </c>
    </row>
    <row r="849">
      <c r="A849" s="2" t="n">
        <v>631</v>
      </c>
      <c r="B849" s="2" t="s">
        <v>15266</v>
      </c>
      <c r="C849" s="2" t="s">
        <v>6964</v>
      </c>
      <c r="D849" s="2" t="n">
        <v>403.176222942</v>
      </c>
      <c r="E849" s="2" t="n">
        <v>0.230020991824031</v>
      </c>
      <c r="F849" s="2" t="s">
        <v>15267</v>
      </c>
      <c r="G849" s="2" t="n">
        <v>55532</v>
      </c>
      <c r="H849" s="3" t="str">
        <f>HYPERLINK("http://funmeta.oebiotech.com/network/55532", "http://funmeta.oebiotech.com/network/55532")</f>
      </c>
      <c r="I849" s="2" t="s">
        <v>15268</v>
      </c>
      <c r="J849" s="2"/>
      <c r="K849" s="2"/>
      <c r="L849" s="2"/>
      <c r="M849" s="2"/>
      <c r="N849" s="2" t="s">
        <v>15269</v>
      </c>
      <c r="O849" s="2" t="s">
        <v>15270</v>
      </c>
      <c r="P849" s="2" t="s">
        <v>15271</v>
      </c>
      <c r="Q849" s="2" t="s">
        <v>15272</v>
      </c>
      <c r="R849" s="2" t="s">
        <v>129</v>
      </c>
      <c r="S849" s="2" t="s">
        <v>130</v>
      </c>
      <c r="T849" s="2" t="s">
        <v>131</v>
      </c>
      <c r="U849" s="2" t="s">
        <v>6965</v>
      </c>
      <c r="V849" s="2" t="s">
        <v>205</v>
      </c>
      <c r="W849" s="2" t="s">
        <v>56</v>
      </c>
    </row>
    <row r="850">
      <c r="A850" s="2" t="n">
        <v>632</v>
      </c>
      <c r="B850" s="2" t="s">
        <v>15273</v>
      </c>
      <c r="C850" s="2" t="s">
        <v>6978</v>
      </c>
      <c r="D850" s="2" t="n">
        <v>403.23105247</v>
      </c>
      <c r="E850" s="2" t="n">
        <v>0.324538791139795</v>
      </c>
      <c r="F850" s="2" t="s">
        <v>6980</v>
      </c>
      <c r="G850" s="2" t="n">
        <v>52122</v>
      </c>
      <c r="H850" s="3" t="str">
        <f>HYPERLINK("http://funmeta.oebiotech.com/network/52122", "http://funmeta.oebiotech.com/network/52122")</f>
      </c>
      <c r="I850" s="2" t="s">
        <v>6982</v>
      </c>
      <c r="J850" s="2" t="s">
        <v>6983</v>
      </c>
      <c r="K850" s="2"/>
      <c r="L850" s="2"/>
      <c r="M850" s="2" t="s">
        <v>6984</v>
      </c>
      <c r="N850" s="2" t="s">
        <v>6985</v>
      </c>
      <c r="O850" s="2" t="s">
        <v>6986</v>
      </c>
      <c r="P850" s="2" t="s">
        <v>6987</v>
      </c>
      <c r="Q850" s="2" t="s">
        <v>6988</v>
      </c>
      <c r="R850" s="2" t="s">
        <v>36</v>
      </c>
      <c r="S850" s="2" t="s">
        <v>37</v>
      </c>
      <c r="T850" s="2" t="s">
        <v>69</v>
      </c>
      <c r="U850" s="2" t="s">
        <v>6979</v>
      </c>
      <c r="V850" s="2" t="s">
        <v>205</v>
      </c>
      <c r="W850" s="2" t="s">
        <v>56</v>
      </c>
    </row>
    <row r="851">
      <c r="A851" s="2" t="n">
        <v>633</v>
      </c>
      <c r="B851" s="2" t="s">
        <v>15274</v>
      </c>
      <c r="C851" s="2" t="s">
        <v>6989</v>
      </c>
      <c r="D851" s="2" t="n">
        <v>403.999893957</v>
      </c>
      <c r="E851" s="2" t="n">
        <v>0.424604505481168</v>
      </c>
      <c r="F851" s="2" t="s">
        <v>6991</v>
      </c>
      <c r="G851" s="2" t="n">
        <v>212436</v>
      </c>
      <c r="H851" s="3" t="str">
        <f>HYPERLINK("http://funmeta.oebiotech.com/network/212436", "http://funmeta.oebiotech.com/network/212436")</f>
      </c>
      <c r="I851" s="2" t="s">
        <v>6993</v>
      </c>
      <c r="J851" s="2"/>
      <c r="K851" s="2"/>
      <c r="L851" s="2"/>
      <c r="M851" s="2"/>
      <c r="N851" s="2"/>
      <c r="O851" s="2"/>
      <c r="P851" s="2" t="s">
        <v>6994</v>
      </c>
      <c r="Q851" s="2" t="s">
        <v>6995</v>
      </c>
      <c r="R851" s="2" t="s">
        <v>186</v>
      </c>
      <c r="S851" s="2" t="s">
        <v>3046</v>
      </c>
      <c r="T851" s="2" t="s">
        <v>3047</v>
      </c>
      <c r="U851" s="2" t="s">
        <v>6990</v>
      </c>
      <c r="V851" s="2" t="s">
        <v>86</v>
      </c>
      <c r="W851" s="2"/>
    </row>
    <row r="852">
      <c r="A852" s="2" t="n">
        <v>634</v>
      </c>
      <c r="B852" s="2" t="s">
        <v>15275</v>
      </c>
      <c r="C852" s="2" t="s">
        <v>6996</v>
      </c>
      <c r="D852" s="2" t="n">
        <v>405.193214713</v>
      </c>
      <c r="E852" s="2" t="n">
        <v>6.37277229654575</v>
      </c>
      <c r="F852" s="2" t="s">
        <v>6998</v>
      </c>
      <c r="G852" s="2" t="n">
        <v>203649</v>
      </c>
      <c r="H852" s="3" t="str">
        <f>HYPERLINK("http://funmeta.oebiotech.com/network/203649", "http://funmeta.oebiotech.com/network/203649")</f>
      </c>
      <c r="I852" s="2" t="s">
        <v>7000</v>
      </c>
      <c r="J852" s="2"/>
      <c r="K852" s="2"/>
      <c r="L852" s="2"/>
      <c r="M852" s="2"/>
      <c r="N852" s="2"/>
      <c r="O852" s="2"/>
      <c r="P852" s="2" t="s">
        <v>7001</v>
      </c>
      <c r="Q852" s="2" t="s">
        <v>7002</v>
      </c>
      <c r="R852" s="2" t="s">
        <v>3003</v>
      </c>
      <c r="S852" s="2" t="s">
        <v>7003</v>
      </c>
      <c r="T852" s="2" t="s">
        <v>7004</v>
      </c>
      <c r="U852" s="2" t="s">
        <v>6997</v>
      </c>
      <c r="V852" s="2" t="s">
        <v>24</v>
      </c>
      <c r="W852" s="2"/>
    </row>
    <row r="853">
      <c r="A853" s="2" t="n">
        <v>635</v>
      </c>
      <c r="B853" s="2" t="s">
        <v>15276</v>
      </c>
      <c r="C853" s="2" t="s">
        <v>7005</v>
      </c>
      <c r="D853" s="2" t="n">
        <v>405.245448862</v>
      </c>
      <c r="E853" s="2" t="n">
        <v>3.80130765806855</v>
      </c>
      <c r="F853" s="2" t="s">
        <v>7007</v>
      </c>
      <c r="G853" s="2" t="n">
        <v>204497</v>
      </c>
      <c r="H853" s="3" t="str">
        <f>HYPERLINK("http://funmeta.oebiotech.com/network/204497", "http://funmeta.oebiotech.com/network/204497")</f>
      </c>
      <c r="I853" s="2" t="s">
        <v>7009</v>
      </c>
      <c r="J853" s="2"/>
      <c r="K853" s="2"/>
      <c r="L853" s="2"/>
      <c r="M853" s="2"/>
      <c r="N853" s="2" t="s">
        <v>7010</v>
      </c>
      <c r="O853" s="2"/>
      <c r="P853" s="2" t="s">
        <v>7011</v>
      </c>
      <c r="Q853" s="2" t="s">
        <v>7012</v>
      </c>
      <c r="R853" s="2" t="s">
        <v>186</v>
      </c>
      <c r="S853" s="2" t="s">
        <v>187</v>
      </c>
      <c r="T853" s="2" t="s">
        <v>7013</v>
      </c>
      <c r="U853" s="2" t="s">
        <v>7006</v>
      </c>
      <c r="V853" s="2" t="s">
        <v>161</v>
      </c>
      <c r="W853" s="2"/>
    </row>
    <row r="854">
      <c r="A854" s="2" t="n">
        <v>636</v>
      </c>
      <c r="B854" s="2" t="s">
        <v>15277</v>
      </c>
      <c r="C854" s="2" t="s">
        <v>7014</v>
      </c>
      <c r="D854" s="2" t="n">
        <v>406.013883331</v>
      </c>
      <c r="E854" s="2" t="n">
        <v>0.125267501929124</v>
      </c>
      <c r="F854" s="2" t="s">
        <v>7016</v>
      </c>
      <c r="G854" s="2" t="n">
        <v>53212</v>
      </c>
      <c r="H854" s="3" t="str">
        <f>HYPERLINK("http://funmeta.oebiotech.com/network/53212", "http://funmeta.oebiotech.com/network/53212")</f>
      </c>
      <c r="I854" s="2" t="s">
        <v>7018</v>
      </c>
      <c r="J854" s="2"/>
      <c r="K854" s="2"/>
      <c r="L854" s="2"/>
      <c r="M854" s="2" t="s">
        <v>7019</v>
      </c>
      <c r="N854" s="2" t="s">
        <v>7020</v>
      </c>
      <c r="O854" s="2" t="s">
        <v>7021</v>
      </c>
      <c r="P854" s="2" t="s">
        <v>7022</v>
      </c>
      <c r="Q854" s="2" t="s">
        <v>7023</v>
      </c>
      <c r="R854" s="2" t="s">
        <v>36</v>
      </c>
      <c r="S854" s="2" t="s">
        <v>37</v>
      </c>
      <c r="T854" s="2" t="s">
        <v>242</v>
      </c>
      <c r="U854" s="2" t="s">
        <v>7015</v>
      </c>
      <c r="V854" s="2" t="s">
        <v>86</v>
      </c>
      <c r="W854" s="2"/>
    </row>
    <row r="855">
      <c r="A855" s="2" t="n">
        <v>637</v>
      </c>
      <c r="B855" s="2" t="s">
        <v>15278</v>
      </c>
      <c r="C855" s="2" t="s">
        <v>7024</v>
      </c>
      <c r="D855" s="2" t="n">
        <v>406.242138745</v>
      </c>
      <c r="E855" s="2" t="n">
        <v>8.23258316978279</v>
      </c>
      <c r="F855" s="2" t="s">
        <v>7026</v>
      </c>
      <c r="G855" s="2" t="n">
        <v>51461</v>
      </c>
      <c r="H855" s="3" t="str">
        <f>HYPERLINK("http://funmeta.oebiotech.com/network/51461", "http://funmeta.oebiotech.com/network/51461")</f>
      </c>
      <c r="I855" s="2" t="s">
        <v>7028</v>
      </c>
      <c r="J855" s="2"/>
      <c r="K855" s="2"/>
      <c r="L855" s="2"/>
      <c r="M855" s="2"/>
      <c r="N855" s="2" t="s">
        <v>7029</v>
      </c>
      <c r="O855" s="2" t="s">
        <v>7030</v>
      </c>
      <c r="P855" s="2" t="s">
        <v>7031</v>
      </c>
      <c r="Q855" s="2" t="s">
        <v>7032</v>
      </c>
      <c r="R855" s="2" t="s">
        <v>794</v>
      </c>
      <c r="S855" s="2" t="s">
        <v>1098</v>
      </c>
      <c r="T855" s="2" t="s">
        <v>4662</v>
      </c>
      <c r="U855" s="2" t="s">
        <v>7025</v>
      </c>
      <c r="V855" s="2" t="s">
        <v>24</v>
      </c>
      <c r="W855" s="2"/>
    </row>
    <row r="856">
      <c r="A856" s="2" t="n">
        <v>638</v>
      </c>
      <c r="B856" s="2" t="s">
        <v>15279</v>
      </c>
      <c r="C856" s="2" t="s">
        <v>7033</v>
      </c>
      <c r="D856" s="2" t="n">
        <v>407.214738006</v>
      </c>
      <c r="E856" s="2" t="n">
        <v>0.904561003907197</v>
      </c>
      <c r="F856" s="2" t="s">
        <v>7035</v>
      </c>
      <c r="G856" s="2" t="n">
        <v>54063</v>
      </c>
      <c r="H856" s="3" t="str">
        <f>HYPERLINK("http://funmeta.oebiotech.com/network/54063", "http://funmeta.oebiotech.com/network/54063")</f>
      </c>
      <c r="I856" s="2" t="s">
        <v>7037</v>
      </c>
      <c r="J856" s="2" t="s">
        <v>7038</v>
      </c>
      <c r="K856" s="2"/>
      <c r="L856" s="2"/>
      <c r="M856" s="2" t="s">
        <v>7039</v>
      </c>
      <c r="N856" s="2" t="s">
        <v>7040</v>
      </c>
      <c r="O856" s="2" t="s">
        <v>7041</v>
      </c>
      <c r="P856" s="2" t="s">
        <v>7042</v>
      </c>
      <c r="Q856" s="2" t="s">
        <v>7043</v>
      </c>
      <c r="R856" s="2" t="s">
        <v>36</v>
      </c>
      <c r="S856" s="2" t="s">
        <v>37</v>
      </c>
      <c r="T856" s="2" t="s">
        <v>69</v>
      </c>
      <c r="U856" s="2" t="s">
        <v>7034</v>
      </c>
      <c r="V856" s="2" t="s">
        <v>683</v>
      </c>
      <c r="W856" s="2" t="s">
        <v>39</v>
      </c>
    </row>
    <row r="857">
      <c r="A857" s="2" t="n">
        <v>639</v>
      </c>
      <c r="B857" s="2" t="s">
        <v>15280</v>
      </c>
      <c r="C857" s="2" t="s">
        <v>7044</v>
      </c>
      <c r="D857" s="2" t="n">
        <v>407.259169018</v>
      </c>
      <c r="E857" s="2" t="n">
        <v>2.13617371449131</v>
      </c>
      <c r="F857" s="2" t="s">
        <v>15281</v>
      </c>
      <c r="G857" s="2" t="n">
        <v>62330</v>
      </c>
      <c r="H857" s="3" t="str">
        <f>HYPERLINK("http://funmeta.oebiotech.com/network/62330", "http://funmeta.oebiotech.com/network/62330")</f>
      </c>
      <c r="I857" s="2" t="s">
        <v>15282</v>
      </c>
      <c r="J857" s="2" t="s">
        <v>15283</v>
      </c>
      <c r="K857" s="2"/>
      <c r="L857" s="2"/>
      <c r="M857" s="2"/>
      <c r="N857" s="2" t="s">
        <v>15284</v>
      </c>
      <c r="O857" s="2" t="s">
        <v>15285</v>
      </c>
      <c r="P857" s="2" t="s">
        <v>15286</v>
      </c>
      <c r="Q857" s="2" t="s">
        <v>15287</v>
      </c>
      <c r="R857" s="2" t="s">
        <v>794</v>
      </c>
      <c r="S857" s="2" t="s">
        <v>1098</v>
      </c>
      <c r="T857" s="2" t="s">
        <v>15288</v>
      </c>
      <c r="U857" s="2" t="s">
        <v>7045</v>
      </c>
      <c r="V857" s="2" t="s">
        <v>24</v>
      </c>
      <c r="W857" s="2"/>
    </row>
    <row r="858">
      <c r="A858" s="2" t="n">
        <v>639</v>
      </c>
      <c r="B858" s="2" t="s">
        <v>15289</v>
      </c>
      <c r="C858" s="2" t="s">
        <v>7044</v>
      </c>
      <c r="D858" s="2" t="n">
        <v>407.259169019</v>
      </c>
      <c r="E858" s="2" t="n">
        <v>2.13617371449131</v>
      </c>
      <c r="F858" s="2" t="s">
        <v>15290</v>
      </c>
      <c r="G858" s="2" t="n">
        <v>210810</v>
      </c>
      <c r="H858" s="3" t="str">
        <f>HYPERLINK("http://funmeta.oebiotech.com/network/210810", "http://funmeta.oebiotech.com/network/210810")</f>
      </c>
      <c r="I858" s="2" t="s">
        <v>15291</v>
      </c>
      <c r="J858" s="2"/>
      <c r="K858" s="2"/>
      <c r="L858" s="2"/>
      <c r="M858" s="2"/>
      <c r="N858" s="2" t="s">
        <v>15292</v>
      </c>
      <c r="O858" s="2"/>
      <c r="P858" s="2" t="s">
        <v>15293</v>
      </c>
      <c r="Q858" s="2" t="s">
        <v>15294</v>
      </c>
      <c r="R858" s="2" t="s">
        <v>794</v>
      </c>
      <c r="S858" s="2" t="s">
        <v>2971</v>
      </c>
      <c r="T858" s="2" t="s">
        <v>6290</v>
      </c>
      <c r="U858" s="2" t="s">
        <v>7045</v>
      </c>
      <c r="V858" s="2" t="s">
        <v>24</v>
      </c>
      <c r="W858" s="2"/>
    </row>
    <row r="859">
      <c r="A859" s="2" t="n">
        <v>640</v>
      </c>
      <c r="B859" s="2" t="s">
        <v>15295</v>
      </c>
      <c r="C859" s="2" t="s">
        <v>7055</v>
      </c>
      <c r="D859" s="2" t="n">
        <v>408.22120001</v>
      </c>
      <c r="E859" s="2" t="n">
        <v>4.93260341196275</v>
      </c>
      <c r="F859" s="2" t="s">
        <v>7057</v>
      </c>
      <c r="G859" s="2" t="n">
        <v>208249</v>
      </c>
      <c r="H859" s="3" t="str">
        <f>HYPERLINK("http://funmeta.oebiotech.com/network/208249", "http://funmeta.oebiotech.com/network/208249")</f>
      </c>
      <c r="I859" s="2" t="s">
        <v>7059</v>
      </c>
      <c r="J859" s="2" t="s">
        <v>7060</v>
      </c>
      <c r="K859" s="2"/>
      <c r="L859" s="2"/>
      <c r="M859" s="2"/>
      <c r="N859" s="2" t="s">
        <v>7061</v>
      </c>
      <c r="O859" s="2"/>
      <c r="P859" s="2" t="s">
        <v>7062</v>
      </c>
      <c r="Q859" s="2" t="s">
        <v>7063</v>
      </c>
      <c r="R859" s="2" t="s">
        <v>186</v>
      </c>
      <c r="S859" s="2" t="s">
        <v>7064</v>
      </c>
      <c r="T859" s="2" t="s">
        <v>215</v>
      </c>
      <c r="U859" s="2" t="s">
        <v>7056</v>
      </c>
      <c r="V859" s="2" t="s">
        <v>86</v>
      </c>
      <c r="W859" s="2"/>
    </row>
    <row r="860">
      <c r="A860" s="2" t="n">
        <v>641</v>
      </c>
      <c r="B860" s="2" t="s">
        <v>15296</v>
      </c>
      <c r="C860" s="2" t="s">
        <v>7065</v>
      </c>
      <c r="D860" s="2" t="n">
        <v>409.238429268</v>
      </c>
      <c r="E860" s="2" t="n">
        <v>4.54054950488612</v>
      </c>
      <c r="F860" s="2" t="s">
        <v>7067</v>
      </c>
      <c r="G860" s="2" t="n">
        <v>44872</v>
      </c>
      <c r="H860" s="3" t="str">
        <f>HYPERLINK("http://funmeta.oebiotech.com/network/44872", "http://funmeta.oebiotech.com/network/44872")</f>
      </c>
      <c r="I860" s="2" t="s">
        <v>7069</v>
      </c>
      <c r="J860" s="2" t="s">
        <v>7070</v>
      </c>
      <c r="K860" s="2" t="s">
        <v>7071</v>
      </c>
      <c r="L860" s="2" t="s">
        <v>7072</v>
      </c>
      <c r="M860" s="2" t="s">
        <v>7073</v>
      </c>
      <c r="N860" s="2" t="s">
        <v>7074</v>
      </c>
      <c r="O860" s="2" t="s">
        <v>7075</v>
      </c>
      <c r="P860" s="2" t="s">
        <v>7076</v>
      </c>
      <c r="Q860" s="2" t="s">
        <v>7077</v>
      </c>
      <c r="R860" s="2" t="s">
        <v>794</v>
      </c>
      <c r="S860" s="2" t="s">
        <v>2971</v>
      </c>
      <c r="T860" s="2" t="s">
        <v>5934</v>
      </c>
      <c r="U860" s="2" t="s">
        <v>7066</v>
      </c>
      <c r="V860" s="2" t="s">
        <v>205</v>
      </c>
      <c r="W860" s="2" t="s">
        <v>101</v>
      </c>
    </row>
    <row r="861">
      <c r="A861" s="2" t="n">
        <v>642</v>
      </c>
      <c r="B861" s="2" t="s">
        <v>15297</v>
      </c>
      <c r="C861" s="2" t="s">
        <v>7078</v>
      </c>
      <c r="D861" s="2" t="n">
        <v>411.238827506</v>
      </c>
      <c r="E861" s="2" t="n">
        <v>5.94050996749109</v>
      </c>
      <c r="F861" s="2" t="s">
        <v>7080</v>
      </c>
      <c r="G861" s="2" t="n">
        <v>203710</v>
      </c>
      <c r="H861" s="3" t="str">
        <f>HYPERLINK("http://funmeta.oebiotech.com/network/203710", "http://funmeta.oebiotech.com/network/203710")</f>
      </c>
      <c r="I861" s="2" t="s">
        <v>7082</v>
      </c>
      <c r="J861" s="2"/>
      <c r="K861" s="2"/>
      <c r="L861" s="2"/>
      <c r="M861" s="2"/>
      <c r="N861" s="2" t="s">
        <v>7083</v>
      </c>
      <c r="O861" s="2"/>
      <c r="P861" s="2" t="s">
        <v>7084</v>
      </c>
      <c r="Q861" s="2" t="s">
        <v>7085</v>
      </c>
      <c r="R861" s="2" t="s">
        <v>794</v>
      </c>
      <c r="S861" s="2" t="s">
        <v>1098</v>
      </c>
      <c r="T861" s="2" t="s">
        <v>4662</v>
      </c>
      <c r="U861" s="2" t="s">
        <v>7079</v>
      </c>
      <c r="V861" s="2" t="s">
        <v>24</v>
      </c>
      <c r="W861" s="2"/>
    </row>
    <row r="862">
      <c r="A862" s="2" t="n">
        <v>643</v>
      </c>
      <c r="B862" s="2" t="s">
        <v>15298</v>
      </c>
      <c r="C862" s="2" t="s">
        <v>7086</v>
      </c>
      <c r="D862" s="2" t="n">
        <v>412.968899</v>
      </c>
      <c r="E862" s="2" t="n">
        <v>3.64603515092347</v>
      </c>
      <c r="F862" s="2" t="s">
        <v>7088</v>
      </c>
      <c r="G862" s="2" t="n">
        <v>209036</v>
      </c>
      <c r="H862" s="3" t="str">
        <f>HYPERLINK("http://funmeta.oebiotech.com/network/209036", "http://funmeta.oebiotech.com/network/209036")</f>
      </c>
      <c r="I862" s="2" t="s">
        <v>7090</v>
      </c>
      <c r="J862" s="2"/>
      <c r="K862" s="2"/>
      <c r="L862" s="2"/>
      <c r="M862" s="2"/>
      <c r="N862" s="2" t="s">
        <v>7091</v>
      </c>
      <c r="O862" s="2"/>
      <c r="P862" s="2" t="s">
        <v>7092</v>
      </c>
      <c r="Q862" s="2" t="s">
        <v>7093</v>
      </c>
      <c r="R862" s="2" t="s">
        <v>186</v>
      </c>
      <c r="S862" s="2" t="s">
        <v>187</v>
      </c>
      <c r="T862" s="2" t="s">
        <v>1206</v>
      </c>
      <c r="U862" s="2" t="s">
        <v>7087</v>
      </c>
      <c r="V862" s="2" t="s">
        <v>531</v>
      </c>
      <c r="W862" s="2"/>
    </row>
    <row r="863">
      <c r="A863" s="2" t="n">
        <v>644</v>
      </c>
      <c r="B863" s="2" t="s">
        <v>15299</v>
      </c>
      <c r="C863" s="2" t="s">
        <v>7094</v>
      </c>
      <c r="D863" s="2" t="n">
        <v>413.242388952</v>
      </c>
      <c r="E863" s="2" t="n">
        <v>1.4709289567048</v>
      </c>
      <c r="F863" s="2" t="s">
        <v>7096</v>
      </c>
      <c r="G863" s="2" t="n">
        <v>205886</v>
      </c>
      <c r="H863" s="3" t="str">
        <f>HYPERLINK("http://funmeta.oebiotech.com/network/205886", "http://funmeta.oebiotech.com/network/205886")</f>
      </c>
      <c r="I863" s="2" t="s">
        <v>7098</v>
      </c>
      <c r="J863" s="2"/>
      <c r="K863" s="2"/>
      <c r="L863" s="2"/>
      <c r="M863" s="2"/>
      <c r="N863" s="2"/>
      <c r="O863" s="2"/>
      <c r="P863" s="2" t="s">
        <v>7099</v>
      </c>
      <c r="Q863" s="2" t="s">
        <v>7100</v>
      </c>
      <c r="R863" s="2" t="s">
        <v>129</v>
      </c>
      <c r="S863" s="2" t="s">
        <v>130</v>
      </c>
      <c r="T863" s="2" t="s">
        <v>1681</v>
      </c>
      <c r="U863" s="2" t="s">
        <v>7095</v>
      </c>
      <c r="V863" s="2" t="s">
        <v>86</v>
      </c>
      <c r="W863" s="2"/>
    </row>
    <row r="864">
      <c r="A864" s="2" t="n">
        <v>645</v>
      </c>
      <c r="B864" s="2" t="s">
        <v>15300</v>
      </c>
      <c r="C864" s="2" t="s">
        <v>7101</v>
      </c>
      <c r="D864" s="2" t="n">
        <v>414.241660677</v>
      </c>
      <c r="E864" s="2" t="n">
        <v>0.996251008502798</v>
      </c>
      <c r="F864" s="2" t="s">
        <v>7103</v>
      </c>
      <c r="G864" s="2" t="n">
        <v>3849</v>
      </c>
      <c r="H864" s="3" t="str">
        <f>HYPERLINK("http://funmeta.oebiotech.com/network/3849", "http://funmeta.oebiotech.com/network/3849")</f>
      </c>
      <c r="I864" s="2" t="s">
        <v>7105</v>
      </c>
      <c r="J864" s="2" t="s">
        <v>7106</v>
      </c>
      <c r="K864" s="2" t="s">
        <v>7107</v>
      </c>
      <c r="L864" s="2"/>
      <c r="M864" s="2"/>
      <c r="N864" s="2" t="s">
        <v>7108</v>
      </c>
      <c r="O864" s="2" t="s">
        <v>7109</v>
      </c>
      <c r="P864" s="2" t="s">
        <v>7110</v>
      </c>
      <c r="Q864" s="2" t="s">
        <v>7111</v>
      </c>
      <c r="R864" s="2" t="s">
        <v>601</v>
      </c>
      <c r="S864" s="2" t="s">
        <v>602</v>
      </c>
      <c r="T864" s="2" t="s">
        <v>1800</v>
      </c>
      <c r="U864" s="2" t="s">
        <v>7102</v>
      </c>
      <c r="V864" s="2" t="s">
        <v>86</v>
      </c>
      <c r="W864" s="2" t="s">
        <v>56</v>
      </c>
    </row>
    <row r="865">
      <c r="A865" s="2" t="n">
        <v>646</v>
      </c>
      <c r="B865" s="2" t="s">
        <v>15301</v>
      </c>
      <c r="C865" s="2" t="s">
        <v>7112</v>
      </c>
      <c r="D865" s="2" t="n">
        <v>415.165792401</v>
      </c>
      <c r="E865" s="2" t="n">
        <v>1.84984077526809</v>
      </c>
      <c r="F865" s="2" t="s">
        <v>7114</v>
      </c>
      <c r="G865" s="2" t="n">
        <v>26102</v>
      </c>
      <c r="H865" s="3" t="str">
        <f>HYPERLINK("http://funmeta.oebiotech.com/network/26102", "http://funmeta.oebiotech.com/network/26102")</f>
      </c>
      <c r="I865" s="2" t="s">
        <v>7116</v>
      </c>
      <c r="J865" s="2" t="s">
        <v>7117</v>
      </c>
      <c r="K865" s="2" t="s">
        <v>7118</v>
      </c>
      <c r="L865" s="2"/>
      <c r="M865" s="2"/>
      <c r="N865" s="2" t="s">
        <v>7119</v>
      </c>
      <c r="O865" s="2"/>
      <c r="P865" s="2" t="s">
        <v>7120</v>
      </c>
      <c r="Q865" s="2" t="s">
        <v>7121</v>
      </c>
      <c r="R865" s="2" t="s">
        <v>794</v>
      </c>
      <c r="S865" s="2" t="s">
        <v>7122</v>
      </c>
      <c r="T865" s="2" t="s">
        <v>7123</v>
      </c>
      <c r="U865" s="2" t="s">
        <v>7113</v>
      </c>
      <c r="V865" s="2" t="s">
        <v>86</v>
      </c>
      <c r="W865" s="2" t="s">
        <v>56</v>
      </c>
    </row>
    <row r="866">
      <c r="A866" s="2" t="n">
        <v>647</v>
      </c>
      <c r="B866" s="2" t="s">
        <v>15302</v>
      </c>
      <c r="C866" s="2" t="s">
        <v>7124</v>
      </c>
      <c r="D866" s="2" t="n">
        <v>415.24631292</v>
      </c>
      <c r="E866" s="2" t="n">
        <v>0.987973823122997</v>
      </c>
      <c r="F866" s="2" t="s">
        <v>7126</v>
      </c>
      <c r="G866" s="2" t="n">
        <v>53085</v>
      </c>
      <c r="H866" s="3" t="str">
        <f>HYPERLINK("http://funmeta.oebiotech.com/network/53085", "http://funmeta.oebiotech.com/network/53085")</f>
      </c>
      <c r="I866" s="2" t="s">
        <v>7128</v>
      </c>
      <c r="J866" s="2" t="s">
        <v>7129</v>
      </c>
      <c r="K866" s="2"/>
      <c r="L866" s="2" t="s">
        <v>7130</v>
      </c>
      <c r="M866" s="2" t="s">
        <v>7131</v>
      </c>
      <c r="N866" s="2" t="s">
        <v>7132</v>
      </c>
      <c r="O866" s="2" t="s">
        <v>7133</v>
      </c>
      <c r="P866" s="2" t="s">
        <v>7134</v>
      </c>
      <c r="Q866" s="2" t="s">
        <v>7135</v>
      </c>
      <c r="R866" s="2" t="s">
        <v>186</v>
      </c>
      <c r="S866" s="2" t="s">
        <v>187</v>
      </c>
      <c r="T866" s="2" t="s">
        <v>4711</v>
      </c>
      <c r="U866" s="2" t="s">
        <v>7125</v>
      </c>
      <c r="V866" s="2" t="s">
        <v>24</v>
      </c>
      <c r="W866" s="2" t="s">
        <v>56</v>
      </c>
    </row>
    <row r="867">
      <c r="A867" s="2" t="n">
        <v>648</v>
      </c>
      <c r="B867" s="2" t="s">
        <v>15303</v>
      </c>
      <c r="C867" s="2" t="s">
        <v>7136</v>
      </c>
      <c r="D867" s="2" t="n">
        <v>417.1838112</v>
      </c>
      <c r="E867" s="2" t="n">
        <v>1.77854842585444</v>
      </c>
      <c r="F867" s="2" t="s">
        <v>7138</v>
      </c>
      <c r="G867" s="2" t="n">
        <v>201889</v>
      </c>
      <c r="H867" s="3" t="str">
        <f>HYPERLINK("http://funmeta.oebiotech.com/network/201889", "http://funmeta.oebiotech.com/network/201889")</f>
      </c>
      <c r="I867" s="2" t="s">
        <v>7140</v>
      </c>
      <c r="J867" s="2"/>
      <c r="K867" s="2"/>
      <c r="L867" s="2"/>
      <c r="M867" s="2"/>
      <c r="N867" s="2" t="s">
        <v>7141</v>
      </c>
      <c r="O867" s="2"/>
      <c r="P867" s="2" t="s">
        <v>7142</v>
      </c>
      <c r="Q867" s="2" t="s">
        <v>7143</v>
      </c>
      <c r="R867" s="2" t="s">
        <v>186</v>
      </c>
      <c r="S867" s="2" t="s">
        <v>357</v>
      </c>
      <c r="T867" s="2" t="s">
        <v>5859</v>
      </c>
      <c r="U867" s="2" t="s">
        <v>7137</v>
      </c>
      <c r="V867" s="2" t="s">
        <v>24</v>
      </c>
      <c r="W867" s="2"/>
    </row>
    <row r="868">
      <c r="A868" s="2" t="n">
        <v>649</v>
      </c>
      <c r="B868" s="2" t="s">
        <v>15304</v>
      </c>
      <c r="C868" s="2" t="s">
        <v>7144</v>
      </c>
      <c r="D868" s="2" t="n">
        <v>417.264098012</v>
      </c>
      <c r="E868" s="2" t="n">
        <v>5.48195265518007</v>
      </c>
      <c r="F868" s="2" t="s">
        <v>7146</v>
      </c>
      <c r="G868" s="2" t="n">
        <v>82882</v>
      </c>
      <c r="H868" s="3" t="str">
        <f>HYPERLINK("http://funmeta.oebiotech.com/network/82882", "http://funmeta.oebiotech.com/network/82882")</f>
      </c>
      <c r="I868" s="2" t="s">
        <v>7148</v>
      </c>
      <c r="J868" s="2" t="s">
        <v>7149</v>
      </c>
      <c r="K868" s="2"/>
      <c r="L868" s="2"/>
      <c r="M868" s="2"/>
      <c r="N868" s="2" t="s">
        <v>7150</v>
      </c>
      <c r="O868" s="2" t="s">
        <v>7151</v>
      </c>
      <c r="P868" s="2" t="s">
        <v>7152</v>
      </c>
      <c r="Q868" s="2" t="s">
        <v>7153</v>
      </c>
      <c r="R868" s="2" t="s">
        <v>36</v>
      </c>
      <c r="S868" s="2" t="s">
        <v>82</v>
      </c>
      <c r="T868" s="2" t="s">
        <v>1594</v>
      </c>
      <c r="U868" s="2" t="s">
        <v>7145</v>
      </c>
      <c r="V868" s="2" t="s">
        <v>161</v>
      </c>
      <c r="W868" s="2" t="s">
        <v>56</v>
      </c>
    </row>
    <row r="869">
      <c r="A869" s="2" t="n">
        <v>650</v>
      </c>
      <c r="B869" s="2" t="s">
        <v>15305</v>
      </c>
      <c r="C869" s="2" t="s">
        <v>7154</v>
      </c>
      <c r="D869" s="2" t="n">
        <v>419.203500314</v>
      </c>
      <c r="E869" s="2" t="n">
        <v>1.47365475222543</v>
      </c>
      <c r="F869" s="2" t="s">
        <v>7156</v>
      </c>
      <c r="G869" s="2" t="n">
        <v>212697</v>
      </c>
      <c r="H869" s="3" t="str">
        <f>HYPERLINK("http://funmeta.oebiotech.com/network/212697", "http://funmeta.oebiotech.com/network/212697")</f>
      </c>
      <c r="I869" s="2" t="s">
        <v>7158</v>
      </c>
      <c r="J869" s="2"/>
      <c r="K869" s="2"/>
      <c r="L869" s="2"/>
      <c r="M869" s="2"/>
      <c r="N869" s="2" t="s">
        <v>7159</v>
      </c>
      <c r="O869" s="2"/>
      <c r="P869" s="2" t="s">
        <v>7160</v>
      </c>
      <c r="Q869" s="2" t="s">
        <v>7161</v>
      </c>
      <c r="R869" s="2" t="s">
        <v>114</v>
      </c>
      <c r="S869" s="2" t="s">
        <v>7162</v>
      </c>
      <c r="T869" s="2" t="s">
        <v>7163</v>
      </c>
      <c r="U869" s="2" t="s">
        <v>7155</v>
      </c>
      <c r="V869" s="2" t="s">
        <v>205</v>
      </c>
      <c r="W869" s="2"/>
    </row>
    <row r="870">
      <c r="A870" s="2" t="n">
        <v>651</v>
      </c>
      <c r="B870" s="2" t="s">
        <v>15306</v>
      </c>
      <c r="C870" s="2" t="s">
        <v>7164</v>
      </c>
      <c r="D870" s="2" t="n">
        <v>419.971418361</v>
      </c>
      <c r="E870" s="2" t="n">
        <v>6.39674889078561</v>
      </c>
      <c r="F870" s="2" t="s">
        <v>7166</v>
      </c>
      <c r="G870" s="2" t="n">
        <v>47225</v>
      </c>
      <c r="H870" s="3" t="str">
        <f>HYPERLINK("http://funmeta.oebiotech.com/network/47225", "http://funmeta.oebiotech.com/network/47225")</f>
      </c>
      <c r="I870" s="2" t="s">
        <v>7168</v>
      </c>
      <c r="J870" s="2" t="s">
        <v>7169</v>
      </c>
      <c r="K870" s="2"/>
      <c r="L870" s="2"/>
      <c r="M870" s="2"/>
      <c r="N870" s="2" t="s">
        <v>7170</v>
      </c>
      <c r="O870" s="2" t="s">
        <v>7171</v>
      </c>
      <c r="P870" s="2" t="s">
        <v>7172</v>
      </c>
      <c r="Q870" s="2" t="s">
        <v>7173</v>
      </c>
      <c r="R870" s="2" t="s">
        <v>36</v>
      </c>
      <c r="S870" s="2" t="s">
        <v>37</v>
      </c>
      <c r="T870" s="2" t="s">
        <v>69</v>
      </c>
      <c r="U870" s="2" t="s">
        <v>7165</v>
      </c>
      <c r="V870" s="2" t="s">
        <v>531</v>
      </c>
      <c r="W870" s="2" t="s">
        <v>56</v>
      </c>
    </row>
    <row r="871">
      <c r="A871" s="2" t="n">
        <v>652</v>
      </c>
      <c r="B871" s="2" t="s">
        <v>15307</v>
      </c>
      <c r="C871" s="2" t="s">
        <v>7174</v>
      </c>
      <c r="D871" s="2" t="n">
        <v>421.23842927</v>
      </c>
      <c r="E871" s="2" t="n">
        <v>1.31676235253377</v>
      </c>
      <c r="F871" s="2" t="s">
        <v>7176</v>
      </c>
      <c r="G871" s="2" t="n">
        <v>203676</v>
      </c>
      <c r="H871" s="3" t="str">
        <f>HYPERLINK("http://funmeta.oebiotech.com/network/203676", "http://funmeta.oebiotech.com/network/203676")</f>
      </c>
      <c r="I871" s="2" t="s">
        <v>7178</v>
      </c>
      <c r="J871" s="2"/>
      <c r="K871" s="2"/>
      <c r="L871" s="2"/>
      <c r="M871" s="2"/>
      <c r="N871" s="2" t="s">
        <v>7179</v>
      </c>
      <c r="O871" s="2"/>
      <c r="P871" s="2" t="s">
        <v>7180</v>
      </c>
      <c r="Q871" s="2" t="s">
        <v>7181</v>
      </c>
      <c r="R871" s="2" t="s">
        <v>1355</v>
      </c>
      <c r="S871" s="2" t="s">
        <v>3249</v>
      </c>
      <c r="T871" s="2" t="s">
        <v>215</v>
      </c>
      <c r="U871" s="2" t="s">
        <v>7175</v>
      </c>
      <c r="V871" s="2" t="s">
        <v>205</v>
      </c>
      <c r="W871" s="2"/>
    </row>
    <row r="872">
      <c r="A872" s="2" t="n">
        <v>653</v>
      </c>
      <c r="B872" s="2" t="s">
        <v>15308</v>
      </c>
      <c r="C872" s="2" t="s">
        <v>7182</v>
      </c>
      <c r="D872" s="2" t="n">
        <v>422.233678242</v>
      </c>
      <c r="E872" s="2" t="n">
        <v>4.43403817299391</v>
      </c>
      <c r="F872" s="2" t="s">
        <v>7184</v>
      </c>
      <c r="G872" s="2" t="n">
        <v>208029</v>
      </c>
      <c r="H872" s="3" t="str">
        <f>HYPERLINK("http://funmeta.oebiotech.com/network/208029", "http://funmeta.oebiotech.com/network/208029")</f>
      </c>
      <c r="I872" s="2" t="s">
        <v>7186</v>
      </c>
      <c r="J872" s="2"/>
      <c r="K872" s="2"/>
      <c r="L872" s="2"/>
      <c r="M872" s="2"/>
      <c r="N872" s="2" t="s">
        <v>7187</v>
      </c>
      <c r="O872" s="2"/>
      <c r="P872" s="2" t="s">
        <v>7188</v>
      </c>
      <c r="Q872" s="2" t="s">
        <v>7189</v>
      </c>
      <c r="R872" s="2" t="s">
        <v>794</v>
      </c>
      <c r="S872" s="2" t="s">
        <v>2971</v>
      </c>
      <c r="T872" s="2" t="s">
        <v>3921</v>
      </c>
      <c r="U872" s="2" t="s">
        <v>7183</v>
      </c>
      <c r="V872" s="2" t="s">
        <v>205</v>
      </c>
      <c r="W872" s="2"/>
    </row>
    <row r="873">
      <c r="A873" s="2" t="n">
        <v>654</v>
      </c>
      <c r="B873" s="2" t="s">
        <v>15309</v>
      </c>
      <c r="C873" s="2" t="s">
        <v>7190</v>
      </c>
      <c r="D873" s="2" t="n">
        <v>423.199389749</v>
      </c>
      <c r="E873" s="2" t="n">
        <v>0.0365740803603274</v>
      </c>
      <c r="F873" s="2" t="s">
        <v>15310</v>
      </c>
      <c r="G873" s="2" t="n">
        <v>212893</v>
      </c>
      <c r="H873" s="3" t="str">
        <f>HYPERLINK("http://funmeta.oebiotech.com/network/212893", "http://funmeta.oebiotech.com/network/212893")</f>
      </c>
      <c r="I873" s="2" t="s">
        <v>15311</v>
      </c>
      <c r="J873" s="2"/>
      <c r="K873" s="2"/>
      <c r="L873" s="2"/>
      <c r="M873" s="2"/>
      <c r="N873" s="2" t="s">
        <v>15312</v>
      </c>
      <c r="O873" s="2"/>
      <c r="P873" s="2" t="s">
        <v>15313</v>
      </c>
      <c r="Q873" s="2" t="s">
        <v>15314</v>
      </c>
      <c r="R873" s="2" t="s">
        <v>1355</v>
      </c>
      <c r="S873" s="2" t="s">
        <v>1356</v>
      </c>
      <c r="T873" s="2" t="s">
        <v>215</v>
      </c>
      <c r="U873" s="2" t="s">
        <v>7191</v>
      </c>
      <c r="V873" s="2" t="s">
        <v>161</v>
      </c>
      <c r="W873" s="2"/>
    </row>
    <row r="874">
      <c r="A874" s="2" t="n">
        <v>654</v>
      </c>
      <c r="B874" s="2" t="s">
        <v>15315</v>
      </c>
      <c r="C874" s="2" t="s">
        <v>7190</v>
      </c>
      <c r="D874" s="2" t="n">
        <v>423.199389749</v>
      </c>
      <c r="E874" s="2" t="n">
        <v>0.0365740803603274</v>
      </c>
      <c r="F874" s="2" t="s">
        <v>15316</v>
      </c>
      <c r="G874" s="2" t="n">
        <v>211869</v>
      </c>
      <c r="H874" s="3" t="str">
        <f>HYPERLINK("http://funmeta.oebiotech.com/network/211869", "http://funmeta.oebiotech.com/network/211869")</f>
      </c>
      <c r="I874" s="2" t="s">
        <v>15317</v>
      </c>
      <c r="J874" s="2"/>
      <c r="K874" s="2"/>
      <c r="L874" s="2"/>
      <c r="M874" s="2"/>
      <c r="N874" s="2"/>
      <c r="O874" s="2"/>
      <c r="P874" s="2" t="s">
        <v>15318</v>
      </c>
      <c r="Q874" s="2" t="s">
        <v>15319</v>
      </c>
      <c r="R874" s="2" t="s">
        <v>1355</v>
      </c>
      <c r="S874" s="2" t="s">
        <v>1356</v>
      </c>
      <c r="T874" s="2" t="s">
        <v>215</v>
      </c>
      <c r="U874" s="2" t="s">
        <v>7191</v>
      </c>
      <c r="V874" s="2" t="s">
        <v>161</v>
      </c>
      <c r="W874" s="2"/>
    </row>
    <row r="875">
      <c r="A875" s="2" t="n">
        <v>655</v>
      </c>
      <c r="B875" s="2" t="s">
        <v>15320</v>
      </c>
      <c r="C875" s="2" t="s">
        <v>7200</v>
      </c>
      <c r="D875" s="2" t="n">
        <v>423.247375542</v>
      </c>
      <c r="E875" s="2" t="n">
        <v>2.52827426022844</v>
      </c>
      <c r="F875" s="2" t="s">
        <v>7202</v>
      </c>
      <c r="G875" s="2" t="n">
        <v>208157</v>
      </c>
      <c r="H875" s="3" t="str">
        <f>HYPERLINK("http://funmeta.oebiotech.com/network/208157", "http://funmeta.oebiotech.com/network/208157")</f>
      </c>
      <c r="I875" s="2" t="s">
        <v>7204</v>
      </c>
      <c r="J875" s="2"/>
      <c r="K875" s="2"/>
      <c r="L875" s="2"/>
      <c r="M875" s="2"/>
      <c r="N875" s="2" t="s">
        <v>7205</v>
      </c>
      <c r="O875" s="2"/>
      <c r="P875" s="2" t="s">
        <v>7206</v>
      </c>
      <c r="Q875" s="2" t="s">
        <v>7207</v>
      </c>
      <c r="R875" s="2" t="s">
        <v>36</v>
      </c>
      <c r="S875" s="2" t="s">
        <v>37</v>
      </c>
      <c r="T875" s="2" t="s">
        <v>69</v>
      </c>
      <c r="U875" s="2" t="s">
        <v>7201</v>
      </c>
      <c r="V875" s="2" t="s">
        <v>24</v>
      </c>
      <c r="W875" s="2"/>
    </row>
    <row r="876">
      <c r="A876" s="2" t="n">
        <v>656</v>
      </c>
      <c r="B876" s="2" t="s">
        <v>15321</v>
      </c>
      <c r="C876" s="2" t="s">
        <v>7208</v>
      </c>
      <c r="D876" s="2" t="n">
        <v>424.26239612</v>
      </c>
      <c r="E876" s="2" t="n">
        <v>2.34874751636718</v>
      </c>
      <c r="F876" s="2" t="s">
        <v>7210</v>
      </c>
      <c r="G876" s="2" t="n">
        <v>83529</v>
      </c>
      <c r="H876" s="3" t="str">
        <f>HYPERLINK("http://funmeta.oebiotech.com/network/83529", "http://funmeta.oebiotech.com/network/83529")</f>
      </c>
      <c r="I876" s="2" t="s">
        <v>7212</v>
      </c>
      <c r="J876" s="2"/>
      <c r="K876" s="2"/>
      <c r="L876" s="2"/>
      <c r="M876" s="2"/>
      <c r="N876" s="2"/>
      <c r="O876" s="2"/>
      <c r="P876" s="2" t="s">
        <v>7213</v>
      </c>
      <c r="Q876" s="2" t="s">
        <v>7214</v>
      </c>
      <c r="R876" s="2" t="s">
        <v>36</v>
      </c>
      <c r="S876" s="2" t="s">
        <v>37</v>
      </c>
      <c r="T876" s="2" t="s">
        <v>69</v>
      </c>
      <c r="U876" s="2" t="s">
        <v>7209</v>
      </c>
      <c r="V876" s="2" t="s">
        <v>86</v>
      </c>
      <c r="W876" s="2" t="s">
        <v>56</v>
      </c>
    </row>
    <row r="877">
      <c r="A877" s="2" t="n">
        <v>657</v>
      </c>
      <c r="B877" s="2" t="s">
        <v>15322</v>
      </c>
      <c r="C877" s="2" t="s">
        <v>7215</v>
      </c>
      <c r="D877" s="2" t="n">
        <v>425.265710952</v>
      </c>
      <c r="E877" s="2" t="n">
        <v>3.74502748437935</v>
      </c>
      <c r="F877" s="2" t="s">
        <v>15323</v>
      </c>
      <c r="G877" s="2" t="n">
        <v>115555</v>
      </c>
      <c r="H877" s="3" t="str">
        <f>HYPERLINK("http://funmeta.oebiotech.com/network/115555", "http://funmeta.oebiotech.com/network/115555")</f>
      </c>
      <c r="I877" s="2" t="s">
        <v>15324</v>
      </c>
      <c r="J877" s="2"/>
      <c r="K877" s="2"/>
      <c r="L877" s="2"/>
      <c r="M877" s="2"/>
      <c r="N877" s="2"/>
      <c r="O877" s="2"/>
      <c r="P877" s="2" t="s">
        <v>15325</v>
      </c>
      <c r="Q877" s="2" t="s">
        <v>15326</v>
      </c>
      <c r="R877" s="2" t="s">
        <v>36</v>
      </c>
      <c r="S877" s="2" t="s">
        <v>37</v>
      </c>
      <c r="T877" s="2" t="s">
        <v>69</v>
      </c>
      <c r="U877" s="2" t="s">
        <v>7216</v>
      </c>
      <c r="V877" s="2" t="s">
        <v>683</v>
      </c>
      <c r="W877" s="2" t="s">
        <v>56</v>
      </c>
    </row>
    <row r="878">
      <c r="A878" s="2" t="n">
        <v>657</v>
      </c>
      <c r="B878" s="2" t="s">
        <v>15327</v>
      </c>
      <c r="C878" s="2" t="s">
        <v>7215</v>
      </c>
      <c r="D878" s="2" t="n">
        <v>425.265710952</v>
      </c>
      <c r="E878" s="2" t="n">
        <v>3.74502748437935</v>
      </c>
      <c r="F878" s="2" t="s">
        <v>15328</v>
      </c>
      <c r="G878" s="2" t="n">
        <v>115558</v>
      </c>
      <c r="H878" s="3" t="str">
        <f>HYPERLINK("http://funmeta.oebiotech.com/network/115558", "http://funmeta.oebiotech.com/network/115558")</f>
      </c>
      <c r="I878" s="2" t="s">
        <v>15329</v>
      </c>
      <c r="J878" s="2"/>
      <c r="K878" s="2"/>
      <c r="L878" s="2"/>
      <c r="M878" s="2"/>
      <c r="N878" s="2"/>
      <c r="O878" s="2"/>
      <c r="P878" s="2" t="s">
        <v>15330</v>
      </c>
      <c r="Q878" s="2" t="s">
        <v>15331</v>
      </c>
      <c r="R878" s="2" t="s">
        <v>36</v>
      </c>
      <c r="S878" s="2" t="s">
        <v>37</v>
      </c>
      <c r="T878" s="2" t="s">
        <v>69</v>
      </c>
      <c r="U878" s="2" t="s">
        <v>7216</v>
      </c>
      <c r="V878" s="2" t="s">
        <v>683</v>
      </c>
      <c r="W878" s="2" t="s">
        <v>56</v>
      </c>
    </row>
    <row r="879">
      <c r="A879" s="2" t="n">
        <v>657</v>
      </c>
      <c r="B879" s="2" t="s">
        <v>15332</v>
      </c>
      <c r="C879" s="2" t="s">
        <v>7215</v>
      </c>
      <c r="D879" s="2" t="n">
        <v>425.265710952</v>
      </c>
      <c r="E879" s="2" t="n">
        <v>3.74502748437935</v>
      </c>
      <c r="F879" s="2" t="s">
        <v>15333</v>
      </c>
      <c r="G879" s="2" t="n">
        <v>115559</v>
      </c>
      <c r="H879" s="3" t="str">
        <f>HYPERLINK("http://funmeta.oebiotech.com/network/115559", "http://funmeta.oebiotech.com/network/115559")</f>
      </c>
      <c r="I879" s="2" t="s">
        <v>15334</v>
      </c>
      <c r="J879" s="2"/>
      <c r="K879" s="2"/>
      <c r="L879" s="2"/>
      <c r="M879" s="2"/>
      <c r="N879" s="2"/>
      <c r="O879" s="2"/>
      <c r="P879" s="2" t="s">
        <v>15335</v>
      </c>
      <c r="Q879" s="2" t="s">
        <v>15336</v>
      </c>
      <c r="R879" s="2" t="s">
        <v>36</v>
      </c>
      <c r="S879" s="2" t="s">
        <v>37</v>
      </c>
      <c r="T879" s="2" t="s">
        <v>69</v>
      </c>
      <c r="U879" s="2" t="s">
        <v>7216</v>
      </c>
      <c r="V879" s="2" t="s">
        <v>683</v>
      </c>
      <c r="W879" s="2" t="s">
        <v>56</v>
      </c>
    </row>
    <row r="880">
      <c r="A880" s="2" t="n">
        <v>658</v>
      </c>
      <c r="B880" s="2" t="s">
        <v>15337</v>
      </c>
      <c r="C880" s="2" t="s">
        <v>7222</v>
      </c>
      <c r="D880" s="2" t="n">
        <v>426.033216899</v>
      </c>
      <c r="E880" s="2" t="n">
        <v>4.47773218522551</v>
      </c>
      <c r="F880" s="2" t="s">
        <v>7224</v>
      </c>
      <c r="G880" s="2" t="n">
        <v>205069</v>
      </c>
      <c r="H880" s="3" t="str">
        <f>HYPERLINK("http://funmeta.oebiotech.com/network/205069", "http://funmeta.oebiotech.com/network/205069")</f>
      </c>
      <c r="I880" s="2" t="s">
        <v>7226</v>
      </c>
      <c r="J880" s="2"/>
      <c r="K880" s="2"/>
      <c r="L880" s="2"/>
      <c r="M880" s="2" t="s">
        <v>7227</v>
      </c>
      <c r="N880" s="2"/>
      <c r="O880" s="2"/>
      <c r="P880" s="2" t="s">
        <v>7228</v>
      </c>
      <c r="Q880" s="2" t="s">
        <v>7229</v>
      </c>
      <c r="R880" s="2" t="s">
        <v>114</v>
      </c>
      <c r="S880" s="2" t="s">
        <v>172</v>
      </c>
      <c r="T880" s="2" t="s">
        <v>173</v>
      </c>
      <c r="U880" s="2" t="s">
        <v>7223</v>
      </c>
      <c r="V880" s="2" t="s">
        <v>205</v>
      </c>
      <c r="W880" s="2"/>
    </row>
    <row r="881">
      <c r="A881" s="2" t="n">
        <v>659</v>
      </c>
      <c r="B881" s="2" t="s">
        <v>15338</v>
      </c>
      <c r="C881" s="2" t="s">
        <v>7230</v>
      </c>
      <c r="D881" s="2" t="n">
        <v>426.28610774</v>
      </c>
      <c r="E881" s="2" t="n">
        <v>2.59876680039967</v>
      </c>
      <c r="F881" s="2" t="s">
        <v>15339</v>
      </c>
      <c r="G881" s="2" t="n">
        <v>197986</v>
      </c>
      <c r="H881" s="3" t="str">
        <f>HYPERLINK("http://funmeta.oebiotech.com/network/197986", "http://funmeta.oebiotech.com/network/197986")</f>
      </c>
      <c r="I881" s="2" t="s">
        <v>15340</v>
      </c>
      <c r="J881" s="2"/>
      <c r="K881" s="2"/>
      <c r="L881" s="2"/>
      <c r="M881" s="2"/>
      <c r="N881" s="2"/>
      <c r="O881" s="2"/>
      <c r="P881" s="2" t="s">
        <v>15341</v>
      </c>
      <c r="Q881" s="2" t="s">
        <v>15342</v>
      </c>
      <c r="R881" s="2" t="s">
        <v>794</v>
      </c>
      <c r="S881" s="2" t="s">
        <v>795</v>
      </c>
      <c r="T881" s="2" t="s">
        <v>1870</v>
      </c>
      <c r="U881" s="2" t="s">
        <v>7231</v>
      </c>
      <c r="V881" s="2" t="s">
        <v>205</v>
      </c>
      <c r="W881" s="2"/>
    </row>
    <row r="882">
      <c r="A882" s="2" t="n">
        <v>659</v>
      </c>
      <c r="B882" s="2" t="s">
        <v>15343</v>
      </c>
      <c r="C882" s="2" t="s">
        <v>7230</v>
      </c>
      <c r="D882" s="2" t="n">
        <v>426.28610774</v>
      </c>
      <c r="E882" s="2" t="n">
        <v>2.59876680039967</v>
      </c>
      <c r="F882" s="2" t="s">
        <v>15344</v>
      </c>
      <c r="G882" s="2" t="n">
        <v>197987</v>
      </c>
      <c r="H882" s="3" t="str">
        <f>HYPERLINK("http://funmeta.oebiotech.com/network/197987", "http://funmeta.oebiotech.com/network/197987")</f>
      </c>
      <c r="I882" s="2" t="s">
        <v>15345</v>
      </c>
      <c r="J882" s="2"/>
      <c r="K882" s="2"/>
      <c r="L882" s="2"/>
      <c r="M882" s="2"/>
      <c r="N882" s="2"/>
      <c r="O882" s="2"/>
      <c r="P882" s="2" t="s">
        <v>15346</v>
      </c>
      <c r="Q882" s="2" t="s">
        <v>15347</v>
      </c>
      <c r="R882" s="2" t="s">
        <v>794</v>
      </c>
      <c r="S882" s="2" t="s">
        <v>795</v>
      </c>
      <c r="T882" s="2" t="s">
        <v>1870</v>
      </c>
      <c r="U882" s="2" t="s">
        <v>7231</v>
      </c>
      <c r="V882" s="2" t="s">
        <v>205</v>
      </c>
      <c r="W882" s="2"/>
    </row>
    <row r="883">
      <c r="A883" s="2" t="n">
        <v>659</v>
      </c>
      <c r="B883" s="2" t="s">
        <v>15348</v>
      </c>
      <c r="C883" s="2" t="s">
        <v>7230</v>
      </c>
      <c r="D883" s="2" t="n">
        <v>426.28610774</v>
      </c>
      <c r="E883" s="2" t="n">
        <v>2.59876680039967</v>
      </c>
      <c r="F883" s="2" t="s">
        <v>15349</v>
      </c>
      <c r="G883" s="2" t="n">
        <v>197988</v>
      </c>
      <c r="H883" s="3" t="str">
        <f>HYPERLINK("http://funmeta.oebiotech.com/network/197988", "http://funmeta.oebiotech.com/network/197988")</f>
      </c>
      <c r="I883" s="2" t="s">
        <v>15350</v>
      </c>
      <c r="J883" s="2"/>
      <c r="K883" s="2"/>
      <c r="L883" s="2"/>
      <c r="M883" s="2"/>
      <c r="N883" s="2"/>
      <c r="O883" s="2"/>
      <c r="P883" s="2" t="s">
        <v>15351</v>
      </c>
      <c r="Q883" s="2" t="s">
        <v>15352</v>
      </c>
      <c r="R883" s="2" t="s">
        <v>794</v>
      </c>
      <c r="S883" s="2" t="s">
        <v>795</v>
      </c>
      <c r="T883" s="2" t="s">
        <v>1870</v>
      </c>
      <c r="U883" s="2" t="s">
        <v>7231</v>
      </c>
      <c r="V883" s="2" t="s">
        <v>205</v>
      </c>
      <c r="W883" s="2"/>
    </row>
    <row r="884">
      <c r="A884" s="2" t="n">
        <v>660</v>
      </c>
      <c r="B884" s="2" t="s">
        <v>15353</v>
      </c>
      <c r="C884" s="2" t="s">
        <v>7237</v>
      </c>
      <c r="D884" s="2" t="n">
        <v>427.02843104</v>
      </c>
      <c r="E884" s="2" t="n">
        <v>0.672789029215991</v>
      </c>
      <c r="F884" s="2" t="s">
        <v>7239</v>
      </c>
      <c r="G884" s="2" t="n">
        <v>60592</v>
      </c>
      <c r="H884" s="3" t="str">
        <f>HYPERLINK("http://funmeta.oebiotech.com/network/60592", "http://funmeta.oebiotech.com/network/60592")</f>
      </c>
      <c r="I884" s="2" t="s">
        <v>7241</v>
      </c>
      <c r="J884" s="2" t="s">
        <v>7242</v>
      </c>
      <c r="K884" s="2"/>
      <c r="L884" s="2"/>
      <c r="M884" s="2"/>
      <c r="N884" s="2" t="s">
        <v>7243</v>
      </c>
      <c r="O884" s="2"/>
      <c r="P884" s="2" t="s">
        <v>7244</v>
      </c>
      <c r="Q884" s="2" t="s">
        <v>7245</v>
      </c>
      <c r="R884" s="2" t="s">
        <v>129</v>
      </c>
      <c r="S884" s="2" t="s">
        <v>130</v>
      </c>
      <c r="T884" s="2" t="s">
        <v>1681</v>
      </c>
      <c r="U884" s="2" t="s">
        <v>7238</v>
      </c>
      <c r="V884" s="2" t="s">
        <v>218</v>
      </c>
      <c r="W884" s="2"/>
    </row>
    <row r="885">
      <c r="A885" s="2" t="n">
        <v>661</v>
      </c>
      <c r="B885" s="2" t="s">
        <v>15354</v>
      </c>
      <c r="C885" s="2" t="s">
        <v>7246</v>
      </c>
      <c r="D885" s="2" t="n">
        <v>427.235079526</v>
      </c>
      <c r="E885" s="2" t="n">
        <v>3.19990725878079</v>
      </c>
      <c r="F885" s="2" t="s">
        <v>7248</v>
      </c>
      <c r="G885" s="2" t="n">
        <v>208355</v>
      </c>
      <c r="H885" s="3" t="str">
        <f>HYPERLINK("http://funmeta.oebiotech.com/network/208355", "http://funmeta.oebiotech.com/network/208355")</f>
      </c>
      <c r="I885" s="2" t="s">
        <v>7250</v>
      </c>
      <c r="J885" s="2"/>
      <c r="K885" s="2"/>
      <c r="L885" s="2"/>
      <c r="M885" s="2"/>
      <c r="N885" s="2" t="s">
        <v>7251</v>
      </c>
      <c r="O885" s="2"/>
      <c r="P885" s="2" t="s">
        <v>7252</v>
      </c>
      <c r="Q885" s="2" t="s">
        <v>7253</v>
      </c>
      <c r="R885" s="2" t="s">
        <v>114</v>
      </c>
      <c r="S885" s="2" t="s">
        <v>4121</v>
      </c>
      <c r="T885" s="2" t="s">
        <v>7254</v>
      </c>
      <c r="U885" s="2" t="s">
        <v>7247</v>
      </c>
      <c r="V885" s="2" t="s">
        <v>24</v>
      </c>
      <c r="W885" s="2"/>
    </row>
    <row r="886">
      <c r="A886" s="2" t="n">
        <v>662</v>
      </c>
      <c r="B886" s="2" t="s">
        <v>15355</v>
      </c>
      <c r="C886" s="2" t="s">
        <v>7255</v>
      </c>
      <c r="D886" s="2" t="n">
        <v>427.298447277</v>
      </c>
      <c r="E886" s="2" t="n">
        <v>9.36151897168165</v>
      </c>
      <c r="F886" s="2" t="s">
        <v>7257</v>
      </c>
      <c r="G886" s="2" t="n">
        <v>2643</v>
      </c>
      <c r="H886" s="3" t="str">
        <f>HYPERLINK("http://funmeta.oebiotech.com/network/2643", "http://funmeta.oebiotech.com/network/2643")</f>
      </c>
      <c r="I886" s="2" t="s">
        <v>7259</v>
      </c>
      <c r="J886" s="2"/>
      <c r="K886" s="2" t="s">
        <v>7260</v>
      </c>
      <c r="L886" s="2"/>
      <c r="M886" s="2"/>
      <c r="N886" s="2" t="s">
        <v>7261</v>
      </c>
      <c r="O886" s="2" t="s">
        <v>7262</v>
      </c>
      <c r="P886" s="2" t="s">
        <v>7263</v>
      </c>
      <c r="Q886" s="2" t="s">
        <v>7264</v>
      </c>
      <c r="R886" s="2" t="s">
        <v>794</v>
      </c>
      <c r="S886" s="2" t="s">
        <v>795</v>
      </c>
      <c r="T886" s="2" t="s">
        <v>796</v>
      </c>
      <c r="U886" s="2" t="s">
        <v>7256</v>
      </c>
      <c r="V886" s="2" t="s">
        <v>86</v>
      </c>
      <c r="W886" s="2" t="s">
        <v>56</v>
      </c>
    </row>
    <row r="887">
      <c r="A887" s="2" t="n">
        <v>663</v>
      </c>
      <c r="B887" s="2" t="s">
        <v>15356</v>
      </c>
      <c r="C887" s="2" t="s">
        <v>7265</v>
      </c>
      <c r="D887" s="2" t="n">
        <v>428.043905867</v>
      </c>
      <c r="E887" s="2" t="n">
        <v>8.94393385894925</v>
      </c>
      <c r="F887" s="2" t="s">
        <v>7267</v>
      </c>
      <c r="G887" s="2" t="n">
        <v>205456</v>
      </c>
      <c r="H887" s="3" t="str">
        <f>HYPERLINK("http://funmeta.oebiotech.com/network/205456", "http://funmeta.oebiotech.com/network/205456")</f>
      </c>
      <c r="I887" s="2" t="s">
        <v>7269</v>
      </c>
      <c r="J887" s="2"/>
      <c r="K887" s="2"/>
      <c r="L887" s="2"/>
      <c r="M887" s="2"/>
      <c r="N887" s="2"/>
      <c r="O887" s="2"/>
      <c r="P887" s="2" t="s">
        <v>7270</v>
      </c>
      <c r="Q887" s="2" t="s">
        <v>7271</v>
      </c>
      <c r="R887" s="2" t="s">
        <v>36</v>
      </c>
      <c r="S887" s="2" t="s">
        <v>37</v>
      </c>
      <c r="T887" s="2" t="s">
        <v>7272</v>
      </c>
      <c r="U887" s="2" t="s">
        <v>7266</v>
      </c>
      <c r="V887" s="2" t="s">
        <v>205</v>
      </c>
      <c r="W887" s="2"/>
    </row>
    <row r="888">
      <c r="A888" s="2" t="n">
        <v>664</v>
      </c>
      <c r="B888" s="2" t="s">
        <v>15357</v>
      </c>
      <c r="C888" s="2" t="s">
        <v>7273</v>
      </c>
      <c r="D888" s="2" t="n">
        <v>428.293696249</v>
      </c>
      <c r="E888" s="2" t="n">
        <v>0.0850448389006554</v>
      </c>
      <c r="F888" s="2" t="s">
        <v>7275</v>
      </c>
      <c r="G888" s="2" t="n">
        <v>198485</v>
      </c>
      <c r="H888" s="3" t="str">
        <f>HYPERLINK("http://funmeta.oebiotech.com/network/198485", "http://funmeta.oebiotech.com/network/198485")</f>
      </c>
      <c r="I888" s="2" t="s">
        <v>7277</v>
      </c>
      <c r="J888" s="2"/>
      <c r="K888" s="2"/>
      <c r="L888" s="2"/>
      <c r="M888" s="2"/>
      <c r="N888" s="2" t="s">
        <v>7278</v>
      </c>
      <c r="O888" s="2"/>
      <c r="P888" s="2" t="s">
        <v>7279</v>
      </c>
      <c r="Q888" s="2" t="s">
        <v>7280</v>
      </c>
      <c r="R888" s="2" t="s">
        <v>36</v>
      </c>
      <c r="S888" s="2" t="s">
        <v>37</v>
      </c>
      <c r="T888" s="2" t="s">
        <v>69</v>
      </c>
      <c r="U888" s="2" t="s">
        <v>7274</v>
      </c>
      <c r="V888" s="2" t="s">
        <v>86</v>
      </c>
      <c r="W888" s="2"/>
    </row>
    <row r="889">
      <c r="A889" s="2" t="n">
        <v>665</v>
      </c>
      <c r="B889" s="2" t="s">
        <v>15358</v>
      </c>
      <c r="C889" s="2" t="s">
        <v>7281</v>
      </c>
      <c r="D889" s="2" t="n">
        <v>429.203110694</v>
      </c>
      <c r="E889" s="2" t="n">
        <v>8.65303083209974</v>
      </c>
      <c r="F889" s="2" t="s">
        <v>7283</v>
      </c>
      <c r="G889" s="2" t="n">
        <v>205822</v>
      </c>
      <c r="H889" s="3" t="str">
        <f>HYPERLINK("http://funmeta.oebiotech.com/network/205822", "http://funmeta.oebiotech.com/network/205822")</f>
      </c>
      <c r="I889" s="2" t="s">
        <v>7285</v>
      </c>
      <c r="J889" s="2"/>
      <c r="K889" s="2"/>
      <c r="L889" s="2"/>
      <c r="M889" s="2"/>
      <c r="N889" s="2" t="s">
        <v>7286</v>
      </c>
      <c r="O889" s="2"/>
      <c r="P889" s="2" t="s">
        <v>7287</v>
      </c>
      <c r="Q889" s="2" t="s">
        <v>7288</v>
      </c>
      <c r="R889" s="2" t="s">
        <v>114</v>
      </c>
      <c r="S889" s="2" t="s">
        <v>936</v>
      </c>
      <c r="T889" s="2" t="s">
        <v>7289</v>
      </c>
      <c r="U889" s="2" t="s">
        <v>7282</v>
      </c>
      <c r="V889" s="2" t="s">
        <v>24</v>
      </c>
      <c r="W889" s="2"/>
    </row>
    <row r="890">
      <c r="A890" s="2" t="n">
        <v>666</v>
      </c>
      <c r="B890" s="2" t="s">
        <v>15359</v>
      </c>
      <c r="C890" s="2" t="s">
        <v>7290</v>
      </c>
      <c r="D890" s="2" t="n">
        <v>429.250725286</v>
      </c>
      <c r="E890" s="2" t="n">
        <v>3.10687407651036</v>
      </c>
      <c r="F890" s="2" t="s">
        <v>7292</v>
      </c>
      <c r="G890" s="2" t="n">
        <v>203850</v>
      </c>
      <c r="H890" s="3" t="str">
        <f>HYPERLINK("http://funmeta.oebiotech.com/network/203850", "http://funmeta.oebiotech.com/network/203850")</f>
      </c>
      <c r="I890" s="2" t="s">
        <v>7294</v>
      </c>
      <c r="J890" s="2"/>
      <c r="K890" s="2"/>
      <c r="L890" s="2"/>
      <c r="M890" s="2"/>
      <c r="N890" s="2" t="s">
        <v>7295</v>
      </c>
      <c r="O890" s="2"/>
      <c r="P890" s="2" t="s">
        <v>7296</v>
      </c>
      <c r="Q890" s="2" t="s">
        <v>7297</v>
      </c>
      <c r="R890" s="2" t="s">
        <v>114</v>
      </c>
      <c r="S890" s="2" t="s">
        <v>7298</v>
      </c>
      <c r="T890" s="2" t="s">
        <v>215</v>
      </c>
      <c r="U890" s="2" t="s">
        <v>7291</v>
      </c>
      <c r="V890" s="2" t="s">
        <v>205</v>
      </c>
      <c r="W890" s="2"/>
    </row>
    <row r="891">
      <c r="A891" s="2" t="n">
        <v>667</v>
      </c>
      <c r="B891" s="2" t="s">
        <v>15360</v>
      </c>
      <c r="C891" s="2" t="s">
        <v>7299</v>
      </c>
      <c r="D891" s="2" t="n">
        <v>431.097820546</v>
      </c>
      <c r="E891" s="2" t="n">
        <v>5.6147189371706</v>
      </c>
      <c r="F891" s="2" t="s">
        <v>7301</v>
      </c>
      <c r="G891" s="2" t="n">
        <v>64824</v>
      </c>
      <c r="H891" s="3" t="str">
        <f>HYPERLINK("http://funmeta.oebiotech.com/network/64824", "http://funmeta.oebiotech.com/network/64824")</f>
      </c>
      <c r="I891" s="2" t="s">
        <v>7303</v>
      </c>
      <c r="J891" s="2" t="s">
        <v>7304</v>
      </c>
      <c r="K891" s="2"/>
      <c r="L891" s="2"/>
      <c r="M891" s="2"/>
      <c r="N891" s="2" t="s">
        <v>7305</v>
      </c>
      <c r="O891" s="2"/>
      <c r="P891" s="2" t="s">
        <v>7306</v>
      </c>
      <c r="Q891" s="2" t="s">
        <v>7307</v>
      </c>
      <c r="R891" s="2" t="s">
        <v>1355</v>
      </c>
      <c r="S891" s="2" t="s">
        <v>5199</v>
      </c>
      <c r="T891" s="2" t="s">
        <v>7308</v>
      </c>
      <c r="U891" s="2" t="s">
        <v>7300</v>
      </c>
      <c r="V891" s="2" t="s">
        <v>161</v>
      </c>
      <c r="W891" s="2" t="s">
        <v>56</v>
      </c>
    </row>
    <row r="892">
      <c r="A892" s="2" t="n">
        <v>668</v>
      </c>
      <c r="B892" s="2" t="s">
        <v>15361</v>
      </c>
      <c r="C892" s="2" t="s">
        <v>7309</v>
      </c>
      <c r="D892" s="2" t="n">
        <v>431.147327158</v>
      </c>
      <c r="E892" s="2" t="n">
        <v>3.09749824848137</v>
      </c>
      <c r="F892" s="2" t="s">
        <v>7311</v>
      </c>
      <c r="G892" s="2" t="n">
        <v>212836</v>
      </c>
      <c r="H892" s="3" t="str">
        <f>HYPERLINK("http://funmeta.oebiotech.com/network/212836", "http://funmeta.oebiotech.com/network/212836")</f>
      </c>
      <c r="I892" s="2" t="s">
        <v>7313</v>
      </c>
      <c r="J892" s="2"/>
      <c r="K892" s="2"/>
      <c r="L892" s="2"/>
      <c r="M892" s="2"/>
      <c r="N892" s="2"/>
      <c r="O892" s="2"/>
      <c r="P892" s="2" t="s">
        <v>7314</v>
      </c>
      <c r="Q892" s="2" t="s">
        <v>7315</v>
      </c>
      <c r="R892" s="2" t="s">
        <v>129</v>
      </c>
      <c r="S892" s="2" t="s">
        <v>130</v>
      </c>
      <c r="T892" s="2" t="s">
        <v>4901</v>
      </c>
      <c r="U892" s="2" t="s">
        <v>7310</v>
      </c>
      <c r="V892" s="2" t="s">
        <v>24</v>
      </c>
      <c r="W892" s="2"/>
    </row>
    <row r="893">
      <c r="A893" s="2" t="n">
        <v>669</v>
      </c>
      <c r="B893" s="2" t="s">
        <v>15362</v>
      </c>
      <c r="C893" s="2" t="s">
        <v>7316</v>
      </c>
      <c r="D893" s="2" t="n">
        <v>431.235847019</v>
      </c>
      <c r="E893" s="2" t="n">
        <v>1.42923216774995</v>
      </c>
      <c r="F893" s="2" t="s">
        <v>15363</v>
      </c>
      <c r="G893" s="2" t="n">
        <v>199045</v>
      </c>
      <c r="H893" s="3" t="str">
        <f>HYPERLINK("http://funmeta.oebiotech.com/network/199045", "http://funmeta.oebiotech.com/network/199045")</f>
      </c>
      <c r="I893" s="2" t="s">
        <v>15364</v>
      </c>
      <c r="J893" s="2"/>
      <c r="K893" s="2"/>
      <c r="L893" s="2"/>
      <c r="M893" s="2"/>
      <c r="N893" s="2" t="s">
        <v>15365</v>
      </c>
      <c r="O893" s="2"/>
      <c r="P893" s="2" t="s">
        <v>15366</v>
      </c>
      <c r="Q893" s="2" t="s">
        <v>15367</v>
      </c>
      <c r="R893" s="2" t="s">
        <v>794</v>
      </c>
      <c r="S893" s="2" t="s">
        <v>1098</v>
      </c>
      <c r="T893" s="2" t="s">
        <v>1099</v>
      </c>
      <c r="U893" s="2" t="s">
        <v>7317</v>
      </c>
      <c r="V893" s="2" t="s">
        <v>86</v>
      </c>
      <c r="W893" s="2"/>
    </row>
    <row r="894">
      <c r="A894" s="2" t="n">
        <v>669</v>
      </c>
      <c r="B894" s="2" t="s">
        <v>15368</v>
      </c>
      <c r="C894" s="2" t="s">
        <v>7316</v>
      </c>
      <c r="D894" s="2" t="n">
        <v>431.235847019</v>
      </c>
      <c r="E894" s="2" t="n">
        <v>1.42923216774995</v>
      </c>
      <c r="F894" s="2" t="s">
        <v>15369</v>
      </c>
      <c r="G894" s="2" t="n">
        <v>211568</v>
      </c>
      <c r="H894" s="3" t="str">
        <f>HYPERLINK("http://funmeta.oebiotech.com/network/211568", "http://funmeta.oebiotech.com/network/211568")</f>
      </c>
      <c r="I894" s="2" t="s">
        <v>15370</v>
      </c>
      <c r="J894" s="2"/>
      <c r="K894" s="2"/>
      <c r="L894" s="2"/>
      <c r="M894" s="2"/>
      <c r="N894" s="2" t="s">
        <v>15371</v>
      </c>
      <c r="O894" s="2"/>
      <c r="P894" s="2" t="s">
        <v>15372</v>
      </c>
      <c r="Q894" s="2" t="s">
        <v>15373</v>
      </c>
      <c r="R894" s="2" t="s">
        <v>794</v>
      </c>
      <c r="S894" s="2" t="s">
        <v>2971</v>
      </c>
      <c r="T894" s="2" t="s">
        <v>6290</v>
      </c>
      <c r="U894" s="2" t="s">
        <v>7317</v>
      </c>
      <c r="V894" s="2" t="s">
        <v>86</v>
      </c>
      <c r="W894" s="2"/>
    </row>
    <row r="895">
      <c r="A895" s="2" t="n">
        <v>669</v>
      </c>
      <c r="B895" s="2" t="s">
        <v>15374</v>
      </c>
      <c r="C895" s="2" t="s">
        <v>7316</v>
      </c>
      <c r="D895" s="2" t="n">
        <v>431.235847019</v>
      </c>
      <c r="E895" s="2" t="n">
        <v>1.42923216774995</v>
      </c>
      <c r="F895" s="2" t="s">
        <v>15375</v>
      </c>
      <c r="G895" s="2" t="n">
        <v>206498</v>
      </c>
      <c r="H895" s="3" t="str">
        <f>HYPERLINK("http://funmeta.oebiotech.com/network/206498", "http://funmeta.oebiotech.com/network/206498")</f>
      </c>
      <c r="I895" s="2" t="s">
        <v>15376</v>
      </c>
      <c r="J895" s="2"/>
      <c r="K895" s="2"/>
      <c r="L895" s="2"/>
      <c r="M895" s="2"/>
      <c r="N895" s="2" t="s">
        <v>15377</v>
      </c>
      <c r="O895" s="2"/>
      <c r="P895" s="2" t="s">
        <v>15378</v>
      </c>
      <c r="Q895" s="2" t="s">
        <v>15379</v>
      </c>
      <c r="R895" s="2" t="s">
        <v>794</v>
      </c>
      <c r="S895" s="2" t="s">
        <v>2971</v>
      </c>
      <c r="T895" s="2" t="s">
        <v>6290</v>
      </c>
      <c r="U895" s="2" t="s">
        <v>7317</v>
      </c>
      <c r="V895" s="2" t="s">
        <v>86</v>
      </c>
      <c r="W895" s="2"/>
    </row>
    <row r="896">
      <c r="A896" s="2" t="n">
        <v>670</v>
      </c>
      <c r="B896" s="2" t="s">
        <v>15380</v>
      </c>
      <c r="C896" s="2" t="s">
        <v>7326</v>
      </c>
      <c r="D896" s="2" t="n">
        <v>433.28069232</v>
      </c>
      <c r="E896" s="2" t="n">
        <v>3.65683620982741</v>
      </c>
      <c r="F896" s="2" t="s">
        <v>7328</v>
      </c>
      <c r="G896" s="2" t="n">
        <v>60815</v>
      </c>
      <c r="H896" s="3" t="str">
        <f>HYPERLINK("http://funmeta.oebiotech.com/network/60815", "http://funmeta.oebiotech.com/network/60815")</f>
      </c>
      <c r="I896" s="2" t="s">
        <v>7330</v>
      </c>
      <c r="J896" s="2" t="s">
        <v>7331</v>
      </c>
      <c r="K896" s="2"/>
      <c r="L896" s="2"/>
      <c r="M896" s="2" t="s">
        <v>7332</v>
      </c>
      <c r="N896" s="2" t="s">
        <v>7333</v>
      </c>
      <c r="O896" s="2" t="s">
        <v>7334</v>
      </c>
      <c r="P896" s="2" t="s">
        <v>7335</v>
      </c>
      <c r="Q896" s="2" t="s">
        <v>7336</v>
      </c>
      <c r="R896" s="2" t="s">
        <v>794</v>
      </c>
      <c r="S896" s="2" t="s">
        <v>795</v>
      </c>
      <c r="T896" s="2" t="s">
        <v>1870</v>
      </c>
      <c r="U896" s="2" t="s">
        <v>7327</v>
      </c>
      <c r="V896" s="2" t="s">
        <v>24</v>
      </c>
      <c r="W896" s="2" t="s">
        <v>56</v>
      </c>
    </row>
    <row r="897">
      <c r="A897" s="2" t="n">
        <v>671</v>
      </c>
      <c r="B897" s="2" t="s">
        <v>15381</v>
      </c>
      <c r="C897" s="2" t="s">
        <v>7337</v>
      </c>
      <c r="D897" s="2" t="n">
        <v>434.952235844</v>
      </c>
      <c r="E897" s="2" t="n">
        <v>6.69190363491464</v>
      </c>
      <c r="F897" s="2" t="s">
        <v>7339</v>
      </c>
      <c r="G897" s="2" t="n">
        <v>200759</v>
      </c>
      <c r="H897" s="3" t="str">
        <f>HYPERLINK("http://funmeta.oebiotech.com/network/200759", "http://funmeta.oebiotech.com/network/200759")</f>
      </c>
      <c r="I897" s="2" t="s">
        <v>7341</v>
      </c>
      <c r="J897" s="2"/>
      <c r="K897" s="2"/>
      <c r="L897" s="2"/>
      <c r="M897" s="2"/>
      <c r="N897" s="2"/>
      <c r="O897" s="2"/>
      <c r="P897" s="2" t="s">
        <v>7342</v>
      </c>
      <c r="Q897" s="2" t="s">
        <v>7343</v>
      </c>
      <c r="R897" s="2" t="s">
        <v>114</v>
      </c>
      <c r="S897" s="2" t="s">
        <v>7344</v>
      </c>
      <c r="T897" s="2" t="s">
        <v>215</v>
      </c>
      <c r="U897" s="2" t="s">
        <v>7338</v>
      </c>
      <c r="V897" s="2" t="s">
        <v>683</v>
      </c>
      <c r="W897" s="2"/>
    </row>
    <row r="898">
      <c r="A898" s="2" t="n">
        <v>672</v>
      </c>
      <c r="B898" s="2" t="s">
        <v>15382</v>
      </c>
      <c r="C898" s="2" t="s">
        <v>7345</v>
      </c>
      <c r="D898" s="2" t="n">
        <v>435.223567055</v>
      </c>
      <c r="E898" s="2" t="n">
        <v>4.39182688887641</v>
      </c>
      <c r="F898" s="2" t="s">
        <v>15383</v>
      </c>
      <c r="G898" s="2" t="n">
        <v>64657</v>
      </c>
      <c r="H898" s="3" t="str">
        <f>HYPERLINK("http://funmeta.oebiotech.com/network/64657", "http://funmeta.oebiotech.com/network/64657")</f>
      </c>
      <c r="I898" s="2" t="s">
        <v>15384</v>
      </c>
      <c r="J898" s="2" t="s">
        <v>15385</v>
      </c>
      <c r="K898" s="2"/>
      <c r="L898" s="2"/>
      <c r="M898" s="2" t="s">
        <v>15386</v>
      </c>
      <c r="N898" s="2" t="s">
        <v>15387</v>
      </c>
      <c r="O898" s="2" t="s">
        <v>15388</v>
      </c>
      <c r="P898" s="2" t="s">
        <v>15389</v>
      </c>
      <c r="Q898" s="2" t="s">
        <v>15390</v>
      </c>
      <c r="R898" s="2" t="s">
        <v>794</v>
      </c>
      <c r="S898" s="2" t="s">
        <v>795</v>
      </c>
      <c r="T898" s="2" t="s">
        <v>8424</v>
      </c>
      <c r="U898" s="2" t="s">
        <v>7346</v>
      </c>
      <c r="V898" s="2" t="s">
        <v>205</v>
      </c>
      <c r="W898" s="2" t="s">
        <v>56</v>
      </c>
    </row>
    <row r="899">
      <c r="A899" s="2" t="n">
        <v>672</v>
      </c>
      <c r="B899" s="2" t="s">
        <v>15391</v>
      </c>
      <c r="C899" s="2" t="s">
        <v>7345</v>
      </c>
      <c r="D899" s="2" t="n">
        <v>435.223567064</v>
      </c>
      <c r="E899" s="2" t="n">
        <v>4.39182688887641</v>
      </c>
      <c r="F899" s="2" t="s">
        <v>15392</v>
      </c>
      <c r="G899" s="2" t="n">
        <v>10230</v>
      </c>
      <c r="H899" s="3" t="str">
        <f>HYPERLINK("http://funmeta.oebiotech.com/network/10230", "http://funmeta.oebiotech.com/network/10230")</f>
      </c>
      <c r="I899" s="2" t="s">
        <v>15393</v>
      </c>
      <c r="J899" s="2" t="s">
        <v>15394</v>
      </c>
      <c r="K899" s="2" t="s">
        <v>15395</v>
      </c>
      <c r="L899" s="2"/>
      <c r="M899" s="2"/>
      <c r="N899" s="2" t="s">
        <v>15396</v>
      </c>
      <c r="O899" s="2"/>
      <c r="P899" s="2" t="s">
        <v>15397</v>
      </c>
      <c r="Q899" s="2" t="s">
        <v>15398</v>
      </c>
      <c r="R899" s="2" t="s">
        <v>794</v>
      </c>
      <c r="S899" s="2" t="s">
        <v>795</v>
      </c>
      <c r="T899" s="2" t="s">
        <v>8424</v>
      </c>
      <c r="U899" s="2" t="s">
        <v>7346</v>
      </c>
      <c r="V899" s="2" t="s">
        <v>205</v>
      </c>
      <c r="W899" s="2" t="s">
        <v>56</v>
      </c>
    </row>
    <row r="900">
      <c r="A900" s="2" t="n">
        <v>673</v>
      </c>
      <c r="B900" s="2" t="s">
        <v>15399</v>
      </c>
      <c r="C900" s="2" t="s">
        <v>7358</v>
      </c>
      <c r="D900" s="2" t="n">
        <v>435.303532652</v>
      </c>
      <c r="E900" s="2" t="n">
        <v>6.05790191165913</v>
      </c>
      <c r="F900" s="2" t="s">
        <v>7360</v>
      </c>
      <c r="G900" s="2" t="n">
        <v>46436</v>
      </c>
      <c r="H900" s="3" t="str">
        <f>HYPERLINK("http://funmeta.oebiotech.com/network/46436", "http://funmeta.oebiotech.com/network/46436")</f>
      </c>
      <c r="I900" s="2" t="s">
        <v>7362</v>
      </c>
      <c r="J900" s="2" t="s">
        <v>7363</v>
      </c>
      <c r="K900" s="2" t="s">
        <v>7364</v>
      </c>
      <c r="L900" s="2" t="s">
        <v>7365</v>
      </c>
      <c r="M900" s="2" t="s">
        <v>7366</v>
      </c>
      <c r="N900" s="2" t="s">
        <v>7367</v>
      </c>
      <c r="O900" s="2" t="s">
        <v>7368</v>
      </c>
      <c r="P900" s="2" t="s">
        <v>7369</v>
      </c>
      <c r="Q900" s="2" t="s">
        <v>7370</v>
      </c>
      <c r="R900" s="2" t="s">
        <v>794</v>
      </c>
      <c r="S900" s="2" t="s">
        <v>2971</v>
      </c>
      <c r="T900" s="2" t="s">
        <v>7371</v>
      </c>
      <c r="U900" s="2" t="s">
        <v>7359</v>
      </c>
      <c r="V900" s="2" t="s">
        <v>86</v>
      </c>
      <c r="W900" s="2" t="s">
        <v>39</v>
      </c>
    </row>
    <row r="901">
      <c r="A901" s="2" t="n">
        <v>674</v>
      </c>
      <c r="B901" s="2" t="s">
        <v>15400</v>
      </c>
      <c r="C901" s="2" t="s">
        <v>7372</v>
      </c>
      <c r="D901" s="2" t="n">
        <v>436.298720067</v>
      </c>
      <c r="E901" s="2" t="n">
        <v>5.05847130530115</v>
      </c>
      <c r="F901" s="2" t="s">
        <v>7374</v>
      </c>
      <c r="G901" s="2" t="n">
        <v>56481</v>
      </c>
      <c r="H901" s="3" t="str">
        <f>HYPERLINK("http://funmeta.oebiotech.com/network/56481", "http://funmeta.oebiotech.com/network/56481")</f>
      </c>
      <c r="I901" s="2" t="s">
        <v>7376</v>
      </c>
      <c r="J901" s="2" t="s">
        <v>7377</v>
      </c>
      <c r="K901" s="2"/>
      <c r="L901" s="2"/>
      <c r="M901" s="2"/>
      <c r="N901" s="2" t="s">
        <v>7378</v>
      </c>
      <c r="O901" s="2" t="s">
        <v>7379</v>
      </c>
      <c r="P901" s="2" t="s">
        <v>7380</v>
      </c>
      <c r="Q901" s="2" t="s">
        <v>7381</v>
      </c>
      <c r="R901" s="2" t="s">
        <v>794</v>
      </c>
      <c r="S901" s="2" t="s">
        <v>2971</v>
      </c>
      <c r="T901" s="2" t="s">
        <v>7382</v>
      </c>
      <c r="U901" s="2" t="s">
        <v>7373</v>
      </c>
      <c r="V901" s="2" t="s">
        <v>218</v>
      </c>
      <c r="W901" s="2" t="s">
        <v>56</v>
      </c>
    </row>
    <row r="902">
      <c r="A902" s="2" t="n">
        <v>675</v>
      </c>
      <c r="B902" s="2" t="s">
        <v>15401</v>
      </c>
      <c r="C902" s="2" t="s">
        <v>7383</v>
      </c>
      <c r="D902" s="2" t="n">
        <v>437.244581583</v>
      </c>
      <c r="E902" s="2" t="n">
        <v>9.63515669169677</v>
      </c>
      <c r="F902" s="2" t="s">
        <v>7385</v>
      </c>
      <c r="G902" s="2" t="n">
        <v>203580</v>
      </c>
      <c r="H902" s="3" t="str">
        <f>HYPERLINK("http://funmeta.oebiotech.com/network/203580", "http://funmeta.oebiotech.com/network/203580")</f>
      </c>
      <c r="I902" s="2" t="s">
        <v>7387</v>
      </c>
      <c r="J902" s="2"/>
      <c r="K902" s="2"/>
      <c r="L902" s="2"/>
      <c r="M902" s="2"/>
      <c r="N902" s="2" t="s">
        <v>7388</v>
      </c>
      <c r="O902" s="2"/>
      <c r="P902" s="2" t="s">
        <v>7389</v>
      </c>
      <c r="Q902" s="2" t="s">
        <v>7390</v>
      </c>
      <c r="R902" s="2" t="s">
        <v>186</v>
      </c>
      <c r="S902" s="2" t="s">
        <v>187</v>
      </c>
      <c r="T902" s="2" t="s">
        <v>1895</v>
      </c>
      <c r="U902" s="2" t="s">
        <v>7384</v>
      </c>
      <c r="V902" s="2" t="s">
        <v>24</v>
      </c>
      <c r="W902" s="2"/>
    </row>
    <row r="903">
      <c r="A903" s="2" t="n">
        <v>676</v>
      </c>
      <c r="B903" s="2" t="s">
        <v>15402</v>
      </c>
      <c r="C903" s="2" t="s">
        <v>7391</v>
      </c>
      <c r="D903" s="2" t="n">
        <v>437.304795958</v>
      </c>
      <c r="E903" s="2" t="n">
        <v>0.472625451546845</v>
      </c>
      <c r="F903" s="2" t="s">
        <v>7393</v>
      </c>
      <c r="G903" s="2" t="n">
        <v>83721</v>
      </c>
      <c r="H903" s="3" t="str">
        <f>HYPERLINK("http://funmeta.oebiotech.com/network/83721", "http://funmeta.oebiotech.com/network/83721")</f>
      </c>
      <c r="I903" s="2" t="s">
        <v>7395</v>
      </c>
      <c r="J903" s="2"/>
      <c r="K903" s="2"/>
      <c r="L903" s="2"/>
      <c r="M903" s="2" t="s">
        <v>7396</v>
      </c>
      <c r="N903" s="2" t="s">
        <v>7397</v>
      </c>
      <c r="O903" s="2"/>
      <c r="P903" s="2" t="s">
        <v>7398</v>
      </c>
      <c r="Q903" s="2" t="s">
        <v>7399</v>
      </c>
      <c r="R903" s="2" t="s">
        <v>644</v>
      </c>
      <c r="S903" s="2" t="s">
        <v>3129</v>
      </c>
      <c r="T903" s="2" t="s">
        <v>7400</v>
      </c>
      <c r="U903" s="2" t="s">
        <v>7392</v>
      </c>
      <c r="V903" s="2" t="s">
        <v>86</v>
      </c>
      <c r="W903" s="2" t="s">
        <v>56</v>
      </c>
    </row>
    <row r="904">
      <c r="A904" s="2" t="n">
        <v>677</v>
      </c>
      <c r="B904" s="2" t="s">
        <v>15403</v>
      </c>
      <c r="C904" s="2" t="s">
        <v>7401</v>
      </c>
      <c r="D904" s="2" t="n">
        <v>438.2473196</v>
      </c>
      <c r="E904" s="2" t="n">
        <v>6.46033921714384</v>
      </c>
      <c r="F904" s="2" t="s">
        <v>15404</v>
      </c>
      <c r="G904" s="2" t="n">
        <v>197969</v>
      </c>
      <c r="H904" s="3" t="str">
        <f>HYPERLINK("http://funmeta.oebiotech.com/network/197969", "http://funmeta.oebiotech.com/network/197969")</f>
      </c>
      <c r="I904" s="2" t="s">
        <v>15405</v>
      </c>
      <c r="J904" s="2"/>
      <c r="K904" s="2"/>
      <c r="L904" s="2"/>
      <c r="M904" s="2"/>
      <c r="N904" s="2"/>
      <c r="O904" s="2"/>
      <c r="P904" s="2" t="s">
        <v>15406</v>
      </c>
      <c r="Q904" s="2" t="s">
        <v>15407</v>
      </c>
      <c r="R904" s="2" t="s">
        <v>794</v>
      </c>
      <c r="S904" s="2" t="s">
        <v>795</v>
      </c>
      <c r="T904" s="2" t="s">
        <v>1870</v>
      </c>
      <c r="U904" s="2" t="s">
        <v>7402</v>
      </c>
      <c r="V904" s="2" t="s">
        <v>531</v>
      </c>
      <c r="W904" s="2"/>
    </row>
    <row r="905">
      <c r="A905" s="2" t="n">
        <v>677</v>
      </c>
      <c r="B905" s="2" t="s">
        <v>15408</v>
      </c>
      <c r="C905" s="2" t="s">
        <v>7401</v>
      </c>
      <c r="D905" s="2" t="n">
        <v>438.2473196</v>
      </c>
      <c r="E905" s="2" t="n">
        <v>6.46033921714384</v>
      </c>
      <c r="F905" s="2" t="s">
        <v>15409</v>
      </c>
      <c r="G905" s="2" t="n">
        <v>197970</v>
      </c>
      <c r="H905" s="3" t="str">
        <f>HYPERLINK("http://funmeta.oebiotech.com/network/197970", "http://funmeta.oebiotech.com/network/197970")</f>
      </c>
      <c r="I905" s="2" t="s">
        <v>15410</v>
      </c>
      <c r="J905" s="2"/>
      <c r="K905" s="2"/>
      <c r="L905" s="2"/>
      <c r="M905" s="2"/>
      <c r="N905" s="2"/>
      <c r="O905" s="2"/>
      <c r="P905" s="2" t="s">
        <v>15411</v>
      </c>
      <c r="Q905" s="2" t="s">
        <v>15412</v>
      </c>
      <c r="R905" s="2" t="s">
        <v>794</v>
      </c>
      <c r="S905" s="2" t="s">
        <v>795</v>
      </c>
      <c r="T905" s="2" t="s">
        <v>1870</v>
      </c>
      <c r="U905" s="2" t="s">
        <v>7402</v>
      </c>
      <c r="V905" s="2" t="s">
        <v>531</v>
      </c>
      <c r="W905" s="2"/>
    </row>
    <row r="906">
      <c r="A906" s="2" t="n">
        <v>677</v>
      </c>
      <c r="B906" s="2" t="s">
        <v>15413</v>
      </c>
      <c r="C906" s="2" t="s">
        <v>7401</v>
      </c>
      <c r="D906" s="2" t="n">
        <v>438.2473196</v>
      </c>
      <c r="E906" s="2" t="n">
        <v>6.46033921714384</v>
      </c>
      <c r="F906" s="2" t="s">
        <v>15414</v>
      </c>
      <c r="G906" s="2" t="n">
        <v>197971</v>
      </c>
      <c r="H906" s="3" t="str">
        <f>HYPERLINK("http://funmeta.oebiotech.com/network/197971", "http://funmeta.oebiotech.com/network/197971")</f>
      </c>
      <c r="I906" s="2" t="s">
        <v>15415</v>
      </c>
      <c r="J906" s="2"/>
      <c r="K906" s="2"/>
      <c r="L906" s="2"/>
      <c r="M906" s="2"/>
      <c r="N906" s="2"/>
      <c r="O906" s="2"/>
      <c r="P906" s="2" t="s">
        <v>15416</v>
      </c>
      <c r="Q906" s="2" t="s">
        <v>15417</v>
      </c>
      <c r="R906" s="2" t="s">
        <v>794</v>
      </c>
      <c r="S906" s="2" t="s">
        <v>795</v>
      </c>
      <c r="T906" s="2" t="s">
        <v>1870</v>
      </c>
      <c r="U906" s="2" t="s">
        <v>7402</v>
      </c>
      <c r="V906" s="2" t="s">
        <v>531</v>
      </c>
      <c r="W906" s="2"/>
    </row>
    <row r="907">
      <c r="A907" s="2" t="n">
        <v>678</v>
      </c>
      <c r="B907" s="2" t="s">
        <v>15418</v>
      </c>
      <c r="C907" s="2" t="s">
        <v>7408</v>
      </c>
      <c r="D907" s="2" t="n">
        <v>439.088200104</v>
      </c>
      <c r="E907" s="2" t="n">
        <v>4.61389756950803</v>
      </c>
      <c r="F907" s="2" t="s">
        <v>7410</v>
      </c>
      <c r="G907" s="2" t="n">
        <v>62592</v>
      </c>
      <c r="H907" s="3" t="str">
        <f>HYPERLINK("http://funmeta.oebiotech.com/network/62592", "http://funmeta.oebiotech.com/network/62592")</f>
      </c>
      <c r="I907" s="2" t="s">
        <v>7412</v>
      </c>
      <c r="J907" s="2" t="s">
        <v>7413</v>
      </c>
      <c r="K907" s="2"/>
      <c r="L907" s="2"/>
      <c r="M907" s="2" t="s">
        <v>7414</v>
      </c>
      <c r="N907" s="2" t="s">
        <v>7415</v>
      </c>
      <c r="O907" s="2" t="s">
        <v>7416</v>
      </c>
      <c r="P907" s="2" t="s">
        <v>7417</v>
      </c>
      <c r="Q907" s="2" t="s">
        <v>7418</v>
      </c>
      <c r="R907" s="2" t="s">
        <v>129</v>
      </c>
      <c r="S907" s="2" t="s">
        <v>130</v>
      </c>
      <c r="T907" s="2" t="s">
        <v>1681</v>
      </c>
      <c r="U907" s="2" t="s">
        <v>7409</v>
      </c>
      <c r="V907" s="2" t="s">
        <v>24</v>
      </c>
      <c r="W907" s="2" t="s">
        <v>56</v>
      </c>
    </row>
    <row r="908">
      <c r="A908" s="2" t="n">
        <v>679</v>
      </c>
      <c r="B908" s="2" t="s">
        <v>15419</v>
      </c>
      <c r="C908" s="2" t="s">
        <v>7419</v>
      </c>
      <c r="D908" s="2" t="n">
        <v>439.16344702</v>
      </c>
      <c r="E908" s="2" t="n">
        <v>0.650056218507172</v>
      </c>
      <c r="F908" s="2" t="s">
        <v>7421</v>
      </c>
      <c r="G908" s="2" t="n">
        <v>206406</v>
      </c>
      <c r="H908" s="3" t="str">
        <f>HYPERLINK("http://funmeta.oebiotech.com/network/206406", "http://funmeta.oebiotech.com/network/206406")</f>
      </c>
      <c r="I908" s="2" t="s">
        <v>7423</v>
      </c>
      <c r="J908" s="2"/>
      <c r="K908" s="2"/>
      <c r="L908" s="2"/>
      <c r="M908" s="2"/>
      <c r="N908" s="2" t="s">
        <v>7424</v>
      </c>
      <c r="O908" s="2"/>
      <c r="P908" s="2" t="s">
        <v>7425</v>
      </c>
      <c r="Q908" s="2" t="s">
        <v>7426</v>
      </c>
      <c r="R908" s="2" t="s">
        <v>114</v>
      </c>
      <c r="S908" s="2" t="s">
        <v>1038</v>
      </c>
      <c r="T908" s="2" t="s">
        <v>1039</v>
      </c>
      <c r="U908" s="2" t="s">
        <v>7420</v>
      </c>
      <c r="V908" s="2" t="s">
        <v>205</v>
      </c>
      <c r="W908" s="2"/>
    </row>
    <row r="909">
      <c r="A909" s="2" t="n">
        <v>680</v>
      </c>
      <c r="B909" s="2" t="s">
        <v>15420</v>
      </c>
      <c r="C909" s="2" t="s">
        <v>7427</v>
      </c>
      <c r="D909" s="2" t="n">
        <v>439.249785351</v>
      </c>
      <c r="E909" s="2" t="n">
        <v>5.76926407813325</v>
      </c>
      <c r="F909" s="2" t="s">
        <v>7429</v>
      </c>
      <c r="G909" s="2" t="n">
        <v>208961</v>
      </c>
      <c r="H909" s="3" t="str">
        <f>HYPERLINK("http://funmeta.oebiotech.com/network/208961", "http://funmeta.oebiotech.com/network/208961")</f>
      </c>
      <c r="I909" s="2" t="s">
        <v>7431</v>
      </c>
      <c r="J909" s="2"/>
      <c r="K909" s="2"/>
      <c r="L909" s="2"/>
      <c r="M909" s="2"/>
      <c r="N909" s="2" t="s">
        <v>7432</v>
      </c>
      <c r="O909" s="2"/>
      <c r="P909" s="2" t="s">
        <v>7433</v>
      </c>
      <c r="Q909" s="2" t="s">
        <v>7434</v>
      </c>
      <c r="R909" s="2" t="s">
        <v>114</v>
      </c>
      <c r="S909" s="2" t="s">
        <v>3757</v>
      </c>
      <c r="T909" s="2" t="s">
        <v>215</v>
      </c>
      <c r="U909" s="2" t="s">
        <v>7428</v>
      </c>
      <c r="V909" s="2" t="s">
        <v>161</v>
      </c>
      <c r="W909" s="2"/>
    </row>
    <row r="910">
      <c r="A910" s="2" t="n">
        <v>681</v>
      </c>
      <c r="B910" s="2" t="s">
        <v>15421</v>
      </c>
      <c r="C910" s="2" t="s">
        <v>7435</v>
      </c>
      <c r="D910" s="2" t="n">
        <v>440.083028985</v>
      </c>
      <c r="E910" s="2" t="n">
        <v>1.91575828628394</v>
      </c>
      <c r="F910" s="2" t="s">
        <v>7437</v>
      </c>
      <c r="G910" s="2" t="n">
        <v>204458</v>
      </c>
      <c r="H910" s="3" t="str">
        <f>HYPERLINK("http://funmeta.oebiotech.com/network/204458", "http://funmeta.oebiotech.com/network/204458")</f>
      </c>
      <c r="I910" s="2" t="s">
        <v>7439</v>
      </c>
      <c r="J910" s="2"/>
      <c r="K910" s="2"/>
      <c r="L910" s="2"/>
      <c r="M910" s="2"/>
      <c r="N910" s="2" t="s">
        <v>7440</v>
      </c>
      <c r="O910" s="2"/>
      <c r="P910" s="2" t="s">
        <v>7441</v>
      </c>
      <c r="Q910" s="2" t="s">
        <v>7442</v>
      </c>
      <c r="R910" s="2" t="s">
        <v>114</v>
      </c>
      <c r="S910" s="2" t="s">
        <v>936</v>
      </c>
      <c r="T910" s="2" t="s">
        <v>1749</v>
      </c>
      <c r="U910" s="2" t="s">
        <v>7436</v>
      </c>
      <c r="V910" s="2" t="s">
        <v>86</v>
      </c>
      <c r="W910" s="2"/>
    </row>
    <row r="911">
      <c r="A911" s="2" t="n">
        <v>682</v>
      </c>
      <c r="B911" s="2" t="s">
        <v>15422</v>
      </c>
      <c r="C911" s="2" t="s">
        <v>7443</v>
      </c>
      <c r="D911" s="2" t="n">
        <v>440.255480619</v>
      </c>
      <c r="E911" s="2" t="n">
        <v>5.82373218696425</v>
      </c>
      <c r="F911" s="2" t="s">
        <v>7445</v>
      </c>
      <c r="G911" s="2" t="n">
        <v>202915</v>
      </c>
      <c r="H911" s="3" t="str">
        <f>HYPERLINK("http://funmeta.oebiotech.com/network/202915", "http://funmeta.oebiotech.com/network/202915")</f>
      </c>
      <c r="I911" s="2" t="s">
        <v>7447</v>
      </c>
      <c r="J911" s="2"/>
      <c r="K911" s="2"/>
      <c r="L911" s="2"/>
      <c r="M911" s="2"/>
      <c r="N911" s="2" t="s">
        <v>7448</v>
      </c>
      <c r="O911" s="2"/>
      <c r="P911" s="2" t="s">
        <v>7449</v>
      </c>
      <c r="Q911" s="2" t="s">
        <v>7450</v>
      </c>
      <c r="R911" s="2" t="s">
        <v>36</v>
      </c>
      <c r="S911" s="2" t="s">
        <v>37</v>
      </c>
      <c r="T911" s="2" t="s">
        <v>69</v>
      </c>
      <c r="U911" s="2" t="s">
        <v>7444</v>
      </c>
      <c r="V911" s="2" t="s">
        <v>24</v>
      </c>
      <c r="W911" s="2"/>
    </row>
    <row r="912">
      <c r="A912" s="2" t="n">
        <v>683</v>
      </c>
      <c r="B912" s="2" t="s">
        <v>15423</v>
      </c>
      <c r="C912" s="2" t="s">
        <v>7451</v>
      </c>
      <c r="D912" s="2" t="n">
        <v>441.264648326</v>
      </c>
      <c r="E912" s="2" t="n">
        <v>3.43290951590684</v>
      </c>
      <c r="F912" s="2" t="s">
        <v>15424</v>
      </c>
      <c r="G912" s="2" t="n">
        <v>56891</v>
      </c>
      <c r="H912" s="3" t="str">
        <f>HYPERLINK("http://funmeta.oebiotech.com/network/56891", "http://funmeta.oebiotech.com/network/56891")</f>
      </c>
      <c r="I912" s="2" t="s">
        <v>15425</v>
      </c>
      <c r="J912" s="2"/>
      <c r="K912" s="2"/>
      <c r="L912" s="2"/>
      <c r="M912" s="2"/>
      <c r="N912" s="2" t="s">
        <v>15426</v>
      </c>
      <c r="O912" s="2" t="s">
        <v>15427</v>
      </c>
      <c r="P912" s="2" t="s">
        <v>15428</v>
      </c>
      <c r="Q912" s="2" t="s">
        <v>15429</v>
      </c>
      <c r="R912" s="2" t="s">
        <v>794</v>
      </c>
      <c r="S912" s="2" t="s">
        <v>2971</v>
      </c>
      <c r="T912" s="2" t="s">
        <v>7552</v>
      </c>
      <c r="U912" s="2" t="s">
        <v>7452</v>
      </c>
      <c r="V912" s="2" t="s">
        <v>24</v>
      </c>
      <c r="W912" s="2" t="s">
        <v>56</v>
      </c>
    </row>
    <row r="913">
      <c r="A913" s="2" t="n">
        <v>683</v>
      </c>
      <c r="B913" s="2" t="s">
        <v>15430</v>
      </c>
      <c r="C913" s="2" t="s">
        <v>7451</v>
      </c>
      <c r="D913" s="2" t="n">
        <v>441.264648326</v>
      </c>
      <c r="E913" s="2" t="n">
        <v>3.43290951590684</v>
      </c>
      <c r="F913" s="2" t="s">
        <v>15431</v>
      </c>
      <c r="G913" s="2" t="n">
        <v>58171</v>
      </c>
      <c r="H913" s="3" t="str">
        <f>HYPERLINK("http://funmeta.oebiotech.com/network/58171", "http://funmeta.oebiotech.com/network/58171")</f>
      </c>
      <c r="I913" s="2" t="s">
        <v>15432</v>
      </c>
      <c r="J913" s="2" t="s">
        <v>15433</v>
      </c>
      <c r="K913" s="2"/>
      <c r="L913" s="2"/>
      <c r="M913" s="2" t="s">
        <v>15434</v>
      </c>
      <c r="N913" s="2" t="s">
        <v>15435</v>
      </c>
      <c r="O913" s="2" t="s">
        <v>15436</v>
      </c>
      <c r="P913" s="2" t="s">
        <v>15437</v>
      </c>
      <c r="Q913" s="2" t="s">
        <v>15438</v>
      </c>
      <c r="R913" s="2" t="s">
        <v>794</v>
      </c>
      <c r="S913" s="2" t="s">
        <v>1098</v>
      </c>
      <c r="T913" s="2" t="s">
        <v>3079</v>
      </c>
      <c r="U913" s="2" t="s">
        <v>7452</v>
      </c>
      <c r="V913" s="2" t="s">
        <v>24</v>
      </c>
      <c r="W913" s="2" t="s">
        <v>56</v>
      </c>
    </row>
    <row r="914">
      <c r="A914" s="2" t="n">
        <v>684</v>
      </c>
      <c r="B914" s="2" t="s">
        <v>15439</v>
      </c>
      <c r="C914" s="2" t="s">
        <v>7464</v>
      </c>
      <c r="D914" s="2" t="n">
        <v>442.007245345</v>
      </c>
      <c r="E914" s="2" t="n">
        <v>7.7612290439642</v>
      </c>
      <c r="F914" s="2" t="s">
        <v>15440</v>
      </c>
      <c r="G914" s="2" t="n">
        <v>63131</v>
      </c>
      <c r="H914" s="3" t="str">
        <f>HYPERLINK("http://funmeta.oebiotech.com/network/63131", "http://funmeta.oebiotech.com/network/63131")</f>
      </c>
      <c r="I914" s="2" t="s">
        <v>15441</v>
      </c>
      <c r="J914" s="2" t="s">
        <v>15442</v>
      </c>
      <c r="K914" s="2"/>
      <c r="L914" s="2"/>
      <c r="M914" s="2"/>
      <c r="N914" s="2" t="s">
        <v>15443</v>
      </c>
      <c r="O914" s="2"/>
      <c r="P914" s="2" t="s">
        <v>15444</v>
      </c>
      <c r="Q914" s="2" t="s">
        <v>15445</v>
      </c>
      <c r="R914" s="2" t="s">
        <v>129</v>
      </c>
      <c r="S914" s="2" t="s">
        <v>130</v>
      </c>
      <c r="T914" s="2" t="s">
        <v>1681</v>
      </c>
      <c r="U914" s="2" t="s">
        <v>7465</v>
      </c>
      <c r="V914" s="2" t="s">
        <v>86</v>
      </c>
      <c r="W914" s="2"/>
    </row>
    <row r="915">
      <c r="A915" s="2" t="n">
        <v>684</v>
      </c>
      <c r="B915" s="2" t="s">
        <v>15446</v>
      </c>
      <c r="C915" s="2" t="s">
        <v>7464</v>
      </c>
      <c r="D915" s="2" t="n">
        <v>442.007245345</v>
      </c>
      <c r="E915" s="2" t="n">
        <v>7.7612290439642</v>
      </c>
      <c r="F915" s="2" t="s">
        <v>15447</v>
      </c>
      <c r="G915" s="2" t="n">
        <v>256522</v>
      </c>
      <c r="H915" s="3" t="str">
        <f>HYPERLINK("http://funmeta.oebiotech.com/network/256522", "http://funmeta.oebiotech.com/network/256522")</f>
      </c>
      <c r="I915" s="2" t="s">
        <v>15448</v>
      </c>
      <c r="J915" s="2"/>
      <c r="K915" s="2"/>
      <c r="L915" s="2"/>
      <c r="M915" s="2"/>
      <c r="N915" s="2" t="s">
        <v>15449</v>
      </c>
      <c r="O915" s="2"/>
      <c r="P915" s="2" t="s">
        <v>15450</v>
      </c>
      <c r="Q915" s="2" t="s">
        <v>15451</v>
      </c>
      <c r="R915" s="2" t="s">
        <v>129</v>
      </c>
      <c r="S915" s="2" t="s">
        <v>130</v>
      </c>
      <c r="T915" s="2" t="s">
        <v>1681</v>
      </c>
      <c r="U915" s="2" t="s">
        <v>7465</v>
      </c>
      <c r="V915" s="2" t="s">
        <v>86</v>
      </c>
      <c r="W915" s="2"/>
    </row>
    <row r="916">
      <c r="A916" s="2" t="n">
        <v>685</v>
      </c>
      <c r="B916" s="2" t="s">
        <v>15452</v>
      </c>
      <c r="C916" s="2" t="s">
        <v>7473</v>
      </c>
      <c r="D916" s="2" t="n">
        <v>442.189428052</v>
      </c>
      <c r="E916" s="2" t="n">
        <v>1.39308353631476</v>
      </c>
      <c r="F916" s="2" t="s">
        <v>7475</v>
      </c>
      <c r="G916" s="2" t="n">
        <v>212051</v>
      </c>
      <c r="H916" s="3" t="str">
        <f>HYPERLINK("http://funmeta.oebiotech.com/network/212051", "http://funmeta.oebiotech.com/network/212051")</f>
      </c>
      <c r="I916" s="2" t="s">
        <v>7477</v>
      </c>
      <c r="J916" s="2"/>
      <c r="K916" s="2"/>
      <c r="L916" s="2"/>
      <c r="M916" s="2"/>
      <c r="N916" s="2"/>
      <c r="O916" s="2"/>
      <c r="P916" s="2" t="s">
        <v>7478</v>
      </c>
      <c r="Q916" s="2" t="s">
        <v>7479</v>
      </c>
      <c r="R916" s="2" t="s">
        <v>114</v>
      </c>
      <c r="S916" s="2" t="s">
        <v>4121</v>
      </c>
      <c r="T916" s="2" t="s">
        <v>7480</v>
      </c>
      <c r="U916" s="2" t="s">
        <v>7474</v>
      </c>
      <c r="V916" s="2" t="s">
        <v>531</v>
      </c>
      <c r="W916" s="2"/>
    </row>
    <row r="917">
      <c r="A917" s="2" t="n">
        <v>686</v>
      </c>
      <c r="B917" s="2" t="s">
        <v>15453</v>
      </c>
      <c r="C917" s="2" t="s">
        <v>7481</v>
      </c>
      <c r="D917" s="2" t="n">
        <v>442.266557616</v>
      </c>
      <c r="E917" s="2" t="n">
        <v>1.88558653761443</v>
      </c>
      <c r="F917" s="2" t="s">
        <v>7483</v>
      </c>
      <c r="G917" s="2" t="n">
        <v>213032</v>
      </c>
      <c r="H917" s="3" t="str">
        <f>HYPERLINK("http://funmeta.oebiotech.com/network/213032", "http://funmeta.oebiotech.com/network/213032")</f>
      </c>
      <c r="I917" s="2" t="s">
        <v>7485</v>
      </c>
      <c r="J917" s="2"/>
      <c r="K917" s="2"/>
      <c r="L917" s="2"/>
      <c r="M917" s="2"/>
      <c r="N917" s="2" t="s">
        <v>7486</v>
      </c>
      <c r="O917" s="2"/>
      <c r="P917" s="2" t="s">
        <v>7487</v>
      </c>
      <c r="Q917" s="2" t="s">
        <v>7488</v>
      </c>
      <c r="R917" s="2" t="s">
        <v>129</v>
      </c>
      <c r="S917" s="2" t="s">
        <v>130</v>
      </c>
      <c r="T917" s="2" t="s">
        <v>1681</v>
      </c>
      <c r="U917" s="2" t="s">
        <v>7482</v>
      </c>
      <c r="V917" s="2" t="s">
        <v>161</v>
      </c>
      <c r="W917" s="2"/>
    </row>
    <row r="918">
      <c r="A918" s="2" t="n">
        <v>687</v>
      </c>
      <c r="B918" s="2" t="s">
        <v>15454</v>
      </c>
      <c r="C918" s="2" t="s">
        <v>7489</v>
      </c>
      <c r="D918" s="2" t="n">
        <v>443.0147688</v>
      </c>
      <c r="E918" s="2" t="n">
        <v>6.55017619228028</v>
      </c>
      <c r="F918" s="2" t="s">
        <v>7491</v>
      </c>
      <c r="G918" s="2" t="n">
        <v>206350</v>
      </c>
      <c r="H918" s="3" t="str">
        <f>HYPERLINK("http://funmeta.oebiotech.com/network/206350", "http://funmeta.oebiotech.com/network/206350")</f>
      </c>
      <c r="I918" s="2" t="s">
        <v>7493</v>
      </c>
      <c r="J918" s="2"/>
      <c r="K918" s="2"/>
      <c r="L918" s="2"/>
      <c r="M918" s="2"/>
      <c r="N918" s="2" t="s">
        <v>7494</v>
      </c>
      <c r="O918" s="2"/>
      <c r="P918" s="2" t="s">
        <v>7495</v>
      </c>
      <c r="Q918" s="2" t="s">
        <v>7496</v>
      </c>
      <c r="R918" s="2" t="s">
        <v>186</v>
      </c>
      <c r="S918" s="2" t="s">
        <v>187</v>
      </c>
      <c r="T918" s="2" t="s">
        <v>3996</v>
      </c>
      <c r="U918" s="2" t="s">
        <v>7490</v>
      </c>
      <c r="V918" s="2" t="s">
        <v>161</v>
      </c>
      <c r="W918" s="2"/>
    </row>
    <row r="919">
      <c r="A919" s="2" t="n">
        <v>688</v>
      </c>
      <c r="B919" s="2" t="s">
        <v>15455</v>
      </c>
      <c r="C919" s="2" t="s">
        <v>7497</v>
      </c>
      <c r="D919" s="2" t="n">
        <v>443.286171616</v>
      </c>
      <c r="E919" s="2" t="n">
        <v>6.59170425539435</v>
      </c>
      <c r="F919" s="2" t="s">
        <v>7499</v>
      </c>
      <c r="G919" s="2" t="n">
        <v>212330</v>
      </c>
      <c r="H919" s="3" t="str">
        <f>HYPERLINK("http://funmeta.oebiotech.com/network/212330", "http://funmeta.oebiotech.com/network/212330")</f>
      </c>
      <c r="I919" s="2" t="s">
        <v>7501</v>
      </c>
      <c r="J919" s="2"/>
      <c r="K919" s="2"/>
      <c r="L919" s="2"/>
      <c r="M919" s="2" t="s">
        <v>7502</v>
      </c>
      <c r="N919" s="2"/>
      <c r="O919" s="2"/>
      <c r="P919" s="2" t="s">
        <v>7503</v>
      </c>
      <c r="Q919" s="2" t="s">
        <v>7504</v>
      </c>
      <c r="R919" s="2" t="s">
        <v>129</v>
      </c>
      <c r="S919" s="2" t="s">
        <v>130</v>
      </c>
      <c r="T919" s="2" t="s">
        <v>4901</v>
      </c>
      <c r="U919" s="2" t="s">
        <v>7498</v>
      </c>
      <c r="V919" s="2" t="s">
        <v>683</v>
      </c>
      <c r="W919" s="2"/>
    </row>
    <row r="920">
      <c r="A920" s="2" t="n">
        <v>689</v>
      </c>
      <c r="B920" s="2" t="s">
        <v>15456</v>
      </c>
      <c r="C920" s="2" t="s">
        <v>7505</v>
      </c>
      <c r="D920" s="2" t="n">
        <v>445.05902164</v>
      </c>
      <c r="E920" s="2" t="n">
        <v>1.27290121945508</v>
      </c>
      <c r="F920" s="2" t="s">
        <v>7507</v>
      </c>
      <c r="G920" s="2" t="n">
        <v>203989</v>
      </c>
      <c r="H920" s="3" t="str">
        <f>HYPERLINK("http://funmeta.oebiotech.com/network/203989", "http://funmeta.oebiotech.com/network/203989")</f>
      </c>
      <c r="I920" s="2" t="s">
        <v>7509</v>
      </c>
      <c r="J920" s="2" t="s">
        <v>7510</v>
      </c>
      <c r="K920" s="2"/>
      <c r="L920" s="2" t="s">
        <v>7511</v>
      </c>
      <c r="M920" s="2" t="s">
        <v>7512</v>
      </c>
      <c r="N920" s="2" t="s">
        <v>7513</v>
      </c>
      <c r="O920" s="2" t="s">
        <v>7514</v>
      </c>
      <c r="P920" s="2" t="s">
        <v>7515</v>
      </c>
      <c r="Q920" s="2" t="s">
        <v>7516</v>
      </c>
      <c r="R920" s="2" t="s">
        <v>186</v>
      </c>
      <c r="S920" s="2" t="s">
        <v>187</v>
      </c>
      <c r="T920" s="2" t="s">
        <v>3454</v>
      </c>
      <c r="U920" s="2" t="s">
        <v>7506</v>
      </c>
      <c r="V920" s="2" t="s">
        <v>86</v>
      </c>
      <c r="W920" s="2" t="s">
        <v>101</v>
      </c>
    </row>
    <row r="921">
      <c r="A921" s="2" t="n">
        <v>690</v>
      </c>
      <c r="B921" s="2" t="s">
        <v>15457</v>
      </c>
      <c r="C921" s="2" t="s">
        <v>7517</v>
      </c>
      <c r="D921" s="2" t="n">
        <v>445.188129333</v>
      </c>
      <c r="E921" s="2" t="n">
        <v>2.19437899689935</v>
      </c>
      <c r="F921" s="2" t="s">
        <v>7519</v>
      </c>
      <c r="G921" s="2" t="n">
        <v>203043</v>
      </c>
      <c r="H921" s="3" t="str">
        <f>HYPERLINK("http://funmeta.oebiotech.com/network/203043", "http://funmeta.oebiotech.com/network/203043")</f>
      </c>
      <c r="I921" s="2" t="s">
        <v>7521</v>
      </c>
      <c r="J921" s="2"/>
      <c r="K921" s="2"/>
      <c r="L921" s="2"/>
      <c r="M921" s="2"/>
      <c r="N921" s="2" t="s">
        <v>7522</v>
      </c>
      <c r="O921" s="2"/>
      <c r="P921" s="2" t="s">
        <v>7523</v>
      </c>
      <c r="Q921" s="2" t="s">
        <v>7524</v>
      </c>
      <c r="R921" s="2" t="s">
        <v>114</v>
      </c>
      <c r="S921" s="2" t="s">
        <v>936</v>
      </c>
      <c r="T921" s="2" t="s">
        <v>2291</v>
      </c>
      <c r="U921" s="2" t="s">
        <v>7518</v>
      </c>
      <c r="V921" s="2" t="s">
        <v>24</v>
      </c>
      <c r="W921" s="2"/>
    </row>
    <row r="922">
      <c r="A922" s="2" t="n">
        <v>691</v>
      </c>
      <c r="B922" s="2" t="s">
        <v>15458</v>
      </c>
      <c r="C922" s="2" t="s">
        <v>7525</v>
      </c>
      <c r="D922" s="2" t="n">
        <v>445.245644211</v>
      </c>
      <c r="E922" s="2" t="n">
        <v>2.5142885573819</v>
      </c>
      <c r="F922" s="2" t="s">
        <v>7527</v>
      </c>
      <c r="G922" s="2" t="n">
        <v>203812</v>
      </c>
      <c r="H922" s="3" t="str">
        <f>HYPERLINK("http://funmeta.oebiotech.com/network/203812", "http://funmeta.oebiotech.com/network/203812")</f>
      </c>
      <c r="I922" s="2" t="s">
        <v>7529</v>
      </c>
      <c r="J922" s="2"/>
      <c r="K922" s="2"/>
      <c r="L922" s="2"/>
      <c r="M922" s="2"/>
      <c r="N922" s="2" t="s">
        <v>7530</v>
      </c>
      <c r="O922" s="2"/>
      <c r="P922" s="2" t="s">
        <v>7531</v>
      </c>
      <c r="Q922" s="2" t="s">
        <v>7532</v>
      </c>
      <c r="R922" s="2" t="s">
        <v>186</v>
      </c>
      <c r="S922" s="2" t="s">
        <v>911</v>
      </c>
      <c r="T922" s="2" t="s">
        <v>215</v>
      </c>
      <c r="U922" s="2" t="s">
        <v>7526</v>
      </c>
      <c r="V922" s="2" t="s">
        <v>24</v>
      </c>
      <c r="W922" s="2"/>
    </row>
    <row r="923">
      <c r="A923" s="2" t="n">
        <v>692</v>
      </c>
      <c r="B923" s="2" t="s">
        <v>15459</v>
      </c>
      <c r="C923" s="2" t="s">
        <v>7533</v>
      </c>
      <c r="D923" s="2" t="n">
        <v>447.198304166</v>
      </c>
      <c r="E923" s="2" t="n">
        <v>0.558989027603624</v>
      </c>
      <c r="F923" s="2" t="s">
        <v>7535</v>
      </c>
      <c r="G923" s="2" t="n">
        <v>82657</v>
      </c>
      <c r="H923" s="3" t="str">
        <f>HYPERLINK("http://funmeta.oebiotech.com/network/82657", "http://funmeta.oebiotech.com/network/82657")</f>
      </c>
      <c r="I923" s="2" t="s">
        <v>7537</v>
      </c>
      <c r="J923" s="2" t="s">
        <v>7538</v>
      </c>
      <c r="K923" s="2"/>
      <c r="L923" s="2"/>
      <c r="M923" s="2"/>
      <c r="N923" s="2" t="s">
        <v>7539</v>
      </c>
      <c r="O923" s="2"/>
      <c r="P923" s="2" t="s">
        <v>7540</v>
      </c>
      <c r="Q923" s="2" t="s">
        <v>7541</v>
      </c>
      <c r="R923" s="2" t="s">
        <v>794</v>
      </c>
      <c r="S923" s="2" t="s">
        <v>2971</v>
      </c>
      <c r="T923" s="2" t="s">
        <v>7542</v>
      </c>
      <c r="U923" s="2" t="s">
        <v>7534</v>
      </c>
      <c r="V923" s="2" t="s">
        <v>161</v>
      </c>
      <c r="W923" s="2"/>
    </row>
    <row r="924">
      <c r="A924" s="2" t="n">
        <v>693</v>
      </c>
      <c r="B924" s="2" t="s">
        <v>15460</v>
      </c>
      <c r="C924" s="2" t="s">
        <v>7543</v>
      </c>
      <c r="D924" s="2" t="n">
        <v>447.238823198</v>
      </c>
      <c r="E924" s="2" t="n">
        <v>1.37401535625427</v>
      </c>
      <c r="F924" s="2" t="s">
        <v>7545</v>
      </c>
      <c r="G924" s="2" t="n">
        <v>59673</v>
      </c>
      <c r="H924" s="3" t="str">
        <f>HYPERLINK("http://funmeta.oebiotech.com/network/59673", "http://funmeta.oebiotech.com/network/59673")</f>
      </c>
      <c r="I924" s="2" t="s">
        <v>7547</v>
      </c>
      <c r="J924" s="2"/>
      <c r="K924" s="2"/>
      <c r="L924" s="2"/>
      <c r="M924" s="2"/>
      <c r="N924" s="2" t="s">
        <v>7548</v>
      </c>
      <c r="O924" s="2" t="s">
        <v>7549</v>
      </c>
      <c r="P924" s="2" t="s">
        <v>7550</v>
      </c>
      <c r="Q924" s="2" t="s">
        <v>7551</v>
      </c>
      <c r="R924" s="2" t="s">
        <v>794</v>
      </c>
      <c r="S924" s="2" t="s">
        <v>2971</v>
      </c>
      <c r="T924" s="2" t="s">
        <v>7552</v>
      </c>
      <c r="U924" s="2" t="s">
        <v>7544</v>
      </c>
      <c r="V924" s="2" t="s">
        <v>205</v>
      </c>
      <c r="W924" s="2" t="s">
        <v>56</v>
      </c>
    </row>
    <row r="925">
      <c r="A925" s="2" t="n">
        <v>694</v>
      </c>
      <c r="B925" s="2" t="s">
        <v>15461</v>
      </c>
      <c r="C925" s="2" t="s">
        <v>7553</v>
      </c>
      <c r="D925" s="2" t="n">
        <v>448.010648136</v>
      </c>
      <c r="E925" s="2" t="n">
        <v>1.25714588166989</v>
      </c>
      <c r="F925" s="2" t="s">
        <v>7555</v>
      </c>
      <c r="G925" s="2" t="n">
        <v>210472</v>
      </c>
      <c r="H925" s="3" t="str">
        <f>HYPERLINK("http://funmeta.oebiotech.com/network/210472", "http://funmeta.oebiotech.com/network/210472")</f>
      </c>
      <c r="I925" s="2" t="s">
        <v>7557</v>
      </c>
      <c r="J925" s="2"/>
      <c r="K925" s="2"/>
      <c r="L925" s="2"/>
      <c r="M925" s="2" t="s">
        <v>7558</v>
      </c>
      <c r="N925" s="2"/>
      <c r="O925" s="2"/>
      <c r="P925" s="2" t="s">
        <v>7559</v>
      </c>
      <c r="Q925" s="2" t="s">
        <v>7560</v>
      </c>
      <c r="R925" s="2" t="s">
        <v>129</v>
      </c>
      <c r="S925" s="2" t="s">
        <v>130</v>
      </c>
      <c r="T925" s="2" t="s">
        <v>131</v>
      </c>
      <c r="U925" s="2" t="s">
        <v>7554</v>
      </c>
      <c r="V925" s="2" t="s">
        <v>86</v>
      </c>
      <c r="W925" s="2"/>
    </row>
    <row r="926">
      <c r="A926" s="2" t="n">
        <v>695</v>
      </c>
      <c r="B926" s="2" t="s">
        <v>15462</v>
      </c>
      <c r="C926" s="2" t="s">
        <v>7561</v>
      </c>
      <c r="D926" s="2" t="n">
        <v>449.033006831</v>
      </c>
      <c r="E926" s="2" t="n">
        <v>3.04113738553199</v>
      </c>
      <c r="F926" s="2" t="s">
        <v>15463</v>
      </c>
      <c r="G926" s="2" t="n">
        <v>202272</v>
      </c>
      <c r="H926" s="3" t="str">
        <f>HYPERLINK("http://funmeta.oebiotech.com/network/202272", "http://funmeta.oebiotech.com/network/202272")</f>
      </c>
      <c r="I926" s="2" t="s">
        <v>15464</v>
      </c>
      <c r="J926" s="2"/>
      <c r="K926" s="2"/>
      <c r="L926" s="2"/>
      <c r="M926" s="2"/>
      <c r="N926" s="2" t="s">
        <v>15465</v>
      </c>
      <c r="O926" s="2"/>
      <c r="P926" s="2" t="s">
        <v>15466</v>
      </c>
      <c r="Q926" s="2" t="s">
        <v>15467</v>
      </c>
      <c r="R926" s="2" t="s">
        <v>36</v>
      </c>
      <c r="S926" s="2" t="s">
        <v>37</v>
      </c>
      <c r="T926" s="2" t="s">
        <v>242</v>
      </c>
      <c r="U926" s="2" t="s">
        <v>7562</v>
      </c>
      <c r="V926" s="2" t="s">
        <v>205</v>
      </c>
      <c r="W926" s="2"/>
    </row>
    <row r="927">
      <c r="A927" s="2" t="n">
        <v>695</v>
      </c>
      <c r="B927" s="2" t="s">
        <v>15468</v>
      </c>
      <c r="C927" s="2" t="s">
        <v>7561</v>
      </c>
      <c r="D927" s="2" t="n">
        <v>449.033006831</v>
      </c>
      <c r="E927" s="2" t="n">
        <v>3.04113738553199</v>
      </c>
      <c r="F927" s="2" t="s">
        <v>15469</v>
      </c>
      <c r="G927" s="2" t="n">
        <v>211584</v>
      </c>
      <c r="H927" s="3" t="str">
        <f>HYPERLINK("http://funmeta.oebiotech.com/network/211584", "http://funmeta.oebiotech.com/network/211584")</f>
      </c>
      <c r="I927" s="2" t="s">
        <v>15470</v>
      </c>
      <c r="J927" s="2"/>
      <c r="K927" s="2"/>
      <c r="L927" s="2"/>
      <c r="M927" s="2"/>
      <c r="N927" s="2" t="s">
        <v>15471</v>
      </c>
      <c r="O927" s="2"/>
      <c r="P927" s="2" t="s">
        <v>15472</v>
      </c>
      <c r="Q927" s="2" t="s">
        <v>15473</v>
      </c>
      <c r="R927" s="2" t="s">
        <v>36</v>
      </c>
      <c r="S927" s="2" t="s">
        <v>37</v>
      </c>
      <c r="T927" s="2" t="s">
        <v>69</v>
      </c>
      <c r="U927" s="2" t="s">
        <v>7562</v>
      </c>
      <c r="V927" s="2" t="s">
        <v>205</v>
      </c>
      <c r="W927" s="2"/>
    </row>
    <row r="928">
      <c r="A928" s="2" t="n">
        <v>696</v>
      </c>
      <c r="B928" s="2" t="s">
        <v>15474</v>
      </c>
      <c r="C928" s="2" t="s">
        <v>7570</v>
      </c>
      <c r="D928" s="2" t="n">
        <v>449.282735652</v>
      </c>
      <c r="E928" s="2" t="n">
        <v>1.01430789798543</v>
      </c>
      <c r="F928" s="2" t="s">
        <v>15475</v>
      </c>
      <c r="G928" s="2" t="n">
        <v>47452</v>
      </c>
      <c r="H928" s="3" t="str">
        <f>HYPERLINK("http://funmeta.oebiotech.com/network/47452", "http://funmeta.oebiotech.com/network/47452")</f>
      </c>
      <c r="I928" s="2" t="s">
        <v>15476</v>
      </c>
      <c r="J928" s="2" t="s">
        <v>15477</v>
      </c>
      <c r="K928" s="2"/>
      <c r="L928" s="2"/>
      <c r="M928" s="2"/>
      <c r="N928" s="2" t="s">
        <v>15478</v>
      </c>
      <c r="O928" s="2"/>
      <c r="P928" s="2" t="s">
        <v>15479</v>
      </c>
      <c r="Q928" s="2" t="s">
        <v>15480</v>
      </c>
      <c r="R928" s="2" t="s">
        <v>794</v>
      </c>
      <c r="S928" s="2" t="s">
        <v>2971</v>
      </c>
      <c r="T928" s="2" t="s">
        <v>7371</v>
      </c>
      <c r="U928" s="2" t="s">
        <v>7571</v>
      </c>
      <c r="V928" s="2" t="s">
        <v>218</v>
      </c>
      <c r="W928" s="2" t="s">
        <v>56</v>
      </c>
    </row>
    <row r="929">
      <c r="A929" s="2" t="n">
        <v>696</v>
      </c>
      <c r="B929" s="2" t="s">
        <v>15481</v>
      </c>
      <c r="C929" s="2" t="s">
        <v>7570</v>
      </c>
      <c r="D929" s="2" t="n">
        <v>449.282735652</v>
      </c>
      <c r="E929" s="2" t="n">
        <v>1.01430789798543</v>
      </c>
      <c r="F929" s="2" t="s">
        <v>15482</v>
      </c>
      <c r="G929" s="2" t="n">
        <v>47587</v>
      </c>
      <c r="H929" s="3" t="str">
        <f>HYPERLINK("http://funmeta.oebiotech.com/network/47587", "http://funmeta.oebiotech.com/network/47587")</f>
      </c>
      <c r="I929" s="2" t="s">
        <v>15483</v>
      </c>
      <c r="J929" s="2"/>
      <c r="K929" s="2"/>
      <c r="L929" s="2"/>
      <c r="M929" s="2"/>
      <c r="N929" s="2" t="s">
        <v>15484</v>
      </c>
      <c r="O929" s="2" t="s">
        <v>15485</v>
      </c>
      <c r="P929" s="2" t="s">
        <v>15486</v>
      </c>
      <c r="Q929" s="2" t="s">
        <v>15487</v>
      </c>
      <c r="R929" s="2" t="s">
        <v>794</v>
      </c>
      <c r="S929" s="2" t="s">
        <v>2971</v>
      </c>
      <c r="T929" s="2" t="s">
        <v>7999</v>
      </c>
      <c r="U929" s="2" t="s">
        <v>7571</v>
      </c>
      <c r="V929" s="2" t="s">
        <v>218</v>
      </c>
      <c r="W929" s="2" t="s">
        <v>56</v>
      </c>
    </row>
    <row r="930">
      <c r="A930" s="2" t="n">
        <v>696</v>
      </c>
      <c r="B930" s="2" t="s">
        <v>15488</v>
      </c>
      <c r="C930" s="2" t="s">
        <v>7570</v>
      </c>
      <c r="D930" s="2" t="n">
        <v>449.282735657</v>
      </c>
      <c r="E930" s="2" t="n">
        <v>1.01430789798543</v>
      </c>
      <c r="F930" s="2" t="s">
        <v>15489</v>
      </c>
      <c r="G930" s="2" t="n">
        <v>43558</v>
      </c>
      <c r="H930" s="3" t="str">
        <f>HYPERLINK("http://funmeta.oebiotech.com/network/43558", "http://funmeta.oebiotech.com/network/43558")</f>
      </c>
      <c r="I930" s="2" t="s">
        <v>15490</v>
      </c>
      <c r="J930" s="2"/>
      <c r="K930" s="2" t="s">
        <v>15491</v>
      </c>
      <c r="L930" s="2"/>
      <c r="M930" s="2"/>
      <c r="N930" s="2" t="s">
        <v>15492</v>
      </c>
      <c r="O930" s="2"/>
      <c r="P930" s="2" t="s">
        <v>15493</v>
      </c>
      <c r="Q930" s="2" t="s">
        <v>15494</v>
      </c>
      <c r="R930" s="2" t="s">
        <v>794</v>
      </c>
      <c r="S930" s="2" t="s">
        <v>2971</v>
      </c>
      <c r="T930" s="2" t="s">
        <v>7371</v>
      </c>
      <c r="U930" s="2" t="s">
        <v>7571</v>
      </c>
      <c r="V930" s="2" t="s">
        <v>218</v>
      </c>
      <c r="W930" s="2" t="s">
        <v>56</v>
      </c>
    </row>
    <row r="931">
      <c r="A931" s="2" t="n">
        <v>697</v>
      </c>
      <c r="B931" s="2" t="s">
        <v>15495</v>
      </c>
      <c r="C931" s="2" t="s">
        <v>7582</v>
      </c>
      <c r="D931" s="2" t="n">
        <v>450.9304534</v>
      </c>
      <c r="E931" s="2" t="n">
        <v>4.9148698580307</v>
      </c>
      <c r="F931" s="2" t="s">
        <v>7584</v>
      </c>
      <c r="G931" s="2" t="n">
        <v>202202</v>
      </c>
      <c r="H931" s="3" t="str">
        <f>HYPERLINK("http://funmeta.oebiotech.com/network/202202", "http://funmeta.oebiotech.com/network/202202")</f>
      </c>
      <c r="I931" s="2" t="s">
        <v>7586</v>
      </c>
      <c r="J931" s="2"/>
      <c r="K931" s="2"/>
      <c r="L931" s="2"/>
      <c r="M931" s="2"/>
      <c r="N931" s="2"/>
      <c r="O931" s="2"/>
      <c r="P931" s="2" t="s">
        <v>7587</v>
      </c>
      <c r="Q931" s="2" t="s">
        <v>7588</v>
      </c>
      <c r="R931" s="2" t="s">
        <v>1355</v>
      </c>
      <c r="S931" s="2" t="s">
        <v>3249</v>
      </c>
      <c r="T931" s="2" t="s">
        <v>215</v>
      </c>
      <c r="U931" s="2" t="s">
        <v>7583</v>
      </c>
      <c r="V931" s="2" t="s">
        <v>531</v>
      </c>
      <c r="W931" s="2"/>
    </row>
    <row r="932">
      <c r="A932" s="2" t="n">
        <v>698</v>
      </c>
      <c r="B932" s="2" t="s">
        <v>15496</v>
      </c>
      <c r="C932" s="2" t="s">
        <v>7589</v>
      </c>
      <c r="D932" s="2" t="n">
        <v>452.293634689</v>
      </c>
      <c r="E932" s="2" t="n">
        <v>6.31270389461123</v>
      </c>
      <c r="F932" s="2" t="s">
        <v>7591</v>
      </c>
      <c r="G932" s="2" t="n">
        <v>58715</v>
      </c>
      <c r="H932" s="3" t="str">
        <f>HYPERLINK("http://funmeta.oebiotech.com/network/58715", "http://funmeta.oebiotech.com/network/58715")</f>
      </c>
      <c r="I932" s="2" t="s">
        <v>7593</v>
      </c>
      <c r="J932" s="2"/>
      <c r="K932" s="2"/>
      <c r="L932" s="2" t="s">
        <v>7594</v>
      </c>
      <c r="M932" s="2" t="s">
        <v>7595</v>
      </c>
      <c r="N932" s="2" t="s">
        <v>7596</v>
      </c>
      <c r="O932" s="2" t="s">
        <v>7597</v>
      </c>
      <c r="P932" s="2" t="s">
        <v>7598</v>
      </c>
      <c r="Q932" s="2" t="s">
        <v>7599</v>
      </c>
      <c r="R932" s="2" t="s">
        <v>794</v>
      </c>
      <c r="S932" s="2" t="s">
        <v>2971</v>
      </c>
      <c r="T932" s="2" t="s">
        <v>7382</v>
      </c>
      <c r="U932" s="2" t="s">
        <v>7590</v>
      </c>
      <c r="V932" s="2" t="s">
        <v>218</v>
      </c>
      <c r="W932" s="2" t="s">
        <v>56</v>
      </c>
    </row>
    <row r="933">
      <c r="A933" s="2" t="n">
        <v>699</v>
      </c>
      <c r="B933" s="2" t="s">
        <v>15497</v>
      </c>
      <c r="C933" s="2" t="s">
        <v>7600</v>
      </c>
      <c r="D933" s="2" t="n">
        <v>453.028393814</v>
      </c>
      <c r="E933" s="2" t="n">
        <v>1.93753661012573</v>
      </c>
      <c r="F933" s="2" t="s">
        <v>7602</v>
      </c>
      <c r="G933" s="2" t="n">
        <v>200912</v>
      </c>
      <c r="H933" s="3" t="str">
        <f>HYPERLINK("http://funmeta.oebiotech.com/network/200912", "http://funmeta.oebiotech.com/network/200912")</f>
      </c>
      <c r="I933" s="2" t="s">
        <v>7604</v>
      </c>
      <c r="J933" s="2" t="s">
        <v>7605</v>
      </c>
      <c r="K933" s="2"/>
      <c r="L933" s="2" t="s">
        <v>7606</v>
      </c>
      <c r="M933" s="2" t="s">
        <v>7607</v>
      </c>
      <c r="N933" s="2" t="s">
        <v>7608</v>
      </c>
      <c r="O933" s="2" t="s">
        <v>7609</v>
      </c>
      <c r="P933" s="2" t="s">
        <v>7610</v>
      </c>
      <c r="Q933" s="2" t="s">
        <v>7611</v>
      </c>
      <c r="R933" s="2" t="s">
        <v>186</v>
      </c>
      <c r="S933" s="2" t="s">
        <v>187</v>
      </c>
      <c r="T933" s="2" t="s">
        <v>1206</v>
      </c>
      <c r="U933" s="2" t="s">
        <v>7601</v>
      </c>
      <c r="V933" s="2" t="s">
        <v>683</v>
      </c>
      <c r="W933" s="2" t="s">
        <v>101</v>
      </c>
    </row>
    <row r="934">
      <c r="A934" s="2" t="n">
        <v>700</v>
      </c>
      <c r="B934" s="2" t="s">
        <v>15498</v>
      </c>
      <c r="C934" s="2" t="s">
        <v>7612</v>
      </c>
      <c r="D934" s="2" t="n">
        <v>453.081315</v>
      </c>
      <c r="E934" s="2" t="n">
        <v>2.50566791152576</v>
      </c>
      <c r="F934" s="2" t="s">
        <v>7614</v>
      </c>
      <c r="G934" s="2" t="n">
        <v>204303</v>
      </c>
      <c r="H934" s="3" t="str">
        <f>HYPERLINK("http://funmeta.oebiotech.com/network/204303", "http://funmeta.oebiotech.com/network/204303")</f>
      </c>
      <c r="I934" s="2" t="s">
        <v>7616</v>
      </c>
      <c r="J934" s="2"/>
      <c r="K934" s="2"/>
      <c r="L934" s="2"/>
      <c r="M934" s="2"/>
      <c r="N934" s="2" t="s">
        <v>7617</v>
      </c>
      <c r="O934" s="2"/>
      <c r="P934" s="2" t="s">
        <v>7618</v>
      </c>
      <c r="Q934" s="2" t="s">
        <v>7619</v>
      </c>
      <c r="R934" s="2" t="s">
        <v>186</v>
      </c>
      <c r="S934" s="2" t="s">
        <v>187</v>
      </c>
      <c r="T934" s="2" t="s">
        <v>3454</v>
      </c>
      <c r="U934" s="2" t="s">
        <v>7613</v>
      </c>
      <c r="V934" s="2" t="s">
        <v>161</v>
      </c>
      <c r="W934" s="2"/>
    </row>
    <row r="935">
      <c r="A935" s="2" t="n">
        <v>701</v>
      </c>
      <c r="B935" s="2" t="s">
        <v>15499</v>
      </c>
      <c r="C935" s="2" t="s">
        <v>7620</v>
      </c>
      <c r="D935" s="2" t="n">
        <v>453.239491898</v>
      </c>
      <c r="E935" s="2" t="n">
        <v>0.703126365718749</v>
      </c>
      <c r="F935" s="2" t="s">
        <v>7622</v>
      </c>
      <c r="G935" s="2" t="n">
        <v>208336</v>
      </c>
      <c r="H935" s="3" t="str">
        <f>HYPERLINK("http://funmeta.oebiotech.com/network/208336", "http://funmeta.oebiotech.com/network/208336")</f>
      </c>
      <c r="I935" s="2" t="s">
        <v>7624</v>
      </c>
      <c r="J935" s="2"/>
      <c r="K935" s="2"/>
      <c r="L935" s="2"/>
      <c r="M935" s="2" t="s">
        <v>7625</v>
      </c>
      <c r="N935" s="2" t="s">
        <v>7626</v>
      </c>
      <c r="O935" s="2"/>
      <c r="P935" s="2" t="s">
        <v>7627</v>
      </c>
      <c r="Q935" s="2" t="s">
        <v>7628</v>
      </c>
      <c r="R935" s="2" t="s">
        <v>114</v>
      </c>
      <c r="S935" s="2" t="s">
        <v>4121</v>
      </c>
      <c r="T935" s="2" t="s">
        <v>7629</v>
      </c>
      <c r="U935" s="2" t="s">
        <v>7621</v>
      </c>
      <c r="V935" s="2" t="s">
        <v>205</v>
      </c>
      <c r="W935" s="2"/>
    </row>
    <row r="936">
      <c r="A936" s="2" t="n">
        <v>702</v>
      </c>
      <c r="B936" s="2" t="s">
        <v>15500</v>
      </c>
      <c r="C936" s="2" t="s">
        <v>7630</v>
      </c>
      <c r="D936" s="2" t="n">
        <v>454.316861857</v>
      </c>
      <c r="E936" s="2" t="n">
        <v>9.24928360239858</v>
      </c>
      <c r="F936" s="2" t="s">
        <v>15501</v>
      </c>
      <c r="G936" s="2" t="n">
        <v>198073</v>
      </c>
      <c r="H936" s="3" t="str">
        <f>HYPERLINK("http://funmeta.oebiotech.com/network/198073", "http://funmeta.oebiotech.com/network/198073")</f>
      </c>
      <c r="I936" s="2" t="s">
        <v>15502</v>
      </c>
      <c r="J936" s="2"/>
      <c r="K936" s="2"/>
      <c r="L936" s="2"/>
      <c r="M936" s="2"/>
      <c r="N936" s="2"/>
      <c r="O936" s="2"/>
      <c r="P936" s="2" t="s">
        <v>15503</v>
      </c>
      <c r="Q936" s="2" t="s">
        <v>15504</v>
      </c>
      <c r="R936" s="2" t="s">
        <v>794</v>
      </c>
      <c r="S936" s="2" t="s">
        <v>795</v>
      </c>
      <c r="T936" s="2" t="s">
        <v>1870</v>
      </c>
      <c r="U936" s="2" t="s">
        <v>7631</v>
      </c>
      <c r="V936" s="2" t="s">
        <v>161</v>
      </c>
      <c r="W936" s="2"/>
    </row>
    <row r="937">
      <c r="A937" s="2" t="n">
        <v>702</v>
      </c>
      <c r="B937" s="2" t="s">
        <v>15505</v>
      </c>
      <c r="C937" s="2" t="s">
        <v>7630</v>
      </c>
      <c r="D937" s="2" t="n">
        <v>454.316861857</v>
      </c>
      <c r="E937" s="2" t="n">
        <v>9.24928360239858</v>
      </c>
      <c r="F937" s="2" t="s">
        <v>15506</v>
      </c>
      <c r="G937" s="2" t="n">
        <v>198074</v>
      </c>
      <c r="H937" s="3" t="str">
        <f>HYPERLINK("http://funmeta.oebiotech.com/network/198074", "http://funmeta.oebiotech.com/network/198074")</f>
      </c>
      <c r="I937" s="2" t="s">
        <v>15507</v>
      </c>
      <c r="J937" s="2"/>
      <c r="K937" s="2"/>
      <c r="L937" s="2"/>
      <c r="M937" s="2"/>
      <c r="N937" s="2"/>
      <c r="O937" s="2"/>
      <c r="P937" s="2" t="s">
        <v>15508</v>
      </c>
      <c r="Q937" s="2" t="s">
        <v>15509</v>
      </c>
      <c r="R937" s="2" t="s">
        <v>794</v>
      </c>
      <c r="S937" s="2" t="s">
        <v>795</v>
      </c>
      <c r="T937" s="2" t="s">
        <v>1870</v>
      </c>
      <c r="U937" s="2" t="s">
        <v>7631</v>
      </c>
      <c r="V937" s="2" t="s">
        <v>161</v>
      </c>
      <c r="W937" s="2"/>
    </row>
    <row r="938">
      <c r="A938" s="2" t="n">
        <v>703</v>
      </c>
      <c r="B938" s="2" t="s">
        <v>15510</v>
      </c>
      <c r="C938" s="2" t="s">
        <v>7637</v>
      </c>
      <c r="D938" s="2" t="n">
        <v>455.243912884</v>
      </c>
      <c r="E938" s="2" t="n">
        <v>4.94056693598927</v>
      </c>
      <c r="F938" s="2" t="s">
        <v>7639</v>
      </c>
      <c r="G938" s="2" t="n">
        <v>55616</v>
      </c>
      <c r="H938" s="3" t="str">
        <f>HYPERLINK("http://funmeta.oebiotech.com/network/55616", "http://funmeta.oebiotech.com/network/55616")</f>
      </c>
      <c r="I938" s="2" t="s">
        <v>7641</v>
      </c>
      <c r="J938" s="2" t="s">
        <v>7642</v>
      </c>
      <c r="K938" s="2"/>
      <c r="L938" s="2"/>
      <c r="M938" s="2"/>
      <c r="N938" s="2" t="s">
        <v>7643</v>
      </c>
      <c r="O938" s="2"/>
      <c r="P938" s="2" t="s">
        <v>7644</v>
      </c>
      <c r="Q938" s="2" t="s">
        <v>7645</v>
      </c>
      <c r="R938" s="2" t="s">
        <v>794</v>
      </c>
      <c r="S938" s="2" t="s">
        <v>1098</v>
      </c>
      <c r="T938" s="2" t="s">
        <v>7646</v>
      </c>
      <c r="U938" s="2" t="s">
        <v>7638</v>
      </c>
      <c r="V938" s="2" t="s">
        <v>24</v>
      </c>
      <c r="W938" s="2" t="s">
        <v>56</v>
      </c>
    </row>
    <row r="939">
      <c r="A939" s="2" t="n">
        <v>704</v>
      </c>
      <c r="B939" s="2" t="s">
        <v>15511</v>
      </c>
      <c r="C939" s="2" t="s">
        <v>7647</v>
      </c>
      <c r="D939" s="2" t="n">
        <v>455.32736697</v>
      </c>
      <c r="E939" s="2" t="n">
        <v>8.34143535898287</v>
      </c>
      <c r="F939" s="2" t="s">
        <v>7649</v>
      </c>
      <c r="G939" s="2" t="n">
        <v>55096</v>
      </c>
      <c r="H939" s="3" t="str">
        <f>HYPERLINK("http://funmeta.oebiotech.com/network/55096", "http://funmeta.oebiotech.com/network/55096")</f>
      </c>
      <c r="I939" s="2" t="s">
        <v>7651</v>
      </c>
      <c r="J939" s="2" t="s">
        <v>7652</v>
      </c>
      <c r="K939" s="2"/>
      <c r="L939" s="2"/>
      <c r="M939" s="2"/>
      <c r="N939" s="2" t="s">
        <v>7653</v>
      </c>
      <c r="O939" s="2" t="s">
        <v>7654</v>
      </c>
      <c r="P939" s="2" t="s">
        <v>7655</v>
      </c>
      <c r="Q939" s="2" t="s">
        <v>7656</v>
      </c>
      <c r="R939" s="2" t="s">
        <v>1355</v>
      </c>
      <c r="S939" s="2" t="s">
        <v>6478</v>
      </c>
      <c r="T939" s="2" t="s">
        <v>215</v>
      </c>
      <c r="U939" s="2" t="s">
        <v>7648</v>
      </c>
      <c r="V939" s="2" t="s">
        <v>161</v>
      </c>
      <c r="W939" s="2" t="s">
        <v>56</v>
      </c>
    </row>
    <row r="940">
      <c r="A940" s="2" t="n">
        <v>705</v>
      </c>
      <c r="B940" s="2" t="s">
        <v>15512</v>
      </c>
      <c r="C940" s="2" t="s">
        <v>7657</v>
      </c>
      <c r="D940" s="2" t="n">
        <v>456.038559461</v>
      </c>
      <c r="E940" s="2" t="n">
        <v>1.76240394245398</v>
      </c>
      <c r="F940" s="2" t="s">
        <v>15513</v>
      </c>
      <c r="G940" s="2" t="n">
        <v>209471</v>
      </c>
      <c r="H940" s="3" t="str">
        <f>HYPERLINK("http://funmeta.oebiotech.com/network/209471", "http://funmeta.oebiotech.com/network/209471")</f>
      </c>
      <c r="I940" s="2" t="s">
        <v>15514</v>
      </c>
      <c r="J940" s="2"/>
      <c r="K940" s="2"/>
      <c r="L940" s="2"/>
      <c r="M940" s="2"/>
      <c r="N940" s="2" t="s">
        <v>15515</v>
      </c>
      <c r="O940" s="2"/>
      <c r="P940" s="2" t="s">
        <v>15516</v>
      </c>
      <c r="Q940" s="2" t="s">
        <v>15517</v>
      </c>
      <c r="R940" s="2" t="s">
        <v>2416</v>
      </c>
      <c r="S940" s="2" t="s">
        <v>6560</v>
      </c>
      <c r="T940" s="2" t="s">
        <v>215</v>
      </c>
      <c r="U940" s="2" t="s">
        <v>7658</v>
      </c>
      <c r="V940" s="2" t="s">
        <v>218</v>
      </c>
      <c r="W940" s="2"/>
    </row>
    <row r="941">
      <c r="A941" s="2" t="n">
        <v>705</v>
      </c>
      <c r="B941" s="2" t="s">
        <v>15518</v>
      </c>
      <c r="C941" s="2" t="s">
        <v>7657</v>
      </c>
      <c r="D941" s="2" t="n">
        <v>456.038559461</v>
      </c>
      <c r="E941" s="2" t="n">
        <v>1.76240394245398</v>
      </c>
      <c r="F941" s="2" t="s">
        <v>15519</v>
      </c>
      <c r="G941" s="2" t="n">
        <v>211546</v>
      </c>
      <c r="H941" s="3" t="str">
        <f>HYPERLINK("http://funmeta.oebiotech.com/network/211546", "http://funmeta.oebiotech.com/network/211546")</f>
      </c>
      <c r="I941" s="2" t="s">
        <v>15520</v>
      </c>
      <c r="J941" s="2"/>
      <c r="K941" s="2"/>
      <c r="L941" s="2"/>
      <c r="M941" s="2"/>
      <c r="N941" s="2" t="s">
        <v>15521</v>
      </c>
      <c r="O941" s="2"/>
      <c r="P941" s="2" t="s">
        <v>15522</v>
      </c>
      <c r="Q941" s="2" t="s">
        <v>15523</v>
      </c>
      <c r="R941" s="2" t="s">
        <v>2416</v>
      </c>
      <c r="S941" s="2" t="s">
        <v>15524</v>
      </c>
      <c r="T941" s="2" t="s">
        <v>15525</v>
      </c>
      <c r="U941" s="2" t="s">
        <v>7658</v>
      </c>
      <c r="V941" s="2" t="s">
        <v>218</v>
      </c>
      <c r="W941" s="2"/>
    </row>
    <row r="942">
      <c r="A942" s="2" t="n">
        <v>705</v>
      </c>
      <c r="B942" s="2" t="s">
        <v>15526</v>
      </c>
      <c r="C942" s="2" t="s">
        <v>7657</v>
      </c>
      <c r="D942" s="2" t="n">
        <v>456.038559461</v>
      </c>
      <c r="E942" s="2" t="n">
        <v>1.76240394245398</v>
      </c>
      <c r="F942" s="2" t="s">
        <v>15527</v>
      </c>
      <c r="G942" s="2" t="n">
        <v>209599</v>
      </c>
      <c r="H942" s="3" t="str">
        <f>HYPERLINK("http://funmeta.oebiotech.com/network/209599", "http://funmeta.oebiotech.com/network/209599")</f>
      </c>
      <c r="I942" s="2" t="s">
        <v>15528</v>
      </c>
      <c r="J942" s="2"/>
      <c r="K942" s="2"/>
      <c r="L942" s="2"/>
      <c r="M942" s="2"/>
      <c r="N942" s="2"/>
      <c r="O942" s="2"/>
      <c r="P942" s="2" t="s">
        <v>15529</v>
      </c>
      <c r="Q942" s="2" t="s">
        <v>15530</v>
      </c>
      <c r="R942" s="2" t="s">
        <v>2416</v>
      </c>
      <c r="S942" s="2" t="s">
        <v>6560</v>
      </c>
      <c r="T942" s="2" t="s">
        <v>215</v>
      </c>
      <c r="U942" s="2" t="s">
        <v>7658</v>
      </c>
      <c r="V942" s="2" t="s">
        <v>218</v>
      </c>
      <c r="W942" s="2"/>
    </row>
    <row r="943">
      <c r="A943" s="2" t="n">
        <v>706</v>
      </c>
      <c r="B943" s="2" t="s">
        <v>15531</v>
      </c>
      <c r="C943" s="2" t="s">
        <v>7668</v>
      </c>
      <c r="D943" s="2" t="n">
        <v>457.22654826</v>
      </c>
      <c r="E943" s="2" t="n">
        <v>8.32238350682376</v>
      </c>
      <c r="F943" s="2" t="s">
        <v>7670</v>
      </c>
      <c r="G943" s="2" t="n">
        <v>47955</v>
      </c>
      <c r="H943" s="3" t="str">
        <f>HYPERLINK("http://funmeta.oebiotech.com/network/47955", "http://funmeta.oebiotech.com/network/47955")</f>
      </c>
      <c r="I943" s="2" t="s">
        <v>7672</v>
      </c>
      <c r="J943" s="2"/>
      <c r="K943" s="2"/>
      <c r="L943" s="2"/>
      <c r="M943" s="2" t="s">
        <v>7673</v>
      </c>
      <c r="N943" s="2" t="s">
        <v>7674</v>
      </c>
      <c r="O943" s="2" t="s">
        <v>7675</v>
      </c>
      <c r="P943" s="2" t="s">
        <v>7676</v>
      </c>
      <c r="Q943" s="2" t="s">
        <v>7677</v>
      </c>
      <c r="R943" s="2" t="s">
        <v>794</v>
      </c>
      <c r="S943" s="2" t="s">
        <v>2971</v>
      </c>
      <c r="T943" s="2" t="s">
        <v>7678</v>
      </c>
      <c r="U943" s="2" t="s">
        <v>7669</v>
      </c>
      <c r="V943" s="2" t="s">
        <v>24</v>
      </c>
      <c r="W943" s="2" t="s">
        <v>56</v>
      </c>
    </row>
    <row r="944">
      <c r="A944" s="2" t="n">
        <v>707</v>
      </c>
      <c r="B944" s="2" t="s">
        <v>15532</v>
      </c>
      <c r="C944" s="2" t="s">
        <v>7679</v>
      </c>
      <c r="D944" s="2" t="n">
        <v>457.28605247</v>
      </c>
      <c r="E944" s="2" t="n">
        <v>1.49178010207013</v>
      </c>
      <c r="F944" s="2" t="s">
        <v>15533</v>
      </c>
      <c r="G944" s="2" t="n">
        <v>8740</v>
      </c>
      <c r="H944" s="3" t="str">
        <f>HYPERLINK("http://funmeta.oebiotech.com/network/8740", "http://funmeta.oebiotech.com/network/8740")</f>
      </c>
      <c r="I944" s="2" t="s">
        <v>15534</v>
      </c>
      <c r="J944" s="2" t="s">
        <v>15535</v>
      </c>
      <c r="K944" s="2" t="s">
        <v>15536</v>
      </c>
      <c r="L944" s="2"/>
      <c r="M944" s="2"/>
      <c r="N944" s="2" t="s">
        <v>15537</v>
      </c>
      <c r="O944" s="2" t="s">
        <v>15538</v>
      </c>
      <c r="P944" s="2" t="s">
        <v>15539</v>
      </c>
      <c r="Q944" s="2" t="s">
        <v>15540</v>
      </c>
      <c r="R944" s="2" t="s">
        <v>794</v>
      </c>
      <c r="S944" s="2" t="s">
        <v>795</v>
      </c>
      <c r="T944" s="2" t="s">
        <v>5115</v>
      </c>
      <c r="U944" s="2" t="s">
        <v>7680</v>
      </c>
      <c r="V944" s="2" t="s">
        <v>683</v>
      </c>
      <c r="W944" s="2" t="s">
        <v>56</v>
      </c>
    </row>
    <row r="945">
      <c r="A945" s="2" t="n">
        <v>707</v>
      </c>
      <c r="B945" s="2" t="s">
        <v>15541</v>
      </c>
      <c r="C945" s="2" t="s">
        <v>7679</v>
      </c>
      <c r="D945" s="2" t="n">
        <v>457.28605247</v>
      </c>
      <c r="E945" s="2" t="n">
        <v>1.49178010207013</v>
      </c>
      <c r="F945" s="2" t="s">
        <v>15542</v>
      </c>
      <c r="G945" s="2" t="n">
        <v>8768</v>
      </c>
      <c r="H945" s="3" t="str">
        <f>HYPERLINK("http://funmeta.oebiotech.com/network/8768", "http://funmeta.oebiotech.com/network/8768")</f>
      </c>
      <c r="I945" s="2" t="s">
        <v>15543</v>
      </c>
      <c r="J945" s="2" t="s">
        <v>15544</v>
      </c>
      <c r="K945" s="2" t="s">
        <v>15545</v>
      </c>
      <c r="L945" s="2"/>
      <c r="M945" s="2"/>
      <c r="N945" s="2" t="s">
        <v>15546</v>
      </c>
      <c r="O945" s="2"/>
      <c r="P945" s="2" t="s">
        <v>15547</v>
      </c>
      <c r="Q945" s="2" t="s">
        <v>15548</v>
      </c>
      <c r="R945" s="2" t="s">
        <v>794</v>
      </c>
      <c r="S945" s="2" t="s">
        <v>795</v>
      </c>
      <c r="T945" s="2" t="s">
        <v>5115</v>
      </c>
      <c r="U945" s="2" t="s">
        <v>7680</v>
      </c>
      <c r="V945" s="2" t="s">
        <v>683</v>
      </c>
      <c r="W945" s="2" t="s">
        <v>56</v>
      </c>
    </row>
    <row r="946">
      <c r="A946" s="2" t="n">
        <v>708</v>
      </c>
      <c r="B946" s="2" t="s">
        <v>15549</v>
      </c>
      <c r="C946" s="2" t="s">
        <v>7691</v>
      </c>
      <c r="D946" s="2" t="n">
        <v>457.33233396</v>
      </c>
      <c r="E946" s="2" t="n">
        <v>5.70959919820864</v>
      </c>
      <c r="F946" s="2" t="s">
        <v>15550</v>
      </c>
      <c r="G946" s="2" t="n">
        <v>56952</v>
      </c>
      <c r="H946" s="3" t="str">
        <f>HYPERLINK("http://funmeta.oebiotech.com/network/56952", "http://funmeta.oebiotech.com/network/56952")</f>
      </c>
      <c r="I946" s="2" t="s">
        <v>15551</v>
      </c>
      <c r="J946" s="2" t="s">
        <v>15552</v>
      </c>
      <c r="K946" s="2"/>
      <c r="L946" s="2"/>
      <c r="M946" s="2"/>
      <c r="N946" s="2" t="s">
        <v>15553</v>
      </c>
      <c r="O946" s="2" t="s">
        <v>15554</v>
      </c>
      <c r="P946" s="2" t="s">
        <v>15555</v>
      </c>
      <c r="Q946" s="2" t="s">
        <v>15556</v>
      </c>
      <c r="R946" s="2" t="s">
        <v>794</v>
      </c>
      <c r="S946" s="2" t="s">
        <v>2971</v>
      </c>
      <c r="T946" s="2" t="s">
        <v>15557</v>
      </c>
      <c r="U946" s="2" t="s">
        <v>7692</v>
      </c>
      <c r="V946" s="2" t="s">
        <v>24</v>
      </c>
      <c r="W946" s="2" t="s">
        <v>56</v>
      </c>
    </row>
    <row r="947">
      <c r="A947" s="2" t="n">
        <v>708</v>
      </c>
      <c r="B947" s="2" t="s">
        <v>15558</v>
      </c>
      <c r="C947" s="2" t="s">
        <v>7691</v>
      </c>
      <c r="D947" s="2" t="n">
        <v>457.33233396</v>
      </c>
      <c r="E947" s="2" t="n">
        <v>5.70959919820864</v>
      </c>
      <c r="F947" s="2" t="s">
        <v>15559</v>
      </c>
      <c r="G947" s="2" t="n">
        <v>59803</v>
      </c>
      <c r="H947" s="3" t="str">
        <f>HYPERLINK("http://funmeta.oebiotech.com/network/59803", "http://funmeta.oebiotech.com/network/59803")</f>
      </c>
      <c r="I947" s="2" t="s">
        <v>15560</v>
      </c>
      <c r="J947" s="2" t="s">
        <v>15561</v>
      </c>
      <c r="K947" s="2"/>
      <c r="L947" s="2"/>
      <c r="M947" s="2" t="s">
        <v>15562</v>
      </c>
      <c r="N947" s="2" t="s">
        <v>15563</v>
      </c>
      <c r="O947" s="2"/>
      <c r="P947" s="2" t="s">
        <v>15564</v>
      </c>
      <c r="Q947" s="2" t="s">
        <v>15565</v>
      </c>
      <c r="R947" s="2" t="s">
        <v>794</v>
      </c>
      <c r="S947" s="2" t="s">
        <v>1098</v>
      </c>
      <c r="T947" s="2" t="s">
        <v>1099</v>
      </c>
      <c r="U947" s="2" t="s">
        <v>7692</v>
      </c>
      <c r="V947" s="2" t="s">
        <v>24</v>
      </c>
      <c r="W947" s="2" t="s">
        <v>56</v>
      </c>
    </row>
    <row r="948">
      <c r="A948" s="2" t="n">
        <v>708</v>
      </c>
      <c r="B948" s="2" t="s">
        <v>15566</v>
      </c>
      <c r="C948" s="2" t="s">
        <v>7691</v>
      </c>
      <c r="D948" s="2" t="n">
        <v>457.33233396</v>
      </c>
      <c r="E948" s="2" t="n">
        <v>5.70959919820864</v>
      </c>
      <c r="F948" s="2" t="s">
        <v>15567</v>
      </c>
      <c r="G948" s="2" t="n">
        <v>59044</v>
      </c>
      <c r="H948" s="3" t="str">
        <f>HYPERLINK("http://funmeta.oebiotech.com/network/59044", "http://funmeta.oebiotech.com/network/59044")</f>
      </c>
      <c r="I948" s="2" t="s">
        <v>15568</v>
      </c>
      <c r="J948" s="2" t="s">
        <v>15569</v>
      </c>
      <c r="K948" s="2"/>
      <c r="L948" s="2"/>
      <c r="M948" s="2"/>
      <c r="N948" s="2" t="s">
        <v>15570</v>
      </c>
      <c r="O948" s="2"/>
      <c r="P948" s="2" t="s">
        <v>15571</v>
      </c>
      <c r="Q948" s="2" t="s">
        <v>15572</v>
      </c>
      <c r="R948" s="2" t="s">
        <v>794</v>
      </c>
      <c r="S948" s="2" t="s">
        <v>1098</v>
      </c>
      <c r="T948" s="2" t="s">
        <v>7646</v>
      </c>
      <c r="U948" s="2" t="s">
        <v>7692</v>
      </c>
      <c r="V948" s="2" t="s">
        <v>24</v>
      </c>
      <c r="W948" s="2" t="s">
        <v>56</v>
      </c>
    </row>
    <row r="949">
      <c r="A949" s="2" t="n">
        <v>709</v>
      </c>
      <c r="B949" s="2" t="s">
        <v>15573</v>
      </c>
      <c r="C949" s="2" t="s">
        <v>7704</v>
      </c>
      <c r="D949" s="2" t="n">
        <v>458.291197424</v>
      </c>
      <c r="E949" s="2" t="n">
        <v>8.22315015205184</v>
      </c>
      <c r="F949" s="2" t="s">
        <v>7706</v>
      </c>
      <c r="G949" s="2" t="n">
        <v>198407</v>
      </c>
      <c r="H949" s="3" t="str">
        <f>HYPERLINK("http://funmeta.oebiotech.com/network/198407", "http://funmeta.oebiotech.com/network/198407")</f>
      </c>
      <c r="I949" s="2" t="s">
        <v>7708</v>
      </c>
      <c r="J949" s="2"/>
      <c r="K949" s="2"/>
      <c r="L949" s="2"/>
      <c r="M949" s="2"/>
      <c r="N949" s="2"/>
      <c r="O949" s="2"/>
      <c r="P949" s="2" t="s">
        <v>7709</v>
      </c>
      <c r="Q949" s="2" t="s">
        <v>7710</v>
      </c>
      <c r="R949" s="2" t="s">
        <v>794</v>
      </c>
      <c r="S949" s="2" t="s">
        <v>795</v>
      </c>
      <c r="T949" s="2" t="s">
        <v>3692</v>
      </c>
      <c r="U949" s="2" t="s">
        <v>7705</v>
      </c>
      <c r="V949" s="2" t="s">
        <v>24</v>
      </c>
      <c r="W949" s="2"/>
    </row>
    <row r="950">
      <c r="A950" s="2" t="n">
        <v>710</v>
      </c>
      <c r="B950" s="2" t="s">
        <v>15574</v>
      </c>
      <c r="C950" s="2" t="s">
        <v>7711</v>
      </c>
      <c r="D950" s="2" t="n">
        <v>459.157990628</v>
      </c>
      <c r="E950" s="2" t="n">
        <v>5.90432680885633</v>
      </c>
      <c r="F950" s="2" t="s">
        <v>15575</v>
      </c>
      <c r="G950" s="2" t="n">
        <v>34635</v>
      </c>
      <c r="H950" s="3" t="str">
        <f>HYPERLINK("http://funmeta.oebiotech.com/network/34635", "http://funmeta.oebiotech.com/network/34635")</f>
      </c>
      <c r="I950" s="2" t="s">
        <v>15576</v>
      </c>
      <c r="J950" s="2"/>
      <c r="K950" s="2" t="s">
        <v>15577</v>
      </c>
      <c r="L950" s="2"/>
      <c r="M950" s="2"/>
      <c r="N950" s="2" t="s">
        <v>15578</v>
      </c>
      <c r="O950" s="2" t="s">
        <v>15579</v>
      </c>
      <c r="P950" s="2" t="s">
        <v>15580</v>
      </c>
      <c r="Q950" s="2" t="s">
        <v>15581</v>
      </c>
      <c r="R950" s="2" t="s">
        <v>1355</v>
      </c>
      <c r="S950" s="2" t="s">
        <v>5199</v>
      </c>
      <c r="T950" s="2" t="s">
        <v>5200</v>
      </c>
      <c r="U950" s="2" t="s">
        <v>7712</v>
      </c>
      <c r="V950" s="2" t="s">
        <v>86</v>
      </c>
      <c r="W950" s="2" t="s">
        <v>56</v>
      </c>
    </row>
    <row r="951">
      <c r="A951" s="2" t="n">
        <v>710</v>
      </c>
      <c r="B951" s="2" t="s">
        <v>15582</v>
      </c>
      <c r="C951" s="2" t="s">
        <v>7711</v>
      </c>
      <c r="D951" s="2" t="n">
        <v>459.157990628</v>
      </c>
      <c r="E951" s="2" t="n">
        <v>5.90432680885633</v>
      </c>
      <c r="F951" s="2" t="s">
        <v>15583</v>
      </c>
      <c r="G951" s="2" t="n">
        <v>56381</v>
      </c>
      <c r="H951" s="3" t="str">
        <f>HYPERLINK("http://funmeta.oebiotech.com/network/56381", "http://funmeta.oebiotech.com/network/56381")</f>
      </c>
      <c r="I951" s="2" t="s">
        <v>15584</v>
      </c>
      <c r="J951" s="2" t="s">
        <v>15585</v>
      </c>
      <c r="K951" s="2"/>
      <c r="L951" s="2"/>
      <c r="M951" s="2" t="s">
        <v>15586</v>
      </c>
      <c r="N951" s="2" t="s">
        <v>15587</v>
      </c>
      <c r="O951" s="2" t="s">
        <v>15588</v>
      </c>
      <c r="P951" s="2" t="s">
        <v>15589</v>
      </c>
      <c r="Q951" s="2" t="s">
        <v>15590</v>
      </c>
      <c r="R951" s="2" t="s">
        <v>114</v>
      </c>
      <c r="S951" s="2" t="s">
        <v>6312</v>
      </c>
      <c r="T951" s="2" t="s">
        <v>6313</v>
      </c>
      <c r="U951" s="2" t="s">
        <v>7712</v>
      </c>
      <c r="V951" s="2" t="s">
        <v>86</v>
      </c>
      <c r="W951" s="2" t="s">
        <v>56</v>
      </c>
    </row>
    <row r="952">
      <c r="A952" s="2" t="n">
        <v>710</v>
      </c>
      <c r="B952" s="2" t="s">
        <v>15591</v>
      </c>
      <c r="C952" s="2" t="s">
        <v>7711</v>
      </c>
      <c r="D952" s="2" t="n">
        <v>459.157990628</v>
      </c>
      <c r="E952" s="2" t="n">
        <v>5.90432680885633</v>
      </c>
      <c r="F952" s="2" t="s">
        <v>15592</v>
      </c>
      <c r="G952" s="2" t="n">
        <v>29628</v>
      </c>
      <c r="H952" s="3" t="str">
        <f>HYPERLINK("http://funmeta.oebiotech.com/network/29628", "http://funmeta.oebiotech.com/network/29628")</f>
      </c>
      <c r="I952" s="2" t="s">
        <v>15593</v>
      </c>
      <c r="J952" s="2" t="s">
        <v>15594</v>
      </c>
      <c r="K952" s="2" t="s">
        <v>15595</v>
      </c>
      <c r="L952" s="2"/>
      <c r="M952" s="2"/>
      <c r="N952" s="2" t="s">
        <v>15596</v>
      </c>
      <c r="O952" s="2"/>
      <c r="P952" s="2" t="s">
        <v>15597</v>
      </c>
      <c r="Q952" s="2" t="s">
        <v>15598</v>
      </c>
      <c r="R952" s="2" t="s">
        <v>1355</v>
      </c>
      <c r="S952" s="2" t="s">
        <v>3653</v>
      </c>
      <c r="T952" s="2" t="s">
        <v>9177</v>
      </c>
      <c r="U952" s="2" t="s">
        <v>7712</v>
      </c>
      <c r="V952" s="2" t="s">
        <v>86</v>
      </c>
      <c r="W952" s="2" t="s">
        <v>56</v>
      </c>
    </row>
    <row r="953">
      <c r="A953" s="2" t="n">
        <v>711</v>
      </c>
      <c r="B953" s="2" t="s">
        <v>15599</v>
      </c>
      <c r="C953" s="2" t="s">
        <v>7726</v>
      </c>
      <c r="D953" s="2" t="n">
        <v>459.298472141</v>
      </c>
      <c r="E953" s="2" t="n">
        <v>3.43857910471769</v>
      </c>
      <c r="F953" s="2" t="s">
        <v>15600</v>
      </c>
      <c r="G953" s="2" t="n">
        <v>198321</v>
      </c>
      <c r="H953" s="3" t="str">
        <f>HYPERLINK("http://funmeta.oebiotech.com/network/198321", "http://funmeta.oebiotech.com/network/198321")</f>
      </c>
      <c r="I953" s="2" t="s">
        <v>15601</v>
      </c>
      <c r="J953" s="2"/>
      <c r="K953" s="2"/>
      <c r="L953" s="2"/>
      <c r="M953" s="2"/>
      <c r="N953" s="2"/>
      <c r="O953" s="2"/>
      <c r="P953" s="2" t="s">
        <v>15602</v>
      </c>
      <c r="Q953" s="2" t="s">
        <v>15603</v>
      </c>
      <c r="R953" s="2" t="s">
        <v>794</v>
      </c>
      <c r="S953" s="2" t="s">
        <v>795</v>
      </c>
      <c r="T953" s="2" t="s">
        <v>1870</v>
      </c>
      <c r="U953" s="2" t="s">
        <v>7727</v>
      </c>
      <c r="V953" s="2" t="s">
        <v>161</v>
      </c>
      <c r="W953" s="2"/>
    </row>
    <row r="954">
      <c r="A954" s="2" t="n">
        <v>711</v>
      </c>
      <c r="B954" s="2" t="s">
        <v>15604</v>
      </c>
      <c r="C954" s="2" t="s">
        <v>7726</v>
      </c>
      <c r="D954" s="2" t="n">
        <v>459.298472141</v>
      </c>
      <c r="E954" s="2" t="n">
        <v>3.43857910471769</v>
      </c>
      <c r="F954" s="2" t="s">
        <v>15605</v>
      </c>
      <c r="G954" s="2" t="n">
        <v>198320</v>
      </c>
      <c r="H954" s="3" t="str">
        <f>HYPERLINK("http://funmeta.oebiotech.com/network/198320", "http://funmeta.oebiotech.com/network/198320")</f>
      </c>
      <c r="I954" s="2" t="s">
        <v>15606</v>
      </c>
      <c r="J954" s="2"/>
      <c r="K954" s="2"/>
      <c r="L954" s="2"/>
      <c r="M954" s="2"/>
      <c r="N954" s="2"/>
      <c r="O954" s="2"/>
      <c r="P954" s="2" t="s">
        <v>15607</v>
      </c>
      <c r="Q954" s="2" t="s">
        <v>15608</v>
      </c>
      <c r="R954" s="2" t="s">
        <v>794</v>
      </c>
      <c r="S954" s="2" t="s">
        <v>795</v>
      </c>
      <c r="T954" s="2" t="s">
        <v>1870</v>
      </c>
      <c r="U954" s="2" t="s">
        <v>7727</v>
      </c>
      <c r="V954" s="2" t="s">
        <v>161</v>
      </c>
      <c r="W954" s="2"/>
    </row>
    <row r="955">
      <c r="A955" s="2" t="n">
        <v>712</v>
      </c>
      <c r="B955" s="2" t="s">
        <v>15609</v>
      </c>
      <c r="C955" s="2" t="s">
        <v>7733</v>
      </c>
      <c r="D955" s="2" t="n">
        <v>460.294697321</v>
      </c>
      <c r="E955" s="2" t="n">
        <v>9.62837423978289</v>
      </c>
      <c r="F955" s="2" t="s">
        <v>7735</v>
      </c>
      <c r="G955" s="2" t="n">
        <v>207055</v>
      </c>
      <c r="H955" s="3" t="str">
        <f>HYPERLINK("http://funmeta.oebiotech.com/network/207055", "http://funmeta.oebiotech.com/network/207055")</f>
      </c>
      <c r="I955" s="2" t="s">
        <v>7737</v>
      </c>
      <c r="J955" s="2" t="s">
        <v>7738</v>
      </c>
      <c r="K955" s="2"/>
      <c r="L955" s="2"/>
      <c r="M955" s="2" t="s">
        <v>7739</v>
      </c>
      <c r="N955" s="2" t="s">
        <v>7740</v>
      </c>
      <c r="O955" s="2" t="s">
        <v>7741</v>
      </c>
      <c r="P955" s="2" t="s">
        <v>7742</v>
      </c>
      <c r="Q955" s="2" t="s">
        <v>7743</v>
      </c>
      <c r="R955" s="2" t="s">
        <v>186</v>
      </c>
      <c r="S955" s="2" t="s">
        <v>911</v>
      </c>
      <c r="T955" s="2" t="s">
        <v>215</v>
      </c>
      <c r="U955" s="2" t="s">
        <v>7734</v>
      </c>
      <c r="V955" s="2" t="s">
        <v>218</v>
      </c>
      <c r="W955" s="2"/>
    </row>
    <row r="956">
      <c r="A956" s="2" t="n">
        <v>713</v>
      </c>
      <c r="B956" s="2" t="s">
        <v>15610</v>
      </c>
      <c r="C956" s="2" t="s">
        <v>7744</v>
      </c>
      <c r="D956" s="2" t="n">
        <v>461.244581583</v>
      </c>
      <c r="E956" s="2" t="n">
        <v>6.58796189814021</v>
      </c>
      <c r="F956" s="2" t="s">
        <v>7746</v>
      </c>
      <c r="G956" s="2" t="n">
        <v>205800</v>
      </c>
      <c r="H956" s="3" t="str">
        <f>HYPERLINK("http://funmeta.oebiotech.com/network/205800", "http://funmeta.oebiotech.com/network/205800")</f>
      </c>
      <c r="I956" s="2" t="s">
        <v>7748</v>
      </c>
      <c r="J956" s="2"/>
      <c r="K956" s="2"/>
      <c r="L956" s="2"/>
      <c r="M956" s="2"/>
      <c r="N956" s="2" t="s">
        <v>7749</v>
      </c>
      <c r="O956" s="2"/>
      <c r="P956" s="2" t="s">
        <v>7750</v>
      </c>
      <c r="Q956" s="2" t="s">
        <v>7751</v>
      </c>
      <c r="R956" s="2" t="s">
        <v>114</v>
      </c>
      <c r="S956" s="2" t="s">
        <v>4523</v>
      </c>
      <c r="T956" s="2" t="s">
        <v>7752</v>
      </c>
      <c r="U956" s="2" t="s">
        <v>7745</v>
      </c>
      <c r="V956" s="2" t="s">
        <v>24</v>
      </c>
      <c r="W956" s="2"/>
    </row>
    <row r="957">
      <c r="A957" s="2" t="n">
        <v>714</v>
      </c>
      <c r="B957" s="2" t="s">
        <v>15611</v>
      </c>
      <c r="C957" s="2" t="s">
        <v>7753</v>
      </c>
      <c r="D957" s="2" t="n">
        <v>461.319182716</v>
      </c>
      <c r="E957" s="2" t="n">
        <v>1.63342721216755</v>
      </c>
      <c r="F957" s="2" t="s">
        <v>15612</v>
      </c>
      <c r="G957" s="2" t="n">
        <v>51880</v>
      </c>
      <c r="H957" s="3" t="str">
        <f>HYPERLINK("http://funmeta.oebiotech.com/network/51880", "http://funmeta.oebiotech.com/network/51880")</f>
      </c>
      <c r="I957" s="2" t="s">
        <v>15613</v>
      </c>
      <c r="J957" s="2"/>
      <c r="K957" s="2"/>
      <c r="L957" s="2"/>
      <c r="M957" s="2"/>
      <c r="N957" s="2" t="s">
        <v>15614</v>
      </c>
      <c r="O957" s="2"/>
      <c r="P957" s="2" t="s">
        <v>15615</v>
      </c>
      <c r="Q957" s="2" t="s">
        <v>15616</v>
      </c>
      <c r="R957" s="2" t="s">
        <v>794</v>
      </c>
      <c r="S957" s="2" t="s">
        <v>1098</v>
      </c>
      <c r="T957" s="2" t="s">
        <v>7646</v>
      </c>
      <c r="U957" s="2" t="s">
        <v>7754</v>
      </c>
      <c r="V957" s="2" t="s">
        <v>86</v>
      </c>
      <c r="W957" s="2" t="s">
        <v>56</v>
      </c>
    </row>
    <row r="958">
      <c r="A958" s="2" t="n">
        <v>714</v>
      </c>
      <c r="B958" s="2" t="s">
        <v>15617</v>
      </c>
      <c r="C958" s="2" t="s">
        <v>7753</v>
      </c>
      <c r="D958" s="2" t="n">
        <v>461.319182716</v>
      </c>
      <c r="E958" s="2" t="n">
        <v>1.63342721216755</v>
      </c>
      <c r="F958" s="2" t="s">
        <v>15618</v>
      </c>
      <c r="G958" s="2" t="n">
        <v>54873</v>
      </c>
      <c r="H958" s="3" t="str">
        <f>HYPERLINK("http://funmeta.oebiotech.com/network/54873", "http://funmeta.oebiotech.com/network/54873")</f>
      </c>
      <c r="I958" s="2" t="s">
        <v>15619</v>
      </c>
      <c r="J958" s="2"/>
      <c r="K958" s="2"/>
      <c r="L958" s="2"/>
      <c r="M958" s="2"/>
      <c r="N958" s="2" t="s">
        <v>15620</v>
      </c>
      <c r="O958" s="2" t="s">
        <v>15621</v>
      </c>
      <c r="P958" s="2" t="s">
        <v>15622</v>
      </c>
      <c r="Q958" s="2" t="s">
        <v>15623</v>
      </c>
      <c r="R958" s="2" t="s">
        <v>794</v>
      </c>
      <c r="S958" s="2" t="s">
        <v>2971</v>
      </c>
      <c r="T958" s="2" t="s">
        <v>15624</v>
      </c>
      <c r="U958" s="2" t="s">
        <v>7754</v>
      </c>
      <c r="V958" s="2" t="s">
        <v>86</v>
      </c>
      <c r="W958" s="2" t="s">
        <v>56</v>
      </c>
    </row>
    <row r="959">
      <c r="A959" s="2" t="n">
        <v>714</v>
      </c>
      <c r="B959" s="2" t="s">
        <v>15625</v>
      </c>
      <c r="C959" s="2" t="s">
        <v>7753</v>
      </c>
      <c r="D959" s="2" t="n">
        <v>461.319182721</v>
      </c>
      <c r="E959" s="2" t="n">
        <v>1.63342721216755</v>
      </c>
      <c r="F959" s="2" t="s">
        <v>15626</v>
      </c>
      <c r="G959" s="2" t="n">
        <v>43561</v>
      </c>
      <c r="H959" s="3" t="str">
        <f>HYPERLINK("http://funmeta.oebiotech.com/network/43561", "http://funmeta.oebiotech.com/network/43561")</f>
      </c>
      <c r="I959" s="2" t="s">
        <v>15627</v>
      </c>
      <c r="J959" s="2"/>
      <c r="K959" s="2" t="s">
        <v>15628</v>
      </c>
      <c r="L959" s="2"/>
      <c r="M959" s="2" t="s">
        <v>15629</v>
      </c>
      <c r="N959" s="2" t="s">
        <v>15630</v>
      </c>
      <c r="O959" s="2"/>
      <c r="P959" s="2" t="s">
        <v>15631</v>
      </c>
      <c r="Q959" s="2" t="s">
        <v>15632</v>
      </c>
      <c r="R959" s="2" t="s">
        <v>794</v>
      </c>
      <c r="S959" s="2" t="s">
        <v>1098</v>
      </c>
      <c r="T959" s="2" t="s">
        <v>7646</v>
      </c>
      <c r="U959" s="2" t="s">
        <v>7754</v>
      </c>
      <c r="V959" s="2" t="s">
        <v>86</v>
      </c>
      <c r="W959" s="2" t="s">
        <v>56</v>
      </c>
    </row>
    <row r="960">
      <c r="A960" s="2" t="n">
        <v>715</v>
      </c>
      <c r="B960" s="2" t="s">
        <v>15633</v>
      </c>
      <c r="C960" s="2" t="s">
        <v>7766</v>
      </c>
      <c r="D960" s="2" t="n">
        <v>463.17939477</v>
      </c>
      <c r="E960" s="2" t="n">
        <v>4.2441342620272</v>
      </c>
      <c r="F960" s="2" t="s">
        <v>7768</v>
      </c>
      <c r="G960" s="2" t="n">
        <v>203179</v>
      </c>
      <c r="H960" s="3" t="str">
        <f>HYPERLINK("http://funmeta.oebiotech.com/network/203179", "http://funmeta.oebiotech.com/network/203179")</f>
      </c>
      <c r="I960" s="2" t="s">
        <v>7770</v>
      </c>
      <c r="J960" s="2"/>
      <c r="K960" s="2"/>
      <c r="L960" s="2"/>
      <c r="M960" s="2"/>
      <c r="N960" s="2" t="s">
        <v>7771</v>
      </c>
      <c r="O960" s="2"/>
      <c r="P960" s="2" t="s">
        <v>7772</v>
      </c>
      <c r="Q960" s="2" t="s">
        <v>7773</v>
      </c>
      <c r="R960" s="2" t="s">
        <v>186</v>
      </c>
      <c r="S960" s="2" t="s">
        <v>187</v>
      </c>
      <c r="T960" s="2" t="s">
        <v>2461</v>
      </c>
      <c r="U960" s="2" t="s">
        <v>7767</v>
      </c>
      <c r="V960" s="2" t="s">
        <v>86</v>
      </c>
      <c r="W960" s="2"/>
    </row>
    <row r="961">
      <c r="A961" s="2" t="n">
        <v>716</v>
      </c>
      <c r="B961" s="2" t="s">
        <v>15634</v>
      </c>
      <c r="C961" s="2" t="s">
        <v>7774</v>
      </c>
      <c r="D961" s="2" t="n">
        <v>463.330633684</v>
      </c>
      <c r="E961" s="2" t="n">
        <v>2.87126538401629</v>
      </c>
      <c r="F961" s="2" t="s">
        <v>7776</v>
      </c>
      <c r="G961" s="2" t="n">
        <v>211940</v>
      </c>
      <c r="H961" s="3" t="str">
        <f>HYPERLINK("http://funmeta.oebiotech.com/network/211940", "http://funmeta.oebiotech.com/network/211940")</f>
      </c>
      <c r="I961" s="2" t="s">
        <v>7778</v>
      </c>
      <c r="J961" s="2"/>
      <c r="K961" s="2"/>
      <c r="L961" s="2"/>
      <c r="M961" s="2"/>
      <c r="N961" s="2"/>
      <c r="O961" s="2"/>
      <c r="P961" s="2" t="s">
        <v>7779</v>
      </c>
      <c r="Q961" s="2" t="s">
        <v>7780</v>
      </c>
      <c r="R961" s="2" t="s">
        <v>794</v>
      </c>
      <c r="S961" s="2" t="s">
        <v>7781</v>
      </c>
      <c r="T961" s="2" t="s">
        <v>7782</v>
      </c>
      <c r="U961" s="2" t="s">
        <v>7775</v>
      </c>
      <c r="V961" s="2" t="s">
        <v>24</v>
      </c>
      <c r="W961" s="2"/>
    </row>
    <row r="962">
      <c r="A962" s="2" t="n">
        <v>717</v>
      </c>
      <c r="B962" s="2" t="s">
        <v>15635</v>
      </c>
      <c r="C962" s="2" t="s">
        <v>7783</v>
      </c>
      <c r="D962" s="2" t="n">
        <v>463.998996371</v>
      </c>
      <c r="E962" s="2" t="n">
        <v>8.62486795741263</v>
      </c>
      <c r="F962" s="2" t="s">
        <v>7785</v>
      </c>
      <c r="G962" s="2" t="n">
        <v>47450</v>
      </c>
      <c r="H962" s="3" t="str">
        <f>HYPERLINK("http://funmeta.oebiotech.com/network/47450", "http://funmeta.oebiotech.com/network/47450")</f>
      </c>
      <c r="I962" s="2" t="s">
        <v>7787</v>
      </c>
      <c r="J962" s="2" t="s">
        <v>7788</v>
      </c>
      <c r="K962" s="2"/>
      <c r="L962" s="2" t="s">
        <v>7789</v>
      </c>
      <c r="M962" s="2" t="s">
        <v>7790</v>
      </c>
      <c r="N962" s="2" t="s">
        <v>7791</v>
      </c>
      <c r="O962" s="2" t="s">
        <v>7792</v>
      </c>
      <c r="P962" s="2" t="s">
        <v>7793</v>
      </c>
      <c r="Q962" s="2" t="s">
        <v>7794</v>
      </c>
      <c r="R962" s="2" t="s">
        <v>2416</v>
      </c>
      <c r="S962" s="2" t="s">
        <v>7795</v>
      </c>
      <c r="T962" s="2" t="s">
        <v>7796</v>
      </c>
      <c r="U962" s="2" t="s">
        <v>7784</v>
      </c>
      <c r="V962" s="2" t="s">
        <v>531</v>
      </c>
      <c r="W962" s="2" t="s">
        <v>56</v>
      </c>
    </row>
    <row r="963">
      <c r="A963" s="2" t="n">
        <v>718</v>
      </c>
      <c r="B963" s="2" t="s">
        <v>15636</v>
      </c>
      <c r="C963" s="2" t="s">
        <v>7797</v>
      </c>
      <c r="D963" s="2" t="n">
        <v>464.312991192</v>
      </c>
      <c r="E963" s="2" t="n">
        <v>5.48150665578301</v>
      </c>
      <c r="F963" s="2" t="s">
        <v>7799</v>
      </c>
      <c r="G963" s="2" t="n">
        <v>198478</v>
      </c>
      <c r="H963" s="3" t="str">
        <f>HYPERLINK("http://funmeta.oebiotech.com/network/198478", "http://funmeta.oebiotech.com/network/198478")</f>
      </c>
      <c r="I963" s="2" t="s">
        <v>7801</v>
      </c>
      <c r="J963" s="2"/>
      <c r="K963" s="2"/>
      <c r="L963" s="2"/>
      <c r="M963" s="2"/>
      <c r="N963" s="2" t="s">
        <v>7802</v>
      </c>
      <c r="O963" s="2"/>
      <c r="P963" s="2" t="s">
        <v>7803</v>
      </c>
      <c r="Q963" s="2" t="s">
        <v>7804</v>
      </c>
      <c r="R963" s="2" t="s">
        <v>36</v>
      </c>
      <c r="S963" s="2" t="s">
        <v>37</v>
      </c>
      <c r="T963" s="2" t="s">
        <v>69</v>
      </c>
      <c r="U963" s="2" t="s">
        <v>7798</v>
      </c>
      <c r="V963" s="2" t="s">
        <v>205</v>
      </c>
      <c r="W963" s="2"/>
    </row>
    <row r="964">
      <c r="A964" s="2" t="n">
        <v>719</v>
      </c>
      <c r="B964" s="2" t="s">
        <v>15637</v>
      </c>
      <c r="C964" s="2" t="s">
        <v>7805</v>
      </c>
      <c r="D964" s="2" t="n">
        <v>465.300483518</v>
      </c>
      <c r="E964" s="2" t="n">
        <v>4.97908303419715</v>
      </c>
      <c r="F964" s="2" t="s">
        <v>15638</v>
      </c>
      <c r="G964" s="2" t="n">
        <v>58512</v>
      </c>
      <c r="H964" s="3" t="str">
        <f>HYPERLINK("http://funmeta.oebiotech.com/network/58512", "http://funmeta.oebiotech.com/network/58512")</f>
      </c>
      <c r="I964" s="2" t="s">
        <v>15639</v>
      </c>
      <c r="J964" s="2" t="s">
        <v>15640</v>
      </c>
      <c r="K964" s="2"/>
      <c r="L964" s="2"/>
      <c r="M964" s="2"/>
      <c r="N964" s="2" t="s">
        <v>15641</v>
      </c>
      <c r="O964" s="2"/>
      <c r="P964" s="2" t="s">
        <v>15642</v>
      </c>
      <c r="Q964" s="2" t="s">
        <v>15643</v>
      </c>
      <c r="R964" s="2" t="s">
        <v>794</v>
      </c>
      <c r="S964" s="2" t="s">
        <v>1098</v>
      </c>
      <c r="T964" s="2" t="s">
        <v>7646</v>
      </c>
      <c r="U964" s="2" t="s">
        <v>7806</v>
      </c>
      <c r="V964" s="2" t="s">
        <v>161</v>
      </c>
      <c r="W964" s="2" t="s">
        <v>56</v>
      </c>
    </row>
    <row r="965">
      <c r="A965" s="2" t="n">
        <v>719</v>
      </c>
      <c r="B965" s="2" t="s">
        <v>15644</v>
      </c>
      <c r="C965" s="2" t="s">
        <v>7805</v>
      </c>
      <c r="D965" s="2" t="n">
        <v>465.300483518</v>
      </c>
      <c r="E965" s="2" t="n">
        <v>4.97908303419715</v>
      </c>
      <c r="F965" s="2" t="s">
        <v>15645</v>
      </c>
      <c r="G965" s="2" t="n">
        <v>59140</v>
      </c>
      <c r="H965" s="3" t="str">
        <f>HYPERLINK("http://funmeta.oebiotech.com/network/59140", "http://funmeta.oebiotech.com/network/59140")</f>
      </c>
      <c r="I965" s="2" t="s">
        <v>15646</v>
      </c>
      <c r="J965" s="2" t="s">
        <v>15647</v>
      </c>
      <c r="K965" s="2"/>
      <c r="L965" s="2"/>
      <c r="M965" s="2"/>
      <c r="N965" s="2" t="s">
        <v>15648</v>
      </c>
      <c r="O965" s="2" t="s">
        <v>15649</v>
      </c>
      <c r="P965" s="2" t="s">
        <v>15650</v>
      </c>
      <c r="Q965" s="2" t="s">
        <v>15651</v>
      </c>
      <c r="R965" s="2" t="s">
        <v>794</v>
      </c>
      <c r="S965" s="2" t="s">
        <v>1098</v>
      </c>
      <c r="T965" s="2" t="s">
        <v>7646</v>
      </c>
      <c r="U965" s="2" t="s">
        <v>7806</v>
      </c>
      <c r="V965" s="2" t="s">
        <v>161</v>
      </c>
      <c r="W965" s="2" t="s">
        <v>56</v>
      </c>
    </row>
    <row r="966">
      <c r="A966" s="2" t="n">
        <v>719</v>
      </c>
      <c r="B966" s="2" t="s">
        <v>15652</v>
      </c>
      <c r="C966" s="2" t="s">
        <v>7805</v>
      </c>
      <c r="D966" s="2" t="n">
        <v>465.300483518</v>
      </c>
      <c r="E966" s="2" t="n">
        <v>4.97908303419715</v>
      </c>
      <c r="F966" s="2" t="s">
        <v>15653</v>
      </c>
      <c r="G966" s="2" t="n">
        <v>61139</v>
      </c>
      <c r="H966" s="3" t="str">
        <f>HYPERLINK("http://funmeta.oebiotech.com/network/61139", "http://funmeta.oebiotech.com/network/61139")</f>
      </c>
      <c r="I966" s="2" t="s">
        <v>15654</v>
      </c>
      <c r="J966" s="2"/>
      <c r="K966" s="2"/>
      <c r="L966" s="2"/>
      <c r="M966" s="2"/>
      <c r="N966" s="2" t="s">
        <v>15655</v>
      </c>
      <c r="O966" s="2" t="s">
        <v>15656</v>
      </c>
      <c r="P966" s="2" t="s">
        <v>15657</v>
      </c>
      <c r="Q966" s="2" t="s">
        <v>15658</v>
      </c>
      <c r="R966" s="2" t="s">
        <v>794</v>
      </c>
      <c r="S966" s="2" t="s">
        <v>1098</v>
      </c>
      <c r="T966" s="2" t="s">
        <v>7646</v>
      </c>
      <c r="U966" s="2" t="s">
        <v>7806</v>
      </c>
      <c r="V966" s="2" t="s">
        <v>161</v>
      </c>
      <c r="W966" s="2" t="s">
        <v>56</v>
      </c>
    </row>
    <row r="967">
      <c r="A967" s="2" t="n">
        <v>720</v>
      </c>
      <c r="B967" s="2" t="s">
        <v>15659</v>
      </c>
      <c r="C967" s="2" t="s">
        <v>7816</v>
      </c>
      <c r="D967" s="2" t="n">
        <v>466.004744856</v>
      </c>
      <c r="E967" s="2" t="n">
        <v>7.35907712740104</v>
      </c>
      <c r="F967" s="2" t="s">
        <v>7818</v>
      </c>
      <c r="G967" s="2" t="n">
        <v>203991</v>
      </c>
      <c r="H967" s="3" t="str">
        <f>HYPERLINK("http://funmeta.oebiotech.com/network/203991", "http://funmeta.oebiotech.com/network/203991")</f>
      </c>
      <c r="I967" s="2" t="s">
        <v>7820</v>
      </c>
      <c r="J967" s="2" t="s">
        <v>7821</v>
      </c>
      <c r="K967" s="2"/>
      <c r="L967" s="2" t="s">
        <v>7822</v>
      </c>
      <c r="M967" s="2" t="s">
        <v>7823</v>
      </c>
      <c r="N967" s="2" t="s">
        <v>7824</v>
      </c>
      <c r="O967" s="2" t="s">
        <v>7825</v>
      </c>
      <c r="P967" s="2" t="s">
        <v>7826</v>
      </c>
      <c r="Q967" s="2" t="s">
        <v>7827</v>
      </c>
      <c r="R967" s="2" t="s">
        <v>186</v>
      </c>
      <c r="S967" s="2" t="s">
        <v>187</v>
      </c>
      <c r="T967" s="2" t="s">
        <v>7828</v>
      </c>
      <c r="U967" s="2" t="s">
        <v>7817</v>
      </c>
      <c r="V967" s="2" t="s">
        <v>86</v>
      </c>
      <c r="W967" s="2" t="s">
        <v>101</v>
      </c>
    </row>
    <row r="968">
      <c r="A968" s="2" t="n">
        <v>721</v>
      </c>
      <c r="B968" s="2" t="s">
        <v>15660</v>
      </c>
      <c r="C968" s="2" t="s">
        <v>7829</v>
      </c>
      <c r="D968" s="2" t="n">
        <v>466.127418781</v>
      </c>
      <c r="E968" s="2" t="n">
        <v>0.353614257817956</v>
      </c>
      <c r="F968" s="2" t="s">
        <v>7831</v>
      </c>
      <c r="G968" s="2" t="n">
        <v>55071</v>
      </c>
      <c r="H968" s="3" t="str">
        <f>HYPERLINK("http://funmeta.oebiotech.com/network/55071", "http://funmeta.oebiotech.com/network/55071")</f>
      </c>
      <c r="I968" s="2" t="s">
        <v>7833</v>
      </c>
      <c r="J968" s="2" t="s">
        <v>7834</v>
      </c>
      <c r="K968" s="2"/>
      <c r="L968" s="2"/>
      <c r="M968" s="2"/>
      <c r="N968" s="2" t="s">
        <v>7835</v>
      </c>
      <c r="O968" s="2" t="s">
        <v>7836</v>
      </c>
      <c r="P968" s="2" t="s">
        <v>7837</v>
      </c>
      <c r="Q968" s="2" t="s">
        <v>7838</v>
      </c>
      <c r="R968" s="2" t="s">
        <v>1355</v>
      </c>
      <c r="S968" s="2" t="s">
        <v>3249</v>
      </c>
      <c r="T968" s="2" t="s">
        <v>215</v>
      </c>
      <c r="U968" s="2" t="s">
        <v>7830</v>
      </c>
      <c r="V968" s="2" t="s">
        <v>86</v>
      </c>
      <c r="W968" s="2" t="s">
        <v>56</v>
      </c>
    </row>
    <row r="969">
      <c r="A969" s="2" t="n">
        <v>722</v>
      </c>
      <c r="B969" s="2" t="s">
        <v>15661</v>
      </c>
      <c r="C969" s="2" t="s">
        <v>7839</v>
      </c>
      <c r="D969" s="2" t="n">
        <v>467.301423452</v>
      </c>
      <c r="E969" s="2" t="n">
        <v>0.252894695754021</v>
      </c>
      <c r="F969" s="2" t="s">
        <v>15662</v>
      </c>
      <c r="G969" s="2" t="n">
        <v>207574</v>
      </c>
      <c r="H969" s="3" t="str">
        <f>HYPERLINK("http://funmeta.oebiotech.com/network/207574", "http://funmeta.oebiotech.com/network/207574")</f>
      </c>
      <c r="I969" s="2" t="s">
        <v>15663</v>
      </c>
      <c r="J969" s="2"/>
      <c r="K969" s="2"/>
      <c r="L969" s="2"/>
      <c r="M969" s="2"/>
      <c r="N969" s="2" t="s">
        <v>15664</v>
      </c>
      <c r="O969" s="2"/>
      <c r="P969" s="2" t="s">
        <v>15665</v>
      </c>
      <c r="Q969" s="2" t="s">
        <v>15666</v>
      </c>
      <c r="R969" s="2" t="s">
        <v>794</v>
      </c>
      <c r="S969" s="2" t="s">
        <v>2971</v>
      </c>
      <c r="T969" s="2" t="s">
        <v>7542</v>
      </c>
      <c r="U969" s="2" t="s">
        <v>7840</v>
      </c>
      <c r="V969" s="2" t="s">
        <v>205</v>
      </c>
      <c r="W969" s="2"/>
    </row>
    <row r="970">
      <c r="A970" s="2" t="n">
        <v>722</v>
      </c>
      <c r="B970" s="2" t="s">
        <v>15667</v>
      </c>
      <c r="C970" s="2" t="s">
        <v>7839</v>
      </c>
      <c r="D970" s="2" t="n">
        <v>467.301423452</v>
      </c>
      <c r="E970" s="2" t="n">
        <v>0.252894695754021</v>
      </c>
      <c r="F970" s="2" t="s">
        <v>15668</v>
      </c>
      <c r="G970" s="2" t="n">
        <v>199815</v>
      </c>
      <c r="H970" s="3" t="str">
        <f>HYPERLINK("http://funmeta.oebiotech.com/network/199815", "http://funmeta.oebiotech.com/network/199815")</f>
      </c>
      <c r="I970" s="2" t="s">
        <v>15669</v>
      </c>
      <c r="J970" s="2"/>
      <c r="K970" s="2"/>
      <c r="L970" s="2"/>
      <c r="M970" s="2"/>
      <c r="N970" s="2" t="s">
        <v>15670</v>
      </c>
      <c r="O970" s="2"/>
      <c r="P970" s="2" t="s">
        <v>15671</v>
      </c>
      <c r="Q970" s="2" t="s">
        <v>15672</v>
      </c>
      <c r="R970" s="2" t="s">
        <v>794</v>
      </c>
      <c r="S970" s="2" t="s">
        <v>2971</v>
      </c>
      <c r="T970" s="2" t="s">
        <v>6499</v>
      </c>
      <c r="U970" s="2" t="s">
        <v>7840</v>
      </c>
      <c r="V970" s="2" t="s">
        <v>205</v>
      </c>
      <c r="W970" s="2"/>
    </row>
    <row r="971">
      <c r="A971" s="2" t="n">
        <v>723</v>
      </c>
      <c r="B971" s="2" t="s">
        <v>15673</v>
      </c>
      <c r="C971" s="2" t="s">
        <v>7848</v>
      </c>
      <c r="D971" s="2" t="n">
        <v>468.133172853</v>
      </c>
      <c r="E971" s="2" t="n">
        <v>1.93523282898183</v>
      </c>
      <c r="F971" s="2" t="s">
        <v>7850</v>
      </c>
      <c r="G971" s="2" t="n">
        <v>208050</v>
      </c>
      <c r="H971" s="3" t="str">
        <f>HYPERLINK("http://funmeta.oebiotech.com/network/208050", "http://funmeta.oebiotech.com/network/208050")</f>
      </c>
      <c r="I971" s="2" t="s">
        <v>7852</v>
      </c>
      <c r="J971" s="2" t="s">
        <v>7853</v>
      </c>
      <c r="K971" s="2"/>
      <c r="L971" s="2"/>
      <c r="M971" s="2"/>
      <c r="N971" s="2" t="s">
        <v>7854</v>
      </c>
      <c r="O971" s="2"/>
      <c r="P971" s="2" t="s">
        <v>7855</v>
      </c>
      <c r="Q971" s="2" t="s">
        <v>7856</v>
      </c>
      <c r="R971" s="2" t="s">
        <v>186</v>
      </c>
      <c r="S971" s="2" t="s">
        <v>187</v>
      </c>
      <c r="T971" s="2" t="s">
        <v>6895</v>
      </c>
      <c r="U971" s="2" t="s">
        <v>7849</v>
      </c>
      <c r="V971" s="2" t="s">
        <v>86</v>
      </c>
      <c r="W971" s="2"/>
    </row>
    <row r="972">
      <c r="A972" s="2" t="n">
        <v>724</v>
      </c>
      <c r="B972" s="2" t="s">
        <v>15674</v>
      </c>
      <c r="C972" s="2" t="s">
        <v>7857</v>
      </c>
      <c r="D972" s="2" t="n">
        <v>469.054313418</v>
      </c>
      <c r="E972" s="2" t="n">
        <v>2.94274078279638</v>
      </c>
      <c r="F972" s="2" t="s">
        <v>15675</v>
      </c>
      <c r="G972" s="2" t="n">
        <v>54447</v>
      </c>
      <c r="H972" s="3" t="str">
        <f>HYPERLINK("http://funmeta.oebiotech.com/network/54447", "http://funmeta.oebiotech.com/network/54447")</f>
      </c>
      <c r="I972" s="2" t="s">
        <v>15676</v>
      </c>
      <c r="J972" s="2"/>
      <c r="K972" s="2"/>
      <c r="L972" s="2"/>
      <c r="M972" s="2"/>
      <c r="N972" s="2" t="s">
        <v>15677</v>
      </c>
      <c r="O972" s="2" t="s">
        <v>15678</v>
      </c>
      <c r="P972" s="2" t="s">
        <v>15679</v>
      </c>
      <c r="Q972" s="2" t="s">
        <v>15680</v>
      </c>
      <c r="R972" s="2" t="s">
        <v>1355</v>
      </c>
      <c r="S972" s="2" t="s">
        <v>6741</v>
      </c>
      <c r="T972" s="2" t="s">
        <v>6742</v>
      </c>
      <c r="U972" s="2" t="s">
        <v>7858</v>
      </c>
      <c r="V972" s="2" t="s">
        <v>86</v>
      </c>
      <c r="W972" s="2"/>
    </row>
    <row r="973">
      <c r="A973" s="2" t="n">
        <v>724</v>
      </c>
      <c r="B973" s="2" t="s">
        <v>15681</v>
      </c>
      <c r="C973" s="2" t="s">
        <v>7857</v>
      </c>
      <c r="D973" s="2" t="n">
        <v>469.054313418</v>
      </c>
      <c r="E973" s="2" t="n">
        <v>2.94274078279638</v>
      </c>
      <c r="F973" s="2" t="s">
        <v>15682</v>
      </c>
      <c r="G973" s="2" t="n">
        <v>55585</v>
      </c>
      <c r="H973" s="3" t="str">
        <f>HYPERLINK("http://funmeta.oebiotech.com/network/55585", "http://funmeta.oebiotech.com/network/55585")</f>
      </c>
      <c r="I973" s="2" t="s">
        <v>15683</v>
      </c>
      <c r="J973" s="2"/>
      <c r="K973" s="2"/>
      <c r="L973" s="2"/>
      <c r="M973" s="2"/>
      <c r="N973" s="2" t="s">
        <v>15684</v>
      </c>
      <c r="O973" s="2" t="s">
        <v>15685</v>
      </c>
      <c r="P973" s="2" t="s">
        <v>15686</v>
      </c>
      <c r="Q973" s="2" t="s">
        <v>15687</v>
      </c>
      <c r="R973" s="2" t="s">
        <v>1355</v>
      </c>
      <c r="S973" s="2" t="s">
        <v>5199</v>
      </c>
      <c r="T973" s="2" t="s">
        <v>7308</v>
      </c>
      <c r="U973" s="2" t="s">
        <v>7858</v>
      </c>
      <c r="V973" s="2" t="s">
        <v>86</v>
      </c>
      <c r="W973" s="2"/>
    </row>
    <row r="974">
      <c r="A974" s="2" t="n">
        <v>724</v>
      </c>
      <c r="B974" s="2" t="s">
        <v>15688</v>
      </c>
      <c r="C974" s="2" t="s">
        <v>7857</v>
      </c>
      <c r="D974" s="2" t="n">
        <v>469.054313418</v>
      </c>
      <c r="E974" s="2" t="n">
        <v>2.94274078279638</v>
      </c>
      <c r="F974" s="2" t="s">
        <v>15689</v>
      </c>
      <c r="G974" s="2" t="n">
        <v>57973</v>
      </c>
      <c r="H974" s="3" t="str">
        <f>HYPERLINK("http://funmeta.oebiotech.com/network/57973", "http://funmeta.oebiotech.com/network/57973")</f>
      </c>
      <c r="I974" s="2" t="s">
        <v>15690</v>
      </c>
      <c r="J974" s="2" t="s">
        <v>15691</v>
      </c>
      <c r="K974" s="2"/>
      <c r="L974" s="2"/>
      <c r="M974" s="2" t="s">
        <v>15692</v>
      </c>
      <c r="N974" s="2" t="s">
        <v>15693</v>
      </c>
      <c r="O974" s="2" t="s">
        <v>15694</v>
      </c>
      <c r="P974" s="2" t="s">
        <v>15695</v>
      </c>
      <c r="Q974" s="2" t="s">
        <v>15696</v>
      </c>
      <c r="R974" s="2" t="s">
        <v>1355</v>
      </c>
      <c r="S974" s="2" t="s">
        <v>5199</v>
      </c>
      <c r="T974" s="2" t="s">
        <v>7308</v>
      </c>
      <c r="U974" s="2" t="s">
        <v>7858</v>
      </c>
      <c r="V974" s="2" t="s">
        <v>86</v>
      </c>
      <c r="W974" s="2"/>
    </row>
    <row r="975">
      <c r="A975" s="2" t="n">
        <v>725</v>
      </c>
      <c r="B975" s="2" t="s">
        <v>15697</v>
      </c>
      <c r="C975" s="2" t="s">
        <v>7870</v>
      </c>
      <c r="D975" s="2" t="n">
        <v>469.135150277</v>
      </c>
      <c r="E975" s="2" t="n">
        <v>5.76734707591378</v>
      </c>
      <c r="F975" s="2" t="s">
        <v>7872</v>
      </c>
      <c r="G975" s="2" t="n">
        <v>210471</v>
      </c>
      <c r="H975" s="3" t="str">
        <f>HYPERLINK("http://funmeta.oebiotech.com/network/210471", "http://funmeta.oebiotech.com/network/210471")</f>
      </c>
      <c r="I975" s="2" t="s">
        <v>7874</v>
      </c>
      <c r="J975" s="2"/>
      <c r="K975" s="2"/>
      <c r="L975" s="2"/>
      <c r="M975" s="2"/>
      <c r="N975" s="2" t="s">
        <v>7875</v>
      </c>
      <c r="O975" s="2"/>
      <c r="P975" s="2" t="s">
        <v>7876</v>
      </c>
      <c r="Q975" s="2" t="s">
        <v>7877</v>
      </c>
      <c r="R975" s="2" t="s">
        <v>794</v>
      </c>
      <c r="S975" s="2" t="s">
        <v>1098</v>
      </c>
      <c r="T975" s="2" t="s">
        <v>7878</v>
      </c>
      <c r="U975" s="2" t="s">
        <v>7871</v>
      </c>
      <c r="V975" s="2" t="s">
        <v>24</v>
      </c>
      <c r="W975" s="2"/>
    </row>
    <row r="976">
      <c r="A976" s="2" t="n">
        <v>726</v>
      </c>
      <c r="B976" s="2" t="s">
        <v>15698</v>
      </c>
      <c r="C976" s="2" t="s">
        <v>7879</v>
      </c>
      <c r="D976" s="2" t="n">
        <v>469.238651502</v>
      </c>
      <c r="E976" s="2" t="n">
        <v>0.040012652402331</v>
      </c>
      <c r="F976" s="2" t="s">
        <v>7881</v>
      </c>
      <c r="G976" s="2" t="n">
        <v>204813</v>
      </c>
      <c r="H976" s="3" t="str">
        <f>HYPERLINK("http://funmeta.oebiotech.com/network/204813", "http://funmeta.oebiotech.com/network/204813")</f>
      </c>
      <c r="I976" s="2" t="s">
        <v>7883</v>
      </c>
      <c r="J976" s="2"/>
      <c r="K976" s="2"/>
      <c r="L976" s="2"/>
      <c r="M976" s="2"/>
      <c r="N976" s="2" t="s">
        <v>7884</v>
      </c>
      <c r="O976" s="2"/>
      <c r="P976" s="2" t="s">
        <v>7885</v>
      </c>
      <c r="Q976" s="2" t="s">
        <v>7886</v>
      </c>
      <c r="R976" s="2" t="s">
        <v>601</v>
      </c>
      <c r="S976" s="2" t="s">
        <v>602</v>
      </c>
      <c r="T976" s="2" t="s">
        <v>7887</v>
      </c>
      <c r="U976" s="2" t="s">
        <v>7880</v>
      </c>
      <c r="V976" s="2" t="s">
        <v>24</v>
      </c>
      <c r="W976" s="2"/>
    </row>
    <row r="977">
      <c r="A977" s="2" t="n">
        <v>727</v>
      </c>
      <c r="B977" s="2" t="s">
        <v>15699</v>
      </c>
      <c r="C977" s="2" t="s">
        <v>7888</v>
      </c>
      <c r="D977" s="2" t="n">
        <v>469.30901196</v>
      </c>
      <c r="E977" s="2" t="n">
        <v>7.16909485724189</v>
      </c>
      <c r="F977" s="2" t="s">
        <v>7890</v>
      </c>
      <c r="G977" s="2" t="n">
        <v>46470</v>
      </c>
      <c r="H977" s="3" t="str">
        <f>HYPERLINK("http://funmeta.oebiotech.com/network/46470", "http://funmeta.oebiotech.com/network/46470")</f>
      </c>
      <c r="I977" s="2" t="s">
        <v>7892</v>
      </c>
      <c r="J977" s="2" t="s">
        <v>7893</v>
      </c>
      <c r="K977" s="2" t="s">
        <v>7894</v>
      </c>
      <c r="L977" s="2" t="s">
        <v>7895</v>
      </c>
      <c r="M977" s="2" t="s">
        <v>7896</v>
      </c>
      <c r="N977" s="2" t="s">
        <v>7897</v>
      </c>
      <c r="O977" s="2" t="s">
        <v>7898</v>
      </c>
      <c r="P977" s="2" t="s">
        <v>7899</v>
      </c>
      <c r="Q977" s="2" t="s">
        <v>7900</v>
      </c>
      <c r="R977" s="2" t="s">
        <v>794</v>
      </c>
      <c r="S977" s="2" t="s">
        <v>2971</v>
      </c>
      <c r="T977" s="2" t="s">
        <v>6499</v>
      </c>
      <c r="U977" s="2" t="s">
        <v>7889</v>
      </c>
      <c r="V977" s="2" t="s">
        <v>86</v>
      </c>
      <c r="W977" s="2" t="s">
        <v>56</v>
      </c>
    </row>
    <row r="978">
      <c r="A978" s="2" t="n">
        <v>728</v>
      </c>
      <c r="B978" s="2" t="s">
        <v>15700</v>
      </c>
      <c r="C978" s="2" t="s">
        <v>7901</v>
      </c>
      <c r="D978" s="2" t="n">
        <v>471.238827506</v>
      </c>
      <c r="E978" s="2" t="n">
        <v>2.21617081974288</v>
      </c>
      <c r="F978" s="2" t="s">
        <v>7903</v>
      </c>
      <c r="G978" s="2" t="n">
        <v>59711</v>
      </c>
      <c r="H978" s="3" t="str">
        <f>HYPERLINK("http://funmeta.oebiotech.com/network/59711", "http://funmeta.oebiotech.com/network/59711")</f>
      </c>
      <c r="I978" s="2" t="s">
        <v>7905</v>
      </c>
      <c r="J978" s="2" t="s">
        <v>7906</v>
      </c>
      <c r="K978" s="2"/>
      <c r="L978" s="2"/>
      <c r="M978" s="2"/>
      <c r="N978" s="2" t="s">
        <v>7907</v>
      </c>
      <c r="O978" s="2"/>
      <c r="P978" s="2" t="s">
        <v>7908</v>
      </c>
      <c r="Q978" s="2" t="s">
        <v>7909</v>
      </c>
      <c r="R978" s="2" t="s">
        <v>794</v>
      </c>
      <c r="S978" s="2" t="s">
        <v>1098</v>
      </c>
      <c r="T978" s="2" t="s">
        <v>7646</v>
      </c>
      <c r="U978" s="2" t="s">
        <v>7902</v>
      </c>
      <c r="V978" s="2" t="s">
        <v>24</v>
      </c>
      <c r="W978" s="2" t="s">
        <v>56</v>
      </c>
    </row>
    <row r="979">
      <c r="A979" s="2" t="n">
        <v>729</v>
      </c>
      <c r="B979" s="2" t="s">
        <v>15701</v>
      </c>
      <c r="C979" s="2" t="s">
        <v>7910</v>
      </c>
      <c r="D979" s="2" t="n">
        <v>472.9082879</v>
      </c>
      <c r="E979" s="2" t="n">
        <v>3.78275307787544</v>
      </c>
      <c r="F979" s="2" t="s">
        <v>7912</v>
      </c>
      <c r="G979" s="2" t="n">
        <v>206769</v>
      </c>
      <c r="H979" s="3" t="str">
        <f>HYPERLINK("http://funmeta.oebiotech.com/network/206769", "http://funmeta.oebiotech.com/network/206769")</f>
      </c>
      <c r="I979" s="2" t="s">
        <v>7914</v>
      </c>
      <c r="J979" s="2"/>
      <c r="K979" s="2"/>
      <c r="L979" s="2"/>
      <c r="M979" s="2" t="s">
        <v>7915</v>
      </c>
      <c r="N979" s="2" t="s">
        <v>7916</v>
      </c>
      <c r="O979" s="2"/>
      <c r="P979" s="2" t="s">
        <v>7917</v>
      </c>
      <c r="Q979" s="2" t="s">
        <v>7918</v>
      </c>
      <c r="R979" s="2" t="s">
        <v>114</v>
      </c>
      <c r="S979" s="2" t="s">
        <v>172</v>
      </c>
      <c r="T979" s="2" t="s">
        <v>4451</v>
      </c>
      <c r="U979" s="2" t="s">
        <v>7911</v>
      </c>
      <c r="V979" s="2" t="s">
        <v>531</v>
      </c>
      <c r="W979" s="2"/>
    </row>
    <row r="980">
      <c r="A980" s="2" t="n">
        <v>730</v>
      </c>
      <c r="B980" s="2" t="s">
        <v>15702</v>
      </c>
      <c r="C980" s="2" t="s">
        <v>7919</v>
      </c>
      <c r="D980" s="2" t="n">
        <v>473.2616882</v>
      </c>
      <c r="E980" s="2" t="n">
        <v>3.39297608389913</v>
      </c>
      <c r="F980" s="2" t="s">
        <v>7921</v>
      </c>
      <c r="G980" s="2" t="n">
        <v>203388</v>
      </c>
      <c r="H980" s="3" t="str">
        <f>HYPERLINK("http://funmeta.oebiotech.com/network/203388", "http://funmeta.oebiotech.com/network/203388")</f>
      </c>
      <c r="I980" s="2" t="s">
        <v>7923</v>
      </c>
      <c r="J980" s="2"/>
      <c r="K980" s="2"/>
      <c r="L980" s="2"/>
      <c r="M980" s="2"/>
      <c r="N980" s="2" t="s">
        <v>7924</v>
      </c>
      <c r="O980" s="2"/>
      <c r="P980" s="2" t="s">
        <v>7925</v>
      </c>
      <c r="Q980" s="2" t="s">
        <v>7926</v>
      </c>
      <c r="R980" s="2" t="s">
        <v>36</v>
      </c>
      <c r="S980" s="2" t="s">
        <v>7927</v>
      </c>
      <c r="T980" s="2" t="s">
        <v>7928</v>
      </c>
      <c r="U980" s="2" t="s">
        <v>7920</v>
      </c>
      <c r="V980" s="2" t="s">
        <v>24</v>
      </c>
      <c r="W980" s="2"/>
    </row>
    <row r="981">
      <c r="A981" s="2" t="n">
        <v>731</v>
      </c>
      <c r="B981" s="2" t="s">
        <v>15703</v>
      </c>
      <c r="C981" s="2" t="s">
        <v>7929</v>
      </c>
      <c r="D981" s="2" t="n">
        <v>475.05126426</v>
      </c>
      <c r="E981" s="2" t="n">
        <v>4.20959956667092</v>
      </c>
      <c r="F981" s="2" t="s">
        <v>7931</v>
      </c>
      <c r="G981" s="2" t="n">
        <v>207545</v>
      </c>
      <c r="H981" s="3" t="str">
        <f>HYPERLINK("http://funmeta.oebiotech.com/network/207545", "http://funmeta.oebiotech.com/network/207545")</f>
      </c>
      <c r="I981" s="2" t="s">
        <v>7933</v>
      </c>
      <c r="J981" s="2"/>
      <c r="K981" s="2"/>
      <c r="L981" s="2"/>
      <c r="M981" s="2"/>
      <c r="N981" s="2" t="s">
        <v>7934</v>
      </c>
      <c r="O981" s="2"/>
      <c r="P981" s="2" t="s">
        <v>7935</v>
      </c>
      <c r="Q981" s="2" t="s">
        <v>7936</v>
      </c>
      <c r="R981" s="2" t="s">
        <v>1355</v>
      </c>
      <c r="S981" s="2" t="s">
        <v>5199</v>
      </c>
      <c r="T981" s="2" t="s">
        <v>7308</v>
      </c>
      <c r="U981" s="2" t="s">
        <v>7930</v>
      </c>
      <c r="V981" s="2" t="s">
        <v>161</v>
      </c>
      <c r="W981" s="2"/>
    </row>
    <row r="982">
      <c r="A982" s="2" t="n">
        <v>732</v>
      </c>
      <c r="B982" s="2" t="s">
        <v>15704</v>
      </c>
      <c r="C982" s="2" t="s">
        <v>7937</v>
      </c>
      <c r="D982" s="2" t="n">
        <v>475.290187468</v>
      </c>
      <c r="E982" s="2" t="n">
        <v>0.773633909589968</v>
      </c>
      <c r="F982" s="2" t="s">
        <v>7939</v>
      </c>
      <c r="G982" s="2" t="n">
        <v>257551</v>
      </c>
      <c r="H982" s="3" t="str">
        <f>HYPERLINK("http://funmeta.oebiotech.com/network/257551", "http://funmeta.oebiotech.com/network/257551")</f>
      </c>
      <c r="I982" s="2" t="s">
        <v>7941</v>
      </c>
      <c r="J982" s="2" t="s">
        <v>7942</v>
      </c>
      <c r="K982" s="2"/>
      <c r="L982" s="2"/>
      <c r="M982" s="2"/>
      <c r="N982" s="2" t="s">
        <v>7943</v>
      </c>
      <c r="O982" s="2"/>
      <c r="P982" s="2" t="s">
        <v>7944</v>
      </c>
      <c r="Q982" s="2" t="s">
        <v>7945</v>
      </c>
      <c r="R982" s="2" t="s">
        <v>36</v>
      </c>
      <c r="S982" s="2" t="s">
        <v>37</v>
      </c>
      <c r="T982" s="2" t="s">
        <v>69</v>
      </c>
      <c r="U982" s="2" t="s">
        <v>7938</v>
      </c>
      <c r="V982" s="2" t="s">
        <v>531</v>
      </c>
      <c r="W982" s="2"/>
    </row>
    <row r="983">
      <c r="A983" s="2" t="n">
        <v>733</v>
      </c>
      <c r="B983" s="2" t="s">
        <v>15705</v>
      </c>
      <c r="C983" s="2" t="s">
        <v>7946</v>
      </c>
      <c r="D983" s="2" t="n">
        <v>476.283453727</v>
      </c>
      <c r="E983" s="2" t="n">
        <v>8.63585692122473</v>
      </c>
      <c r="F983" s="2" t="s">
        <v>7948</v>
      </c>
      <c r="G983" s="2" t="n">
        <v>198846</v>
      </c>
      <c r="H983" s="3" t="str">
        <f>HYPERLINK("http://funmeta.oebiotech.com/network/198846", "http://funmeta.oebiotech.com/network/198846")</f>
      </c>
      <c r="I983" s="2" t="s">
        <v>7950</v>
      </c>
      <c r="J983" s="2"/>
      <c r="K983" s="2"/>
      <c r="L983" s="2"/>
      <c r="M983" s="2"/>
      <c r="N983" s="2"/>
      <c r="O983" s="2"/>
      <c r="P983" s="2" t="s">
        <v>7951</v>
      </c>
      <c r="Q983" s="2" t="s">
        <v>7952</v>
      </c>
      <c r="R983" s="2" t="s">
        <v>794</v>
      </c>
      <c r="S983" s="2" t="s">
        <v>2971</v>
      </c>
      <c r="T983" s="2" t="s">
        <v>6499</v>
      </c>
      <c r="U983" s="2" t="s">
        <v>7947</v>
      </c>
      <c r="V983" s="2" t="s">
        <v>161</v>
      </c>
      <c r="W983" s="2"/>
    </row>
    <row r="984">
      <c r="A984" s="2" t="n">
        <v>734</v>
      </c>
      <c r="B984" s="2" t="s">
        <v>15706</v>
      </c>
      <c r="C984" s="2" t="s">
        <v>7953</v>
      </c>
      <c r="D984" s="2" t="n">
        <v>477.046254618</v>
      </c>
      <c r="E984" s="2" t="n">
        <v>8.26780100555987</v>
      </c>
      <c r="F984" s="2" t="s">
        <v>7955</v>
      </c>
      <c r="G984" s="2" t="n">
        <v>206804</v>
      </c>
      <c r="H984" s="3" t="str">
        <f>HYPERLINK("http://funmeta.oebiotech.com/network/206804", "http://funmeta.oebiotech.com/network/206804")</f>
      </c>
      <c r="I984" s="2" t="s">
        <v>7957</v>
      </c>
      <c r="J984" s="2"/>
      <c r="K984" s="2"/>
      <c r="L984" s="2"/>
      <c r="M984" s="2"/>
      <c r="N984" s="2" t="s">
        <v>7958</v>
      </c>
      <c r="O984" s="2"/>
      <c r="P984" s="2" t="s">
        <v>7959</v>
      </c>
      <c r="Q984" s="2" t="s">
        <v>7960</v>
      </c>
      <c r="R984" s="2" t="s">
        <v>36</v>
      </c>
      <c r="S984" s="2" t="s">
        <v>37</v>
      </c>
      <c r="T984" s="2" t="s">
        <v>69</v>
      </c>
      <c r="U984" s="2" t="s">
        <v>7954</v>
      </c>
      <c r="V984" s="2" t="s">
        <v>161</v>
      </c>
      <c r="W984" s="2"/>
    </row>
    <row r="985">
      <c r="A985" s="2" t="n">
        <v>735</v>
      </c>
      <c r="B985" s="2" t="s">
        <v>15707</v>
      </c>
      <c r="C985" s="2" t="s">
        <v>7961</v>
      </c>
      <c r="D985" s="2" t="n">
        <v>477.235908604</v>
      </c>
      <c r="E985" s="2" t="n">
        <v>4.95177819056047</v>
      </c>
      <c r="F985" s="2" t="s">
        <v>7963</v>
      </c>
      <c r="G985" s="2" t="n">
        <v>211890</v>
      </c>
      <c r="H985" s="3" t="str">
        <f>HYPERLINK("http://funmeta.oebiotech.com/network/211890", "http://funmeta.oebiotech.com/network/211890")</f>
      </c>
      <c r="I985" s="2" t="s">
        <v>7965</v>
      </c>
      <c r="J985" s="2"/>
      <c r="K985" s="2"/>
      <c r="L985" s="2"/>
      <c r="M985" s="2"/>
      <c r="N985" s="2"/>
      <c r="O985" s="2"/>
      <c r="P985" s="2" t="s">
        <v>7966</v>
      </c>
      <c r="Q985" s="2" t="s">
        <v>7967</v>
      </c>
      <c r="R985" s="2" t="s">
        <v>114</v>
      </c>
      <c r="S985" s="2" t="s">
        <v>4121</v>
      </c>
      <c r="T985" s="2" t="s">
        <v>7480</v>
      </c>
      <c r="U985" s="2" t="s">
        <v>7962</v>
      </c>
      <c r="V985" s="2" t="s">
        <v>24</v>
      </c>
      <c r="W985" s="2"/>
    </row>
    <row r="986">
      <c r="A986" s="2" t="n">
        <v>736</v>
      </c>
      <c r="B986" s="2" t="s">
        <v>15708</v>
      </c>
      <c r="C986" s="2" t="s">
        <v>7968</v>
      </c>
      <c r="D986" s="2" t="n">
        <v>477.314097338</v>
      </c>
      <c r="E986" s="2" t="n">
        <v>6.8882765147692</v>
      </c>
      <c r="F986" s="2" t="s">
        <v>15709</v>
      </c>
      <c r="G986" s="2" t="n">
        <v>47436</v>
      </c>
      <c r="H986" s="3" t="str">
        <f>HYPERLINK("http://funmeta.oebiotech.com/network/47436", "http://funmeta.oebiotech.com/network/47436")</f>
      </c>
      <c r="I986" s="2" t="s">
        <v>15710</v>
      </c>
      <c r="J986" s="2" t="s">
        <v>15711</v>
      </c>
      <c r="K986" s="2"/>
      <c r="L986" s="2" t="s">
        <v>15712</v>
      </c>
      <c r="M986" s="2"/>
      <c r="N986" s="2" t="s">
        <v>15713</v>
      </c>
      <c r="O986" s="2"/>
      <c r="P986" s="2" t="s">
        <v>15714</v>
      </c>
      <c r="Q986" s="2" t="s">
        <v>15715</v>
      </c>
      <c r="R986" s="2" t="s">
        <v>794</v>
      </c>
      <c r="S986" s="2" t="s">
        <v>1098</v>
      </c>
      <c r="T986" s="2" t="s">
        <v>7646</v>
      </c>
      <c r="U986" s="2" t="s">
        <v>7969</v>
      </c>
      <c r="V986" s="2" t="s">
        <v>86</v>
      </c>
      <c r="W986" s="2" t="s">
        <v>56</v>
      </c>
    </row>
    <row r="987">
      <c r="A987" s="2" t="n">
        <v>736</v>
      </c>
      <c r="B987" s="2" t="s">
        <v>15716</v>
      </c>
      <c r="C987" s="2" t="s">
        <v>7968</v>
      </c>
      <c r="D987" s="2" t="n">
        <v>477.314097338</v>
      </c>
      <c r="E987" s="2" t="n">
        <v>6.8882765147692</v>
      </c>
      <c r="F987" s="2" t="s">
        <v>15717</v>
      </c>
      <c r="G987" s="2" t="n">
        <v>48933</v>
      </c>
      <c r="H987" s="3" t="str">
        <f>HYPERLINK("http://funmeta.oebiotech.com/network/48933", "http://funmeta.oebiotech.com/network/48933")</f>
      </c>
      <c r="I987" s="2" t="s">
        <v>15718</v>
      </c>
      <c r="J987" s="2"/>
      <c r="K987" s="2"/>
      <c r="L987" s="2" t="s">
        <v>15719</v>
      </c>
      <c r="M987" s="2" t="s">
        <v>15720</v>
      </c>
      <c r="N987" s="2" t="s">
        <v>15721</v>
      </c>
      <c r="O987" s="2"/>
      <c r="P987" s="2" t="s">
        <v>15722</v>
      </c>
      <c r="Q987" s="2" t="s">
        <v>15723</v>
      </c>
      <c r="R987" s="2" t="s">
        <v>794</v>
      </c>
      <c r="S987" s="2" t="s">
        <v>1098</v>
      </c>
      <c r="T987" s="2" t="s">
        <v>7646</v>
      </c>
      <c r="U987" s="2" t="s">
        <v>7969</v>
      </c>
      <c r="V987" s="2" t="s">
        <v>86</v>
      </c>
      <c r="W987" s="2" t="s">
        <v>56</v>
      </c>
    </row>
    <row r="988">
      <c r="A988" s="2" t="n">
        <v>737</v>
      </c>
      <c r="B988" s="2" t="s">
        <v>15724</v>
      </c>
      <c r="C988" s="2" t="s">
        <v>7980</v>
      </c>
      <c r="D988" s="2" t="n">
        <v>479.090643452</v>
      </c>
      <c r="E988" s="2" t="n">
        <v>5.26995363625615</v>
      </c>
      <c r="F988" s="2" t="s">
        <v>7982</v>
      </c>
      <c r="G988" s="2" t="n">
        <v>61842</v>
      </c>
      <c r="H988" s="3" t="str">
        <f>HYPERLINK("http://funmeta.oebiotech.com/network/61842", "http://funmeta.oebiotech.com/network/61842")</f>
      </c>
      <c r="I988" s="2" t="s">
        <v>7984</v>
      </c>
      <c r="J988" s="2" t="s">
        <v>7985</v>
      </c>
      <c r="K988" s="2"/>
      <c r="L988" s="2"/>
      <c r="M988" s="2" t="s">
        <v>7986</v>
      </c>
      <c r="N988" s="2" t="s">
        <v>7987</v>
      </c>
      <c r="O988" s="2" t="s">
        <v>7988</v>
      </c>
      <c r="P988" s="2" t="s">
        <v>7989</v>
      </c>
      <c r="Q988" s="2" t="s">
        <v>7990</v>
      </c>
      <c r="R988" s="2" t="s">
        <v>36</v>
      </c>
      <c r="S988" s="2" t="s">
        <v>37</v>
      </c>
      <c r="T988" s="2" t="s">
        <v>69</v>
      </c>
      <c r="U988" s="2" t="s">
        <v>7981</v>
      </c>
      <c r="V988" s="2" t="s">
        <v>161</v>
      </c>
      <c r="W988" s="2" t="s">
        <v>56</v>
      </c>
    </row>
    <row r="989">
      <c r="A989" s="2" t="n">
        <v>738</v>
      </c>
      <c r="B989" s="2" t="s">
        <v>15725</v>
      </c>
      <c r="C989" s="2" t="s">
        <v>7991</v>
      </c>
      <c r="D989" s="2" t="n">
        <v>479.317822408</v>
      </c>
      <c r="E989" s="2" t="n">
        <v>0.495855293531</v>
      </c>
      <c r="F989" s="2" t="s">
        <v>7993</v>
      </c>
      <c r="G989" s="2" t="n">
        <v>201066</v>
      </c>
      <c r="H989" s="3" t="str">
        <f>HYPERLINK("http://funmeta.oebiotech.com/network/201066", "http://funmeta.oebiotech.com/network/201066")</f>
      </c>
      <c r="I989" s="2" t="s">
        <v>7995</v>
      </c>
      <c r="J989" s="2"/>
      <c r="K989" s="2"/>
      <c r="L989" s="2"/>
      <c r="M989" s="2"/>
      <c r="N989" s="2" t="s">
        <v>7996</v>
      </c>
      <c r="O989" s="2"/>
      <c r="P989" s="2" t="s">
        <v>7997</v>
      </c>
      <c r="Q989" s="2" t="s">
        <v>7998</v>
      </c>
      <c r="R989" s="2" t="s">
        <v>794</v>
      </c>
      <c r="S989" s="2" t="s">
        <v>2971</v>
      </c>
      <c r="T989" s="2" t="s">
        <v>7999</v>
      </c>
      <c r="U989" s="2" t="s">
        <v>7992</v>
      </c>
      <c r="V989" s="2" t="s">
        <v>205</v>
      </c>
      <c r="W989" s="2"/>
    </row>
    <row r="990">
      <c r="A990" s="2" t="n">
        <v>739</v>
      </c>
      <c r="B990" s="2" t="s">
        <v>15726</v>
      </c>
      <c r="C990" s="2" t="s">
        <v>8000</v>
      </c>
      <c r="D990" s="2" t="n">
        <v>480.311382553</v>
      </c>
      <c r="E990" s="2" t="n">
        <v>4.97495058105697</v>
      </c>
      <c r="F990" s="2" t="s">
        <v>8002</v>
      </c>
      <c r="G990" s="2" t="n">
        <v>198431</v>
      </c>
      <c r="H990" s="3" t="str">
        <f>HYPERLINK("http://funmeta.oebiotech.com/network/198431", "http://funmeta.oebiotech.com/network/198431")</f>
      </c>
      <c r="I990" s="2" t="s">
        <v>8004</v>
      </c>
      <c r="J990" s="2"/>
      <c r="K990" s="2"/>
      <c r="L990" s="2"/>
      <c r="M990" s="2"/>
      <c r="N990" s="2"/>
      <c r="O990" s="2"/>
      <c r="P990" s="2" t="s">
        <v>8005</v>
      </c>
      <c r="Q990" s="2" t="s">
        <v>8006</v>
      </c>
      <c r="R990" s="2" t="s">
        <v>794</v>
      </c>
      <c r="S990" s="2" t="s">
        <v>795</v>
      </c>
      <c r="T990" s="2" t="s">
        <v>1870</v>
      </c>
      <c r="U990" s="2" t="s">
        <v>8001</v>
      </c>
      <c r="V990" s="2" t="s">
        <v>161</v>
      </c>
      <c r="W990" s="2"/>
    </row>
    <row r="991">
      <c r="A991" s="2" t="n">
        <v>740</v>
      </c>
      <c r="B991" s="2" t="s">
        <v>15727</v>
      </c>
      <c r="C991" s="2" t="s">
        <v>8007</v>
      </c>
      <c r="D991" s="2" t="n">
        <v>481.29539814</v>
      </c>
      <c r="E991" s="2" t="n">
        <v>5.19040698606849</v>
      </c>
      <c r="F991" s="2" t="s">
        <v>15728</v>
      </c>
      <c r="G991" s="2" t="n">
        <v>57485</v>
      </c>
      <c r="H991" s="3" t="str">
        <f>HYPERLINK("http://funmeta.oebiotech.com/network/57485", "http://funmeta.oebiotech.com/network/57485")</f>
      </c>
      <c r="I991" s="2" t="s">
        <v>15729</v>
      </c>
      <c r="J991" s="2"/>
      <c r="K991" s="2"/>
      <c r="L991" s="2"/>
      <c r="M991" s="2"/>
      <c r="N991" s="2" t="s">
        <v>15730</v>
      </c>
      <c r="O991" s="2" t="s">
        <v>15731</v>
      </c>
      <c r="P991" s="2" t="s">
        <v>15732</v>
      </c>
      <c r="Q991" s="2" t="s">
        <v>15733</v>
      </c>
      <c r="R991" s="2" t="s">
        <v>794</v>
      </c>
      <c r="S991" s="2" t="s">
        <v>1098</v>
      </c>
      <c r="T991" s="2" t="s">
        <v>7646</v>
      </c>
      <c r="U991" s="2" t="s">
        <v>8008</v>
      </c>
      <c r="V991" s="2" t="s">
        <v>161</v>
      </c>
      <c r="W991" s="2" t="s">
        <v>56</v>
      </c>
    </row>
    <row r="992">
      <c r="A992" s="2" t="n">
        <v>740</v>
      </c>
      <c r="B992" s="2" t="s">
        <v>15734</v>
      </c>
      <c r="C992" s="2" t="s">
        <v>8007</v>
      </c>
      <c r="D992" s="2" t="n">
        <v>481.29539814</v>
      </c>
      <c r="E992" s="2" t="n">
        <v>5.19040698606849</v>
      </c>
      <c r="F992" s="2" t="s">
        <v>15735</v>
      </c>
      <c r="G992" s="2" t="n">
        <v>58272</v>
      </c>
      <c r="H992" s="3" t="str">
        <f>HYPERLINK("http://funmeta.oebiotech.com/network/58272", "http://funmeta.oebiotech.com/network/58272")</f>
      </c>
      <c r="I992" s="2" t="s">
        <v>15736</v>
      </c>
      <c r="J992" s="2" t="s">
        <v>15737</v>
      </c>
      <c r="K992" s="2"/>
      <c r="L992" s="2"/>
      <c r="M992" s="2"/>
      <c r="N992" s="2" t="s">
        <v>15738</v>
      </c>
      <c r="O992" s="2" t="s">
        <v>15739</v>
      </c>
      <c r="P992" s="2" t="s">
        <v>15740</v>
      </c>
      <c r="Q992" s="2" t="s">
        <v>15741</v>
      </c>
      <c r="R992" s="2" t="s">
        <v>794</v>
      </c>
      <c r="S992" s="2" t="s">
        <v>2971</v>
      </c>
      <c r="T992" s="2" t="s">
        <v>6693</v>
      </c>
      <c r="U992" s="2" t="s">
        <v>8008</v>
      </c>
      <c r="V992" s="2" t="s">
        <v>161</v>
      </c>
      <c r="W992" s="2" t="s">
        <v>56</v>
      </c>
    </row>
    <row r="993">
      <c r="A993" s="2" t="n">
        <v>740</v>
      </c>
      <c r="B993" s="2" t="s">
        <v>15742</v>
      </c>
      <c r="C993" s="2" t="s">
        <v>8007</v>
      </c>
      <c r="D993" s="2" t="n">
        <v>481.29539814</v>
      </c>
      <c r="E993" s="2" t="n">
        <v>5.19040698606849</v>
      </c>
      <c r="F993" s="2" t="s">
        <v>15743</v>
      </c>
      <c r="G993" s="2" t="n">
        <v>59182</v>
      </c>
      <c r="H993" s="3" t="str">
        <f>HYPERLINK("http://funmeta.oebiotech.com/network/59182", "http://funmeta.oebiotech.com/network/59182")</f>
      </c>
      <c r="I993" s="2" t="s">
        <v>15744</v>
      </c>
      <c r="J993" s="2"/>
      <c r="K993" s="2"/>
      <c r="L993" s="2"/>
      <c r="M993" s="2" t="s">
        <v>15745</v>
      </c>
      <c r="N993" s="2" t="s">
        <v>15746</v>
      </c>
      <c r="O993" s="2" t="s">
        <v>15747</v>
      </c>
      <c r="P993" s="2" t="s">
        <v>15748</v>
      </c>
      <c r="Q993" s="2" t="s">
        <v>15749</v>
      </c>
      <c r="R993" s="2" t="s">
        <v>794</v>
      </c>
      <c r="S993" s="2" t="s">
        <v>1098</v>
      </c>
      <c r="T993" s="2" t="s">
        <v>7646</v>
      </c>
      <c r="U993" s="2" t="s">
        <v>8008</v>
      </c>
      <c r="V993" s="2" t="s">
        <v>161</v>
      </c>
      <c r="W993" s="2" t="s">
        <v>56</v>
      </c>
    </row>
    <row r="994">
      <c r="A994" s="2" t="n">
        <v>741</v>
      </c>
      <c r="B994" s="2" t="s">
        <v>15750</v>
      </c>
      <c r="C994" s="2" t="s">
        <v>8019</v>
      </c>
      <c r="D994" s="2" t="n">
        <v>481.977235771</v>
      </c>
      <c r="E994" s="2" t="n">
        <v>0.0827930705506689</v>
      </c>
      <c r="F994" s="2" t="s">
        <v>8021</v>
      </c>
      <c r="G994" s="2" t="n">
        <v>46861</v>
      </c>
      <c r="H994" s="3" t="str">
        <f>HYPERLINK("http://funmeta.oebiotech.com/network/46861", "http://funmeta.oebiotech.com/network/46861")</f>
      </c>
      <c r="I994" s="2" t="s">
        <v>8023</v>
      </c>
      <c r="J994" s="2" t="s">
        <v>8024</v>
      </c>
      <c r="K994" s="2"/>
      <c r="L994" s="2" t="s">
        <v>8025</v>
      </c>
      <c r="M994" s="2" t="s">
        <v>8026</v>
      </c>
      <c r="N994" s="2" t="s">
        <v>8027</v>
      </c>
      <c r="O994" s="2" t="s">
        <v>8028</v>
      </c>
      <c r="P994" s="2" t="s">
        <v>8029</v>
      </c>
      <c r="Q994" s="2" t="s">
        <v>8030</v>
      </c>
      <c r="R994" s="2" t="s">
        <v>129</v>
      </c>
      <c r="S994" s="2" t="s">
        <v>130</v>
      </c>
      <c r="T994" s="2" t="s">
        <v>1681</v>
      </c>
      <c r="U994" s="2" t="s">
        <v>8020</v>
      </c>
      <c r="V994" s="2" t="s">
        <v>24</v>
      </c>
      <c r="W994" s="2" t="s">
        <v>56</v>
      </c>
    </row>
    <row r="995">
      <c r="A995" s="2" t="n">
        <v>742</v>
      </c>
      <c r="B995" s="2" t="s">
        <v>15751</v>
      </c>
      <c r="C995" s="2" t="s">
        <v>8031</v>
      </c>
      <c r="D995" s="2" t="n">
        <v>482.288823657</v>
      </c>
      <c r="E995" s="2" t="n">
        <v>5.79525069125589</v>
      </c>
      <c r="F995" s="2" t="s">
        <v>8033</v>
      </c>
      <c r="G995" s="2" t="n">
        <v>21270</v>
      </c>
      <c r="H995" s="3" t="str">
        <f>HYPERLINK("http://funmeta.oebiotech.com/network/21270", "http://funmeta.oebiotech.com/network/21270")</f>
      </c>
      <c r="I995" s="2" t="s">
        <v>8035</v>
      </c>
      <c r="J995" s="2" t="s">
        <v>8036</v>
      </c>
      <c r="K995" s="2" t="s">
        <v>8037</v>
      </c>
      <c r="L995" s="2"/>
      <c r="M995" s="2"/>
      <c r="N995" s="2" t="s">
        <v>8038</v>
      </c>
      <c r="O995" s="2" t="s">
        <v>8039</v>
      </c>
      <c r="P995" s="2" t="s">
        <v>8040</v>
      </c>
      <c r="Q995" s="2" t="s">
        <v>8041</v>
      </c>
      <c r="R995" s="2" t="s">
        <v>794</v>
      </c>
      <c r="S995" s="2" t="s">
        <v>7122</v>
      </c>
      <c r="T995" s="2" t="s">
        <v>8042</v>
      </c>
      <c r="U995" s="2" t="s">
        <v>8032</v>
      </c>
      <c r="V995" s="2" t="s">
        <v>205</v>
      </c>
      <c r="W995" s="2" t="s">
        <v>39</v>
      </c>
    </row>
    <row r="996">
      <c r="A996" s="2" t="n">
        <v>743</v>
      </c>
      <c r="B996" s="2" t="s">
        <v>15752</v>
      </c>
      <c r="C996" s="2" t="s">
        <v>8043</v>
      </c>
      <c r="D996" s="2" t="n">
        <v>483.297679788</v>
      </c>
      <c r="E996" s="2" t="n">
        <v>3.96712684804045</v>
      </c>
      <c r="F996" s="2" t="s">
        <v>8045</v>
      </c>
      <c r="G996" s="2" t="n">
        <v>54310</v>
      </c>
      <c r="H996" s="3" t="str">
        <f>HYPERLINK("http://funmeta.oebiotech.com/network/54310", "http://funmeta.oebiotech.com/network/54310")</f>
      </c>
      <c r="I996" s="2" t="s">
        <v>8047</v>
      </c>
      <c r="J996" s="2" t="s">
        <v>8048</v>
      </c>
      <c r="K996" s="2"/>
      <c r="L996" s="2"/>
      <c r="M996" s="2" t="s">
        <v>8049</v>
      </c>
      <c r="N996" s="2" t="s">
        <v>8050</v>
      </c>
      <c r="O996" s="2" t="s">
        <v>8051</v>
      </c>
      <c r="P996" s="2" t="s">
        <v>8052</v>
      </c>
      <c r="Q996" s="2" t="s">
        <v>8053</v>
      </c>
      <c r="R996" s="2" t="s">
        <v>36</v>
      </c>
      <c r="S996" s="2" t="s">
        <v>37</v>
      </c>
      <c r="T996" s="2" t="s">
        <v>69</v>
      </c>
      <c r="U996" s="2" t="s">
        <v>8044</v>
      </c>
      <c r="V996" s="2" t="s">
        <v>24</v>
      </c>
      <c r="W996" s="2" t="s">
        <v>56</v>
      </c>
    </row>
    <row r="997">
      <c r="A997" s="2" t="n">
        <v>744</v>
      </c>
      <c r="B997" s="2" t="s">
        <v>15753</v>
      </c>
      <c r="C997" s="2" t="s">
        <v>8054</v>
      </c>
      <c r="D997" s="2" t="n">
        <v>485.232691962</v>
      </c>
      <c r="E997" s="2" t="n">
        <v>0.0391805648154382</v>
      </c>
      <c r="F997" s="2" t="s">
        <v>8056</v>
      </c>
      <c r="G997" s="2" t="n">
        <v>53062</v>
      </c>
      <c r="H997" s="3" t="str">
        <f>HYPERLINK("http://funmeta.oebiotech.com/network/53062", "http://funmeta.oebiotech.com/network/53062")</f>
      </c>
      <c r="I997" s="2" t="s">
        <v>8058</v>
      </c>
      <c r="J997" s="2" t="s">
        <v>8059</v>
      </c>
      <c r="K997" s="2"/>
      <c r="L997" s="2" t="s">
        <v>8060</v>
      </c>
      <c r="M997" s="2" t="s">
        <v>8061</v>
      </c>
      <c r="N997" s="2" t="s">
        <v>8062</v>
      </c>
      <c r="O997" s="2" t="s">
        <v>8063</v>
      </c>
      <c r="P997" s="2" t="s">
        <v>8064</v>
      </c>
      <c r="Q997" s="2" t="s">
        <v>8065</v>
      </c>
      <c r="R997" s="2" t="s">
        <v>36</v>
      </c>
      <c r="S997" s="2" t="s">
        <v>37</v>
      </c>
      <c r="T997" s="2" t="s">
        <v>69</v>
      </c>
      <c r="U997" s="2" t="s">
        <v>8055</v>
      </c>
      <c r="V997" s="2" t="s">
        <v>205</v>
      </c>
      <c r="W997" s="2" t="s">
        <v>101</v>
      </c>
    </row>
    <row r="998">
      <c r="A998" s="2" t="n">
        <v>745</v>
      </c>
      <c r="B998" s="2" t="s">
        <v>15754</v>
      </c>
      <c r="C998" s="2" t="s">
        <v>8066</v>
      </c>
      <c r="D998" s="2" t="n">
        <v>487.183433573</v>
      </c>
      <c r="E998" s="2" t="n">
        <v>1.13005277968097</v>
      </c>
      <c r="F998" s="2" t="s">
        <v>8068</v>
      </c>
      <c r="G998" s="2" t="n">
        <v>202395</v>
      </c>
      <c r="H998" s="3" t="str">
        <f>HYPERLINK("http://funmeta.oebiotech.com/network/202395", "http://funmeta.oebiotech.com/network/202395")</f>
      </c>
      <c r="I998" s="2" t="s">
        <v>8070</v>
      </c>
      <c r="J998" s="2"/>
      <c r="K998" s="2"/>
      <c r="L998" s="2"/>
      <c r="M998" s="2"/>
      <c r="N998" s="2" t="s">
        <v>8071</v>
      </c>
      <c r="O998" s="2"/>
      <c r="P998" s="2" t="s">
        <v>8072</v>
      </c>
      <c r="Q998" s="2" t="s">
        <v>8073</v>
      </c>
      <c r="R998" s="2" t="s">
        <v>36</v>
      </c>
      <c r="S998" s="2" t="s">
        <v>37</v>
      </c>
      <c r="T998" s="2" t="s">
        <v>69</v>
      </c>
      <c r="U998" s="2" t="s">
        <v>8067</v>
      </c>
      <c r="V998" s="2" t="s">
        <v>205</v>
      </c>
      <c r="W998" s="2"/>
    </row>
    <row r="999">
      <c r="A999" s="2" t="n">
        <v>746</v>
      </c>
      <c r="B999" s="2" t="s">
        <v>15755</v>
      </c>
      <c r="C999" s="2" t="s">
        <v>8074</v>
      </c>
      <c r="D999" s="2" t="n">
        <v>487.319576646</v>
      </c>
      <c r="E999" s="2" t="n">
        <v>2.74534027996534</v>
      </c>
      <c r="F999" s="2" t="s">
        <v>15756</v>
      </c>
      <c r="G999" s="2" t="n">
        <v>46340</v>
      </c>
      <c r="H999" s="3" t="str">
        <f>HYPERLINK("http://funmeta.oebiotech.com/network/46340", "http://funmeta.oebiotech.com/network/46340")</f>
      </c>
      <c r="I999" s="2" t="s">
        <v>15757</v>
      </c>
      <c r="J999" s="2" t="s">
        <v>15758</v>
      </c>
      <c r="K999" s="2" t="s">
        <v>15759</v>
      </c>
      <c r="L999" s="2"/>
      <c r="M999" s="2"/>
      <c r="N999" s="2" t="s">
        <v>15760</v>
      </c>
      <c r="O999" s="2" t="s">
        <v>15761</v>
      </c>
      <c r="P999" s="2" t="s">
        <v>15762</v>
      </c>
      <c r="Q999" s="2" t="s">
        <v>15763</v>
      </c>
      <c r="R999" s="2" t="s">
        <v>794</v>
      </c>
      <c r="S999" s="2" t="s">
        <v>2971</v>
      </c>
      <c r="T999" s="2" t="s">
        <v>6499</v>
      </c>
      <c r="U999" s="2" t="s">
        <v>8075</v>
      </c>
      <c r="V999" s="2" t="s">
        <v>86</v>
      </c>
      <c r="W999" s="2" t="s">
        <v>56</v>
      </c>
    </row>
    <row r="1000">
      <c r="A1000" s="2" t="n">
        <v>746</v>
      </c>
      <c r="B1000" s="2" t="s">
        <v>15764</v>
      </c>
      <c r="C1000" s="2" t="s">
        <v>8074</v>
      </c>
      <c r="D1000" s="2" t="n">
        <v>487.319576646</v>
      </c>
      <c r="E1000" s="2" t="n">
        <v>2.74534027996534</v>
      </c>
      <c r="F1000" s="2" t="s">
        <v>15765</v>
      </c>
      <c r="G1000" s="2" t="n">
        <v>46362</v>
      </c>
      <c r="H1000" s="3" t="str">
        <f>HYPERLINK("http://funmeta.oebiotech.com/network/46362", "http://funmeta.oebiotech.com/network/46362")</f>
      </c>
      <c r="I1000" s="2" t="s">
        <v>15766</v>
      </c>
      <c r="J1000" s="2" t="s">
        <v>15767</v>
      </c>
      <c r="K1000" s="2" t="s">
        <v>15768</v>
      </c>
      <c r="L1000" s="2"/>
      <c r="M1000" s="2"/>
      <c r="N1000" s="2" t="s">
        <v>15769</v>
      </c>
      <c r="O1000" s="2"/>
      <c r="P1000" s="2" t="s">
        <v>15770</v>
      </c>
      <c r="Q1000" s="2" t="s">
        <v>15771</v>
      </c>
      <c r="R1000" s="2" t="s">
        <v>794</v>
      </c>
      <c r="S1000" s="2" t="s">
        <v>2971</v>
      </c>
      <c r="T1000" s="2" t="s">
        <v>6499</v>
      </c>
      <c r="U1000" s="2" t="s">
        <v>8075</v>
      </c>
      <c r="V1000" s="2" t="s">
        <v>86</v>
      </c>
      <c r="W1000" s="2" t="s">
        <v>56</v>
      </c>
    </row>
    <row r="1001">
      <c r="A1001" s="2" t="n">
        <v>746</v>
      </c>
      <c r="B1001" s="2" t="s">
        <v>15772</v>
      </c>
      <c r="C1001" s="2" t="s">
        <v>8074</v>
      </c>
      <c r="D1001" s="2" t="n">
        <v>487.319576646</v>
      </c>
      <c r="E1001" s="2" t="n">
        <v>2.74534027996534</v>
      </c>
      <c r="F1001" s="2" t="s">
        <v>15773</v>
      </c>
      <c r="G1001" s="2" t="n">
        <v>47055</v>
      </c>
      <c r="H1001" s="3" t="str">
        <f>HYPERLINK("http://funmeta.oebiotech.com/network/47055", "http://funmeta.oebiotech.com/network/47055")</f>
      </c>
      <c r="I1001" s="2" t="s">
        <v>15774</v>
      </c>
      <c r="J1001" s="2" t="s">
        <v>15775</v>
      </c>
      <c r="K1001" s="2"/>
      <c r="L1001" s="2"/>
      <c r="M1001" s="2"/>
      <c r="N1001" s="2" t="s">
        <v>15776</v>
      </c>
      <c r="O1001" s="2" t="s">
        <v>15777</v>
      </c>
      <c r="P1001" s="2" t="s">
        <v>15778</v>
      </c>
      <c r="Q1001" s="2" t="s">
        <v>15779</v>
      </c>
      <c r="R1001" s="2" t="s">
        <v>794</v>
      </c>
      <c r="S1001" s="2" t="s">
        <v>2971</v>
      </c>
      <c r="T1001" s="2" t="s">
        <v>6499</v>
      </c>
      <c r="U1001" s="2" t="s">
        <v>8075</v>
      </c>
      <c r="V1001" s="2" t="s">
        <v>86</v>
      </c>
      <c r="W1001" s="2" t="s">
        <v>56</v>
      </c>
    </row>
    <row r="1002">
      <c r="A1002" s="2" t="n">
        <v>747</v>
      </c>
      <c r="B1002" s="2" t="s">
        <v>15780</v>
      </c>
      <c r="C1002" s="2" t="s">
        <v>8086</v>
      </c>
      <c r="D1002" s="2" t="n">
        <v>488.170620989</v>
      </c>
      <c r="E1002" s="2" t="n">
        <v>5.10549311969368</v>
      </c>
      <c r="F1002" s="2" t="s">
        <v>8088</v>
      </c>
      <c r="G1002" s="2" t="n">
        <v>200044</v>
      </c>
      <c r="H1002" s="3" t="str">
        <f>HYPERLINK("http://funmeta.oebiotech.com/network/200044", "http://funmeta.oebiotech.com/network/200044")</f>
      </c>
      <c r="I1002" s="2" t="s">
        <v>8090</v>
      </c>
      <c r="J1002" s="2"/>
      <c r="K1002" s="2"/>
      <c r="L1002" s="2"/>
      <c r="M1002" s="2"/>
      <c r="N1002" s="2" t="s">
        <v>8091</v>
      </c>
      <c r="O1002" s="2"/>
      <c r="P1002" s="2" t="s">
        <v>8092</v>
      </c>
      <c r="Q1002" s="2" t="s">
        <v>8093</v>
      </c>
      <c r="R1002" s="2" t="s">
        <v>36</v>
      </c>
      <c r="S1002" s="2" t="s">
        <v>37</v>
      </c>
      <c r="T1002" s="2" t="s">
        <v>69</v>
      </c>
      <c r="U1002" s="2" t="s">
        <v>8087</v>
      </c>
      <c r="V1002" s="2" t="s">
        <v>86</v>
      </c>
      <c r="W1002" s="2"/>
    </row>
    <row r="1003">
      <c r="A1003" s="2" t="n">
        <v>748</v>
      </c>
      <c r="B1003" s="2" t="s">
        <v>15781</v>
      </c>
      <c r="C1003" s="2" t="s">
        <v>8094</v>
      </c>
      <c r="D1003" s="2" t="n">
        <v>489.350482844</v>
      </c>
      <c r="E1003" s="2" t="n">
        <v>5.18883255415701</v>
      </c>
      <c r="F1003" s="2" t="s">
        <v>8096</v>
      </c>
      <c r="G1003" s="2" t="n">
        <v>58553</v>
      </c>
      <c r="H1003" s="3" t="str">
        <f>HYPERLINK("http://funmeta.oebiotech.com/network/58553", "http://funmeta.oebiotech.com/network/58553")</f>
      </c>
      <c r="I1003" s="2" t="s">
        <v>8098</v>
      </c>
      <c r="J1003" s="2" t="s">
        <v>8099</v>
      </c>
      <c r="K1003" s="2"/>
      <c r="L1003" s="2"/>
      <c r="M1003" s="2"/>
      <c r="N1003" s="2" t="s">
        <v>8100</v>
      </c>
      <c r="O1003" s="2" t="s">
        <v>8101</v>
      </c>
      <c r="P1003" s="2" t="s">
        <v>8102</v>
      </c>
      <c r="Q1003" s="2" t="s">
        <v>8103</v>
      </c>
      <c r="R1003" s="2" t="s">
        <v>794</v>
      </c>
      <c r="S1003" s="2" t="s">
        <v>2971</v>
      </c>
      <c r="T1003" s="2" t="s">
        <v>8104</v>
      </c>
      <c r="U1003" s="2" t="s">
        <v>8095</v>
      </c>
      <c r="V1003" s="2" t="s">
        <v>86</v>
      </c>
      <c r="W1003" s="2" t="s">
        <v>56</v>
      </c>
    </row>
    <row r="1004">
      <c r="A1004" s="2" t="n">
        <v>749</v>
      </c>
      <c r="B1004" s="2" t="s">
        <v>15782</v>
      </c>
      <c r="C1004" s="2" t="s">
        <v>8105</v>
      </c>
      <c r="D1004" s="2" t="n">
        <v>490.112101073</v>
      </c>
      <c r="E1004" s="2" t="n">
        <v>3.78593975115902</v>
      </c>
      <c r="F1004" s="2" t="s">
        <v>8107</v>
      </c>
      <c r="G1004" s="2" t="n">
        <v>56410</v>
      </c>
      <c r="H1004" s="3" t="str">
        <f>HYPERLINK("http://funmeta.oebiotech.com/network/56410", "http://funmeta.oebiotech.com/network/56410")</f>
      </c>
      <c r="I1004" s="2" t="s">
        <v>8109</v>
      </c>
      <c r="J1004" s="2"/>
      <c r="K1004" s="2"/>
      <c r="L1004" s="2"/>
      <c r="M1004" s="2"/>
      <c r="N1004" s="2" t="s">
        <v>8110</v>
      </c>
      <c r="O1004" s="2" t="s">
        <v>8111</v>
      </c>
      <c r="P1004" s="2" t="s">
        <v>8112</v>
      </c>
      <c r="Q1004" s="2" t="s">
        <v>8113</v>
      </c>
      <c r="R1004" s="2" t="s">
        <v>129</v>
      </c>
      <c r="S1004" s="2" t="s">
        <v>130</v>
      </c>
      <c r="T1004" s="2" t="s">
        <v>1681</v>
      </c>
      <c r="U1004" s="2" t="s">
        <v>8106</v>
      </c>
      <c r="V1004" s="2" t="s">
        <v>218</v>
      </c>
      <c r="W1004" s="2"/>
    </row>
    <row r="1005">
      <c r="A1005" s="2" t="n">
        <v>750</v>
      </c>
      <c r="B1005" s="2" t="s">
        <v>15783</v>
      </c>
      <c r="C1005" s="2" t="s">
        <v>8114</v>
      </c>
      <c r="D1005" s="2" t="n">
        <v>491.032859</v>
      </c>
      <c r="E1005" s="2" t="n">
        <v>2.6798428788282</v>
      </c>
      <c r="F1005" s="2" t="s">
        <v>8116</v>
      </c>
      <c r="G1005" s="2" t="n">
        <v>207675</v>
      </c>
      <c r="H1005" s="3" t="str">
        <f>HYPERLINK("http://funmeta.oebiotech.com/network/207675", "http://funmeta.oebiotech.com/network/207675")</f>
      </c>
      <c r="I1005" s="2" t="s">
        <v>8118</v>
      </c>
      <c r="J1005" s="2"/>
      <c r="K1005" s="2"/>
      <c r="L1005" s="2"/>
      <c r="M1005" s="2" t="s">
        <v>8119</v>
      </c>
      <c r="N1005" s="2" t="s">
        <v>8120</v>
      </c>
      <c r="O1005" s="2"/>
      <c r="P1005" s="2" t="s">
        <v>8121</v>
      </c>
      <c r="Q1005" s="2" t="s">
        <v>8122</v>
      </c>
      <c r="R1005" s="2" t="s">
        <v>2416</v>
      </c>
      <c r="S1005" s="2" t="s">
        <v>6560</v>
      </c>
      <c r="T1005" s="2" t="s">
        <v>215</v>
      </c>
      <c r="U1005" s="2" t="s">
        <v>8115</v>
      </c>
      <c r="V1005" s="2" t="s">
        <v>161</v>
      </c>
      <c r="W1005" s="2"/>
    </row>
    <row r="1006">
      <c r="A1006" s="2" t="n">
        <v>751</v>
      </c>
      <c r="B1006" s="2" t="s">
        <v>15784</v>
      </c>
      <c r="C1006" s="2" t="s">
        <v>8123</v>
      </c>
      <c r="D1006" s="2" t="n">
        <v>491.293300338</v>
      </c>
      <c r="E1006" s="2" t="n">
        <v>1.32695106987271</v>
      </c>
      <c r="F1006" s="2" t="s">
        <v>15785</v>
      </c>
      <c r="G1006" s="2" t="n">
        <v>58889</v>
      </c>
      <c r="H1006" s="3" t="str">
        <f>HYPERLINK("http://funmeta.oebiotech.com/network/58889", "http://funmeta.oebiotech.com/network/58889")</f>
      </c>
      <c r="I1006" s="2" t="s">
        <v>15786</v>
      </c>
      <c r="J1006" s="2" t="s">
        <v>15787</v>
      </c>
      <c r="K1006" s="2"/>
      <c r="L1006" s="2" t="s">
        <v>15788</v>
      </c>
      <c r="M1006" s="2"/>
      <c r="N1006" s="2" t="s">
        <v>15789</v>
      </c>
      <c r="O1006" s="2" t="s">
        <v>15790</v>
      </c>
      <c r="P1006" s="2" t="s">
        <v>15791</v>
      </c>
      <c r="Q1006" s="2" t="s">
        <v>15792</v>
      </c>
      <c r="R1006" s="2" t="s">
        <v>794</v>
      </c>
      <c r="S1006" s="2" t="s">
        <v>1098</v>
      </c>
      <c r="T1006" s="2" t="s">
        <v>7646</v>
      </c>
      <c r="U1006" s="2" t="s">
        <v>8124</v>
      </c>
      <c r="V1006" s="2" t="s">
        <v>218</v>
      </c>
      <c r="W1006" s="2" t="s">
        <v>101</v>
      </c>
    </row>
    <row r="1007">
      <c r="A1007" s="2" t="n">
        <v>751</v>
      </c>
      <c r="B1007" s="2" t="s">
        <v>15793</v>
      </c>
      <c r="C1007" s="2" t="s">
        <v>8123</v>
      </c>
      <c r="D1007" s="2" t="n">
        <v>491.293300338</v>
      </c>
      <c r="E1007" s="2" t="n">
        <v>1.32695106987271</v>
      </c>
      <c r="F1007" s="2" t="s">
        <v>15794</v>
      </c>
      <c r="G1007" s="2" t="n">
        <v>62070</v>
      </c>
      <c r="H1007" s="3" t="str">
        <f>HYPERLINK("http://funmeta.oebiotech.com/network/62070", "http://funmeta.oebiotech.com/network/62070")</f>
      </c>
      <c r="I1007" s="2" t="s">
        <v>15795</v>
      </c>
      <c r="J1007" s="2"/>
      <c r="K1007" s="2"/>
      <c r="L1007" s="2" t="s">
        <v>15796</v>
      </c>
      <c r="M1007" s="2" t="s">
        <v>15797</v>
      </c>
      <c r="N1007" s="2" t="s">
        <v>15798</v>
      </c>
      <c r="O1007" s="2" t="s">
        <v>15799</v>
      </c>
      <c r="P1007" s="2" t="s">
        <v>15800</v>
      </c>
      <c r="Q1007" s="2" t="s">
        <v>15801</v>
      </c>
      <c r="R1007" s="2" t="s">
        <v>794</v>
      </c>
      <c r="S1007" s="2" t="s">
        <v>1098</v>
      </c>
      <c r="T1007" s="2" t="s">
        <v>7646</v>
      </c>
      <c r="U1007" s="2" t="s">
        <v>8124</v>
      </c>
      <c r="V1007" s="2" t="s">
        <v>218</v>
      </c>
      <c r="W1007" s="2" t="s">
        <v>101</v>
      </c>
    </row>
    <row r="1008">
      <c r="A1008" s="2" t="n">
        <v>752</v>
      </c>
      <c r="B1008" s="2" t="s">
        <v>15802</v>
      </c>
      <c r="C1008" s="2" t="s">
        <v>8135</v>
      </c>
      <c r="D1008" s="2" t="n">
        <v>492.296676729</v>
      </c>
      <c r="E1008" s="2" t="n">
        <v>0.71033035469179</v>
      </c>
      <c r="F1008" s="2" t="s">
        <v>8137</v>
      </c>
      <c r="G1008" s="2" t="n">
        <v>198397</v>
      </c>
      <c r="H1008" s="3" t="str">
        <f>HYPERLINK("http://funmeta.oebiotech.com/network/198397", "http://funmeta.oebiotech.com/network/198397")</f>
      </c>
      <c r="I1008" s="2" t="s">
        <v>8139</v>
      </c>
      <c r="J1008" s="2"/>
      <c r="K1008" s="2"/>
      <c r="L1008" s="2"/>
      <c r="M1008" s="2"/>
      <c r="N1008" s="2"/>
      <c r="O1008" s="2"/>
      <c r="P1008" s="2" t="s">
        <v>8140</v>
      </c>
      <c r="Q1008" s="2" t="s">
        <v>8141</v>
      </c>
      <c r="R1008" s="2" t="s">
        <v>794</v>
      </c>
      <c r="S1008" s="2" t="s">
        <v>795</v>
      </c>
      <c r="T1008" s="2" t="s">
        <v>3692</v>
      </c>
      <c r="U1008" s="2" t="s">
        <v>8136</v>
      </c>
      <c r="V1008" s="2" t="s">
        <v>24</v>
      </c>
      <c r="W1008" s="2"/>
    </row>
    <row r="1009">
      <c r="A1009" s="2" t="n">
        <v>753</v>
      </c>
      <c r="B1009" s="2" t="s">
        <v>15803</v>
      </c>
      <c r="C1009" s="2" t="s">
        <v>8142</v>
      </c>
      <c r="D1009" s="2" t="n">
        <v>493.026589</v>
      </c>
      <c r="E1009" s="2" t="n">
        <v>4.65108658726777</v>
      </c>
      <c r="F1009" s="2" t="s">
        <v>8144</v>
      </c>
      <c r="G1009" s="2" t="n">
        <v>204793</v>
      </c>
      <c r="H1009" s="3" t="str">
        <f>HYPERLINK("http://funmeta.oebiotech.com/network/204793", "http://funmeta.oebiotech.com/network/204793")</f>
      </c>
      <c r="I1009" s="2" t="s">
        <v>8146</v>
      </c>
      <c r="J1009" s="2"/>
      <c r="K1009" s="2"/>
      <c r="L1009" s="2"/>
      <c r="M1009" s="2"/>
      <c r="N1009" s="2" t="s">
        <v>8147</v>
      </c>
      <c r="O1009" s="2"/>
      <c r="P1009" s="2" t="s">
        <v>8148</v>
      </c>
      <c r="Q1009" s="2" t="s">
        <v>8149</v>
      </c>
      <c r="R1009" s="2" t="s">
        <v>114</v>
      </c>
      <c r="S1009" s="2" t="s">
        <v>369</v>
      </c>
      <c r="T1009" s="2" t="s">
        <v>370</v>
      </c>
      <c r="U1009" s="2" t="s">
        <v>8143</v>
      </c>
      <c r="V1009" s="2" t="s">
        <v>205</v>
      </c>
      <c r="W1009" s="2"/>
    </row>
    <row r="1010">
      <c r="A1010" s="2" t="n">
        <v>754</v>
      </c>
      <c r="B1010" s="2" t="s">
        <v>15804</v>
      </c>
      <c r="C1010" s="2" t="s">
        <v>8150</v>
      </c>
      <c r="D1010" s="2" t="n">
        <v>493.308950406</v>
      </c>
      <c r="E1010" s="2" t="n">
        <v>0.0612847595271589</v>
      </c>
      <c r="F1010" s="2" t="s">
        <v>15805</v>
      </c>
      <c r="G1010" s="2" t="n">
        <v>36269</v>
      </c>
      <c r="H1010" s="3" t="str">
        <f>HYPERLINK("http://funmeta.oebiotech.com/network/36269", "http://funmeta.oebiotech.com/network/36269")</f>
      </c>
      <c r="I1010" s="2" t="s">
        <v>15806</v>
      </c>
      <c r="J1010" s="2" t="s">
        <v>15807</v>
      </c>
      <c r="K1010" s="2" t="s">
        <v>15808</v>
      </c>
      <c r="L1010" s="2" t="s">
        <v>15809</v>
      </c>
      <c r="M1010" s="2" t="s">
        <v>15810</v>
      </c>
      <c r="N1010" s="2" t="s">
        <v>15811</v>
      </c>
      <c r="O1010" s="2" t="s">
        <v>15812</v>
      </c>
      <c r="P1010" s="2" t="s">
        <v>15813</v>
      </c>
      <c r="Q1010" s="2" t="s">
        <v>15814</v>
      </c>
      <c r="R1010" s="2" t="s">
        <v>794</v>
      </c>
      <c r="S1010" s="2" t="s">
        <v>1098</v>
      </c>
      <c r="T1010" s="2" t="s">
        <v>7646</v>
      </c>
      <c r="U1010" s="2" t="s">
        <v>8151</v>
      </c>
      <c r="V1010" s="2" t="s">
        <v>218</v>
      </c>
      <c r="W1010" s="2" t="s">
        <v>101</v>
      </c>
    </row>
    <row r="1011">
      <c r="A1011" s="2" t="n">
        <v>754</v>
      </c>
      <c r="B1011" s="2" t="s">
        <v>15815</v>
      </c>
      <c r="C1011" s="2" t="s">
        <v>8150</v>
      </c>
      <c r="D1011" s="2" t="n">
        <v>493.308950406</v>
      </c>
      <c r="E1011" s="2" t="n">
        <v>0.0612847595271589</v>
      </c>
      <c r="F1011" s="2" t="s">
        <v>15816</v>
      </c>
      <c r="G1011" s="2" t="n">
        <v>36280</v>
      </c>
      <c r="H1011" s="3" t="str">
        <f>HYPERLINK("http://funmeta.oebiotech.com/network/36280", "http://funmeta.oebiotech.com/network/36280")</f>
      </c>
      <c r="I1011" s="2" t="s">
        <v>15817</v>
      </c>
      <c r="J1011" s="2" t="s">
        <v>15818</v>
      </c>
      <c r="K1011" s="2" t="s">
        <v>15819</v>
      </c>
      <c r="L1011" s="2" t="s">
        <v>15820</v>
      </c>
      <c r="M1011" s="2" t="s">
        <v>15821</v>
      </c>
      <c r="N1011" s="2" t="s">
        <v>15822</v>
      </c>
      <c r="O1011" s="2" t="s">
        <v>15823</v>
      </c>
      <c r="P1011" s="2" t="s">
        <v>15824</v>
      </c>
      <c r="Q1011" s="2" t="s">
        <v>15825</v>
      </c>
      <c r="R1011" s="2" t="s">
        <v>794</v>
      </c>
      <c r="S1011" s="2" t="s">
        <v>1098</v>
      </c>
      <c r="T1011" s="2" t="s">
        <v>7646</v>
      </c>
      <c r="U1011" s="2" t="s">
        <v>8151</v>
      </c>
      <c r="V1011" s="2" t="s">
        <v>218</v>
      </c>
      <c r="W1011" s="2" t="s">
        <v>101</v>
      </c>
    </row>
    <row r="1012">
      <c r="A1012" s="2" t="n">
        <v>754</v>
      </c>
      <c r="B1012" s="2" t="s">
        <v>15826</v>
      </c>
      <c r="C1012" s="2" t="s">
        <v>8150</v>
      </c>
      <c r="D1012" s="2" t="n">
        <v>493.308950406</v>
      </c>
      <c r="E1012" s="2" t="n">
        <v>0.0612847595271589</v>
      </c>
      <c r="F1012" s="2" t="s">
        <v>15827</v>
      </c>
      <c r="G1012" s="2" t="n">
        <v>36344</v>
      </c>
      <c r="H1012" s="3" t="str">
        <f>HYPERLINK("http://funmeta.oebiotech.com/network/36344", "http://funmeta.oebiotech.com/network/36344")</f>
      </c>
      <c r="I1012" s="2" t="s">
        <v>15828</v>
      </c>
      <c r="J1012" s="2" t="s">
        <v>15829</v>
      </c>
      <c r="K1012" s="2" t="s">
        <v>15830</v>
      </c>
      <c r="L1012" s="2" t="s">
        <v>15831</v>
      </c>
      <c r="M1012" s="2" t="s">
        <v>15832</v>
      </c>
      <c r="N1012" s="2" t="s">
        <v>15833</v>
      </c>
      <c r="O1012" s="2" t="s">
        <v>15834</v>
      </c>
      <c r="P1012" s="2" t="s">
        <v>15835</v>
      </c>
      <c r="Q1012" s="2" t="s">
        <v>15836</v>
      </c>
      <c r="R1012" s="2" t="s">
        <v>794</v>
      </c>
      <c r="S1012" s="2" t="s">
        <v>1098</v>
      </c>
      <c r="T1012" s="2" t="s">
        <v>7646</v>
      </c>
      <c r="U1012" s="2" t="s">
        <v>8151</v>
      </c>
      <c r="V1012" s="2" t="s">
        <v>218</v>
      </c>
      <c r="W1012" s="2" t="s">
        <v>101</v>
      </c>
    </row>
    <row r="1013">
      <c r="A1013" s="2" t="n">
        <v>755</v>
      </c>
      <c r="B1013" s="2" t="s">
        <v>15837</v>
      </c>
      <c r="C1013" s="2" t="s">
        <v>8163</v>
      </c>
      <c r="D1013" s="2" t="n">
        <v>495.05374132</v>
      </c>
      <c r="E1013" s="2" t="n">
        <v>1.11577656215386</v>
      </c>
      <c r="F1013" s="2" t="s">
        <v>8165</v>
      </c>
      <c r="G1013" s="2" t="n">
        <v>57010</v>
      </c>
      <c r="H1013" s="3" t="str">
        <f>HYPERLINK("http://funmeta.oebiotech.com/network/57010", "http://funmeta.oebiotech.com/network/57010")</f>
      </c>
      <c r="I1013" s="2" t="s">
        <v>8167</v>
      </c>
      <c r="J1013" s="2"/>
      <c r="K1013" s="2"/>
      <c r="L1013" s="2"/>
      <c r="M1013" s="2"/>
      <c r="N1013" s="2"/>
      <c r="O1013" s="2" t="s">
        <v>8168</v>
      </c>
      <c r="P1013" s="2" t="s">
        <v>8169</v>
      </c>
      <c r="Q1013" s="2" t="s">
        <v>8170</v>
      </c>
      <c r="R1013" s="2" t="s">
        <v>186</v>
      </c>
      <c r="S1013" s="2" t="s">
        <v>4086</v>
      </c>
      <c r="T1013" s="2" t="s">
        <v>4087</v>
      </c>
      <c r="U1013" s="2" t="s">
        <v>8164</v>
      </c>
      <c r="V1013" s="2" t="s">
        <v>205</v>
      </c>
      <c r="W1013" s="2"/>
    </row>
    <row r="1014">
      <c r="A1014" s="2" t="n">
        <v>756</v>
      </c>
      <c r="B1014" s="2" t="s">
        <v>15838</v>
      </c>
      <c r="C1014" s="2" t="s">
        <v>8171</v>
      </c>
      <c r="D1014" s="2" t="n">
        <v>495.309405886</v>
      </c>
      <c r="E1014" s="2" t="n">
        <v>6.94076840179107</v>
      </c>
      <c r="F1014" s="2" t="s">
        <v>8173</v>
      </c>
      <c r="G1014" s="2" t="n">
        <v>256186</v>
      </c>
      <c r="H1014" s="3" t="str">
        <f>HYPERLINK("http://funmeta.oebiotech.com/network/256186", "http://funmeta.oebiotech.com/network/256186")</f>
      </c>
      <c r="I1014" s="2" t="s">
        <v>8175</v>
      </c>
      <c r="J1014" s="2"/>
      <c r="K1014" s="2"/>
      <c r="L1014" s="2"/>
      <c r="M1014" s="2"/>
      <c r="N1014" s="2" t="s">
        <v>8176</v>
      </c>
      <c r="O1014" s="2"/>
      <c r="P1014" s="2" t="s">
        <v>8177</v>
      </c>
      <c r="Q1014" s="2" t="s">
        <v>8178</v>
      </c>
      <c r="R1014" s="2" t="s">
        <v>794</v>
      </c>
      <c r="S1014" s="2" t="s">
        <v>795</v>
      </c>
      <c r="T1014" s="2" t="s">
        <v>3273</v>
      </c>
      <c r="U1014" s="2" t="s">
        <v>8172</v>
      </c>
      <c r="V1014" s="2" t="s">
        <v>86</v>
      </c>
      <c r="W1014" s="2"/>
    </row>
    <row r="1015">
      <c r="A1015" s="2" t="n">
        <v>757</v>
      </c>
      <c r="B1015" s="2" t="s">
        <v>15839</v>
      </c>
      <c r="C1015" s="2" t="s">
        <v>8179</v>
      </c>
      <c r="D1015" s="2" t="n">
        <v>496.273282489</v>
      </c>
      <c r="E1015" s="2" t="n">
        <v>0.0811599877241973</v>
      </c>
      <c r="F1015" s="2" t="s">
        <v>8181</v>
      </c>
      <c r="G1015" s="2" t="n">
        <v>46743</v>
      </c>
      <c r="H1015" s="3" t="str">
        <f>HYPERLINK("http://funmeta.oebiotech.com/network/46743", "http://funmeta.oebiotech.com/network/46743")</f>
      </c>
      <c r="I1015" s="2" t="s">
        <v>8183</v>
      </c>
      <c r="J1015" s="2" t="s">
        <v>8184</v>
      </c>
      <c r="K1015" s="2" t="s">
        <v>8185</v>
      </c>
      <c r="L1015" s="2" t="s">
        <v>8186</v>
      </c>
      <c r="M1015" s="2" t="s">
        <v>8187</v>
      </c>
      <c r="N1015" s="2" t="s">
        <v>8188</v>
      </c>
      <c r="O1015" s="2" t="s">
        <v>8189</v>
      </c>
      <c r="P1015" s="2" t="s">
        <v>8190</v>
      </c>
      <c r="Q1015" s="2" t="s">
        <v>8191</v>
      </c>
      <c r="R1015" s="2" t="s">
        <v>794</v>
      </c>
      <c r="S1015" s="2" t="s">
        <v>2971</v>
      </c>
      <c r="T1015" s="2" t="s">
        <v>6499</v>
      </c>
      <c r="U1015" s="2" t="s">
        <v>8180</v>
      </c>
      <c r="V1015" s="2" t="s">
        <v>161</v>
      </c>
      <c r="W1015" s="2" t="s">
        <v>39</v>
      </c>
    </row>
    <row r="1016">
      <c r="A1016" s="2" t="n">
        <v>758</v>
      </c>
      <c r="B1016" s="2" t="s">
        <v>15840</v>
      </c>
      <c r="C1016" s="2" t="s">
        <v>8192</v>
      </c>
      <c r="D1016" s="2" t="n">
        <v>497.173640692</v>
      </c>
      <c r="E1016" s="2" t="n">
        <v>2.61541726508576</v>
      </c>
      <c r="F1016" s="2" t="s">
        <v>8194</v>
      </c>
      <c r="G1016" s="2" t="n">
        <v>63139</v>
      </c>
      <c r="H1016" s="3" t="str">
        <f>HYPERLINK("http://funmeta.oebiotech.com/network/63139", "http://funmeta.oebiotech.com/network/63139")</f>
      </c>
      <c r="I1016" s="2" t="s">
        <v>8196</v>
      </c>
      <c r="J1016" s="2" t="s">
        <v>8197</v>
      </c>
      <c r="K1016" s="2"/>
      <c r="L1016" s="2"/>
      <c r="M1016" s="2"/>
      <c r="N1016" s="2" t="s">
        <v>8198</v>
      </c>
      <c r="O1016" s="2"/>
      <c r="P1016" s="2" t="s">
        <v>8199</v>
      </c>
      <c r="Q1016" s="2" t="s">
        <v>8200</v>
      </c>
      <c r="R1016" s="2" t="s">
        <v>114</v>
      </c>
      <c r="S1016" s="2" t="s">
        <v>6312</v>
      </c>
      <c r="T1016" s="2" t="s">
        <v>6313</v>
      </c>
      <c r="U1016" s="2" t="s">
        <v>8193</v>
      </c>
      <c r="V1016" s="2" t="s">
        <v>86</v>
      </c>
      <c r="W1016" s="2" t="s">
        <v>56</v>
      </c>
    </row>
    <row r="1017">
      <c r="A1017" s="2" t="n">
        <v>759</v>
      </c>
      <c r="B1017" s="2" t="s">
        <v>15841</v>
      </c>
      <c r="C1017" s="2" t="s">
        <v>8201</v>
      </c>
      <c r="D1017" s="2" t="n">
        <v>497.272921588</v>
      </c>
      <c r="E1017" s="2" t="n">
        <v>6.48359403172778</v>
      </c>
      <c r="F1017" s="2" t="s">
        <v>8203</v>
      </c>
      <c r="G1017" s="2" t="n">
        <v>207427</v>
      </c>
      <c r="H1017" s="3" t="str">
        <f>HYPERLINK("http://funmeta.oebiotech.com/network/207427", "http://funmeta.oebiotech.com/network/207427")</f>
      </c>
      <c r="I1017" s="2" t="s">
        <v>8205</v>
      </c>
      <c r="J1017" s="2"/>
      <c r="K1017" s="2"/>
      <c r="L1017" s="2"/>
      <c r="M1017" s="2"/>
      <c r="N1017" s="2" t="s">
        <v>8206</v>
      </c>
      <c r="O1017" s="2"/>
      <c r="P1017" s="2" t="s">
        <v>8207</v>
      </c>
      <c r="Q1017" s="2" t="s">
        <v>8208</v>
      </c>
      <c r="R1017" s="2" t="s">
        <v>36</v>
      </c>
      <c r="S1017" s="2" t="s">
        <v>37</v>
      </c>
      <c r="T1017" s="2" t="s">
        <v>69</v>
      </c>
      <c r="U1017" s="2" t="s">
        <v>8202</v>
      </c>
      <c r="V1017" s="2" t="s">
        <v>24</v>
      </c>
      <c r="W1017" s="2"/>
    </row>
    <row r="1018">
      <c r="A1018" s="2" t="n">
        <v>760</v>
      </c>
      <c r="B1018" s="2" t="s">
        <v>15842</v>
      </c>
      <c r="C1018" s="2" t="s">
        <v>8209</v>
      </c>
      <c r="D1018" s="2" t="n">
        <v>498.054289713</v>
      </c>
      <c r="E1018" s="2" t="n">
        <v>0.0631125946905128</v>
      </c>
      <c r="F1018" s="2" t="s">
        <v>8211</v>
      </c>
      <c r="G1018" s="2" t="n">
        <v>210671</v>
      </c>
      <c r="H1018" s="3" t="str">
        <f>HYPERLINK("http://funmeta.oebiotech.com/network/210671", "http://funmeta.oebiotech.com/network/210671")</f>
      </c>
      <c r="I1018" s="2" t="s">
        <v>8213</v>
      </c>
      <c r="J1018" s="2" t="s">
        <v>8214</v>
      </c>
      <c r="K1018" s="2"/>
      <c r="L1018" s="2"/>
      <c r="M1018" s="2"/>
      <c r="N1018" s="2" t="s">
        <v>8215</v>
      </c>
      <c r="O1018" s="2"/>
      <c r="P1018" s="2" t="s">
        <v>8216</v>
      </c>
      <c r="Q1018" s="2" t="s">
        <v>8217</v>
      </c>
      <c r="R1018" s="2" t="s">
        <v>114</v>
      </c>
      <c r="S1018" s="2" t="s">
        <v>2057</v>
      </c>
      <c r="T1018" s="2" t="s">
        <v>3625</v>
      </c>
      <c r="U1018" s="2" t="s">
        <v>8210</v>
      </c>
      <c r="V1018" s="2" t="s">
        <v>218</v>
      </c>
      <c r="W1018" s="2"/>
    </row>
    <row r="1019">
      <c r="A1019" s="2" t="n">
        <v>761</v>
      </c>
      <c r="B1019" s="2" t="s">
        <v>15843</v>
      </c>
      <c r="C1019" s="2" t="s">
        <v>8218</v>
      </c>
      <c r="D1019" s="2" t="n">
        <v>498.290915755</v>
      </c>
      <c r="E1019" s="2" t="n">
        <v>0.633235148749549</v>
      </c>
      <c r="F1019" s="2" t="s">
        <v>8220</v>
      </c>
      <c r="G1019" s="2" t="n">
        <v>53081</v>
      </c>
      <c r="H1019" s="3" t="str">
        <f>HYPERLINK("http://funmeta.oebiotech.com/network/53081", "http://funmeta.oebiotech.com/network/53081")</f>
      </c>
      <c r="I1019" s="2" t="s">
        <v>8222</v>
      </c>
      <c r="J1019" s="2" t="s">
        <v>8223</v>
      </c>
      <c r="K1019" s="2"/>
      <c r="L1019" s="2" t="s">
        <v>8224</v>
      </c>
      <c r="M1019" s="2"/>
      <c r="N1019" s="2" t="s">
        <v>8225</v>
      </c>
      <c r="O1019" s="2" t="s">
        <v>8226</v>
      </c>
      <c r="P1019" s="2" t="s">
        <v>8227</v>
      </c>
      <c r="Q1019" s="2" t="s">
        <v>8228</v>
      </c>
      <c r="R1019" s="2" t="s">
        <v>129</v>
      </c>
      <c r="S1019" s="2" t="s">
        <v>130</v>
      </c>
      <c r="T1019" s="2" t="s">
        <v>1681</v>
      </c>
      <c r="U1019" s="2" t="s">
        <v>8219</v>
      </c>
      <c r="V1019" s="2" t="s">
        <v>531</v>
      </c>
      <c r="W1019" s="2" t="s">
        <v>56</v>
      </c>
    </row>
    <row r="1020">
      <c r="A1020" s="2" t="n">
        <v>762</v>
      </c>
      <c r="B1020" s="2" t="s">
        <v>15844</v>
      </c>
      <c r="C1020" s="2" t="s">
        <v>8229</v>
      </c>
      <c r="D1020" s="2" t="n">
        <v>499.299805052</v>
      </c>
      <c r="E1020" s="2" t="n">
        <v>1.02162895409259</v>
      </c>
      <c r="F1020" s="2" t="s">
        <v>15845</v>
      </c>
      <c r="G1020" s="2" t="n">
        <v>48608</v>
      </c>
      <c r="H1020" s="3" t="str">
        <f>HYPERLINK("http://funmeta.oebiotech.com/network/48608", "http://funmeta.oebiotech.com/network/48608")</f>
      </c>
      <c r="I1020" s="2" t="s">
        <v>15846</v>
      </c>
      <c r="J1020" s="2" t="s">
        <v>15847</v>
      </c>
      <c r="K1020" s="2"/>
      <c r="L1020" s="2"/>
      <c r="M1020" s="2"/>
      <c r="N1020" s="2" t="s">
        <v>15848</v>
      </c>
      <c r="O1020" s="2" t="s">
        <v>15849</v>
      </c>
      <c r="P1020" s="2" t="s">
        <v>15850</v>
      </c>
      <c r="Q1020" s="2" t="s">
        <v>15851</v>
      </c>
      <c r="R1020" s="2" t="s">
        <v>36</v>
      </c>
      <c r="S1020" s="2" t="s">
        <v>37</v>
      </c>
      <c r="T1020" s="2" t="s">
        <v>69</v>
      </c>
      <c r="U1020" s="2" t="s">
        <v>8230</v>
      </c>
      <c r="V1020" s="2" t="s">
        <v>24</v>
      </c>
      <c r="W1020" s="2"/>
    </row>
    <row r="1021">
      <c r="A1021" s="2" t="n">
        <v>762</v>
      </c>
      <c r="B1021" s="2" t="s">
        <v>15852</v>
      </c>
      <c r="C1021" s="2" t="s">
        <v>8229</v>
      </c>
      <c r="D1021" s="2" t="n">
        <v>499.299805052</v>
      </c>
      <c r="E1021" s="2" t="n">
        <v>1.02162895409259</v>
      </c>
      <c r="F1021" s="2" t="s">
        <v>15853</v>
      </c>
      <c r="G1021" s="2" t="n">
        <v>48602</v>
      </c>
      <c r="H1021" s="3" t="str">
        <f>HYPERLINK("http://funmeta.oebiotech.com/network/48602", "http://funmeta.oebiotech.com/network/48602")</f>
      </c>
      <c r="I1021" s="2" t="s">
        <v>15854</v>
      </c>
      <c r="J1021" s="2"/>
      <c r="K1021" s="2"/>
      <c r="L1021" s="2"/>
      <c r="M1021" s="2" t="s">
        <v>15855</v>
      </c>
      <c r="N1021" s="2" t="s">
        <v>15856</v>
      </c>
      <c r="O1021" s="2" t="s">
        <v>15857</v>
      </c>
      <c r="P1021" s="2" t="s">
        <v>15858</v>
      </c>
      <c r="Q1021" s="2" t="s">
        <v>15859</v>
      </c>
      <c r="R1021" s="2" t="s">
        <v>36</v>
      </c>
      <c r="S1021" s="2" t="s">
        <v>37</v>
      </c>
      <c r="T1021" s="2" t="s">
        <v>69</v>
      </c>
      <c r="U1021" s="2" t="s">
        <v>8230</v>
      </c>
      <c r="V1021" s="2" t="s">
        <v>24</v>
      </c>
      <c r="W1021" s="2"/>
    </row>
    <row r="1022">
      <c r="A1022" s="2" t="n">
        <v>763</v>
      </c>
      <c r="B1022" s="2" t="s">
        <v>15860</v>
      </c>
      <c r="C1022" s="2" t="s">
        <v>8240</v>
      </c>
      <c r="D1022" s="2" t="n">
        <v>500.284004043</v>
      </c>
      <c r="E1022" s="2" t="n">
        <v>2.37792399804672</v>
      </c>
      <c r="F1022" s="2" t="s">
        <v>8242</v>
      </c>
      <c r="G1022" s="2" t="n">
        <v>203780</v>
      </c>
      <c r="H1022" s="3" t="str">
        <f>HYPERLINK("http://funmeta.oebiotech.com/network/203780", "http://funmeta.oebiotech.com/network/203780")</f>
      </c>
      <c r="I1022" s="2" t="s">
        <v>8244</v>
      </c>
      <c r="J1022" s="2" t="s">
        <v>8245</v>
      </c>
      <c r="K1022" s="2"/>
      <c r="L1022" s="2"/>
      <c r="M1022" s="2"/>
      <c r="N1022" s="2" t="s">
        <v>8246</v>
      </c>
      <c r="O1022" s="2"/>
      <c r="P1022" s="2" t="s">
        <v>8247</v>
      </c>
      <c r="Q1022" s="2" t="s">
        <v>8248</v>
      </c>
      <c r="R1022" s="2" t="s">
        <v>794</v>
      </c>
      <c r="S1022" s="2" t="s">
        <v>1098</v>
      </c>
      <c r="T1022" s="2" t="s">
        <v>1099</v>
      </c>
      <c r="U1022" s="2" t="s">
        <v>8241</v>
      </c>
      <c r="V1022" s="2" t="s">
        <v>24</v>
      </c>
      <c r="W1022" s="2"/>
    </row>
    <row r="1023">
      <c r="A1023" s="2" t="n">
        <v>764</v>
      </c>
      <c r="B1023" s="2" t="s">
        <v>15861</v>
      </c>
      <c r="C1023" s="2" t="s">
        <v>8249</v>
      </c>
      <c r="D1023" s="2" t="n">
        <v>501.297006776</v>
      </c>
      <c r="E1023" s="2" t="n">
        <v>4.97818024585228</v>
      </c>
      <c r="F1023" s="2" t="s">
        <v>8251</v>
      </c>
      <c r="G1023" s="2" t="n">
        <v>198518</v>
      </c>
      <c r="H1023" s="3" t="str">
        <f>HYPERLINK("http://funmeta.oebiotech.com/network/198518", "http://funmeta.oebiotech.com/network/198518")</f>
      </c>
      <c r="I1023" s="2" t="s">
        <v>8253</v>
      </c>
      <c r="J1023" s="2"/>
      <c r="K1023" s="2"/>
      <c r="L1023" s="2"/>
      <c r="M1023" s="2"/>
      <c r="N1023" s="2"/>
      <c r="O1023" s="2"/>
      <c r="P1023" s="2" t="s">
        <v>8254</v>
      </c>
      <c r="Q1023" s="2" t="s">
        <v>8255</v>
      </c>
      <c r="R1023" s="2" t="s">
        <v>36</v>
      </c>
      <c r="S1023" s="2" t="s">
        <v>37</v>
      </c>
      <c r="T1023" s="2" t="s">
        <v>69</v>
      </c>
      <c r="U1023" s="2" t="s">
        <v>8250</v>
      </c>
      <c r="V1023" s="2" t="s">
        <v>205</v>
      </c>
      <c r="W1023" s="2"/>
    </row>
    <row r="1024">
      <c r="A1024" s="2" t="n">
        <v>765</v>
      </c>
      <c r="B1024" s="2" t="s">
        <v>15862</v>
      </c>
      <c r="C1024" s="2" t="s">
        <v>8256</v>
      </c>
      <c r="D1024" s="2" t="n">
        <v>502.228529807</v>
      </c>
      <c r="E1024" s="2" t="n">
        <v>2.50661694362996</v>
      </c>
      <c r="F1024" s="2" t="s">
        <v>8258</v>
      </c>
      <c r="G1024" s="2" t="n">
        <v>52990</v>
      </c>
      <c r="H1024" s="3" t="str">
        <f>HYPERLINK("http://funmeta.oebiotech.com/network/52990", "http://funmeta.oebiotech.com/network/52990")</f>
      </c>
      <c r="I1024" s="2" t="s">
        <v>8260</v>
      </c>
      <c r="J1024" s="2" t="s">
        <v>8261</v>
      </c>
      <c r="K1024" s="2"/>
      <c r="L1024" s="2" t="s">
        <v>8262</v>
      </c>
      <c r="M1024" s="2" t="s">
        <v>8263</v>
      </c>
      <c r="N1024" s="2" t="s">
        <v>8264</v>
      </c>
      <c r="O1024" s="2" t="s">
        <v>8265</v>
      </c>
      <c r="P1024" s="2" t="s">
        <v>8266</v>
      </c>
      <c r="Q1024" s="2" t="s">
        <v>8267</v>
      </c>
      <c r="R1024" s="2" t="s">
        <v>129</v>
      </c>
      <c r="S1024" s="2" t="s">
        <v>130</v>
      </c>
      <c r="T1024" s="2" t="s">
        <v>1681</v>
      </c>
      <c r="U1024" s="2" t="s">
        <v>8257</v>
      </c>
      <c r="V1024" s="2" t="s">
        <v>86</v>
      </c>
      <c r="W1024" s="2" t="s">
        <v>56</v>
      </c>
    </row>
    <row r="1025">
      <c r="A1025" s="2" t="n">
        <v>766</v>
      </c>
      <c r="B1025" s="2" t="s">
        <v>15863</v>
      </c>
      <c r="C1025" s="2" t="s">
        <v>8268</v>
      </c>
      <c r="D1025" s="2" t="n">
        <v>503.241720256</v>
      </c>
      <c r="E1025" s="2" t="n">
        <v>0.866414568745034</v>
      </c>
      <c r="F1025" s="2" t="s">
        <v>15864</v>
      </c>
      <c r="G1025" s="2" t="n">
        <v>50905</v>
      </c>
      <c r="H1025" s="3" t="str">
        <f>HYPERLINK("http://funmeta.oebiotech.com/network/50905", "http://funmeta.oebiotech.com/network/50905")</f>
      </c>
      <c r="I1025" s="2" t="s">
        <v>15865</v>
      </c>
      <c r="J1025" s="2"/>
      <c r="K1025" s="2"/>
      <c r="L1025" s="2"/>
      <c r="M1025" s="2" t="s">
        <v>15866</v>
      </c>
      <c r="N1025" s="2" t="s">
        <v>15867</v>
      </c>
      <c r="O1025" s="2"/>
      <c r="P1025" s="2" t="s">
        <v>15868</v>
      </c>
      <c r="Q1025" s="2" t="s">
        <v>15869</v>
      </c>
      <c r="R1025" s="2" t="s">
        <v>794</v>
      </c>
      <c r="S1025" s="2" t="s">
        <v>2971</v>
      </c>
      <c r="T1025" s="2" t="s">
        <v>11733</v>
      </c>
      <c r="U1025" s="2" t="s">
        <v>8269</v>
      </c>
      <c r="V1025" s="2" t="s">
        <v>86</v>
      </c>
      <c r="W1025" s="2" t="s">
        <v>56</v>
      </c>
    </row>
    <row r="1026">
      <c r="A1026" s="2" t="n">
        <v>766</v>
      </c>
      <c r="B1026" s="2" t="s">
        <v>15870</v>
      </c>
      <c r="C1026" s="2" t="s">
        <v>8268</v>
      </c>
      <c r="D1026" s="2" t="n">
        <v>503.241720256</v>
      </c>
      <c r="E1026" s="2" t="n">
        <v>0.866414568745034</v>
      </c>
      <c r="F1026" s="2" t="s">
        <v>15871</v>
      </c>
      <c r="G1026" s="2" t="n">
        <v>50919</v>
      </c>
      <c r="H1026" s="3" t="str">
        <f>HYPERLINK("http://funmeta.oebiotech.com/network/50919", "http://funmeta.oebiotech.com/network/50919")</f>
      </c>
      <c r="I1026" s="2" t="s">
        <v>15872</v>
      </c>
      <c r="J1026" s="2"/>
      <c r="K1026" s="2"/>
      <c r="L1026" s="2"/>
      <c r="M1026" s="2" t="s">
        <v>15873</v>
      </c>
      <c r="N1026" s="2" t="s">
        <v>15874</v>
      </c>
      <c r="O1026" s="2" t="s">
        <v>15875</v>
      </c>
      <c r="P1026" s="2" t="s">
        <v>15876</v>
      </c>
      <c r="Q1026" s="2" t="s">
        <v>15877</v>
      </c>
      <c r="R1026" s="2" t="s">
        <v>794</v>
      </c>
      <c r="S1026" s="2" t="s">
        <v>2971</v>
      </c>
      <c r="T1026" s="2" t="s">
        <v>11733</v>
      </c>
      <c r="U1026" s="2" t="s">
        <v>8269</v>
      </c>
      <c r="V1026" s="2" t="s">
        <v>86</v>
      </c>
      <c r="W1026" s="2" t="s">
        <v>56</v>
      </c>
    </row>
    <row r="1027">
      <c r="A1027" s="2" t="n">
        <v>766</v>
      </c>
      <c r="B1027" s="2" t="s">
        <v>15878</v>
      </c>
      <c r="C1027" s="2" t="s">
        <v>8268</v>
      </c>
      <c r="D1027" s="2" t="n">
        <v>503.241720256</v>
      </c>
      <c r="E1027" s="2" t="n">
        <v>0.866414568745034</v>
      </c>
      <c r="F1027" s="2" t="s">
        <v>15879</v>
      </c>
      <c r="G1027" s="2" t="n">
        <v>50889</v>
      </c>
      <c r="H1027" s="3" t="str">
        <f>HYPERLINK("http://funmeta.oebiotech.com/network/50889", "http://funmeta.oebiotech.com/network/50889")</f>
      </c>
      <c r="I1027" s="2" t="s">
        <v>15880</v>
      </c>
      <c r="J1027" s="2" t="s">
        <v>15881</v>
      </c>
      <c r="K1027" s="2"/>
      <c r="L1027" s="2"/>
      <c r="M1027" s="2"/>
      <c r="N1027" s="2" t="s">
        <v>15882</v>
      </c>
      <c r="O1027" s="2"/>
      <c r="P1027" s="2" t="s">
        <v>15883</v>
      </c>
      <c r="Q1027" s="2" t="s">
        <v>15884</v>
      </c>
      <c r="R1027" s="2" t="s">
        <v>794</v>
      </c>
      <c r="S1027" s="2" t="s">
        <v>2971</v>
      </c>
      <c r="T1027" s="2" t="s">
        <v>6290</v>
      </c>
      <c r="U1027" s="2" t="s">
        <v>8269</v>
      </c>
      <c r="V1027" s="2" t="s">
        <v>86</v>
      </c>
      <c r="W1027" s="2" t="s">
        <v>56</v>
      </c>
    </row>
    <row r="1028">
      <c r="A1028" s="2" t="n">
        <v>767</v>
      </c>
      <c r="B1028" s="2" t="s">
        <v>15885</v>
      </c>
      <c r="C1028" s="2" t="s">
        <v>8280</v>
      </c>
      <c r="D1028" s="2" t="n">
        <v>504.180791749</v>
      </c>
      <c r="E1028" s="2" t="n">
        <v>9.63969094279616</v>
      </c>
      <c r="F1028" s="2" t="s">
        <v>8282</v>
      </c>
      <c r="G1028" s="2" t="n">
        <v>204798</v>
      </c>
      <c r="H1028" s="3" t="str">
        <f>HYPERLINK("http://funmeta.oebiotech.com/network/204798", "http://funmeta.oebiotech.com/network/204798")</f>
      </c>
      <c r="I1028" s="2" t="s">
        <v>8284</v>
      </c>
      <c r="J1028" s="2"/>
      <c r="K1028" s="2"/>
      <c r="L1028" s="2"/>
      <c r="M1028" s="2" t="s">
        <v>8285</v>
      </c>
      <c r="N1028" s="2" t="s">
        <v>8286</v>
      </c>
      <c r="O1028" s="2"/>
      <c r="P1028" s="2" t="s">
        <v>8287</v>
      </c>
      <c r="Q1028" s="2" t="s">
        <v>8288</v>
      </c>
      <c r="R1028" s="2" t="s">
        <v>114</v>
      </c>
      <c r="S1028" s="2" t="s">
        <v>1254</v>
      </c>
      <c r="T1028" s="2" t="s">
        <v>1255</v>
      </c>
      <c r="U1028" s="2" t="s">
        <v>8281</v>
      </c>
      <c r="V1028" s="2" t="s">
        <v>86</v>
      </c>
      <c r="W1028" s="2"/>
    </row>
    <row r="1029">
      <c r="A1029" s="2" t="n">
        <v>768</v>
      </c>
      <c r="B1029" s="2" t="s">
        <v>15886</v>
      </c>
      <c r="C1029" s="2" t="s">
        <v>8289</v>
      </c>
      <c r="D1029" s="2" t="n">
        <v>504.324934822</v>
      </c>
      <c r="E1029" s="2" t="n">
        <v>9.00702488525332</v>
      </c>
      <c r="F1029" s="2" t="s">
        <v>8291</v>
      </c>
      <c r="G1029" s="2" t="n">
        <v>206670</v>
      </c>
      <c r="H1029" s="3" t="str">
        <f>HYPERLINK("http://funmeta.oebiotech.com/network/206670", "http://funmeta.oebiotech.com/network/206670")</f>
      </c>
      <c r="I1029" s="2" t="s">
        <v>8293</v>
      </c>
      <c r="J1029" s="2"/>
      <c r="K1029" s="2"/>
      <c r="L1029" s="2"/>
      <c r="M1029" s="2"/>
      <c r="N1029" s="2" t="s">
        <v>8294</v>
      </c>
      <c r="O1029" s="2"/>
      <c r="P1029" s="2" t="s">
        <v>8295</v>
      </c>
      <c r="Q1029" s="2" t="s">
        <v>8296</v>
      </c>
      <c r="R1029" s="2" t="s">
        <v>186</v>
      </c>
      <c r="S1029" s="2" t="s">
        <v>187</v>
      </c>
      <c r="T1029" s="2" t="s">
        <v>1895</v>
      </c>
      <c r="U1029" s="2" t="s">
        <v>8290</v>
      </c>
      <c r="V1029" s="2" t="s">
        <v>218</v>
      </c>
      <c r="W1029" s="2"/>
    </row>
    <row r="1030">
      <c r="A1030" s="2" t="n">
        <v>769</v>
      </c>
      <c r="B1030" s="2" t="s">
        <v>15887</v>
      </c>
      <c r="C1030" s="2" t="s">
        <v>8297</v>
      </c>
      <c r="D1030" s="2" t="n">
        <v>507.299448349</v>
      </c>
      <c r="E1030" s="2" t="n">
        <v>0.0606028475188152</v>
      </c>
      <c r="F1030" s="2" t="s">
        <v>8299</v>
      </c>
      <c r="G1030" s="2" t="n">
        <v>198469</v>
      </c>
      <c r="H1030" s="3" t="str">
        <f>HYPERLINK("http://funmeta.oebiotech.com/network/198469", "http://funmeta.oebiotech.com/network/198469")</f>
      </c>
      <c r="I1030" s="2" t="s">
        <v>8301</v>
      </c>
      <c r="J1030" s="2"/>
      <c r="K1030" s="2"/>
      <c r="L1030" s="2"/>
      <c r="M1030" s="2"/>
      <c r="N1030" s="2" t="s">
        <v>8302</v>
      </c>
      <c r="O1030" s="2"/>
      <c r="P1030" s="2" t="s">
        <v>8303</v>
      </c>
      <c r="Q1030" s="2" t="s">
        <v>8304</v>
      </c>
      <c r="R1030" s="2" t="s">
        <v>36</v>
      </c>
      <c r="S1030" s="2" t="s">
        <v>37</v>
      </c>
      <c r="T1030" s="2" t="s">
        <v>69</v>
      </c>
      <c r="U1030" s="2" t="s">
        <v>8298</v>
      </c>
      <c r="V1030" s="2" t="s">
        <v>218</v>
      </c>
      <c r="W1030" s="2"/>
    </row>
    <row r="1031">
      <c r="A1031" s="2" t="n">
        <v>770</v>
      </c>
      <c r="B1031" s="2" t="s">
        <v>15888</v>
      </c>
      <c r="C1031" s="2" t="s">
        <v>8305</v>
      </c>
      <c r="D1031" s="2" t="n">
        <v>509.311988137</v>
      </c>
      <c r="E1031" s="2" t="n">
        <v>7.29112718580889</v>
      </c>
      <c r="F1031" s="2" t="s">
        <v>15889</v>
      </c>
      <c r="G1031" s="2" t="n">
        <v>210512</v>
      </c>
      <c r="H1031" s="3" t="str">
        <f>HYPERLINK("http://funmeta.oebiotech.com/network/210512", "http://funmeta.oebiotech.com/network/210512")</f>
      </c>
      <c r="I1031" s="2" t="s">
        <v>15890</v>
      </c>
      <c r="J1031" s="2"/>
      <c r="K1031" s="2"/>
      <c r="L1031" s="2"/>
      <c r="M1031" s="2"/>
      <c r="N1031" s="2" t="s">
        <v>15891</v>
      </c>
      <c r="O1031" s="2"/>
      <c r="P1031" s="2" t="s">
        <v>15892</v>
      </c>
      <c r="Q1031" s="2" t="s">
        <v>15893</v>
      </c>
      <c r="R1031" s="2" t="s">
        <v>794</v>
      </c>
      <c r="S1031" s="2" t="s">
        <v>2971</v>
      </c>
      <c r="T1031" s="2" t="s">
        <v>6499</v>
      </c>
      <c r="U1031" s="2" t="s">
        <v>8306</v>
      </c>
      <c r="V1031" s="2" t="s">
        <v>205</v>
      </c>
      <c r="W1031" s="2"/>
    </row>
    <row r="1032">
      <c r="A1032" s="2" t="n">
        <v>770</v>
      </c>
      <c r="B1032" s="2" t="s">
        <v>15894</v>
      </c>
      <c r="C1032" s="2" t="s">
        <v>8305</v>
      </c>
      <c r="D1032" s="2" t="n">
        <v>509.311988137</v>
      </c>
      <c r="E1032" s="2" t="n">
        <v>7.29112718580889</v>
      </c>
      <c r="F1032" s="2" t="s">
        <v>15895</v>
      </c>
      <c r="G1032" s="2" t="n">
        <v>206282</v>
      </c>
      <c r="H1032" s="3" t="str">
        <f>HYPERLINK("http://funmeta.oebiotech.com/network/206282", "http://funmeta.oebiotech.com/network/206282")</f>
      </c>
      <c r="I1032" s="2" t="s">
        <v>15896</v>
      </c>
      <c r="J1032" s="2"/>
      <c r="K1032" s="2"/>
      <c r="L1032" s="2"/>
      <c r="M1032" s="2"/>
      <c r="N1032" s="2" t="s">
        <v>15897</v>
      </c>
      <c r="O1032" s="2"/>
      <c r="P1032" s="2" t="s">
        <v>15898</v>
      </c>
      <c r="Q1032" s="2" t="s">
        <v>15899</v>
      </c>
      <c r="R1032" s="2" t="s">
        <v>794</v>
      </c>
      <c r="S1032" s="2" t="s">
        <v>2971</v>
      </c>
      <c r="T1032" s="2" t="s">
        <v>6499</v>
      </c>
      <c r="U1032" s="2" t="s">
        <v>8306</v>
      </c>
      <c r="V1032" s="2" t="s">
        <v>205</v>
      </c>
      <c r="W1032" s="2"/>
    </row>
    <row r="1033">
      <c r="A1033" s="2" t="n">
        <v>771</v>
      </c>
      <c r="B1033" s="2" t="s">
        <v>15900</v>
      </c>
      <c r="C1033" s="2" t="s">
        <v>8314</v>
      </c>
      <c r="D1033" s="2" t="n">
        <v>510.257509</v>
      </c>
      <c r="E1033" s="2" t="n">
        <v>3.72874329057372</v>
      </c>
      <c r="F1033" s="2" t="s">
        <v>8316</v>
      </c>
      <c r="G1033" s="2" t="n">
        <v>207435</v>
      </c>
      <c r="H1033" s="3" t="str">
        <f>HYPERLINK("http://funmeta.oebiotech.com/network/207435", "http://funmeta.oebiotech.com/network/207435")</f>
      </c>
      <c r="I1033" s="2" t="s">
        <v>8318</v>
      </c>
      <c r="J1033" s="2"/>
      <c r="K1033" s="2"/>
      <c r="L1033" s="2"/>
      <c r="M1033" s="2"/>
      <c r="N1033" s="2" t="s">
        <v>8319</v>
      </c>
      <c r="O1033" s="2"/>
      <c r="P1033" s="2" t="s">
        <v>8320</v>
      </c>
      <c r="Q1033" s="2" t="s">
        <v>8321</v>
      </c>
      <c r="R1033" s="2" t="s">
        <v>129</v>
      </c>
      <c r="S1033" s="2" t="s">
        <v>130</v>
      </c>
      <c r="T1033" s="2" t="s">
        <v>131</v>
      </c>
      <c r="U1033" s="2" t="s">
        <v>8315</v>
      </c>
      <c r="V1033" s="2" t="s">
        <v>161</v>
      </c>
      <c r="W1033" s="2"/>
    </row>
    <row r="1034">
      <c r="A1034" s="2" t="n">
        <v>772</v>
      </c>
      <c r="B1034" s="2" t="s">
        <v>15901</v>
      </c>
      <c r="C1034" s="2" t="s">
        <v>8322</v>
      </c>
      <c r="D1034" s="2" t="n">
        <v>510.320124268</v>
      </c>
      <c r="E1034" s="2" t="n">
        <v>1.37322210204699</v>
      </c>
      <c r="F1034" s="2" t="s">
        <v>8324</v>
      </c>
      <c r="G1034" s="2" t="n">
        <v>21271</v>
      </c>
      <c r="H1034" s="3" t="str">
        <f>HYPERLINK("http://funmeta.oebiotech.com/network/21271", "http://funmeta.oebiotech.com/network/21271")</f>
      </c>
      <c r="I1034" s="2" t="s">
        <v>8326</v>
      </c>
      <c r="J1034" s="2" t="s">
        <v>8327</v>
      </c>
      <c r="K1034" s="2" t="s">
        <v>8328</v>
      </c>
      <c r="L1034" s="2"/>
      <c r="M1034" s="2" t="s">
        <v>8329</v>
      </c>
      <c r="N1034" s="2" t="s">
        <v>8330</v>
      </c>
      <c r="O1034" s="2" t="s">
        <v>8331</v>
      </c>
      <c r="P1034" s="2" t="s">
        <v>8332</v>
      </c>
      <c r="Q1034" s="2" t="s">
        <v>8333</v>
      </c>
      <c r="R1034" s="2" t="s">
        <v>794</v>
      </c>
      <c r="S1034" s="2" t="s">
        <v>7122</v>
      </c>
      <c r="T1034" s="2" t="s">
        <v>8042</v>
      </c>
      <c r="U1034" s="2" t="s">
        <v>8323</v>
      </c>
      <c r="V1034" s="2" t="s">
        <v>205</v>
      </c>
      <c r="W1034" s="2"/>
    </row>
    <row r="1035">
      <c r="A1035" s="2" t="n">
        <v>773</v>
      </c>
      <c r="B1035" s="2" t="s">
        <v>15902</v>
      </c>
      <c r="C1035" s="2" t="s">
        <v>8334</v>
      </c>
      <c r="D1035" s="2" t="n">
        <v>512.091524764</v>
      </c>
      <c r="E1035" s="2" t="n">
        <v>5.91165217274176</v>
      </c>
      <c r="F1035" s="2" t="s">
        <v>8336</v>
      </c>
      <c r="G1035" s="2" t="n">
        <v>203211</v>
      </c>
      <c r="H1035" s="3" t="str">
        <f>HYPERLINK("http://funmeta.oebiotech.com/network/203211", "http://funmeta.oebiotech.com/network/203211")</f>
      </c>
      <c r="I1035" s="2" t="s">
        <v>8338</v>
      </c>
      <c r="J1035" s="2"/>
      <c r="K1035" s="2"/>
      <c r="L1035" s="2"/>
      <c r="M1035" s="2"/>
      <c r="N1035" s="2" t="s">
        <v>8339</v>
      </c>
      <c r="O1035" s="2"/>
      <c r="P1035" s="2" t="s">
        <v>8340</v>
      </c>
      <c r="Q1035" s="2" t="s">
        <v>8341</v>
      </c>
      <c r="R1035" s="2" t="s">
        <v>36</v>
      </c>
      <c r="S1035" s="2" t="s">
        <v>37</v>
      </c>
      <c r="T1035" s="2" t="s">
        <v>69</v>
      </c>
      <c r="U1035" s="2" t="s">
        <v>8335</v>
      </c>
      <c r="V1035" s="2" t="s">
        <v>205</v>
      </c>
      <c r="W1035" s="2"/>
    </row>
    <row r="1036">
      <c r="A1036" s="2" t="n">
        <v>774</v>
      </c>
      <c r="B1036" s="2" t="s">
        <v>15903</v>
      </c>
      <c r="C1036" s="2" t="s">
        <v>8342</v>
      </c>
      <c r="D1036" s="2" t="n">
        <v>512.278225804</v>
      </c>
      <c r="E1036" s="2" t="n">
        <v>5.49109022842488</v>
      </c>
      <c r="F1036" s="2" t="s">
        <v>8344</v>
      </c>
      <c r="G1036" s="2" t="n">
        <v>203903</v>
      </c>
      <c r="H1036" s="3" t="str">
        <f>HYPERLINK("http://funmeta.oebiotech.com/network/203903", "http://funmeta.oebiotech.com/network/203903")</f>
      </c>
      <c r="I1036" s="2" t="s">
        <v>8346</v>
      </c>
      <c r="J1036" s="2"/>
      <c r="K1036" s="2"/>
      <c r="L1036" s="2"/>
      <c r="M1036" s="2"/>
      <c r="N1036" s="2" t="s">
        <v>8347</v>
      </c>
      <c r="O1036" s="2"/>
      <c r="P1036" s="2" t="s">
        <v>8348</v>
      </c>
      <c r="Q1036" s="2" t="s">
        <v>8349</v>
      </c>
      <c r="R1036" s="2" t="s">
        <v>129</v>
      </c>
      <c r="S1036" s="2" t="s">
        <v>130</v>
      </c>
      <c r="T1036" s="2" t="s">
        <v>131</v>
      </c>
      <c r="U1036" s="2" t="s">
        <v>8343</v>
      </c>
      <c r="V1036" s="2" t="s">
        <v>531</v>
      </c>
      <c r="W1036" s="2"/>
    </row>
    <row r="1037">
      <c r="A1037" s="2" t="n">
        <v>775</v>
      </c>
      <c r="B1037" s="2" t="s">
        <v>15904</v>
      </c>
      <c r="C1037" s="2" t="s">
        <v>8350</v>
      </c>
      <c r="D1037" s="2" t="n">
        <v>512.335740682</v>
      </c>
      <c r="E1037" s="2" t="n">
        <v>6.8059829539869</v>
      </c>
      <c r="F1037" s="2" t="s">
        <v>15905</v>
      </c>
      <c r="G1037" s="2" t="n">
        <v>198144</v>
      </c>
      <c r="H1037" s="3" t="str">
        <f>HYPERLINK("http://funmeta.oebiotech.com/network/198144", "http://funmeta.oebiotech.com/network/198144")</f>
      </c>
      <c r="I1037" s="2" t="s">
        <v>15906</v>
      </c>
      <c r="J1037" s="2"/>
      <c r="K1037" s="2"/>
      <c r="L1037" s="2"/>
      <c r="M1037" s="2"/>
      <c r="N1037" s="2"/>
      <c r="O1037" s="2"/>
      <c r="P1037" s="2" t="s">
        <v>15907</v>
      </c>
      <c r="Q1037" s="2" t="s">
        <v>15908</v>
      </c>
      <c r="R1037" s="2" t="s">
        <v>794</v>
      </c>
      <c r="S1037" s="2" t="s">
        <v>795</v>
      </c>
      <c r="T1037" s="2" t="s">
        <v>1870</v>
      </c>
      <c r="U1037" s="2" t="s">
        <v>8351</v>
      </c>
      <c r="V1037" s="2" t="s">
        <v>531</v>
      </c>
      <c r="W1037" s="2"/>
    </row>
    <row r="1038">
      <c r="A1038" s="2" t="n">
        <v>775</v>
      </c>
      <c r="B1038" s="2" t="s">
        <v>15909</v>
      </c>
      <c r="C1038" s="2" t="s">
        <v>8350</v>
      </c>
      <c r="D1038" s="2" t="n">
        <v>512.335740682</v>
      </c>
      <c r="E1038" s="2" t="n">
        <v>6.8059829539869</v>
      </c>
      <c r="F1038" s="2" t="s">
        <v>15910</v>
      </c>
      <c r="G1038" s="2" t="n">
        <v>198351</v>
      </c>
      <c r="H1038" s="3" t="str">
        <f>HYPERLINK("http://funmeta.oebiotech.com/network/198351", "http://funmeta.oebiotech.com/network/198351")</f>
      </c>
      <c r="I1038" s="2" t="s">
        <v>15911</v>
      </c>
      <c r="J1038" s="2"/>
      <c r="K1038" s="2"/>
      <c r="L1038" s="2"/>
      <c r="M1038" s="2"/>
      <c r="N1038" s="2"/>
      <c r="O1038" s="2"/>
      <c r="P1038" s="2" t="s">
        <v>15912</v>
      </c>
      <c r="Q1038" s="2" t="s">
        <v>15913</v>
      </c>
      <c r="R1038" s="2" t="s">
        <v>794</v>
      </c>
      <c r="S1038" s="2" t="s">
        <v>795</v>
      </c>
      <c r="T1038" s="2" t="s">
        <v>1870</v>
      </c>
      <c r="U1038" s="2" t="s">
        <v>8351</v>
      </c>
      <c r="V1038" s="2" t="s">
        <v>531</v>
      </c>
      <c r="W1038" s="2"/>
    </row>
    <row r="1039">
      <c r="A1039" s="2" t="n">
        <v>775</v>
      </c>
      <c r="B1039" s="2" t="s">
        <v>15914</v>
      </c>
      <c r="C1039" s="2" t="s">
        <v>8350</v>
      </c>
      <c r="D1039" s="2" t="n">
        <v>512.335740682</v>
      </c>
      <c r="E1039" s="2" t="n">
        <v>6.8059829539869</v>
      </c>
      <c r="F1039" s="2" t="s">
        <v>15915</v>
      </c>
      <c r="G1039" s="2" t="n">
        <v>198355</v>
      </c>
      <c r="H1039" s="3" t="str">
        <f>HYPERLINK("http://funmeta.oebiotech.com/network/198355", "http://funmeta.oebiotech.com/network/198355")</f>
      </c>
      <c r="I1039" s="2" t="s">
        <v>15916</v>
      </c>
      <c r="J1039" s="2"/>
      <c r="K1039" s="2"/>
      <c r="L1039" s="2"/>
      <c r="M1039" s="2"/>
      <c r="N1039" s="2"/>
      <c r="O1039" s="2"/>
      <c r="P1039" s="2" t="s">
        <v>15917</v>
      </c>
      <c r="Q1039" s="2" t="s">
        <v>15918</v>
      </c>
      <c r="R1039" s="2" t="s">
        <v>794</v>
      </c>
      <c r="S1039" s="2" t="s">
        <v>795</v>
      </c>
      <c r="T1039" s="2" t="s">
        <v>1870</v>
      </c>
      <c r="U1039" s="2" t="s">
        <v>8351</v>
      </c>
      <c r="V1039" s="2" t="s">
        <v>531</v>
      </c>
      <c r="W1039" s="2"/>
    </row>
    <row r="1040">
      <c r="A1040" s="2" t="n">
        <v>776</v>
      </c>
      <c r="B1040" s="2" t="s">
        <v>15919</v>
      </c>
      <c r="C1040" s="2" t="s">
        <v>8357</v>
      </c>
      <c r="D1040" s="2" t="n">
        <v>513.340607226</v>
      </c>
      <c r="E1040" s="2" t="n">
        <v>0.286346141904548</v>
      </c>
      <c r="F1040" s="2" t="s">
        <v>8359</v>
      </c>
      <c r="G1040" s="2" t="n">
        <v>209326</v>
      </c>
      <c r="H1040" s="3" t="str">
        <f>HYPERLINK("http://funmeta.oebiotech.com/network/209326", "http://funmeta.oebiotech.com/network/209326")</f>
      </c>
      <c r="I1040" s="2" t="s">
        <v>8361</v>
      </c>
      <c r="J1040" s="2"/>
      <c r="K1040" s="2"/>
      <c r="L1040" s="2"/>
      <c r="M1040" s="2"/>
      <c r="N1040" s="2"/>
      <c r="O1040" s="2"/>
      <c r="P1040" s="2" t="s">
        <v>8362</v>
      </c>
      <c r="Q1040" s="2" t="s">
        <v>8363</v>
      </c>
      <c r="R1040" s="2" t="s">
        <v>36</v>
      </c>
      <c r="S1040" s="2" t="s">
        <v>37</v>
      </c>
      <c r="T1040" s="2" t="s">
        <v>69</v>
      </c>
      <c r="U1040" s="2" t="s">
        <v>8358</v>
      </c>
      <c r="V1040" s="2" t="s">
        <v>683</v>
      </c>
      <c r="W1040" s="2"/>
    </row>
    <row r="1041">
      <c r="A1041" s="2" t="n">
        <v>777</v>
      </c>
      <c r="B1041" s="2" t="s">
        <v>15920</v>
      </c>
      <c r="C1041" s="2" t="s">
        <v>8364</v>
      </c>
      <c r="D1041" s="2" t="n">
        <v>514.294090173</v>
      </c>
      <c r="E1041" s="2" t="n">
        <v>8.9447317516379</v>
      </c>
      <c r="F1041" s="2" t="s">
        <v>15921</v>
      </c>
      <c r="G1041" s="2" t="n">
        <v>198126</v>
      </c>
      <c r="H1041" s="3" t="str">
        <f>HYPERLINK("http://funmeta.oebiotech.com/network/198126", "http://funmeta.oebiotech.com/network/198126")</f>
      </c>
      <c r="I1041" s="2" t="s">
        <v>15922</v>
      </c>
      <c r="J1041" s="2"/>
      <c r="K1041" s="2"/>
      <c r="L1041" s="2"/>
      <c r="M1041" s="2"/>
      <c r="N1041" s="2"/>
      <c r="O1041" s="2"/>
      <c r="P1041" s="2" t="s">
        <v>15923</v>
      </c>
      <c r="Q1041" s="2" t="s">
        <v>15924</v>
      </c>
      <c r="R1041" s="2" t="s">
        <v>794</v>
      </c>
      <c r="S1041" s="2" t="s">
        <v>795</v>
      </c>
      <c r="T1041" s="2" t="s">
        <v>1870</v>
      </c>
      <c r="U1041" s="2" t="s">
        <v>8365</v>
      </c>
      <c r="V1041" s="2" t="s">
        <v>86</v>
      </c>
      <c r="W1041" s="2"/>
    </row>
    <row r="1042">
      <c r="A1042" s="2" t="n">
        <v>777</v>
      </c>
      <c r="B1042" s="2" t="s">
        <v>15925</v>
      </c>
      <c r="C1042" s="2" t="s">
        <v>8364</v>
      </c>
      <c r="D1042" s="2" t="n">
        <v>514.294090173</v>
      </c>
      <c r="E1042" s="2" t="n">
        <v>8.9447317516379</v>
      </c>
      <c r="F1042" s="2" t="s">
        <v>15926</v>
      </c>
      <c r="G1042" s="2" t="n">
        <v>198322</v>
      </c>
      <c r="H1042" s="3" t="str">
        <f>HYPERLINK("http://funmeta.oebiotech.com/network/198322", "http://funmeta.oebiotech.com/network/198322")</f>
      </c>
      <c r="I1042" s="2" t="s">
        <v>15927</v>
      </c>
      <c r="J1042" s="2"/>
      <c r="K1042" s="2"/>
      <c r="L1042" s="2"/>
      <c r="M1042" s="2"/>
      <c r="N1042" s="2"/>
      <c r="O1042" s="2"/>
      <c r="P1042" s="2" t="s">
        <v>15928</v>
      </c>
      <c r="Q1042" s="2" t="s">
        <v>15929</v>
      </c>
      <c r="R1042" s="2" t="s">
        <v>794</v>
      </c>
      <c r="S1042" s="2" t="s">
        <v>795</v>
      </c>
      <c r="T1042" s="2" t="s">
        <v>3692</v>
      </c>
      <c r="U1042" s="2" t="s">
        <v>8365</v>
      </c>
      <c r="V1042" s="2" t="s">
        <v>86</v>
      </c>
      <c r="W1042" s="2"/>
    </row>
    <row r="1043">
      <c r="A1043" s="2" t="n">
        <v>777</v>
      </c>
      <c r="B1043" s="2" t="s">
        <v>15930</v>
      </c>
      <c r="C1043" s="2" t="s">
        <v>8364</v>
      </c>
      <c r="D1043" s="2" t="n">
        <v>514.294090173</v>
      </c>
      <c r="E1043" s="2" t="n">
        <v>8.9447317516379</v>
      </c>
      <c r="F1043" s="2" t="s">
        <v>15931</v>
      </c>
      <c r="G1043" s="2" t="n">
        <v>198323</v>
      </c>
      <c r="H1043" s="3" t="str">
        <f>HYPERLINK("http://funmeta.oebiotech.com/network/198323", "http://funmeta.oebiotech.com/network/198323")</f>
      </c>
      <c r="I1043" s="2" t="s">
        <v>15932</v>
      </c>
      <c r="J1043" s="2"/>
      <c r="K1043" s="2"/>
      <c r="L1043" s="2"/>
      <c r="M1043" s="2"/>
      <c r="N1043" s="2"/>
      <c r="O1043" s="2"/>
      <c r="P1043" s="2" t="s">
        <v>15933</v>
      </c>
      <c r="Q1043" s="2" t="s">
        <v>15934</v>
      </c>
      <c r="R1043" s="2" t="s">
        <v>794</v>
      </c>
      <c r="S1043" s="2" t="s">
        <v>795</v>
      </c>
      <c r="T1043" s="2" t="s">
        <v>3692</v>
      </c>
      <c r="U1043" s="2" t="s">
        <v>8365</v>
      </c>
      <c r="V1043" s="2" t="s">
        <v>86</v>
      </c>
      <c r="W1043" s="2"/>
    </row>
    <row r="1044">
      <c r="A1044" s="2" t="n">
        <v>778</v>
      </c>
      <c r="B1044" s="2" t="s">
        <v>15935</v>
      </c>
      <c r="C1044" s="2" t="s">
        <v>8372</v>
      </c>
      <c r="D1044" s="2" t="n">
        <v>517.317077826</v>
      </c>
      <c r="E1044" s="2" t="n">
        <v>0.763816197364488</v>
      </c>
      <c r="F1044" s="2" t="s">
        <v>15936</v>
      </c>
      <c r="G1044" s="2" t="n">
        <v>58428</v>
      </c>
      <c r="H1044" s="3" t="str">
        <f>HYPERLINK("http://funmeta.oebiotech.com/network/58428", "http://funmeta.oebiotech.com/network/58428")</f>
      </c>
      <c r="I1044" s="2" t="s">
        <v>15937</v>
      </c>
      <c r="J1044" s="2" t="s">
        <v>15938</v>
      </c>
      <c r="K1044" s="2"/>
      <c r="L1044" s="2"/>
      <c r="M1044" s="2"/>
      <c r="N1044" s="2" t="s">
        <v>15939</v>
      </c>
      <c r="O1044" s="2" t="s">
        <v>15940</v>
      </c>
      <c r="P1044" s="2" t="s">
        <v>15941</v>
      </c>
      <c r="Q1044" s="2" t="s">
        <v>15942</v>
      </c>
      <c r="R1044" s="2" t="s">
        <v>794</v>
      </c>
      <c r="S1044" s="2" t="s">
        <v>2971</v>
      </c>
      <c r="T1044" s="2" t="s">
        <v>6499</v>
      </c>
      <c r="U1044" s="2" t="s">
        <v>8373</v>
      </c>
      <c r="V1044" s="2" t="s">
        <v>24</v>
      </c>
      <c r="W1044" s="2" t="s">
        <v>56</v>
      </c>
    </row>
    <row r="1045">
      <c r="A1045" s="2" t="n">
        <v>778</v>
      </c>
      <c r="B1045" s="2" t="s">
        <v>15943</v>
      </c>
      <c r="C1045" s="2" t="s">
        <v>8372</v>
      </c>
      <c r="D1045" s="2" t="n">
        <v>517.317077826</v>
      </c>
      <c r="E1045" s="2" t="n">
        <v>0.763816197364488</v>
      </c>
      <c r="F1045" s="2" t="s">
        <v>15944</v>
      </c>
      <c r="G1045" s="2" t="n">
        <v>59187</v>
      </c>
      <c r="H1045" s="3" t="str">
        <f>HYPERLINK("http://funmeta.oebiotech.com/network/59187", "http://funmeta.oebiotech.com/network/59187")</f>
      </c>
      <c r="I1045" s="2" t="s">
        <v>15945</v>
      </c>
      <c r="J1045" s="2"/>
      <c r="K1045" s="2"/>
      <c r="L1045" s="2"/>
      <c r="M1045" s="2"/>
      <c r="N1045" s="2" t="s">
        <v>15946</v>
      </c>
      <c r="O1045" s="2" t="s">
        <v>15947</v>
      </c>
      <c r="P1045" s="2" t="s">
        <v>15948</v>
      </c>
      <c r="Q1045" s="2" t="s">
        <v>15949</v>
      </c>
      <c r="R1045" s="2" t="s">
        <v>794</v>
      </c>
      <c r="S1045" s="2" t="s">
        <v>1098</v>
      </c>
      <c r="T1045" s="2" t="s">
        <v>7646</v>
      </c>
      <c r="U1045" s="2" t="s">
        <v>8373</v>
      </c>
      <c r="V1045" s="2" t="s">
        <v>24</v>
      </c>
      <c r="W1045" s="2" t="s">
        <v>56</v>
      </c>
    </row>
    <row r="1046">
      <c r="A1046" s="2" t="n">
        <v>778</v>
      </c>
      <c r="B1046" s="2" t="s">
        <v>15950</v>
      </c>
      <c r="C1046" s="2" t="s">
        <v>8372</v>
      </c>
      <c r="D1046" s="2" t="n">
        <v>517.317077826</v>
      </c>
      <c r="E1046" s="2" t="n">
        <v>0.763816197364488</v>
      </c>
      <c r="F1046" s="2" t="s">
        <v>15951</v>
      </c>
      <c r="G1046" s="2" t="n">
        <v>59552</v>
      </c>
      <c r="H1046" s="3" t="str">
        <f>HYPERLINK("http://funmeta.oebiotech.com/network/59552", "http://funmeta.oebiotech.com/network/59552")</f>
      </c>
      <c r="I1046" s="2" t="s">
        <v>15952</v>
      </c>
      <c r="J1046" s="2" t="s">
        <v>15953</v>
      </c>
      <c r="K1046" s="2"/>
      <c r="L1046" s="2"/>
      <c r="M1046" s="2"/>
      <c r="N1046" s="2" t="s">
        <v>15954</v>
      </c>
      <c r="O1046" s="2" t="s">
        <v>15955</v>
      </c>
      <c r="P1046" s="2" t="s">
        <v>15956</v>
      </c>
      <c r="Q1046" s="2" t="s">
        <v>15957</v>
      </c>
      <c r="R1046" s="2" t="s">
        <v>794</v>
      </c>
      <c r="S1046" s="2" t="s">
        <v>1098</v>
      </c>
      <c r="T1046" s="2" t="s">
        <v>7646</v>
      </c>
      <c r="U1046" s="2" t="s">
        <v>8373</v>
      </c>
      <c r="V1046" s="2" t="s">
        <v>24</v>
      </c>
      <c r="W1046" s="2" t="s">
        <v>56</v>
      </c>
    </row>
    <row r="1047">
      <c r="A1047" s="2" t="n">
        <v>779</v>
      </c>
      <c r="B1047" s="2" t="s">
        <v>15958</v>
      </c>
      <c r="C1047" s="2" t="s">
        <v>8383</v>
      </c>
      <c r="D1047" s="2" t="n">
        <v>523.299805052</v>
      </c>
      <c r="E1047" s="2" t="n">
        <v>3.27817088258172</v>
      </c>
      <c r="F1047" s="2" t="s">
        <v>8385</v>
      </c>
      <c r="G1047" s="2" t="n">
        <v>48137</v>
      </c>
      <c r="H1047" s="3" t="str">
        <f>HYPERLINK("http://funmeta.oebiotech.com/network/48137", "http://funmeta.oebiotech.com/network/48137")</f>
      </c>
      <c r="I1047" s="2" t="s">
        <v>8387</v>
      </c>
      <c r="J1047" s="2" t="s">
        <v>8388</v>
      </c>
      <c r="K1047" s="2"/>
      <c r="L1047" s="2"/>
      <c r="M1047" s="2"/>
      <c r="N1047" s="2" t="s">
        <v>8389</v>
      </c>
      <c r="O1047" s="2" t="s">
        <v>8390</v>
      </c>
      <c r="P1047" s="2" t="s">
        <v>8391</v>
      </c>
      <c r="Q1047" s="2" t="s">
        <v>8392</v>
      </c>
      <c r="R1047" s="2" t="s">
        <v>36</v>
      </c>
      <c r="S1047" s="2" t="s">
        <v>37</v>
      </c>
      <c r="T1047" s="2" t="s">
        <v>69</v>
      </c>
      <c r="U1047" s="2" t="s">
        <v>8384</v>
      </c>
      <c r="V1047" s="2" t="s">
        <v>24</v>
      </c>
      <c r="W1047" s="2"/>
    </row>
    <row r="1048">
      <c r="A1048" s="2" t="n">
        <v>780</v>
      </c>
      <c r="B1048" s="2" t="s">
        <v>15959</v>
      </c>
      <c r="C1048" s="2" t="s">
        <v>8393</v>
      </c>
      <c r="D1048" s="2" t="n">
        <v>524.285650745</v>
      </c>
      <c r="E1048" s="2" t="n">
        <v>1.33193049761442</v>
      </c>
      <c r="F1048" s="2" t="s">
        <v>8395</v>
      </c>
      <c r="G1048" s="2" t="n">
        <v>199116</v>
      </c>
      <c r="H1048" s="3" t="str">
        <f>HYPERLINK("http://funmeta.oebiotech.com/network/199116", "http://funmeta.oebiotech.com/network/199116")</f>
      </c>
      <c r="I1048" s="2" t="s">
        <v>8397</v>
      </c>
      <c r="J1048" s="2"/>
      <c r="K1048" s="2"/>
      <c r="L1048" s="2"/>
      <c r="M1048" s="2"/>
      <c r="N1048" s="2" t="s">
        <v>8398</v>
      </c>
      <c r="O1048" s="2"/>
      <c r="P1048" s="2" t="s">
        <v>8399</v>
      </c>
      <c r="Q1048" s="2" t="s">
        <v>8400</v>
      </c>
      <c r="R1048" s="2" t="s">
        <v>129</v>
      </c>
      <c r="S1048" s="2" t="s">
        <v>130</v>
      </c>
      <c r="T1048" s="2" t="s">
        <v>1681</v>
      </c>
      <c r="U1048" s="2" t="s">
        <v>8394</v>
      </c>
      <c r="V1048" s="2" t="s">
        <v>86</v>
      </c>
      <c r="W1048" s="2"/>
    </row>
    <row r="1049">
      <c r="A1049" s="2" t="n">
        <v>781</v>
      </c>
      <c r="B1049" s="2" t="s">
        <v>15960</v>
      </c>
      <c r="C1049" s="2" t="s">
        <v>8401</v>
      </c>
      <c r="D1049" s="2" t="n">
        <v>524.9593331</v>
      </c>
      <c r="E1049" s="2" t="n">
        <v>8.96852037384374</v>
      </c>
      <c r="F1049" s="2" t="s">
        <v>8403</v>
      </c>
      <c r="G1049" s="2" t="n">
        <v>201544</v>
      </c>
      <c r="H1049" s="3" t="str">
        <f>HYPERLINK("http://funmeta.oebiotech.com/network/201544", "http://funmeta.oebiotech.com/network/201544")</f>
      </c>
      <c r="I1049" s="2" t="s">
        <v>8405</v>
      </c>
      <c r="J1049" s="2"/>
      <c r="K1049" s="2"/>
      <c r="L1049" s="2"/>
      <c r="M1049" s="2"/>
      <c r="N1049" s="2" t="s">
        <v>8406</v>
      </c>
      <c r="O1049" s="2"/>
      <c r="P1049" s="2" t="s">
        <v>8407</v>
      </c>
      <c r="Q1049" s="2" t="s">
        <v>8408</v>
      </c>
      <c r="R1049" s="2" t="s">
        <v>186</v>
      </c>
      <c r="S1049" s="2" t="s">
        <v>187</v>
      </c>
      <c r="T1049" s="2" t="s">
        <v>8409</v>
      </c>
      <c r="U1049" s="2" t="s">
        <v>8402</v>
      </c>
      <c r="V1049" s="2" t="s">
        <v>86</v>
      </c>
      <c r="W1049" s="2"/>
    </row>
    <row r="1050">
      <c r="A1050" s="2" t="n">
        <v>782</v>
      </c>
      <c r="B1050" s="2" t="s">
        <v>15961</v>
      </c>
      <c r="C1050" s="2" t="s">
        <v>8410</v>
      </c>
      <c r="D1050" s="2" t="n">
        <v>525.305990282</v>
      </c>
      <c r="E1050" s="2" t="n">
        <v>1.74262382943641</v>
      </c>
      <c r="F1050" s="2" t="s">
        <v>8412</v>
      </c>
      <c r="G1050" s="2" t="n">
        <v>211204</v>
      </c>
      <c r="H1050" s="3" t="str">
        <f>HYPERLINK("http://funmeta.oebiotech.com/network/211204", "http://funmeta.oebiotech.com/network/211204")</f>
      </c>
      <c r="I1050" s="2" t="s">
        <v>8414</v>
      </c>
      <c r="J1050" s="2"/>
      <c r="K1050" s="2"/>
      <c r="L1050" s="2"/>
      <c r="M1050" s="2"/>
      <c r="N1050" s="2"/>
      <c r="O1050" s="2"/>
      <c r="P1050" s="2" t="s">
        <v>8415</v>
      </c>
      <c r="Q1050" s="2" t="s">
        <v>8416</v>
      </c>
      <c r="R1050" s="2" t="s">
        <v>601</v>
      </c>
      <c r="S1050" s="2" t="s">
        <v>602</v>
      </c>
      <c r="T1050" s="2" t="s">
        <v>1800</v>
      </c>
      <c r="U1050" s="2" t="s">
        <v>8411</v>
      </c>
      <c r="V1050" s="2" t="s">
        <v>218</v>
      </c>
      <c r="W1050" s="2"/>
    </row>
    <row r="1051">
      <c r="A1051" s="2" t="n">
        <v>783</v>
      </c>
      <c r="B1051" s="2" t="s">
        <v>15962</v>
      </c>
      <c r="C1051" s="2" t="s">
        <v>8417</v>
      </c>
      <c r="D1051" s="2" t="n">
        <v>526.299749097</v>
      </c>
      <c r="E1051" s="2" t="n">
        <v>0.584882198062987</v>
      </c>
      <c r="F1051" s="2" t="s">
        <v>8419</v>
      </c>
      <c r="G1051" s="2" t="n">
        <v>204774</v>
      </c>
      <c r="H1051" s="3" t="str">
        <f>HYPERLINK("http://funmeta.oebiotech.com/network/204774", "http://funmeta.oebiotech.com/network/204774")</f>
      </c>
      <c r="I1051" s="2" t="s">
        <v>8421</v>
      </c>
      <c r="J1051" s="2"/>
      <c r="K1051" s="2"/>
      <c r="L1051" s="2"/>
      <c r="M1051" s="2"/>
      <c r="N1051" s="2"/>
      <c r="O1051" s="2"/>
      <c r="P1051" s="2" t="s">
        <v>8422</v>
      </c>
      <c r="Q1051" s="2" t="s">
        <v>8423</v>
      </c>
      <c r="R1051" s="2" t="s">
        <v>794</v>
      </c>
      <c r="S1051" s="2" t="s">
        <v>795</v>
      </c>
      <c r="T1051" s="2" t="s">
        <v>8424</v>
      </c>
      <c r="U1051" s="2" t="s">
        <v>8418</v>
      </c>
      <c r="V1051" s="2" t="s">
        <v>531</v>
      </c>
      <c r="W1051" s="2"/>
    </row>
    <row r="1052">
      <c r="A1052" s="2" t="n">
        <v>784</v>
      </c>
      <c r="B1052" s="2" t="s">
        <v>15963</v>
      </c>
      <c r="C1052" s="2" t="s">
        <v>8425</v>
      </c>
      <c r="D1052" s="2" t="n">
        <v>528.276511727</v>
      </c>
      <c r="E1052" s="2" t="n">
        <v>7.38457460734458</v>
      </c>
      <c r="F1052" s="2" t="s">
        <v>8427</v>
      </c>
      <c r="G1052" s="2" t="n">
        <v>208223</v>
      </c>
      <c r="H1052" s="3" t="str">
        <f>HYPERLINK("http://funmeta.oebiotech.com/network/208223", "http://funmeta.oebiotech.com/network/208223")</f>
      </c>
      <c r="I1052" s="2" t="s">
        <v>8429</v>
      </c>
      <c r="J1052" s="2"/>
      <c r="K1052" s="2"/>
      <c r="L1052" s="2"/>
      <c r="M1052" s="2"/>
      <c r="N1052" s="2" t="s">
        <v>8430</v>
      </c>
      <c r="O1052" s="2"/>
      <c r="P1052" s="2" t="s">
        <v>8431</v>
      </c>
      <c r="Q1052" s="2" t="s">
        <v>8432</v>
      </c>
      <c r="R1052" s="2" t="s">
        <v>794</v>
      </c>
      <c r="S1052" s="2" t="s">
        <v>1098</v>
      </c>
      <c r="T1052" s="2" t="s">
        <v>4662</v>
      </c>
      <c r="U1052" s="2" t="s">
        <v>8426</v>
      </c>
      <c r="V1052" s="2" t="s">
        <v>531</v>
      </c>
      <c r="W1052" s="2"/>
    </row>
    <row r="1053">
      <c r="A1053" s="2" t="n">
        <v>785</v>
      </c>
      <c r="B1053" s="2" t="s">
        <v>15964</v>
      </c>
      <c r="C1053" s="2" t="s">
        <v>8433</v>
      </c>
      <c r="D1053" s="2" t="n">
        <v>529.303159096</v>
      </c>
      <c r="E1053" s="2" t="n">
        <v>7.68020060010603</v>
      </c>
      <c r="F1053" s="2" t="s">
        <v>15965</v>
      </c>
      <c r="G1053" s="2" t="n">
        <v>55208</v>
      </c>
      <c r="H1053" s="3" t="str">
        <f>HYPERLINK("http://funmeta.oebiotech.com/network/55208", "http://funmeta.oebiotech.com/network/55208")</f>
      </c>
      <c r="I1053" s="2" t="s">
        <v>15966</v>
      </c>
      <c r="J1053" s="2" t="s">
        <v>15967</v>
      </c>
      <c r="K1053" s="2"/>
      <c r="L1053" s="2" t="s">
        <v>15968</v>
      </c>
      <c r="M1053" s="2" t="s">
        <v>15969</v>
      </c>
      <c r="N1053" s="2" t="s">
        <v>15970</v>
      </c>
      <c r="O1053" s="2" t="s">
        <v>15971</v>
      </c>
      <c r="P1053" s="2" t="s">
        <v>15972</v>
      </c>
      <c r="Q1053" s="2" t="s">
        <v>15973</v>
      </c>
      <c r="R1053" s="2" t="s">
        <v>186</v>
      </c>
      <c r="S1053" s="2" t="s">
        <v>357</v>
      </c>
      <c r="T1053" s="2" t="s">
        <v>15974</v>
      </c>
      <c r="U1053" s="2" t="s">
        <v>8434</v>
      </c>
      <c r="V1053" s="2" t="s">
        <v>24</v>
      </c>
      <c r="W1053" s="2" t="s">
        <v>101</v>
      </c>
    </row>
    <row r="1054">
      <c r="A1054" s="2" t="n">
        <v>785</v>
      </c>
      <c r="B1054" s="2" t="s">
        <v>15975</v>
      </c>
      <c r="C1054" s="2" t="s">
        <v>8433</v>
      </c>
      <c r="D1054" s="2" t="n">
        <v>529.303159096</v>
      </c>
      <c r="E1054" s="2" t="n">
        <v>7.68020060010603</v>
      </c>
      <c r="F1054" s="2" t="s">
        <v>15976</v>
      </c>
      <c r="G1054" s="2" t="n">
        <v>82416</v>
      </c>
      <c r="H1054" s="3" t="str">
        <f>HYPERLINK("http://funmeta.oebiotech.com/network/82416", "http://funmeta.oebiotech.com/network/82416")</f>
      </c>
      <c r="I1054" s="2" t="s">
        <v>15977</v>
      </c>
      <c r="J1054" s="2" t="s">
        <v>15978</v>
      </c>
      <c r="K1054" s="2"/>
      <c r="L1054" s="2" t="s">
        <v>15979</v>
      </c>
      <c r="M1054" s="2" t="s">
        <v>15980</v>
      </c>
      <c r="N1054" s="2" t="s">
        <v>15981</v>
      </c>
      <c r="O1054" s="2"/>
      <c r="P1054" s="2" t="s">
        <v>15982</v>
      </c>
      <c r="Q1054" s="2" t="s">
        <v>15983</v>
      </c>
      <c r="R1054" s="2" t="s">
        <v>186</v>
      </c>
      <c r="S1054" s="2" t="s">
        <v>357</v>
      </c>
      <c r="T1054" s="2" t="s">
        <v>15974</v>
      </c>
      <c r="U1054" s="2" t="s">
        <v>8434</v>
      </c>
      <c r="V1054" s="2" t="s">
        <v>24</v>
      </c>
      <c r="W1054" s="2" t="s">
        <v>101</v>
      </c>
    </row>
    <row r="1055">
      <c r="A1055" s="2" t="n">
        <v>785</v>
      </c>
      <c r="B1055" s="2" t="s">
        <v>15984</v>
      </c>
      <c r="C1055" s="2" t="s">
        <v>8433</v>
      </c>
      <c r="D1055" s="2" t="n">
        <v>529.303159096</v>
      </c>
      <c r="E1055" s="2" t="n">
        <v>7.68020060010603</v>
      </c>
      <c r="F1055" s="2" t="s">
        <v>15985</v>
      </c>
      <c r="G1055" s="2" t="n">
        <v>82417</v>
      </c>
      <c r="H1055" s="3" t="str">
        <f>HYPERLINK("http://funmeta.oebiotech.com/network/82417", "http://funmeta.oebiotech.com/network/82417")</f>
      </c>
      <c r="I1055" s="2" t="s">
        <v>15986</v>
      </c>
      <c r="J1055" s="2" t="s">
        <v>15987</v>
      </c>
      <c r="K1055" s="2"/>
      <c r="L1055" s="2" t="s">
        <v>15988</v>
      </c>
      <c r="M1055" s="2" t="s">
        <v>15989</v>
      </c>
      <c r="N1055" s="2" t="s">
        <v>15990</v>
      </c>
      <c r="O1055" s="2"/>
      <c r="P1055" s="2" t="s">
        <v>15991</v>
      </c>
      <c r="Q1055" s="2" t="s">
        <v>15992</v>
      </c>
      <c r="R1055" s="2" t="s">
        <v>186</v>
      </c>
      <c r="S1055" s="2" t="s">
        <v>357</v>
      </c>
      <c r="T1055" s="2" t="s">
        <v>15974</v>
      </c>
      <c r="U1055" s="2" t="s">
        <v>8434</v>
      </c>
      <c r="V1055" s="2" t="s">
        <v>24</v>
      </c>
      <c r="W1055" s="2" t="s">
        <v>101</v>
      </c>
    </row>
    <row r="1056">
      <c r="A1056" s="2" t="n">
        <v>786</v>
      </c>
      <c r="B1056" s="2" t="s">
        <v>15993</v>
      </c>
      <c r="C1056" s="2" t="s">
        <v>8447</v>
      </c>
      <c r="D1056" s="2" t="n">
        <v>530.301891471</v>
      </c>
      <c r="E1056" s="2" t="n">
        <v>1.3931739227148</v>
      </c>
      <c r="F1056" s="2" t="s">
        <v>8449</v>
      </c>
      <c r="G1056" s="2" t="n">
        <v>19830</v>
      </c>
      <c r="H1056" s="3" t="str">
        <f>HYPERLINK("http://funmeta.oebiotech.com/network/19830", "http://funmeta.oebiotech.com/network/19830")</f>
      </c>
      <c r="I1056" s="2" t="s">
        <v>8451</v>
      </c>
      <c r="J1056" s="2" t="s">
        <v>8452</v>
      </c>
      <c r="K1056" s="2" t="s">
        <v>8453</v>
      </c>
      <c r="L1056" s="2" t="s">
        <v>8454</v>
      </c>
      <c r="M1056" s="2" t="s">
        <v>8455</v>
      </c>
      <c r="N1056" s="2" t="s">
        <v>8456</v>
      </c>
      <c r="O1056" s="2" t="s">
        <v>8457</v>
      </c>
      <c r="P1056" s="2" t="s">
        <v>8458</v>
      </c>
      <c r="Q1056" s="2" t="s">
        <v>8459</v>
      </c>
      <c r="R1056" s="2" t="s">
        <v>794</v>
      </c>
      <c r="S1056" s="2" t="s">
        <v>7122</v>
      </c>
      <c r="T1056" s="2" t="s">
        <v>8460</v>
      </c>
      <c r="U1056" s="2" t="s">
        <v>8448</v>
      </c>
      <c r="V1056" s="2" t="s">
        <v>86</v>
      </c>
      <c r="W1056" s="2" t="s">
        <v>39</v>
      </c>
    </row>
    <row r="1057">
      <c r="A1057" s="2" t="n">
        <v>787</v>
      </c>
      <c r="B1057" s="2" t="s">
        <v>15994</v>
      </c>
      <c r="C1057" s="2" t="s">
        <v>8461</v>
      </c>
      <c r="D1057" s="2" t="n">
        <v>531.296342384</v>
      </c>
      <c r="E1057" s="2" t="n">
        <v>0.163430923553815</v>
      </c>
      <c r="F1057" s="2" t="s">
        <v>8463</v>
      </c>
      <c r="G1057" s="2" t="n">
        <v>82454</v>
      </c>
      <c r="H1057" s="3" t="str">
        <f>HYPERLINK("http://funmeta.oebiotech.com/network/82454", "http://funmeta.oebiotech.com/network/82454")</f>
      </c>
      <c r="I1057" s="2" t="s">
        <v>8465</v>
      </c>
      <c r="J1057" s="2"/>
      <c r="K1057" s="2"/>
      <c r="L1057" s="2"/>
      <c r="M1057" s="2"/>
      <c r="N1057" s="2" t="s">
        <v>8466</v>
      </c>
      <c r="O1057" s="2"/>
      <c r="P1057" s="2" t="s">
        <v>8467</v>
      </c>
      <c r="Q1057" s="2" t="s">
        <v>8468</v>
      </c>
      <c r="R1057" s="2" t="s">
        <v>114</v>
      </c>
      <c r="S1057" s="2" t="s">
        <v>8469</v>
      </c>
      <c r="T1057" s="2" t="s">
        <v>215</v>
      </c>
      <c r="U1057" s="2" t="s">
        <v>8462</v>
      </c>
      <c r="V1057" s="2" t="s">
        <v>683</v>
      </c>
      <c r="W1057" s="2" t="s">
        <v>56</v>
      </c>
    </row>
    <row r="1058">
      <c r="A1058" s="2" t="n">
        <v>788</v>
      </c>
      <c r="B1058" s="2" t="s">
        <v>15995</v>
      </c>
      <c r="C1058" s="2" t="s">
        <v>8470</v>
      </c>
      <c r="D1058" s="2" t="n">
        <v>537.488834605</v>
      </c>
      <c r="E1058" s="2" t="n">
        <v>6.52750806327101</v>
      </c>
      <c r="F1058" s="2" t="s">
        <v>15996</v>
      </c>
      <c r="G1058" s="2" t="n">
        <v>8397</v>
      </c>
      <c r="H1058" s="3" t="str">
        <f>HYPERLINK("http://funmeta.oebiotech.com/network/8397", "http://funmeta.oebiotech.com/network/8397")</f>
      </c>
      <c r="I1058" s="2" t="s">
        <v>15997</v>
      </c>
      <c r="J1058" s="2"/>
      <c r="K1058" s="2" t="s">
        <v>15998</v>
      </c>
      <c r="L1058" s="2"/>
      <c r="M1058" s="2" t="s">
        <v>15999</v>
      </c>
      <c r="N1058" s="2" t="s">
        <v>16000</v>
      </c>
      <c r="O1058" s="2" t="s">
        <v>16001</v>
      </c>
      <c r="P1058" s="2" t="s">
        <v>16002</v>
      </c>
      <c r="Q1058" s="2" t="s">
        <v>16003</v>
      </c>
      <c r="R1058" s="2" t="s">
        <v>794</v>
      </c>
      <c r="S1058" s="2" t="s">
        <v>795</v>
      </c>
      <c r="T1058" s="2" t="s">
        <v>796</v>
      </c>
      <c r="U1058" s="2" t="s">
        <v>8471</v>
      </c>
      <c r="V1058" s="2" t="s">
        <v>24</v>
      </c>
      <c r="W1058" s="2"/>
    </row>
    <row r="1059">
      <c r="A1059" s="2" t="n">
        <v>788</v>
      </c>
      <c r="B1059" s="2" t="s">
        <v>16004</v>
      </c>
      <c r="C1059" s="2" t="s">
        <v>8470</v>
      </c>
      <c r="D1059" s="2" t="n">
        <v>537.488834605</v>
      </c>
      <c r="E1059" s="2" t="n">
        <v>6.52750806327101</v>
      </c>
      <c r="F1059" s="2" t="s">
        <v>16005</v>
      </c>
      <c r="G1059" s="2" t="n">
        <v>8398</v>
      </c>
      <c r="H1059" s="3" t="str">
        <f>HYPERLINK("http://funmeta.oebiotech.com/network/8398", "http://funmeta.oebiotech.com/network/8398")</f>
      </c>
      <c r="I1059" s="2" t="s">
        <v>16006</v>
      </c>
      <c r="J1059" s="2"/>
      <c r="K1059" s="2" t="s">
        <v>16007</v>
      </c>
      <c r="L1059" s="2"/>
      <c r="M1059" s="2" t="s">
        <v>16008</v>
      </c>
      <c r="N1059" s="2" t="s">
        <v>16009</v>
      </c>
      <c r="O1059" s="2" t="s">
        <v>16010</v>
      </c>
      <c r="P1059" s="2" t="s">
        <v>16011</v>
      </c>
      <c r="Q1059" s="2" t="s">
        <v>16012</v>
      </c>
      <c r="R1059" s="2" t="s">
        <v>794</v>
      </c>
      <c r="S1059" s="2" t="s">
        <v>795</v>
      </c>
      <c r="T1059" s="2" t="s">
        <v>796</v>
      </c>
      <c r="U1059" s="2" t="s">
        <v>8471</v>
      </c>
      <c r="V1059" s="2" t="s">
        <v>24</v>
      </c>
      <c r="W1059" s="2"/>
    </row>
    <row r="1060">
      <c r="A1060" s="2" t="n">
        <v>788</v>
      </c>
      <c r="B1060" s="2" t="s">
        <v>16013</v>
      </c>
      <c r="C1060" s="2" t="s">
        <v>8470</v>
      </c>
      <c r="D1060" s="2" t="n">
        <v>537.488834605</v>
      </c>
      <c r="E1060" s="2" t="n">
        <v>6.52750806327101</v>
      </c>
      <c r="F1060" s="2" t="s">
        <v>16014</v>
      </c>
      <c r="G1060" s="2" t="n">
        <v>8399</v>
      </c>
      <c r="H1060" s="3" t="str">
        <f>HYPERLINK("http://funmeta.oebiotech.com/network/8399", "http://funmeta.oebiotech.com/network/8399")</f>
      </c>
      <c r="I1060" s="2" t="s">
        <v>16015</v>
      </c>
      <c r="J1060" s="2"/>
      <c r="K1060" s="2" t="s">
        <v>16016</v>
      </c>
      <c r="L1060" s="2"/>
      <c r="M1060" s="2" t="s">
        <v>16017</v>
      </c>
      <c r="N1060" s="2" t="s">
        <v>16018</v>
      </c>
      <c r="O1060" s="2" t="s">
        <v>16019</v>
      </c>
      <c r="P1060" s="2" t="s">
        <v>16020</v>
      </c>
      <c r="Q1060" s="2" t="s">
        <v>16021</v>
      </c>
      <c r="R1060" s="2" t="s">
        <v>794</v>
      </c>
      <c r="S1060" s="2" t="s">
        <v>795</v>
      </c>
      <c r="T1060" s="2" t="s">
        <v>796</v>
      </c>
      <c r="U1060" s="2" t="s">
        <v>8471</v>
      </c>
      <c r="V1060" s="2" t="s">
        <v>24</v>
      </c>
      <c r="W1060" s="2"/>
    </row>
    <row r="1061">
      <c r="A1061" s="2" t="n">
        <v>789</v>
      </c>
      <c r="B1061" s="2" t="s">
        <v>16022</v>
      </c>
      <c r="C1061" s="2" t="s">
        <v>8481</v>
      </c>
      <c r="D1061" s="2" t="n">
        <v>537.9335996</v>
      </c>
      <c r="E1061" s="2" t="n">
        <v>1.372905793316</v>
      </c>
      <c r="F1061" s="2" t="s">
        <v>8483</v>
      </c>
      <c r="G1061" s="2" t="n">
        <v>203146</v>
      </c>
      <c r="H1061" s="3" t="str">
        <f>HYPERLINK("http://funmeta.oebiotech.com/network/203146", "http://funmeta.oebiotech.com/network/203146")</f>
      </c>
      <c r="I1061" s="2" t="s">
        <v>8485</v>
      </c>
      <c r="J1061" s="2" t="s">
        <v>8486</v>
      </c>
      <c r="K1061" s="2"/>
      <c r="L1061" s="2"/>
      <c r="M1061" s="2"/>
      <c r="N1061" s="2" t="s">
        <v>8487</v>
      </c>
      <c r="O1061" s="2" t="s">
        <v>8488</v>
      </c>
      <c r="P1061" s="2" t="s">
        <v>8489</v>
      </c>
      <c r="Q1061" s="2" t="s">
        <v>8490</v>
      </c>
      <c r="R1061" s="2" t="s">
        <v>186</v>
      </c>
      <c r="S1061" s="2" t="s">
        <v>8491</v>
      </c>
      <c r="T1061" s="2" t="s">
        <v>215</v>
      </c>
      <c r="U1061" s="2" t="s">
        <v>8482</v>
      </c>
      <c r="V1061" s="2" t="s">
        <v>86</v>
      </c>
      <c r="W1061" s="2"/>
    </row>
    <row r="1062">
      <c r="A1062" s="2" t="n">
        <v>790</v>
      </c>
      <c r="B1062" s="2" t="s">
        <v>16023</v>
      </c>
      <c r="C1062" s="2" t="s">
        <v>8492</v>
      </c>
      <c r="D1062" s="2" t="n">
        <v>539.141295184</v>
      </c>
      <c r="E1062" s="2" t="n">
        <v>4.50584963122731</v>
      </c>
      <c r="F1062" s="2" t="s">
        <v>8494</v>
      </c>
      <c r="G1062" s="2" t="n">
        <v>210481</v>
      </c>
      <c r="H1062" s="3" t="str">
        <f>HYPERLINK("http://funmeta.oebiotech.com/network/210481", "http://funmeta.oebiotech.com/network/210481")</f>
      </c>
      <c r="I1062" s="2" t="s">
        <v>8496</v>
      </c>
      <c r="J1062" s="2"/>
      <c r="K1062" s="2"/>
      <c r="L1062" s="2"/>
      <c r="M1062" s="2"/>
      <c r="N1062" s="2"/>
      <c r="O1062" s="2"/>
      <c r="P1062" s="2" t="s">
        <v>8497</v>
      </c>
      <c r="Q1062" s="2" t="s">
        <v>8498</v>
      </c>
      <c r="R1062" s="2" t="s">
        <v>186</v>
      </c>
      <c r="S1062" s="2" t="s">
        <v>187</v>
      </c>
      <c r="T1062" s="2" t="s">
        <v>8409</v>
      </c>
      <c r="U1062" s="2" t="s">
        <v>8493</v>
      </c>
      <c r="V1062" s="2" t="s">
        <v>86</v>
      </c>
      <c r="W1062" s="2"/>
    </row>
    <row r="1063">
      <c r="A1063" s="2" t="n">
        <v>791</v>
      </c>
      <c r="B1063" s="2" t="s">
        <v>16024</v>
      </c>
      <c r="C1063" s="2" t="s">
        <v>8499</v>
      </c>
      <c r="D1063" s="2" t="n">
        <v>539.919358495</v>
      </c>
      <c r="E1063" s="2" t="n">
        <v>1.43883242716477</v>
      </c>
      <c r="F1063" s="2" t="s">
        <v>16025</v>
      </c>
      <c r="G1063" s="2" t="n">
        <v>82515</v>
      </c>
      <c r="H1063" s="3" t="str">
        <f>HYPERLINK("http://funmeta.oebiotech.com/network/82515", "http://funmeta.oebiotech.com/network/82515")</f>
      </c>
      <c r="I1063" s="2" t="s">
        <v>16026</v>
      </c>
      <c r="J1063" s="2"/>
      <c r="K1063" s="2"/>
      <c r="L1063" s="2"/>
      <c r="M1063" s="2"/>
      <c r="N1063" s="2" t="s">
        <v>16027</v>
      </c>
      <c r="O1063" s="2"/>
      <c r="P1063" s="2" t="s">
        <v>16028</v>
      </c>
      <c r="Q1063" s="2" t="s">
        <v>16029</v>
      </c>
      <c r="R1063" s="2" t="s">
        <v>114</v>
      </c>
      <c r="S1063" s="2" t="s">
        <v>369</v>
      </c>
      <c r="T1063" s="2" t="s">
        <v>370</v>
      </c>
      <c r="U1063" s="2" t="s">
        <v>8500</v>
      </c>
      <c r="V1063" s="2" t="s">
        <v>218</v>
      </c>
      <c r="W1063" s="2"/>
    </row>
    <row r="1064">
      <c r="A1064" s="2" t="n">
        <v>791</v>
      </c>
      <c r="B1064" s="2" t="s">
        <v>16030</v>
      </c>
      <c r="C1064" s="2" t="s">
        <v>8499</v>
      </c>
      <c r="D1064" s="2" t="n">
        <v>539.919359843</v>
      </c>
      <c r="E1064" s="2" t="n">
        <v>1.43883242716477</v>
      </c>
      <c r="F1064" s="2" t="s">
        <v>16031</v>
      </c>
      <c r="G1064" s="2" t="n">
        <v>205910</v>
      </c>
      <c r="H1064" s="3" t="str">
        <f>HYPERLINK("http://funmeta.oebiotech.com/network/205910", "http://funmeta.oebiotech.com/network/205910")</f>
      </c>
      <c r="I1064" s="2" t="s">
        <v>16032</v>
      </c>
      <c r="J1064" s="2"/>
      <c r="K1064" s="2"/>
      <c r="L1064" s="2"/>
      <c r="M1064" s="2"/>
      <c r="N1064" s="2"/>
      <c r="O1064" s="2"/>
      <c r="P1064" s="2" t="s">
        <v>16033</v>
      </c>
      <c r="Q1064" s="2" t="s">
        <v>16034</v>
      </c>
      <c r="R1064" s="2" t="s">
        <v>2416</v>
      </c>
      <c r="S1064" s="2" t="s">
        <v>10012</v>
      </c>
      <c r="T1064" s="2" t="s">
        <v>11031</v>
      </c>
      <c r="U1064" s="2" t="s">
        <v>8500</v>
      </c>
      <c r="V1064" s="2" t="s">
        <v>218</v>
      </c>
      <c r="W1064" s="2"/>
    </row>
    <row r="1065">
      <c r="A1065" s="2" t="n">
        <v>792</v>
      </c>
      <c r="B1065" s="2" t="s">
        <v>16035</v>
      </c>
      <c r="C1065" s="2" t="s">
        <v>8510</v>
      </c>
      <c r="D1065" s="2" t="n">
        <v>540.054803677</v>
      </c>
      <c r="E1065" s="2" t="n">
        <v>8.28654674138557</v>
      </c>
      <c r="F1065" s="2" t="s">
        <v>8512</v>
      </c>
      <c r="G1065" s="2" t="n">
        <v>205718</v>
      </c>
      <c r="H1065" s="3" t="str">
        <f>HYPERLINK("http://funmeta.oebiotech.com/network/205718", "http://funmeta.oebiotech.com/network/205718")</f>
      </c>
      <c r="I1065" s="2" t="s">
        <v>8514</v>
      </c>
      <c r="J1065" s="2"/>
      <c r="K1065" s="2"/>
      <c r="L1065" s="2"/>
      <c r="M1065" s="2"/>
      <c r="N1065" s="2" t="s">
        <v>8515</v>
      </c>
      <c r="O1065" s="2"/>
      <c r="P1065" s="2" t="s">
        <v>8516</v>
      </c>
      <c r="Q1065" s="2" t="s">
        <v>8517</v>
      </c>
      <c r="R1065" s="2" t="s">
        <v>186</v>
      </c>
      <c r="S1065" s="2" t="s">
        <v>187</v>
      </c>
      <c r="T1065" s="2" t="s">
        <v>8409</v>
      </c>
      <c r="U1065" s="2" t="s">
        <v>8511</v>
      </c>
      <c r="V1065" s="2" t="s">
        <v>86</v>
      </c>
      <c r="W1065" s="2"/>
    </row>
    <row r="1066">
      <c r="A1066" s="2" t="n">
        <v>793</v>
      </c>
      <c r="B1066" s="2" t="s">
        <v>16036</v>
      </c>
      <c r="C1066" s="2" t="s">
        <v>8518</v>
      </c>
      <c r="D1066" s="2" t="n">
        <v>540.323166257</v>
      </c>
      <c r="E1066" s="2" t="n">
        <v>3.18027329535514</v>
      </c>
      <c r="F1066" s="2" t="s">
        <v>8520</v>
      </c>
      <c r="G1066" s="2" t="n">
        <v>204632</v>
      </c>
      <c r="H1066" s="3" t="str">
        <f>HYPERLINK("http://funmeta.oebiotech.com/network/204632", "http://funmeta.oebiotech.com/network/204632")</f>
      </c>
      <c r="I1066" s="2" t="s">
        <v>8522</v>
      </c>
      <c r="J1066" s="2"/>
      <c r="K1066" s="2"/>
      <c r="L1066" s="2"/>
      <c r="M1066" s="2"/>
      <c r="N1066" s="2" t="s">
        <v>8523</v>
      </c>
      <c r="O1066" s="2"/>
      <c r="P1066" s="2" t="s">
        <v>8524</v>
      </c>
      <c r="Q1066" s="2" t="s">
        <v>8525</v>
      </c>
      <c r="R1066" s="2" t="s">
        <v>186</v>
      </c>
      <c r="S1066" s="2" t="s">
        <v>4086</v>
      </c>
      <c r="T1066" s="2" t="s">
        <v>8526</v>
      </c>
      <c r="U1066" s="2" t="s">
        <v>8519</v>
      </c>
      <c r="V1066" s="2" t="s">
        <v>24</v>
      </c>
      <c r="W1066" s="2"/>
    </row>
    <row r="1067">
      <c r="A1067" s="2" t="n">
        <v>794</v>
      </c>
      <c r="B1067" s="2" t="s">
        <v>16037</v>
      </c>
      <c r="C1067" s="2" t="s">
        <v>8527</v>
      </c>
      <c r="D1067" s="2" t="n">
        <v>541.0572598</v>
      </c>
      <c r="E1067" s="2" t="n">
        <v>2.38411355329412</v>
      </c>
      <c r="F1067" s="2" t="s">
        <v>8529</v>
      </c>
      <c r="G1067" s="2" t="n">
        <v>206225</v>
      </c>
      <c r="H1067" s="3" t="str">
        <f>HYPERLINK("http://funmeta.oebiotech.com/network/206225", "http://funmeta.oebiotech.com/network/206225")</f>
      </c>
      <c r="I1067" s="2" t="s">
        <v>8531</v>
      </c>
      <c r="J1067" s="2" t="s">
        <v>8532</v>
      </c>
      <c r="K1067" s="2"/>
      <c r="L1067" s="2"/>
      <c r="M1067" s="2"/>
      <c r="N1067" s="2" t="s">
        <v>8533</v>
      </c>
      <c r="O1067" s="2" t="s">
        <v>8534</v>
      </c>
      <c r="P1067" s="2" t="s">
        <v>8535</v>
      </c>
      <c r="Q1067" s="2" t="s">
        <v>8536</v>
      </c>
      <c r="R1067" s="2" t="s">
        <v>186</v>
      </c>
      <c r="S1067" s="2" t="s">
        <v>187</v>
      </c>
      <c r="T1067" s="2" t="s">
        <v>8537</v>
      </c>
      <c r="U1067" s="2" t="s">
        <v>8528</v>
      </c>
      <c r="V1067" s="2" t="s">
        <v>205</v>
      </c>
      <c r="W1067" s="2"/>
    </row>
    <row r="1068">
      <c r="A1068" s="2" t="n">
        <v>795</v>
      </c>
      <c r="B1068" s="2" t="s">
        <v>16038</v>
      </c>
      <c r="C1068" s="2" t="s">
        <v>8538</v>
      </c>
      <c r="D1068" s="2" t="n">
        <v>541.325904274</v>
      </c>
      <c r="E1068" s="2" t="n">
        <v>1.07633946339843</v>
      </c>
      <c r="F1068" s="2" t="s">
        <v>8540</v>
      </c>
      <c r="G1068" s="2" t="n">
        <v>198861</v>
      </c>
      <c r="H1068" s="3" t="str">
        <f>HYPERLINK("http://funmeta.oebiotech.com/network/198861", "http://funmeta.oebiotech.com/network/198861")</f>
      </c>
      <c r="I1068" s="2" t="s">
        <v>8542</v>
      </c>
      <c r="J1068" s="2"/>
      <c r="K1068" s="2"/>
      <c r="L1068" s="2"/>
      <c r="M1068" s="2"/>
      <c r="N1068" s="2"/>
      <c r="O1068" s="2"/>
      <c r="P1068" s="2" t="s">
        <v>8543</v>
      </c>
      <c r="Q1068" s="2" t="s">
        <v>8544</v>
      </c>
      <c r="R1068" s="2" t="s">
        <v>794</v>
      </c>
      <c r="S1068" s="2" t="s">
        <v>2971</v>
      </c>
      <c r="T1068" s="2" t="s">
        <v>6499</v>
      </c>
      <c r="U1068" s="2" t="s">
        <v>8539</v>
      </c>
      <c r="V1068" s="2" t="s">
        <v>531</v>
      </c>
      <c r="W1068" s="2"/>
    </row>
    <row r="1069">
      <c r="A1069" s="2" t="n">
        <v>796</v>
      </c>
      <c r="B1069" s="2" t="s">
        <v>16039</v>
      </c>
      <c r="C1069" s="2" t="s">
        <v>8545</v>
      </c>
      <c r="D1069" s="2" t="n">
        <v>542.325390302</v>
      </c>
      <c r="E1069" s="2" t="n">
        <v>9.15456761053695</v>
      </c>
      <c r="F1069" s="2" t="s">
        <v>8547</v>
      </c>
      <c r="G1069" s="2" t="n">
        <v>198833</v>
      </c>
      <c r="H1069" s="3" t="str">
        <f>HYPERLINK("http://funmeta.oebiotech.com/network/198833", "http://funmeta.oebiotech.com/network/198833")</f>
      </c>
      <c r="I1069" s="2" t="s">
        <v>8549</v>
      </c>
      <c r="J1069" s="2"/>
      <c r="K1069" s="2"/>
      <c r="L1069" s="2"/>
      <c r="M1069" s="2"/>
      <c r="N1069" s="2" t="s">
        <v>8550</v>
      </c>
      <c r="O1069" s="2"/>
      <c r="P1069" s="2" t="s">
        <v>8551</v>
      </c>
      <c r="Q1069" s="2" t="s">
        <v>8552</v>
      </c>
      <c r="R1069" s="2" t="s">
        <v>794</v>
      </c>
      <c r="S1069" s="2" t="s">
        <v>2971</v>
      </c>
      <c r="T1069" s="2" t="s">
        <v>6499</v>
      </c>
      <c r="U1069" s="2" t="s">
        <v>8546</v>
      </c>
      <c r="V1069" s="2" t="s">
        <v>86</v>
      </c>
      <c r="W1069" s="2"/>
    </row>
    <row r="1070">
      <c r="A1070" s="2" t="n">
        <v>797</v>
      </c>
      <c r="B1070" s="2" t="s">
        <v>16040</v>
      </c>
      <c r="C1070" s="2" t="s">
        <v>8553</v>
      </c>
      <c r="D1070" s="2" t="n">
        <v>543.339918158</v>
      </c>
      <c r="E1070" s="2" t="n">
        <v>6.4532828116026</v>
      </c>
      <c r="F1070" s="2" t="s">
        <v>8555</v>
      </c>
      <c r="G1070" s="2" t="n">
        <v>59052</v>
      </c>
      <c r="H1070" s="3" t="str">
        <f>HYPERLINK("http://funmeta.oebiotech.com/network/59052", "http://funmeta.oebiotech.com/network/59052")</f>
      </c>
      <c r="I1070" s="2" t="s">
        <v>8557</v>
      </c>
      <c r="J1070" s="2" t="s">
        <v>8558</v>
      </c>
      <c r="K1070" s="2"/>
      <c r="L1070" s="2"/>
      <c r="M1070" s="2"/>
      <c r="N1070" s="2" t="s">
        <v>8559</v>
      </c>
      <c r="O1070" s="2" t="s">
        <v>8560</v>
      </c>
      <c r="P1070" s="2" t="s">
        <v>8561</v>
      </c>
      <c r="Q1070" s="2" t="s">
        <v>8562</v>
      </c>
      <c r="R1070" s="2" t="s">
        <v>794</v>
      </c>
      <c r="S1070" s="2" t="s">
        <v>1098</v>
      </c>
      <c r="T1070" s="2" t="s">
        <v>8563</v>
      </c>
      <c r="U1070" s="2" t="s">
        <v>8554</v>
      </c>
      <c r="V1070" s="2" t="s">
        <v>86</v>
      </c>
      <c r="W1070" s="2" t="s">
        <v>56</v>
      </c>
    </row>
    <row r="1071">
      <c r="A1071" s="2" t="n">
        <v>798</v>
      </c>
      <c r="B1071" s="2" t="s">
        <v>16041</v>
      </c>
      <c r="C1071" s="2" t="s">
        <v>8564</v>
      </c>
      <c r="D1071" s="2" t="n">
        <v>544.273629507</v>
      </c>
      <c r="E1071" s="2" t="n">
        <v>3.47025627208641</v>
      </c>
      <c r="F1071" s="2" t="s">
        <v>8566</v>
      </c>
      <c r="G1071" s="2" t="n">
        <v>61295</v>
      </c>
      <c r="H1071" s="3" t="str">
        <f>HYPERLINK("http://funmeta.oebiotech.com/network/61295", "http://funmeta.oebiotech.com/network/61295")</f>
      </c>
      <c r="I1071" s="2" t="s">
        <v>8568</v>
      </c>
      <c r="J1071" s="2" t="s">
        <v>8569</v>
      </c>
      <c r="K1071" s="2"/>
      <c r="L1071" s="2"/>
      <c r="M1071" s="2"/>
      <c r="N1071" s="2" t="s">
        <v>8570</v>
      </c>
      <c r="O1071" s="2" t="s">
        <v>8571</v>
      </c>
      <c r="P1071" s="2" t="s">
        <v>8572</v>
      </c>
      <c r="Q1071" s="2" t="s">
        <v>8573</v>
      </c>
      <c r="R1071" s="2" t="s">
        <v>186</v>
      </c>
      <c r="S1071" s="2" t="s">
        <v>911</v>
      </c>
      <c r="T1071" s="2" t="s">
        <v>215</v>
      </c>
      <c r="U1071" s="2" t="s">
        <v>8565</v>
      </c>
      <c r="V1071" s="2" t="s">
        <v>86</v>
      </c>
      <c r="W1071" s="2" t="s">
        <v>56</v>
      </c>
    </row>
    <row r="1072">
      <c r="A1072" s="2" t="n">
        <v>799</v>
      </c>
      <c r="B1072" s="2" t="s">
        <v>16042</v>
      </c>
      <c r="C1072" s="2" t="s">
        <v>8574</v>
      </c>
      <c r="D1072" s="2" t="n">
        <v>546.336349079</v>
      </c>
      <c r="E1072" s="2" t="n">
        <v>6.15103671842437</v>
      </c>
      <c r="F1072" s="2" t="s">
        <v>8576</v>
      </c>
      <c r="G1072" s="2" t="n">
        <v>207738</v>
      </c>
      <c r="H1072" s="3" t="str">
        <f>HYPERLINK("http://funmeta.oebiotech.com/network/207738", "http://funmeta.oebiotech.com/network/207738")</f>
      </c>
      <c r="I1072" s="2" t="s">
        <v>8578</v>
      </c>
      <c r="J1072" s="2" t="s">
        <v>8579</v>
      </c>
      <c r="K1072" s="2"/>
      <c r="L1072" s="2"/>
      <c r="M1072" s="2"/>
      <c r="N1072" s="2" t="s">
        <v>8580</v>
      </c>
      <c r="O1072" s="2"/>
      <c r="P1072" s="2" t="s">
        <v>8581</v>
      </c>
      <c r="Q1072" s="2" t="s">
        <v>8582</v>
      </c>
      <c r="R1072" s="2" t="s">
        <v>601</v>
      </c>
      <c r="S1072" s="2" t="s">
        <v>602</v>
      </c>
      <c r="T1072" s="2" t="s">
        <v>8583</v>
      </c>
      <c r="U1072" s="2" t="s">
        <v>8575</v>
      </c>
      <c r="V1072" s="2" t="s">
        <v>531</v>
      </c>
      <c r="W1072" s="2"/>
    </row>
    <row r="1073">
      <c r="A1073" s="2" t="n">
        <v>800</v>
      </c>
      <c r="B1073" s="2" t="s">
        <v>16043</v>
      </c>
      <c r="C1073" s="2" t="s">
        <v>8584</v>
      </c>
      <c r="D1073" s="2" t="n">
        <v>547.319576646</v>
      </c>
      <c r="E1073" s="2" t="n">
        <v>6.82367158777991</v>
      </c>
      <c r="F1073" s="2" t="s">
        <v>16044</v>
      </c>
      <c r="G1073" s="2" t="n">
        <v>56344</v>
      </c>
      <c r="H1073" s="3" t="str">
        <f>HYPERLINK("http://funmeta.oebiotech.com/network/56344", "http://funmeta.oebiotech.com/network/56344")</f>
      </c>
      <c r="I1073" s="2" t="s">
        <v>16045</v>
      </c>
      <c r="J1073" s="2" t="s">
        <v>16046</v>
      </c>
      <c r="K1073" s="2"/>
      <c r="L1073" s="2"/>
      <c r="M1073" s="2"/>
      <c r="N1073" s="2" t="s">
        <v>16047</v>
      </c>
      <c r="O1073" s="2" t="s">
        <v>16048</v>
      </c>
      <c r="P1073" s="2" t="s">
        <v>16049</v>
      </c>
      <c r="Q1073" s="2" t="s">
        <v>16050</v>
      </c>
      <c r="R1073" s="2" t="s">
        <v>794</v>
      </c>
      <c r="S1073" s="2" t="s">
        <v>1098</v>
      </c>
      <c r="T1073" s="2" t="s">
        <v>7646</v>
      </c>
      <c r="U1073" s="2" t="s">
        <v>8585</v>
      </c>
      <c r="V1073" s="2" t="s">
        <v>86</v>
      </c>
      <c r="W1073" s="2" t="s">
        <v>56</v>
      </c>
    </row>
    <row r="1074">
      <c r="A1074" s="2" t="n">
        <v>800</v>
      </c>
      <c r="B1074" s="2" t="s">
        <v>16051</v>
      </c>
      <c r="C1074" s="2" t="s">
        <v>8584</v>
      </c>
      <c r="D1074" s="2" t="n">
        <v>547.319576646</v>
      </c>
      <c r="E1074" s="2" t="n">
        <v>6.82367158777991</v>
      </c>
      <c r="F1074" s="2" t="s">
        <v>16052</v>
      </c>
      <c r="G1074" s="2" t="n">
        <v>58640</v>
      </c>
      <c r="H1074" s="3" t="str">
        <f>HYPERLINK("http://funmeta.oebiotech.com/network/58640", "http://funmeta.oebiotech.com/network/58640")</f>
      </c>
      <c r="I1074" s="2" t="s">
        <v>16053</v>
      </c>
      <c r="J1074" s="2" t="s">
        <v>16054</v>
      </c>
      <c r="K1074" s="2"/>
      <c r="L1074" s="2"/>
      <c r="M1074" s="2"/>
      <c r="N1074" s="2" t="s">
        <v>16055</v>
      </c>
      <c r="O1074" s="2" t="s">
        <v>16056</v>
      </c>
      <c r="P1074" s="2" t="s">
        <v>16057</v>
      </c>
      <c r="Q1074" s="2" t="s">
        <v>16058</v>
      </c>
      <c r="R1074" s="2" t="s">
        <v>794</v>
      </c>
      <c r="S1074" s="2" t="s">
        <v>1098</v>
      </c>
      <c r="T1074" s="2" t="s">
        <v>7646</v>
      </c>
      <c r="U1074" s="2" t="s">
        <v>8585</v>
      </c>
      <c r="V1074" s="2" t="s">
        <v>86</v>
      </c>
      <c r="W1074" s="2" t="s">
        <v>56</v>
      </c>
    </row>
    <row r="1075">
      <c r="A1075" s="2" t="n">
        <v>800</v>
      </c>
      <c r="B1075" s="2" t="s">
        <v>16059</v>
      </c>
      <c r="C1075" s="2" t="s">
        <v>8584</v>
      </c>
      <c r="D1075" s="2" t="n">
        <v>547.319576646</v>
      </c>
      <c r="E1075" s="2" t="n">
        <v>6.82367158777991</v>
      </c>
      <c r="F1075" s="2" t="s">
        <v>16060</v>
      </c>
      <c r="G1075" s="2" t="n">
        <v>59195</v>
      </c>
      <c r="H1075" s="3" t="str">
        <f>HYPERLINK("http://funmeta.oebiotech.com/network/59195", "http://funmeta.oebiotech.com/network/59195")</f>
      </c>
      <c r="I1075" s="2" t="s">
        <v>16061</v>
      </c>
      <c r="J1075" s="2"/>
      <c r="K1075" s="2"/>
      <c r="L1075" s="2"/>
      <c r="M1075" s="2"/>
      <c r="N1075" s="2" t="s">
        <v>16062</v>
      </c>
      <c r="O1075" s="2"/>
      <c r="P1075" s="2" t="s">
        <v>16063</v>
      </c>
      <c r="Q1075" s="2" t="s">
        <v>16064</v>
      </c>
      <c r="R1075" s="2" t="s">
        <v>794</v>
      </c>
      <c r="S1075" s="2" t="s">
        <v>1098</v>
      </c>
      <c r="T1075" s="2" t="s">
        <v>7646</v>
      </c>
      <c r="U1075" s="2" t="s">
        <v>8585</v>
      </c>
      <c r="V1075" s="2" t="s">
        <v>86</v>
      </c>
      <c r="W1075" s="2" t="s">
        <v>56</v>
      </c>
    </row>
    <row r="1076">
      <c r="A1076" s="2" t="n">
        <v>801</v>
      </c>
      <c r="B1076" s="2" t="s">
        <v>16065</v>
      </c>
      <c r="C1076" s="2" t="s">
        <v>8594</v>
      </c>
      <c r="D1076" s="2" t="n">
        <v>548.322887173</v>
      </c>
      <c r="E1076" s="2" t="n">
        <v>0.853729431229458</v>
      </c>
      <c r="F1076" s="2" t="s">
        <v>8596</v>
      </c>
      <c r="G1076" s="2" t="n">
        <v>198149</v>
      </c>
      <c r="H1076" s="3" t="str">
        <f>HYPERLINK("http://funmeta.oebiotech.com/network/198149", "http://funmeta.oebiotech.com/network/198149")</f>
      </c>
      <c r="I1076" s="2" t="s">
        <v>8598</v>
      </c>
      <c r="J1076" s="2"/>
      <c r="K1076" s="2"/>
      <c r="L1076" s="2"/>
      <c r="M1076" s="2"/>
      <c r="N1076" s="2"/>
      <c r="O1076" s="2"/>
      <c r="P1076" s="2" t="s">
        <v>8599</v>
      </c>
      <c r="Q1076" s="2" t="s">
        <v>8600</v>
      </c>
      <c r="R1076" s="2" t="s">
        <v>794</v>
      </c>
      <c r="S1076" s="2" t="s">
        <v>795</v>
      </c>
      <c r="T1076" s="2" t="s">
        <v>1870</v>
      </c>
      <c r="U1076" s="2" t="s">
        <v>8595</v>
      </c>
      <c r="V1076" s="2" t="s">
        <v>205</v>
      </c>
      <c r="W1076" s="2"/>
    </row>
    <row r="1077">
      <c r="A1077" s="2" t="n">
        <v>802</v>
      </c>
      <c r="B1077" s="2" t="s">
        <v>16066</v>
      </c>
      <c r="C1077" s="2" t="s">
        <v>8601</v>
      </c>
      <c r="D1077" s="2" t="n">
        <v>549.173935822</v>
      </c>
      <c r="E1077" s="2" t="n">
        <v>1.00473698610413</v>
      </c>
      <c r="F1077" s="2" t="s">
        <v>8603</v>
      </c>
      <c r="G1077" s="2" t="n">
        <v>208772</v>
      </c>
      <c r="H1077" s="3" t="str">
        <f>HYPERLINK("http://funmeta.oebiotech.com/network/208772", "http://funmeta.oebiotech.com/network/208772")</f>
      </c>
      <c r="I1077" s="2" t="s">
        <v>8605</v>
      </c>
      <c r="J1077" s="2" t="s">
        <v>8606</v>
      </c>
      <c r="K1077" s="2"/>
      <c r="L1077" s="2"/>
      <c r="M1077" s="2" t="s">
        <v>8607</v>
      </c>
      <c r="N1077" s="2" t="s">
        <v>8608</v>
      </c>
      <c r="O1077" s="2"/>
      <c r="P1077" s="2" t="s">
        <v>8609</v>
      </c>
      <c r="Q1077" s="2" t="s">
        <v>8610</v>
      </c>
      <c r="R1077" s="2" t="s">
        <v>186</v>
      </c>
      <c r="S1077" s="2" t="s">
        <v>187</v>
      </c>
      <c r="T1077" s="2" t="s">
        <v>3454</v>
      </c>
      <c r="U1077" s="2" t="s">
        <v>8602</v>
      </c>
      <c r="V1077" s="2" t="s">
        <v>683</v>
      </c>
      <c r="W1077" s="2"/>
    </row>
    <row r="1078">
      <c r="A1078" s="2" t="n">
        <v>803</v>
      </c>
      <c r="B1078" s="2" t="s">
        <v>16067</v>
      </c>
      <c r="C1078" s="2" t="s">
        <v>8611</v>
      </c>
      <c r="D1078" s="2" t="n">
        <v>549.335165152</v>
      </c>
      <c r="E1078" s="2" t="n">
        <v>3.65357644823825</v>
      </c>
      <c r="F1078" s="2" t="s">
        <v>8613</v>
      </c>
      <c r="G1078" s="2" t="n">
        <v>59151</v>
      </c>
      <c r="H1078" s="3" t="str">
        <f>HYPERLINK("http://funmeta.oebiotech.com/network/59151", "http://funmeta.oebiotech.com/network/59151")</f>
      </c>
      <c r="I1078" s="2" t="s">
        <v>8615</v>
      </c>
      <c r="J1078" s="2" t="s">
        <v>8616</v>
      </c>
      <c r="K1078" s="2"/>
      <c r="L1078" s="2"/>
      <c r="M1078" s="2" t="s">
        <v>8617</v>
      </c>
      <c r="N1078" s="2" t="s">
        <v>8618</v>
      </c>
      <c r="O1078" s="2"/>
      <c r="P1078" s="2" t="s">
        <v>8619</v>
      </c>
      <c r="Q1078" s="2" t="s">
        <v>8620</v>
      </c>
      <c r="R1078" s="2" t="s">
        <v>794</v>
      </c>
      <c r="S1078" s="2" t="s">
        <v>1098</v>
      </c>
      <c r="T1078" s="2" t="s">
        <v>7646</v>
      </c>
      <c r="U1078" s="2" t="s">
        <v>8612</v>
      </c>
      <c r="V1078" s="2" t="s">
        <v>218</v>
      </c>
      <c r="W1078" s="2"/>
    </row>
    <row r="1079">
      <c r="A1079" s="2" t="n">
        <v>804</v>
      </c>
      <c r="B1079" s="2" t="s">
        <v>16068</v>
      </c>
      <c r="C1079" s="2" t="s">
        <v>8621</v>
      </c>
      <c r="D1079" s="2" t="n">
        <v>557.457530164</v>
      </c>
      <c r="E1079" s="2" t="n">
        <v>8.37592851142437</v>
      </c>
      <c r="F1079" s="2" t="s">
        <v>16069</v>
      </c>
      <c r="G1079" s="2" t="n">
        <v>56931</v>
      </c>
      <c r="H1079" s="3" t="str">
        <f>HYPERLINK("http://funmeta.oebiotech.com/network/56931", "http://funmeta.oebiotech.com/network/56931")</f>
      </c>
      <c r="I1079" s="2" t="s">
        <v>16070</v>
      </c>
      <c r="J1079" s="2"/>
      <c r="K1079" s="2"/>
      <c r="L1079" s="2"/>
      <c r="M1079" s="2"/>
      <c r="N1079" s="2" t="s">
        <v>16071</v>
      </c>
      <c r="O1079" s="2" t="s">
        <v>16072</v>
      </c>
      <c r="P1079" s="2" t="s">
        <v>16073</v>
      </c>
      <c r="Q1079" s="2" t="s">
        <v>16074</v>
      </c>
      <c r="R1079" s="2" t="s">
        <v>794</v>
      </c>
      <c r="S1079" s="2" t="s">
        <v>795</v>
      </c>
      <c r="T1079" s="2" t="s">
        <v>3273</v>
      </c>
      <c r="U1079" s="2" t="s">
        <v>8622</v>
      </c>
      <c r="V1079" s="2" t="s">
        <v>205</v>
      </c>
      <c r="W1079" s="2"/>
    </row>
    <row r="1080">
      <c r="A1080" s="2" t="n">
        <v>804</v>
      </c>
      <c r="B1080" s="2" t="s">
        <v>16075</v>
      </c>
      <c r="C1080" s="2" t="s">
        <v>8621</v>
      </c>
      <c r="D1080" s="2" t="n">
        <v>557.457530164</v>
      </c>
      <c r="E1080" s="2" t="n">
        <v>8.37592851142437</v>
      </c>
      <c r="F1080" s="2" t="s">
        <v>16076</v>
      </c>
      <c r="G1080" s="2" t="n">
        <v>56374</v>
      </c>
      <c r="H1080" s="3" t="str">
        <f>HYPERLINK("http://funmeta.oebiotech.com/network/56374", "http://funmeta.oebiotech.com/network/56374")</f>
      </c>
      <c r="I1080" s="2" t="s">
        <v>16077</v>
      </c>
      <c r="J1080" s="2"/>
      <c r="K1080" s="2"/>
      <c r="L1080" s="2"/>
      <c r="M1080" s="2"/>
      <c r="N1080" s="2" t="s">
        <v>16078</v>
      </c>
      <c r="O1080" s="2" t="s">
        <v>16079</v>
      </c>
      <c r="P1080" s="2" t="s">
        <v>16080</v>
      </c>
      <c r="Q1080" s="2" t="s">
        <v>16081</v>
      </c>
      <c r="R1080" s="2" t="s">
        <v>794</v>
      </c>
      <c r="S1080" s="2" t="s">
        <v>795</v>
      </c>
      <c r="T1080" s="2" t="s">
        <v>3273</v>
      </c>
      <c r="U1080" s="2" t="s">
        <v>8622</v>
      </c>
      <c r="V1080" s="2" t="s">
        <v>205</v>
      </c>
      <c r="W1080" s="2"/>
    </row>
    <row r="1081">
      <c r="A1081" s="2" t="n">
        <v>804</v>
      </c>
      <c r="B1081" s="2" t="s">
        <v>16082</v>
      </c>
      <c r="C1081" s="2" t="s">
        <v>8621</v>
      </c>
      <c r="D1081" s="2" t="n">
        <v>557.457530172</v>
      </c>
      <c r="E1081" s="2" t="n">
        <v>8.37592851142437</v>
      </c>
      <c r="F1081" s="2" t="s">
        <v>16083</v>
      </c>
      <c r="G1081" s="2" t="n">
        <v>205006</v>
      </c>
      <c r="H1081" s="3" t="str">
        <f>HYPERLINK("http://funmeta.oebiotech.com/network/205006", "http://funmeta.oebiotech.com/network/205006")</f>
      </c>
      <c r="I1081" s="2" t="s">
        <v>16084</v>
      </c>
      <c r="J1081" s="2"/>
      <c r="K1081" s="2"/>
      <c r="L1081" s="2"/>
      <c r="M1081" s="2"/>
      <c r="N1081" s="2" t="s">
        <v>16085</v>
      </c>
      <c r="O1081" s="2"/>
      <c r="P1081" s="2" t="s">
        <v>16086</v>
      </c>
      <c r="Q1081" s="2" t="s">
        <v>16087</v>
      </c>
      <c r="R1081" s="2" t="s">
        <v>794</v>
      </c>
      <c r="S1081" s="2" t="s">
        <v>2971</v>
      </c>
      <c r="T1081" s="2" t="s">
        <v>6290</v>
      </c>
      <c r="U1081" s="2" t="s">
        <v>8622</v>
      </c>
      <c r="V1081" s="2" t="s">
        <v>205</v>
      </c>
      <c r="W1081" s="2"/>
    </row>
    <row r="1082">
      <c r="A1082" s="2" t="n">
        <v>805</v>
      </c>
      <c r="B1082" s="2" t="s">
        <v>16088</v>
      </c>
      <c r="C1082" s="2" t="s">
        <v>8632</v>
      </c>
      <c r="D1082" s="2" t="n">
        <v>558.063847179</v>
      </c>
      <c r="E1082" s="2" t="n">
        <v>0.471207029135444</v>
      </c>
      <c r="F1082" s="2" t="s">
        <v>16089</v>
      </c>
      <c r="G1082" s="2" t="n">
        <v>51963</v>
      </c>
      <c r="H1082" s="3" t="str">
        <f>HYPERLINK("http://funmeta.oebiotech.com/network/51963", "http://funmeta.oebiotech.com/network/51963")</f>
      </c>
      <c r="I1082" s="2" t="s">
        <v>16090</v>
      </c>
      <c r="J1082" s="2"/>
      <c r="K1082" s="2"/>
      <c r="L1082" s="2" t="s">
        <v>16091</v>
      </c>
      <c r="M1082" s="2" t="s">
        <v>16092</v>
      </c>
      <c r="N1082" s="2" t="s">
        <v>16093</v>
      </c>
      <c r="O1082" s="2" t="s">
        <v>16094</v>
      </c>
      <c r="P1082" s="2" t="s">
        <v>16095</v>
      </c>
      <c r="Q1082" s="2" t="s">
        <v>16096</v>
      </c>
      <c r="R1082" s="2" t="s">
        <v>2416</v>
      </c>
      <c r="S1082" s="2" t="s">
        <v>3186</v>
      </c>
      <c r="T1082" s="2" t="s">
        <v>3187</v>
      </c>
      <c r="U1082" s="2" t="s">
        <v>8633</v>
      </c>
      <c r="V1082" s="2" t="s">
        <v>161</v>
      </c>
      <c r="W1082" s="2" t="s">
        <v>56</v>
      </c>
    </row>
    <row r="1083">
      <c r="A1083" s="2" t="n">
        <v>805</v>
      </c>
      <c r="B1083" s="2" t="s">
        <v>16097</v>
      </c>
      <c r="C1083" s="2" t="s">
        <v>8632</v>
      </c>
      <c r="D1083" s="2" t="n">
        <v>558.063847179</v>
      </c>
      <c r="E1083" s="2" t="n">
        <v>0.471207029135444</v>
      </c>
      <c r="F1083" s="2" t="s">
        <v>16098</v>
      </c>
      <c r="G1083" s="2" t="n">
        <v>51964</v>
      </c>
      <c r="H1083" s="3" t="str">
        <f>HYPERLINK("http://funmeta.oebiotech.com/network/51964", "http://funmeta.oebiotech.com/network/51964")</f>
      </c>
      <c r="I1083" s="2" t="s">
        <v>16099</v>
      </c>
      <c r="J1083" s="2"/>
      <c r="K1083" s="2"/>
      <c r="L1083" s="2" t="s">
        <v>16100</v>
      </c>
      <c r="M1083" s="2" t="s">
        <v>16101</v>
      </c>
      <c r="N1083" s="2" t="s">
        <v>16102</v>
      </c>
      <c r="O1083" s="2" t="s">
        <v>16103</v>
      </c>
      <c r="P1083" s="2" t="s">
        <v>16104</v>
      </c>
      <c r="Q1083" s="2" t="s">
        <v>16105</v>
      </c>
      <c r="R1083" s="2" t="s">
        <v>2416</v>
      </c>
      <c r="S1083" s="2" t="s">
        <v>3186</v>
      </c>
      <c r="T1083" s="2" t="s">
        <v>3187</v>
      </c>
      <c r="U1083" s="2" t="s">
        <v>8633</v>
      </c>
      <c r="V1083" s="2" t="s">
        <v>161</v>
      </c>
      <c r="W1083" s="2" t="s">
        <v>56</v>
      </c>
    </row>
    <row r="1084">
      <c r="A1084" s="2" t="n">
        <v>806</v>
      </c>
      <c r="B1084" s="2" t="s">
        <v>16106</v>
      </c>
      <c r="C1084" s="2" t="s">
        <v>8645</v>
      </c>
      <c r="D1084" s="2" t="n">
        <v>559.101049302</v>
      </c>
      <c r="E1084" s="2" t="n">
        <v>0.523369685574966</v>
      </c>
      <c r="F1084" s="2" t="s">
        <v>8647</v>
      </c>
      <c r="G1084" s="2" t="n">
        <v>61885</v>
      </c>
      <c r="H1084" s="3" t="str">
        <f>HYPERLINK("http://funmeta.oebiotech.com/network/61885", "http://funmeta.oebiotech.com/network/61885")</f>
      </c>
      <c r="I1084" s="2" t="s">
        <v>8649</v>
      </c>
      <c r="J1084" s="2" t="s">
        <v>8650</v>
      </c>
      <c r="K1084" s="2"/>
      <c r="L1084" s="2"/>
      <c r="M1084" s="2" t="s">
        <v>8651</v>
      </c>
      <c r="N1084" s="2" t="s">
        <v>8652</v>
      </c>
      <c r="O1084" s="2"/>
      <c r="P1084" s="2" t="s">
        <v>8653</v>
      </c>
      <c r="Q1084" s="2" t="s">
        <v>8654</v>
      </c>
      <c r="R1084" s="2" t="s">
        <v>186</v>
      </c>
      <c r="S1084" s="2" t="s">
        <v>6141</v>
      </c>
      <c r="T1084" s="2" t="s">
        <v>8655</v>
      </c>
      <c r="U1084" s="2" t="s">
        <v>8646</v>
      </c>
      <c r="V1084" s="2" t="s">
        <v>531</v>
      </c>
      <c r="W1084" s="2"/>
    </row>
    <row r="1085">
      <c r="A1085" s="2" t="n">
        <v>807</v>
      </c>
      <c r="B1085" s="2" t="s">
        <v>16107</v>
      </c>
      <c r="C1085" s="2" t="s">
        <v>8656</v>
      </c>
      <c r="D1085" s="2" t="n">
        <v>561.975891467</v>
      </c>
      <c r="E1085" s="2" t="n">
        <v>2.59525673336558</v>
      </c>
      <c r="F1085" s="2" t="s">
        <v>8658</v>
      </c>
      <c r="G1085" s="2" t="n">
        <v>48893</v>
      </c>
      <c r="H1085" s="3" t="str">
        <f>HYPERLINK("http://funmeta.oebiotech.com/network/48893", "http://funmeta.oebiotech.com/network/48893")</f>
      </c>
      <c r="I1085" s="2" t="s">
        <v>8660</v>
      </c>
      <c r="J1085" s="2" t="s">
        <v>8661</v>
      </c>
      <c r="K1085" s="2"/>
      <c r="L1085" s="2" t="s">
        <v>8662</v>
      </c>
      <c r="M1085" s="2" t="s">
        <v>8663</v>
      </c>
      <c r="N1085" s="2" t="s">
        <v>8664</v>
      </c>
      <c r="O1085" s="2"/>
      <c r="P1085" s="2" t="s">
        <v>8665</v>
      </c>
      <c r="Q1085" s="2" t="s">
        <v>8666</v>
      </c>
      <c r="R1085" s="2" t="s">
        <v>129</v>
      </c>
      <c r="S1085" s="2" t="s">
        <v>130</v>
      </c>
      <c r="T1085" s="2" t="s">
        <v>1681</v>
      </c>
      <c r="U1085" s="2" t="s">
        <v>8657</v>
      </c>
      <c r="V1085" s="2" t="s">
        <v>531</v>
      </c>
      <c r="W1085" s="2" t="s">
        <v>56</v>
      </c>
    </row>
    <row r="1086">
      <c r="A1086" s="2" t="n">
        <v>808</v>
      </c>
      <c r="B1086" s="2" t="s">
        <v>16108</v>
      </c>
      <c r="C1086" s="2" t="s">
        <v>8667</v>
      </c>
      <c r="D1086" s="2" t="n">
        <v>565.0577156</v>
      </c>
      <c r="E1086" s="2" t="n">
        <v>9.91177682129711</v>
      </c>
      <c r="F1086" s="2" t="s">
        <v>8669</v>
      </c>
      <c r="G1086" s="2" t="n">
        <v>203778</v>
      </c>
      <c r="H1086" s="3" t="str">
        <f>HYPERLINK("http://funmeta.oebiotech.com/network/203778", "http://funmeta.oebiotech.com/network/203778")</f>
      </c>
      <c r="I1086" s="2" t="s">
        <v>8671</v>
      </c>
      <c r="J1086" s="2"/>
      <c r="K1086" s="2"/>
      <c r="L1086" s="2"/>
      <c r="M1086" s="2"/>
      <c r="N1086" s="2" t="s">
        <v>8672</v>
      </c>
      <c r="O1086" s="2"/>
      <c r="P1086" s="2" t="s">
        <v>8673</v>
      </c>
      <c r="Q1086" s="2" t="s">
        <v>8674</v>
      </c>
      <c r="R1086" s="2" t="s">
        <v>114</v>
      </c>
      <c r="S1086" s="2" t="s">
        <v>172</v>
      </c>
      <c r="T1086" s="2" t="s">
        <v>8675</v>
      </c>
      <c r="U1086" s="2" t="s">
        <v>8668</v>
      </c>
      <c r="V1086" s="2" t="s">
        <v>205</v>
      </c>
      <c r="W1086" s="2"/>
    </row>
    <row r="1087">
      <c r="A1087" s="2" t="n">
        <v>809</v>
      </c>
      <c r="B1087" s="2" t="s">
        <v>16109</v>
      </c>
      <c r="C1087" s="2" t="s">
        <v>8676</v>
      </c>
      <c r="D1087" s="2" t="n">
        <v>568.984621146</v>
      </c>
      <c r="E1087" s="2" t="n">
        <v>6.25490994978513</v>
      </c>
      <c r="F1087" s="2" t="s">
        <v>8678</v>
      </c>
      <c r="G1087" s="2" t="n">
        <v>213048</v>
      </c>
      <c r="H1087" s="3" t="str">
        <f>HYPERLINK("http://funmeta.oebiotech.com/network/213048", "http://funmeta.oebiotech.com/network/213048")</f>
      </c>
      <c r="I1087" s="2" t="s">
        <v>8680</v>
      </c>
      <c r="J1087" s="2" t="s">
        <v>8681</v>
      </c>
      <c r="K1087" s="2"/>
      <c r="L1087" s="2" t="s">
        <v>8682</v>
      </c>
      <c r="M1087" s="2" t="s">
        <v>8683</v>
      </c>
      <c r="N1087" s="2" t="s">
        <v>8684</v>
      </c>
      <c r="O1087" s="2" t="s">
        <v>8685</v>
      </c>
      <c r="P1087" s="2" t="s">
        <v>8686</v>
      </c>
      <c r="Q1087" s="2" t="s">
        <v>8687</v>
      </c>
      <c r="R1087" s="2" t="s">
        <v>186</v>
      </c>
      <c r="S1087" s="2" t="s">
        <v>187</v>
      </c>
      <c r="T1087" s="2" t="s">
        <v>2791</v>
      </c>
      <c r="U1087" s="2" t="s">
        <v>8677</v>
      </c>
      <c r="V1087" s="2" t="s">
        <v>683</v>
      </c>
      <c r="W1087" s="2" t="s">
        <v>101</v>
      </c>
    </row>
    <row r="1088">
      <c r="A1088" s="2" t="n">
        <v>810</v>
      </c>
      <c r="B1088" s="2" t="s">
        <v>16110</v>
      </c>
      <c r="C1088" s="2" t="s">
        <v>8688</v>
      </c>
      <c r="D1088" s="2" t="n">
        <v>569.360948746</v>
      </c>
      <c r="E1088" s="2" t="n">
        <v>1.67038821582341</v>
      </c>
      <c r="F1088" s="2" t="s">
        <v>8690</v>
      </c>
      <c r="G1088" s="2" t="n">
        <v>53667</v>
      </c>
      <c r="H1088" s="3" t="str">
        <f>HYPERLINK("http://funmeta.oebiotech.com/network/53667", "http://funmeta.oebiotech.com/network/53667")</f>
      </c>
      <c r="I1088" s="2" t="s">
        <v>8692</v>
      </c>
      <c r="J1088" s="2" t="s">
        <v>8693</v>
      </c>
      <c r="K1088" s="2"/>
      <c r="L1088" s="2" t="s">
        <v>8694</v>
      </c>
      <c r="M1088" s="2" t="s">
        <v>8695</v>
      </c>
      <c r="N1088" s="2" t="s">
        <v>8696</v>
      </c>
      <c r="O1088" s="2" t="s">
        <v>8697</v>
      </c>
      <c r="P1088" s="2" t="s">
        <v>8698</v>
      </c>
      <c r="Q1088" s="2" t="s">
        <v>8699</v>
      </c>
      <c r="R1088" s="2" t="s">
        <v>186</v>
      </c>
      <c r="S1088" s="2" t="s">
        <v>187</v>
      </c>
      <c r="T1088" s="2" t="s">
        <v>8700</v>
      </c>
      <c r="U1088" s="2" t="s">
        <v>8689</v>
      </c>
      <c r="V1088" s="2" t="s">
        <v>683</v>
      </c>
      <c r="W1088" s="2" t="s">
        <v>101</v>
      </c>
    </row>
    <row r="1089">
      <c r="A1089" s="2" t="n">
        <v>811</v>
      </c>
      <c r="B1089" s="2" t="s">
        <v>16111</v>
      </c>
      <c r="C1089" s="2" t="s">
        <v>8701</v>
      </c>
      <c r="D1089" s="2" t="n">
        <v>571.29980504</v>
      </c>
      <c r="E1089" s="2" t="n">
        <v>8.27823221908891</v>
      </c>
      <c r="F1089" s="2" t="s">
        <v>8703</v>
      </c>
      <c r="G1089" s="2" t="n">
        <v>201058</v>
      </c>
      <c r="H1089" s="3" t="str">
        <f>HYPERLINK("http://funmeta.oebiotech.com/network/201058", "http://funmeta.oebiotech.com/network/201058")</f>
      </c>
      <c r="I1089" s="2" t="s">
        <v>8705</v>
      </c>
      <c r="J1089" s="2"/>
      <c r="K1089" s="2"/>
      <c r="L1089" s="2"/>
      <c r="M1089" s="2"/>
      <c r="N1089" s="2" t="s">
        <v>8706</v>
      </c>
      <c r="O1089" s="2"/>
      <c r="P1089" s="2" t="s">
        <v>8707</v>
      </c>
      <c r="Q1089" s="2" t="s">
        <v>8708</v>
      </c>
      <c r="R1089" s="2" t="s">
        <v>36</v>
      </c>
      <c r="S1089" s="2" t="s">
        <v>37</v>
      </c>
      <c r="T1089" s="2" t="s">
        <v>69</v>
      </c>
      <c r="U1089" s="2" t="s">
        <v>8702</v>
      </c>
      <c r="V1089" s="2" t="s">
        <v>24</v>
      </c>
      <c r="W1089" s="2"/>
    </row>
    <row r="1090">
      <c r="A1090" s="2" t="n">
        <v>812</v>
      </c>
      <c r="B1090" s="2" t="s">
        <v>16112</v>
      </c>
      <c r="C1090" s="2" t="s">
        <v>8709</v>
      </c>
      <c r="D1090" s="2" t="n">
        <v>572.481497015</v>
      </c>
      <c r="E1090" s="2" t="n">
        <v>1.43973536189364</v>
      </c>
      <c r="F1090" s="2" t="s">
        <v>8711</v>
      </c>
      <c r="G1090" s="2" t="n">
        <v>39028</v>
      </c>
      <c r="H1090" s="3" t="str">
        <f>HYPERLINK("http://funmeta.oebiotech.com/network/39028", "http://funmeta.oebiotech.com/network/39028")</f>
      </c>
      <c r="I1090" s="2" t="s">
        <v>8713</v>
      </c>
      <c r="J1090" s="2" t="s">
        <v>8714</v>
      </c>
      <c r="K1090" s="2" t="s">
        <v>8715</v>
      </c>
      <c r="L1090" s="2" t="s">
        <v>8716</v>
      </c>
      <c r="M1090" s="2" t="s">
        <v>8717</v>
      </c>
      <c r="N1090" s="2" t="s">
        <v>8718</v>
      </c>
      <c r="O1090" s="2" t="s">
        <v>8719</v>
      </c>
      <c r="P1090" s="2" t="s">
        <v>8720</v>
      </c>
      <c r="Q1090" s="2" t="s">
        <v>8721</v>
      </c>
      <c r="R1090" s="2" t="s">
        <v>794</v>
      </c>
      <c r="S1090" s="2" t="s">
        <v>7781</v>
      </c>
      <c r="T1090" s="2" t="s">
        <v>8722</v>
      </c>
      <c r="U1090" s="2" t="s">
        <v>8710</v>
      </c>
      <c r="V1090" s="2" t="s">
        <v>86</v>
      </c>
      <c r="W1090" s="2" t="s">
        <v>39</v>
      </c>
    </row>
    <row r="1091">
      <c r="A1091" s="2" t="n">
        <v>813</v>
      </c>
      <c r="B1091" s="2" t="s">
        <v>16113</v>
      </c>
      <c r="C1091" s="2" t="s">
        <v>8723</v>
      </c>
      <c r="D1091" s="2" t="n">
        <v>573.312719227</v>
      </c>
      <c r="E1091" s="2" t="n">
        <v>4.61454821020927</v>
      </c>
      <c r="F1091" s="2" t="s">
        <v>8725</v>
      </c>
      <c r="G1091" s="2" t="n">
        <v>205349</v>
      </c>
      <c r="H1091" s="3" t="str">
        <f>HYPERLINK("http://funmeta.oebiotech.com/network/205349", "http://funmeta.oebiotech.com/network/205349")</f>
      </c>
      <c r="I1091" s="2" t="s">
        <v>8727</v>
      </c>
      <c r="J1091" s="2"/>
      <c r="K1091" s="2"/>
      <c r="L1091" s="2"/>
      <c r="M1091" s="2"/>
      <c r="N1091" s="2" t="s">
        <v>8728</v>
      </c>
      <c r="O1091" s="2"/>
      <c r="P1091" s="2" t="s">
        <v>8729</v>
      </c>
      <c r="Q1091" s="2" t="s">
        <v>8730</v>
      </c>
      <c r="R1091" s="2" t="s">
        <v>794</v>
      </c>
      <c r="S1091" s="2" t="s">
        <v>7122</v>
      </c>
      <c r="T1091" s="2" t="s">
        <v>215</v>
      </c>
      <c r="U1091" s="2" t="s">
        <v>8724</v>
      </c>
      <c r="V1091" s="2" t="s">
        <v>161</v>
      </c>
      <c r="W1091" s="2"/>
    </row>
    <row r="1092">
      <c r="A1092" s="2" t="n">
        <v>814</v>
      </c>
      <c r="B1092" s="2" t="s">
        <v>16114</v>
      </c>
      <c r="C1092" s="2" t="s">
        <v>8731</v>
      </c>
      <c r="D1092" s="2" t="n">
        <v>573.4888346</v>
      </c>
      <c r="E1092" s="2" t="n">
        <v>2.15513243459923</v>
      </c>
      <c r="F1092" s="2" t="s">
        <v>8733</v>
      </c>
      <c r="G1092" s="2" t="n">
        <v>54686</v>
      </c>
      <c r="H1092" s="3" t="str">
        <f>HYPERLINK("http://funmeta.oebiotech.com/network/54686", "http://funmeta.oebiotech.com/network/54686")</f>
      </c>
      <c r="I1092" s="2" t="s">
        <v>8735</v>
      </c>
      <c r="J1092" s="2"/>
      <c r="K1092" s="2"/>
      <c r="L1092" s="2"/>
      <c r="M1092" s="2"/>
      <c r="N1092" s="2" t="s">
        <v>8736</v>
      </c>
      <c r="O1092" s="2" t="s">
        <v>8737</v>
      </c>
      <c r="P1092" s="2" t="s">
        <v>8738</v>
      </c>
      <c r="Q1092" s="2" t="s">
        <v>8739</v>
      </c>
      <c r="R1092" s="2" t="s">
        <v>794</v>
      </c>
      <c r="S1092" s="2" t="s">
        <v>795</v>
      </c>
      <c r="T1092" s="2" t="s">
        <v>3273</v>
      </c>
      <c r="U1092" s="2" t="s">
        <v>8732</v>
      </c>
      <c r="V1092" s="2" t="s">
        <v>24</v>
      </c>
      <c r="W1092" s="2" t="s">
        <v>56</v>
      </c>
    </row>
    <row r="1093">
      <c r="A1093" s="2" t="n">
        <v>815</v>
      </c>
      <c r="B1093" s="2" t="s">
        <v>16115</v>
      </c>
      <c r="C1093" s="2" t="s">
        <v>8740</v>
      </c>
      <c r="D1093" s="2" t="n">
        <v>578.313113885</v>
      </c>
      <c r="E1093" s="2" t="n">
        <v>6.6364553679476</v>
      </c>
      <c r="F1093" s="2" t="s">
        <v>8742</v>
      </c>
      <c r="G1093" s="2" t="n">
        <v>257638</v>
      </c>
      <c r="H1093" s="3" t="str">
        <f>HYPERLINK("http://funmeta.oebiotech.com/network/257638", "http://funmeta.oebiotech.com/network/257638")</f>
      </c>
      <c r="I1093" s="2" t="s">
        <v>8744</v>
      </c>
      <c r="J1093" s="2"/>
      <c r="K1093" s="2"/>
      <c r="L1093" s="2"/>
      <c r="M1093" s="2"/>
      <c r="N1093" s="2" t="s">
        <v>8745</v>
      </c>
      <c r="O1093" s="2"/>
      <c r="P1093" s="2" t="s">
        <v>8746</v>
      </c>
      <c r="Q1093" s="2" t="s">
        <v>8747</v>
      </c>
      <c r="R1093" s="2" t="s">
        <v>114</v>
      </c>
      <c r="S1093" s="2" t="s">
        <v>4121</v>
      </c>
      <c r="T1093" s="2" t="s">
        <v>7480</v>
      </c>
      <c r="U1093" s="2" t="s">
        <v>8741</v>
      </c>
      <c r="V1093" s="2" t="s">
        <v>161</v>
      </c>
      <c r="W1093" s="2"/>
    </row>
    <row r="1094">
      <c r="A1094" s="2" t="n">
        <v>816</v>
      </c>
      <c r="B1094" s="2" t="s">
        <v>16116</v>
      </c>
      <c r="C1094" s="2" t="s">
        <v>8748</v>
      </c>
      <c r="D1094" s="2" t="n">
        <v>580.306297173</v>
      </c>
      <c r="E1094" s="2" t="n">
        <v>1.79830528512462</v>
      </c>
      <c r="F1094" s="2" t="s">
        <v>8750</v>
      </c>
      <c r="G1094" s="2" t="n">
        <v>210115</v>
      </c>
      <c r="H1094" s="3" t="str">
        <f>HYPERLINK("http://funmeta.oebiotech.com/network/210115", "http://funmeta.oebiotech.com/network/210115")</f>
      </c>
      <c r="I1094" s="2" t="s">
        <v>8752</v>
      </c>
      <c r="J1094" s="2"/>
      <c r="K1094" s="2"/>
      <c r="L1094" s="2"/>
      <c r="M1094" s="2"/>
      <c r="N1094" s="2"/>
      <c r="O1094" s="2"/>
      <c r="P1094" s="2" t="s">
        <v>8753</v>
      </c>
      <c r="Q1094" s="2" t="s">
        <v>8754</v>
      </c>
      <c r="R1094" s="2" t="s">
        <v>114</v>
      </c>
      <c r="S1094" s="2" t="s">
        <v>8755</v>
      </c>
      <c r="T1094" s="2" t="s">
        <v>215</v>
      </c>
      <c r="U1094" s="2" t="s">
        <v>8749</v>
      </c>
      <c r="V1094" s="2" t="s">
        <v>161</v>
      </c>
      <c r="W1094" s="2"/>
    </row>
    <row r="1095">
      <c r="A1095" s="2" t="n">
        <v>817</v>
      </c>
      <c r="B1095" s="2" t="s">
        <v>16117</v>
      </c>
      <c r="C1095" s="2" t="s">
        <v>8756</v>
      </c>
      <c r="D1095" s="2" t="n">
        <v>581.47038367</v>
      </c>
      <c r="E1095" s="2" t="n">
        <v>0.507016267860528</v>
      </c>
      <c r="F1095" s="2" t="s">
        <v>16118</v>
      </c>
      <c r="G1095" s="2" t="n">
        <v>54737</v>
      </c>
      <c r="H1095" s="3" t="str">
        <f>HYPERLINK("http://funmeta.oebiotech.com/network/54737", "http://funmeta.oebiotech.com/network/54737")</f>
      </c>
      <c r="I1095" s="2" t="s">
        <v>16119</v>
      </c>
      <c r="J1095" s="2" t="s">
        <v>16120</v>
      </c>
      <c r="K1095" s="2"/>
      <c r="L1095" s="2"/>
      <c r="M1095" s="2"/>
      <c r="N1095" s="2" t="s">
        <v>16121</v>
      </c>
      <c r="O1095" s="2" t="s">
        <v>16122</v>
      </c>
      <c r="P1095" s="2" t="s">
        <v>16123</v>
      </c>
      <c r="Q1095" s="2" t="s">
        <v>16124</v>
      </c>
      <c r="R1095" s="2" t="s">
        <v>794</v>
      </c>
      <c r="S1095" s="2" t="s">
        <v>1098</v>
      </c>
      <c r="T1095" s="2" t="s">
        <v>8563</v>
      </c>
      <c r="U1095" s="2" t="s">
        <v>8757</v>
      </c>
      <c r="V1095" s="2" t="s">
        <v>531</v>
      </c>
      <c r="W1095" s="2"/>
    </row>
    <row r="1096">
      <c r="A1096" s="2" t="n">
        <v>817</v>
      </c>
      <c r="B1096" s="2" t="s">
        <v>16125</v>
      </c>
      <c r="C1096" s="2" t="s">
        <v>8756</v>
      </c>
      <c r="D1096" s="2" t="n">
        <v>581.47038367</v>
      </c>
      <c r="E1096" s="2" t="n">
        <v>0.507016267860528</v>
      </c>
      <c r="F1096" s="2" t="s">
        <v>16126</v>
      </c>
      <c r="G1096" s="2" t="n">
        <v>60544</v>
      </c>
      <c r="H1096" s="3" t="str">
        <f>HYPERLINK("http://funmeta.oebiotech.com/network/60544", "http://funmeta.oebiotech.com/network/60544")</f>
      </c>
      <c r="I1096" s="2" t="s">
        <v>16127</v>
      </c>
      <c r="J1096" s="2" t="s">
        <v>16128</v>
      </c>
      <c r="K1096" s="2"/>
      <c r="L1096" s="2"/>
      <c r="M1096" s="2"/>
      <c r="N1096" s="2" t="s">
        <v>16129</v>
      </c>
      <c r="O1096" s="2" t="s">
        <v>16130</v>
      </c>
      <c r="P1096" s="2" t="s">
        <v>16131</v>
      </c>
      <c r="Q1096" s="2" t="s">
        <v>16132</v>
      </c>
      <c r="R1096" s="2" t="s">
        <v>794</v>
      </c>
      <c r="S1096" s="2" t="s">
        <v>1098</v>
      </c>
      <c r="T1096" s="2" t="s">
        <v>8563</v>
      </c>
      <c r="U1096" s="2" t="s">
        <v>8757</v>
      </c>
      <c r="V1096" s="2" t="s">
        <v>531</v>
      </c>
      <c r="W1096" s="2"/>
    </row>
    <row r="1097">
      <c r="A1097" s="2" t="n">
        <v>818</v>
      </c>
      <c r="B1097" s="2" t="s">
        <v>16133</v>
      </c>
      <c r="C1097" s="2" t="s">
        <v>8767</v>
      </c>
      <c r="D1097" s="2" t="n">
        <v>583.484413616</v>
      </c>
      <c r="E1097" s="2" t="n">
        <v>3.08793262422547</v>
      </c>
      <c r="F1097" s="2" t="s">
        <v>8769</v>
      </c>
      <c r="G1097" s="2" t="n">
        <v>63950</v>
      </c>
      <c r="H1097" s="3" t="str">
        <f>HYPERLINK("http://funmeta.oebiotech.com/network/63950", "http://funmeta.oebiotech.com/network/63950")</f>
      </c>
      <c r="I1097" s="2" t="s">
        <v>8771</v>
      </c>
      <c r="J1097" s="2" t="s">
        <v>8772</v>
      </c>
      <c r="K1097" s="2"/>
      <c r="L1097" s="2"/>
      <c r="M1097" s="2" t="s">
        <v>8773</v>
      </c>
      <c r="N1097" s="2" t="s">
        <v>8774</v>
      </c>
      <c r="O1097" s="2" t="s">
        <v>8775</v>
      </c>
      <c r="P1097" s="2" t="s">
        <v>8776</v>
      </c>
      <c r="Q1097" s="2" t="s">
        <v>8777</v>
      </c>
      <c r="R1097" s="2" t="s">
        <v>114</v>
      </c>
      <c r="S1097" s="2" t="s">
        <v>994</v>
      </c>
      <c r="T1097" s="2" t="s">
        <v>1468</v>
      </c>
      <c r="U1097" s="2" t="s">
        <v>8768</v>
      </c>
      <c r="V1097" s="2" t="s">
        <v>205</v>
      </c>
      <c r="W1097" s="2"/>
    </row>
    <row r="1098">
      <c r="A1098" s="2" t="n">
        <v>819</v>
      </c>
      <c r="B1098" s="2" t="s">
        <v>16134</v>
      </c>
      <c r="C1098" s="2" t="s">
        <v>8778</v>
      </c>
      <c r="D1098" s="2" t="n">
        <v>589.329648616</v>
      </c>
      <c r="E1098" s="2" t="n">
        <v>0.480398501263034</v>
      </c>
      <c r="F1098" s="2" t="s">
        <v>8780</v>
      </c>
      <c r="G1098" s="2" t="n">
        <v>205812</v>
      </c>
      <c r="H1098" s="3" t="str">
        <f>HYPERLINK("http://funmeta.oebiotech.com/network/205812", "http://funmeta.oebiotech.com/network/205812")</f>
      </c>
      <c r="I1098" s="2" t="s">
        <v>8782</v>
      </c>
      <c r="J1098" s="2"/>
      <c r="K1098" s="2"/>
      <c r="L1098" s="2"/>
      <c r="M1098" s="2"/>
      <c r="N1098" s="2" t="s">
        <v>8783</v>
      </c>
      <c r="O1098" s="2"/>
      <c r="P1098" s="2" t="s">
        <v>8784</v>
      </c>
      <c r="Q1098" s="2" t="s">
        <v>8785</v>
      </c>
      <c r="R1098" s="2" t="s">
        <v>114</v>
      </c>
      <c r="S1098" s="2" t="s">
        <v>4523</v>
      </c>
      <c r="T1098" s="2" t="s">
        <v>7752</v>
      </c>
      <c r="U1098" s="2" t="s">
        <v>8779</v>
      </c>
      <c r="V1098" s="2" t="s">
        <v>683</v>
      </c>
      <c r="W1098" s="2"/>
    </row>
    <row r="1099">
      <c r="A1099" s="2" t="n">
        <v>820</v>
      </c>
      <c r="B1099" s="2" t="s">
        <v>16135</v>
      </c>
      <c r="C1099" s="2" t="s">
        <v>8786</v>
      </c>
      <c r="D1099" s="2" t="n">
        <v>590.231505967</v>
      </c>
      <c r="E1099" s="2" t="n">
        <v>5.95475438822147</v>
      </c>
      <c r="F1099" s="2" t="s">
        <v>8788</v>
      </c>
      <c r="G1099" s="2" t="n">
        <v>51910</v>
      </c>
      <c r="H1099" s="3" t="str">
        <f>HYPERLINK("http://funmeta.oebiotech.com/network/51910", "http://funmeta.oebiotech.com/network/51910")</f>
      </c>
      <c r="I1099" s="2" t="s">
        <v>8790</v>
      </c>
      <c r="J1099" s="2"/>
      <c r="K1099" s="2"/>
      <c r="L1099" s="2"/>
      <c r="M1099" s="2"/>
      <c r="N1099" s="2"/>
      <c r="O1099" s="2" t="s">
        <v>8791</v>
      </c>
      <c r="P1099" s="2" t="s">
        <v>8792</v>
      </c>
      <c r="Q1099" s="2" t="s">
        <v>8793</v>
      </c>
      <c r="R1099" s="2" t="s">
        <v>794</v>
      </c>
      <c r="S1099" s="2" t="s">
        <v>795</v>
      </c>
      <c r="T1099" s="2" t="s">
        <v>8424</v>
      </c>
      <c r="U1099" s="2" t="s">
        <v>8787</v>
      </c>
      <c r="V1099" s="2" t="s">
        <v>205</v>
      </c>
      <c r="W1099" s="2" t="s">
        <v>56</v>
      </c>
    </row>
    <row r="1100">
      <c r="A1100" s="2" t="n">
        <v>821</v>
      </c>
      <c r="B1100" s="2" t="s">
        <v>16136</v>
      </c>
      <c r="C1100" s="2" t="s">
        <v>8794</v>
      </c>
      <c r="D1100" s="2" t="n">
        <v>592.309180149</v>
      </c>
      <c r="E1100" s="2" t="n">
        <v>8.74660911356562</v>
      </c>
      <c r="F1100" s="2" t="s">
        <v>8796</v>
      </c>
      <c r="G1100" s="2" t="n">
        <v>257553</v>
      </c>
      <c r="H1100" s="3" t="str">
        <f>HYPERLINK("http://funmeta.oebiotech.com/network/257553", "http://funmeta.oebiotech.com/network/257553")</f>
      </c>
      <c r="I1100" s="2" t="s">
        <v>8798</v>
      </c>
      <c r="J1100" s="2" t="s">
        <v>8799</v>
      </c>
      <c r="K1100" s="2"/>
      <c r="L1100" s="2"/>
      <c r="M1100" s="2"/>
      <c r="N1100" s="2" t="s">
        <v>8800</v>
      </c>
      <c r="O1100" s="2"/>
      <c r="P1100" s="2" t="s">
        <v>8801</v>
      </c>
      <c r="Q1100" s="2" t="s">
        <v>8802</v>
      </c>
      <c r="R1100" s="2" t="s">
        <v>36</v>
      </c>
      <c r="S1100" s="2" t="s">
        <v>37</v>
      </c>
      <c r="T1100" s="2" t="s">
        <v>69</v>
      </c>
      <c r="U1100" s="2" t="s">
        <v>8795</v>
      </c>
      <c r="V1100" s="2" t="s">
        <v>86</v>
      </c>
      <c r="W1100" s="2"/>
    </row>
    <row r="1101">
      <c r="A1101" s="2" t="n">
        <v>822</v>
      </c>
      <c r="B1101" s="2" t="s">
        <v>16137</v>
      </c>
      <c r="C1101" s="2" t="s">
        <v>8803</v>
      </c>
      <c r="D1101" s="2" t="n">
        <v>592.873067124</v>
      </c>
      <c r="E1101" s="2" t="n">
        <v>8.16305283925879</v>
      </c>
      <c r="F1101" s="2" t="s">
        <v>8805</v>
      </c>
      <c r="G1101" s="2" t="n">
        <v>256163</v>
      </c>
      <c r="H1101" s="3" t="str">
        <f>HYPERLINK("http://funmeta.oebiotech.com/network/256163", "http://funmeta.oebiotech.com/network/256163")</f>
      </c>
      <c r="I1101" s="2" t="s">
        <v>8807</v>
      </c>
      <c r="J1101" s="2"/>
      <c r="K1101" s="2"/>
      <c r="L1101" s="2"/>
      <c r="M1101" s="2"/>
      <c r="N1101" s="2"/>
      <c r="O1101" s="2"/>
      <c r="P1101" s="2" t="s">
        <v>8808</v>
      </c>
      <c r="Q1101" s="2" t="s">
        <v>8809</v>
      </c>
      <c r="R1101" s="2" t="s">
        <v>36</v>
      </c>
      <c r="S1101" s="2" t="s">
        <v>2572</v>
      </c>
      <c r="T1101" s="2" t="s">
        <v>2637</v>
      </c>
      <c r="U1101" s="2" t="s">
        <v>8804</v>
      </c>
      <c r="V1101" s="2" t="s">
        <v>683</v>
      </c>
      <c r="W1101" s="2"/>
    </row>
    <row r="1102">
      <c r="A1102" s="2" t="n">
        <v>823</v>
      </c>
      <c r="B1102" s="2" t="s">
        <v>16138</v>
      </c>
      <c r="C1102" s="2" t="s">
        <v>8810</v>
      </c>
      <c r="D1102" s="2" t="n">
        <v>595.228802588</v>
      </c>
      <c r="E1102" s="2" t="n">
        <v>4.8061803015415</v>
      </c>
      <c r="F1102" s="2" t="s">
        <v>8812</v>
      </c>
      <c r="G1102" s="2" t="n">
        <v>256061</v>
      </c>
      <c r="H1102" s="3" t="str">
        <f>HYPERLINK("http://funmeta.oebiotech.com/network/256061", "http://funmeta.oebiotech.com/network/256061")</f>
      </c>
      <c r="I1102" s="2" t="s">
        <v>8814</v>
      </c>
      <c r="J1102" s="2"/>
      <c r="K1102" s="2"/>
      <c r="L1102" s="2"/>
      <c r="M1102" s="2"/>
      <c r="N1102" s="2" t="s">
        <v>8815</v>
      </c>
      <c r="O1102" s="2"/>
      <c r="P1102" s="2" t="s">
        <v>8816</v>
      </c>
      <c r="Q1102" s="2" t="s">
        <v>8817</v>
      </c>
      <c r="R1102" s="2" t="s">
        <v>36</v>
      </c>
      <c r="S1102" s="2" t="s">
        <v>37</v>
      </c>
      <c r="T1102" s="2" t="s">
        <v>69</v>
      </c>
      <c r="U1102" s="2" t="s">
        <v>8811</v>
      </c>
      <c r="V1102" s="2" t="s">
        <v>218</v>
      </c>
      <c r="W1102" s="2"/>
    </row>
    <row r="1103">
      <c r="A1103" s="2" t="n">
        <v>824</v>
      </c>
      <c r="B1103" s="2" t="s">
        <v>16139</v>
      </c>
      <c r="C1103" s="2" t="s">
        <v>8818</v>
      </c>
      <c r="D1103" s="2" t="n">
        <v>599.327917285</v>
      </c>
      <c r="E1103" s="2" t="n">
        <v>1.52472394588622</v>
      </c>
      <c r="F1103" s="2" t="s">
        <v>8820</v>
      </c>
      <c r="G1103" s="2" t="n">
        <v>206775</v>
      </c>
      <c r="H1103" s="3" t="str">
        <f>HYPERLINK("http://funmeta.oebiotech.com/network/206775", "http://funmeta.oebiotech.com/network/206775")</f>
      </c>
      <c r="I1103" s="2" t="s">
        <v>8822</v>
      </c>
      <c r="J1103" s="2" t="s">
        <v>8823</v>
      </c>
      <c r="K1103" s="2"/>
      <c r="L1103" s="2"/>
      <c r="M1103" s="2"/>
      <c r="N1103" s="2" t="s">
        <v>8824</v>
      </c>
      <c r="O1103" s="2"/>
      <c r="P1103" s="2" t="s">
        <v>8825</v>
      </c>
      <c r="Q1103" s="2" t="s">
        <v>8826</v>
      </c>
      <c r="R1103" s="2" t="s">
        <v>114</v>
      </c>
      <c r="S1103" s="2" t="s">
        <v>994</v>
      </c>
      <c r="T1103" s="2" t="s">
        <v>8827</v>
      </c>
      <c r="U1103" s="2" t="s">
        <v>8819</v>
      </c>
      <c r="V1103" s="2" t="s">
        <v>24</v>
      </c>
      <c r="W1103" s="2"/>
    </row>
    <row r="1104">
      <c r="A1104" s="2" t="n">
        <v>825</v>
      </c>
      <c r="B1104" s="2" t="s">
        <v>16140</v>
      </c>
      <c r="C1104" s="2" t="s">
        <v>8828</v>
      </c>
      <c r="D1104" s="2" t="n">
        <v>599.452838716</v>
      </c>
      <c r="E1104" s="2" t="n">
        <v>1.59289898157017</v>
      </c>
      <c r="F1104" s="2" t="s">
        <v>8830</v>
      </c>
      <c r="G1104" s="2" t="n">
        <v>13725</v>
      </c>
      <c r="H1104" s="3" t="str">
        <f>HYPERLINK("http://funmeta.oebiotech.com/network/13725", "http://funmeta.oebiotech.com/network/13725")</f>
      </c>
      <c r="I1104" s="2" t="s">
        <v>8832</v>
      </c>
      <c r="J1104" s="2" t="s">
        <v>8833</v>
      </c>
      <c r="K1104" s="2" t="s">
        <v>8834</v>
      </c>
      <c r="L1104" s="2"/>
      <c r="M1104" s="2" t="s">
        <v>8835</v>
      </c>
      <c r="N1104" s="2" t="s">
        <v>8836</v>
      </c>
      <c r="O1104" s="2" t="s">
        <v>8837</v>
      </c>
      <c r="P1104" s="2" t="s">
        <v>8838</v>
      </c>
      <c r="Q1104" s="2" t="s">
        <v>8839</v>
      </c>
      <c r="R1104" s="2" t="s">
        <v>794</v>
      </c>
      <c r="S1104" s="2" t="s">
        <v>2600</v>
      </c>
      <c r="T1104" s="2" t="s">
        <v>8840</v>
      </c>
      <c r="U1104" s="2" t="s">
        <v>8829</v>
      </c>
      <c r="V1104" s="2" t="s">
        <v>205</v>
      </c>
      <c r="W1104" s="2"/>
    </row>
    <row r="1105">
      <c r="A1105" s="2" t="n">
        <v>826</v>
      </c>
      <c r="B1105" s="2" t="s">
        <v>16141</v>
      </c>
      <c r="C1105" s="2" t="s">
        <v>8841</v>
      </c>
      <c r="D1105" s="2" t="n">
        <v>599.928879443</v>
      </c>
      <c r="E1105" s="2" t="n">
        <v>9.52184427911495</v>
      </c>
      <c r="F1105" s="2" t="s">
        <v>8843</v>
      </c>
      <c r="G1105" s="2" t="n">
        <v>51148</v>
      </c>
      <c r="H1105" s="3" t="str">
        <f>HYPERLINK("http://funmeta.oebiotech.com/network/51148", "http://funmeta.oebiotech.com/network/51148")</f>
      </c>
      <c r="I1105" s="2" t="s">
        <v>8845</v>
      </c>
      <c r="J1105" s="2" t="s">
        <v>8846</v>
      </c>
      <c r="K1105" s="2"/>
      <c r="L1105" s="2" t="s">
        <v>8847</v>
      </c>
      <c r="M1105" s="2" t="s">
        <v>8848</v>
      </c>
      <c r="N1105" s="2" t="s">
        <v>8849</v>
      </c>
      <c r="O1105" s="2"/>
      <c r="P1105" s="2" t="s">
        <v>8850</v>
      </c>
      <c r="Q1105" s="2" t="s">
        <v>8851</v>
      </c>
      <c r="R1105" s="2" t="s">
        <v>2416</v>
      </c>
      <c r="S1105" s="2" t="s">
        <v>7795</v>
      </c>
      <c r="T1105" s="2" t="s">
        <v>7796</v>
      </c>
      <c r="U1105" s="2" t="s">
        <v>8842</v>
      </c>
      <c r="V1105" s="2" t="s">
        <v>205</v>
      </c>
      <c r="W1105" s="2" t="s">
        <v>101</v>
      </c>
    </row>
    <row r="1106">
      <c r="A1106" s="2" t="n">
        <v>827</v>
      </c>
      <c r="B1106" s="2" t="s">
        <v>16142</v>
      </c>
      <c r="C1106" s="2" t="s">
        <v>8852</v>
      </c>
      <c r="D1106" s="2" t="n">
        <v>601.144129478</v>
      </c>
      <c r="E1106" s="2" t="n">
        <v>0.0804507206379348</v>
      </c>
      <c r="F1106" s="2" t="s">
        <v>8854</v>
      </c>
      <c r="G1106" s="2" t="n">
        <v>211118</v>
      </c>
      <c r="H1106" s="3" t="str">
        <f>HYPERLINK("http://funmeta.oebiotech.com/network/211118", "http://funmeta.oebiotech.com/network/211118")</f>
      </c>
      <c r="I1106" s="2" t="s">
        <v>8856</v>
      </c>
      <c r="J1106" s="2"/>
      <c r="K1106" s="2"/>
      <c r="L1106" s="2"/>
      <c r="M1106" s="2"/>
      <c r="N1106" s="2"/>
      <c r="O1106" s="2"/>
      <c r="P1106" s="2" t="s">
        <v>8857</v>
      </c>
      <c r="Q1106" s="2" t="s">
        <v>8858</v>
      </c>
      <c r="R1106" s="2" t="s">
        <v>129</v>
      </c>
      <c r="S1106" s="2" t="s">
        <v>130</v>
      </c>
      <c r="T1106" s="2" t="s">
        <v>1681</v>
      </c>
      <c r="U1106" s="2" t="s">
        <v>8853</v>
      </c>
      <c r="V1106" s="2" t="s">
        <v>218</v>
      </c>
      <c r="W1106" s="2"/>
    </row>
    <row r="1107">
      <c r="A1107" s="2" t="n">
        <v>828</v>
      </c>
      <c r="B1107" s="2" t="s">
        <v>16143</v>
      </c>
      <c r="C1107" s="2" t="s">
        <v>8859</v>
      </c>
      <c r="D1107" s="2" t="n">
        <v>602.1401053</v>
      </c>
      <c r="E1107" s="2" t="n">
        <v>5.43910505970778</v>
      </c>
      <c r="F1107" s="2" t="s">
        <v>8861</v>
      </c>
      <c r="G1107" s="2" t="n">
        <v>202442</v>
      </c>
      <c r="H1107" s="3" t="str">
        <f>HYPERLINK("http://funmeta.oebiotech.com/network/202442", "http://funmeta.oebiotech.com/network/202442")</f>
      </c>
      <c r="I1107" s="2" t="s">
        <v>8863</v>
      </c>
      <c r="J1107" s="2"/>
      <c r="K1107" s="2"/>
      <c r="L1107" s="2"/>
      <c r="M1107" s="2" t="s">
        <v>8864</v>
      </c>
      <c r="N1107" s="2" t="s">
        <v>8865</v>
      </c>
      <c r="O1107" s="2"/>
      <c r="P1107" s="2" t="s">
        <v>8866</v>
      </c>
      <c r="Q1107" s="2" t="s">
        <v>8867</v>
      </c>
      <c r="R1107" s="2" t="s">
        <v>186</v>
      </c>
      <c r="S1107" s="2" t="s">
        <v>187</v>
      </c>
      <c r="T1107" s="2" t="s">
        <v>8409</v>
      </c>
      <c r="U1107" s="2" t="s">
        <v>8860</v>
      </c>
      <c r="V1107" s="2" t="s">
        <v>86</v>
      </c>
      <c r="W1107" s="2"/>
    </row>
    <row r="1108">
      <c r="A1108" s="2" t="n">
        <v>829</v>
      </c>
      <c r="B1108" s="2" t="s">
        <v>16144</v>
      </c>
      <c r="C1108" s="2" t="s">
        <v>8868</v>
      </c>
      <c r="D1108" s="2" t="n">
        <v>602.323021321</v>
      </c>
      <c r="E1108" s="2" t="n">
        <v>7.49905684410545</v>
      </c>
      <c r="F1108" s="2" t="s">
        <v>8870</v>
      </c>
      <c r="G1108" s="2" t="n">
        <v>199420</v>
      </c>
      <c r="H1108" s="3" t="str">
        <f>HYPERLINK("http://funmeta.oebiotech.com/network/199420", "http://funmeta.oebiotech.com/network/199420")</f>
      </c>
      <c r="I1108" s="2" t="s">
        <v>8872</v>
      </c>
      <c r="J1108" s="2"/>
      <c r="K1108" s="2"/>
      <c r="L1108" s="2"/>
      <c r="M1108" s="2"/>
      <c r="N1108" s="2" t="s">
        <v>8873</v>
      </c>
      <c r="O1108" s="2"/>
      <c r="P1108" s="2" t="s">
        <v>8874</v>
      </c>
      <c r="Q1108" s="2" t="s">
        <v>8875</v>
      </c>
      <c r="R1108" s="2" t="s">
        <v>794</v>
      </c>
      <c r="S1108" s="2" t="s">
        <v>7122</v>
      </c>
      <c r="T1108" s="2" t="s">
        <v>8876</v>
      </c>
      <c r="U1108" s="2" t="s">
        <v>8869</v>
      </c>
      <c r="V1108" s="2" t="s">
        <v>86</v>
      </c>
      <c r="W1108" s="2"/>
    </row>
    <row r="1109">
      <c r="A1109" s="2" t="n">
        <v>830</v>
      </c>
      <c r="B1109" s="2" t="s">
        <v>16145</v>
      </c>
      <c r="C1109" s="2" t="s">
        <v>8877</v>
      </c>
      <c r="D1109" s="2" t="n">
        <v>605.47053642</v>
      </c>
      <c r="E1109" s="2" t="n">
        <v>5.51975019687618</v>
      </c>
      <c r="F1109" s="2" t="s">
        <v>8879</v>
      </c>
      <c r="G1109" s="2" t="n">
        <v>43814</v>
      </c>
      <c r="H1109" s="3" t="str">
        <f>HYPERLINK("http://funmeta.oebiotech.com/network/43814", "http://funmeta.oebiotech.com/network/43814")</f>
      </c>
      <c r="I1109" s="2" t="s">
        <v>8881</v>
      </c>
      <c r="J1109" s="2" t="s">
        <v>8882</v>
      </c>
      <c r="K1109" s="2" t="s">
        <v>8883</v>
      </c>
      <c r="L1109" s="2" t="s">
        <v>8884</v>
      </c>
      <c r="M1109" s="2"/>
      <c r="N1109" s="2" t="s">
        <v>8885</v>
      </c>
      <c r="O1109" s="2" t="s">
        <v>8886</v>
      </c>
      <c r="P1109" s="2" t="s">
        <v>8887</v>
      </c>
      <c r="Q1109" s="2" t="s">
        <v>8888</v>
      </c>
      <c r="R1109" s="2" t="s">
        <v>794</v>
      </c>
      <c r="S1109" s="2" t="s">
        <v>2971</v>
      </c>
      <c r="T1109" s="2" t="s">
        <v>6290</v>
      </c>
      <c r="U1109" s="2" t="s">
        <v>8878</v>
      </c>
      <c r="V1109" s="2" t="s">
        <v>218</v>
      </c>
      <c r="W1109" s="2" t="s">
        <v>101</v>
      </c>
    </row>
    <row r="1110">
      <c r="A1110" s="2" t="n">
        <v>831</v>
      </c>
      <c r="B1110" s="2" t="s">
        <v>16146</v>
      </c>
      <c r="C1110" s="2" t="s">
        <v>8889</v>
      </c>
      <c r="D1110" s="2" t="n">
        <v>607.07381332</v>
      </c>
      <c r="E1110" s="2" t="n">
        <v>5.89172648219097</v>
      </c>
      <c r="F1110" s="2" t="s">
        <v>8891</v>
      </c>
      <c r="G1110" s="2" t="n">
        <v>211630</v>
      </c>
      <c r="H1110" s="3" t="str">
        <f>HYPERLINK("http://funmeta.oebiotech.com/network/211630", "http://funmeta.oebiotech.com/network/211630")</f>
      </c>
      <c r="I1110" s="2" t="s">
        <v>8893</v>
      </c>
      <c r="J1110" s="2"/>
      <c r="K1110" s="2"/>
      <c r="L1110" s="2"/>
      <c r="M1110" s="2"/>
      <c r="N1110" s="2" t="s">
        <v>8894</v>
      </c>
      <c r="O1110" s="2"/>
      <c r="P1110" s="2" t="s">
        <v>8895</v>
      </c>
      <c r="Q1110" s="2" t="s">
        <v>8896</v>
      </c>
      <c r="R1110" s="2" t="s">
        <v>186</v>
      </c>
      <c r="S1110" s="2" t="s">
        <v>3898</v>
      </c>
      <c r="T1110" s="2" t="s">
        <v>215</v>
      </c>
      <c r="U1110" s="2" t="s">
        <v>8890</v>
      </c>
      <c r="V1110" s="2" t="s">
        <v>683</v>
      </c>
      <c r="W1110" s="2"/>
    </row>
    <row r="1111">
      <c r="A1111" s="2" t="n">
        <v>832</v>
      </c>
      <c r="B1111" s="2" t="s">
        <v>16147</v>
      </c>
      <c r="C1111" s="2" t="s">
        <v>8897</v>
      </c>
      <c r="D1111" s="2" t="n">
        <v>609.509963972</v>
      </c>
      <c r="E1111" s="2" t="n">
        <v>7.46780972584407</v>
      </c>
      <c r="F1111" s="2" t="s">
        <v>16148</v>
      </c>
      <c r="G1111" s="2" t="n">
        <v>57943</v>
      </c>
      <c r="H1111" s="3" t="str">
        <f>HYPERLINK("http://funmeta.oebiotech.com/network/57943", "http://funmeta.oebiotech.com/network/57943")</f>
      </c>
      <c r="I1111" s="2" t="s">
        <v>16149</v>
      </c>
      <c r="J1111" s="2" t="s">
        <v>16150</v>
      </c>
      <c r="K1111" s="2"/>
      <c r="L1111" s="2"/>
      <c r="M1111" s="2"/>
      <c r="N1111" s="2" t="s">
        <v>16151</v>
      </c>
      <c r="O1111" s="2" t="s">
        <v>16152</v>
      </c>
      <c r="P1111" s="2" t="s">
        <v>16153</v>
      </c>
      <c r="Q1111" s="2" t="s">
        <v>16154</v>
      </c>
      <c r="R1111" s="2" t="s">
        <v>794</v>
      </c>
      <c r="S1111" s="2" t="s">
        <v>2600</v>
      </c>
      <c r="T1111" s="2" t="s">
        <v>8840</v>
      </c>
      <c r="U1111" s="2" t="s">
        <v>8898</v>
      </c>
      <c r="V1111" s="2" t="s">
        <v>24</v>
      </c>
      <c r="W1111" s="2"/>
    </row>
    <row r="1112">
      <c r="A1112" s="2" t="n">
        <v>832</v>
      </c>
      <c r="B1112" s="2" t="s">
        <v>16155</v>
      </c>
      <c r="C1112" s="2" t="s">
        <v>8897</v>
      </c>
      <c r="D1112" s="2" t="n">
        <v>609.509963972</v>
      </c>
      <c r="E1112" s="2" t="n">
        <v>7.46780972584407</v>
      </c>
      <c r="F1112" s="2" t="s">
        <v>16156</v>
      </c>
      <c r="G1112" s="2" t="n">
        <v>61516</v>
      </c>
      <c r="H1112" s="3" t="str">
        <f>HYPERLINK("http://funmeta.oebiotech.com/network/61516", "http://funmeta.oebiotech.com/network/61516")</f>
      </c>
      <c r="I1112" s="2" t="s">
        <v>16157</v>
      </c>
      <c r="J1112" s="2" t="s">
        <v>16158</v>
      </c>
      <c r="K1112" s="2"/>
      <c r="L1112" s="2"/>
      <c r="M1112" s="2"/>
      <c r="N1112" s="2" t="s">
        <v>16159</v>
      </c>
      <c r="O1112" s="2"/>
      <c r="P1112" s="2" t="s">
        <v>16160</v>
      </c>
      <c r="Q1112" s="2" t="s">
        <v>16161</v>
      </c>
      <c r="R1112" s="2" t="s">
        <v>794</v>
      </c>
      <c r="S1112" s="2" t="s">
        <v>2600</v>
      </c>
      <c r="T1112" s="2" t="s">
        <v>8840</v>
      </c>
      <c r="U1112" s="2" t="s">
        <v>8898</v>
      </c>
      <c r="V1112" s="2" t="s">
        <v>24</v>
      </c>
      <c r="W1112" s="2"/>
    </row>
    <row r="1113">
      <c r="A1113" s="2" t="n">
        <v>833</v>
      </c>
      <c r="B1113" s="2" t="s">
        <v>16162</v>
      </c>
      <c r="C1113" s="2" t="s">
        <v>8909</v>
      </c>
      <c r="D1113" s="2" t="n">
        <v>611.525609734</v>
      </c>
      <c r="E1113" s="2" t="n">
        <v>5.60575090416232</v>
      </c>
      <c r="F1113" s="2" t="s">
        <v>16163</v>
      </c>
      <c r="G1113" s="2" t="n">
        <v>8405</v>
      </c>
      <c r="H1113" s="3" t="str">
        <f>HYPERLINK("http://funmeta.oebiotech.com/network/8405", "http://funmeta.oebiotech.com/network/8405")</f>
      </c>
      <c r="I1113" s="2" t="s">
        <v>16164</v>
      </c>
      <c r="J1113" s="2"/>
      <c r="K1113" s="2" t="s">
        <v>16165</v>
      </c>
      <c r="L1113" s="2"/>
      <c r="M1113" s="2"/>
      <c r="N1113" s="2" t="s">
        <v>16166</v>
      </c>
      <c r="O1113" s="2"/>
      <c r="P1113" s="2" t="s">
        <v>16167</v>
      </c>
      <c r="Q1113" s="2" t="s">
        <v>16168</v>
      </c>
      <c r="R1113" s="2" t="s">
        <v>794</v>
      </c>
      <c r="S1113" s="2" t="s">
        <v>795</v>
      </c>
      <c r="T1113" s="2" t="s">
        <v>796</v>
      </c>
      <c r="U1113" s="2" t="s">
        <v>8910</v>
      </c>
      <c r="V1113" s="2" t="s">
        <v>205</v>
      </c>
      <c r="W1113" s="2"/>
    </row>
    <row r="1114">
      <c r="A1114" s="2" t="n">
        <v>833</v>
      </c>
      <c r="B1114" s="2" t="s">
        <v>16169</v>
      </c>
      <c r="C1114" s="2" t="s">
        <v>8909</v>
      </c>
      <c r="D1114" s="2" t="n">
        <v>611.525609734</v>
      </c>
      <c r="E1114" s="2" t="n">
        <v>5.60575090416232</v>
      </c>
      <c r="F1114" s="2" t="s">
        <v>16170</v>
      </c>
      <c r="G1114" s="2" t="n">
        <v>8406</v>
      </c>
      <c r="H1114" s="3" t="str">
        <f>HYPERLINK("http://funmeta.oebiotech.com/network/8406", "http://funmeta.oebiotech.com/network/8406")</f>
      </c>
      <c r="I1114" s="2" t="s">
        <v>16171</v>
      </c>
      <c r="J1114" s="2"/>
      <c r="K1114" s="2" t="s">
        <v>16172</v>
      </c>
      <c r="L1114" s="2"/>
      <c r="M1114" s="2"/>
      <c r="N1114" s="2" t="s">
        <v>16173</v>
      </c>
      <c r="O1114" s="2"/>
      <c r="P1114" s="2" t="s">
        <v>16174</v>
      </c>
      <c r="Q1114" s="2" t="s">
        <v>16175</v>
      </c>
      <c r="R1114" s="2" t="s">
        <v>794</v>
      </c>
      <c r="S1114" s="2" t="s">
        <v>795</v>
      </c>
      <c r="T1114" s="2" t="s">
        <v>796</v>
      </c>
      <c r="U1114" s="2" t="s">
        <v>8910</v>
      </c>
      <c r="V1114" s="2" t="s">
        <v>205</v>
      </c>
      <c r="W1114" s="2"/>
    </row>
    <row r="1115">
      <c r="A1115" s="2" t="n">
        <v>833</v>
      </c>
      <c r="B1115" s="2" t="s">
        <v>16176</v>
      </c>
      <c r="C1115" s="2" t="s">
        <v>8909</v>
      </c>
      <c r="D1115" s="2" t="n">
        <v>611.525609734</v>
      </c>
      <c r="E1115" s="2" t="n">
        <v>5.60575090416232</v>
      </c>
      <c r="F1115" s="2" t="s">
        <v>16177</v>
      </c>
      <c r="G1115" s="2" t="n">
        <v>8407</v>
      </c>
      <c r="H1115" s="3" t="str">
        <f>HYPERLINK("http://funmeta.oebiotech.com/network/8407", "http://funmeta.oebiotech.com/network/8407")</f>
      </c>
      <c r="I1115" s="2" t="s">
        <v>16178</v>
      </c>
      <c r="J1115" s="2"/>
      <c r="K1115" s="2" t="s">
        <v>16179</v>
      </c>
      <c r="L1115" s="2"/>
      <c r="M1115" s="2"/>
      <c r="N1115" s="2" t="s">
        <v>16180</v>
      </c>
      <c r="O1115" s="2"/>
      <c r="P1115" s="2" t="s">
        <v>16181</v>
      </c>
      <c r="Q1115" s="2" t="s">
        <v>16182</v>
      </c>
      <c r="R1115" s="2" t="s">
        <v>794</v>
      </c>
      <c r="S1115" s="2" t="s">
        <v>795</v>
      </c>
      <c r="T1115" s="2" t="s">
        <v>796</v>
      </c>
      <c r="U1115" s="2" t="s">
        <v>8910</v>
      </c>
      <c r="V1115" s="2" t="s">
        <v>205</v>
      </c>
      <c r="W1115" s="2"/>
    </row>
    <row r="1116">
      <c r="A1116" s="2" t="n">
        <v>834</v>
      </c>
      <c r="B1116" s="2" t="s">
        <v>16183</v>
      </c>
      <c r="C1116" s="2" t="s">
        <v>8918</v>
      </c>
      <c r="D1116" s="2" t="n">
        <v>612.228709411</v>
      </c>
      <c r="E1116" s="2" t="n">
        <v>2.57825499900899</v>
      </c>
      <c r="F1116" s="2" t="s">
        <v>8920</v>
      </c>
      <c r="G1116" s="2" t="n">
        <v>209016</v>
      </c>
      <c r="H1116" s="3" t="str">
        <f>HYPERLINK("http://funmeta.oebiotech.com/network/209016", "http://funmeta.oebiotech.com/network/209016")</f>
      </c>
      <c r="I1116" s="2" t="s">
        <v>8922</v>
      </c>
      <c r="J1116" s="2"/>
      <c r="K1116" s="2"/>
      <c r="L1116" s="2"/>
      <c r="M1116" s="2"/>
      <c r="N1116" s="2" t="s">
        <v>8923</v>
      </c>
      <c r="O1116" s="2"/>
      <c r="P1116" s="2" t="s">
        <v>8924</v>
      </c>
      <c r="Q1116" s="2" t="s">
        <v>8925</v>
      </c>
      <c r="R1116" s="2" t="s">
        <v>36</v>
      </c>
      <c r="S1116" s="2" t="s">
        <v>7927</v>
      </c>
      <c r="T1116" s="2" t="s">
        <v>8926</v>
      </c>
      <c r="U1116" s="2" t="s">
        <v>8919</v>
      </c>
      <c r="V1116" s="2" t="s">
        <v>531</v>
      </c>
      <c r="W1116" s="2"/>
    </row>
    <row r="1117">
      <c r="A1117" s="2" t="n">
        <v>835</v>
      </c>
      <c r="B1117" s="2" t="s">
        <v>16184</v>
      </c>
      <c r="C1117" s="2" t="s">
        <v>8927</v>
      </c>
      <c r="D1117" s="2" t="n">
        <v>613.082958342</v>
      </c>
      <c r="E1117" s="2" t="n">
        <v>0.887793077169817</v>
      </c>
      <c r="F1117" s="2" t="s">
        <v>16185</v>
      </c>
      <c r="G1117" s="2" t="n">
        <v>62505</v>
      </c>
      <c r="H1117" s="3" t="str">
        <f>HYPERLINK("http://funmeta.oebiotech.com/network/62505", "http://funmeta.oebiotech.com/network/62505")</f>
      </c>
      <c r="I1117" s="2" t="s">
        <v>16186</v>
      </c>
      <c r="J1117" s="2" t="s">
        <v>16187</v>
      </c>
      <c r="K1117" s="2"/>
      <c r="L1117" s="2"/>
      <c r="M1117" s="2"/>
      <c r="N1117" s="2" t="s">
        <v>16188</v>
      </c>
      <c r="O1117" s="2" t="s">
        <v>16189</v>
      </c>
      <c r="P1117" s="2" t="s">
        <v>16190</v>
      </c>
      <c r="Q1117" s="2" t="s">
        <v>16191</v>
      </c>
      <c r="R1117" s="2" t="s">
        <v>1355</v>
      </c>
      <c r="S1117" s="2" t="s">
        <v>5199</v>
      </c>
      <c r="T1117" s="2" t="s">
        <v>5200</v>
      </c>
      <c r="U1117" s="2" t="s">
        <v>8928</v>
      </c>
      <c r="V1117" s="2" t="s">
        <v>161</v>
      </c>
      <c r="W1117" s="2"/>
    </row>
    <row r="1118">
      <c r="A1118" s="2" t="n">
        <v>835</v>
      </c>
      <c r="B1118" s="2" t="s">
        <v>16192</v>
      </c>
      <c r="C1118" s="2" t="s">
        <v>8927</v>
      </c>
      <c r="D1118" s="2" t="n">
        <v>613.082958342</v>
      </c>
      <c r="E1118" s="2" t="n">
        <v>0.887793077169817</v>
      </c>
      <c r="F1118" s="2" t="s">
        <v>16193</v>
      </c>
      <c r="G1118" s="2" t="n">
        <v>59332</v>
      </c>
      <c r="H1118" s="3" t="str">
        <f>HYPERLINK("http://funmeta.oebiotech.com/network/59332", "http://funmeta.oebiotech.com/network/59332")</f>
      </c>
      <c r="I1118" s="2" t="s">
        <v>16194</v>
      </c>
      <c r="J1118" s="2"/>
      <c r="K1118" s="2"/>
      <c r="L1118" s="2"/>
      <c r="M1118" s="2"/>
      <c r="N1118" s="2" t="s">
        <v>16195</v>
      </c>
      <c r="O1118" s="2"/>
      <c r="P1118" s="2" t="s">
        <v>16196</v>
      </c>
      <c r="Q1118" s="2" t="s">
        <v>16197</v>
      </c>
      <c r="R1118" s="2" t="s">
        <v>1355</v>
      </c>
      <c r="S1118" s="2" t="s">
        <v>5199</v>
      </c>
      <c r="T1118" s="2" t="s">
        <v>7308</v>
      </c>
      <c r="U1118" s="2" t="s">
        <v>8928</v>
      </c>
      <c r="V1118" s="2" t="s">
        <v>161</v>
      </c>
      <c r="W1118" s="2"/>
    </row>
    <row r="1119">
      <c r="A1119" s="2" t="n">
        <v>836</v>
      </c>
      <c r="B1119" s="2" t="s">
        <v>16198</v>
      </c>
      <c r="C1119" s="2" t="s">
        <v>8939</v>
      </c>
      <c r="D1119" s="2" t="n">
        <v>615.224904462</v>
      </c>
      <c r="E1119" s="2" t="n">
        <v>1.99114488533904</v>
      </c>
      <c r="F1119" s="2" t="s">
        <v>8941</v>
      </c>
      <c r="G1119" s="2" t="n">
        <v>204083</v>
      </c>
      <c r="H1119" s="3" t="str">
        <f>HYPERLINK("http://funmeta.oebiotech.com/network/204083", "http://funmeta.oebiotech.com/network/204083")</f>
      </c>
      <c r="I1119" s="2" t="s">
        <v>8943</v>
      </c>
      <c r="J1119" s="2"/>
      <c r="K1119" s="2"/>
      <c r="L1119" s="2"/>
      <c r="M1119" s="2" t="s">
        <v>8944</v>
      </c>
      <c r="N1119" s="2" t="s">
        <v>8945</v>
      </c>
      <c r="O1119" s="2"/>
      <c r="P1119" s="2" t="s">
        <v>8946</v>
      </c>
      <c r="Q1119" s="2" t="s">
        <v>8947</v>
      </c>
      <c r="R1119" s="2" t="s">
        <v>114</v>
      </c>
      <c r="S1119" s="2" t="s">
        <v>994</v>
      </c>
      <c r="T1119" s="2" t="s">
        <v>3328</v>
      </c>
      <c r="U1119" s="2" t="s">
        <v>8940</v>
      </c>
      <c r="V1119" s="2" t="s">
        <v>205</v>
      </c>
      <c r="W1119" s="2"/>
    </row>
    <row r="1120">
      <c r="A1120" s="2" t="n">
        <v>837</v>
      </c>
      <c r="B1120" s="2" t="s">
        <v>16199</v>
      </c>
      <c r="C1120" s="2" t="s">
        <v>8948</v>
      </c>
      <c r="D1120" s="2" t="n">
        <v>619.295415391</v>
      </c>
      <c r="E1120" s="2" t="n">
        <v>2.57427578613819</v>
      </c>
      <c r="F1120" s="2" t="s">
        <v>8950</v>
      </c>
      <c r="G1120" s="2" t="n">
        <v>207696</v>
      </c>
      <c r="H1120" s="3" t="str">
        <f>HYPERLINK("http://funmeta.oebiotech.com/network/207696", "http://funmeta.oebiotech.com/network/207696")</f>
      </c>
      <c r="I1120" s="2" t="s">
        <v>8952</v>
      </c>
      <c r="J1120" s="2"/>
      <c r="K1120" s="2"/>
      <c r="L1120" s="2"/>
      <c r="M1120" s="2"/>
      <c r="N1120" s="2" t="s">
        <v>8953</v>
      </c>
      <c r="O1120" s="2"/>
      <c r="P1120" s="2" t="s">
        <v>8954</v>
      </c>
      <c r="Q1120" s="2" t="s">
        <v>8955</v>
      </c>
      <c r="R1120" s="2" t="s">
        <v>36</v>
      </c>
      <c r="S1120" s="2" t="s">
        <v>37</v>
      </c>
      <c r="T1120" s="2" t="s">
        <v>69</v>
      </c>
      <c r="U1120" s="2" t="s">
        <v>8949</v>
      </c>
      <c r="V1120" s="2" t="s">
        <v>161</v>
      </c>
      <c r="W1120" s="2"/>
    </row>
    <row r="1121">
      <c r="A1121" s="2" t="n">
        <v>838</v>
      </c>
      <c r="B1121" s="2" t="s">
        <v>16200</v>
      </c>
      <c r="C1121" s="2" t="s">
        <v>8956</v>
      </c>
      <c r="D1121" s="2" t="n">
        <v>621.328032126</v>
      </c>
      <c r="E1121" s="2" t="n">
        <v>4.58626366125224</v>
      </c>
      <c r="F1121" s="2" t="s">
        <v>8958</v>
      </c>
      <c r="G1121" s="2" t="n">
        <v>206914</v>
      </c>
      <c r="H1121" s="3" t="str">
        <f>HYPERLINK("http://funmeta.oebiotech.com/network/206914", "http://funmeta.oebiotech.com/network/206914")</f>
      </c>
      <c r="I1121" s="2" t="s">
        <v>8960</v>
      </c>
      <c r="J1121" s="2"/>
      <c r="K1121" s="2"/>
      <c r="L1121" s="2"/>
      <c r="M1121" s="2"/>
      <c r="N1121" s="2" t="s">
        <v>8961</v>
      </c>
      <c r="O1121" s="2"/>
      <c r="P1121" s="2" t="s">
        <v>8962</v>
      </c>
      <c r="Q1121" s="2" t="s">
        <v>8963</v>
      </c>
      <c r="R1121" s="2" t="s">
        <v>794</v>
      </c>
      <c r="S1121" s="2" t="s">
        <v>2971</v>
      </c>
      <c r="T1121" s="2" t="s">
        <v>6693</v>
      </c>
      <c r="U1121" s="2" t="s">
        <v>8957</v>
      </c>
      <c r="V1121" s="2" t="s">
        <v>205</v>
      </c>
      <c r="W1121" s="2"/>
    </row>
    <row r="1122">
      <c r="A1122" s="2" t="n">
        <v>839</v>
      </c>
      <c r="B1122" s="2" t="s">
        <v>16201</v>
      </c>
      <c r="C1122" s="2" t="s">
        <v>8964</v>
      </c>
      <c r="D1122" s="2" t="n">
        <v>622.360458002</v>
      </c>
      <c r="E1122" s="2" t="n">
        <v>1.38362873062112</v>
      </c>
      <c r="F1122" s="2" t="s">
        <v>8966</v>
      </c>
      <c r="G1122" s="2" t="n">
        <v>213257</v>
      </c>
      <c r="H1122" s="3" t="str">
        <f>HYPERLINK("http://funmeta.oebiotech.com/network/213257", "http://funmeta.oebiotech.com/network/213257")</f>
      </c>
      <c r="I1122" s="2" t="s">
        <v>8968</v>
      </c>
      <c r="J1122" s="2"/>
      <c r="K1122" s="2"/>
      <c r="L1122" s="2"/>
      <c r="M1122" s="2"/>
      <c r="N1122" s="2" t="s">
        <v>8969</v>
      </c>
      <c r="O1122" s="2"/>
      <c r="P1122" s="2" t="s">
        <v>8970</v>
      </c>
      <c r="Q1122" s="2" t="s">
        <v>8971</v>
      </c>
      <c r="R1122" s="2" t="s">
        <v>36</v>
      </c>
      <c r="S1122" s="2" t="s">
        <v>37</v>
      </c>
      <c r="T1122" s="2" t="s">
        <v>69</v>
      </c>
      <c r="U1122" s="2" t="s">
        <v>8965</v>
      </c>
      <c r="V1122" s="2" t="s">
        <v>161</v>
      </c>
      <c r="W1122" s="2"/>
    </row>
    <row r="1123">
      <c r="A1123" s="2" t="n">
        <v>840</v>
      </c>
      <c r="B1123" s="2" t="s">
        <v>16202</v>
      </c>
      <c r="C1123" s="2" t="s">
        <v>8972</v>
      </c>
      <c r="D1123" s="2" t="n">
        <v>623.370171718</v>
      </c>
      <c r="E1123" s="2" t="n">
        <v>2.45617106320382</v>
      </c>
      <c r="F1123" s="2" t="s">
        <v>8974</v>
      </c>
      <c r="G1123" s="2" t="n">
        <v>198848</v>
      </c>
      <c r="H1123" s="3" t="str">
        <f>HYPERLINK("http://funmeta.oebiotech.com/network/198848", "http://funmeta.oebiotech.com/network/198848")</f>
      </c>
      <c r="I1123" s="2" t="s">
        <v>8976</v>
      </c>
      <c r="J1123" s="2"/>
      <c r="K1123" s="2"/>
      <c r="L1123" s="2"/>
      <c r="M1123" s="2"/>
      <c r="N1123" s="2" t="s">
        <v>8977</v>
      </c>
      <c r="O1123" s="2"/>
      <c r="P1123" s="2" t="s">
        <v>8978</v>
      </c>
      <c r="Q1123" s="2" t="s">
        <v>8979</v>
      </c>
      <c r="R1123" s="2" t="s">
        <v>794</v>
      </c>
      <c r="S1123" s="2" t="s">
        <v>2971</v>
      </c>
      <c r="T1123" s="2" t="s">
        <v>6499</v>
      </c>
      <c r="U1123" s="2" t="s">
        <v>8973</v>
      </c>
      <c r="V1123" s="2" t="s">
        <v>205</v>
      </c>
      <c r="W1123" s="2"/>
    </row>
    <row r="1124">
      <c r="A1124" s="2" t="n">
        <v>841</v>
      </c>
      <c r="B1124" s="2" t="s">
        <v>16203</v>
      </c>
      <c r="C1124" s="2" t="s">
        <v>8980</v>
      </c>
      <c r="D1124" s="2" t="n">
        <v>623.465692222</v>
      </c>
      <c r="E1124" s="2" t="n">
        <v>3.61704218084742</v>
      </c>
      <c r="F1124" s="2" t="s">
        <v>8982</v>
      </c>
      <c r="G1124" s="2" t="n">
        <v>10953</v>
      </c>
      <c r="H1124" s="3" t="str">
        <f>HYPERLINK("http://funmeta.oebiotech.com/network/10953", "http://funmeta.oebiotech.com/network/10953")</f>
      </c>
      <c r="I1124" s="2" t="s">
        <v>8984</v>
      </c>
      <c r="J1124" s="2" t="s">
        <v>8985</v>
      </c>
      <c r="K1124" s="2" t="s">
        <v>8986</v>
      </c>
      <c r="L1124" s="2"/>
      <c r="M1124" s="2"/>
      <c r="N1124" s="2" t="s">
        <v>8987</v>
      </c>
      <c r="O1124" s="2"/>
      <c r="P1124" s="2" t="s">
        <v>8988</v>
      </c>
      <c r="Q1124" s="2" t="s">
        <v>8989</v>
      </c>
      <c r="R1124" s="2" t="s">
        <v>794</v>
      </c>
      <c r="S1124" s="2" t="s">
        <v>2600</v>
      </c>
      <c r="T1124" s="2" t="s">
        <v>8990</v>
      </c>
      <c r="U1124" s="2" t="s">
        <v>8981</v>
      </c>
      <c r="V1124" s="2" t="s">
        <v>531</v>
      </c>
      <c r="W1124" s="2"/>
    </row>
    <row r="1125">
      <c r="A1125" s="2" t="n">
        <v>842</v>
      </c>
      <c r="B1125" s="2" t="s">
        <v>16204</v>
      </c>
      <c r="C1125" s="2" t="s">
        <v>8991</v>
      </c>
      <c r="D1125" s="2" t="n">
        <v>625.516111982</v>
      </c>
      <c r="E1125" s="2" t="n">
        <v>0.438350279544143</v>
      </c>
      <c r="F1125" s="2" t="s">
        <v>8993</v>
      </c>
      <c r="G1125" s="2" t="n">
        <v>8656</v>
      </c>
      <c r="H1125" s="3" t="str">
        <f>HYPERLINK("http://funmeta.oebiotech.com/network/8656", "http://funmeta.oebiotech.com/network/8656")</f>
      </c>
      <c r="I1125" s="2" t="s">
        <v>8995</v>
      </c>
      <c r="J1125" s="2" t="s">
        <v>8996</v>
      </c>
      <c r="K1125" s="2" t="s">
        <v>8997</v>
      </c>
      <c r="L1125" s="2"/>
      <c r="M1125" s="2" t="s">
        <v>8998</v>
      </c>
      <c r="N1125" s="2" t="s">
        <v>8999</v>
      </c>
      <c r="O1125" s="2" t="s">
        <v>9000</v>
      </c>
      <c r="P1125" s="2" t="s">
        <v>9001</v>
      </c>
      <c r="Q1125" s="2" t="s">
        <v>9002</v>
      </c>
      <c r="R1125" s="2" t="s">
        <v>36</v>
      </c>
      <c r="S1125" s="2" t="s">
        <v>37</v>
      </c>
      <c r="T1125" s="2" t="s">
        <v>69</v>
      </c>
      <c r="U1125" s="2" t="s">
        <v>8992</v>
      </c>
      <c r="V1125" s="2" t="s">
        <v>683</v>
      </c>
      <c r="W1125" s="2" t="s">
        <v>56</v>
      </c>
    </row>
    <row r="1126">
      <c r="A1126" s="2" t="n">
        <v>843</v>
      </c>
      <c r="B1126" s="2" t="s">
        <v>16205</v>
      </c>
      <c r="C1126" s="2" t="s">
        <v>9003</v>
      </c>
      <c r="D1126" s="2" t="n">
        <v>626.53650877</v>
      </c>
      <c r="E1126" s="2" t="n">
        <v>0.110562367681072</v>
      </c>
      <c r="F1126" s="2" t="s">
        <v>9005</v>
      </c>
      <c r="G1126" s="2" t="n">
        <v>198179</v>
      </c>
      <c r="H1126" s="3" t="str">
        <f>HYPERLINK("http://funmeta.oebiotech.com/network/198179", "http://funmeta.oebiotech.com/network/198179")</f>
      </c>
      <c r="I1126" s="2" t="s">
        <v>9007</v>
      </c>
      <c r="J1126" s="2"/>
      <c r="K1126" s="2"/>
      <c r="L1126" s="2"/>
      <c r="M1126" s="2"/>
      <c r="N1126" s="2"/>
      <c r="O1126" s="2"/>
      <c r="P1126" s="2" t="s">
        <v>9008</v>
      </c>
      <c r="Q1126" s="2" t="s">
        <v>9009</v>
      </c>
      <c r="R1126" s="2" t="s">
        <v>794</v>
      </c>
      <c r="S1126" s="2" t="s">
        <v>795</v>
      </c>
      <c r="T1126" s="2" t="s">
        <v>1870</v>
      </c>
      <c r="U1126" s="2" t="s">
        <v>9004</v>
      </c>
      <c r="V1126" s="2" t="s">
        <v>205</v>
      </c>
      <c r="W1126" s="2"/>
    </row>
    <row r="1127">
      <c r="A1127" s="2" t="n">
        <v>844</v>
      </c>
      <c r="B1127" s="2" t="s">
        <v>16206</v>
      </c>
      <c r="C1127" s="2" t="s">
        <v>9010</v>
      </c>
      <c r="D1127" s="2" t="n">
        <v>627.486583526</v>
      </c>
      <c r="E1127" s="2" t="n">
        <v>6.54002449055459</v>
      </c>
      <c r="F1127" s="2" t="s">
        <v>9012</v>
      </c>
      <c r="G1127" s="2" t="n">
        <v>39592</v>
      </c>
      <c r="H1127" s="3" t="str">
        <f>HYPERLINK("http://funmeta.oebiotech.com/network/39592", "http://funmeta.oebiotech.com/network/39592")</f>
      </c>
      <c r="I1127" s="2" t="s">
        <v>9014</v>
      </c>
      <c r="J1127" s="2" t="s">
        <v>9015</v>
      </c>
      <c r="K1127" s="2" t="s">
        <v>9016</v>
      </c>
      <c r="L1127" s="2" t="s">
        <v>9017</v>
      </c>
      <c r="M1127" s="2" t="s">
        <v>9018</v>
      </c>
      <c r="N1127" s="2" t="s">
        <v>9019</v>
      </c>
      <c r="O1127" s="2"/>
      <c r="P1127" s="2" t="s">
        <v>9020</v>
      </c>
      <c r="Q1127" s="2" t="s">
        <v>9021</v>
      </c>
      <c r="R1127" s="2" t="s">
        <v>794</v>
      </c>
      <c r="S1127" s="2" t="s">
        <v>7781</v>
      </c>
      <c r="T1127" s="2" t="s">
        <v>7782</v>
      </c>
      <c r="U1127" s="2" t="s">
        <v>9011</v>
      </c>
      <c r="V1127" s="2" t="s">
        <v>161</v>
      </c>
      <c r="W1127" s="2" t="s">
        <v>101</v>
      </c>
    </row>
    <row r="1128">
      <c r="A1128" s="2" t="n">
        <v>845</v>
      </c>
      <c r="B1128" s="2" t="s">
        <v>16207</v>
      </c>
      <c r="C1128" s="2" t="s">
        <v>9022</v>
      </c>
      <c r="D1128" s="2" t="n">
        <v>628.204351283</v>
      </c>
      <c r="E1128" s="2" t="n">
        <v>4.18237425890448</v>
      </c>
      <c r="F1128" s="2" t="s">
        <v>9024</v>
      </c>
      <c r="G1128" s="2" t="n">
        <v>213551</v>
      </c>
      <c r="H1128" s="3" t="str">
        <f>HYPERLINK("http://funmeta.oebiotech.com/network/213551", "http://funmeta.oebiotech.com/network/213551")</f>
      </c>
      <c r="I1128" s="2" t="s">
        <v>9026</v>
      </c>
      <c r="J1128" s="2"/>
      <c r="K1128" s="2"/>
      <c r="L1128" s="2"/>
      <c r="M1128" s="2"/>
      <c r="N1128" s="2" t="s">
        <v>9027</v>
      </c>
      <c r="O1128" s="2"/>
      <c r="P1128" s="2" t="s">
        <v>9028</v>
      </c>
      <c r="Q1128" s="2" t="s">
        <v>9029</v>
      </c>
      <c r="R1128" s="2" t="s">
        <v>36</v>
      </c>
      <c r="S1128" s="2" t="s">
        <v>37</v>
      </c>
      <c r="T1128" s="2" t="s">
        <v>69</v>
      </c>
      <c r="U1128" s="2" t="s">
        <v>9023</v>
      </c>
      <c r="V1128" s="2" t="s">
        <v>161</v>
      </c>
      <c r="W1128" s="2"/>
    </row>
    <row r="1129">
      <c r="A1129" s="2" t="n">
        <v>846</v>
      </c>
      <c r="B1129" s="2" t="s">
        <v>16208</v>
      </c>
      <c r="C1129" s="2" t="s">
        <v>9030</v>
      </c>
      <c r="D1129" s="2" t="n">
        <v>629.201018986</v>
      </c>
      <c r="E1129" s="2" t="n">
        <v>3.45940369025959</v>
      </c>
      <c r="F1129" s="2" t="s">
        <v>9032</v>
      </c>
      <c r="G1129" s="2" t="n">
        <v>58741</v>
      </c>
      <c r="H1129" s="3" t="str">
        <f>HYPERLINK("http://funmeta.oebiotech.com/network/58741", "http://funmeta.oebiotech.com/network/58741")</f>
      </c>
      <c r="I1129" s="2" t="s">
        <v>9034</v>
      </c>
      <c r="J1129" s="2" t="s">
        <v>9035</v>
      </c>
      <c r="K1129" s="2"/>
      <c r="L1129" s="2"/>
      <c r="M1129" s="2"/>
      <c r="N1129" s="2" t="s">
        <v>9036</v>
      </c>
      <c r="O1129" s="2"/>
      <c r="P1129" s="2" t="s">
        <v>9037</v>
      </c>
      <c r="Q1129" s="2" t="s">
        <v>9038</v>
      </c>
      <c r="R1129" s="2" t="s">
        <v>3003</v>
      </c>
      <c r="S1129" s="2" t="s">
        <v>3805</v>
      </c>
      <c r="T1129" s="2" t="s">
        <v>215</v>
      </c>
      <c r="U1129" s="2" t="s">
        <v>9031</v>
      </c>
      <c r="V1129" s="2" t="s">
        <v>683</v>
      </c>
      <c r="W1129" s="2"/>
    </row>
    <row r="1130">
      <c r="A1130" s="2" t="n">
        <v>847</v>
      </c>
      <c r="B1130" s="2" t="s">
        <v>16209</v>
      </c>
      <c r="C1130" s="2" t="s">
        <v>9039</v>
      </c>
      <c r="D1130" s="2" t="n">
        <v>629.49172735</v>
      </c>
      <c r="E1130" s="2" t="n">
        <v>7.53115056721701</v>
      </c>
      <c r="F1130" s="2" t="s">
        <v>16210</v>
      </c>
      <c r="G1130" s="2" t="n">
        <v>10902</v>
      </c>
      <c r="H1130" s="3" t="str">
        <f>HYPERLINK("http://funmeta.oebiotech.com/network/10902", "http://funmeta.oebiotech.com/network/10902")</f>
      </c>
      <c r="I1130" s="2" t="s">
        <v>16211</v>
      </c>
      <c r="J1130" s="2" t="s">
        <v>16212</v>
      </c>
      <c r="K1130" s="2" t="s">
        <v>16213</v>
      </c>
      <c r="L1130" s="2"/>
      <c r="M1130" s="2"/>
      <c r="N1130" s="2" t="s">
        <v>16214</v>
      </c>
      <c r="O1130" s="2"/>
      <c r="P1130" s="2" t="s">
        <v>16215</v>
      </c>
      <c r="Q1130" s="2" t="s">
        <v>16216</v>
      </c>
      <c r="R1130" s="2" t="s">
        <v>794</v>
      </c>
      <c r="S1130" s="2" t="s">
        <v>2600</v>
      </c>
      <c r="T1130" s="2" t="s">
        <v>8990</v>
      </c>
      <c r="U1130" s="2" t="s">
        <v>9040</v>
      </c>
      <c r="V1130" s="2" t="s">
        <v>86</v>
      </c>
      <c r="W1130" s="2"/>
    </row>
    <row r="1131">
      <c r="A1131" s="2" t="n">
        <v>847</v>
      </c>
      <c r="B1131" s="2" t="s">
        <v>16217</v>
      </c>
      <c r="C1131" s="2" t="s">
        <v>9039</v>
      </c>
      <c r="D1131" s="2" t="n">
        <v>629.491727354</v>
      </c>
      <c r="E1131" s="2" t="n">
        <v>7.53115056721701</v>
      </c>
      <c r="F1131" s="2" t="s">
        <v>16218</v>
      </c>
      <c r="G1131" s="2" t="n">
        <v>198667</v>
      </c>
      <c r="H1131" s="3" t="str">
        <f>HYPERLINK("http://funmeta.oebiotech.com/network/198667", "http://funmeta.oebiotech.com/network/198667")</f>
      </c>
      <c r="I1131" s="2" t="s">
        <v>16219</v>
      </c>
      <c r="J1131" s="2"/>
      <c r="K1131" s="2"/>
      <c r="L1131" s="2"/>
      <c r="M1131" s="2"/>
      <c r="N1131" s="2" t="s">
        <v>16220</v>
      </c>
      <c r="O1131" s="2"/>
      <c r="P1131" s="2" t="s">
        <v>16221</v>
      </c>
      <c r="Q1131" s="2" t="s">
        <v>16222</v>
      </c>
      <c r="R1131" s="2" t="s">
        <v>794</v>
      </c>
      <c r="S1131" s="2" t="s">
        <v>2600</v>
      </c>
      <c r="T1131" s="2" t="s">
        <v>8990</v>
      </c>
      <c r="U1131" s="2" t="s">
        <v>9040</v>
      </c>
      <c r="V1131" s="2" t="s">
        <v>86</v>
      </c>
      <c r="W1131" s="2"/>
    </row>
    <row r="1132">
      <c r="A1132" s="2" t="n">
        <v>848</v>
      </c>
      <c r="B1132" s="2" t="s">
        <v>16223</v>
      </c>
      <c r="C1132" s="2" t="s">
        <v>9050</v>
      </c>
      <c r="D1132" s="2" t="n">
        <v>630.486914765</v>
      </c>
      <c r="E1132" s="2" t="n">
        <v>2.02958465402447</v>
      </c>
      <c r="F1132" s="2" t="s">
        <v>9052</v>
      </c>
      <c r="G1132" s="2" t="n">
        <v>62389</v>
      </c>
      <c r="H1132" s="3" t="str">
        <f>HYPERLINK("http://funmeta.oebiotech.com/network/62389", "http://funmeta.oebiotech.com/network/62389")</f>
      </c>
      <c r="I1132" s="2" t="s">
        <v>9054</v>
      </c>
      <c r="J1132" s="2" t="s">
        <v>9055</v>
      </c>
      <c r="K1132" s="2"/>
      <c r="L1132" s="2"/>
      <c r="M1132" s="2"/>
      <c r="N1132" s="2" t="s">
        <v>9056</v>
      </c>
      <c r="O1132" s="2"/>
      <c r="P1132" s="2" t="s">
        <v>9057</v>
      </c>
      <c r="Q1132" s="2" t="s">
        <v>9058</v>
      </c>
      <c r="R1132" s="2" t="s">
        <v>794</v>
      </c>
      <c r="S1132" s="2" t="s">
        <v>7781</v>
      </c>
      <c r="T1132" s="2" t="s">
        <v>8722</v>
      </c>
      <c r="U1132" s="2" t="s">
        <v>9051</v>
      </c>
      <c r="V1132" s="2" t="s">
        <v>218</v>
      </c>
      <c r="W1132" s="2"/>
    </row>
    <row r="1133">
      <c r="A1133" s="2" t="n">
        <v>849</v>
      </c>
      <c r="B1133" s="2" t="s">
        <v>16224</v>
      </c>
      <c r="C1133" s="2" t="s">
        <v>9059</v>
      </c>
      <c r="D1133" s="2" t="n">
        <v>631.1964968</v>
      </c>
      <c r="E1133" s="2" t="n">
        <v>3.18807238040052</v>
      </c>
      <c r="F1133" s="2" t="s">
        <v>9061</v>
      </c>
      <c r="G1133" s="2" t="n">
        <v>208518</v>
      </c>
      <c r="H1133" s="3" t="str">
        <f>HYPERLINK("http://funmeta.oebiotech.com/network/208518", "http://funmeta.oebiotech.com/network/208518")</f>
      </c>
      <c r="I1133" s="2" t="s">
        <v>9063</v>
      </c>
      <c r="J1133" s="2" t="s">
        <v>9064</v>
      </c>
      <c r="K1133" s="2"/>
      <c r="L1133" s="2"/>
      <c r="M1133" s="2"/>
      <c r="N1133" s="2" t="s">
        <v>9065</v>
      </c>
      <c r="O1133" s="2"/>
      <c r="P1133" s="2" t="s">
        <v>9066</v>
      </c>
      <c r="Q1133" s="2" t="s">
        <v>9067</v>
      </c>
      <c r="R1133" s="2" t="s">
        <v>36</v>
      </c>
      <c r="S1133" s="2" t="s">
        <v>37</v>
      </c>
      <c r="T1133" s="2" t="s">
        <v>69</v>
      </c>
      <c r="U1133" s="2" t="s">
        <v>9060</v>
      </c>
      <c r="V1133" s="2" t="s">
        <v>205</v>
      </c>
      <c r="W1133" s="2"/>
    </row>
    <row r="1134">
      <c r="A1134" s="2" t="n">
        <v>850</v>
      </c>
      <c r="B1134" s="2" t="s">
        <v>16225</v>
      </c>
      <c r="C1134" s="2" t="s">
        <v>9068</v>
      </c>
      <c r="D1134" s="2" t="n">
        <v>632.197093045</v>
      </c>
      <c r="E1134" s="2" t="n">
        <v>1.85188582878576</v>
      </c>
      <c r="F1134" s="2" t="s">
        <v>9070</v>
      </c>
      <c r="G1134" s="2" t="n">
        <v>47964</v>
      </c>
      <c r="H1134" s="3" t="str">
        <f>HYPERLINK("http://funmeta.oebiotech.com/network/47964", "http://funmeta.oebiotech.com/network/47964")</f>
      </c>
      <c r="I1134" s="2" t="s">
        <v>9072</v>
      </c>
      <c r="J1134" s="2" t="s">
        <v>9073</v>
      </c>
      <c r="K1134" s="2"/>
      <c r="L1134" s="2"/>
      <c r="M1134" s="2"/>
      <c r="N1134" s="2" t="s">
        <v>9074</v>
      </c>
      <c r="O1134" s="2" t="s">
        <v>9075</v>
      </c>
      <c r="P1134" s="2" t="s">
        <v>9076</v>
      </c>
      <c r="Q1134" s="2" t="s">
        <v>9077</v>
      </c>
      <c r="R1134" s="2" t="s">
        <v>794</v>
      </c>
      <c r="S1134" s="2" t="s">
        <v>2971</v>
      </c>
      <c r="T1134" s="2" t="s">
        <v>6499</v>
      </c>
      <c r="U1134" s="2" t="s">
        <v>9069</v>
      </c>
      <c r="V1134" s="2" t="s">
        <v>218</v>
      </c>
      <c r="W1134" s="2"/>
    </row>
    <row r="1135">
      <c r="A1135" s="2" t="n">
        <v>851</v>
      </c>
      <c r="B1135" s="2" t="s">
        <v>16226</v>
      </c>
      <c r="C1135" s="2" t="s">
        <v>9078</v>
      </c>
      <c r="D1135" s="2" t="n">
        <v>633.131154275</v>
      </c>
      <c r="E1135" s="2" t="n">
        <v>1.37630929290829</v>
      </c>
      <c r="F1135" s="2" t="s">
        <v>16227</v>
      </c>
      <c r="G1135" s="2" t="n">
        <v>213364</v>
      </c>
      <c r="H1135" s="3" t="str">
        <f>HYPERLINK("http://funmeta.oebiotech.com/network/213364", "http://funmeta.oebiotech.com/network/213364")</f>
      </c>
      <c r="I1135" s="2" t="s">
        <v>16228</v>
      </c>
      <c r="J1135" s="2"/>
      <c r="K1135" s="2"/>
      <c r="L1135" s="2"/>
      <c r="M1135" s="2"/>
      <c r="N1135" s="2"/>
      <c r="O1135" s="2"/>
      <c r="P1135" s="2" t="s">
        <v>16229</v>
      </c>
      <c r="Q1135" s="2" t="s">
        <v>16230</v>
      </c>
      <c r="R1135" s="2" t="s">
        <v>2416</v>
      </c>
      <c r="S1135" s="2" t="s">
        <v>16231</v>
      </c>
      <c r="T1135" s="2" t="s">
        <v>215</v>
      </c>
      <c r="U1135" s="2" t="s">
        <v>9079</v>
      </c>
      <c r="V1135" s="2" t="s">
        <v>205</v>
      </c>
      <c r="W1135" s="2"/>
    </row>
    <row r="1136">
      <c r="A1136" s="2" t="n">
        <v>851</v>
      </c>
      <c r="B1136" s="2" t="s">
        <v>16232</v>
      </c>
      <c r="C1136" s="2" t="s">
        <v>9078</v>
      </c>
      <c r="D1136" s="2" t="n">
        <v>633.131154275</v>
      </c>
      <c r="E1136" s="2" t="n">
        <v>1.37630929290829</v>
      </c>
      <c r="F1136" s="2" t="s">
        <v>16233</v>
      </c>
      <c r="G1136" s="2" t="n">
        <v>201059</v>
      </c>
      <c r="H1136" s="3" t="str">
        <f>HYPERLINK("http://funmeta.oebiotech.com/network/201059", "http://funmeta.oebiotech.com/network/201059")</f>
      </c>
      <c r="I1136" s="2" t="s">
        <v>16234</v>
      </c>
      <c r="J1136" s="2"/>
      <c r="K1136" s="2"/>
      <c r="L1136" s="2"/>
      <c r="M1136" s="2"/>
      <c r="N1136" s="2" t="s">
        <v>16235</v>
      </c>
      <c r="O1136" s="2"/>
      <c r="P1136" s="2" t="s">
        <v>16236</v>
      </c>
      <c r="Q1136" s="2" t="s">
        <v>16237</v>
      </c>
      <c r="R1136" s="2" t="s">
        <v>2416</v>
      </c>
      <c r="S1136" s="2" t="s">
        <v>9458</v>
      </c>
      <c r="T1136" s="2" t="s">
        <v>9459</v>
      </c>
      <c r="U1136" s="2" t="s">
        <v>9079</v>
      </c>
      <c r="V1136" s="2" t="s">
        <v>205</v>
      </c>
      <c r="W1136" s="2"/>
    </row>
    <row r="1137">
      <c r="A1137" s="2" t="n">
        <v>852</v>
      </c>
      <c r="B1137" s="2" t="s">
        <v>16238</v>
      </c>
      <c r="C1137" s="2" t="s">
        <v>9088</v>
      </c>
      <c r="D1137" s="2" t="n">
        <v>633.379678082</v>
      </c>
      <c r="E1137" s="2" t="n">
        <v>1.94743821569826</v>
      </c>
      <c r="F1137" s="2" t="s">
        <v>9090</v>
      </c>
      <c r="G1137" s="2" t="n">
        <v>54671</v>
      </c>
      <c r="H1137" s="3" t="str">
        <f>HYPERLINK("http://funmeta.oebiotech.com/network/54671", "http://funmeta.oebiotech.com/network/54671")</f>
      </c>
      <c r="I1137" s="2" t="s">
        <v>9092</v>
      </c>
      <c r="J1137" s="2" t="s">
        <v>9093</v>
      </c>
      <c r="K1137" s="2"/>
      <c r="L1137" s="2"/>
      <c r="M1137" s="2"/>
      <c r="N1137" s="2" t="s">
        <v>9094</v>
      </c>
      <c r="O1137" s="2" t="s">
        <v>9095</v>
      </c>
      <c r="P1137" s="2" t="s">
        <v>9096</v>
      </c>
      <c r="Q1137" s="2" t="s">
        <v>9097</v>
      </c>
      <c r="R1137" s="2" t="s">
        <v>794</v>
      </c>
      <c r="S1137" s="2" t="s">
        <v>1098</v>
      </c>
      <c r="T1137" s="2" t="s">
        <v>7646</v>
      </c>
      <c r="U1137" s="2" t="s">
        <v>9089</v>
      </c>
      <c r="V1137" s="2" t="s">
        <v>24</v>
      </c>
      <c r="W1137" s="2"/>
    </row>
    <row r="1138">
      <c r="A1138" s="2" t="n">
        <v>853</v>
      </c>
      <c r="B1138" s="2" t="s">
        <v>16239</v>
      </c>
      <c r="C1138" s="2" t="s">
        <v>9098</v>
      </c>
      <c r="D1138" s="2" t="n">
        <v>633.509963974</v>
      </c>
      <c r="E1138" s="2" t="n">
        <v>5.1560013300275</v>
      </c>
      <c r="F1138" s="2" t="s">
        <v>9100</v>
      </c>
      <c r="G1138" s="2" t="n">
        <v>206277</v>
      </c>
      <c r="H1138" s="3" t="str">
        <f>HYPERLINK("http://funmeta.oebiotech.com/network/206277", "http://funmeta.oebiotech.com/network/206277")</f>
      </c>
      <c r="I1138" s="2" t="s">
        <v>9102</v>
      </c>
      <c r="J1138" s="2"/>
      <c r="K1138" s="2"/>
      <c r="L1138" s="2"/>
      <c r="M1138" s="2"/>
      <c r="N1138" s="2" t="s">
        <v>9103</v>
      </c>
      <c r="O1138" s="2"/>
      <c r="P1138" s="2" t="s">
        <v>9104</v>
      </c>
      <c r="Q1138" s="2" t="s">
        <v>9105</v>
      </c>
      <c r="R1138" s="2" t="s">
        <v>794</v>
      </c>
      <c r="S1138" s="2" t="s">
        <v>2600</v>
      </c>
      <c r="T1138" s="2" t="s">
        <v>8840</v>
      </c>
      <c r="U1138" s="2" t="s">
        <v>9099</v>
      </c>
      <c r="V1138" s="2" t="s">
        <v>24</v>
      </c>
      <c r="W1138" s="2"/>
    </row>
    <row r="1139">
      <c r="A1139" s="2" t="n">
        <v>854</v>
      </c>
      <c r="B1139" s="2" t="s">
        <v>16240</v>
      </c>
      <c r="C1139" s="2" t="s">
        <v>9106</v>
      </c>
      <c r="D1139" s="2" t="n">
        <v>635.379521688</v>
      </c>
      <c r="E1139" s="2" t="n">
        <v>4.41684487509385</v>
      </c>
      <c r="F1139" s="2" t="s">
        <v>9108</v>
      </c>
      <c r="G1139" s="2" t="n">
        <v>198762</v>
      </c>
      <c r="H1139" s="3" t="str">
        <f>HYPERLINK("http://funmeta.oebiotech.com/network/198762", "http://funmeta.oebiotech.com/network/198762")</f>
      </c>
      <c r="I1139" s="2" t="s">
        <v>9110</v>
      </c>
      <c r="J1139" s="2"/>
      <c r="K1139" s="2"/>
      <c r="L1139" s="2"/>
      <c r="M1139" s="2"/>
      <c r="N1139" s="2" t="s">
        <v>9111</v>
      </c>
      <c r="O1139" s="2"/>
      <c r="P1139" s="2" t="s">
        <v>9112</v>
      </c>
      <c r="Q1139" s="2" t="s">
        <v>9113</v>
      </c>
      <c r="R1139" s="2" t="s">
        <v>1355</v>
      </c>
      <c r="S1139" s="2" t="s">
        <v>6478</v>
      </c>
      <c r="T1139" s="2" t="s">
        <v>215</v>
      </c>
      <c r="U1139" s="2" t="s">
        <v>9107</v>
      </c>
      <c r="V1139" s="2" t="s">
        <v>161</v>
      </c>
      <c r="W1139" s="2"/>
    </row>
    <row r="1140">
      <c r="A1140" s="2" t="n">
        <v>855</v>
      </c>
      <c r="B1140" s="2" t="s">
        <v>16241</v>
      </c>
      <c r="C1140" s="2" t="s">
        <v>9114</v>
      </c>
      <c r="D1140" s="2" t="n">
        <v>635.525609728</v>
      </c>
      <c r="E1140" s="2" t="n">
        <v>7.52178696014762</v>
      </c>
      <c r="F1140" s="2" t="s">
        <v>9116</v>
      </c>
      <c r="G1140" s="2" t="n">
        <v>56807</v>
      </c>
      <c r="H1140" s="3" t="str">
        <f>HYPERLINK("http://funmeta.oebiotech.com/network/56807", "http://funmeta.oebiotech.com/network/56807")</f>
      </c>
      <c r="I1140" s="2" t="s">
        <v>9118</v>
      </c>
      <c r="J1140" s="2" t="s">
        <v>9119</v>
      </c>
      <c r="K1140" s="2"/>
      <c r="L1140" s="2"/>
      <c r="M1140" s="2" t="s">
        <v>9120</v>
      </c>
      <c r="N1140" s="2" t="s">
        <v>9121</v>
      </c>
      <c r="O1140" s="2" t="s">
        <v>9122</v>
      </c>
      <c r="P1140" s="2" t="s">
        <v>9123</v>
      </c>
      <c r="Q1140" s="2" t="s">
        <v>9124</v>
      </c>
      <c r="R1140" s="2" t="s">
        <v>794</v>
      </c>
      <c r="S1140" s="2" t="s">
        <v>795</v>
      </c>
      <c r="T1140" s="2" t="s">
        <v>1870</v>
      </c>
      <c r="U1140" s="2" t="s">
        <v>9115</v>
      </c>
      <c r="V1140" s="2" t="s">
        <v>205</v>
      </c>
      <c r="W1140" s="2"/>
    </row>
    <row r="1141">
      <c r="A1141" s="2" t="n">
        <v>856</v>
      </c>
      <c r="B1141" s="2" t="s">
        <v>16242</v>
      </c>
      <c r="C1141" s="2" t="s">
        <v>9125</v>
      </c>
      <c r="D1141" s="2" t="n">
        <v>636.528964632</v>
      </c>
      <c r="E1141" s="2" t="n">
        <v>6.39306039020058</v>
      </c>
      <c r="F1141" s="2" t="s">
        <v>16243</v>
      </c>
      <c r="G1141" s="2" t="n">
        <v>61065</v>
      </c>
      <c r="H1141" s="3" t="str">
        <f>HYPERLINK("http://funmeta.oebiotech.com/network/61065", "http://funmeta.oebiotech.com/network/61065")</f>
      </c>
      <c r="I1141" s="2" t="s">
        <v>16244</v>
      </c>
      <c r="J1141" s="2" t="s">
        <v>16245</v>
      </c>
      <c r="K1141" s="2"/>
      <c r="L1141" s="2" t="s">
        <v>16246</v>
      </c>
      <c r="M1141" s="2"/>
      <c r="N1141" s="2" t="s">
        <v>16247</v>
      </c>
      <c r="O1141" s="2" t="s">
        <v>16248</v>
      </c>
      <c r="P1141" s="2" t="s">
        <v>16249</v>
      </c>
      <c r="Q1141" s="2" t="s">
        <v>16250</v>
      </c>
      <c r="R1141" s="2" t="s">
        <v>186</v>
      </c>
      <c r="S1141" s="2" t="s">
        <v>187</v>
      </c>
      <c r="T1141" s="2" t="s">
        <v>6895</v>
      </c>
      <c r="U1141" s="2" t="s">
        <v>9126</v>
      </c>
      <c r="V1141" s="2" t="s">
        <v>24</v>
      </c>
      <c r="W1141" s="2" t="s">
        <v>101</v>
      </c>
    </row>
    <row r="1142">
      <c r="A1142" s="2" t="n">
        <v>856</v>
      </c>
      <c r="B1142" s="2" t="s">
        <v>16251</v>
      </c>
      <c r="C1142" s="2" t="s">
        <v>9125</v>
      </c>
      <c r="D1142" s="2" t="n">
        <v>636.528964632</v>
      </c>
      <c r="E1142" s="2" t="n">
        <v>6.39306039020058</v>
      </c>
      <c r="F1142" s="2" t="s">
        <v>16252</v>
      </c>
      <c r="G1142" s="2" t="n">
        <v>61066</v>
      </c>
      <c r="H1142" s="3" t="str">
        <f>HYPERLINK("http://funmeta.oebiotech.com/network/61066", "http://funmeta.oebiotech.com/network/61066")</f>
      </c>
      <c r="I1142" s="2" t="s">
        <v>16253</v>
      </c>
      <c r="J1142" s="2" t="s">
        <v>16254</v>
      </c>
      <c r="K1142" s="2"/>
      <c r="L1142" s="2" t="s">
        <v>16255</v>
      </c>
      <c r="M1142" s="2"/>
      <c r="N1142" s="2" t="s">
        <v>16256</v>
      </c>
      <c r="O1142" s="2" t="s">
        <v>16257</v>
      </c>
      <c r="P1142" s="2" t="s">
        <v>16258</v>
      </c>
      <c r="Q1142" s="2" t="s">
        <v>16259</v>
      </c>
      <c r="R1142" s="2" t="s">
        <v>186</v>
      </c>
      <c r="S1142" s="2" t="s">
        <v>187</v>
      </c>
      <c r="T1142" s="2" t="s">
        <v>6895</v>
      </c>
      <c r="U1142" s="2" t="s">
        <v>9126</v>
      </c>
      <c r="V1142" s="2" t="s">
        <v>24</v>
      </c>
      <c r="W1142" s="2" t="s">
        <v>101</v>
      </c>
    </row>
    <row r="1143">
      <c r="A1143" s="2" t="n">
        <v>857</v>
      </c>
      <c r="B1143" s="2" t="s">
        <v>16260</v>
      </c>
      <c r="C1143" s="2" t="s">
        <v>9137</v>
      </c>
      <c r="D1143" s="2" t="n">
        <v>637.5412641</v>
      </c>
      <c r="E1143" s="2" t="n">
        <v>2.03646135420279</v>
      </c>
      <c r="F1143" s="2" t="s">
        <v>9139</v>
      </c>
      <c r="G1143" s="2" t="n">
        <v>13726</v>
      </c>
      <c r="H1143" s="3" t="str">
        <f>HYPERLINK("http://funmeta.oebiotech.com/network/13726", "http://funmeta.oebiotech.com/network/13726")</f>
      </c>
      <c r="I1143" s="2" t="s">
        <v>9141</v>
      </c>
      <c r="J1143" s="2" t="s">
        <v>9142</v>
      </c>
      <c r="K1143" s="2" t="s">
        <v>9143</v>
      </c>
      <c r="L1143" s="2" t="s">
        <v>9144</v>
      </c>
      <c r="M1143" s="2" t="s">
        <v>9145</v>
      </c>
      <c r="N1143" s="2" t="s">
        <v>9146</v>
      </c>
      <c r="O1143" s="2"/>
      <c r="P1143" s="2" t="s">
        <v>9147</v>
      </c>
      <c r="Q1143" s="2" t="s">
        <v>9148</v>
      </c>
      <c r="R1143" s="2" t="s">
        <v>794</v>
      </c>
      <c r="S1143" s="2" t="s">
        <v>2600</v>
      </c>
      <c r="T1143" s="2" t="s">
        <v>8840</v>
      </c>
      <c r="U1143" s="2" t="s">
        <v>9138</v>
      </c>
      <c r="V1143" s="2" t="s">
        <v>24</v>
      </c>
      <c r="W1143" s="2" t="s">
        <v>101</v>
      </c>
    </row>
    <row r="1144">
      <c r="A1144" s="2" t="n">
        <v>858</v>
      </c>
      <c r="B1144" s="2" t="s">
        <v>16261</v>
      </c>
      <c r="C1144" s="2" t="s">
        <v>9149</v>
      </c>
      <c r="D1144" s="2" t="n">
        <v>639.556909856</v>
      </c>
      <c r="E1144" s="2" t="n">
        <v>2.29867449195486</v>
      </c>
      <c r="F1144" s="2" t="s">
        <v>9151</v>
      </c>
      <c r="G1144" s="2" t="n">
        <v>56664</v>
      </c>
      <c r="H1144" s="3" t="str">
        <f>HYPERLINK("http://funmeta.oebiotech.com/network/56664", "http://funmeta.oebiotech.com/network/56664")</f>
      </c>
      <c r="I1144" s="2" t="s">
        <v>9153</v>
      </c>
      <c r="J1144" s="2" t="s">
        <v>9154</v>
      </c>
      <c r="K1144" s="2"/>
      <c r="L1144" s="2"/>
      <c r="M1144" s="2"/>
      <c r="N1144" s="2" t="s">
        <v>9155</v>
      </c>
      <c r="O1144" s="2" t="s">
        <v>9156</v>
      </c>
      <c r="P1144" s="2" t="s">
        <v>9157</v>
      </c>
      <c r="Q1144" s="2" t="s">
        <v>9158</v>
      </c>
      <c r="R1144" s="2" t="s">
        <v>794</v>
      </c>
      <c r="S1144" s="2" t="s">
        <v>795</v>
      </c>
      <c r="T1144" s="2" t="s">
        <v>1870</v>
      </c>
      <c r="U1144" s="2" t="s">
        <v>9150</v>
      </c>
      <c r="V1144" s="2" t="s">
        <v>205</v>
      </c>
      <c r="W1144" s="2"/>
    </row>
    <row r="1145">
      <c r="A1145" s="2" t="n">
        <v>859</v>
      </c>
      <c r="B1145" s="2" t="s">
        <v>16262</v>
      </c>
      <c r="C1145" s="2" t="s">
        <v>9159</v>
      </c>
      <c r="D1145" s="2" t="n">
        <v>640.310466543</v>
      </c>
      <c r="E1145" s="2" t="n">
        <v>0.446165694152044</v>
      </c>
      <c r="F1145" s="2" t="s">
        <v>9161</v>
      </c>
      <c r="G1145" s="2" t="n">
        <v>57634</v>
      </c>
      <c r="H1145" s="3" t="str">
        <f>HYPERLINK("http://funmeta.oebiotech.com/network/57634", "http://funmeta.oebiotech.com/network/57634")</f>
      </c>
      <c r="I1145" s="2" t="s">
        <v>9163</v>
      </c>
      <c r="J1145" s="2"/>
      <c r="K1145" s="2"/>
      <c r="L1145" s="2"/>
      <c r="M1145" s="2"/>
      <c r="N1145" s="2" t="s">
        <v>9164</v>
      </c>
      <c r="O1145" s="2" t="s">
        <v>9165</v>
      </c>
      <c r="P1145" s="2" t="s">
        <v>9166</v>
      </c>
      <c r="Q1145" s="2" t="s">
        <v>9167</v>
      </c>
      <c r="R1145" s="2" t="s">
        <v>36</v>
      </c>
      <c r="S1145" s="2" t="s">
        <v>37</v>
      </c>
      <c r="T1145" s="2" t="s">
        <v>2336</v>
      </c>
      <c r="U1145" s="2" t="s">
        <v>9160</v>
      </c>
      <c r="V1145" s="2" t="s">
        <v>218</v>
      </c>
      <c r="W1145" s="2" t="s">
        <v>56</v>
      </c>
    </row>
    <row r="1146">
      <c r="A1146" s="2" t="n">
        <v>860</v>
      </c>
      <c r="B1146" s="2" t="s">
        <v>16263</v>
      </c>
      <c r="C1146" s="2" t="s">
        <v>9168</v>
      </c>
      <c r="D1146" s="2" t="n">
        <v>641.10086968</v>
      </c>
      <c r="E1146" s="2" t="n">
        <v>4.74684805274168</v>
      </c>
      <c r="F1146" s="2" t="s">
        <v>9170</v>
      </c>
      <c r="G1146" s="2" t="n">
        <v>63206</v>
      </c>
      <c r="H1146" s="3" t="str">
        <f>HYPERLINK("http://funmeta.oebiotech.com/network/63206", "http://funmeta.oebiotech.com/network/63206")</f>
      </c>
      <c r="I1146" s="2" t="s">
        <v>9172</v>
      </c>
      <c r="J1146" s="2" t="s">
        <v>9173</v>
      </c>
      <c r="K1146" s="2"/>
      <c r="L1146" s="2"/>
      <c r="M1146" s="2"/>
      <c r="N1146" s="2" t="s">
        <v>9174</v>
      </c>
      <c r="O1146" s="2"/>
      <c r="P1146" s="2" t="s">
        <v>9175</v>
      </c>
      <c r="Q1146" s="2" t="s">
        <v>9176</v>
      </c>
      <c r="R1146" s="2" t="s">
        <v>1355</v>
      </c>
      <c r="S1146" s="2" t="s">
        <v>3653</v>
      </c>
      <c r="T1146" s="2" t="s">
        <v>9177</v>
      </c>
      <c r="U1146" s="2" t="s">
        <v>9169</v>
      </c>
      <c r="V1146" s="2" t="s">
        <v>86</v>
      </c>
      <c r="W1146" s="2"/>
    </row>
    <row r="1147">
      <c r="A1147" s="2" t="n">
        <v>861</v>
      </c>
      <c r="B1147" s="2" t="s">
        <v>16264</v>
      </c>
      <c r="C1147" s="2" t="s">
        <v>9178</v>
      </c>
      <c r="D1147" s="2" t="n">
        <v>641.49151305</v>
      </c>
      <c r="E1147" s="2" t="n">
        <v>3.55765849734664</v>
      </c>
      <c r="F1147" s="2" t="s">
        <v>16265</v>
      </c>
      <c r="G1147" s="2" t="n">
        <v>132641</v>
      </c>
      <c r="H1147" s="3" t="str">
        <f>HYPERLINK("http://funmeta.oebiotech.com/network/132641", "http://funmeta.oebiotech.com/network/132641")</f>
      </c>
      <c r="I1147" s="2" t="s">
        <v>16266</v>
      </c>
      <c r="J1147" s="2"/>
      <c r="K1147" s="2"/>
      <c r="L1147" s="2"/>
      <c r="M1147" s="2"/>
      <c r="N1147" s="2" t="s">
        <v>16267</v>
      </c>
      <c r="O1147" s="2"/>
      <c r="P1147" s="2" t="s">
        <v>16268</v>
      </c>
      <c r="Q1147" s="2" t="s">
        <v>16269</v>
      </c>
      <c r="R1147" s="2" t="s">
        <v>794</v>
      </c>
      <c r="S1147" s="2" t="s">
        <v>2971</v>
      </c>
      <c r="T1147" s="2" t="s">
        <v>6290</v>
      </c>
      <c r="U1147" s="2" t="s">
        <v>9179</v>
      </c>
      <c r="V1147" s="2" t="s">
        <v>531</v>
      </c>
      <c r="W1147" s="2"/>
    </row>
    <row r="1148">
      <c r="A1148" s="2" t="n">
        <v>861</v>
      </c>
      <c r="B1148" s="2" t="s">
        <v>16270</v>
      </c>
      <c r="C1148" s="2" t="s">
        <v>9178</v>
      </c>
      <c r="D1148" s="2" t="n">
        <v>641.49151305</v>
      </c>
      <c r="E1148" s="2" t="n">
        <v>3.55765849734664</v>
      </c>
      <c r="F1148" s="2" t="s">
        <v>16271</v>
      </c>
      <c r="G1148" s="2" t="n">
        <v>132633</v>
      </c>
      <c r="H1148" s="3" t="str">
        <f>HYPERLINK("http://funmeta.oebiotech.com/network/132633", "http://funmeta.oebiotech.com/network/132633")</f>
      </c>
      <c r="I1148" s="2" t="s">
        <v>16272</v>
      </c>
      <c r="J1148" s="2"/>
      <c r="K1148" s="2"/>
      <c r="L1148" s="2"/>
      <c r="M1148" s="2"/>
      <c r="N1148" s="2" t="s">
        <v>16273</v>
      </c>
      <c r="O1148" s="2"/>
      <c r="P1148" s="2" t="s">
        <v>16274</v>
      </c>
      <c r="Q1148" s="2" t="s">
        <v>16275</v>
      </c>
      <c r="R1148" s="2" t="s">
        <v>794</v>
      </c>
      <c r="S1148" s="2" t="s">
        <v>2971</v>
      </c>
      <c r="T1148" s="2" t="s">
        <v>6290</v>
      </c>
      <c r="U1148" s="2" t="s">
        <v>9179</v>
      </c>
      <c r="V1148" s="2" t="s">
        <v>531</v>
      </c>
      <c r="W1148" s="2"/>
    </row>
    <row r="1149">
      <c r="A1149" s="2" t="n">
        <v>862</v>
      </c>
      <c r="B1149" s="2" t="s">
        <v>16276</v>
      </c>
      <c r="C1149" s="2" t="s">
        <v>9187</v>
      </c>
      <c r="D1149" s="2" t="n">
        <v>643.47452194</v>
      </c>
      <c r="E1149" s="2" t="n">
        <v>7.45952629811139</v>
      </c>
      <c r="F1149" s="2" t="s">
        <v>9189</v>
      </c>
      <c r="G1149" s="2" t="n">
        <v>53553</v>
      </c>
      <c r="H1149" s="3" t="str">
        <f>HYPERLINK("http://funmeta.oebiotech.com/network/53553", "http://funmeta.oebiotech.com/network/53553")</f>
      </c>
      <c r="I1149" s="2" t="s">
        <v>9191</v>
      </c>
      <c r="J1149" s="2" t="s">
        <v>9192</v>
      </c>
      <c r="K1149" s="2"/>
      <c r="L1149" s="2"/>
      <c r="M1149" s="2" t="s">
        <v>9193</v>
      </c>
      <c r="N1149" s="2" t="s">
        <v>9194</v>
      </c>
      <c r="O1149" s="2" t="s">
        <v>9195</v>
      </c>
      <c r="P1149" s="2" t="s">
        <v>9196</v>
      </c>
      <c r="Q1149" s="2" t="s">
        <v>9197</v>
      </c>
      <c r="R1149" s="2" t="s">
        <v>186</v>
      </c>
      <c r="S1149" s="2" t="s">
        <v>3046</v>
      </c>
      <c r="T1149" s="2" t="s">
        <v>215</v>
      </c>
      <c r="U1149" s="2" t="s">
        <v>9188</v>
      </c>
      <c r="V1149" s="2" t="s">
        <v>683</v>
      </c>
      <c r="W1149" s="2"/>
    </row>
    <row r="1150">
      <c r="A1150" s="2" t="n">
        <v>863</v>
      </c>
      <c r="B1150" s="2" t="s">
        <v>16277</v>
      </c>
      <c r="C1150" s="2" t="s">
        <v>9198</v>
      </c>
      <c r="D1150" s="2" t="n">
        <v>645.488284286</v>
      </c>
      <c r="E1150" s="2" t="n">
        <v>8.91221088956292</v>
      </c>
      <c r="F1150" s="2" t="s">
        <v>9200</v>
      </c>
      <c r="G1150" s="2" t="n">
        <v>10747</v>
      </c>
      <c r="H1150" s="3" t="str">
        <f>HYPERLINK("http://funmeta.oebiotech.com/network/10747", "http://funmeta.oebiotech.com/network/10747")</f>
      </c>
      <c r="I1150" s="2" t="s">
        <v>9202</v>
      </c>
      <c r="J1150" s="2" t="s">
        <v>9203</v>
      </c>
      <c r="K1150" s="2" t="s">
        <v>9204</v>
      </c>
      <c r="L1150" s="2"/>
      <c r="M1150" s="2"/>
      <c r="N1150" s="2" t="s">
        <v>9205</v>
      </c>
      <c r="O1150" s="2"/>
      <c r="P1150" s="2" t="s">
        <v>9206</v>
      </c>
      <c r="Q1150" s="2" t="s">
        <v>9207</v>
      </c>
      <c r="R1150" s="2" t="s">
        <v>794</v>
      </c>
      <c r="S1150" s="2" t="s">
        <v>2600</v>
      </c>
      <c r="T1150" s="2" t="s">
        <v>8990</v>
      </c>
      <c r="U1150" s="2" t="s">
        <v>9199</v>
      </c>
      <c r="V1150" s="2" t="s">
        <v>161</v>
      </c>
      <c r="W1150" s="2" t="s">
        <v>39</v>
      </c>
    </row>
    <row r="1151">
      <c r="A1151" s="2" t="n">
        <v>864</v>
      </c>
      <c r="B1151" s="2" t="s">
        <v>16278</v>
      </c>
      <c r="C1151" s="2" t="s">
        <v>9208</v>
      </c>
      <c r="D1151" s="2" t="n">
        <v>648.381981313</v>
      </c>
      <c r="E1151" s="2" t="n">
        <v>2.32161901113529</v>
      </c>
      <c r="F1151" s="2" t="s">
        <v>9210</v>
      </c>
      <c r="G1151" s="2" t="n">
        <v>81836</v>
      </c>
      <c r="H1151" s="3" t="str">
        <f>HYPERLINK("http://funmeta.oebiotech.com/network/81836", "http://funmeta.oebiotech.com/network/81836")</f>
      </c>
      <c r="I1151" s="2" t="s">
        <v>9212</v>
      </c>
      <c r="J1151" s="2"/>
      <c r="K1151" s="2"/>
      <c r="L1151" s="2"/>
      <c r="M1151" s="2"/>
      <c r="N1151" s="2" t="s">
        <v>9213</v>
      </c>
      <c r="O1151" s="2"/>
      <c r="P1151" s="2" t="s">
        <v>9214</v>
      </c>
      <c r="Q1151" s="2" t="s">
        <v>9215</v>
      </c>
      <c r="R1151" s="2" t="s">
        <v>36</v>
      </c>
      <c r="S1151" s="2" t="s">
        <v>37</v>
      </c>
      <c r="T1151" s="2" t="s">
        <v>69</v>
      </c>
      <c r="U1151" s="2" t="s">
        <v>9209</v>
      </c>
      <c r="V1151" s="2" t="s">
        <v>161</v>
      </c>
      <c r="W1151" s="2" t="s">
        <v>56</v>
      </c>
    </row>
    <row r="1152">
      <c r="A1152" s="2" t="n">
        <v>865</v>
      </c>
      <c r="B1152" s="2" t="s">
        <v>16279</v>
      </c>
      <c r="C1152" s="2" t="s">
        <v>9216</v>
      </c>
      <c r="D1152" s="2" t="n">
        <v>649.104638028</v>
      </c>
      <c r="E1152" s="2" t="n">
        <v>7.97602857978866</v>
      </c>
      <c r="F1152" s="2" t="s">
        <v>16280</v>
      </c>
      <c r="G1152" s="2" t="n">
        <v>62483</v>
      </c>
      <c r="H1152" s="3" t="str">
        <f>HYPERLINK("http://funmeta.oebiotech.com/network/62483", "http://funmeta.oebiotech.com/network/62483")</f>
      </c>
      <c r="I1152" s="2" t="s">
        <v>16281</v>
      </c>
      <c r="J1152" s="2" t="s">
        <v>16282</v>
      </c>
      <c r="K1152" s="2"/>
      <c r="L1152" s="2"/>
      <c r="M1152" s="2"/>
      <c r="N1152" s="2" t="s">
        <v>16283</v>
      </c>
      <c r="O1152" s="2"/>
      <c r="P1152" s="2" t="s">
        <v>16284</v>
      </c>
      <c r="Q1152" s="2" t="s">
        <v>16285</v>
      </c>
      <c r="R1152" s="2" t="s">
        <v>186</v>
      </c>
      <c r="S1152" s="2" t="s">
        <v>187</v>
      </c>
      <c r="T1152" s="2" t="s">
        <v>3454</v>
      </c>
      <c r="U1152" s="2" t="s">
        <v>9217</v>
      </c>
      <c r="V1152" s="2" t="s">
        <v>24</v>
      </c>
      <c r="W1152" s="2"/>
    </row>
    <row r="1153">
      <c r="A1153" s="2" t="n">
        <v>865</v>
      </c>
      <c r="B1153" s="2" t="s">
        <v>16286</v>
      </c>
      <c r="C1153" s="2" t="s">
        <v>9216</v>
      </c>
      <c r="D1153" s="2" t="n">
        <v>649.104638028</v>
      </c>
      <c r="E1153" s="2" t="n">
        <v>7.97602857978866</v>
      </c>
      <c r="F1153" s="2" t="s">
        <v>16287</v>
      </c>
      <c r="G1153" s="2" t="n">
        <v>62482</v>
      </c>
      <c r="H1153" s="3" t="str">
        <f>HYPERLINK("http://funmeta.oebiotech.com/network/62482", "http://funmeta.oebiotech.com/network/62482")</f>
      </c>
      <c r="I1153" s="2" t="s">
        <v>16288</v>
      </c>
      <c r="J1153" s="2" t="s">
        <v>16289</v>
      </c>
      <c r="K1153" s="2"/>
      <c r="L1153" s="2"/>
      <c r="M1153" s="2"/>
      <c r="N1153" s="2" t="s">
        <v>16290</v>
      </c>
      <c r="O1153" s="2" t="s">
        <v>16291</v>
      </c>
      <c r="P1153" s="2" t="s">
        <v>16292</v>
      </c>
      <c r="Q1153" s="2" t="s">
        <v>16293</v>
      </c>
      <c r="R1153" s="2" t="s">
        <v>1355</v>
      </c>
      <c r="S1153" s="2" t="s">
        <v>9660</v>
      </c>
      <c r="T1153" s="2" t="s">
        <v>215</v>
      </c>
      <c r="U1153" s="2" t="s">
        <v>9217</v>
      </c>
      <c r="V1153" s="2" t="s">
        <v>24</v>
      </c>
      <c r="W1153" s="2"/>
    </row>
    <row r="1154">
      <c r="A1154" s="2" t="n">
        <v>866</v>
      </c>
      <c r="B1154" s="2" t="s">
        <v>16294</v>
      </c>
      <c r="C1154" s="2" t="s">
        <v>9228</v>
      </c>
      <c r="D1154" s="2" t="n">
        <v>651.120288092</v>
      </c>
      <c r="E1154" s="2" t="n">
        <v>2.41582097483364</v>
      </c>
      <c r="F1154" s="2" t="s">
        <v>9230</v>
      </c>
      <c r="G1154" s="2" t="n">
        <v>54189</v>
      </c>
      <c r="H1154" s="3" t="str">
        <f>HYPERLINK("http://funmeta.oebiotech.com/network/54189", "http://funmeta.oebiotech.com/network/54189")</f>
      </c>
      <c r="I1154" s="2" t="s">
        <v>9232</v>
      </c>
      <c r="J1154" s="2" t="s">
        <v>9233</v>
      </c>
      <c r="K1154" s="2"/>
      <c r="L1154" s="2"/>
      <c r="M1154" s="2"/>
      <c r="N1154" s="2" t="s">
        <v>9234</v>
      </c>
      <c r="O1154" s="2"/>
      <c r="P1154" s="2" t="s">
        <v>9235</v>
      </c>
      <c r="Q1154" s="2" t="s">
        <v>9236</v>
      </c>
      <c r="R1154" s="2" t="s">
        <v>1355</v>
      </c>
      <c r="S1154" s="2" t="s">
        <v>6741</v>
      </c>
      <c r="T1154" s="2" t="s">
        <v>6742</v>
      </c>
      <c r="U1154" s="2" t="s">
        <v>9229</v>
      </c>
      <c r="V1154" s="2" t="s">
        <v>683</v>
      </c>
      <c r="W1154" s="2" t="s">
        <v>56</v>
      </c>
    </row>
    <row r="1155">
      <c r="A1155" s="2" t="n">
        <v>867</v>
      </c>
      <c r="B1155" s="2" t="s">
        <v>16295</v>
      </c>
      <c r="C1155" s="2" t="s">
        <v>9237</v>
      </c>
      <c r="D1155" s="2" t="n">
        <v>651.484138844</v>
      </c>
      <c r="E1155" s="2" t="n">
        <v>9.61998674180294</v>
      </c>
      <c r="F1155" s="2" t="s">
        <v>16296</v>
      </c>
      <c r="G1155" s="2" t="n">
        <v>54823</v>
      </c>
      <c r="H1155" s="3" t="str">
        <f>HYPERLINK("http://funmeta.oebiotech.com/network/54823", "http://funmeta.oebiotech.com/network/54823")</f>
      </c>
      <c r="I1155" s="2" t="s">
        <v>16297</v>
      </c>
      <c r="J1155" s="2"/>
      <c r="K1155" s="2"/>
      <c r="L1155" s="2"/>
      <c r="M1155" s="2"/>
      <c r="N1155" s="2" t="s">
        <v>16298</v>
      </c>
      <c r="O1155" s="2" t="s">
        <v>16299</v>
      </c>
      <c r="P1155" s="2" t="s">
        <v>16300</v>
      </c>
      <c r="Q1155" s="2" t="s">
        <v>16301</v>
      </c>
      <c r="R1155" s="2" t="s">
        <v>794</v>
      </c>
      <c r="S1155" s="2" t="s">
        <v>795</v>
      </c>
      <c r="T1155" s="2" t="s">
        <v>3273</v>
      </c>
      <c r="U1155" s="2" t="s">
        <v>9238</v>
      </c>
      <c r="V1155" s="2" t="s">
        <v>205</v>
      </c>
      <c r="W1155" s="2"/>
    </row>
    <row r="1156">
      <c r="A1156" s="2" t="n">
        <v>867</v>
      </c>
      <c r="B1156" s="2" t="s">
        <v>16302</v>
      </c>
      <c r="C1156" s="2" t="s">
        <v>9237</v>
      </c>
      <c r="D1156" s="2" t="n">
        <v>651.484138844</v>
      </c>
      <c r="E1156" s="2" t="n">
        <v>9.61998674180294</v>
      </c>
      <c r="F1156" s="2" t="s">
        <v>16303</v>
      </c>
      <c r="G1156" s="2" t="n">
        <v>55651</v>
      </c>
      <c r="H1156" s="3" t="str">
        <f>HYPERLINK("http://funmeta.oebiotech.com/network/55651", "http://funmeta.oebiotech.com/network/55651")</f>
      </c>
      <c r="I1156" s="2" t="s">
        <v>16304</v>
      </c>
      <c r="J1156" s="2" t="s">
        <v>16305</v>
      </c>
      <c r="K1156" s="2"/>
      <c r="L1156" s="2"/>
      <c r="M1156" s="2" t="s">
        <v>16306</v>
      </c>
      <c r="N1156" s="2" t="s">
        <v>16307</v>
      </c>
      <c r="O1156" s="2" t="s">
        <v>16308</v>
      </c>
      <c r="P1156" s="2" t="s">
        <v>16309</v>
      </c>
      <c r="Q1156" s="2" t="s">
        <v>16310</v>
      </c>
      <c r="R1156" s="2" t="s">
        <v>794</v>
      </c>
      <c r="S1156" s="2" t="s">
        <v>795</v>
      </c>
      <c r="T1156" s="2" t="s">
        <v>3273</v>
      </c>
      <c r="U1156" s="2" t="s">
        <v>9238</v>
      </c>
      <c r="V1156" s="2" t="s">
        <v>205</v>
      </c>
      <c r="W1156" s="2"/>
    </row>
    <row r="1157">
      <c r="A1157" s="2" t="n">
        <v>867</v>
      </c>
      <c r="B1157" s="2" t="s">
        <v>16311</v>
      </c>
      <c r="C1157" s="2" t="s">
        <v>9237</v>
      </c>
      <c r="D1157" s="2" t="n">
        <v>651.484138844</v>
      </c>
      <c r="E1157" s="2" t="n">
        <v>9.61998674180294</v>
      </c>
      <c r="F1157" s="2" t="s">
        <v>16312</v>
      </c>
      <c r="G1157" s="2" t="n">
        <v>56351</v>
      </c>
      <c r="H1157" s="3" t="str">
        <f>HYPERLINK("http://funmeta.oebiotech.com/network/56351", "http://funmeta.oebiotech.com/network/56351")</f>
      </c>
      <c r="I1157" s="2" t="s">
        <v>16313</v>
      </c>
      <c r="J1157" s="2"/>
      <c r="K1157" s="2"/>
      <c r="L1157" s="2"/>
      <c r="M1157" s="2"/>
      <c r="N1157" s="2" t="s">
        <v>16314</v>
      </c>
      <c r="O1157" s="2" t="s">
        <v>16315</v>
      </c>
      <c r="P1157" s="2" t="s">
        <v>16316</v>
      </c>
      <c r="Q1157" s="2" t="s">
        <v>16317</v>
      </c>
      <c r="R1157" s="2" t="s">
        <v>794</v>
      </c>
      <c r="S1157" s="2" t="s">
        <v>795</v>
      </c>
      <c r="T1157" s="2" t="s">
        <v>3273</v>
      </c>
      <c r="U1157" s="2" t="s">
        <v>9238</v>
      </c>
      <c r="V1157" s="2" t="s">
        <v>205</v>
      </c>
      <c r="W1157" s="2"/>
    </row>
    <row r="1158">
      <c r="A1158" s="2" t="n">
        <v>868</v>
      </c>
      <c r="B1158" s="2" t="s">
        <v>16318</v>
      </c>
      <c r="C1158" s="2" t="s">
        <v>9249</v>
      </c>
      <c r="D1158" s="2" t="n">
        <v>652.250327864</v>
      </c>
      <c r="E1158" s="2" t="n">
        <v>6.44491535374679</v>
      </c>
      <c r="F1158" s="2" t="s">
        <v>9251</v>
      </c>
      <c r="G1158" s="2" t="n">
        <v>211028</v>
      </c>
      <c r="H1158" s="3" t="str">
        <f>HYPERLINK("http://funmeta.oebiotech.com/network/211028", "http://funmeta.oebiotech.com/network/211028")</f>
      </c>
      <c r="I1158" s="2" t="s">
        <v>9253</v>
      </c>
      <c r="J1158" s="2"/>
      <c r="K1158" s="2"/>
      <c r="L1158" s="2"/>
      <c r="M1158" s="2"/>
      <c r="N1158" s="2" t="s">
        <v>9254</v>
      </c>
      <c r="O1158" s="2"/>
      <c r="P1158" s="2" t="s">
        <v>9255</v>
      </c>
      <c r="Q1158" s="2" t="s">
        <v>9256</v>
      </c>
      <c r="R1158" s="2" t="s">
        <v>36</v>
      </c>
      <c r="S1158" s="2" t="s">
        <v>37</v>
      </c>
      <c r="T1158" s="2" t="s">
        <v>69</v>
      </c>
      <c r="U1158" s="2" t="s">
        <v>9250</v>
      </c>
      <c r="V1158" s="2" t="s">
        <v>86</v>
      </c>
      <c r="W1158" s="2"/>
    </row>
    <row r="1159">
      <c r="A1159" s="2" t="n">
        <v>869</v>
      </c>
      <c r="B1159" s="2" t="s">
        <v>16319</v>
      </c>
      <c r="C1159" s="2" t="s">
        <v>9257</v>
      </c>
      <c r="D1159" s="2" t="n">
        <v>653.250450516</v>
      </c>
      <c r="E1159" s="2" t="n">
        <v>2.85784740112673</v>
      </c>
      <c r="F1159" s="2" t="s">
        <v>9259</v>
      </c>
      <c r="G1159" s="2" t="n">
        <v>61954</v>
      </c>
      <c r="H1159" s="3" t="str">
        <f>HYPERLINK("http://funmeta.oebiotech.com/network/61954", "http://funmeta.oebiotech.com/network/61954")</f>
      </c>
      <c r="I1159" s="2" t="s">
        <v>9261</v>
      </c>
      <c r="J1159" s="2" t="s">
        <v>9262</v>
      </c>
      <c r="K1159" s="2"/>
      <c r="L1159" s="2"/>
      <c r="M1159" s="2"/>
      <c r="N1159" s="2" t="s">
        <v>9263</v>
      </c>
      <c r="O1159" s="2" t="s">
        <v>9264</v>
      </c>
      <c r="P1159" s="2" t="s">
        <v>9265</v>
      </c>
      <c r="Q1159" s="2" t="s">
        <v>9266</v>
      </c>
      <c r="R1159" s="2" t="s">
        <v>3003</v>
      </c>
      <c r="S1159" s="2" t="s">
        <v>9267</v>
      </c>
      <c r="T1159" s="2" t="s">
        <v>215</v>
      </c>
      <c r="U1159" s="2" t="s">
        <v>9258</v>
      </c>
      <c r="V1159" s="2" t="s">
        <v>205</v>
      </c>
      <c r="W1159" s="2"/>
    </row>
    <row r="1160">
      <c r="A1160" s="2" t="n">
        <v>870</v>
      </c>
      <c r="B1160" s="2" t="s">
        <v>16320</v>
      </c>
      <c r="C1160" s="2" t="s">
        <v>9268</v>
      </c>
      <c r="D1160" s="2" t="n">
        <v>653.499788908</v>
      </c>
      <c r="E1160" s="2" t="n">
        <v>9.60572342400033</v>
      </c>
      <c r="F1160" s="2" t="s">
        <v>9270</v>
      </c>
      <c r="G1160" s="2" t="n">
        <v>59720</v>
      </c>
      <c r="H1160" s="3" t="str">
        <f>HYPERLINK("http://funmeta.oebiotech.com/network/59720", "http://funmeta.oebiotech.com/network/59720")</f>
      </c>
      <c r="I1160" s="2" t="s">
        <v>9272</v>
      </c>
      <c r="J1160" s="2" t="s">
        <v>9273</v>
      </c>
      <c r="K1160" s="2"/>
      <c r="L1160" s="2"/>
      <c r="M1160" s="2" t="s">
        <v>9274</v>
      </c>
      <c r="N1160" s="2" t="s">
        <v>9275</v>
      </c>
      <c r="O1160" s="2"/>
      <c r="P1160" s="2" t="s">
        <v>9276</v>
      </c>
      <c r="Q1160" s="2" t="s">
        <v>9277</v>
      </c>
      <c r="R1160" s="2" t="s">
        <v>794</v>
      </c>
      <c r="S1160" s="2" t="s">
        <v>795</v>
      </c>
      <c r="T1160" s="2" t="s">
        <v>3273</v>
      </c>
      <c r="U1160" s="2" t="s">
        <v>9269</v>
      </c>
      <c r="V1160" s="2" t="s">
        <v>205</v>
      </c>
      <c r="W1160" s="2"/>
    </row>
    <row r="1161">
      <c r="A1161" s="2" t="n">
        <v>871</v>
      </c>
      <c r="B1161" s="2" t="s">
        <v>16321</v>
      </c>
      <c r="C1161" s="2" t="s">
        <v>9278</v>
      </c>
      <c r="D1161" s="2" t="n">
        <v>654.260382852</v>
      </c>
      <c r="E1161" s="2" t="n">
        <v>2.49414516242555</v>
      </c>
      <c r="F1161" s="2" t="s">
        <v>9280</v>
      </c>
      <c r="G1161" s="2" t="n">
        <v>199105</v>
      </c>
      <c r="H1161" s="3" t="str">
        <f>HYPERLINK("http://funmeta.oebiotech.com/network/199105", "http://funmeta.oebiotech.com/network/199105")</f>
      </c>
      <c r="I1161" s="2" t="s">
        <v>9282</v>
      </c>
      <c r="J1161" s="2"/>
      <c r="K1161" s="2"/>
      <c r="L1161" s="2"/>
      <c r="M1161" s="2"/>
      <c r="N1161" s="2" t="s">
        <v>9283</v>
      </c>
      <c r="O1161" s="2"/>
      <c r="P1161" s="2" t="s">
        <v>9284</v>
      </c>
      <c r="Q1161" s="2" t="s">
        <v>9285</v>
      </c>
      <c r="R1161" s="2" t="s">
        <v>114</v>
      </c>
      <c r="S1161" s="2" t="s">
        <v>8755</v>
      </c>
      <c r="T1161" s="2" t="s">
        <v>215</v>
      </c>
      <c r="U1161" s="2" t="s">
        <v>9279</v>
      </c>
      <c r="V1161" s="2" t="s">
        <v>531</v>
      </c>
      <c r="W1161" s="2"/>
    </row>
    <row r="1162">
      <c r="A1162" s="2" t="n">
        <v>872</v>
      </c>
      <c r="B1162" s="2" t="s">
        <v>16322</v>
      </c>
      <c r="C1162" s="2" t="s">
        <v>9286</v>
      </c>
      <c r="D1162" s="2" t="n">
        <v>655.217569212</v>
      </c>
      <c r="E1162" s="2" t="n">
        <v>1.74100468532557</v>
      </c>
      <c r="F1162" s="2" t="s">
        <v>9288</v>
      </c>
      <c r="G1162" s="2" t="n">
        <v>82536</v>
      </c>
      <c r="H1162" s="3" t="str">
        <f>HYPERLINK("http://funmeta.oebiotech.com/network/82536", "http://funmeta.oebiotech.com/network/82536")</f>
      </c>
      <c r="I1162" s="2" t="s">
        <v>9290</v>
      </c>
      <c r="J1162" s="2" t="s">
        <v>9291</v>
      </c>
      <c r="K1162" s="2"/>
      <c r="L1162" s="2" t="s">
        <v>9292</v>
      </c>
      <c r="M1162" s="2" t="s">
        <v>9293</v>
      </c>
      <c r="N1162" s="2" t="s">
        <v>9294</v>
      </c>
      <c r="O1162" s="2" t="s">
        <v>9295</v>
      </c>
      <c r="P1162" s="2" t="s">
        <v>9296</v>
      </c>
      <c r="Q1162" s="2" t="s">
        <v>9297</v>
      </c>
      <c r="R1162" s="2" t="s">
        <v>3003</v>
      </c>
      <c r="S1162" s="2" t="s">
        <v>9298</v>
      </c>
      <c r="T1162" s="2" t="s">
        <v>215</v>
      </c>
      <c r="U1162" s="2" t="s">
        <v>9287</v>
      </c>
      <c r="V1162" s="2" t="s">
        <v>218</v>
      </c>
      <c r="W1162" s="2" t="s">
        <v>56</v>
      </c>
    </row>
    <row r="1163">
      <c r="A1163" s="2" t="n">
        <v>873</v>
      </c>
      <c r="B1163" s="2" t="s">
        <v>16323</v>
      </c>
      <c r="C1163" s="2" t="s">
        <v>9299</v>
      </c>
      <c r="D1163" s="2" t="n">
        <v>655.507377414</v>
      </c>
      <c r="E1163" s="2" t="n">
        <v>6.82395274522533</v>
      </c>
      <c r="F1163" s="2" t="s">
        <v>16324</v>
      </c>
      <c r="G1163" s="2" t="n">
        <v>10910</v>
      </c>
      <c r="H1163" s="3" t="str">
        <f>HYPERLINK("http://funmeta.oebiotech.com/network/10910", "http://funmeta.oebiotech.com/network/10910")</f>
      </c>
      <c r="I1163" s="2" t="s">
        <v>16325</v>
      </c>
      <c r="J1163" s="2" t="s">
        <v>16326</v>
      </c>
      <c r="K1163" s="2" t="s">
        <v>16327</v>
      </c>
      <c r="L1163" s="2"/>
      <c r="M1163" s="2" t="s">
        <v>16328</v>
      </c>
      <c r="N1163" s="2" t="s">
        <v>16329</v>
      </c>
      <c r="O1163" s="2"/>
      <c r="P1163" s="2" t="s">
        <v>16330</v>
      </c>
      <c r="Q1163" s="2" t="s">
        <v>16331</v>
      </c>
      <c r="R1163" s="2" t="s">
        <v>794</v>
      </c>
      <c r="S1163" s="2" t="s">
        <v>2600</v>
      </c>
      <c r="T1163" s="2" t="s">
        <v>8990</v>
      </c>
      <c r="U1163" s="2" t="s">
        <v>9300</v>
      </c>
      <c r="V1163" s="2" t="s">
        <v>86</v>
      </c>
      <c r="W1163" s="2"/>
    </row>
    <row r="1164">
      <c r="A1164" s="2" t="n">
        <v>873</v>
      </c>
      <c r="B1164" s="2" t="s">
        <v>16332</v>
      </c>
      <c r="C1164" s="2" t="s">
        <v>9299</v>
      </c>
      <c r="D1164" s="2" t="n">
        <v>655.507377418</v>
      </c>
      <c r="E1164" s="2" t="n">
        <v>6.82395274522533</v>
      </c>
      <c r="F1164" s="2" t="s">
        <v>16333</v>
      </c>
      <c r="G1164" s="2" t="n">
        <v>207281</v>
      </c>
      <c r="H1164" s="3" t="str">
        <f>HYPERLINK("http://funmeta.oebiotech.com/network/207281", "http://funmeta.oebiotech.com/network/207281")</f>
      </c>
      <c r="I1164" s="2" t="s">
        <v>16334</v>
      </c>
      <c r="J1164" s="2"/>
      <c r="K1164" s="2"/>
      <c r="L1164" s="2"/>
      <c r="M1164" s="2"/>
      <c r="N1164" s="2" t="s">
        <v>16335</v>
      </c>
      <c r="O1164" s="2"/>
      <c r="P1164" s="2" t="s">
        <v>16336</v>
      </c>
      <c r="Q1164" s="2" t="s">
        <v>16337</v>
      </c>
      <c r="R1164" s="2" t="s">
        <v>794</v>
      </c>
      <c r="S1164" s="2" t="s">
        <v>2600</v>
      </c>
      <c r="T1164" s="2" t="s">
        <v>8990</v>
      </c>
      <c r="U1164" s="2" t="s">
        <v>9300</v>
      </c>
      <c r="V1164" s="2" t="s">
        <v>86</v>
      </c>
      <c r="W1164" s="2"/>
    </row>
    <row r="1165">
      <c r="A1165" s="2" t="n">
        <v>873</v>
      </c>
      <c r="B1165" s="2" t="s">
        <v>16338</v>
      </c>
      <c r="C1165" s="2" t="s">
        <v>9299</v>
      </c>
      <c r="D1165" s="2" t="n">
        <v>655.507377418</v>
      </c>
      <c r="E1165" s="2" t="n">
        <v>6.82395274522533</v>
      </c>
      <c r="F1165" s="2" t="s">
        <v>16339</v>
      </c>
      <c r="G1165" s="2" t="n">
        <v>199613</v>
      </c>
      <c r="H1165" s="3" t="str">
        <f>HYPERLINK("http://funmeta.oebiotech.com/network/199613", "http://funmeta.oebiotech.com/network/199613")</f>
      </c>
      <c r="I1165" s="2" t="s">
        <v>16340</v>
      </c>
      <c r="J1165" s="2"/>
      <c r="K1165" s="2"/>
      <c r="L1165" s="2"/>
      <c r="M1165" s="2"/>
      <c r="N1165" s="2" t="s">
        <v>16341</v>
      </c>
      <c r="O1165" s="2"/>
      <c r="P1165" s="2" t="s">
        <v>16342</v>
      </c>
      <c r="Q1165" s="2" t="s">
        <v>16343</v>
      </c>
      <c r="R1165" s="2" t="s">
        <v>794</v>
      </c>
      <c r="S1165" s="2" t="s">
        <v>2600</v>
      </c>
      <c r="T1165" s="2" t="s">
        <v>8990</v>
      </c>
      <c r="U1165" s="2" t="s">
        <v>9300</v>
      </c>
      <c r="V1165" s="2" t="s">
        <v>86</v>
      </c>
      <c r="W1165" s="2"/>
    </row>
    <row r="1166">
      <c r="A1166" s="2" t="n">
        <v>874</v>
      </c>
      <c r="B1166" s="2" t="s">
        <v>16344</v>
      </c>
      <c r="C1166" s="2" t="s">
        <v>9312</v>
      </c>
      <c r="D1166" s="2" t="n">
        <v>656.575397399</v>
      </c>
      <c r="E1166" s="2" t="n">
        <v>7.66195845874945</v>
      </c>
      <c r="F1166" s="2" t="s">
        <v>9314</v>
      </c>
      <c r="G1166" s="2" t="n">
        <v>39031</v>
      </c>
      <c r="H1166" s="3" t="str">
        <f>HYPERLINK("http://funmeta.oebiotech.com/network/39031", "http://funmeta.oebiotech.com/network/39031")</f>
      </c>
      <c r="I1166" s="2" t="s">
        <v>9316</v>
      </c>
      <c r="J1166" s="2" t="s">
        <v>9317</v>
      </c>
      <c r="K1166" s="2" t="s">
        <v>9318</v>
      </c>
      <c r="L1166" s="2" t="s">
        <v>8716</v>
      </c>
      <c r="M1166" s="2" t="s">
        <v>9319</v>
      </c>
      <c r="N1166" s="2" t="s">
        <v>9320</v>
      </c>
      <c r="O1166" s="2" t="s">
        <v>9321</v>
      </c>
      <c r="P1166" s="2" t="s">
        <v>9322</v>
      </c>
      <c r="Q1166" s="2" t="s">
        <v>9323</v>
      </c>
      <c r="R1166" s="2" t="s">
        <v>794</v>
      </c>
      <c r="S1166" s="2" t="s">
        <v>7781</v>
      </c>
      <c r="T1166" s="2" t="s">
        <v>8722</v>
      </c>
      <c r="U1166" s="2" t="s">
        <v>9313</v>
      </c>
      <c r="V1166" s="2" t="s">
        <v>86</v>
      </c>
      <c r="W1166" s="2" t="s">
        <v>39</v>
      </c>
    </row>
    <row r="1167">
      <c r="A1167" s="2" t="n">
        <v>875</v>
      </c>
      <c r="B1167" s="2" t="s">
        <v>16345</v>
      </c>
      <c r="C1167" s="2" t="s">
        <v>9324</v>
      </c>
      <c r="D1167" s="2" t="n">
        <v>661.534840548</v>
      </c>
      <c r="E1167" s="2" t="n">
        <v>4.84969955771421</v>
      </c>
      <c r="F1167" s="2" t="s">
        <v>9326</v>
      </c>
      <c r="G1167" s="2" t="n">
        <v>54961</v>
      </c>
      <c r="H1167" s="3" t="str">
        <f>HYPERLINK("http://funmeta.oebiotech.com/network/54961", "http://funmeta.oebiotech.com/network/54961")</f>
      </c>
      <c r="I1167" s="2" t="s">
        <v>9328</v>
      </c>
      <c r="J1167" s="2" t="s">
        <v>9329</v>
      </c>
      <c r="K1167" s="2"/>
      <c r="L1167" s="2" t="s">
        <v>9330</v>
      </c>
      <c r="M1167" s="2" t="s">
        <v>9331</v>
      </c>
      <c r="N1167" s="2" t="s">
        <v>9332</v>
      </c>
      <c r="O1167" s="2" t="s">
        <v>9333</v>
      </c>
      <c r="P1167" s="2" t="s">
        <v>9334</v>
      </c>
      <c r="Q1167" s="2" t="s">
        <v>9335</v>
      </c>
      <c r="R1167" s="2" t="s">
        <v>794</v>
      </c>
      <c r="S1167" s="2" t="s">
        <v>1098</v>
      </c>
      <c r="T1167" s="2" t="s">
        <v>9336</v>
      </c>
      <c r="U1167" s="2" t="s">
        <v>9325</v>
      </c>
      <c r="V1167" s="2" t="s">
        <v>161</v>
      </c>
      <c r="W1167" s="2" t="s">
        <v>101</v>
      </c>
    </row>
    <row r="1168">
      <c r="A1168" s="2" t="n">
        <v>876</v>
      </c>
      <c r="B1168" s="2" t="s">
        <v>16346</v>
      </c>
      <c r="C1168" s="2" t="s">
        <v>9337</v>
      </c>
      <c r="D1168" s="2" t="n">
        <v>662.114486899</v>
      </c>
      <c r="E1168" s="2" t="n">
        <v>2.22845416732064</v>
      </c>
      <c r="F1168" s="2" t="s">
        <v>9339</v>
      </c>
      <c r="G1168" s="2" t="n">
        <v>254797</v>
      </c>
      <c r="H1168" s="3" t="str">
        <f>HYPERLINK("http://funmeta.oebiotech.com/network/254797", "http://funmeta.oebiotech.com/network/254797")</f>
      </c>
      <c r="I1168" s="2" t="s">
        <v>9341</v>
      </c>
      <c r="J1168" s="2"/>
      <c r="K1168" s="2"/>
      <c r="L1168" s="2"/>
      <c r="M1168" s="2"/>
      <c r="N1168" s="2" t="s">
        <v>9342</v>
      </c>
      <c r="O1168" s="2"/>
      <c r="P1168" s="2" t="s">
        <v>9343</v>
      </c>
      <c r="Q1168" s="2" t="s">
        <v>9344</v>
      </c>
      <c r="R1168" s="2" t="s">
        <v>36</v>
      </c>
      <c r="S1168" s="2" t="s">
        <v>37</v>
      </c>
      <c r="T1168" s="2" t="s">
        <v>69</v>
      </c>
      <c r="U1168" s="2" t="s">
        <v>9338</v>
      </c>
      <c r="V1168" s="2" t="s">
        <v>205</v>
      </c>
      <c r="W1168" s="2"/>
    </row>
    <row r="1169">
      <c r="A1169" s="2" t="n">
        <v>877</v>
      </c>
      <c r="B1169" s="2" t="s">
        <v>16347</v>
      </c>
      <c r="C1169" s="2" t="s">
        <v>9345</v>
      </c>
      <c r="D1169" s="2" t="n">
        <v>663.115670328</v>
      </c>
      <c r="E1169" s="2" t="n">
        <v>3.15720222611792</v>
      </c>
      <c r="F1169" s="2" t="s">
        <v>9347</v>
      </c>
      <c r="G1169" s="2" t="n">
        <v>204170</v>
      </c>
      <c r="H1169" s="3" t="str">
        <f>HYPERLINK("http://funmeta.oebiotech.com/network/204170", "http://funmeta.oebiotech.com/network/204170")</f>
      </c>
      <c r="I1169" s="2" t="s">
        <v>9349</v>
      </c>
      <c r="J1169" s="2"/>
      <c r="K1169" s="2"/>
      <c r="L1169" s="2"/>
      <c r="M1169" s="2"/>
      <c r="N1169" s="2" t="s">
        <v>9350</v>
      </c>
      <c r="O1169" s="2"/>
      <c r="P1169" s="2" t="s">
        <v>9351</v>
      </c>
      <c r="Q1169" s="2" t="s">
        <v>9352</v>
      </c>
      <c r="R1169" s="2" t="s">
        <v>186</v>
      </c>
      <c r="S1169" s="2" t="s">
        <v>9353</v>
      </c>
      <c r="T1169" s="2" t="s">
        <v>9354</v>
      </c>
      <c r="U1169" s="2" t="s">
        <v>9346</v>
      </c>
      <c r="V1169" s="2" t="s">
        <v>218</v>
      </c>
      <c r="W1169" s="2"/>
    </row>
    <row r="1170">
      <c r="A1170" s="2" t="n">
        <v>878</v>
      </c>
      <c r="B1170" s="2" t="s">
        <v>16348</v>
      </c>
      <c r="C1170" s="2" t="s">
        <v>9355</v>
      </c>
      <c r="D1170" s="2" t="n">
        <v>663.52052435</v>
      </c>
      <c r="E1170" s="2" t="n">
        <v>9.07260658177502</v>
      </c>
      <c r="F1170" s="2" t="s">
        <v>9357</v>
      </c>
      <c r="G1170" s="2" t="n">
        <v>10934</v>
      </c>
      <c r="H1170" s="3" t="str">
        <f>HYPERLINK("http://funmeta.oebiotech.com/network/10934", "http://funmeta.oebiotech.com/network/10934")</f>
      </c>
      <c r="I1170" s="2" t="s">
        <v>9359</v>
      </c>
      <c r="J1170" s="2" t="s">
        <v>9360</v>
      </c>
      <c r="K1170" s="2" t="s">
        <v>9361</v>
      </c>
      <c r="L1170" s="2"/>
      <c r="M1170" s="2" t="s">
        <v>9362</v>
      </c>
      <c r="N1170" s="2" t="s">
        <v>9363</v>
      </c>
      <c r="O1170" s="2"/>
      <c r="P1170" s="2" t="s">
        <v>9364</v>
      </c>
      <c r="Q1170" s="2" t="s">
        <v>9365</v>
      </c>
      <c r="R1170" s="2" t="s">
        <v>794</v>
      </c>
      <c r="S1170" s="2" t="s">
        <v>2600</v>
      </c>
      <c r="T1170" s="2" t="s">
        <v>8990</v>
      </c>
      <c r="U1170" s="2" t="s">
        <v>9356</v>
      </c>
      <c r="V1170" s="2" t="s">
        <v>205</v>
      </c>
      <c r="W1170" s="2"/>
    </row>
    <row r="1171">
      <c r="A1171" s="2" t="n">
        <v>879</v>
      </c>
      <c r="B1171" s="2" t="s">
        <v>16349</v>
      </c>
      <c r="C1171" s="2" t="s">
        <v>9366</v>
      </c>
      <c r="D1171" s="2" t="n">
        <v>665.2247256</v>
      </c>
      <c r="E1171" s="2" t="n">
        <v>9.58021050828333</v>
      </c>
      <c r="F1171" s="2" t="s">
        <v>9368</v>
      </c>
      <c r="G1171" s="2" t="n">
        <v>208201</v>
      </c>
      <c r="H1171" s="3" t="str">
        <f>HYPERLINK("http://funmeta.oebiotech.com/network/208201", "http://funmeta.oebiotech.com/network/208201")</f>
      </c>
      <c r="I1171" s="2" t="s">
        <v>9370</v>
      </c>
      <c r="J1171" s="2"/>
      <c r="K1171" s="2"/>
      <c r="L1171" s="2"/>
      <c r="M1171" s="2"/>
      <c r="N1171" s="2" t="s">
        <v>9371</v>
      </c>
      <c r="O1171" s="2"/>
      <c r="P1171" s="2" t="s">
        <v>9372</v>
      </c>
      <c r="Q1171" s="2" t="s">
        <v>9373</v>
      </c>
      <c r="R1171" s="2" t="s">
        <v>114</v>
      </c>
      <c r="S1171" s="2" t="s">
        <v>9374</v>
      </c>
      <c r="T1171" s="2" t="s">
        <v>215</v>
      </c>
      <c r="U1171" s="2" t="s">
        <v>9367</v>
      </c>
      <c r="V1171" s="2" t="s">
        <v>531</v>
      </c>
      <c r="W1171" s="2"/>
    </row>
    <row r="1172">
      <c r="A1172" s="2" t="n">
        <v>880</v>
      </c>
      <c r="B1172" s="2" t="s">
        <v>16350</v>
      </c>
      <c r="C1172" s="2" t="s">
        <v>9375</v>
      </c>
      <c r="D1172" s="2" t="n">
        <v>665.504298149</v>
      </c>
      <c r="E1172" s="2" t="n">
        <v>8.51729372503615</v>
      </c>
      <c r="F1172" s="2" t="s">
        <v>9377</v>
      </c>
      <c r="G1172" s="2" t="n">
        <v>212947</v>
      </c>
      <c r="H1172" s="3" t="str">
        <f>HYPERLINK("http://funmeta.oebiotech.com/network/212947", "http://funmeta.oebiotech.com/network/212947")</f>
      </c>
      <c r="I1172" s="2" t="s">
        <v>9379</v>
      </c>
      <c r="J1172" s="2"/>
      <c r="K1172" s="2"/>
      <c r="L1172" s="2"/>
      <c r="M1172" s="2"/>
      <c r="N1172" s="2"/>
      <c r="O1172" s="2"/>
      <c r="P1172" s="2" t="s">
        <v>9380</v>
      </c>
      <c r="Q1172" s="2" t="s">
        <v>9381</v>
      </c>
      <c r="R1172" s="2" t="s">
        <v>3003</v>
      </c>
      <c r="S1172" s="2" t="s">
        <v>7003</v>
      </c>
      <c r="T1172" s="2" t="s">
        <v>9382</v>
      </c>
      <c r="U1172" s="2" t="s">
        <v>9376</v>
      </c>
      <c r="V1172" s="2" t="s">
        <v>86</v>
      </c>
      <c r="W1172" s="2"/>
    </row>
    <row r="1173">
      <c r="A1173" s="2" t="n">
        <v>881</v>
      </c>
      <c r="B1173" s="2" t="s">
        <v>16351</v>
      </c>
      <c r="C1173" s="2" t="s">
        <v>9383</v>
      </c>
      <c r="D1173" s="2" t="n">
        <v>666.165198865</v>
      </c>
      <c r="E1173" s="2" t="n">
        <v>5.36409418192981</v>
      </c>
      <c r="F1173" s="2" t="s">
        <v>9385</v>
      </c>
      <c r="G1173" s="2" t="n">
        <v>51453</v>
      </c>
      <c r="H1173" s="3" t="str">
        <f>HYPERLINK("http://funmeta.oebiotech.com/network/51453", "http://funmeta.oebiotech.com/network/51453")</f>
      </c>
      <c r="I1173" s="2" t="s">
        <v>9387</v>
      </c>
      <c r="J1173" s="2" t="s">
        <v>9388</v>
      </c>
      <c r="K1173" s="2"/>
      <c r="L1173" s="2" t="s">
        <v>9389</v>
      </c>
      <c r="M1173" s="2" t="s">
        <v>9390</v>
      </c>
      <c r="N1173" s="2" t="s">
        <v>9391</v>
      </c>
      <c r="O1173" s="2"/>
      <c r="P1173" s="2" t="s">
        <v>9392</v>
      </c>
      <c r="Q1173" s="2" t="s">
        <v>9393</v>
      </c>
      <c r="R1173" s="2" t="s">
        <v>794</v>
      </c>
      <c r="S1173" s="2" t="s">
        <v>7122</v>
      </c>
      <c r="T1173" s="2" t="s">
        <v>9394</v>
      </c>
      <c r="U1173" s="2" t="s">
        <v>9384</v>
      </c>
      <c r="V1173" s="2" t="s">
        <v>205</v>
      </c>
      <c r="W1173" s="2" t="s">
        <v>101</v>
      </c>
    </row>
    <row r="1174">
      <c r="A1174" s="2" t="n">
        <v>882</v>
      </c>
      <c r="B1174" s="2" t="s">
        <v>16352</v>
      </c>
      <c r="C1174" s="2" t="s">
        <v>9395</v>
      </c>
      <c r="D1174" s="2" t="n">
        <v>667.16684433</v>
      </c>
      <c r="E1174" s="2" t="n">
        <v>5.45873079848812</v>
      </c>
      <c r="F1174" s="2" t="s">
        <v>9397</v>
      </c>
      <c r="G1174" s="2" t="n">
        <v>203114</v>
      </c>
      <c r="H1174" s="3" t="str">
        <f>HYPERLINK("http://funmeta.oebiotech.com/network/203114", "http://funmeta.oebiotech.com/network/203114")</f>
      </c>
      <c r="I1174" s="2" t="s">
        <v>9399</v>
      </c>
      <c r="J1174" s="2"/>
      <c r="K1174" s="2"/>
      <c r="L1174" s="2"/>
      <c r="M1174" s="2"/>
      <c r="N1174" s="2"/>
      <c r="O1174" s="2"/>
      <c r="P1174" s="2" t="s">
        <v>9400</v>
      </c>
      <c r="Q1174" s="2" t="s">
        <v>9401</v>
      </c>
      <c r="R1174" s="2" t="s">
        <v>1355</v>
      </c>
      <c r="S1174" s="2" t="s">
        <v>3653</v>
      </c>
      <c r="T1174" s="2" t="s">
        <v>9402</v>
      </c>
      <c r="U1174" s="2" t="s">
        <v>9396</v>
      </c>
      <c r="V1174" s="2" t="s">
        <v>24</v>
      </c>
      <c r="W1174" s="2"/>
    </row>
    <row r="1175">
      <c r="A1175" s="2" t="n">
        <v>883</v>
      </c>
      <c r="B1175" s="2" t="s">
        <v>16353</v>
      </c>
      <c r="C1175" s="2" t="s">
        <v>9403</v>
      </c>
      <c r="D1175" s="2" t="n">
        <v>668.155170257</v>
      </c>
      <c r="E1175" s="2" t="n">
        <v>5.64518974620323</v>
      </c>
      <c r="F1175" s="2" t="s">
        <v>9405</v>
      </c>
      <c r="G1175" s="2" t="n">
        <v>207052</v>
      </c>
      <c r="H1175" s="3" t="str">
        <f>HYPERLINK("http://funmeta.oebiotech.com/network/207052", "http://funmeta.oebiotech.com/network/207052")</f>
      </c>
      <c r="I1175" s="2" t="s">
        <v>9407</v>
      </c>
      <c r="J1175" s="2"/>
      <c r="K1175" s="2"/>
      <c r="L1175" s="2"/>
      <c r="M1175" s="2"/>
      <c r="N1175" s="2" t="s">
        <v>9408</v>
      </c>
      <c r="O1175" s="2"/>
      <c r="P1175" s="2" t="s">
        <v>9409</v>
      </c>
      <c r="Q1175" s="2" t="s">
        <v>9410</v>
      </c>
      <c r="R1175" s="2" t="s">
        <v>1355</v>
      </c>
      <c r="S1175" s="2" t="s">
        <v>9411</v>
      </c>
      <c r="T1175" s="2" t="s">
        <v>215</v>
      </c>
      <c r="U1175" s="2" t="s">
        <v>9404</v>
      </c>
      <c r="V1175" s="2" t="s">
        <v>86</v>
      </c>
      <c r="W1175" s="2"/>
    </row>
    <row r="1176">
      <c r="A1176" s="2" t="n">
        <v>884</v>
      </c>
      <c r="B1176" s="2" t="s">
        <v>16354</v>
      </c>
      <c r="C1176" s="2" t="s">
        <v>9412</v>
      </c>
      <c r="D1176" s="2" t="n">
        <v>669.501898114</v>
      </c>
      <c r="E1176" s="2" t="n">
        <v>0.31776517326944</v>
      </c>
      <c r="F1176" s="2" t="s">
        <v>16355</v>
      </c>
      <c r="G1176" s="2" t="n">
        <v>132632</v>
      </c>
      <c r="H1176" s="3" t="str">
        <f>HYPERLINK("http://funmeta.oebiotech.com/network/132632", "http://funmeta.oebiotech.com/network/132632")</f>
      </c>
      <c r="I1176" s="2" t="s">
        <v>16356</v>
      </c>
      <c r="J1176" s="2"/>
      <c r="K1176" s="2"/>
      <c r="L1176" s="2"/>
      <c r="M1176" s="2"/>
      <c r="N1176" s="2" t="s">
        <v>16357</v>
      </c>
      <c r="O1176" s="2"/>
      <c r="P1176" s="2" t="s">
        <v>16358</v>
      </c>
      <c r="Q1176" s="2" t="s">
        <v>16359</v>
      </c>
      <c r="R1176" s="2" t="s">
        <v>794</v>
      </c>
      <c r="S1176" s="2" t="s">
        <v>2971</v>
      </c>
      <c r="T1176" s="2" t="s">
        <v>6290</v>
      </c>
      <c r="U1176" s="2" t="s">
        <v>9413</v>
      </c>
      <c r="V1176" s="2" t="s">
        <v>86</v>
      </c>
      <c r="W1176" s="2"/>
    </row>
    <row r="1177">
      <c r="A1177" s="2" t="n">
        <v>884</v>
      </c>
      <c r="B1177" s="2" t="s">
        <v>16360</v>
      </c>
      <c r="C1177" s="2" t="s">
        <v>9412</v>
      </c>
      <c r="D1177" s="2" t="n">
        <v>669.501898114</v>
      </c>
      <c r="E1177" s="2" t="n">
        <v>0.31776517326944</v>
      </c>
      <c r="F1177" s="2" t="s">
        <v>16361</v>
      </c>
      <c r="G1177" s="2" t="n">
        <v>132635</v>
      </c>
      <c r="H1177" s="3" t="str">
        <f>HYPERLINK("http://funmeta.oebiotech.com/network/132635", "http://funmeta.oebiotech.com/network/132635")</f>
      </c>
      <c r="I1177" s="2" t="s">
        <v>16362</v>
      </c>
      <c r="J1177" s="2"/>
      <c r="K1177" s="2"/>
      <c r="L1177" s="2"/>
      <c r="M1177" s="2"/>
      <c r="N1177" s="2" t="s">
        <v>16363</v>
      </c>
      <c r="O1177" s="2"/>
      <c r="P1177" s="2" t="s">
        <v>16364</v>
      </c>
      <c r="Q1177" s="2" t="s">
        <v>16365</v>
      </c>
      <c r="R1177" s="2" t="s">
        <v>794</v>
      </c>
      <c r="S1177" s="2" t="s">
        <v>2971</v>
      </c>
      <c r="T1177" s="2" t="s">
        <v>6290</v>
      </c>
      <c r="U1177" s="2" t="s">
        <v>9413</v>
      </c>
      <c r="V1177" s="2" t="s">
        <v>86</v>
      </c>
      <c r="W1177" s="2"/>
    </row>
    <row r="1178">
      <c r="A1178" s="2" t="n">
        <v>884</v>
      </c>
      <c r="B1178" s="2" t="s">
        <v>16366</v>
      </c>
      <c r="C1178" s="2" t="s">
        <v>9412</v>
      </c>
      <c r="D1178" s="2" t="n">
        <v>669.501898114</v>
      </c>
      <c r="E1178" s="2" t="n">
        <v>0.31776517326944</v>
      </c>
      <c r="F1178" s="2" t="s">
        <v>16367</v>
      </c>
      <c r="G1178" s="2" t="n">
        <v>132636</v>
      </c>
      <c r="H1178" s="3" t="str">
        <f>HYPERLINK("http://funmeta.oebiotech.com/network/132636", "http://funmeta.oebiotech.com/network/132636")</f>
      </c>
      <c r="I1178" s="2" t="s">
        <v>16368</v>
      </c>
      <c r="J1178" s="2"/>
      <c r="K1178" s="2"/>
      <c r="L1178" s="2"/>
      <c r="M1178" s="2"/>
      <c r="N1178" s="2" t="s">
        <v>16369</v>
      </c>
      <c r="O1178" s="2"/>
      <c r="P1178" s="2" t="s">
        <v>16370</v>
      </c>
      <c r="Q1178" s="2" t="s">
        <v>16371</v>
      </c>
      <c r="R1178" s="2" t="s">
        <v>794</v>
      </c>
      <c r="S1178" s="2" t="s">
        <v>2971</v>
      </c>
      <c r="T1178" s="2" t="s">
        <v>6290</v>
      </c>
      <c r="U1178" s="2" t="s">
        <v>9413</v>
      </c>
      <c r="V1178" s="2" t="s">
        <v>86</v>
      </c>
      <c r="W1178" s="2"/>
    </row>
    <row r="1179">
      <c r="A1179" s="2" t="n">
        <v>885</v>
      </c>
      <c r="B1179" s="2" t="s">
        <v>16372</v>
      </c>
      <c r="C1179" s="2" t="s">
        <v>9421</v>
      </c>
      <c r="D1179" s="2" t="n">
        <v>670.176826587</v>
      </c>
      <c r="E1179" s="2" t="n">
        <v>0.727973032893185</v>
      </c>
      <c r="F1179" s="2" t="s">
        <v>9423</v>
      </c>
      <c r="G1179" s="2" t="n">
        <v>205739</v>
      </c>
      <c r="H1179" s="3" t="str">
        <f>HYPERLINK("http://funmeta.oebiotech.com/network/205739", "http://funmeta.oebiotech.com/network/205739")</f>
      </c>
      <c r="I1179" s="2" t="s">
        <v>9425</v>
      </c>
      <c r="J1179" s="2"/>
      <c r="K1179" s="2"/>
      <c r="L1179" s="2"/>
      <c r="M1179" s="2"/>
      <c r="N1179" s="2"/>
      <c r="O1179" s="2"/>
      <c r="P1179" s="2" t="s">
        <v>9426</v>
      </c>
      <c r="Q1179" s="2" t="s">
        <v>9427</v>
      </c>
      <c r="R1179" s="2" t="s">
        <v>36</v>
      </c>
      <c r="S1179" s="2" t="s">
        <v>7927</v>
      </c>
      <c r="T1179" s="2" t="s">
        <v>7928</v>
      </c>
      <c r="U1179" s="2" t="s">
        <v>9422</v>
      </c>
      <c r="V1179" s="2" t="s">
        <v>218</v>
      </c>
      <c r="W1179" s="2"/>
    </row>
    <row r="1180">
      <c r="A1180" s="2" t="n">
        <v>886</v>
      </c>
      <c r="B1180" s="2" t="s">
        <v>16373</v>
      </c>
      <c r="C1180" s="2" t="s">
        <v>9428</v>
      </c>
      <c r="D1180" s="2" t="n">
        <v>670.481714111</v>
      </c>
      <c r="E1180" s="2" t="n">
        <v>4.68368285873555</v>
      </c>
      <c r="F1180" s="2" t="s">
        <v>9430</v>
      </c>
      <c r="G1180" s="2" t="n">
        <v>49949</v>
      </c>
      <c r="H1180" s="3" t="str">
        <f>HYPERLINK("http://funmeta.oebiotech.com/network/49949", "http://funmeta.oebiotech.com/network/49949")</f>
      </c>
      <c r="I1180" s="2" t="s">
        <v>9432</v>
      </c>
      <c r="J1180" s="2" t="s">
        <v>9433</v>
      </c>
      <c r="K1180" s="2"/>
      <c r="L1180" s="2" t="s">
        <v>9434</v>
      </c>
      <c r="M1180" s="2"/>
      <c r="N1180" s="2" t="s">
        <v>9435</v>
      </c>
      <c r="O1180" s="2"/>
      <c r="P1180" s="2" t="s">
        <v>9436</v>
      </c>
      <c r="Q1180" s="2" t="s">
        <v>9437</v>
      </c>
      <c r="R1180" s="2" t="s">
        <v>794</v>
      </c>
      <c r="S1180" s="2" t="s">
        <v>7122</v>
      </c>
      <c r="T1180" s="2" t="s">
        <v>8042</v>
      </c>
      <c r="U1180" s="2" t="s">
        <v>9429</v>
      </c>
      <c r="V1180" s="2" t="s">
        <v>24</v>
      </c>
      <c r="W1180" s="2" t="s">
        <v>101</v>
      </c>
    </row>
    <row r="1181">
      <c r="A1181" s="2" t="n">
        <v>887</v>
      </c>
      <c r="B1181" s="2" t="s">
        <v>16374</v>
      </c>
      <c r="C1181" s="2" t="s">
        <v>9438</v>
      </c>
      <c r="D1181" s="2" t="n">
        <v>670.591047463</v>
      </c>
      <c r="E1181" s="2" t="n">
        <v>5.50561681806097</v>
      </c>
      <c r="F1181" s="2" t="s">
        <v>9440</v>
      </c>
      <c r="G1181" s="2" t="n">
        <v>39042</v>
      </c>
      <c r="H1181" s="3" t="str">
        <f>HYPERLINK("http://funmeta.oebiotech.com/network/39042", "http://funmeta.oebiotech.com/network/39042")</f>
      </c>
      <c r="I1181" s="2" t="s">
        <v>9442</v>
      </c>
      <c r="J1181" s="2" t="s">
        <v>9443</v>
      </c>
      <c r="K1181" s="2" t="s">
        <v>9444</v>
      </c>
      <c r="L1181" s="2"/>
      <c r="M1181" s="2" t="s">
        <v>9445</v>
      </c>
      <c r="N1181" s="2" t="s">
        <v>9446</v>
      </c>
      <c r="O1181" s="2" t="s">
        <v>9447</v>
      </c>
      <c r="P1181" s="2" t="s">
        <v>9448</v>
      </c>
      <c r="Q1181" s="2" t="s">
        <v>9449</v>
      </c>
      <c r="R1181" s="2" t="s">
        <v>794</v>
      </c>
      <c r="S1181" s="2" t="s">
        <v>7781</v>
      </c>
      <c r="T1181" s="2" t="s">
        <v>8722</v>
      </c>
      <c r="U1181" s="2" t="s">
        <v>9439</v>
      </c>
      <c r="V1181" s="2" t="s">
        <v>86</v>
      </c>
      <c r="W1181" s="2" t="s">
        <v>39</v>
      </c>
    </row>
    <row r="1182">
      <c r="A1182" s="2" t="n">
        <v>888</v>
      </c>
      <c r="B1182" s="2" t="s">
        <v>16375</v>
      </c>
      <c r="C1182" s="2" t="s">
        <v>9450</v>
      </c>
      <c r="D1182" s="2" t="n">
        <v>671.078858925</v>
      </c>
      <c r="E1182" s="2" t="n">
        <v>1.30406738497431</v>
      </c>
      <c r="F1182" s="2" t="s">
        <v>9452</v>
      </c>
      <c r="G1182" s="2" t="n">
        <v>205282</v>
      </c>
      <c r="H1182" s="3" t="str">
        <f>HYPERLINK("http://funmeta.oebiotech.com/network/205282", "http://funmeta.oebiotech.com/network/205282")</f>
      </c>
      <c r="I1182" s="2" t="s">
        <v>9454</v>
      </c>
      <c r="J1182" s="2"/>
      <c r="K1182" s="2"/>
      <c r="L1182" s="2"/>
      <c r="M1182" s="2"/>
      <c r="N1182" s="2" t="s">
        <v>9455</v>
      </c>
      <c r="O1182" s="2"/>
      <c r="P1182" s="2" t="s">
        <v>9456</v>
      </c>
      <c r="Q1182" s="2" t="s">
        <v>9457</v>
      </c>
      <c r="R1182" s="2" t="s">
        <v>2416</v>
      </c>
      <c r="S1182" s="2" t="s">
        <v>9458</v>
      </c>
      <c r="T1182" s="2" t="s">
        <v>9459</v>
      </c>
      <c r="U1182" s="2" t="s">
        <v>9451</v>
      </c>
      <c r="V1182" s="2" t="s">
        <v>86</v>
      </c>
      <c r="W1182" s="2"/>
    </row>
    <row r="1183">
      <c r="A1183" s="2" t="n">
        <v>889</v>
      </c>
      <c r="B1183" s="2" t="s">
        <v>16376</v>
      </c>
      <c r="C1183" s="2" t="s">
        <v>9460</v>
      </c>
      <c r="D1183" s="2" t="n">
        <v>671.48922853</v>
      </c>
      <c r="E1183" s="2" t="n">
        <v>3.88359362914845</v>
      </c>
      <c r="F1183" s="2" t="s">
        <v>9462</v>
      </c>
      <c r="G1183" s="2" t="n">
        <v>136066</v>
      </c>
      <c r="H1183" s="3" t="str">
        <f>HYPERLINK("http://funmeta.oebiotech.com/network/136066", "http://funmeta.oebiotech.com/network/136066")</f>
      </c>
      <c r="I1183" s="2" t="s">
        <v>9464</v>
      </c>
      <c r="J1183" s="2"/>
      <c r="K1183" s="2"/>
      <c r="L1183" s="2"/>
      <c r="M1183" s="2"/>
      <c r="N1183" s="2"/>
      <c r="O1183" s="2"/>
      <c r="P1183" s="2" t="s">
        <v>9465</v>
      </c>
      <c r="Q1183" s="2" t="s">
        <v>9466</v>
      </c>
      <c r="R1183" s="2" t="s">
        <v>794</v>
      </c>
      <c r="S1183" s="2" t="s">
        <v>795</v>
      </c>
      <c r="T1183" s="2" t="s">
        <v>796</v>
      </c>
      <c r="U1183" s="2" t="s">
        <v>9461</v>
      </c>
      <c r="V1183" s="2" t="s">
        <v>24</v>
      </c>
      <c r="W1183" s="2"/>
    </row>
    <row r="1184">
      <c r="A1184" s="2" t="n">
        <v>890</v>
      </c>
      <c r="B1184" s="2" t="s">
        <v>16377</v>
      </c>
      <c r="C1184" s="2" t="s">
        <v>9467</v>
      </c>
      <c r="D1184" s="2" t="n">
        <v>672.497364175</v>
      </c>
      <c r="E1184" s="2" t="n">
        <v>3.53153899636304</v>
      </c>
      <c r="F1184" s="2" t="s">
        <v>9469</v>
      </c>
      <c r="G1184" s="2" t="n">
        <v>49937</v>
      </c>
      <c r="H1184" s="3" t="str">
        <f>HYPERLINK("http://funmeta.oebiotech.com/network/49937", "http://funmeta.oebiotech.com/network/49937")</f>
      </c>
      <c r="I1184" s="2" t="s">
        <v>9470</v>
      </c>
      <c r="J1184" s="2" t="s">
        <v>9471</v>
      </c>
      <c r="K1184" s="2"/>
      <c r="L1184" s="2" t="s">
        <v>9434</v>
      </c>
      <c r="M1184" s="2"/>
      <c r="N1184" s="2" t="s">
        <v>9472</v>
      </c>
      <c r="O1184" s="2"/>
      <c r="P1184" s="2" t="s">
        <v>9473</v>
      </c>
      <c r="Q1184" s="2" t="s">
        <v>9474</v>
      </c>
      <c r="R1184" s="2" t="s">
        <v>794</v>
      </c>
      <c r="S1184" s="2" t="s">
        <v>7122</v>
      </c>
      <c r="T1184" s="2" t="s">
        <v>8042</v>
      </c>
      <c r="U1184" s="2" t="s">
        <v>9468</v>
      </c>
      <c r="V1184" s="2" t="s">
        <v>24</v>
      </c>
      <c r="W1184" s="2" t="s">
        <v>101</v>
      </c>
    </row>
    <row r="1185">
      <c r="A1185" s="2" t="n">
        <v>891</v>
      </c>
      <c r="B1185" s="2" t="s">
        <v>16378</v>
      </c>
      <c r="C1185" s="2" t="s">
        <v>9475</v>
      </c>
      <c r="D1185" s="2" t="n">
        <v>673.096151642</v>
      </c>
      <c r="E1185" s="2" t="n">
        <v>0.769898763867158</v>
      </c>
      <c r="F1185" s="2" t="s">
        <v>9477</v>
      </c>
      <c r="G1185" s="2" t="n">
        <v>82637</v>
      </c>
      <c r="H1185" s="3" t="str">
        <f>HYPERLINK("http://funmeta.oebiotech.com/network/82637", "http://funmeta.oebiotech.com/network/82637")</f>
      </c>
      <c r="I1185" s="2" t="s">
        <v>9479</v>
      </c>
      <c r="J1185" s="2"/>
      <c r="K1185" s="2"/>
      <c r="L1185" s="2"/>
      <c r="M1185" s="2"/>
      <c r="N1185" s="2" t="s">
        <v>9480</v>
      </c>
      <c r="O1185" s="2"/>
      <c r="P1185" s="2" t="s">
        <v>9481</v>
      </c>
      <c r="Q1185" s="2" t="s">
        <v>9482</v>
      </c>
      <c r="R1185" s="2" t="s">
        <v>186</v>
      </c>
      <c r="S1185" s="2" t="s">
        <v>187</v>
      </c>
      <c r="T1185" s="2" t="s">
        <v>3454</v>
      </c>
      <c r="U1185" s="2" t="s">
        <v>9476</v>
      </c>
      <c r="V1185" s="2" t="s">
        <v>683</v>
      </c>
      <c r="W1185" s="2"/>
    </row>
    <row r="1186">
      <c r="A1186" s="2" t="n">
        <v>892</v>
      </c>
      <c r="B1186" s="2" t="s">
        <v>16379</v>
      </c>
      <c r="C1186" s="2" t="s">
        <v>9483</v>
      </c>
      <c r="D1186" s="2" t="n">
        <v>673.481380244</v>
      </c>
      <c r="E1186" s="2" t="n">
        <v>4.64190727682697</v>
      </c>
      <c r="F1186" s="2" t="s">
        <v>9485</v>
      </c>
      <c r="G1186" s="2" t="n">
        <v>24919</v>
      </c>
      <c r="H1186" s="3" t="str">
        <f>HYPERLINK("http://funmeta.oebiotech.com/network/24919", "http://funmeta.oebiotech.com/network/24919")</f>
      </c>
      <c r="I1186" s="2" t="s">
        <v>9487</v>
      </c>
      <c r="J1186" s="2" t="s">
        <v>9488</v>
      </c>
      <c r="K1186" s="2" t="s">
        <v>9489</v>
      </c>
      <c r="L1186" s="2" t="s">
        <v>9490</v>
      </c>
      <c r="M1186" s="2" t="s">
        <v>9491</v>
      </c>
      <c r="N1186" s="2" t="s">
        <v>9492</v>
      </c>
      <c r="O1186" s="2"/>
      <c r="P1186" s="2" t="s">
        <v>9493</v>
      </c>
      <c r="Q1186" s="2" t="s">
        <v>9494</v>
      </c>
      <c r="R1186" s="2" t="s">
        <v>794</v>
      </c>
      <c r="S1186" s="2" t="s">
        <v>7122</v>
      </c>
      <c r="T1186" s="2" t="s">
        <v>7123</v>
      </c>
      <c r="U1186" s="2" t="s">
        <v>9484</v>
      </c>
      <c r="V1186" s="2" t="s">
        <v>24</v>
      </c>
      <c r="W1186" s="2" t="s">
        <v>39</v>
      </c>
    </row>
    <row r="1187">
      <c r="A1187" s="2" t="n">
        <v>893</v>
      </c>
      <c r="B1187" s="2" t="s">
        <v>16380</v>
      </c>
      <c r="C1187" s="2" t="s">
        <v>9495</v>
      </c>
      <c r="D1187" s="2" t="n">
        <v>674.403857721</v>
      </c>
      <c r="E1187" s="2" t="n">
        <v>2.68471807932209</v>
      </c>
      <c r="F1187" s="2" t="s">
        <v>9497</v>
      </c>
      <c r="G1187" s="2" t="n">
        <v>22180</v>
      </c>
      <c r="H1187" s="3" t="str">
        <f>HYPERLINK("http://funmeta.oebiotech.com/network/22180", "http://funmeta.oebiotech.com/network/22180")</f>
      </c>
      <c r="I1187" s="2" t="s">
        <v>9499</v>
      </c>
      <c r="J1187" s="2" t="s">
        <v>9500</v>
      </c>
      <c r="K1187" s="2" t="s">
        <v>9501</v>
      </c>
      <c r="L1187" s="2"/>
      <c r="M1187" s="2"/>
      <c r="N1187" s="2" t="s">
        <v>9502</v>
      </c>
      <c r="O1187" s="2"/>
      <c r="P1187" s="2" t="s">
        <v>9503</v>
      </c>
      <c r="Q1187" s="2" t="s">
        <v>9504</v>
      </c>
      <c r="R1187" s="2" t="s">
        <v>794</v>
      </c>
      <c r="S1187" s="2" t="s">
        <v>7122</v>
      </c>
      <c r="T1187" s="2" t="s">
        <v>8876</v>
      </c>
      <c r="U1187" s="2" t="s">
        <v>9496</v>
      </c>
      <c r="V1187" s="2" t="s">
        <v>24</v>
      </c>
      <c r="W1187" s="2"/>
    </row>
    <row r="1188">
      <c r="A1188" s="2" t="n">
        <v>894</v>
      </c>
      <c r="B1188" s="2" t="s">
        <v>16381</v>
      </c>
      <c r="C1188" s="2" t="s">
        <v>9505</v>
      </c>
      <c r="D1188" s="2" t="n">
        <v>675.14860771</v>
      </c>
      <c r="E1188" s="2" t="n">
        <v>2.27009224406958</v>
      </c>
      <c r="F1188" s="2" t="s">
        <v>9507</v>
      </c>
      <c r="G1188" s="2" t="n">
        <v>204757</v>
      </c>
      <c r="H1188" s="3" t="str">
        <f>HYPERLINK("http://funmeta.oebiotech.com/network/204757", "http://funmeta.oebiotech.com/network/204757")</f>
      </c>
      <c r="I1188" s="2" t="s">
        <v>9509</v>
      </c>
      <c r="J1188" s="2"/>
      <c r="K1188" s="2"/>
      <c r="L1188" s="2"/>
      <c r="M1188" s="2"/>
      <c r="N1188" s="2" t="s">
        <v>9510</v>
      </c>
      <c r="O1188" s="2"/>
      <c r="P1188" s="2" t="s">
        <v>9511</v>
      </c>
      <c r="Q1188" s="2" t="s">
        <v>9512</v>
      </c>
      <c r="R1188" s="2" t="s">
        <v>114</v>
      </c>
      <c r="S1188" s="2" t="s">
        <v>8755</v>
      </c>
      <c r="T1188" s="2" t="s">
        <v>9513</v>
      </c>
      <c r="U1188" s="2" t="s">
        <v>9506</v>
      </c>
      <c r="V1188" s="2" t="s">
        <v>86</v>
      </c>
      <c r="W1188" s="2"/>
    </row>
    <row r="1189">
      <c r="A1189" s="2" t="n">
        <v>895</v>
      </c>
      <c r="B1189" s="2" t="s">
        <v>16382</v>
      </c>
      <c r="C1189" s="2" t="s">
        <v>9514</v>
      </c>
      <c r="D1189" s="2" t="n">
        <v>675.228998401</v>
      </c>
      <c r="E1189" s="2" t="n">
        <v>0.819575299973031</v>
      </c>
      <c r="F1189" s="2" t="s">
        <v>9516</v>
      </c>
      <c r="G1189" s="2" t="n">
        <v>206649</v>
      </c>
      <c r="H1189" s="3" t="str">
        <f>HYPERLINK("http://funmeta.oebiotech.com/network/206649", "http://funmeta.oebiotech.com/network/206649")</f>
      </c>
      <c r="I1189" s="2" t="s">
        <v>9518</v>
      </c>
      <c r="J1189" s="2"/>
      <c r="K1189" s="2"/>
      <c r="L1189" s="2"/>
      <c r="M1189" s="2"/>
      <c r="N1189" s="2" t="s">
        <v>9519</v>
      </c>
      <c r="O1189" s="2"/>
      <c r="P1189" s="2" t="s">
        <v>9520</v>
      </c>
      <c r="Q1189" s="2" t="s">
        <v>9521</v>
      </c>
      <c r="R1189" s="2" t="s">
        <v>114</v>
      </c>
      <c r="S1189" s="2" t="s">
        <v>3757</v>
      </c>
      <c r="T1189" s="2" t="s">
        <v>215</v>
      </c>
      <c r="U1189" s="2" t="s">
        <v>9515</v>
      </c>
      <c r="V1189" s="2" t="s">
        <v>218</v>
      </c>
      <c r="W1189" s="2"/>
    </row>
    <row r="1190">
      <c r="A1190" s="2" t="n">
        <v>896</v>
      </c>
      <c r="B1190" s="2" t="s">
        <v>16383</v>
      </c>
      <c r="C1190" s="2" t="s">
        <v>9522</v>
      </c>
      <c r="D1190" s="2" t="n">
        <v>678.50974801</v>
      </c>
      <c r="E1190" s="2" t="n">
        <v>7.31581576855257</v>
      </c>
      <c r="F1190" s="2" t="s">
        <v>9524</v>
      </c>
      <c r="G1190" s="2" t="n">
        <v>199605</v>
      </c>
      <c r="H1190" s="3" t="str">
        <f>HYPERLINK("http://funmeta.oebiotech.com/network/199605", "http://funmeta.oebiotech.com/network/199605")</f>
      </c>
      <c r="I1190" s="2" t="s">
        <v>9526</v>
      </c>
      <c r="J1190" s="2"/>
      <c r="K1190" s="2"/>
      <c r="L1190" s="2"/>
      <c r="M1190" s="2"/>
      <c r="N1190" s="2" t="s">
        <v>9527</v>
      </c>
      <c r="O1190" s="2"/>
      <c r="P1190" s="2" t="s">
        <v>9528</v>
      </c>
      <c r="Q1190" s="2" t="s">
        <v>9529</v>
      </c>
      <c r="R1190" s="2" t="s">
        <v>794</v>
      </c>
      <c r="S1190" s="2" t="s">
        <v>2600</v>
      </c>
      <c r="T1190" s="2" t="s">
        <v>8840</v>
      </c>
      <c r="U1190" s="2" t="s">
        <v>9523</v>
      </c>
      <c r="V1190" s="2" t="s">
        <v>161</v>
      </c>
      <c r="W1190" s="2"/>
    </row>
    <row r="1191">
      <c r="A1191" s="2" t="n">
        <v>897</v>
      </c>
      <c r="B1191" s="2" t="s">
        <v>16384</v>
      </c>
      <c r="C1191" s="2" t="s">
        <v>9530</v>
      </c>
      <c r="D1191" s="2" t="n">
        <v>679.287229952</v>
      </c>
      <c r="E1191" s="2" t="n">
        <v>3.34572382818757</v>
      </c>
      <c r="F1191" s="2" t="s">
        <v>9532</v>
      </c>
      <c r="G1191" s="2" t="n">
        <v>53396</v>
      </c>
      <c r="H1191" s="3" t="str">
        <f>HYPERLINK("http://funmeta.oebiotech.com/network/53396", "http://funmeta.oebiotech.com/network/53396")</f>
      </c>
      <c r="I1191" s="2" t="s">
        <v>9534</v>
      </c>
      <c r="J1191" s="2"/>
      <c r="K1191" s="2"/>
      <c r="L1191" s="2" t="s">
        <v>9535</v>
      </c>
      <c r="M1191" s="2" t="s">
        <v>9536</v>
      </c>
      <c r="N1191" s="2" t="s">
        <v>9537</v>
      </c>
      <c r="O1191" s="2" t="s">
        <v>9538</v>
      </c>
      <c r="P1191" s="2" t="s">
        <v>9539</v>
      </c>
      <c r="Q1191" s="2" t="s">
        <v>9540</v>
      </c>
      <c r="R1191" s="2" t="s">
        <v>3003</v>
      </c>
      <c r="S1191" s="2" t="s">
        <v>9541</v>
      </c>
      <c r="T1191" s="2" t="s">
        <v>215</v>
      </c>
      <c r="U1191" s="2" t="s">
        <v>9531</v>
      </c>
      <c r="V1191" s="2" t="s">
        <v>205</v>
      </c>
      <c r="W1191" s="2" t="s">
        <v>56</v>
      </c>
    </row>
    <row r="1192">
      <c r="A1192" s="2" t="n">
        <v>898</v>
      </c>
      <c r="B1192" s="2" t="s">
        <v>16385</v>
      </c>
      <c r="C1192" s="2" t="s">
        <v>9542</v>
      </c>
      <c r="D1192" s="2" t="n">
        <v>680.510141939</v>
      </c>
      <c r="E1192" s="2" t="n">
        <v>5.98825369893473</v>
      </c>
      <c r="F1192" s="2" t="s">
        <v>16386</v>
      </c>
      <c r="G1192" s="2" t="n">
        <v>57066</v>
      </c>
      <c r="H1192" s="3" t="str">
        <f>HYPERLINK("http://funmeta.oebiotech.com/network/57066", "http://funmeta.oebiotech.com/network/57066")</f>
      </c>
      <c r="I1192" s="2" t="s">
        <v>16387</v>
      </c>
      <c r="J1192" s="2" t="s">
        <v>9362</v>
      </c>
      <c r="K1192" s="2"/>
      <c r="L1192" s="2"/>
      <c r="M1192" s="2"/>
      <c r="N1192" s="2" t="s">
        <v>16388</v>
      </c>
      <c r="O1192" s="2"/>
      <c r="P1192" s="2" t="s">
        <v>16389</v>
      </c>
      <c r="Q1192" s="2" t="s">
        <v>16390</v>
      </c>
      <c r="R1192" s="2" t="s">
        <v>794</v>
      </c>
      <c r="S1192" s="2" t="s">
        <v>7781</v>
      </c>
      <c r="T1192" s="2" t="s">
        <v>11458</v>
      </c>
      <c r="U1192" s="2" t="s">
        <v>9543</v>
      </c>
      <c r="V1192" s="2" t="s">
        <v>161</v>
      </c>
      <c r="W1192" s="2"/>
    </row>
    <row r="1193">
      <c r="A1193" s="2" t="n">
        <v>898</v>
      </c>
      <c r="B1193" s="2" t="s">
        <v>16391</v>
      </c>
      <c r="C1193" s="2" t="s">
        <v>9542</v>
      </c>
      <c r="D1193" s="2" t="n">
        <v>680.510141939</v>
      </c>
      <c r="E1193" s="2" t="n">
        <v>5.98825369893473</v>
      </c>
      <c r="F1193" s="2" t="s">
        <v>16392</v>
      </c>
      <c r="G1193" s="2" t="n">
        <v>56443</v>
      </c>
      <c r="H1193" s="3" t="str">
        <f>HYPERLINK("http://funmeta.oebiotech.com/network/56443", "http://funmeta.oebiotech.com/network/56443")</f>
      </c>
      <c r="I1193" s="2" t="s">
        <v>16393</v>
      </c>
      <c r="J1193" s="2" t="s">
        <v>16394</v>
      </c>
      <c r="K1193" s="2"/>
      <c r="L1193" s="2"/>
      <c r="M1193" s="2" t="s">
        <v>16395</v>
      </c>
      <c r="N1193" s="2" t="s">
        <v>16396</v>
      </c>
      <c r="O1193" s="2" t="s">
        <v>16397</v>
      </c>
      <c r="P1193" s="2" t="s">
        <v>16398</v>
      </c>
      <c r="Q1193" s="2" t="s">
        <v>16399</v>
      </c>
      <c r="R1193" s="2" t="s">
        <v>794</v>
      </c>
      <c r="S1193" s="2" t="s">
        <v>7781</v>
      </c>
      <c r="T1193" s="2" t="s">
        <v>11458</v>
      </c>
      <c r="U1193" s="2" t="s">
        <v>9543</v>
      </c>
      <c r="V1193" s="2" t="s">
        <v>161</v>
      </c>
      <c r="W1193" s="2"/>
    </row>
    <row r="1194">
      <c r="A1194" s="2" t="n">
        <v>899</v>
      </c>
      <c r="B1194" s="2" t="s">
        <v>16400</v>
      </c>
      <c r="C1194" s="2" t="s">
        <v>9555</v>
      </c>
      <c r="D1194" s="2" t="n">
        <v>680.575397408</v>
      </c>
      <c r="E1194" s="2" t="n">
        <v>7.48482130824305</v>
      </c>
      <c r="F1194" s="2" t="s">
        <v>9557</v>
      </c>
      <c r="G1194" s="2" t="n">
        <v>197288</v>
      </c>
      <c r="H1194" s="3" t="str">
        <f>HYPERLINK("http://funmeta.oebiotech.com/network/197288", "http://funmeta.oebiotech.com/network/197288")</f>
      </c>
      <c r="I1194" s="2" t="s">
        <v>9559</v>
      </c>
      <c r="J1194" s="2"/>
      <c r="K1194" s="2"/>
      <c r="L1194" s="2"/>
      <c r="M1194" s="2"/>
      <c r="N1194" s="2"/>
      <c r="O1194" s="2"/>
      <c r="P1194" s="2" t="s">
        <v>9560</v>
      </c>
      <c r="Q1194" s="2" t="s">
        <v>9561</v>
      </c>
      <c r="R1194" s="2" t="s">
        <v>129</v>
      </c>
      <c r="S1194" s="2" t="s">
        <v>130</v>
      </c>
      <c r="T1194" s="2" t="s">
        <v>4133</v>
      </c>
      <c r="U1194" s="2" t="s">
        <v>9556</v>
      </c>
      <c r="V1194" s="2" t="s">
        <v>86</v>
      </c>
      <c r="W1194" s="2" t="s">
        <v>39</v>
      </c>
    </row>
    <row r="1195">
      <c r="A1195" s="2" t="n">
        <v>900</v>
      </c>
      <c r="B1195" s="2" t="s">
        <v>16401</v>
      </c>
      <c r="C1195" s="2" t="s">
        <v>9562</v>
      </c>
      <c r="D1195" s="2" t="n">
        <v>681.276394802</v>
      </c>
      <c r="E1195" s="2" t="n">
        <v>8.40758088062033</v>
      </c>
      <c r="F1195" s="2" t="s">
        <v>16402</v>
      </c>
      <c r="G1195" s="2" t="n">
        <v>60246</v>
      </c>
      <c r="H1195" s="3" t="str">
        <f>HYPERLINK("http://funmeta.oebiotech.com/network/60246", "http://funmeta.oebiotech.com/network/60246")</f>
      </c>
      <c r="I1195" s="2" t="s">
        <v>16403</v>
      </c>
      <c r="J1195" s="2" t="s">
        <v>16404</v>
      </c>
      <c r="K1195" s="2"/>
      <c r="L1195" s="2"/>
      <c r="M1195" s="2"/>
      <c r="N1195" s="2" t="s">
        <v>16405</v>
      </c>
      <c r="O1195" s="2" t="s">
        <v>16406</v>
      </c>
      <c r="P1195" s="2" t="s">
        <v>16407</v>
      </c>
      <c r="Q1195" s="2" t="s">
        <v>16408</v>
      </c>
      <c r="R1195" s="2" t="s">
        <v>1355</v>
      </c>
      <c r="S1195" s="2" t="s">
        <v>16409</v>
      </c>
      <c r="T1195" s="2" t="s">
        <v>16410</v>
      </c>
      <c r="U1195" s="2" t="s">
        <v>9563</v>
      </c>
      <c r="V1195" s="2" t="s">
        <v>24</v>
      </c>
      <c r="W1195" s="2"/>
    </row>
    <row r="1196">
      <c r="A1196" s="2" t="n">
        <v>900</v>
      </c>
      <c r="B1196" s="2" t="s">
        <v>16411</v>
      </c>
      <c r="C1196" s="2" t="s">
        <v>9562</v>
      </c>
      <c r="D1196" s="2" t="n">
        <v>681.276394802</v>
      </c>
      <c r="E1196" s="2" t="n">
        <v>8.40758088062033</v>
      </c>
      <c r="F1196" s="2" t="s">
        <v>16412</v>
      </c>
      <c r="G1196" s="2" t="n">
        <v>60247</v>
      </c>
      <c r="H1196" s="3" t="str">
        <f>HYPERLINK("http://funmeta.oebiotech.com/network/60247", "http://funmeta.oebiotech.com/network/60247")</f>
      </c>
      <c r="I1196" s="2" t="s">
        <v>16413</v>
      </c>
      <c r="J1196" s="2" t="s">
        <v>16414</v>
      </c>
      <c r="K1196" s="2"/>
      <c r="L1196" s="2"/>
      <c r="M1196" s="2"/>
      <c r="N1196" s="2" t="s">
        <v>16415</v>
      </c>
      <c r="O1196" s="2" t="s">
        <v>16416</v>
      </c>
      <c r="P1196" s="2" t="s">
        <v>16417</v>
      </c>
      <c r="Q1196" s="2" t="s">
        <v>16418</v>
      </c>
      <c r="R1196" s="2" t="s">
        <v>1355</v>
      </c>
      <c r="S1196" s="2" t="s">
        <v>16409</v>
      </c>
      <c r="T1196" s="2" t="s">
        <v>16410</v>
      </c>
      <c r="U1196" s="2" t="s">
        <v>9563</v>
      </c>
      <c r="V1196" s="2" t="s">
        <v>24</v>
      </c>
      <c r="W1196" s="2"/>
    </row>
    <row r="1197">
      <c r="A1197" s="2" t="n">
        <v>901</v>
      </c>
      <c r="B1197" s="2" t="s">
        <v>16419</v>
      </c>
      <c r="C1197" s="2" t="s">
        <v>9574</v>
      </c>
      <c r="D1197" s="2" t="n">
        <v>681.523027478</v>
      </c>
      <c r="E1197" s="2" t="n">
        <v>9.45902144952244</v>
      </c>
      <c r="F1197" s="2" t="s">
        <v>9576</v>
      </c>
      <c r="G1197" s="2" t="n">
        <v>10650</v>
      </c>
      <c r="H1197" s="3" t="str">
        <f>HYPERLINK("http://funmeta.oebiotech.com/network/10650", "http://funmeta.oebiotech.com/network/10650")</f>
      </c>
      <c r="I1197" s="2" t="s">
        <v>9578</v>
      </c>
      <c r="J1197" s="2" t="s">
        <v>9579</v>
      </c>
      <c r="K1197" s="2" t="s">
        <v>9580</v>
      </c>
      <c r="L1197" s="2"/>
      <c r="M1197" s="2" t="s">
        <v>9581</v>
      </c>
      <c r="N1197" s="2" t="s">
        <v>9582</v>
      </c>
      <c r="O1197" s="2"/>
      <c r="P1197" s="2" t="s">
        <v>9583</v>
      </c>
      <c r="Q1197" s="2" t="s">
        <v>9584</v>
      </c>
      <c r="R1197" s="2" t="s">
        <v>794</v>
      </c>
      <c r="S1197" s="2" t="s">
        <v>2600</v>
      </c>
      <c r="T1197" s="2" t="s">
        <v>8990</v>
      </c>
      <c r="U1197" s="2" t="s">
        <v>9575</v>
      </c>
      <c r="V1197" s="2" t="s">
        <v>86</v>
      </c>
      <c r="W1197" s="2"/>
    </row>
    <row r="1198">
      <c r="A1198" s="2" t="n">
        <v>902</v>
      </c>
      <c r="B1198" s="2" t="s">
        <v>16420</v>
      </c>
      <c r="C1198" s="2" t="s">
        <v>9585</v>
      </c>
      <c r="D1198" s="2" t="n">
        <v>682.263516337</v>
      </c>
      <c r="E1198" s="2" t="n">
        <v>3.59422308820517</v>
      </c>
      <c r="F1198" s="2" t="s">
        <v>9587</v>
      </c>
      <c r="G1198" s="2" t="n">
        <v>203136</v>
      </c>
      <c r="H1198" s="3" t="str">
        <f>HYPERLINK("http://funmeta.oebiotech.com/network/203136", "http://funmeta.oebiotech.com/network/203136")</f>
      </c>
      <c r="I1198" s="2" t="s">
        <v>9589</v>
      </c>
      <c r="J1198" s="2"/>
      <c r="K1198" s="2"/>
      <c r="L1198" s="2"/>
      <c r="M1198" s="2"/>
      <c r="N1198" s="2" t="s">
        <v>9590</v>
      </c>
      <c r="O1198" s="2"/>
      <c r="P1198" s="2" t="s">
        <v>9591</v>
      </c>
      <c r="Q1198" s="2" t="s">
        <v>9592</v>
      </c>
      <c r="R1198" s="2" t="s">
        <v>794</v>
      </c>
      <c r="S1198" s="2" t="s">
        <v>1098</v>
      </c>
      <c r="T1198" s="2" t="s">
        <v>4662</v>
      </c>
      <c r="U1198" s="2" t="s">
        <v>9586</v>
      </c>
      <c r="V1198" s="2" t="s">
        <v>218</v>
      </c>
      <c r="W1198" s="2"/>
    </row>
    <row r="1199">
      <c r="A1199" s="2" t="n">
        <v>903</v>
      </c>
      <c r="B1199" s="2" t="s">
        <v>16421</v>
      </c>
      <c r="C1199" s="2" t="s">
        <v>9593</v>
      </c>
      <c r="D1199" s="2" t="n">
        <v>682.591047463</v>
      </c>
      <c r="E1199" s="2" t="n">
        <v>8.47957809443405</v>
      </c>
      <c r="F1199" s="2" t="s">
        <v>9595</v>
      </c>
      <c r="G1199" s="2" t="n">
        <v>39032</v>
      </c>
      <c r="H1199" s="3" t="str">
        <f>HYPERLINK("http://funmeta.oebiotech.com/network/39032", "http://funmeta.oebiotech.com/network/39032")</f>
      </c>
      <c r="I1199" s="2" t="s">
        <v>9597</v>
      </c>
      <c r="J1199" s="2" t="s">
        <v>9598</v>
      </c>
      <c r="K1199" s="2" t="s">
        <v>9599</v>
      </c>
      <c r="L1199" s="2" t="s">
        <v>8716</v>
      </c>
      <c r="M1199" s="2" t="s">
        <v>9600</v>
      </c>
      <c r="N1199" s="2" t="s">
        <v>9601</v>
      </c>
      <c r="O1199" s="2"/>
      <c r="P1199" s="2" t="s">
        <v>9602</v>
      </c>
      <c r="Q1199" s="2" t="s">
        <v>9603</v>
      </c>
      <c r="R1199" s="2" t="s">
        <v>794</v>
      </c>
      <c r="S1199" s="2" t="s">
        <v>7781</v>
      </c>
      <c r="T1199" s="2" t="s">
        <v>8722</v>
      </c>
      <c r="U1199" s="2" t="s">
        <v>9594</v>
      </c>
      <c r="V1199" s="2" t="s">
        <v>86</v>
      </c>
      <c r="W1199" s="2" t="s">
        <v>39</v>
      </c>
    </row>
    <row r="1200">
      <c r="A1200" s="2" t="n">
        <v>904</v>
      </c>
      <c r="B1200" s="2" t="s">
        <v>16422</v>
      </c>
      <c r="C1200" s="2" t="s">
        <v>9604</v>
      </c>
      <c r="D1200" s="2" t="n">
        <v>683.271051119</v>
      </c>
      <c r="E1200" s="2" t="n">
        <v>2.28758805221572</v>
      </c>
      <c r="F1200" s="2" t="s">
        <v>9606</v>
      </c>
      <c r="G1200" s="2" t="n">
        <v>204807</v>
      </c>
      <c r="H1200" s="3" t="str">
        <f>HYPERLINK("http://funmeta.oebiotech.com/network/204807", "http://funmeta.oebiotech.com/network/204807")</f>
      </c>
      <c r="I1200" s="2" t="s">
        <v>9608</v>
      </c>
      <c r="J1200" s="2"/>
      <c r="K1200" s="2"/>
      <c r="L1200" s="2"/>
      <c r="M1200" s="2"/>
      <c r="N1200" s="2" t="s">
        <v>9609</v>
      </c>
      <c r="O1200" s="2"/>
      <c r="P1200" s="2" t="s">
        <v>9610</v>
      </c>
      <c r="Q1200" s="2" t="s">
        <v>9611</v>
      </c>
      <c r="R1200" s="2" t="s">
        <v>36</v>
      </c>
      <c r="S1200" s="2" t="s">
        <v>37</v>
      </c>
      <c r="T1200" s="2" t="s">
        <v>69</v>
      </c>
      <c r="U1200" s="2" t="s">
        <v>9605</v>
      </c>
      <c r="V1200" s="2" t="s">
        <v>161</v>
      </c>
      <c r="W1200" s="2"/>
    </row>
    <row r="1201">
      <c r="A1201" s="2" t="n">
        <v>905</v>
      </c>
      <c r="B1201" s="2" t="s">
        <v>16423</v>
      </c>
      <c r="C1201" s="2" t="s">
        <v>9612</v>
      </c>
      <c r="D1201" s="2" t="n">
        <v>684.533199367</v>
      </c>
      <c r="E1201" s="2" t="n">
        <v>9.11907857830682</v>
      </c>
      <c r="F1201" s="2" t="s">
        <v>9614</v>
      </c>
      <c r="G1201" s="2" t="n">
        <v>49992</v>
      </c>
      <c r="H1201" s="3" t="str">
        <f>HYPERLINK("http://funmeta.oebiotech.com/network/49992", "http://funmeta.oebiotech.com/network/49992")</f>
      </c>
      <c r="I1201" s="2" t="s">
        <v>9616</v>
      </c>
      <c r="J1201" s="2" t="s">
        <v>9617</v>
      </c>
      <c r="K1201" s="2"/>
      <c r="L1201" s="2" t="s">
        <v>9434</v>
      </c>
      <c r="M1201" s="2"/>
      <c r="N1201" s="2" t="s">
        <v>9618</v>
      </c>
      <c r="O1201" s="2"/>
      <c r="P1201" s="2" t="s">
        <v>9619</v>
      </c>
      <c r="Q1201" s="2" t="s">
        <v>9620</v>
      </c>
      <c r="R1201" s="2" t="s">
        <v>794</v>
      </c>
      <c r="S1201" s="2" t="s">
        <v>7122</v>
      </c>
      <c r="T1201" s="2" t="s">
        <v>8042</v>
      </c>
      <c r="U1201" s="2" t="s">
        <v>9613</v>
      </c>
      <c r="V1201" s="2" t="s">
        <v>161</v>
      </c>
      <c r="W1201" s="2" t="s">
        <v>101</v>
      </c>
    </row>
    <row r="1202">
      <c r="A1202" s="2" t="n">
        <v>906</v>
      </c>
      <c r="B1202" s="2" t="s">
        <v>16424</v>
      </c>
      <c r="C1202" s="2" t="s">
        <v>9621</v>
      </c>
      <c r="D1202" s="2" t="n">
        <v>684.606697527</v>
      </c>
      <c r="E1202" s="2" t="n">
        <v>4.23658751601688</v>
      </c>
      <c r="F1202" s="2" t="s">
        <v>9623</v>
      </c>
      <c r="G1202" s="2" t="n">
        <v>39035</v>
      </c>
      <c r="H1202" s="3" t="str">
        <f>HYPERLINK("http://funmeta.oebiotech.com/network/39035", "http://funmeta.oebiotech.com/network/39035")</f>
      </c>
      <c r="I1202" s="2" t="s">
        <v>9625</v>
      </c>
      <c r="J1202" s="2" t="s">
        <v>9626</v>
      </c>
      <c r="K1202" s="2" t="s">
        <v>9627</v>
      </c>
      <c r="L1202" s="2" t="s">
        <v>8716</v>
      </c>
      <c r="M1202" s="2" t="s">
        <v>9628</v>
      </c>
      <c r="N1202" s="2" t="s">
        <v>9629</v>
      </c>
      <c r="O1202" s="2" t="s">
        <v>9630</v>
      </c>
      <c r="P1202" s="2" t="s">
        <v>9631</v>
      </c>
      <c r="Q1202" s="2" t="s">
        <v>9632</v>
      </c>
      <c r="R1202" s="2" t="s">
        <v>794</v>
      </c>
      <c r="S1202" s="2" t="s">
        <v>7781</v>
      </c>
      <c r="T1202" s="2" t="s">
        <v>8722</v>
      </c>
      <c r="U1202" s="2" t="s">
        <v>9622</v>
      </c>
      <c r="V1202" s="2" t="s">
        <v>86</v>
      </c>
      <c r="W1202" s="2" t="s">
        <v>39</v>
      </c>
    </row>
    <row r="1203">
      <c r="A1203" s="2" t="n">
        <v>907</v>
      </c>
      <c r="B1203" s="2" t="s">
        <v>16425</v>
      </c>
      <c r="C1203" s="2" t="s">
        <v>9633</v>
      </c>
      <c r="D1203" s="2" t="n">
        <v>685.554327606</v>
      </c>
      <c r="E1203" s="2" t="n">
        <v>7.13996717371807</v>
      </c>
      <c r="F1203" s="2" t="s">
        <v>9635</v>
      </c>
      <c r="G1203" s="2" t="n">
        <v>48990</v>
      </c>
      <c r="H1203" s="3" t="str">
        <f>HYPERLINK("http://funmeta.oebiotech.com/network/48990", "http://funmeta.oebiotech.com/network/48990")</f>
      </c>
      <c r="I1203" s="2" t="s">
        <v>9637</v>
      </c>
      <c r="J1203" s="2" t="s">
        <v>9638</v>
      </c>
      <c r="K1203" s="2"/>
      <c r="L1203" s="2"/>
      <c r="M1203" s="2"/>
      <c r="N1203" s="2" t="s">
        <v>9639</v>
      </c>
      <c r="O1203" s="2"/>
      <c r="P1203" s="2" t="s">
        <v>9640</v>
      </c>
      <c r="Q1203" s="2" t="s">
        <v>9641</v>
      </c>
      <c r="R1203" s="2" t="s">
        <v>794</v>
      </c>
      <c r="S1203" s="2" t="s">
        <v>2600</v>
      </c>
      <c r="T1203" s="2" t="s">
        <v>8990</v>
      </c>
      <c r="U1203" s="2" t="s">
        <v>9634</v>
      </c>
      <c r="V1203" s="2" t="s">
        <v>86</v>
      </c>
      <c r="W1203" s="2"/>
    </row>
    <row r="1204">
      <c r="A1204" s="2" t="n">
        <v>908</v>
      </c>
      <c r="B1204" s="2" t="s">
        <v>16426</v>
      </c>
      <c r="C1204" s="2" t="s">
        <v>9642</v>
      </c>
      <c r="D1204" s="2" t="n">
        <v>686.147501561</v>
      </c>
      <c r="E1204" s="2" t="n">
        <v>0.343724352075931</v>
      </c>
      <c r="F1204" s="2" t="s">
        <v>9644</v>
      </c>
      <c r="G1204" s="2" t="n">
        <v>207003</v>
      </c>
      <c r="H1204" s="3" t="str">
        <f>HYPERLINK("http://funmeta.oebiotech.com/network/207003", "http://funmeta.oebiotech.com/network/207003")</f>
      </c>
      <c r="I1204" s="2" t="s">
        <v>9646</v>
      </c>
      <c r="J1204" s="2"/>
      <c r="K1204" s="2"/>
      <c r="L1204" s="2"/>
      <c r="M1204" s="2"/>
      <c r="N1204" s="2"/>
      <c r="O1204" s="2"/>
      <c r="P1204" s="2" t="s">
        <v>9647</v>
      </c>
      <c r="Q1204" s="2" t="s">
        <v>9648</v>
      </c>
      <c r="R1204" s="2" t="s">
        <v>36</v>
      </c>
      <c r="S1204" s="2" t="s">
        <v>37</v>
      </c>
      <c r="T1204" s="2" t="s">
        <v>9649</v>
      </c>
      <c r="U1204" s="2" t="s">
        <v>9643</v>
      </c>
      <c r="V1204" s="2" t="s">
        <v>205</v>
      </c>
      <c r="W1204" s="2"/>
    </row>
    <row r="1205">
      <c r="A1205" s="2" t="n">
        <v>909</v>
      </c>
      <c r="B1205" s="2" t="s">
        <v>16427</v>
      </c>
      <c r="C1205" s="2" t="s">
        <v>9650</v>
      </c>
      <c r="D1205" s="2" t="n">
        <v>687.060580586</v>
      </c>
      <c r="E1205" s="2" t="n">
        <v>9.3984064233216</v>
      </c>
      <c r="F1205" s="2" t="s">
        <v>9652</v>
      </c>
      <c r="G1205" s="2" t="n">
        <v>60110</v>
      </c>
      <c r="H1205" s="3" t="str">
        <f>HYPERLINK("http://funmeta.oebiotech.com/network/60110", "http://funmeta.oebiotech.com/network/60110")</f>
      </c>
      <c r="I1205" s="2" t="s">
        <v>9654</v>
      </c>
      <c r="J1205" s="2" t="s">
        <v>9655</v>
      </c>
      <c r="K1205" s="2"/>
      <c r="L1205" s="2"/>
      <c r="M1205" s="2"/>
      <c r="N1205" s="2" t="s">
        <v>9656</v>
      </c>
      <c r="O1205" s="2" t="s">
        <v>9657</v>
      </c>
      <c r="P1205" s="2" t="s">
        <v>9658</v>
      </c>
      <c r="Q1205" s="2" t="s">
        <v>9659</v>
      </c>
      <c r="R1205" s="2" t="s">
        <v>1355</v>
      </c>
      <c r="S1205" s="2" t="s">
        <v>9660</v>
      </c>
      <c r="T1205" s="2" t="s">
        <v>215</v>
      </c>
      <c r="U1205" s="2" t="s">
        <v>9651</v>
      </c>
      <c r="V1205" s="2" t="s">
        <v>86</v>
      </c>
      <c r="W1205" s="2"/>
    </row>
    <row r="1206">
      <c r="A1206" s="2" t="n">
        <v>910</v>
      </c>
      <c r="B1206" s="2" t="s">
        <v>16428</v>
      </c>
      <c r="C1206" s="2" t="s">
        <v>9661</v>
      </c>
      <c r="D1206" s="2" t="n">
        <v>687.158880354</v>
      </c>
      <c r="E1206" s="2" t="n">
        <v>5.70459539934819</v>
      </c>
      <c r="F1206" s="2" t="s">
        <v>9663</v>
      </c>
      <c r="G1206" s="2" t="n">
        <v>201029</v>
      </c>
      <c r="H1206" s="3" t="str">
        <f>HYPERLINK("http://funmeta.oebiotech.com/network/201029", "http://funmeta.oebiotech.com/network/201029")</f>
      </c>
      <c r="I1206" s="2" t="s">
        <v>9665</v>
      </c>
      <c r="J1206" s="2"/>
      <c r="K1206" s="2"/>
      <c r="L1206" s="2"/>
      <c r="M1206" s="2"/>
      <c r="N1206" s="2" t="s">
        <v>9666</v>
      </c>
      <c r="O1206" s="2"/>
      <c r="P1206" s="2" t="s">
        <v>9667</v>
      </c>
      <c r="Q1206" s="2" t="s">
        <v>9668</v>
      </c>
      <c r="R1206" s="2" t="s">
        <v>114</v>
      </c>
      <c r="S1206" s="2" t="s">
        <v>1050</v>
      </c>
      <c r="T1206" s="2" t="s">
        <v>1122</v>
      </c>
      <c r="U1206" s="2" t="s">
        <v>9662</v>
      </c>
      <c r="V1206" s="2" t="s">
        <v>683</v>
      </c>
      <c r="W1206" s="2"/>
    </row>
    <row r="1207">
      <c r="A1207" s="2" t="n">
        <v>911</v>
      </c>
      <c r="B1207" s="2" t="s">
        <v>16429</v>
      </c>
      <c r="C1207" s="2" t="s">
        <v>9669</v>
      </c>
      <c r="D1207" s="2" t="n">
        <v>688.410779498</v>
      </c>
      <c r="E1207" s="2" t="n">
        <v>1.08589364653949</v>
      </c>
      <c r="F1207" s="2" t="s">
        <v>9671</v>
      </c>
      <c r="G1207" s="2" t="n">
        <v>209452</v>
      </c>
      <c r="H1207" s="3" t="str">
        <f>HYPERLINK("http://funmeta.oebiotech.com/network/209452", "http://funmeta.oebiotech.com/network/209452")</f>
      </c>
      <c r="I1207" s="2" t="s">
        <v>9673</v>
      </c>
      <c r="J1207" s="2"/>
      <c r="K1207" s="2"/>
      <c r="L1207" s="2"/>
      <c r="M1207" s="2"/>
      <c r="N1207" s="2" t="s">
        <v>9674</v>
      </c>
      <c r="O1207" s="2"/>
      <c r="P1207" s="2" t="s">
        <v>9675</v>
      </c>
      <c r="Q1207" s="2" t="s">
        <v>9676</v>
      </c>
      <c r="R1207" s="2" t="s">
        <v>36</v>
      </c>
      <c r="S1207" s="2" t="s">
        <v>7927</v>
      </c>
      <c r="T1207" s="2" t="s">
        <v>7928</v>
      </c>
      <c r="U1207" s="2" t="s">
        <v>9670</v>
      </c>
      <c r="V1207" s="2" t="s">
        <v>161</v>
      </c>
      <c r="W1207" s="2"/>
    </row>
    <row r="1208">
      <c r="A1208" s="2" t="n">
        <v>912</v>
      </c>
      <c r="B1208" s="2" t="s">
        <v>16430</v>
      </c>
      <c r="C1208" s="2" t="s">
        <v>9677</v>
      </c>
      <c r="D1208" s="2" t="n">
        <v>689.066865466</v>
      </c>
      <c r="E1208" s="2" t="n">
        <v>0.860049077993498</v>
      </c>
      <c r="F1208" s="2" t="s">
        <v>9679</v>
      </c>
      <c r="G1208" s="2" t="n">
        <v>203844</v>
      </c>
      <c r="H1208" s="3" t="str">
        <f>HYPERLINK("http://funmeta.oebiotech.com/network/203844", "http://funmeta.oebiotech.com/network/203844")</f>
      </c>
      <c r="I1208" s="2" t="s">
        <v>9681</v>
      </c>
      <c r="J1208" s="2" t="s">
        <v>9682</v>
      </c>
      <c r="K1208" s="2"/>
      <c r="L1208" s="2" t="s">
        <v>9683</v>
      </c>
      <c r="M1208" s="2" t="s">
        <v>9684</v>
      </c>
      <c r="N1208" s="2" t="s">
        <v>9685</v>
      </c>
      <c r="O1208" s="2" t="s">
        <v>9686</v>
      </c>
      <c r="P1208" s="2" t="s">
        <v>9687</v>
      </c>
      <c r="Q1208" s="2" t="s">
        <v>9688</v>
      </c>
      <c r="R1208" s="2" t="s">
        <v>114</v>
      </c>
      <c r="S1208" s="2" t="s">
        <v>9689</v>
      </c>
      <c r="T1208" s="2" t="s">
        <v>9690</v>
      </c>
      <c r="U1208" s="2" t="s">
        <v>9678</v>
      </c>
      <c r="V1208" s="2" t="s">
        <v>683</v>
      </c>
      <c r="W1208" s="2" t="s">
        <v>101</v>
      </c>
    </row>
    <row r="1209">
      <c r="A1209" s="2" t="n">
        <v>913</v>
      </c>
      <c r="B1209" s="2" t="s">
        <v>16431</v>
      </c>
      <c r="C1209" s="2" t="s">
        <v>9691</v>
      </c>
      <c r="D1209" s="2" t="n">
        <v>689.430013375</v>
      </c>
      <c r="E1209" s="2" t="n">
        <v>6.47244438556486</v>
      </c>
      <c r="F1209" s="2" t="s">
        <v>9693</v>
      </c>
      <c r="G1209" s="2" t="n">
        <v>211975</v>
      </c>
      <c r="H1209" s="3" t="str">
        <f>HYPERLINK("http://funmeta.oebiotech.com/network/211975", "http://funmeta.oebiotech.com/network/211975")</f>
      </c>
      <c r="I1209" s="2" t="s">
        <v>9695</v>
      </c>
      <c r="J1209" s="2"/>
      <c r="K1209" s="2"/>
      <c r="L1209" s="2"/>
      <c r="M1209" s="2"/>
      <c r="N1209" s="2"/>
      <c r="O1209" s="2"/>
      <c r="P1209" s="2" t="s">
        <v>9696</v>
      </c>
      <c r="Q1209" s="2" t="s">
        <v>9697</v>
      </c>
      <c r="R1209" s="2" t="s">
        <v>114</v>
      </c>
      <c r="S1209" s="2" t="s">
        <v>2057</v>
      </c>
      <c r="T1209" s="2" t="s">
        <v>215</v>
      </c>
      <c r="U1209" s="2" t="s">
        <v>9692</v>
      </c>
      <c r="V1209" s="2" t="s">
        <v>24</v>
      </c>
      <c r="W1209" s="2"/>
    </row>
    <row r="1210">
      <c r="A1210" s="2" t="n">
        <v>914</v>
      </c>
      <c r="B1210" s="2" t="s">
        <v>16432</v>
      </c>
      <c r="C1210" s="2" t="s">
        <v>9698</v>
      </c>
      <c r="D1210" s="2" t="n">
        <v>689.506983494</v>
      </c>
      <c r="E1210" s="2" t="n">
        <v>9.09476962988537</v>
      </c>
      <c r="F1210" s="2" t="s">
        <v>9700</v>
      </c>
      <c r="G1210" s="2" t="n">
        <v>256938</v>
      </c>
      <c r="H1210" s="3" t="str">
        <f>HYPERLINK("http://funmeta.oebiotech.com/network/256938", "http://funmeta.oebiotech.com/network/256938")</f>
      </c>
      <c r="I1210" s="2" t="s">
        <v>9702</v>
      </c>
      <c r="J1210" s="2" t="s">
        <v>9703</v>
      </c>
      <c r="K1210" s="2"/>
      <c r="L1210" s="2" t="s">
        <v>9704</v>
      </c>
      <c r="M1210" s="2" t="s">
        <v>9705</v>
      </c>
      <c r="N1210" s="2" t="s">
        <v>9706</v>
      </c>
      <c r="O1210" s="2"/>
      <c r="P1210" s="2" t="s">
        <v>9707</v>
      </c>
      <c r="Q1210" s="2" t="s">
        <v>9708</v>
      </c>
      <c r="R1210" s="2" t="s">
        <v>794</v>
      </c>
      <c r="S1210" s="2" t="s">
        <v>1098</v>
      </c>
      <c r="T1210" s="2" t="s">
        <v>9709</v>
      </c>
      <c r="U1210" s="2" t="s">
        <v>9699</v>
      </c>
      <c r="V1210" s="2" t="s">
        <v>86</v>
      </c>
      <c r="W1210" s="2" t="s">
        <v>101</v>
      </c>
    </row>
    <row r="1211">
      <c r="A1211" s="2" t="n">
        <v>915</v>
      </c>
      <c r="B1211" s="2" t="s">
        <v>16433</v>
      </c>
      <c r="C1211" s="2" t="s">
        <v>9710</v>
      </c>
      <c r="D1211" s="2" t="n">
        <v>691.206183074</v>
      </c>
      <c r="E1211" s="2" t="n">
        <v>2.49075946901816</v>
      </c>
      <c r="F1211" s="2" t="s">
        <v>9712</v>
      </c>
      <c r="G1211" s="2" t="n">
        <v>55021</v>
      </c>
      <c r="H1211" s="3" t="str">
        <f>HYPERLINK("http://funmeta.oebiotech.com/network/55021", "http://funmeta.oebiotech.com/network/55021")</f>
      </c>
      <c r="I1211" s="2" t="s">
        <v>9714</v>
      </c>
      <c r="J1211" s="2" t="s">
        <v>9715</v>
      </c>
      <c r="K1211" s="2"/>
      <c r="L1211" s="2"/>
      <c r="M1211" s="2"/>
      <c r="N1211" s="2" t="s">
        <v>9716</v>
      </c>
      <c r="O1211" s="2" t="s">
        <v>9717</v>
      </c>
      <c r="P1211" s="2" t="s">
        <v>9718</v>
      </c>
      <c r="Q1211" s="2" t="s">
        <v>9719</v>
      </c>
      <c r="R1211" s="2" t="s">
        <v>186</v>
      </c>
      <c r="S1211" s="2" t="s">
        <v>9353</v>
      </c>
      <c r="T1211" s="2" t="s">
        <v>9354</v>
      </c>
      <c r="U1211" s="2" t="s">
        <v>9711</v>
      </c>
      <c r="V1211" s="2" t="s">
        <v>531</v>
      </c>
      <c r="W1211" s="2"/>
    </row>
    <row r="1212">
      <c r="A1212" s="2" t="n">
        <v>916</v>
      </c>
      <c r="B1212" s="2" t="s">
        <v>16434</v>
      </c>
      <c r="C1212" s="2" t="s">
        <v>9720</v>
      </c>
      <c r="D1212" s="2" t="n">
        <v>691.470265244</v>
      </c>
      <c r="E1212" s="2" t="n">
        <v>8.5770423653856</v>
      </c>
      <c r="F1212" s="2" t="s">
        <v>9722</v>
      </c>
      <c r="G1212" s="2" t="n">
        <v>25056</v>
      </c>
      <c r="H1212" s="3" t="str">
        <f>HYPERLINK("http://funmeta.oebiotech.com/network/25056", "http://funmeta.oebiotech.com/network/25056")</f>
      </c>
      <c r="I1212" s="2" t="s">
        <v>9724</v>
      </c>
      <c r="J1212" s="2" t="s">
        <v>9725</v>
      </c>
      <c r="K1212" s="2" t="s">
        <v>9726</v>
      </c>
      <c r="L1212" s="2"/>
      <c r="M1212" s="2"/>
      <c r="N1212" s="2" t="s">
        <v>9727</v>
      </c>
      <c r="O1212" s="2"/>
      <c r="P1212" s="2" t="s">
        <v>9728</v>
      </c>
      <c r="Q1212" s="2" t="s">
        <v>9729</v>
      </c>
      <c r="R1212" s="2" t="s">
        <v>794</v>
      </c>
      <c r="S1212" s="2" t="s">
        <v>7122</v>
      </c>
      <c r="T1212" s="2" t="s">
        <v>7123</v>
      </c>
      <c r="U1212" s="2" t="s">
        <v>9721</v>
      </c>
      <c r="V1212" s="2" t="s">
        <v>161</v>
      </c>
      <c r="W1212" s="2" t="s">
        <v>56</v>
      </c>
    </row>
    <row r="1213">
      <c r="A1213" s="2" t="n">
        <v>917</v>
      </c>
      <c r="B1213" s="2" t="s">
        <v>16435</v>
      </c>
      <c r="C1213" s="2" t="s">
        <v>9730</v>
      </c>
      <c r="D1213" s="2" t="n">
        <v>691.528292478</v>
      </c>
      <c r="E1213" s="2" t="n">
        <v>6.68085271837931</v>
      </c>
      <c r="F1213" s="2" t="s">
        <v>9732</v>
      </c>
      <c r="G1213" s="2" t="n">
        <v>49044</v>
      </c>
      <c r="H1213" s="3" t="str">
        <f>HYPERLINK("http://funmeta.oebiotech.com/network/49044", "http://funmeta.oebiotech.com/network/49044")</f>
      </c>
      <c r="I1213" s="2" t="s">
        <v>9734</v>
      </c>
      <c r="J1213" s="2" t="s">
        <v>9735</v>
      </c>
      <c r="K1213" s="2"/>
      <c r="L1213" s="2"/>
      <c r="M1213" s="2"/>
      <c r="N1213" s="2" t="s">
        <v>9736</v>
      </c>
      <c r="O1213" s="2"/>
      <c r="P1213" s="2" t="s">
        <v>9737</v>
      </c>
      <c r="Q1213" s="2" t="s">
        <v>9738</v>
      </c>
      <c r="R1213" s="2" t="s">
        <v>794</v>
      </c>
      <c r="S1213" s="2" t="s">
        <v>2600</v>
      </c>
      <c r="T1213" s="2" t="s">
        <v>8990</v>
      </c>
      <c r="U1213" s="2" t="s">
        <v>9731</v>
      </c>
      <c r="V1213" s="2" t="s">
        <v>531</v>
      </c>
      <c r="W1213" s="2"/>
    </row>
    <row r="1214">
      <c r="A1214" s="2" t="n">
        <v>918</v>
      </c>
      <c r="B1214" s="2" t="s">
        <v>16436</v>
      </c>
      <c r="C1214" s="2" t="s">
        <v>9739</v>
      </c>
      <c r="D1214" s="2" t="n">
        <v>692.213184653</v>
      </c>
      <c r="E1214" s="2" t="n">
        <v>5.71288507817467</v>
      </c>
      <c r="F1214" s="2" t="s">
        <v>9741</v>
      </c>
      <c r="G1214" s="2" t="n">
        <v>82649</v>
      </c>
      <c r="H1214" s="3" t="str">
        <f>HYPERLINK("http://funmeta.oebiotech.com/network/82649", "http://funmeta.oebiotech.com/network/82649")</f>
      </c>
      <c r="I1214" s="2" t="s">
        <v>9743</v>
      </c>
      <c r="J1214" s="2"/>
      <c r="K1214" s="2"/>
      <c r="L1214" s="2"/>
      <c r="M1214" s="2"/>
      <c r="N1214" s="2" t="s">
        <v>9744</v>
      </c>
      <c r="O1214" s="2"/>
      <c r="P1214" s="2" t="s">
        <v>9745</v>
      </c>
      <c r="Q1214" s="2" t="s">
        <v>9746</v>
      </c>
      <c r="R1214" s="2" t="s">
        <v>1355</v>
      </c>
      <c r="S1214" s="2" t="s">
        <v>9411</v>
      </c>
      <c r="T1214" s="2" t="s">
        <v>215</v>
      </c>
      <c r="U1214" s="2" t="s">
        <v>9740</v>
      </c>
      <c r="V1214" s="2" t="s">
        <v>161</v>
      </c>
      <c r="W1214" s="2"/>
    </row>
    <row r="1215">
      <c r="A1215" s="2" t="n">
        <v>919</v>
      </c>
      <c r="B1215" s="2" t="s">
        <v>16437</v>
      </c>
      <c r="C1215" s="2" t="s">
        <v>9747</v>
      </c>
      <c r="D1215" s="2" t="n">
        <v>693.465512605</v>
      </c>
      <c r="E1215" s="2" t="n">
        <v>0.0837346871111948</v>
      </c>
      <c r="F1215" s="2" t="s">
        <v>9749</v>
      </c>
      <c r="G1215" s="2" t="n">
        <v>202983</v>
      </c>
      <c r="H1215" s="3" t="str">
        <f>HYPERLINK("http://funmeta.oebiotech.com/network/202983", "http://funmeta.oebiotech.com/network/202983")</f>
      </c>
      <c r="I1215" s="2" t="s">
        <v>9751</v>
      </c>
      <c r="J1215" s="2"/>
      <c r="K1215" s="2"/>
      <c r="L1215" s="2"/>
      <c r="M1215" s="2"/>
      <c r="N1215" s="2" t="s">
        <v>9752</v>
      </c>
      <c r="O1215" s="2"/>
      <c r="P1215" s="2" t="s">
        <v>9753</v>
      </c>
      <c r="Q1215" s="2" t="s">
        <v>9754</v>
      </c>
      <c r="R1215" s="2" t="s">
        <v>794</v>
      </c>
      <c r="S1215" s="2" t="s">
        <v>1098</v>
      </c>
      <c r="T1215" s="2" t="s">
        <v>9336</v>
      </c>
      <c r="U1215" s="2" t="s">
        <v>9748</v>
      </c>
      <c r="V1215" s="2" t="s">
        <v>86</v>
      </c>
      <c r="W1215" s="2"/>
    </row>
    <row r="1216">
      <c r="A1216" s="2" t="n">
        <v>920</v>
      </c>
      <c r="B1216" s="2" t="s">
        <v>16438</v>
      </c>
      <c r="C1216" s="2" t="s">
        <v>9755</v>
      </c>
      <c r="D1216" s="2" t="n">
        <v>695.48116267</v>
      </c>
      <c r="E1216" s="2" t="n">
        <v>0.0115790120364837</v>
      </c>
      <c r="F1216" s="2" t="s">
        <v>9757</v>
      </c>
      <c r="G1216" s="2" t="n">
        <v>212747</v>
      </c>
      <c r="H1216" s="3" t="str">
        <f>HYPERLINK("http://funmeta.oebiotech.com/network/212747", "http://funmeta.oebiotech.com/network/212747")</f>
      </c>
      <c r="I1216" s="2" t="s">
        <v>9759</v>
      </c>
      <c r="J1216" s="2"/>
      <c r="K1216" s="2"/>
      <c r="L1216" s="2"/>
      <c r="M1216" s="2"/>
      <c r="N1216" s="2"/>
      <c r="O1216" s="2"/>
      <c r="P1216" s="2" t="s">
        <v>9760</v>
      </c>
      <c r="Q1216" s="2" t="s">
        <v>9761</v>
      </c>
      <c r="R1216" s="2" t="s">
        <v>794</v>
      </c>
      <c r="S1216" s="2" t="s">
        <v>1098</v>
      </c>
      <c r="T1216" s="2" t="s">
        <v>9336</v>
      </c>
      <c r="U1216" s="2" t="s">
        <v>9756</v>
      </c>
      <c r="V1216" s="2" t="s">
        <v>86</v>
      </c>
      <c r="W1216" s="2"/>
    </row>
    <row r="1217">
      <c r="A1217" s="2" t="n">
        <v>921</v>
      </c>
      <c r="B1217" s="2" t="s">
        <v>16439</v>
      </c>
      <c r="C1217" s="2" t="s">
        <v>9762</v>
      </c>
      <c r="D1217" s="2" t="n">
        <v>697.494443753</v>
      </c>
      <c r="E1217" s="2" t="n">
        <v>1.23158096882223</v>
      </c>
      <c r="F1217" s="2" t="s">
        <v>9764</v>
      </c>
      <c r="G1217" s="2" t="n">
        <v>25963</v>
      </c>
      <c r="H1217" s="3" t="str">
        <f>HYPERLINK("http://funmeta.oebiotech.com/network/25963", "http://funmeta.oebiotech.com/network/25963")</f>
      </c>
      <c r="I1217" s="2" t="s">
        <v>9766</v>
      </c>
      <c r="J1217" s="2" t="s">
        <v>9767</v>
      </c>
      <c r="K1217" s="2" t="s">
        <v>9768</v>
      </c>
      <c r="L1217" s="2"/>
      <c r="M1217" s="2"/>
      <c r="N1217" s="2" t="s">
        <v>9769</v>
      </c>
      <c r="O1217" s="2"/>
      <c r="P1217" s="2" t="s">
        <v>9770</v>
      </c>
      <c r="Q1217" s="2" t="s">
        <v>9771</v>
      </c>
      <c r="R1217" s="2" t="s">
        <v>794</v>
      </c>
      <c r="S1217" s="2" t="s">
        <v>7122</v>
      </c>
      <c r="T1217" s="2" t="s">
        <v>7123</v>
      </c>
      <c r="U1217" s="2" t="s">
        <v>9763</v>
      </c>
      <c r="V1217" s="2" t="s">
        <v>86</v>
      </c>
      <c r="W1217" s="2"/>
    </row>
    <row r="1218">
      <c r="A1218" s="2" t="n">
        <v>922</v>
      </c>
      <c r="B1218" s="2" t="s">
        <v>16440</v>
      </c>
      <c r="C1218" s="2" t="s">
        <v>9772</v>
      </c>
      <c r="D1218" s="2" t="n">
        <v>699.484143152</v>
      </c>
      <c r="E1218" s="2" t="n">
        <v>4.38415549774468</v>
      </c>
      <c r="F1218" s="2" t="s">
        <v>16441</v>
      </c>
      <c r="G1218" s="2" t="n">
        <v>46737</v>
      </c>
      <c r="H1218" s="3" t="str">
        <f>HYPERLINK("http://funmeta.oebiotech.com/network/46737", "http://funmeta.oebiotech.com/network/46737")</f>
      </c>
      <c r="I1218" s="2" t="s">
        <v>16442</v>
      </c>
      <c r="J1218" s="2" t="s">
        <v>16443</v>
      </c>
      <c r="K1218" s="2" t="s">
        <v>16444</v>
      </c>
      <c r="L1218" s="2" t="s">
        <v>16445</v>
      </c>
      <c r="M1218" s="2" t="s">
        <v>16446</v>
      </c>
      <c r="N1218" s="2" t="s">
        <v>16447</v>
      </c>
      <c r="O1218" s="2" t="s">
        <v>16448</v>
      </c>
      <c r="P1218" s="2" t="s">
        <v>16449</v>
      </c>
      <c r="Q1218" s="2" t="s">
        <v>16450</v>
      </c>
      <c r="R1218" s="2" t="s">
        <v>794</v>
      </c>
      <c r="S1218" s="2" t="s">
        <v>2971</v>
      </c>
      <c r="T1218" s="2" t="s">
        <v>7542</v>
      </c>
      <c r="U1218" s="2" t="s">
        <v>9773</v>
      </c>
      <c r="V1218" s="2" t="s">
        <v>683</v>
      </c>
      <c r="W1218" s="2" t="s">
        <v>56</v>
      </c>
    </row>
    <row r="1219">
      <c r="A1219" s="2" t="n">
        <v>922</v>
      </c>
      <c r="B1219" s="2" t="s">
        <v>16451</v>
      </c>
      <c r="C1219" s="2" t="s">
        <v>9772</v>
      </c>
      <c r="D1219" s="2" t="n">
        <v>699.484143152</v>
      </c>
      <c r="E1219" s="2" t="n">
        <v>4.38415549774468</v>
      </c>
      <c r="F1219" s="2" t="s">
        <v>16452</v>
      </c>
      <c r="G1219" s="2" t="n">
        <v>64985</v>
      </c>
      <c r="H1219" s="3" t="str">
        <f>HYPERLINK("http://funmeta.oebiotech.com/network/64985", "http://funmeta.oebiotech.com/network/64985")</f>
      </c>
      <c r="I1219" s="2" t="s">
        <v>16453</v>
      </c>
      <c r="J1219" s="2" t="s">
        <v>16454</v>
      </c>
      <c r="K1219" s="2"/>
      <c r="L1219" s="2" t="s">
        <v>16455</v>
      </c>
      <c r="M1219" s="2" t="s">
        <v>16456</v>
      </c>
      <c r="N1219" s="2" t="s">
        <v>16457</v>
      </c>
      <c r="O1219" s="2" t="s">
        <v>16458</v>
      </c>
      <c r="P1219" s="2" t="s">
        <v>16459</v>
      </c>
      <c r="Q1219" s="2" t="s">
        <v>16460</v>
      </c>
      <c r="R1219" s="2" t="s">
        <v>794</v>
      </c>
      <c r="S1219" s="2" t="s">
        <v>2971</v>
      </c>
      <c r="T1219" s="2" t="s">
        <v>5393</v>
      </c>
      <c r="U1219" s="2" t="s">
        <v>9773</v>
      </c>
      <c r="V1219" s="2" t="s">
        <v>683</v>
      </c>
      <c r="W1219" s="2" t="s">
        <v>56</v>
      </c>
    </row>
    <row r="1220">
      <c r="A1220" s="2" t="n">
        <v>922</v>
      </c>
      <c r="B1220" s="2" t="s">
        <v>16461</v>
      </c>
      <c r="C1220" s="2" t="s">
        <v>9772</v>
      </c>
      <c r="D1220" s="2" t="n">
        <v>699.484143152</v>
      </c>
      <c r="E1220" s="2" t="n">
        <v>4.38415549774468</v>
      </c>
      <c r="F1220" s="2" t="s">
        <v>16462</v>
      </c>
      <c r="G1220" s="2" t="n">
        <v>44992</v>
      </c>
      <c r="H1220" s="3" t="str">
        <f>HYPERLINK("http://funmeta.oebiotech.com/network/44992", "http://funmeta.oebiotech.com/network/44992")</f>
      </c>
      <c r="I1220" s="2" t="s">
        <v>16463</v>
      </c>
      <c r="J1220" s="2" t="s">
        <v>16464</v>
      </c>
      <c r="K1220" s="2" t="s">
        <v>16465</v>
      </c>
      <c r="L1220" s="2" t="s">
        <v>16466</v>
      </c>
      <c r="M1220" s="2"/>
      <c r="N1220" s="2" t="s">
        <v>16467</v>
      </c>
      <c r="O1220" s="2" t="s">
        <v>16468</v>
      </c>
      <c r="P1220" s="2" t="s">
        <v>16469</v>
      </c>
      <c r="Q1220" s="2" t="s">
        <v>16470</v>
      </c>
      <c r="R1220" s="2" t="s">
        <v>794</v>
      </c>
      <c r="S1220" s="2" t="s">
        <v>2971</v>
      </c>
      <c r="T1220" s="2" t="s">
        <v>7542</v>
      </c>
      <c r="U1220" s="2" t="s">
        <v>9773</v>
      </c>
      <c r="V1220" s="2" t="s">
        <v>683</v>
      </c>
      <c r="W1220" s="2" t="s">
        <v>56</v>
      </c>
    </row>
    <row r="1221">
      <c r="A1221" s="2" t="n">
        <v>923</v>
      </c>
      <c r="B1221" s="2" t="s">
        <v>16471</v>
      </c>
      <c r="C1221" s="2" t="s">
        <v>9786</v>
      </c>
      <c r="D1221" s="2" t="n">
        <v>700.501858897</v>
      </c>
      <c r="E1221" s="2" t="n">
        <v>2.46319677382807</v>
      </c>
      <c r="F1221" s="2" t="s">
        <v>9788</v>
      </c>
      <c r="G1221" s="2" t="n">
        <v>211894</v>
      </c>
      <c r="H1221" s="3" t="str">
        <f>HYPERLINK("http://funmeta.oebiotech.com/network/211894", "http://funmeta.oebiotech.com/network/211894")</f>
      </c>
      <c r="I1221" s="2" t="s">
        <v>9790</v>
      </c>
      <c r="J1221" s="2"/>
      <c r="K1221" s="2"/>
      <c r="L1221" s="2"/>
      <c r="M1221" s="2"/>
      <c r="N1221" s="2" t="s">
        <v>9791</v>
      </c>
      <c r="O1221" s="2"/>
      <c r="P1221" s="2" t="s">
        <v>9792</v>
      </c>
      <c r="Q1221" s="2" t="s">
        <v>9793</v>
      </c>
      <c r="R1221" s="2" t="s">
        <v>36</v>
      </c>
      <c r="S1221" s="2" t="s">
        <v>7927</v>
      </c>
      <c r="T1221" s="2" t="s">
        <v>7928</v>
      </c>
      <c r="U1221" s="2" t="s">
        <v>9787</v>
      </c>
      <c r="V1221" s="2" t="s">
        <v>24</v>
      </c>
      <c r="W1221" s="2"/>
    </row>
    <row r="1222">
      <c r="A1222" s="2" t="n">
        <v>924</v>
      </c>
      <c r="B1222" s="2" t="s">
        <v>16472</v>
      </c>
      <c r="C1222" s="2" t="s">
        <v>9794</v>
      </c>
      <c r="D1222" s="2" t="n">
        <v>701.196226</v>
      </c>
      <c r="E1222" s="2" t="n">
        <v>5.48416984061022</v>
      </c>
      <c r="F1222" s="2" t="s">
        <v>9796</v>
      </c>
      <c r="G1222" s="2" t="n">
        <v>211828</v>
      </c>
      <c r="H1222" s="3" t="str">
        <f>HYPERLINK("http://funmeta.oebiotech.com/network/211828", "http://funmeta.oebiotech.com/network/211828")</f>
      </c>
      <c r="I1222" s="2" t="s">
        <v>9798</v>
      </c>
      <c r="J1222" s="2"/>
      <c r="K1222" s="2"/>
      <c r="L1222" s="2"/>
      <c r="M1222" s="2"/>
      <c r="N1222" s="2"/>
      <c r="O1222" s="2"/>
      <c r="P1222" s="2" t="s">
        <v>9799</v>
      </c>
      <c r="Q1222" s="2" t="s">
        <v>9800</v>
      </c>
      <c r="R1222" s="2" t="s">
        <v>186</v>
      </c>
      <c r="S1222" s="2" t="s">
        <v>187</v>
      </c>
      <c r="T1222" s="2" t="s">
        <v>2791</v>
      </c>
      <c r="U1222" s="2" t="s">
        <v>9795</v>
      </c>
      <c r="V1222" s="2" t="s">
        <v>683</v>
      </c>
      <c r="W1222" s="2"/>
    </row>
    <row r="1223">
      <c r="A1223" s="2" t="n">
        <v>925</v>
      </c>
      <c r="B1223" s="2" t="s">
        <v>16473</v>
      </c>
      <c r="C1223" s="2" t="s">
        <v>9801</v>
      </c>
      <c r="D1223" s="2" t="n">
        <v>701.26381711</v>
      </c>
      <c r="E1223" s="2" t="n">
        <v>3.82301722953918</v>
      </c>
      <c r="F1223" s="2" t="s">
        <v>9803</v>
      </c>
      <c r="G1223" s="2" t="n">
        <v>61836</v>
      </c>
      <c r="H1223" s="3" t="str">
        <f>HYPERLINK("http://funmeta.oebiotech.com/network/61836", "http://funmeta.oebiotech.com/network/61836")</f>
      </c>
      <c r="I1223" s="2" t="s">
        <v>9805</v>
      </c>
      <c r="J1223" s="2" t="s">
        <v>9806</v>
      </c>
      <c r="K1223" s="2"/>
      <c r="L1223" s="2"/>
      <c r="M1223" s="2" t="s">
        <v>9807</v>
      </c>
      <c r="N1223" s="2" t="s">
        <v>9808</v>
      </c>
      <c r="O1223" s="2" t="s">
        <v>9809</v>
      </c>
      <c r="P1223" s="2" t="s">
        <v>9810</v>
      </c>
      <c r="Q1223" s="2" t="s">
        <v>9811</v>
      </c>
      <c r="R1223" s="2" t="s">
        <v>129</v>
      </c>
      <c r="S1223" s="2" t="s">
        <v>130</v>
      </c>
      <c r="T1223" s="2" t="s">
        <v>1681</v>
      </c>
      <c r="U1223" s="2" t="s">
        <v>9802</v>
      </c>
      <c r="V1223" s="2" t="s">
        <v>531</v>
      </c>
      <c r="W1223" s="2"/>
    </row>
    <row r="1224">
      <c r="A1224" s="2" t="n">
        <v>926</v>
      </c>
      <c r="B1224" s="2" t="s">
        <v>16474</v>
      </c>
      <c r="C1224" s="2" t="s">
        <v>9812</v>
      </c>
      <c r="D1224" s="2" t="n">
        <v>702.270339149</v>
      </c>
      <c r="E1224" s="2" t="n">
        <v>0.624607482701829</v>
      </c>
      <c r="F1224" s="2" t="s">
        <v>9814</v>
      </c>
      <c r="G1224" s="2" t="n">
        <v>82413</v>
      </c>
      <c r="H1224" s="3" t="str">
        <f>HYPERLINK("http://funmeta.oebiotech.com/network/82413", "http://funmeta.oebiotech.com/network/82413")</f>
      </c>
      <c r="I1224" s="2" t="s">
        <v>9816</v>
      </c>
      <c r="J1224" s="2" t="s">
        <v>9817</v>
      </c>
      <c r="K1224" s="2"/>
      <c r="L1224" s="2" t="s">
        <v>9818</v>
      </c>
      <c r="M1224" s="2" t="s">
        <v>9819</v>
      </c>
      <c r="N1224" s="2" t="s">
        <v>9820</v>
      </c>
      <c r="O1224" s="2" t="s">
        <v>9821</v>
      </c>
      <c r="P1224" s="2" t="s">
        <v>9822</v>
      </c>
      <c r="Q1224" s="2" t="s">
        <v>9823</v>
      </c>
      <c r="R1224" s="2" t="s">
        <v>36</v>
      </c>
      <c r="S1224" s="2" t="s">
        <v>37</v>
      </c>
      <c r="T1224" s="2" t="s">
        <v>69</v>
      </c>
      <c r="U1224" s="2" t="s">
        <v>9813</v>
      </c>
      <c r="V1224" s="2" t="s">
        <v>161</v>
      </c>
      <c r="W1224" s="2" t="s">
        <v>101</v>
      </c>
    </row>
    <row r="1225">
      <c r="A1225" s="2" t="n">
        <v>927</v>
      </c>
      <c r="B1225" s="2" t="s">
        <v>16475</v>
      </c>
      <c r="C1225" s="2" t="s">
        <v>9824</v>
      </c>
      <c r="D1225" s="2" t="n">
        <v>702.507928861</v>
      </c>
      <c r="E1225" s="2" t="n">
        <v>3.73860971666202</v>
      </c>
      <c r="F1225" s="2" t="s">
        <v>9826</v>
      </c>
      <c r="G1225" s="2" t="n">
        <v>18207</v>
      </c>
      <c r="H1225" s="3" t="str">
        <f>HYPERLINK("http://funmeta.oebiotech.com/network/18207", "http://funmeta.oebiotech.com/network/18207")</f>
      </c>
      <c r="I1225" s="2" t="s">
        <v>9828</v>
      </c>
      <c r="J1225" s="2" t="s">
        <v>9829</v>
      </c>
      <c r="K1225" s="2" t="s">
        <v>9830</v>
      </c>
      <c r="L1225" s="2" t="s">
        <v>9831</v>
      </c>
      <c r="M1225" s="2" t="s">
        <v>9832</v>
      </c>
      <c r="N1225" s="2" t="s">
        <v>9833</v>
      </c>
      <c r="O1225" s="2"/>
      <c r="P1225" s="2" t="s">
        <v>9834</v>
      </c>
      <c r="Q1225" s="2" t="s">
        <v>9835</v>
      </c>
      <c r="R1225" s="2" t="s">
        <v>794</v>
      </c>
      <c r="S1225" s="2" t="s">
        <v>7122</v>
      </c>
      <c r="T1225" s="2" t="s">
        <v>8460</v>
      </c>
      <c r="U1225" s="2" t="s">
        <v>9825</v>
      </c>
      <c r="V1225" s="2" t="s">
        <v>24</v>
      </c>
      <c r="W1225" s="2" t="s">
        <v>39</v>
      </c>
    </row>
    <row r="1226">
      <c r="A1226" s="2" t="n">
        <v>928</v>
      </c>
      <c r="B1226" s="2" t="s">
        <v>16476</v>
      </c>
      <c r="C1226" s="2" t="s">
        <v>9836</v>
      </c>
      <c r="D1226" s="2" t="n">
        <v>703.507377414</v>
      </c>
      <c r="E1226" s="2" t="n">
        <v>4.24388809154196</v>
      </c>
      <c r="F1226" s="2" t="s">
        <v>9838</v>
      </c>
      <c r="G1226" s="2" t="n">
        <v>10729</v>
      </c>
      <c r="H1226" s="3" t="str">
        <f>HYPERLINK("http://funmeta.oebiotech.com/network/10729", "http://funmeta.oebiotech.com/network/10729")</f>
      </c>
      <c r="I1226" s="2" t="s">
        <v>9840</v>
      </c>
      <c r="J1226" s="2" t="s">
        <v>9841</v>
      </c>
      <c r="K1226" s="2" t="s">
        <v>9842</v>
      </c>
      <c r="L1226" s="2"/>
      <c r="M1226" s="2" t="s">
        <v>9843</v>
      </c>
      <c r="N1226" s="2" t="s">
        <v>9844</v>
      </c>
      <c r="O1226" s="2"/>
      <c r="P1226" s="2" t="s">
        <v>9845</v>
      </c>
      <c r="Q1226" s="2" t="s">
        <v>9846</v>
      </c>
      <c r="R1226" s="2" t="s">
        <v>794</v>
      </c>
      <c r="S1226" s="2" t="s">
        <v>2600</v>
      </c>
      <c r="T1226" s="2" t="s">
        <v>8990</v>
      </c>
      <c r="U1226" s="2" t="s">
        <v>9837</v>
      </c>
      <c r="V1226" s="2" t="s">
        <v>86</v>
      </c>
      <c r="W1226" s="2" t="s">
        <v>56</v>
      </c>
    </row>
    <row r="1227">
      <c r="A1227" s="2" t="n">
        <v>929</v>
      </c>
      <c r="B1227" s="2" t="s">
        <v>16477</v>
      </c>
      <c r="C1227" s="2" t="s">
        <v>9847</v>
      </c>
      <c r="D1227" s="2" t="n">
        <v>705.503534286</v>
      </c>
      <c r="E1227" s="2" t="n">
        <v>8.18504809228896</v>
      </c>
      <c r="F1227" s="2" t="s">
        <v>9849</v>
      </c>
      <c r="G1227" s="2" t="n">
        <v>206523</v>
      </c>
      <c r="H1227" s="3" t="str">
        <f>HYPERLINK("http://funmeta.oebiotech.com/network/206523", "http://funmeta.oebiotech.com/network/206523")</f>
      </c>
      <c r="I1227" s="2" t="s">
        <v>9851</v>
      </c>
      <c r="J1227" s="2"/>
      <c r="K1227" s="2"/>
      <c r="L1227" s="2"/>
      <c r="M1227" s="2"/>
      <c r="N1227" s="2" t="s">
        <v>9852</v>
      </c>
      <c r="O1227" s="2"/>
      <c r="P1227" s="2" t="s">
        <v>9853</v>
      </c>
      <c r="Q1227" s="2" t="s">
        <v>9854</v>
      </c>
      <c r="R1227" s="2" t="s">
        <v>794</v>
      </c>
      <c r="S1227" s="2" t="s">
        <v>795</v>
      </c>
      <c r="T1227" s="2" t="s">
        <v>1870</v>
      </c>
      <c r="U1227" s="2" t="s">
        <v>9848</v>
      </c>
      <c r="V1227" s="2" t="s">
        <v>531</v>
      </c>
      <c r="W1227" s="2"/>
    </row>
    <row r="1228">
      <c r="A1228" s="2" t="n">
        <v>930</v>
      </c>
      <c r="B1228" s="2" t="s">
        <v>16478</v>
      </c>
      <c r="C1228" s="2" t="s">
        <v>9855</v>
      </c>
      <c r="D1228" s="2" t="n">
        <v>707.531487267</v>
      </c>
      <c r="E1228" s="2" t="n">
        <v>4.41384343878574</v>
      </c>
      <c r="F1228" s="2" t="s">
        <v>9857</v>
      </c>
      <c r="G1228" s="2" t="n">
        <v>204338</v>
      </c>
      <c r="H1228" s="3" t="str">
        <f>HYPERLINK("http://funmeta.oebiotech.com/network/204338", "http://funmeta.oebiotech.com/network/204338")</f>
      </c>
      <c r="I1228" s="2" t="s">
        <v>9859</v>
      </c>
      <c r="J1228" s="2"/>
      <c r="K1228" s="2"/>
      <c r="L1228" s="2"/>
      <c r="M1228" s="2"/>
      <c r="N1228" s="2"/>
      <c r="O1228" s="2"/>
      <c r="P1228" s="2" t="s">
        <v>9860</v>
      </c>
      <c r="Q1228" s="2" t="s">
        <v>9861</v>
      </c>
      <c r="R1228" s="2" t="s">
        <v>129</v>
      </c>
      <c r="S1228" s="2" t="s">
        <v>130</v>
      </c>
      <c r="T1228" s="2" t="s">
        <v>4901</v>
      </c>
      <c r="U1228" s="2" t="s">
        <v>9856</v>
      </c>
      <c r="V1228" s="2" t="s">
        <v>24</v>
      </c>
      <c r="W1228" s="2"/>
    </row>
    <row r="1229">
      <c r="A1229" s="2" t="n">
        <v>931</v>
      </c>
      <c r="B1229" s="2" t="s">
        <v>16479</v>
      </c>
      <c r="C1229" s="2" t="s">
        <v>9862</v>
      </c>
      <c r="D1229" s="2" t="n">
        <v>708.151164898</v>
      </c>
      <c r="E1229" s="2" t="n">
        <v>3.32722748844132</v>
      </c>
      <c r="F1229" s="2" t="s">
        <v>9864</v>
      </c>
      <c r="G1229" s="2" t="n">
        <v>204659</v>
      </c>
      <c r="H1229" s="3" t="str">
        <f>HYPERLINK("http://funmeta.oebiotech.com/network/204659", "http://funmeta.oebiotech.com/network/204659")</f>
      </c>
      <c r="I1229" s="2" t="s">
        <v>9866</v>
      </c>
      <c r="J1229" s="2"/>
      <c r="K1229" s="2"/>
      <c r="L1229" s="2"/>
      <c r="M1229" s="2"/>
      <c r="N1229" s="2" t="s">
        <v>9867</v>
      </c>
      <c r="O1229" s="2"/>
      <c r="P1229" s="2" t="s">
        <v>9868</v>
      </c>
      <c r="Q1229" s="2" t="s">
        <v>9869</v>
      </c>
      <c r="R1229" s="2" t="s">
        <v>36</v>
      </c>
      <c r="S1229" s="2" t="s">
        <v>37</v>
      </c>
      <c r="T1229" s="2" t="s">
        <v>69</v>
      </c>
      <c r="U1229" s="2" t="s">
        <v>9863</v>
      </c>
      <c r="V1229" s="2" t="s">
        <v>205</v>
      </c>
      <c r="W1229" s="2"/>
    </row>
    <row r="1230">
      <c r="A1230" s="2" t="n">
        <v>932</v>
      </c>
      <c r="B1230" s="2" t="s">
        <v>16480</v>
      </c>
      <c r="C1230" s="2" t="s">
        <v>9870</v>
      </c>
      <c r="D1230" s="2" t="n">
        <v>709.53724135</v>
      </c>
      <c r="E1230" s="2" t="n">
        <v>6.38440727559883</v>
      </c>
      <c r="F1230" s="2" t="s">
        <v>16481</v>
      </c>
      <c r="G1230" s="2" t="n">
        <v>197854</v>
      </c>
      <c r="H1230" s="3" t="str">
        <f>HYPERLINK("http://funmeta.oebiotech.com/network/197854", "http://funmeta.oebiotech.com/network/197854")</f>
      </c>
      <c r="I1230" s="2" t="s">
        <v>16482</v>
      </c>
      <c r="J1230" s="2"/>
      <c r="K1230" s="2"/>
      <c r="L1230" s="2"/>
      <c r="M1230" s="2"/>
      <c r="N1230" s="2"/>
      <c r="O1230" s="2"/>
      <c r="P1230" s="2" t="s">
        <v>16483</v>
      </c>
      <c r="Q1230" s="2" t="s">
        <v>16484</v>
      </c>
      <c r="R1230" s="2" t="s">
        <v>794</v>
      </c>
      <c r="S1230" s="2" t="s">
        <v>795</v>
      </c>
      <c r="T1230" s="2" t="s">
        <v>1870</v>
      </c>
      <c r="U1230" s="2" t="s">
        <v>9871</v>
      </c>
      <c r="V1230" s="2" t="s">
        <v>683</v>
      </c>
      <c r="W1230" s="2"/>
    </row>
    <row r="1231">
      <c r="A1231" s="2" t="n">
        <v>932</v>
      </c>
      <c r="B1231" s="2" t="s">
        <v>16485</v>
      </c>
      <c r="C1231" s="2" t="s">
        <v>9870</v>
      </c>
      <c r="D1231" s="2" t="n">
        <v>709.53724135</v>
      </c>
      <c r="E1231" s="2" t="n">
        <v>6.38440727559883</v>
      </c>
      <c r="F1231" s="2" t="s">
        <v>16486</v>
      </c>
      <c r="G1231" s="2" t="n">
        <v>197855</v>
      </c>
      <c r="H1231" s="3" t="str">
        <f>HYPERLINK("http://funmeta.oebiotech.com/network/197855", "http://funmeta.oebiotech.com/network/197855")</f>
      </c>
      <c r="I1231" s="2" t="s">
        <v>16487</v>
      </c>
      <c r="J1231" s="2"/>
      <c r="K1231" s="2"/>
      <c r="L1231" s="2"/>
      <c r="M1231" s="2"/>
      <c r="N1231" s="2"/>
      <c r="O1231" s="2"/>
      <c r="P1231" s="2" t="s">
        <v>16488</v>
      </c>
      <c r="Q1231" s="2" t="s">
        <v>16489</v>
      </c>
      <c r="R1231" s="2" t="s">
        <v>794</v>
      </c>
      <c r="S1231" s="2" t="s">
        <v>795</v>
      </c>
      <c r="T1231" s="2" t="s">
        <v>1870</v>
      </c>
      <c r="U1231" s="2" t="s">
        <v>9871</v>
      </c>
      <c r="V1231" s="2" t="s">
        <v>683</v>
      </c>
      <c r="W1231" s="2"/>
    </row>
    <row r="1232">
      <c r="A1232" s="2" t="n">
        <v>932</v>
      </c>
      <c r="B1232" s="2" t="s">
        <v>16490</v>
      </c>
      <c r="C1232" s="2" t="s">
        <v>9870</v>
      </c>
      <c r="D1232" s="2" t="n">
        <v>709.53724135</v>
      </c>
      <c r="E1232" s="2" t="n">
        <v>6.38440727559883</v>
      </c>
      <c r="F1232" s="2" t="s">
        <v>16491</v>
      </c>
      <c r="G1232" s="2" t="n">
        <v>197856</v>
      </c>
      <c r="H1232" s="3" t="str">
        <f>HYPERLINK("http://funmeta.oebiotech.com/network/197856", "http://funmeta.oebiotech.com/network/197856")</f>
      </c>
      <c r="I1232" s="2" t="s">
        <v>16492</v>
      </c>
      <c r="J1232" s="2"/>
      <c r="K1232" s="2"/>
      <c r="L1232" s="2"/>
      <c r="M1232" s="2"/>
      <c r="N1232" s="2"/>
      <c r="O1232" s="2"/>
      <c r="P1232" s="2" t="s">
        <v>16493</v>
      </c>
      <c r="Q1232" s="2" t="s">
        <v>16494</v>
      </c>
      <c r="R1232" s="2" t="s">
        <v>794</v>
      </c>
      <c r="S1232" s="2" t="s">
        <v>795</v>
      </c>
      <c r="T1232" s="2" t="s">
        <v>1870</v>
      </c>
      <c r="U1232" s="2" t="s">
        <v>9871</v>
      </c>
      <c r="V1232" s="2" t="s">
        <v>683</v>
      </c>
      <c r="W1232" s="2"/>
    </row>
    <row r="1233">
      <c r="A1233" s="2" t="n">
        <v>933</v>
      </c>
      <c r="B1233" s="2" t="s">
        <v>16495</v>
      </c>
      <c r="C1233" s="2" t="s">
        <v>9877</v>
      </c>
      <c r="D1233" s="2" t="n">
        <v>711.484879654</v>
      </c>
      <c r="E1233" s="2" t="n">
        <v>1.81543722995496</v>
      </c>
      <c r="F1233" s="2" t="s">
        <v>9879</v>
      </c>
      <c r="G1233" s="2" t="n">
        <v>39609</v>
      </c>
      <c r="H1233" s="3" t="str">
        <f>HYPERLINK("http://funmeta.oebiotech.com/network/39609", "http://funmeta.oebiotech.com/network/39609")</f>
      </c>
      <c r="I1233" s="2" t="s">
        <v>9881</v>
      </c>
      <c r="J1233" s="2" t="s">
        <v>9882</v>
      </c>
      <c r="K1233" s="2" t="s">
        <v>9883</v>
      </c>
      <c r="L1233" s="2"/>
      <c r="M1233" s="2" t="s">
        <v>9884</v>
      </c>
      <c r="N1233" s="2" t="s">
        <v>9885</v>
      </c>
      <c r="O1233" s="2" t="s">
        <v>9886</v>
      </c>
      <c r="P1233" s="2" t="s">
        <v>9887</v>
      </c>
      <c r="Q1233" s="2" t="s">
        <v>9888</v>
      </c>
      <c r="R1233" s="2" t="s">
        <v>794</v>
      </c>
      <c r="S1233" s="2" t="s">
        <v>7781</v>
      </c>
      <c r="T1233" s="2" t="s">
        <v>7782</v>
      </c>
      <c r="U1233" s="2" t="s">
        <v>9878</v>
      </c>
      <c r="V1233" s="2" t="s">
        <v>218</v>
      </c>
      <c r="W1233" s="2" t="s">
        <v>39</v>
      </c>
    </row>
    <row r="1234">
      <c r="A1234" s="2" t="n">
        <v>934</v>
      </c>
      <c r="B1234" s="2" t="s">
        <v>16496</v>
      </c>
      <c r="C1234" s="2" t="s">
        <v>9889</v>
      </c>
      <c r="D1234" s="2" t="n">
        <v>713.179452372</v>
      </c>
      <c r="E1234" s="2" t="n">
        <v>0.0933966796893556</v>
      </c>
      <c r="F1234" s="2" t="s">
        <v>9891</v>
      </c>
      <c r="G1234" s="2" t="n">
        <v>59772</v>
      </c>
      <c r="H1234" s="3" t="str">
        <f>HYPERLINK("http://funmeta.oebiotech.com/network/59772", "http://funmeta.oebiotech.com/network/59772")</f>
      </c>
      <c r="I1234" s="2" t="s">
        <v>9893</v>
      </c>
      <c r="J1234" s="2" t="s">
        <v>9894</v>
      </c>
      <c r="K1234" s="2"/>
      <c r="L1234" s="2"/>
      <c r="M1234" s="2" t="s">
        <v>9895</v>
      </c>
      <c r="N1234" s="2" t="s">
        <v>9896</v>
      </c>
      <c r="O1234" s="2" t="s">
        <v>9897</v>
      </c>
      <c r="P1234" s="2" t="s">
        <v>9898</v>
      </c>
      <c r="Q1234" s="2" t="s">
        <v>9899</v>
      </c>
      <c r="R1234" s="2" t="s">
        <v>1355</v>
      </c>
      <c r="S1234" s="2" t="s">
        <v>9900</v>
      </c>
      <c r="T1234" s="2" t="s">
        <v>9901</v>
      </c>
      <c r="U1234" s="2" t="s">
        <v>9890</v>
      </c>
      <c r="V1234" s="2" t="s">
        <v>218</v>
      </c>
      <c r="W1234" s="2" t="s">
        <v>56</v>
      </c>
    </row>
    <row r="1235">
      <c r="A1235" s="2" t="n">
        <v>935</v>
      </c>
      <c r="B1235" s="2" t="s">
        <v>16497</v>
      </c>
      <c r="C1235" s="2" t="s">
        <v>9902</v>
      </c>
      <c r="D1235" s="2" t="n">
        <v>713.520918278</v>
      </c>
      <c r="E1235" s="2" t="n">
        <v>7.60505078276686</v>
      </c>
      <c r="F1235" s="2" t="s">
        <v>16498</v>
      </c>
      <c r="G1235" s="2" t="n">
        <v>202726</v>
      </c>
      <c r="H1235" s="3" t="str">
        <f>HYPERLINK("http://funmeta.oebiotech.com/network/202726", "http://funmeta.oebiotech.com/network/202726")</f>
      </c>
      <c r="I1235" s="2" t="s">
        <v>16499</v>
      </c>
      <c r="J1235" s="2"/>
      <c r="K1235" s="2"/>
      <c r="L1235" s="2"/>
      <c r="M1235" s="2"/>
      <c r="N1235" s="2" t="s">
        <v>16500</v>
      </c>
      <c r="O1235" s="2"/>
      <c r="P1235" s="2" t="s">
        <v>16501</v>
      </c>
      <c r="Q1235" s="2" t="s">
        <v>16502</v>
      </c>
      <c r="R1235" s="2" t="s">
        <v>794</v>
      </c>
      <c r="S1235" s="2" t="s">
        <v>2600</v>
      </c>
      <c r="T1235" s="2" t="s">
        <v>8840</v>
      </c>
      <c r="U1235" s="2" t="s">
        <v>9903</v>
      </c>
      <c r="V1235" s="2" t="s">
        <v>205</v>
      </c>
      <c r="W1235" s="2"/>
    </row>
    <row r="1236">
      <c r="A1236" s="2" t="n">
        <v>935</v>
      </c>
      <c r="B1236" s="2" t="s">
        <v>16503</v>
      </c>
      <c r="C1236" s="2" t="s">
        <v>9902</v>
      </c>
      <c r="D1236" s="2" t="n">
        <v>713.520918278</v>
      </c>
      <c r="E1236" s="2" t="n">
        <v>7.60505078276686</v>
      </c>
      <c r="F1236" s="2" t="s">
        <v>16504</v>
      </c>
      <c r="G1236" s="2" t="n">
        <v>199617</v>
      </c>
      <c r="H1236" s="3" t="str">
        <f>HYPERLINK("http://funmeta.oebiotech.com/network/199617", "http://funmeta.oebiotech.com/network/199617")</f>
      </c>
      <c r="I1236" s="2" t="s">
        <v>16505</v>
      </c>
      <c r="J1236" s="2"/>
      <c r="K1236" s="2"/>
      <c r="L1236" s="2"/>
      <c r="M1236" s="2"/>
      <c r="N1236" s="2" t="s">
        <v>16506</v>
      </c>
      <c r="O1236" s="2"/>
      <c r="P1236" s="2" t="s">
        <v>16507</v>
      </c>
      <c r="Q1236" s="2" t="s">
        <v>16508</v>
      </c>
      <c r="R1236" s="2" t="s">
        <v>794</v>
      </c>
      <c r="S1236" s="2" t="s">
        <v>2600</v>
      </c>
      <c r="T1236" s="2" t="s">
        <v>8840</v>
      </c>
      <c r="U1236" s="2" t="s">
        <v>9903</v>
      </c>
      <c r="V1236" s="2" t="s">
        <v>205</v>
      </c>
      <c r="W1236" s="2"/>
    </row>
    <row r="1237">
      <c r="A1237" s="2" t="n">
        <v>936</v>
      </c>
      <c r="B1237" s="2" t="s">
        <v>16509</v>
      </c>
      <c r="C1237" s="2" t="s">
        <v>9910</v>
      </c>
      <c r="D1237" s="2" t="n">
        <v>714.507928861</v>
      </c>
      <c r="E1237" s="2" t="n">
        <v>9.8053518527644</v>
      </c>
      <c r="F1237" s="2" t="s">
        <v>9912</v>
      </c>
      <c r="G1237" s="2" t="n">
        <v>20105</v>
      </c>
      <c r="H1237" s="3" t="str">
        <f>HYPERLINK("http://funmeta.oebiotech.com/network/20105", "http://funmeta.oebiotech.com/network/20105")</f>
      </c>
      <c r="I1237" s="2" t="s">
        <v>9914</v>
      </c>
      <c r="J1237" s="2" t="s">
        <v>9915</v>
      </c>
      <c r="K1237" s="2" t="s">
        <v>9916</v>
      </c>
      <c r="L1237" s="2" t="s">
        <v>9434</v>
      </c>
      <c r="M1237" s="2"/>
      <c r="N1237" s="2" t="s">
        <v>9917</v>
      </c>
      <c r="O1237" s="2"/>
      <c r="P1237" s="2" t="s">
        <v>9918</v>
      </c>
      <c r="Q1237" s="2" t="s">
        <v>9919</v>
      </c>
      <c r="R1237" s="2" t="s">
        <v>794</v>
      </c>
      <c r="S1237" s="2" t="s">
        <v>7122</v>
      </c>
      <c r="T1237" s="2" t="s">
        <v>8042</v>
      </c>
      <c r="U1237" s="2" t="s">
        <v>9911</v>
      </c>
      <c r="V1237" s="2" t="s">
        <v>24</v>
      </c>
      <c r="W1237" s="2" t="s">
        <v>101</v>
      </c>
    </row>
    <row r="1238">
      <c r="A1238" s="2" t="n">
        <v>937</v>
      </c>
      <c r="B1238" s="2" t="s">
        <v>16510</v>
      </c>
      <c r="C1238" s="2" t="s">
        <v>9920</v>
      </c>
      <c r="D1238" s="2" t="n">
        <v>716.523578925</v>
      </c>
      <c r="E1238" s="2" t="n">
        <v>3.96565267306737</v>
      </c>
      <c r="F1238" s="2" t="s">
        <v>9922</v>
      </c>
      <c r="G1238" s="2" t="n">
        <v>20104</v>
      </c>
      <c r="H1238" s="3" t="str">
        <f>HYPERLINK("http://funmeta.oebiotech.com/network/20104", "http://funmeta.oebiotech.com/network/20104")</f>
      </c>
      <c r="I1238" s="2" t="s">
        <v>9924</v>
      </c>
      <c r="J1238" s="2" t="s">
        <v>9925</v>
      </c>
      <c r="K1238" s="2" t="s">
        <v>9926</v>
      </c>
      <c r="L1238" s="2" t="s">
        <v>9434</v>
      </c>
      <c r="M1238" s="2"/>
      <c r="N1238" s="2" t="s">
        <v>9927</v>
      </c>
      <c r="O1238" s="2"/>
      <c r="P1238" s="2" t="s">
        <v>9928</v>
      </c>
      <c r="Q1238" s="2" t="s">
        <v>9929</v>
      </c>
      <c r="R1238" s="2" t="s">
        <v>794</v>
      </c>
      <c r="S1238" s="2" t="s">
        <v>7122</v>
      </c>
      <c r="T1238" s="2" t="s">
        <v>8042</v>
      </c>
      <c r="U1238" s="2" t="s">
        <v>9921</v>
      </c>
      <c r="V1238" s="2" t="s">
        <v>24</v>
      </c>
      <c r="W1238" s="2" t="s">
        <v>56</v>
      </c>
    </row>
    <row r="1239">
      <c r="A1239" s="2" t="n">
        <v>938</v>
      </c>
      <c r="B1239" s="2" t="s">
        <v>16511</v>
      </c>
      <c r="C1239" s="2" t="s">
        <v>9930</v>
      </c>
      <c r="D1239" s="2" t="n">
        <v>717.2413467</v>
      </c>
      <c r="E1239" s="2" t="n">
        <v>1.17469873206046</v>
      </c>
      <c r="F1239" s="2" t="s">
        <v>9932</v>
      </c>
      <c r="G1239" s="2" t="n">
        <v>54688</v>
      </c>
      <c r="H1239" s="3" t="str">
        <f>HYPERLINK("http://funmeta.oebiotech.com/network/54688", "http://funmeta.oebiotech.com/network/54688")</f>
      </c>
      <c r="I1239" s="2" t="s">
        <v>9934</v>
      </c>
      <c r="J1239" s="2" t="s">
        <v>9935</v>
      </c>
      <c r="K1239" s="2"/>
      <c r="L1239" s="2"/>
      <c r="M1239" s="2" t="s">
        <v>9936</v>
      </c>
      <c r="N1239" s="2" t="s">
        <v>9937</v>
      </c>
      <c r="O1239" s="2" t="s">
        <v>9938</v>
      </c>
      <c r="P1239" s="2" t="s">
        <v>9939</v>
      </c>
      <c r="Q1239" s="2" t="s">
        <v>9940</v>
      </c>
      <c r="R1239" s="2" t="s">
        <v>36</v>
      </c>
      <c r="S1239" s="2" t="s">
        <v>37</v>
      </c>
      <c r="T1239" s="2" t="s">
        <v>69</v>
      </c>
      <c r="U1239" s="2" t="s">
        <v>9931</v>
      </c>
      <c r="V1239" s="2" t="s">
        <v>24</v>
      </c>
      <c r="W1239" s="2"/>
    </row>
    <row r="1240">
      <c r="A1240" s="2" t="n">
        <v>939</v>
      </c>
      <c r="B1240" s="2" t="s">
        <v>16512</v>
      </c>
      <c r="C1240" s="2" t="s">
        <v>9941</v>
      </c>
      <c r="D1240" s="2" t="n">
        <v>717.471209484</v>
      </c>
      <c r="E1240" s="2" t="n">
        <v>0.432200299569963</v>
      </c>
      <c r="F1240" s="2" t="s">
        <v>9943</v>
      </c>
      <c r="G1240" s="2" t="n">
        <v>23445</v>
      </c>
      <c r="H1240" s="3" t="str">
        <f>HYPERLINK("http://funmeta.oebiotech.com/network/23445", "http://funmeta.oebiotech.com/network/23445")</f>
      </c>
      <c r="I1240" s="2" t="s">
        <v>9945</v>
      </c>
      <c r="J1240" s="2" t="s">
        <v>9946</v>
      </c>
      <c r="K1240" s="2" t="s">
        <v>9947</v>
      </c>
      <c r="L1240" s="2"/>
      <c r="M1240" s="2"/>
      <c r="N1240" s="2" t="s">
        <v>9948</v>
      </c>
      <c r="O1240" s="2"/>
      <c r="P1240" s="2" t="s">
        <v>9949</v>
      </c>
      <c r="Q1240" s="2" t="s">
        <v>9950</v>
      </c>
      <c r="R1240" s="2" t="s">
        <v>794</v>
      </c>
      <c r="S1240" s="2" t="s">
        <v>7122</v>
      </c>
      <c r="T1240" s="2" t="s">
        <v>9951</v>
      </c>
      <c r="U1240" s="2" t="s">
        <v>9942</v>
      </c>
      <c r="V1240" s="2" t="s">
        <v>24</v>
      </c>
      <c r="W1240" s="2" t="s">
        <v>56</v>
      </c>
    </row>
    <row r="1241">
      <c r="A1241" s="2" t="n">
        <v>940</v>
      </c>
      <c r="B1241" s="2" t="s">
        <v>16513</v>
      </c>
      <c r="C1241" s="2" t="s">
        <v>9952</v>
      </c>
      <c r="D1241" s="2" t="n">
        <v>718.242386979</v>
      </c>
      <c r="E1241" s="2" t="n">
        <v>3.32780874982868</v>
      </c>
      <c r="F1241" s="2" t="s">
        <v>9954</v>
      </c>
      <c r="G1241" s="2" t="n">
        <v>63561</v>
      </c>
      <c r="H1241" s="3" t="str">
        <f>HYPERLINK("http://funmeta.oebiotech.com/network/63561", "http://funmeta.oebiotech.com/network/63561")</f>
      </c>
      <c r="I1241" s="2" t="s">
        <v>9956</v>
      </c>
      <c r="J1241" s="2" t="s">
        <v>9957</v>
      </c>
      <c r="K1241" s="2"/>
      <c r="L1241" s="2"/>
      <c r="M1241" s="2"/>
      <c r="N1241" s="2" t="s">
        <v>9958</v>
      </c>
      <c r="O1241" s="2" t="s">
        <v>9959</v>
      </c>
      <c r="P1241" s="2" t="s">
        <v>9960</v>
      </c>
      <c r="Q1241" s="2" t="s">
        <v>9961</v>
      </c>
      <c r="R1241" s="2" t="s">
        <v>114</v>
      </c>
      <c r="S1241" s="2" t="s">
        <v>2057</v>
      </c>
      <c r="T1241" s="2" t="s">
        <v>3067</v>
      </c>
      <c r="U1241" s="2" t="s">
        <v>9953</v>
      </c>
      <c r="V1241" s="2" t="s">
        <v>218</v>
      </c>
      <c r="W1241" s="2"/>
    </row>
    <row r="1242">
      <c r="A1242" s="2" t="n">
        <v>941</v>
      </c>
      <c r="B1242" s="2" t="s">
        <v>16514</v>
      </c>
      <c r="C1242" s="2" t="s">
        <v>9962</v>
      </c>
      <c r="D1242" s="2" t="n">
        <v>718.481163797</v>
      </c>
      <c r="E1242" s="2" t="n">
        <v>9.96913354401131</v>
      </c>
      <c r="F1242" s="2" t="s">
        <v>9964</v>
      </c>
      <c r="G1242" s="2" t="n">
        <v>49931</v>
      </c>
      <c r="H1242" s="3" t="str">
        <f>HYPERLINK("http://funmeta.oebiotech.com/network/49931", "http://funmeta.oebiotech.com/network/49931")</f>
      </c>
      <c r="I1242" s="2" t="s">
        <v>9966</v>
      </c>
      <c r="J1242" s="2" t="s">
        <v>9967</v>
      </c>
      <c r="K1242" s="2"/>
      <c r="L1242" s="2" t="s">
        <v>9434</v>
      </c>
      <c r="M1242" s="2"/>
      <c r="N1242" s="2" t="s">
        <v>9968</v>
      </c>
      <c r="O1242" s="2"/>
      <c r="P1242" s="2" t="s">
        <v>9969</v>
      </c>
      <c r="Q1242" s="2" t="s">
        <v>9970</v>
      </c>
      <c r="R1242" s="2" t="s">
        <v>794</v>
      </c>
      <c r="S1242" s="2" t="s">
        <v>7122</v>
      </c>
      <c r="T1242" s="2" t="s">
        <v>8042</v>
      </c>
      <c r="U1242" s="2" t="s">
        <v>9963</v>
      </c>
      <c r="V1242" s="2" t="s">
        <v>161</v>
      </c>
      <c r="W1242" s="2" t="s">
        <v>56</v>
      </c>
    </row>
    <row r="1243">
      <c r="A1243" s="2" t="n">
        <v>942</v>
      </c>
      <c r="B1243" s="2" t="s">
        <v>16515</v>
      </c>
      <c r="C1243" s="2" t="s">
        <v>9971</v>
      </c>
      <c r="D1243" s="2" t="n">
        <v>719.236376172</v>
      </c>
      <c r="E1243" s="2" t="n">
        <v>5.77858936671769</v>
      </c>
      <c r="F1243" s="2" t="s">
        <v>9973</v>
      </c>
      <c r="G1243" s="2" t="n">
        <v>47384</v>
      </c>
      <c r="H1243" s="3" t="str">
        <f>HYPERLINK("http://funmeta.oebiotech.com/network/47384", "http://funmeta.oebiotech.com/network/47384")</f>
      </c>
      <c r="I1243" s="2" t="s">
        <v>9975</v>
      </c>
      <c r="J1243" s="2" t="s">
        <v>9976</v>
      </c>
      <c r="K1243" s="2"/>
      <c r="L1243" s="2" t="s">
        <v>9977</v>
      </c>
      <c r="M1243" s="2" t="s">
        <v>9978</v>
      </c>
      <c r="N1243" s="2" t="s">
        <v>9979</v>
      </c>
      <c r="O1243" s="2" t="s">
        <v>9980</v>
      </c>
      <c r="P1243" s="2" t="s">
        <v>9981</v>
      </c>
      <c r="Q1243" s="2" t="s">
        <v>9982</v>
      </c>
      <c r="R1243" s="2" t="s">
        <v>129</v>
      </c>
      <c r="S1243" s="2" t="s">
        <v>130</v>
      </c>
      <c r="T1243" s="2" t="s">
        <v>1681</v>
      </c>
      <c r="U1243" s="2" t="s">
        <v>9972</v>
      </c>
      <c r="V1243" s="2" t="s">
        <v>205</v>
      </c>
      <c r="W1243" s="2" t="s">
        <v>56</v>
      </c>
    </row>
    <row r="1244">
      <c r="A1244" s="2" t="n">
        <v>943</v>
      </c>
      <c r="B1244" s="2" t="s">
        <v>16516</v>
      </c>
      <c r="C1244" s="2" t="s">
        <v>9983</v>
      </c>
      <c r="D1244" s="2" t="n">
        <v>719.486859068</v>
      </c>
      <c r="E1244" s="2" t="n">
        <v>6.26058973145366</v>
      </c>
      <c r="F1244" s="2" t="s">
        <v>9985</v>
      </c>
      <c r="G1244" s="2" t="n">
        <v>23388</v>
      </c>
      <c r="H1244" s="3" t="str">
        <f>HYPERLINK("http://funmeta.oebiotech.com/network/23388", "http://funmeta.oebiotech.com/network/23388")</f>
      </c>
      <c r="I1244" s="2" t="s">
        <v>9987</v>
      </c>
      <c r="J1244" s="2" t="s">
        <v>9988</v>
      </c>
      <c r="K1244" s="2" t="s">
        <v>9989</v>
      </c>
      <c r="L1244" s="2"/>
      <c r="M1244" s="2"/>
      <c r="N1244" s="2" t="s">
        <v>9990</v>
      </c>
      <c r="O1244" s="2"/>
      <c r="P1244" s="2" t="s">
        <v>9991</v>
      </c>
      <c r="Q1244" s="2" t="s">
        <v>9992</v>
      </c>
      <c r="R1244" s="2" t="s">
        <v>794</v>
      </c>
      <c r="S1244" s="2" t="s">
        <v>7122</v>
      </c>
      <c r="T1244" s="2" t="s">
        <v>9951</v>
      </c>
      <c r="U1244" s="2" t="s">
        <v>9984</v>
      </c>
      <c r="V1244" s="2" t="s">
        <v>24</v>
      </c>
      <c r="W1244" s="2" t="s">
        <v>39</v>
      </c>
    </row>
    <row r="1245">
      <c r="A1245" s="2" t="n">
        <v>944</v>
      </c>
      <c r="B1245" s="2" t="s">
        <v>16517</v>
      </c>
      <c r="C1245" s="2" t="s">
        <v>9993</v>
      </c>
      <c r="D1245" s="2" t="n">
        <v>723.318809152</v>
      </c>
      <c r="E1245" s="2" t="n">
        <v>5.96005799325811</v>
      </c>
      <c r="F1245" s="2" t="s">
        <v>9995</v>
      </c>
      <c r="G1245" s="2" t="n">
        <v>208368</v>
      </c>
      <c r="H1245" s="3" t="str">
        <f>HYPERLINK("http://funmeta.oebiotech.com/network/208368", "http://funmeta.oebiotech.com/network/208368")</f>
      </c>
      <c r="I1245" s="2" t="s">
        <v>9997</v>
      </c>
      <c r="J1245" s="2"/>
      <c r="K1245" s="2"/>
      <c r="L1245" s="2"/>
      <c r="M1245" s="2"/>
      <c r="N1245" s="2" t="s">
        <v>9998</v>
      </c>
      <c r="O1245" s="2"/>
      <c r="P1245" s="2" t="s">
        <v>9999</v>
      </c>
      <c r="Q1245" s="2" t="s">
        <v>10000</v>
      </c>
      <c r="R1245" s="2" t="s">
        <v>186</v>
      </c>
      <c r="S1245" s="2" t="s">
        <v>187</v>
      </c>
      <c r="T1245" s="2" t="s">
        <v>8537</v>
      </c>
      <c r="U1245" s="2" t="s">
        <v>9994</v>
      </c>
      <c r="V1245" s="2" t="s">
        <v>683</v>
      </c>
      <c r="W1245" s="2"/>
    </row>
    <row r="1246">
      <c r="A1246" s="2" t="n">
        <v>945</v>
      </c>
      <c r="B1246" s="2" t="s">
        <v>16518</v>
      </c>
      <c r="C1246" s="2" t="s">
        <v>10001</v>
      </c>
      <c r="D1246" s="2" t="n">
        <v>723.986989033</v>
      </c>
      <c r="E1246" s="2" t="n">
        <v>2.34274307673917</v>
      </c>
      <c r="F1246" s="2" t="s">
        <v>10003</v>
      </c>
      <c r="G1246" s="2" t="n">
        <v>47306</v>
      </c>
      <c r="H1246" s="3" t="str">
        <f>HYPERLINK("http://funmeta.oebiotech.com/network/47306", "http://funmeta.oebiotech.com/network/47306")</f>
      </c>
      <c r="I1246" s="2" t="s">
        <v>10005</v>
      </c>
      <c r="J1246" s="2" t="s">
        <v>10006</v>
      </c>
      <c r="K1246" s="2"/>
      <c r="L1246" s="2" t="s">
        <v>10007</v>
      </c>
      <c r="M1246" s="2"/>
      <c r="N1246" s="2" t="s">
        <v>10008</v>
      </c>
      <c r="O1246" s="2" t="s">
        <v>10009</v>
      </c>
      <c r="P1246" s="2" t="s">
        <v>10010</v>
      </c>
      <c r="Q1246" s="2" t="s">
        <v>10011</v>
      </c>
      <c r="R1246" s="2" t="s">
        <v>2416</v>
      </c>
      <c r="S1246" s="2" t="s">
        <v>10012</v>
      </c>
      <c r="T1246" s="2" t="s">
        <v>10013</v>
      </c>
      <c r="U1246" s="2" t="s">
        <v>10002</v>
      </c>
      <c r="V1246" s="2" t="s">
        <v>218</v>
      </c>
      <c r="W1246" s="2" t="s">
        <v>101</v>
      </c>
    </row>
    <row r="1247">
      <c r="A1247" s="2" t="n">
        <v>946</v>
      </c>
      <c r="B1247" s="2" t="s">
        <v>16519</v>
      </c>
      <c r="C1247" s="2" t="s">
        <v>10014</v>
      </c>
      <c r="D1247" s="2" t="n">
        <v>724.100897849</v>
      </c>
      <c r="E1247" s="2" t="n">
        <v>0.314927646164507</v>
      </c>
      <c r="F1247" s="2" t="s">
        <v>10016</v>
      </c>
      <c r="G1247" s="2" t="n">
        <v>51493</v>
      </c>
      <c r="H1247" s="3" t="str">
        <f>HYPERLINK("http://funmeta.oebiotech.com/network/51493", "http://funmeta.oebiotech.com/network/51493")</f>
      </c>
      <c r="I1247" s="2" t="s">
        <v>10018</v>
      </c>
      <c r="J1247" s="2" t="s">
        <v>10019</v>
      </c>
      <c r="K1247" s="2"/>
      <c r="L1247" s="2" t="s">
        <v>10020</v>
      </c>
      <c r="M1247" s="2" t="s">
        <v>10021</v>
      </c>
      <c r="N1247" s="2" t="s">
        <v>10022</v>
      </c>
      <c r="O1247" s="2"/>
      <c r="P1247" s="2" t="s">
        <v>10023</v>
      </c>
      <c r="Q1247" s="2" t="s">
        <v>10024</v>
      </c>
      <c r="R1247" s="2" t="s">
        <v>2416</v>
      </c>
      <c r="S1247" s="2" t="s">
        <v>10012</v>
      </c>
      <c r="T1247" s="2" t="s">
        <v>10025</v>
      </c>
      <c r="U1247" s="2" t="s">
        <v>10015</v>
      </c>
      <c r="V1247" s="2" t="s">
        <v>205</v>
      </c>
      <c r="W1247" s="2" t="s">
        <v>56</v>
      </c>
    </row>
    <row r="1248">
      <c r="A1248" s="2" t="n">
        <v>947</v>
      </c>
      <c r="B1248" s="2" t="s">
        <v>16520</v>
      </c>
      <c r="C1248" s="2" t="s">
        <v>10026</v>
      </c>
      <c r="D1248" s="2" t="n">
        <v>724.492278797</v>
      </c>
      <c r="E1248" s="2" t="n">
        <v>5.75288875770917</v>
      </c>
      <c r="F1248" s="2" t="s">
        <v>16521</v>
      </c>
      <c r="G1248" s="2" t="n">
        <v>18214</v>
      </c>
      <c r="H1248" s="3" t="str">
        <f>HYPERLINK("http://funmeta.oebiotech.com/network/18214", "http://funmeta.oebiotech.com/network/18214")</f>
      </c>
      <c r="I1248" s="2" t="s">
        <v>16522</v>
      </c>
      <c r="J1248" s="2" t="s">
        <v>16523</v>
      </c>
      <c r="K1248" s="2" t="s">
        <v>16524</v>
      </c>
      <c r="L1248" s="2" t="s">
        <v>9831</v>
      </c>
      <c r="M1248" s="2"/>
      <c r="N1248" s="2" t="s">
        <v>16525</v>
      </c>
      <c r="O1248" s="2"/>
      <c r="P1248" s="2" t="s">
        <v>16526</v>
      </c>
      <c r="Q1248" s="2" t="s">
        <v>16527</v>
      </c>
      <c r="R1248" s="2" t="s">
        <v>794</v>
      </c>
      <c r="S1248" s="2" t="s">
        <v>7122</v>
      </c>
      <c r="T1248" s="2" t="s">
        <v>8460</v>
      </c>
      <c r="U1248" s="2" t="s">
        <v>10027</v>
      </c>
      <c r="V1248" s="2" t="s">
        <v>24</v>
      </c>
      <c r="W1248" s="2" t="s">
        <v>101</v>
      </c>
    </row>
    <row r="1249">
      <c r="A1249" s="2" t="n">
        <v>947</v>
      </c>
      <c r="B1249" s="2" t="s">
        <v>16528</v>
      </c>
      <c r="C1249" s="2" t="s">
        <v>10026</v>
      </c>
      <c r="D1249" s="2" t="n">
        <v>724.492278797</v>
      </c>
      <c r="E1249" s="2" t="n">
        <v>5.75288875770917</v>
      </c>
      <c r="F1249" s="2" t="s">
        <v>16529</v>
      </c>
      <c r="G1249" s="2" t="n">
        <v>20156</v>
      </c>
      <c r="H1249" s="3" t="str">
        <f>HYPERLINK("http://funmeta.oebiotech.com/network/20156", "http://funmeta.oebiotech.com/network/20156")</f>
      </c>
      <c r="I1249" s="2" t="s">
        <v>16530</v>
      </c>
      <c r="J1249" s="2" t="s">
        <v>16531</v>
      </c>
      <c r="K1249" s="2" t="s">
        <v>16532</v>
      </c>
      <c r="L1249" s="2" t="s">
        <v>9434</v>
      </c>
      <c r="M1249" s="2"/>
      <c r="N1249" s="2" t="s">
        <v>16533</v>
      </c>
      <c r="O1249" s="2"/>
      <c r="P1249" s="2" t="s">
        <v>16534</v>
      </c>
      <c r="Q1249" s="2" t="s">
        <v>16535</v>
      </c>
      <c r="R1249" s="2" t="s">
        <v>794</v>
      </c>
      <c r="S1249" s="2" t="s">
        <v>7122</v>
      </c>
      <c r="T1249" s="2" t="s">
        <v>8042</v>
      </c>
      <c r="U1249" s="2" t="s">
        <v>10027</v>
      </c>
      <c r="V1249" s="2" t="s">
        <v>24</v>
      </c>
      <c r="W1249" s="2" t="s">
        <v>101</v>
      </c>
    </row>
    <row r="1250">
      <c r="A1250" s="2" t="n">
        <v>948</v>
      </c>
      <c r="B1250" s="2" t="s">
        <v>16536</v>
      </c>
      <c r="C1250" s="2" t="s">
        <v>10039</v>
      </c>
      <c r="D1250" s="2" t="n">
        <v>725.491727354</v>
      </c>
      <c r="E1250" s="2" t="n">
        <v>2.59778229760579</v>
      </c>
      <c r="F1250" s="2" t="s">
        <v>10041</v>
      </c>
      <c r="G1250" s="2" t="n">
        <v>49221</v>
      </c>
      <c r="H1250" s="3" t="str">
        <f>HYPERLINK("http://funmeta.oebiotech.com/network/49221", "http://funmeta.oebiotech.com/network/49221")</f>
      </c>
      <c r="I1250" s="2" t="s">
        <v>10043</v>
      </c>
      <c r="J1250" s="2"/>
      <c r="K1250" s="2"/>
      <c r="L1250" s="2"/>
      <c r="M1250" s="2"/>
      <c r="N1250" s="2" t="s">
        <v>10044</v>
      </c>
      <c r="O1250" s="2"/>
      <c r="P1250" s="2" t="s">
        <v>10045</v>
      </c>
      <c r="Q1250" s="2" t="s">
        <v>10046</v>
      </c>
      <c r="R1250" s="2" t="s">
        <v>794</v>
      </c>
      <c r="S1250" s="2" t="s">
        <v>2600</v>
      </c>
      <c r="T1250" s="2" t="s">
        <v>8990</v>
      </c>
      <c r="U1250" s="2" t="s">
        <v>10040</v>
      </c>
      <c r="V1250" s="2" t="s">
        <v>86</v>
      </c>
      <c r="W1250" s="2"/>
    </row>
    <row r="1251">
      <c r="A1251" s="2" t="n">
        <v>949</v>
      </c>
      <c r="B1251" s="2" t="s">
        <v>16537</v>
      </c>
      <c r="C1251" s="2" t="s">
        <v>10047</v>
      </c>
      <c r="D1251" s="2" t="n">
        <v>726.289578337</v>
      </c>
      <c r="E1251" s="2" t="n">
        <v>6.44949891308323</v>
      </c>
      <c r="F1251" s="2" t="s">
        <v>10049</v>
      </c>
      <c r="G1251" s="2" t="n">
        <v>207724</v>
      </c>
      <c r="H1251" s="3" t="str">
        <f>HYPERLINK("http://funmeta.oebiotech.com/network/207724", "http://funmeta.oebiotech.com/network/207724")</f>
      </c>
      <c r="I1251" s="2" t="s">
        <v>10051</v>
      </c>
      <c r="J1251" s="2"/>
      <c r="K1251" s="2"/>
      <c r="L1251" s="2"/>
      <c r="M1251" s="2"/>
      <c r="N1251" s="2"/>
      <c r="O1251" s="2"/>
      <c r="P1251" s="2" t="s">
        <v>10052</v>
      </c>
      <c r="Q1251" s="2" t="s">
        <v>10053</v>
      </c>
      <c r="R1251" s="2" t="s">
        <v>1355</v>
      </c>
      <c r="S1251" s="2" t="s">
        <v>9900</v>
      </c>
      <c r="T1251" s="2" t="s">
        <v>215</v>
      </c>
      <c r="U1251" s="2" t="s">
        <v>10048</v>
      </c>
      <c r="V1251" s="2" t="s">
        <v>531</v>
      </c>
      <c r="W1251" s="2"/>
    </row>
    <row r="1252">
      <c r="A1252" s="2" t="n">
        <v>950</v>
      </c>
      <c r="B1252" s="2" t="s">
        <v>16538</v>
      </c>
      <c r="C1252" s="2" t="s">
        <v>10054</v>
      </c>
      <c r="D1252" s="2" t="n">
        <v>727.0192858</v>
      </c>
      <c r="E1252" s="2" t="n">
        <v>5.08641281658668</v>
      </c>
      <c r="F1252" s="2" t="s">
        <v>10056</v>
      </c>
      <c r="G1252" s="2" t="n">
        <v>213396</v>
      </c>
      <c r="H1252" s="3" t="str">
        <f>HYPERLINK("http://funmeta.oebiotech.com/network/213396", "http://funmeta.oebiotech.com/network/213396")</f>
      </c>
      <c r="I1252" s="2" t="s">
        <v>10058</v>
      </c>
      <c r="J1252" s="2"/>
      <c r="K1252" s="2"/>
      <c r="L1252" s="2"/>
      <c r="M1252" s="2"/>
      <c r="N1252" s="2"/>
      <c r="O1252" s="2"/>
      <c r="P1252" s="2" t="s">
        <v>10059</v>
      </c>
      <c r="Q1252" s="2" t="s">
        <v>10060</v>
      </c>
      <c r="R1252" s="2" t="s">
        <v>213</v>
      </c>
      <c r="S1252" s="2" t="s">
        <v>3744</v>
      </c>
      <c r="T1252" s="2" t="s">
        <v>10061</v>
      </c>
      <c r="U1252" s="2" t="s">
        <v>10055</v>
      </c>
      <c r="V1252" s="2" t="s">
        <v>683</v>
      </c>
      <c r="W1252" s="2"/>
    </row>
    <row r="1253">
      <c r="A1253" s="2" t="n">
        <v>951</v>
      </c>
      <c r="B1253" s="2" t="s">
        <v>16539</v>
      </c>
      <c r="C1253" s="2" t="s">
        <v>10062</v>
      </c>
      <c r="D1253" s="2" t="n">
        <v>727.510870211</v>
      </c>
      <c r="E1253" s="2" t="n">
        <v>0.544094323467614</v>
      </c>
      <c r="F1253" s="2" t="s">
        <v>10064</v>
      </c>
      <c r="G1253" s="2" t="n">
        <v>204537</v>
      </c>
      <c r="H1253" s="3" t="str">
        <f>HYPERLINK("http://funmeta.oebiotech.com/network/204537", "http://funmeta.oebiotech.com/network/204537")</f>
      </c>
      <c r="I1253" s="2" t="s">
        <v>10066</v>
      </c>
      <c r="J1253" s="2"/>
      <c r="K1253" s="2"/>
      <c r="L1253" s="2"/>
      <c r="M1253" s="2"/>
      <c r="N1253" s="2" t="s">
        <v>10067</v>
      </c>
      <c r="O1253" s="2"/>
      <c r="P1253" s="2" t="s">
        <v>10068</v>
      </c>
      <c r="Q1253" s="2" t="s">
        <v>10069</v>
      </c>
      <c r="R1253" s="2" t="s">
        <v>129</v>
      </c>
      <c r="S1253" s="2" t="s">
        <v>130</v>
      </c>
      <c r="T1253" s="2" t="s">
        <v>1681</v>
      </c>
      <c r="U1253" s="2" t="s">
        <v>10063</v>
      </c>
      <c r="V1253" s="2" t="s">
        <v>161</v>
      </c>
      <c r="W1253" s="2"/>
    </row>
    <row r="1254">
      <c r="A1254" s="2" t="n">
        <v>952</v>
      </c>
      <c r="B1254" s="2" t="s">
        <v>16540</v>
      </c>
      <c r="C1254" s="2" t="s">
        <v>10070</v>
      </c>
      <c r="D1254" s="2" t="n">
        <v>728.458500299</v>
      </c>
      <c r="E1254" s="2" t="n">
        <v>1.48008653605592</v>
      </c>
      <c r="F1254" s="2" t="s">
        <v>10072</v>
      </c>
      <c r="G1254" s="2" t="n">
        <v>28247</v>
      </c>
      <c r="H1254" s="3" t="str">
        <f>HYPERLINK("http://funmeta.oebiotech.com/network/28247", "http://funmeta.oebiotech.com/network/28247")</f>
      </c>
      <c r="I1254" s="2" t="s">
        <v>10074</v>
      </c>
      <c r="J1254" s="2" t="s">
        <v>10075</v>
      </c>
      <c r="K1254" s="2" t="s">
        <v>10076</v>
      </c>
      <c r="L1254" s="2" t="s">
        <v>10077</v>
      </c>
      <c r="M1254" s="2" t="s">
        <v>10078</v>
      </c>
      <c r="N1254" s="2" t="s">
        <v>10079</v>
      </c>
      <c r="O1254" s="2" t="s">
        <v>10080</v>
      </c>
      <c r="P1254" s="2" t="s">
        <v>10081</v>
      </c>
      <c r="Q1254" s="2" t="s">
        <v>10082</v>
      </c>
      <c r="R1254" s="2" t="s">
        <v>129</v>
      </c>
      <c r="S1254" s="2" t="s">
        <v>130</v>
      </c>
      <c r="T1254" s="2" t="s">
        <v>1681</v>
      </c>
      <c r="U1254" s="2" t="s">
        <v>10071</v>
      </c>
      <c r="V1254" s="2" t="s">
        <v>161</v>
      </c>
      <c r="W1254" s="2" t="s">
        <v>101</v>
      </c>
    </row>
    <row r="1255">
      <c r="A1255" s="2" t="n">
        <v>953</v>
      </c>
      <c r="B1255" s="2" t="s">
        <v>16541</v>
      </c>
      <c r="C1255" s="2" t="s">
        <v>10083</v>
      </c>
      <c r="D1255" s="2" t="n">
        <v>729.171295516</v>
      </c>
      <c r="E1255" s="2" t="n">
        <v>1.3439448330857</v>
      </c>
      <c r="F1255" s="2" t="s">
        <v>10085</v>
      </c>
      <c r="G1255" s="2" t="n">
        <v>83462</v>
      </c>
      <c r="H1255" s="3" t="str">
        <f>HYPERLINK("http://funmeta.oebiotech.com/network/83462", "http://funmeta.oebiotech.com/network/83462")</f>
      </c>
      <c r="I1255" s="2" t="s">
        <v>10087</v>
      </c>
      <c r="J1255" s="2" t="s">
        <v>10088</v>
      </c>
      <c r="K1255" s="2"/>
      <c r="L1255" s="2" t="s">
        <v>10089</v>
      </c>
      <c r="M1255" s="2" t="s">
        <v>10090</v>
      </c>
      <c r="N1255" s="2" t="s">
        <v>10091</v>
      </c>
      <c r="O1255" s="2" t="s">
        <v>10092</v>
      </c>
      <c r="P1255" s="2" t="s">
        <v>10093</v>
      </c>
      <c r="Q1255" s="2" t="s">
        <v>10094</v>
      </c>
      <c r="R1255" s="2" t="s">
        <v>36</v>
      </c>
      <c r="S1255" s="2" t="s">
        <v>37</v>
      </c>
      <c r="T1255" s="2" t="s">
        <v>69</v>
      </c>
      <c r="U1255" s="2" t="s">
        <v>10084</v>
      </c>
      <c r="V1255" s="2" t="s">
        <v>683</v>
      </c>
      <c r="W1255" s="2" t="s">
        <v>56</v>
      </c>
    </row>
    <row r="1256">
      <c r="A1256" s="2" t="n">
        <v>954</v>
      </c>
      <c r="B1256" s="2" t="s">
        <v>16542</v>
      </c>
      <c r="C1256" s="2" t="s">
        <v>10095</v>
      </c>
      <c r="D1256" s="2" t="n">
        <v>729.274578814</v>
      </c>
      <c r="E1256" s="2" t="n">
        <v>7.93736931166668</v>
      </c>
      <c r="F1256" s="2" t="s">
        <v>10097</v>
      </c>
      <c r="G1256" s="2" t="n">
        <v>203468</v>
      </c>
      <c r="H1256" s="3" t="str">
        <f>HYPERLINK("http://funmeta.oebiotech.com/network/203468", "http://funmeta.oebiotech.com/network/203468")</f>
      </c>
      <c r="I1256" s="2" t="s">
        <v>10099</v>
      </c>
      <c r="J1256" s="2"/>
      <c r="K1256" s="2"/>
      <c r="L1256" s="2"/>
      <c r="M1256" s="2"/>
      <c r="N1256" s="2"/>
      <c r="O1256" s="2"/>
      <c r="P1256" s="2" t="s">
        <v>10100</v>
      </c>
      <c r="Q1256" s="2" t="s">
        <v>10101</v>
      </c>
      <c r="R1256" s="2" t="s">
        <v>36</v>
      </c>
      <c r="S1256" s="2" t="s">
        <v>37</v>
      </c>
      <c r="T1256" s="2" t="s">
        <v>69</v>
      </c>
      <c r="U1256" s="2" t="s">
        <v>10096</v>
      </c>
      <c r="V1256" s="2" t="s">
        <v>683</v>
      </c>
      <c r="W1256" s="2"/>
    </row>
    <row r="1257">
      <c r="A1257" s="2" t="n">
        <v>955</v>
      </c>
      <c r="B1257" s="2" t="s">
        <v>16543</v>
      </c>
      <c r="C1257" s="2" t="s">
        <v>10102</v>
      </c>
      <c r="D1257" s="2" t="n">
        <v>730.154359833</v>
      </c>
      <c r="E1257" s="2" t="n">
        <v>4.35147193049838</v>
      </c>
      <c r="F1257" s="2" t="s">
        <v>10104</v>
      </c>
      <c r="G1257" s="2" t="n">
        <v>56456</v>
      </c>
      <c r="H1257" s="3" t="str">
        <f>HYPERLINK("http://funmeta.oebiotech.com/network/56456", "http://funmeta.oebiotech.com/network/56456")</f>
      </c>
      <c r="I1257" s="2" t="s">
        <v>10106</v>
      </c>
      <c r="J1257" s="2"/>
      <c r="K1257" s="2"/>
      <c r="L1257" s="2"/>
      <c r="M1257" s="2"/>
      <c r="N1257" s="2" t="s">
        <v>10107</v>
      </c>
      <c r="O1257" s="2"/>
      <c r="P1257" s="2" t="s">
        <v>10108</v>
      </c>
      <c r="Q1257" s="2" t="s">
        <v>10109</v>
      </c>
      <c r="R1257" s="2" t="s">
        <v>1355</v>
      </c>
      <c r="S1257" s="2" t="s">
        <v>5199</v>
      </c>
      <c r="T1257" s="2" t="s">
        <v>7308</v>
      </c>
      <c r="U1257" s="2" t="s">
        <v>10103</v>
      </c>
      <c r="V1257" s="2" t="s">
        <v>218</v>
      </c>
      <c r="W1257" s="2"/>
    </row>
    <row r="1258">
      <c r="A1258" s="2" t="n">
        <v>956</v>
      </c>
      <c r="B1258" s="2" t="s">
        <v>16544</v>
      </c>
      <c r="C1258" s="2" t="s">
        <v>10110</v>
      </c>
      <c r="D1258" s="2" t="n">
        <v>730.292751418</v>
      </c>
      <c r="E1258" s="2" t="n">
        <v>6.06944357318025</v>
      </c>
      <c r="F1258" s="2" t="s">
        <v>10112</v>
      </c>
      <c r="G1258" s="2" t="n">
        <v>205540</v>
      </c>
      <c r="H1258" s="3" t="str">
        <f>HYPERLINK("http://funmeta.oebiotech.com/network/205540", "http://funmeta.oebiotech.com/network/205540")</f>
      </c>
      <c r="I1258" s="2" t="s">
        <v>10114</v>
      </c>
      <c r="J1258" s="2"/>
      <c r="K1258" s="2"/>
      <c r="L1258" s="2"/>
      <c r="M1258" s="2"/>
      <c r="N1258" s="2" t="s">
        <v>10115</v>
      </c>
      <c r="O1258" s="2"/>
      <c r="P1258" s="2" t="s">
        <v>10116</v>
      </c>
      <c r="Q1258" s="2" t="s">
        <v>10117</v>
      </c>
      <c r="R1258" s="2" t="s">
        <v>36</v>
      </c>
      <c r="S1258" s="2" t="s">
        <v>37</v>
      </c>
      <c r="T1258" s="2" t="s">
        <v>69</v>
      </c>
      <c r="U1258" s="2" t="s">
        <v>10111</v>
      </c>
      <c r="V1258" s="2" t="s">
        <v>24</v>
      </c>
      <c r="W1258" s="2"/>
    </row>
    <row r="1259">
      <c r="A1259" s="2" t="n">
        <v>957</v>
      </c>
      <c r="B1259" s="2" t="s">
        <v>16545</v>
      </c>
      <c r="C1259" s="2" t="s">
        <v>10118</v>
      </c>
      <c r="D1259" s="2" t="n">
        <v>730.517549303</v>
      </c>
      <c r="E1259" s="2" t="n">
        <v>0.82845909138765</v>
      </c>
      <c r="F1259" s="2" t="s">
        <v>10120</v>
      </c>
      <c r="G1259" s="2" t="n">
        <v>50175</v>
      </c>
      <c r="H1259" s="3" t="str">
        <f>HYPERLINK("http://funmeta.oebiotech.com/network/50175", "http://funmeta.oebiotech.com/network/50175")</f>
      </c>
      <c r="I1259" s="2" t="s">
        <v>10122</v>
      </c>
      <c r="J1259" s="2" t="s">
        <v>10123</v>
      </c>
      <c r="K1259" s="2"/>
      <c r="L1259" s="2" t="s">
        <v>9434</v>
      </c>
      <c r="M1259" s="2"/>
      <c r="N1259" s="2" t="s">
        <v>10124</v>
      </c>
      <c r="O1259" s="2"/>
      <c r="P1259" s="2" t="s">
        <v>10125</v>
      </c>
      <c r="Q1259" s="2" t="s">
        <v>10126</v>
      </c>
      <c r="R1259" s="2" t="s">
        <v>794</v>
      </c>
      <c r="S1259" s="2" t="s">
        <v>7122</v>
      </c>
      <c r="T1259" s="2" t="s">
        <v>8042</v>
      </c>
      <c r="U1259" s="2" t="s">
        <v>10119</v>
      </c>
      <c r="V1259" s="2" t="s">
        <v>161</v>
      </c>
      <c r="W1259" s="2" t="s">
        <v>101</v>
      </c>
    </row>
    <row r="1260">
      <c r="A1260" s="2" t="n">
        <v>958</v>
      </c>
      <c r="B1260" s="2" t="s">
        <v>16546</v>
      </c>
      <c r="C1260" s="2" t="s">
        <v>10127</v>
      </c>
      <c r="D1260" s="2" t="n">
        <v>731.538677542</v>
      </c>
      <c r="E1260" s="2" t="n">
        <v>5.0048668068969</v>
      </c>
      <c r="F1260" s="2" t="s">
        <v>10129</v>
      </c>
      <c r="G1260" s="2" t="n">
        <v>10770</v>
      </c>
      <c r="H1260" s="3" t="str">
        <f>HYPERLINK("http://funmeta.oebiotech.com/network/10770", "http://funmeta.oebiotech.com/network/10770")</f>
      </c>
      <c r="I1260" s="2" t="s">
        <v>10131</v>
      </c>
      <c r="J1260" s="2" t="s">
        <v>10132</v>
      </c>
      <c r="K1260" s="2" t="s">
        <v>10133</v>
      </c>
      <c r="L1260" s="2"/>
      <c r="M1260" s="2"/>
      <c r="N1260" s="2" t="s">
        <v>10134</v>
      </c>
      <c r="O1260" s="2"/>
      <c r="P1260" s="2" t="s">
        <v>10135</v>
      </c>
      <c r="Q1260" s="2" t="s">
        <v>10136</v>
      </c>
      <c r="R1260" s="2" t="s">
        <v>794</v>
      </c>
      <c r="S1260" s="2" t="s">
        <v>2600</v>
      </c>
      <c r="T1260" s="2" t="s">
        <v>8990</v>
      </c>
      <c r="U1260" s="2" t="s">
        <v>10128</v>
      </c>
      <c r="V1260" s="2" t="s">
        <v>86</v>
      </c>
      <c r="W1260" s="2"/>
    </row>
    <row r="1261">
      <c r="A1261" s="2" t="n">
        <v>959</v>
      </c>
      <c r="B1261" s="2" t="s">
        <v>16547</v>
      </c>
      <c r="C1261" s="2" t="s">
        <v>10137</v>
      </c>
      <c r="D1261" s="2" t="n">
        <v>733.477476282</v>
      </c>
      <c r="E1261" s="2" t="n">
        <v>4.59468526450315</v>
      </c>
      <c r="F1261" s="2" t="s">
        <v>10139</v>
      </c>
      <c r="G1261" s="2" t="n">
        <v>204265</v>
      </c>
      <c r="H1261" s="3" t="str">
        <f>HYPERLINK("http://funmeta.oebiotech.com/network/204265", "http://funmeta.oebiotech.com/network/204265")</f>
      </c>
      <c r="I1261" s="2" t="s">
        <v>10141</v>
      </c>
      <c r="J1261" s="2" t="s">
        <v>10142</v>
      </c>
      <c r="K1261" s="2"/>
      <c r="L1261" s="2"/>
      <c r="M1261" s="2"/>
      <c r="N1261" s="2" t="s">
        <v>10143</v>
      </c>
      <c r="O1261" s="2"/>
      <c r="P1261" s="2" t="s">
        <v>10144</v>
      </c>
      <c r="Q1261" s="2" t="s">
        <v>10145</v>
      </c>
      <c r="R1261" s="2" t="s">
        <v>114</v>
      </c>
      <c r="S1261" s="2" t="s">
        <v>1038</v>
      </c>
      <c r="T1261" s="2" t="s">
        <v>1039</v>
      </c>
      <c r="U1261" s="2" t="s">
        <v>10138</v>
      </c>
      <c r="V1261" s="2" t="s">
        <v>683</v>
      </c>
      <c r="W1261" s="2"/>
    </row>
    <row r="1262">
      <c r="A1262" s="2" t="n">
        <v>960</v>
      </c>
      <c r="B1262" s="2" t="s">
        <v>16548</v>
      </c>
      <c r="C1262" s="2" t="s">
        <v>10146</v>
      </c>
      <c r="D1262" s="2" t="n">
        <v>733.554327606</v>
      </c>
      <c r="E1262" s="2" t="n">
        <v>1.60710040018019</v>
      </c>
      <c r="F1262" s="2" t="s">
        <v>10148</v>
      </c>
      <c r="G1262" s="2" t="n">
        <v>49141</v>
      </c>
      <c r="H1262" s="3" t="str">
        <f>HYPERLINK("http://funmeta.oebiotech.com/network/49141", "http://funmeta.oebiotech.com/network/49141")</f>
      </c>
      <c r="I1262" s="2" t="s">
        <v>10150</v>
      </c>
      <c r="J1262" s="2" t="s">
        <v>10151</v>
      </c>
      <c r="K1262" s="2"/>
      <c r="L1262" s="2"/>
      <c r="M1262" s="2"/>
      <c r="N1262" s="2" t="s">
        <v>10152</v>
      </c>
      <c r="O1262" s="2"/>
      <c r="P1262" s="2" t="s">
        <v>10153</v>
      </c>
      <c r="Q1262" s="2" t="s">
        <v>10154</v>
      </c>
      <c r="R1262" s="2" t="s">
        <v>794</v>
      </c>
      <c r="S1262" s="2" t="s">
        <v>2600</v>
      </c>
      <c r="T1262" s="2" t="s">
        <v>8990</v>
      </c>
      <c r="U1262" s="2" t="s">
        <v>10147</v>
      </c>
      <c r="V1262" s="2" t="s">
        <v>86</v>
      </c>
      <c r="W1262" s="2" t="s">
        <v>56</v>
      </c>
    </row>
    <row r="1263">
      <c r="A1263" s="2" t="n">
        <v>961</v>
      </c>
      <c r="B1263" s="2" t="s">
        <v>16549</v>
      </c>
      <c r="C1263" s="2" t="s">
        <v>10155</v>
      </c>
      <c r="D1263" s="2" t="n">
        <v>737.337178114</v>
      </c>
      <c r="E1263" s="2" t="n">
        <v>1.6448285206621</v>
      </c>
      <c r="F1263" s="2" t="s">
        <v>10157</v>
      </c>
      <c r="G1263" s="2" t="n">
        <v>53663</v>
      </c>
      <c r="H1263" s="3" t="str">
        <f>HYPERLINK("http://funmeta.oebiotech.com/network/53663", "http://funmeta.oebiotech.com/network/53663")</f>
      </c>
      <c r="I1263" s="2" t="s">
        <v>10159</v>
      </c>
      <c r="J1263" s="2"/>
      <c r="K1263" s="2"/>
      <c r="L1263" s="2"/>
      <c r="M1263" s="2" t="s">
        <v>10160</v>
      </c>
      <c r="N1263" s="2" t="s">
        <v>10161</v>
      </c>
      <c r="O1263" s="2" t="s">
        <v>10162</v>
      </c>
      <c r="P1263" s="2" t="s">
        <v>10163</v>
      </c>
      <c r="Q1263" s="2" t="s">
        <v>10164</v>
      </c>
      <c r="R1263" s="2" t="s">
        <v>186</v>
      </c>
      <c r="S1263" s="2" t="s">
        <v>187</v>
      </c>
      <c r="T1263" s="2" t="s">
        <v>3454</v>
      </c>
      <c r="U1263" s="2" t="s">
        <v>10156</v>
      </c>
      <c r="V1263" s="2" t="s">
        <v>683</v>
      </c>
      <c r="W1263" s="2"/>
    </row>
    <row r="1264">
      <c r="A1264" s="2" t="n">
        <v>962</v>
      </c>
      <c r="B1264" s="2" t="s">
        <v>16550</v>
      </c>
      <c r="C1264" s="2" t="s">
        <v>10165</v>
      </c>
      <c r="D1264" s="2" t="n">
        <v>738.507928861</v>
      </c>
      <c r="E1264" s="2" t="n">
        <v>6.04634239050109</v>
      </c>
      <c r="F1264" s="2" t="s">
        <v>16551</v>
      </c>
      <c r="G1264" s="2" t="n">
        <v>18677</v>
      </c>
      <c r="H1264" s="3" t="str">
        <f>HYPERLINK("http://funmeta.oebiotech.com/network/18677", "http://funmeta.oebiotech.com/network/18677")</f>
      </c>
      <c r="I1264" s="2" t="s">
        <v>16552</v>
      </c>
      <c r="J1264" s="2" t="s">
        <v>16553</v>
      </c>
      <c r="K1264" s="2" t="s">
        <v>16554</v>
      </c>
      <c r="L1264" s="2" t="s">
        <v>9831</v>
      </c>
      <c r="M1264" s="2"/>
      <c r="N1264" s="2" t="s">
        <v>16555</v>
      </c>
      <c r="O1264" s="2"/>
      <c r="P1264" s="2" t="s">
        <v>16556</v>
      </c>
      <c r="Q1264" s="2" t="s">
        <v>16557</v>
      </c>
      <c r="R1264" s="2" t="s">
        <v>794</v>
      </c>
      <c r="S1264" s="2" t="s">
        <v>7122</v>
      </c>
      <c r="T1264" s="2" t="s">
        <v>8460</v>
      </c>
      <c r="U1264" s="2" t="s">
        <v>10166</v>
      </c>
      <c r="V1264" s="2" t="s">
        <v>24</v>
      </c>
      <c r="W1264" s="2" t="s">
        <v>101</v>
      </c>
    </row>
    <row r="1265">
      <c r="A1265" s="2" t="n">
        <v>962</v>
      </c>
      <c r="B1265" s="2" t="s">
        <v>16558</v>
      </c>
      <c r="C1265" s="2" t="s">
        <v>10165</v>
      </c>
      <c r="D1265" s="2" t="n">
        <v>738.507928861</v>
      </c>
      <c r="E1265" s="2" t="n">
        <v>6.04634239050109</v>
      </c>
      <c r="F1265" s="2" t="s">
        <v>16559</v>
      </c>
      <c r="G1265" s="2" t="n">
        <v>20110</v>
      </c>
      <c r="H1265" s="3" t="str">
        <f>HYPERLINK("http://funmeta.oebiotech.com/network/20110", "http://funmeta.oebiotech.com/network/20110")</f>
      </c>
      <c r="I1265" s="2" t="s">
        <v>16560</v>
      </c>
      <c r="J1265" s="2" t="s">
        <v>16561</v>
      </c>
      <c r="K1265" s="2" t="s">
        <v>16562</v>
      </c>
      <c r="L1265" s="2" t="s">
        <v>9434</v>
      </c>
      <c r="M1265" s="2"/>
      <c r="N1265" s="2" t="s">
        <v>16563</v>
      </c>
      <c r="O1265" s="2"/>
      <c r="P1265" s="2" t="s">
        <v>16564</v>
      </c>
      <c r="Q1265" s="2" t="s">
        <v>16565</v>
      </c>
      <c r="R1265" s="2" t="s">
        <v>794</v>
      </c>
      <c r="S1265" s="2" t="s">
        <v>7122</v>
      </c>
      <c r="T1265" s="2" t="s">
        <v>8042</v>
      </c>
      <c r="U1265" s="2" t="s">
        <v>10166</v>
      </c>
      <c r="V1265" s="2" t="s">
        <v>24</v>
      </c>
      <c r="W1265" s="2" t="s">
        <v>101</v>
      </c>
    </row>
    <row r="1266">
      <c r="A1266" s="2" t="n">
        <v>963</v>
      </c>
      <c r="B1266" s="2" t="s">
        <v>16566</v>
      </c>
      <c r="C1266" s="2" t="s">
        <v>10175</v>
      </c>
      <c r="D1266" s="2" t="n">
        <v>738.668915</v>
      </c>
      <c r="E1266" s="2" t="n">
        <v>2.41910796829021</v>
      </c>
      <c r="F1266" s="2" t="s">
        <v>10177</v>
      </c>
      <c r="G1266" s="2" t="n">
        <v>201386</v>
      </c>
      <c r="H1266" s="3" t="str">
        <f>HYPERLINK("http://funmeta.oebiotech.com/network/201386", "http://funmeta.oebiotech.com/network/201386")</f>
      </c>
      <c r="I1266" s="2" t="s">
        <v>10179</v>
      </c>
      <c r="J1266" s="2"/>
      <c r="K1266" s="2"/>
      <c r="L1266" s="2"/>
      <c r="M1266" s="2"/>
      <c r="N1266" s="2" t="s">
        <v>10180</v>
      </c>
      <c r="O1266" s="2"/>
      <c r="P1266" s="2" t="s">
        <v>10181</v>
      </c>
      <c r="Q1266" s="2" t="s">
        <v>10182</v>
      </c>
      <c r="R1266" s="2" t="s">
        <v>186</v>
      </c>
      <c r="S1266" s="2" t="s">
        <v>187</v>
      </c>
      <c r="T1266" s="2" t="s">
        <v>6895</v>
      </c>
      <c r="U1266" s="2" t="s">
        <v>10176</v>
      </c>
      <c r="V1266" s="2" t="s">
        <v>218</v>
      </c>
      <c r="W1266" s="2"/>
    </row>
    <row r="1267">
      <c r="A1267" s="2" t="n">
        <v>964</v>
      </c>
      <c r="B1267" s="2" t="s">
        <v>16567</v>
      </c>
      <c r="C1267" s="2" t="s">
        <v>10183</v>
      </c>
      <c r="D1267" s="2" t="n">
        <v>739.292160882</v>
      </c>
      <c r="E1267" s="2" t="n">
        <v>1.47797405443382</v>
      </c>
      <c r="F1267" s="2" t="s">
        <v>10185</v>
      </c>
      <c r="G1267" s="2" t="n">
        <v>204270</v>
      </c>
      <c r="H1267" s="3" t="str">
        <f>HYPERLINK("http://funmeta.oebiotech.com/network/204270", "http://funmeta.oebiotech.com/network/204270")</f>
      </c>
      <c r="I1267" s="2" t="s">
        <v>10187</v>
      </c>
      <c r="J1267" s="2" t="s">
        <v>10188</v>
      </c>
      <c r="K1267" s="2"/>
      <c r="L1267" s="2"/>
      <c r="M1267" s="2"/>
      <c r="N1267" s="2" t="s">
        <v>10189</v>
      </c>
      <c r="O1267" s="2"/>
      <c r="P1267" s="2" t="s">
        <v>10190</v>
      </c>
      <c r="Q1267" s="2" t="s">
        <v>10191</v>
      </c>
      <c r="R1267" s="2" t="s">
        <v>114</v>
      </c>
      <c r="S1267" s="2" t="s">
        <v>936</v>
      </c>
      <c r="T1267" s="2" t="s">
        <v>10192</v>
      </c>
      <c r="U1267" s="2" t="s">
        <v>10184</v>
      </c>
      <c r="V1267" s="2" t="s">
        <v>683</v>
      </c>
      <c r="W1267" s="2"/>
    </row>
    <row r="1268">
      <c r="A1268" s="2" t="n">
        <v>965</v>
      </c>
      <c r="B1268" s="2" t="s">
        <v>16568</v>
      </c>
      <c r="C1268" s="2" t="s">
        <v>10193</v>
      </c>
      <c r="D1268" s="2" t="n">
        <v>740.222561403</v>
      </c>
      <c r="E1268" s="2" t="n">
        <v>5.35883055213973</v>
      </c>
      <c r="F1268" s="2" t="s">
        <v>10195</v>
      </c>
      <c r="G1268" s="2" t="n">
        <v>205201</v>
      </c>
      <c r="H1268" s="3" t="str">
        <f>HYPERLINK("http://funmeta.oebiotech.com/network/205201", "http://funmeta.oebiotech.com/network/205201")</f>
      </c>
      <c r="I1268" s="2" t="s">
        <v>10197</v>
      </c>
      <c r="J1268" s="2"/>
      <c r="K1268" s="2"/>
      <c r="L1268" s="2"/>
      <c r="M1268" s="2"/>
      <c r="N1268" s="2" t="s">
        <v>10198</v>
      </c>
      <c r="O1268" s="2"/>
      <c r="P1268" s="2" t="s">
        <v>10199</v>
      </c>
      <c r="Q1268" s="2" t="s">
        <v>10200</v>
      </c>
      <c r="R1268" s="2" t="s">
        <v>186</v>
      </c>
      <c r="S1268" s="2" t="s">
        <v>4086</v>
      </c>
      <c r="T1268" s="2" t="s">
        <v>8526</v>
      </c>
      <c r="U1268" s="2" t="s">
        <v>10194</v>
      </c>
      <c r="V1268" s="2" t="s">
        <v>531</v>
      </c>
      <c r="W1268" s="2"/>
    </row>
    <row r="1269">
      <c r="A1269" s="2" t="n">
        <v>966</v>
      </c>
      <c r="B1269" s="2" t="s">
        <v>16569</v>
      </c>
      <c r="C1269" s="2" t="s">
        <v>10201</v>
      </c>
      <c r="D1269" s="2" t="n">
        <v>740.523578925</v>
      </c>
      <c r="E1269" s="2" t="n">
        <v>2.34650543444107</v>
      </c>
      <c r="F1269" s="2" t="s">
        <v>10203</v>
      </c>
      <c r="G1269" s="2" t="n">
        <v>18675</v>
      </c>
      <c r="H1269" s="3" t="str">
        <f>HYPERLINK("http://funmeta.oebiotech.com/network/18675", "http://funmeta.oebiotech.com/network/18675")</f>
      </c>
      <c r="I1269" s="2" t="s">
        <v>10205</v>
      </c>
      <c r="J1269" s="2" t="s">
        <v>10206</v>
      </c>
      <c r="K1269" s="2" t="s">
        <v>10207</v>
      </c>
      <c r="L1269" s="2" t="s">
        <v>9831</v>
      </c>
      <c r="M1269" s="2"/>
      <c r="N1269" s="2" t="s">
        <v>10208</v>
      </c>
      <c r="O1269" s="2"/>
      <c r="P1269" s="2" t="s">
        <v>10209</v>
      </c>
      <c r="Q1269" s="2" t="s">
        <v>10210</v>
      </c>
      <c r="R1269" s="2" t="s">
        <v>794</v>
      </c>
      <c r="S1269" s="2" t="s">
        <v>7122</v>
      </c>
      <c r="T1269" s="2" t="s">
        <v>8460</v>
      </c>
      <c r="U1269" s="2" t="s">
        <v>10202</v>
      </c>
      <c r="V1269" s="2" t="s">
        <v>24</v>
      </c>
      <c r="W1269" s="2" t="s">
        <v>101</v>
      </c>
    </row>
    <row r="1270">
      <c r="A1270" s="2" t="n">
        <v>967</v>
      </c>
      <c r="B1270" s="2" t="s">
        <v>16570</v>
      </c>
      <c r="C1270" s="2" t="s">
        <v>10211</v>
      </c>
      <c r="D1270" s="2" t="n">
        <v>742.539228989</v>
      </c>
      <c r="E1270" s="2" t="n">
        <v>2.63169686270081</v>
      </c>
      <c r="F1270" s="2" t="s">
        <v>10213</v>
      </c>
      <c r="G1270" s="2" t="n">
        <v>18234</v>
      </c>
      <c r="H1270" s="3" t="str">
        <f>HYPERLINK("http://funmeta.oebiotech.com/network/18234", "http://funmeta.oebiotech.com/network/18234")</f>
      </c>
      <c r="I1270" s="2" t="s">
        <v>10215</v>
      </c>
      <c r="J1270" s="2" t="s">
        <v>10216</v>
      </c>
      <c r="K1270" s="2" t="s">
        <v>10217</v>
      </c>
      <c r="L1270" s="2" t="s">
        <v>9831</v>
      </c>
      <c r="M1270" s="2" t="s">
        <v>10218</v>
      </c>
      <c r="N1270" s="2" t="s">
        <v>10219</v>
      </c>
      <c r="O1270" s="2"/>
      <c r="P1270" s="2" t="s">
        <v>10220</v>
      </c>
      <c r="Q1270" s="2" t="s">
        <v>10221</v>
      </c>
      <c r="R1270" s="2" t="s">
        <v>794</v>
      </c>
      <c r="S1270" s="2" t="s">
        <v>7122</v>
      </c>
      <c r="T1270" s="2" t="s">
        <v>8460</v>
      </c>
      <c r="U1270" s="2" t="s">
        <v>10212</v>
      </c>
      <c r="V1270" s="2" t="s">
        <v>24</v>
      </c>
      <c r="W1270" s="2" t="s">
        <v>39</v>
      </c>
    </row>
    <row r="1271">
      <c r="A1271" s="2" t="n">
        <v>968</v>
      </c>
      <c r="B1271" s="2" t="s">
        <v>16571</v>
      </c>
      <c r="C1271" s="2" t="s">
        <v>10222</v>
      </c>
      <c r="D1271" s="2" t="n">
        <v>743.548080812</v>
      </c>
      <c r="E1271" s="2" t="n">
        <v>2.23608028007929</v>
      </c>
      <c r="F1271" s="2" t="s">
        <v>10224</v>
      </c>
      <c r="G1271" s="2" t="n">
        <v>47753</v>
      </c>
      <c r="H1271" s="3" t="str">
        <f>HYPERLINK("http://funmeta.oebiotech.com/network/47753", "http://funmeta.oebiotech.com/network/47753")</f>
      </c>
      <c r="I1271" s="2" t="s">
        <v>10226</v>
      </c>
      <c r="J1271" s="2" t="s">
        <v>10227</v>
      </c>
      <c r="K1271" s="2"/>
      <c r="L1271" s="2"/>
      <c r="M1271" s="2" t="s">
        <v>10228</v>
      </c>
      <c r="N1271" s="2" t="s">
        <v>10229</v>
      </c>
      <c r="O1271" s="2" t="s">
        <v>10230</v>
      </c>
      <c r="P1271" s="2" t="s">
        <v>10231</v>
      </c>
      <c r="Q1271" s="2" t="s">
        <v>10232</v>
      </c>
      <c r="R1271" s="2" t="s">
        <v>794</v>
      </c>
      <c r="S1271" s="2" t="s">
        <v>2971</v>
      </c>
      <c r="T1271" s="2" t="s">
        <v>3921</v>
      </c>
      <c r="U1271" s="2" t="s">
        <v>10223</v>
      </c>
      <c r="V1271" s="2" t="s">
        <v>683</v>
      </c>
      <c r="W1271" s="2"/>
    </row>
    <row r="1272">
      <c r="A1272" s="2" t="n">
        <v>969</v>
      </c>
      <c r="B1272" s="2" t="s">
        <v>16572</v>
      </c>
      <c r="C1272" s="2" t="s">
        <v>10233</v>
      </c>
      <c r="D1272" s="2" t="n">
        <v>745.506724766</v>
      </c>
      <c r="E1272" s="2" t="n">
        <v>0.424330173810798</v>
      </c>
      <c r="F1272" s="2" t="s">
        <v>10235</v>
      </c>
      <c r="G1272" s="2" t="n">
        <v>212799</v>
      </c>
      <c r="H1272" s="3" t="str">
        <f>HYPERLINK("http://funmeta.oebiotech.com/network/212799", "http://funmeta.oebiotech.com/network/212799")</f>
      </c>
      <c r="I1272" s="2" t="s">
        <v>10237</v>
      </c>
      <c r="J1272" s="2"/>
      <c r="K1272" s="2"/>
      <c r="L1272" s="2"/>
      <c r="M1272" s="2"/>
      <c r="N1272" s="2" t="s">
        <v>10238</v>
      </c>
      <c r="O1272" s="2"/>
      <c r="P1272" s="2" t="s">
        <v>10239</v>
      </c>
      <c r="Q1272" s="2" t="s">
        <v>10240</v>
      </c>
      <c r="R1272" s="2" t="s">
        <v>601</v>
      </c>
      <c r="S1272" s="2" t="s">
        <v>602</v>
      </c>
      <c r="T1272" s="2" t="s">
        <v>1800</v>
      </c>
      <c r="U1272" s="2" t="s">
        <v>10234</v>
      </c>
      <c r="V1272" s="2" t="s">
        <v>205</v>
      </c>
      <c r="W1272" s="2"/>
    </row>
    <row r="1273">
      <c r="A1273" s="2" t="n">
        <v>970</v>
      </c>
      <c r="B1273" s="2" t="s">
        <v>16573</v>
      </c>
      <c r="C1273" s="2" t="s">
        <v>10241</v>
      </c>
      <c r="D1273" s="2" t="n">
        <v>747.518155373</v>
      </c>
      <c r="E1273" s="2" t="n">
        <v>5.21759558118022</v>
      </c>
      <c r="F1273" s="2" t="s">
        <v>10243</v>
      </c>
      <c r="G1273" s="2" t="n">
        <v>134883</v>
      </c>
      <c r="H1273" s="3" t="str">
        <f>HYPERLINK("http://funmeta.oebiotech.com/network/134883", "http://funmeta.oebiotech.com/network/134883")</f>
      </c>
      <c r="I1273" s="2" t="s">
        <v>10245</v>
      </c>
      <c r="J1273" s="2"/>
      <c r="K1273" s="2"/>
      <c r="L1273" s="2"/>
      <c r="M1273" s="2"/>
      <c r="N1273" s="2" t="s">
        <v>10246</v>
      </c>
      <c r="O1273" s="2"/>
      <c r="P1273" s="2" t="s">
        <v>10247</v>
      </c>
      <c r="Q1273" s="2" t="s">
        <v>10248</v>
      </c>
      <c r="R1273" s="2" t="s">
        <v>794</v>
      </c>
      <c r="S1273" s="2" t="s">
        <v>7122</v>
      </c>
      <c r="T1273" s="2" t="s">
        <v>7123</v>
      </c>
      <c r="U1273" s="2" t="s">
        <v>10242</v>
      </c>
      <c r="V1273" s="2" t="s">
        <v>205</v>
      </c>
      <c r="W1273" s="2"/>
    </row>
    <row r="1274">
      <c r="A1274" s="2" t="n">
        <v>971</v>
      </c>
      <c r="B1274" s="2" t="s">
        <v>16574</v>
      </c>
      <c r="C1274" s="2" t="s">
        <v>10249</v>
      </c>
      <c r="D1274" s="2" t="n">
        <v>748.165491355</v>
      </c>
      <c r="E1274" s="2" t="n">
        <v>3.49285883627235</v>
      </c>
      <c r="F1274" s="2" t="s">
        <v>10251</v>
      </c>
      <c r="G1274" s="2" t="n">
        <v>207779</v>
      </c>
      <c r="H1274" s="3" t="str">
        <f>HYPERLINK("http://funmeta.oebiotech.com/network/207779", "http://funmeta.oebiotech.com/network/207779")</f>
      </c>
      <c r="I1274" s="2" t="s">
        <v>10253</v>
      </c>
      <c r="J1274" s="2"/>
      <c r="K1274" s="2"/>
      <c r="L1274" s="2"/>
      <c r="M1274" s="2"/>
      <c r="N1274" s="2" t="s">
        <v>10254</v>
      </c>
      <c r="O1274" s="2"/>
      <c r="P1274" s="2" t="s">
        <v>10255</v>
      </c>
      <c r="Q1274" s="2" t="s">
        <v>10256</v>
      </c>
      <c r="R1274" s="2" t="s">
        <v>129</v>
      </c>
      <c r="S1274" s="2" t="s">
        <v>130</v>
      </c>
      <c r="T1274" s="2" t="s">
        <v>1681</v>
      </c>
      <c r="U1274" s="2" t="s">
        <v>10250</v>
      </c>
      <c r="V1274" s="2" t="s">
        <v>205</v>
      </c>
      <c r="W1274" s="2"/>
    </row>
    <row r="1275">
      <c r="A1275" s="2" t="n">
        <v>972</v>
      </c>
      <c r="B1275" s="2" t="s">
        <v>16575</v>
      </c>
      <c r="C1275" s="2" t="s">
        <v>10257</v>
      </c>
      <c r="D1275" s="2" t="n">
        <v>748.254366693</v>
      </c>
      <c r="E1275" s="2" t="n">
        <v>2.47013124879259</v>
      </c>
      <c r="F1275" s="2" t="s">
        <v>16576</v>
      </c>
      <c r="G1275" s="2" t="n">
        <v>51972</v>
      </c>
      <c r="H1275" s="3" t="str">
        <f>HYPERLINK("http://funmeta.oebiotech.com/network/51972", "http://funmeta.oebiotech.com/network/51972")</f>
      </c>
      <c r="I1275" s="2" t="s">
        <v>16577</v>
      </c>
      <c r="J1275" s="2"/>
      <c r="K1275" s="2"/>
      <c r="L1275" s="2" t="s">
        <v>16578</v>
      </c>
      <c r="M1275" s="2" t="s">
        <v>16579</v>
      </c>
      <c r="N1275" s="2" t="s">
        <v>16580</v>
      </c>
      <c r="O1275" s="2" t="s">
        <v>16581</v>
      </c>
      <c r="P1275" s="2" t="s">
        <v>16582</v>
      </c>
      <c r="Q1275" s="2" t="s">
        <v>16583</v>
      </c>
      <c r="R1275" s="2" t="s">
        <v>114</v>
      </c>
      <c r="S1275" s="2" t="s">
        <v>680</v>
      </c>
      <c r="T1275" s="2" t="s">
        <v>3543</v>
      </c>
      <c r="U1275" s="2" t="s">
        <v>10258</v>
      </c>
      <c r="V1275" s="2" t="s">
        <v>205</v>
      </c>
      <c r="W1275" s="2" t="s">
        <v>56</v>
      </c>
    </row>
    <row r="1276">
      <c r="A1276" s="2" t="n">
        <v>972</v>
      </c>
      <c r="B1276" s="2" t="s">
        <v>16584</v>
      </c>
      <c r="C1276" s="2" t="s">
        <v>10257</v>
      </c>
      <c r="D1276" s="2" t="n">
        <v>748.254366693</v>
      </c>
      <c r="E1276" s="2" t="n">
        <v>2.47013124879259</v>
      </c>
      <c r="F1276" s="2" t="s">
        <v>16585</v>
      </c>
      <c r="G1276" s="2" t="n">
        <v>48897</v>
      </c>
      <c r="H1276" s="3" t="str">
        <f>HYPERLINK("http://funmeta.oebiotech.com/network/48897", "http://funmeta.oebiotech.com/network/48897")</f>
      </c>
      <c r="I1276" s="2" t="s">
        <v>16586</v>
      </c>
      <c r="J1276" s="2"/>
      <c r="K1276" s="2"/>
      <c r="L1276" s="2" t="s">
        <v>16587</v>
      </c>
      <c r="M1276" s="2" t="s">
        <v>16588</v>
      </c>
      <c r="N1276" s="2" t="s">
        <v>16589</v>
      </c>
      <c r="O1276" s="2"/>
      <c r="P1276" s="2" t="s">
        <v>16590</v>
      </c>
      <c r="Q1276" s="2" t="s">
        <v>16591</v>
      </c>
      <c r="R1276" s="2" t="s">
        <v>114</v>
      </c>
      <c r="S1276" s="2" t="s">
        <v>680</v>
      </c>
      <c r="T1276" s="2" t="s">
        <v>3543</v>
      </c>
      <c r="U1276" s="2" t="s">
        <v>10258</v>
      </c>
      <c r="V1276" s="2" t="s">
        <v>205</v>
      </c>
      <c r="W1276" s="2" t="s">
        <v>56</v>
      </c>
    </row>
    <row r="1277">
      <c r="A1277" s="2" t="n">
        <v>973</v>
      </c>
      <c r="B1277" s="2" t="s">
        <v>16592</v>
      </c>
      <c r="C1277" s="2" t="s">
        <v>10270</v>
      </c>
      <c r="D1277" s="2" t="n">
        <v>749.51689983</v>
      </c>
      <c r="E1277" s="2" t="n">
        <v>4.83416959475366</v>
      </c>
      <c r="F1277" s="2" t="s">
        <v>16593</v>
      </c>
      <c r="G1277" s="2" t="n">
        <v>197837</v>
      </c>
      <c r="H1277" s="3" t="str">
        <f>HYPERLINK("http://funmeta.oebiotech.com/network/197837", "http://funmeta.oebiotech.com/network/197837")</f>
      </c>
      <c r="I1277" s="2" t="s">
        <v>16594</v>
      </c>
      <c r="J1277" s="2"/>
      <c r="K1277" s="2"/>
      <c r="L1277" s="2"/>
      <c r="M1277" s="2"/>
      <c r="N1277" s="2"/>
      <c r="O1277" s="2"/>
      <c r="P1277" s="2" t="s">
        <v>16595</v>
      </c>
      <c r="Q1277" s="2" t="s">
        <v>16596</v>
      </c>
      <c r="R1277" s="2" t="s">
        <v>794</v>
      </c>
      <c r="S1277" s="2" t="s">
        <v>795</v>
      </c>
      <c r="T1277" s="2" t="s">
        <v>1870</v>
      </c>
      <c r="U1277" s="2" t="s">
        <v>10271</v>
      </c>
      <c r="V1277" s="2" t="s">
        <v>683</v>
      </c>
      <c r="W1277" s="2"/>
    </row>
    <row r="1278">
      <c r="A1278" s="2" t="n">
        <v>973</v>
      </c>
      <c r="B1278" s="2" t="s">
        <v>16597</v>
      </c>
      <c r="C1278" s="2" t="s">
        <v>10270</v>
      </c>
      <c r="D1278" s="2" t="n">
        <v>749.51689983</v>
      </c>
      <c r="E1278" s="2" t="n">
        <v>4.83416959475366</v>
      </c>
      <c r="F1278" s="2" t="s">
        <v>16598</v>
      </c>
      <c r="G1278" s="2" t="n">
        <v>197838</v>
      </c>
      <c r="H1278" s="3" t="str">
        <f>HYPERLINK("http://funmeta.oebiotech.com/network/197838", "http://funmeta.oebiotech.com/network/197838")</f>
      </c>
      <c r="I1278" s="2" t="s">
        <v>16599</v>
      </c>
      <c r="J1278" s="2"/>
      <c r="K1278" s="2"/>
      <c r="L1278" s="2"/>
      <c r="M1278" s="2"/>
      <c r="N1278" s="2"/>
      <c r="O1278" s="2"/>
      <c r="P1278" s="2" t="s">
        <v>16600</v>
      </c>
      <c r="Q1278" s="2" t="s">
        <v>16601</v>
      </c>
      <c r="R1278" s="2" t="s">
        <v>794</v>
      </c>
      <c r="S1278" s="2" t="s">
        <v>795</v>
      </c>
      <c r="T1278" s="2" t="s">
        <v>1870</v>
      </c>
      <c r="U1278" s="2" t="s">
        <v>10271</v>
      </c>
      <c r="V1278" s="2" t="s">
        <v>683</v>
      </c>
      <c r="W1278" s="2"/>
    </row>
    <row r="1279">
      <c r="A1279" s="2" t="n">
        <v>973</v>
      </c>
      <c r="B1279" s="2" t="s">
        <v>16602</v>
      </c>
      <c r="C1279" s="2" t="s">
        <v>10270</v>
      </c>
      <c r="D1279" s="2" t="n">
        <v>749.51689983</v>
      </c>
      <c r="E1279" s="2" t="n">
        <v>4.83416959475366</v>
      </c>
      <c r="F1279" s="2" t="s">
        <v>16603</v>
      </c>
      <c r="G1279" s="2" t="n">
        <v>197839</v>
      </c>
      <c r="H1279" s="3" t="str">
        <f>HYPERLINK("http://funmeta.oebiotech.com/network/197839", "http://funmeta.oebiotech.com/network/197839")</f>
      </c>
      <c r="I1279" s="2" t="s">
        <v>16604</v>
      </c>
      <c r="J1279" s="2"/>
      <c r="K1279" s="2"/>
      <c r="L1279" s="2"/>
      <c r="M1279" s="2"/>
      <c r="N1279" s="2"/>
      <c r="O1279" s="2"/>
      <c r="P1279" s="2" t="s">
        <v>16605</v>
      </c>
      <c r="Q1279" s="2" t="s">
        <v>16606</v>
      </c>
      <c r="R1279" s="2" t="s">
        <v>794</v>
      </c>
      <c r="S1279" s="2" t="s">
        <v>795</v>
      </c>
      <c r="T1279" s="2" t="s">
        <v>1870</v>
      </c>
      <c r="U1279" s="2" t="s">
        <v>10271</v>
      </c>
      <c r="V1279" s="2" t="s">
        <v>683</v>
      </c>
      <c r="W1279" s="2"/>
    </row>
    <row r="1280">
      <c r="A1280" s="2" t="n">
        <v>974</v>
      </c>
      <c r="B1280" s="2" t="s">
        <v>16607</v>
      </c>
      <c r="C1280" s="2" t="s">
        <v>10277</v>
      </c>
      <c r="D1280" s="2" t="n">
        <v>750.544314367</v>
      </c>
      <c r="E1280" s="2" t="n">
        <v>7.75825816022908</v>
      </c>
      <c r="F1280" s="2" t="s">
        <v>10279</v>
      </c>
      <c r="G1280" s="2" t="n">
        <v>21063</v>
      </c>
      <c r="H1280" s="3" t="str">
        <f>HYPERLINK("http://funmeta.oebiotech.com/network/21063", "http://funmeta.oebiotech.com/network/21063")</f>
      </c>
      <c r="I1280" s="2" t="s">
        <v>10281</v>
      </c>
      <c r="J1280" s="2" t="s">
        <v>10282</v>
      </c>
      <c r="K1280" s="2" t="s">
        <v>10283</v>
      </c>
      <c r="L1280" s="2" t="s">
        <v>9434</v>
      </c>
      <c r="M1280" s="2" t="s">
        <v>10284</v>
      </c>
      <c r="N1280" s="2" t="s">
        <v>10285</v>
      </c>
      <c r="O1280" s="2" t="s">
        <v>10286</v>
      </c>
      <c r="P1280" s="2" t="s">
        <v>10287</v>
      </c>
      <c r="Q1280" s="2" t="s">
        <v>10288</v>
      </c>
      <c r="R1280" s="2" t="s">
        <v>794</v>
      </c>
      <c r="S1280" s="2" t="s">
        <v>7122</v>
      </c>
      <c r="T1280" s="2" t="s">
        <v>8042</v>
      </c>
      <c r="U1280" s="2" t="s">
        <v>10278</v>
      </c>
      <c r="V1280" s="2" t="s">
        <v>24</v>
      </c>
      <c r="W1280" s="2" t="s">
        <v>56</v>
      </c>
    </row>
    <row r="1281">
      <c r="A1281" s="2" t="n">
        <v>975</v>
      </c>
      <c r="B1281" s="2" t="s">
        <v>16608</v>
      </c>
      <c r="C1281" s="2" t="s">
        <v>10289</v>
      </c>
      <c r="D1281" s="2" t="n">
        <v>751.564677984</v>
      </c>
      <c r="E1281" s="2" t="n">
        <v>8.09332451973858</v>
      </c>
      <c r="F1281" s="2" t="s">
        <v>10291</v>
      </c>
      <c r="G1281" s="2" t="n">
        <v>257333</v>
      </c>
      <c r="H1281" s="3" t="str">
        <f>HYPERLINK("http://funmeta.oebiotech.com/network/257333", "http://funmeta.oebiotech.com/network/257333")</f>
      </c>
      <c r="I1281" s="2" t="s">
        <v>10293</v>
      </c>
      <c r="J1281" s="2" t="s">
        <v>10294</v>
      </c>
      <c r="K1281" s="2"/>
      <c r="L1281" s="2"/>
      <c r="M1281" s="2"/>
      <c r="N1281" s="2" t="s">
        <v>10295</v>
      </c>
      <c r="O1281" s="2" t="s">
        <v>10296</v>
      </c>
      <c r="P1281" s="2" t="s">
        <v>10297</v>
      </c>
      <c r="Q1281" s="2" t="s">
        <v>10298</v>
      </c>
      <c r="R1281" s="2" t="s">
        <v>794</v>
      </c>
      <c r="S1281" s="2" t="s">
        <v>1098</v>
      </c>
      <c r="T1281" s="2" t="s">
        <v>10299</v>
      </c>
      <c r="U1281" s="2" t="s">
        <v>10290</v>
      </c>
      <c r="V1281" s="2" t="s">
        <v>531</v>
      </c>
      <c r="W1281" s="2"/>
    </row>
    <row r="1282">
      <c r="A1282" s="2" t="n">
        <v>976</v>
      </c>
      <c r="B1282" s="2" t="s">
        <v>16609</v>
      </c>
      <c r="C1282" s="2" t="s">
        <v>10300</v>
      </c>
      <c r="D1282" s="2" t="n">
        <v>752.523578925</v>
      </c>
      <c r="E1282" s="2" t="n">
        <v>7.69797261679723</v>
      </c>
      <c r="F1282" s="2" t="s">
        <v>10302</v>
      </c>
      <c r="G1282" s="2" t="n">
        <v>18218</v>
      </c>
      <c r="H1282" s="3" t="str">
        <f>HYPERLINK("http://funmeta.oebiotech.com/network/18218", "http://funmeta.oebiotech.com/network/18218")</f>
      </c>
      <c r="I1282" s="2" t="s">
        <v>10304</v>
      </c>
      <c r="J1282" s="2" t="s">
        <v>10305</v>
      </c>
      <c r="K1282" s="2" t="s">
        <v>10306</v>
      </c>
      <c r="L1282" s="2" t="s">
        <v>9831</v>
      </c>
      <c r="M1282" s="2" t="s">
        <v>10307</v>
      </c>
      <c r="N1282" s="2" t="s">
        <v>10308</v>
      </c>
      <c r="O1282" s="2"/>
      <c r="P1282" s="2" t="s">
        <v>10309</v>
      </c>
      <c r="Q1282" s="2" t="s">
        <v>10310</v>
      </c>
      <c r="R1282" s="2" t="s">
        <v>794</v>
      </c>
      <c r="S1282" s="2" t="s">
        <v>7122</v>
      </c>
      <c r="T1282" s="2" t="s">
        <v>8460</v>
      </c>
      <c r="U1282" s="2" t="s">
        <v>10301</v>
      </c>
      <c r="V1282" s="2" t="s">
        <v>24</v>
      </c>
      <c r="W1282" s="2" t="s">
        <v>39</v>
      </c>
    </row>
    <row r="1283">
      <c r="A1283" s="2" t="n">
        <v>977</v>
      </c>
      <c r="B1283" s="2" t="s">
        <v>16610</v>
      </c>
      <c r="C1283" s="2" t="s">
        <v>10311</v>
      </c>
      <c r="D1283" s="2" t="n">
        <v>753.531830334</v>
      </c>
      <c r="E1283" s="2" t="n">
        <v>1.50363625060035</v>
      </c>
      <c r="F1283" s="2" t="s">
        <v>16611</v>
      </c>
      <c r="G1283" s="2" t="n">
        <v>39623</v>
      </c>
      <c r="H1283" s="3" t="str">
        <f>HYPERLINK("http://funmeta.oebiotech.com/network/39623", "http://funmeta.oebiotech.com/network/39623")</f>
      </c>
      <c r="I1283" s="2" t="s">
        <v>16612</v>
      </c>
      <c r="J1283" s="2" t="s">
        <v>16613</v>
      </c>
      <c r="K1283" s="2" t="s">
        <v>16614</v>
      </c>
      <c r="L1283" s="2"/>
      <c r="M1283" s="2" t="s">
        <v>16615</v>
      </c>
      <c r="N1283" s="2" t="s">
        <v>16616</v>
      </c>
      <c r="O1283" s="2" t="s">
        <v>16617</v>
      </c>
      <c r="P1283" s="2" t="s">
        <v>16618</v>
      </c>
      <c r="Q1283" s="2" t="s">
        <v>16619</v>
      </c>
      <c r="R1283" s="2" t="s">
        <v>794</v>
      </c>
      <c r="S1283" s="2" t="s">
        <v>7781</v>
      </c>
      <c r="T1283" s="2" t="s">
        <v>7782</v>
      </c>
      <c r="U1283" s="2" t="s">
        <v>10312</v>
      </c>
      <c r="V1283" s="2" t="s">
        <v>218</v>
      </c>
      <c r="W1283" s="2"/>
    </row>
    <row r="1284">
      <c r="A1284" s="2" t="n">
        <v>977</v>
      </c>
      <c r="B1284" s="2" t="s">
        <v>16620</v>
      </c>
      <c r="C1284" s="2" t="s">
        <v>10311</v>
      </c>
      <c r="D1284" s="2" t="n">
        <v>753.531830334</v>
      </c>
      <c r="E1284" s="2" t="n">
        <v>1.50363625060035</v>
      </c>
      <c r="F1284" s="2" t="s">
        <v>16621</v>
      </c>
      <c r="G1284" s="2" t="n">
        <v>197248</v>
      </c>
      <c r="H1284" s="3" t="str">
        <f>HYPERLINK("http://funmeta.oebiotech.com/network/197248", "http://funmeta.oebiotech.com/network/197248")</f>
      </c>
      <c r="I1284" s="2" t="s">
        <v>16622</v>
      </c>
      <c r="J1284" s="2"/>
      <c r="K1284" s="2"/>
      <c r="L1284" s="2"/>
      <c r="M1284" s="2"/>
      <c r="N1284" s="2" t="s">
        <v>16623</v>
      </c>
      <c r="O1284" s="2" t="s">
        <v>16624</v>
      </c>
      <c r="P1284" s="2" t="s">
        <v>16625</v>
      </c>
      <c r="Q1284" s="2" t="s">
        <v>16626</v>
      </c>
      <c r="R1284" s="2" t="s">
        <v>601</v>
      </c>
      <c r="S1284" s="2" t="s">
        <v>602</v>
      </c>
      <c r="T1284" s="2" t="s">
        <v>8583</v>
      </c>
      <c r="U1284" s="2" t="s">
        <v>10312</v>
      </c>
      <c r="V1284" s="2" t="s">
        <v>218</v>
      </c>
      <c r="W1284" s="2"/>
    </row>
    <row r="1285">
      <c r="A1285" s="2" t="n">
        <v>978</v>
      </c>
      <c r="B1285" s="2" t="s">
        <v>16627</v>
      </c>
      <c r="C1285" s="2" t="s">
        <v>10326</v>
      </c>
      <c r="D1285" s="2" t="n">
        <v>755.523421407</v>
      </c>
      <c r="E1285" s="2" t="n">
        <v>5.10890532836831</v>
      </c>
      <c r="F1285" s="2" t="s">
        <v>10328</v>
      </c>
      <c r="G1285" s="2" t="n">
        <v>199622</v>
      </c>
      <c r="H1285" s="3" t="str">
        <f>HYPERLINK("http://funmeta.oebiotech.com/network/199622", "http://funmeta.oebiotech.com/network/199622")</f>
      </c>
      <c r="I1285" s="2" t="s">
        <v>10330</v>
      </c>
      <c r="J1285" s="2"/>
      <c r="K1285" s="2"/>
      <c r="L1285" s="2"/>
      <c r="M1285" s="2"/>
      <c r="N1285" s="2" t="s">
        <v>10331</v>
      </c>
      <c r="O1285" s="2"/>
      <c r="P1285" s="2" t="s">
        <v>10332</v>
      </c>
      <c r="Q1285" s="2" t="s">
        <v>10333</v>
      </c>
      <c r="R1285" s="2" t="s">
        <v>794</v>
      </c>
      <c r="S1285" s="2" t="s">
        <v>2600</v>
      </c>
      <c r="T1285" s="2" t="s">
        <v>8840</v>
      </c>
      <c r="U1285" s="2" t="s">
        <v>10327</v>
      </c>
      <c r="V1285" s="2" t="s">
        <v>86</v>
      </c>
      <c r="W1285" s="2"/>
    </row>
    <row r="1286">
      <c r="A1286" s="2" t="n">
        <v>979</v>
      </c>
      <c r="B1286" s="2" t="s">
        <v>16628</v>
      </c>
      <c r="C1286" s="2" t="s">
        <v>10334</v>
      </c>
      <c r="D1286" s="2" t="n">
        <v>760.505342303</v>
      </c>
      <c r="E1286" s="2" t="n">
        <v>8.68373337090542</v>
      </c>
      <c r="F1286" s="2" t="s">
        <v>10336</v>
      </c>
      <c r="G1286" s="2" t="n">
        <v>50049</v>
      </c>
      <c r="H1286" s="3" t="str">
        <f>HYPERLINK("http://funmeta.oebiotech.com/network/50049", "http://funmeta.oebiotech.com/network/50049")</f>
      </c>
      <c r="I1286" s="2" t="s">
        <v>10338</v>
      </c>
      <c r="J1286" s="2" t="s">
        <v>10339</v>
      </c>
      <c r="K1286" s="2"/>
      <c r="L1286" s="2" t="s">
        <v>9434</v>
      </c>
      <c r="M1286" s="2" t="s">
        <v>10340</v>
      </c>
      <c r="N1286" s="2" t="s">
        <v>10341</v>
      </c>
      <c r="O1286" s="2"/>
      <c r="P1286" s="2" t="s">
        <v>10342</v>
      </c>
      <c r="Q1286" s="2" t="s">
        <v>10343</v>
      </c>
      <c r="R1286" s="2" t="s">
        <v>794</v>
      </c>
      <c r="S1286" s="2" t="s">
        <v>7122</v>
      </c>
      <c r="T1286" s="2" t="s">
        <v>8042</v>
      </c>
      <c r="U1286" s="2" t="s">
        <v>10335</v>
      </c>
      <c r="V1286" s="2" t="s">
        <v>86</v>
      </c>
      <c r="W1286" s="2" t="s">
        <v>101</v>
      </c>
    </row>
    <row r="1287">
      <c r="A1287" s="2" t="n">
        <v>980</v>
      </c>
      <c r="B1287" s="2" t="s">
        <v>16629</v>
      </c>
      <c r="C1287" s="2" t="s">
        <v>10344</v>
      </c>
      <c r="D1287" s="2" t="n">
        <v>761.497600588</v>
      </c>
      <c r="E1287" s="2" t="n">
        <v>8.82046005407635</v>
      </c>
      <c r="F1287" s="2" t="s">
        <v>10346</v>
      </c>
      <c r="G1287" s="2" t="n">
        <v>55747</v>
      </c>
      <c r="H1287" s="3" t="str">
        <f>HYPERLINK("http://funmeta.oebiotech.com/network/55747", "http://funmeta.oebiotech.com/network/55747")</f>
      </c>
      <c r="I1287" s="2" t="s">
        <v>10348</v>
      </c>
      <c r="J1287" s="2" t="s">
        <v>10349</v>
      </c>
      <c r="K1287" s="2"/>
      <c r="L1287" s="2"/>
      <c r="M1287" s="2"/>
      <c r="N1287" s="2" t="s">
        <v>10350</v>
      </c>
      <c r="O1287" s="2"/>
      <c r="P1287" s="2" t="s">
        <v>10351</v>
      </c>
      <c r="Q1287" s="2" t="s">
        <v>10352</v>
      </c>
      <c r="R1287" s="2" t="s">
        <v>794</v>
      </c>
      <c r="S1287" s="2" t="s">
        <v>2600</v>
      </c>
      <c r="T1287" s="2" t="s">
        <v>10353</v>
      </c>
      <c r="U1287" s="2" t="s">
        <v>10345</v>
      </c>
      <c r="V1287" s="2" t="s">
        <v>86</v>
      </c>
      <c r="W1287" s="2"/>
    </row>
    <row r="1288">
      <c r="A1288" s="2" t="n">
        <v>981</v>
      </c>
      <c r="B1288" s="2" t="s">
        <v>16630</v>
      </c>
      <c r="C1288" s="2" t="s">
        <v>10354</v>
      </c>
      <c r="D1288" s="2" t="n">
        <v>762.520992367</v>
      </c>
      <c r="E1288" s="2" t="n">
        <v>9.10871342991619</v>
      </c>
      <c r="F1288" s="2" t="s">
        <v>10356</v>
      </c>
      <c r="G1288" s="2" t="n">
        <v>50026</v>
      </c>
      <c r="H1288" s="3" t="str">
        <f>HYPERLINK("http://funmeta.oebiotech.com/network/50026", "http://funmeta.oebiotech.com/network/50026")</f>
      </c>
      <c r="I1288" s="2" t="s">
        <v>10358</v>
      </c>
      <c r="J1288" s="2" t="s">
        <v>10359</v>
      </c>
      <c r="K1288" s="2"/>
      <c r="L1288" s="2" t="s">
        <v>9434</v>
      </c>
      <c r="M1288" s="2" t="s">
        <v>10360</v>
      </c>
      <c r="N1288" s="2" t="s">
        <v>10361</v>
      </c>
      <c r="O1288" s="2"/>
      <c r="P1288" s="2" t="s">
        <v>10362</v>
      </c>
      <c r="Q1288" s="2" t="s">
        <v>10363</v>
      </c>
      <c r="R1288" s="2" t="s">
        <v>794</v>
      </c>
      <c r="S1288" s="2" t="s">
        <v>7122</v>
      </c>
      <c r="T1288" s="2" t="s">
        <v>8042</v>
      </c>
      <c r="U1288" s="2" t="s">
        <v>10355</v>
      </c>
      <c r="V1288" s="2" t="s">
        <v>86</v>
      </c>
      <c r="W1288" s="2" t="s">
        <v>56</v>
      </c>
    </row>
    <row r="1289">
      <c r="A1289" s="2" t="n">
        <v>982</v>
      </c>
      <c r="B1289" s="2" t="s">
        <v>16631</v>
      </c>
      <c r="C1289" s="2" t="s">
        <v>10364</v>
      </c>
      <c r="D1289" s="2" t="n">
        <v>763.21264726</v>
      </c>
      <c r="E1289" s="2" t="n">
        <v>1.5989279478112</v>
      </c>
      <c r="F1289" s="2" t="s">
        <v>10366</v>
      </c>
      <c r="G1289" s="2" t="n">
        <v>207733</v>
      </c>
      <c r="H1289" s="3" t="str">
        <f>HYPERLINK("http://funmeta.oebiotech.com/network/207733", "http://funmeta.oebiotech.com/network/207733")</f>
      </c>
      <c r="I1289" s="2" t="s">
        <v>10368</v>
      </c>
      <c r="J1289" s="2"/>
      <c r="K1289" s="2"/>
      <c r="L1289" s="2"/>
      <c r="M1289" s="2"/>
      <c r="N1289" s="2" t="s">
        <v>10369</v>
      </c>
      <c r="O1289" s="2"/>
      <c r="P1289" s="2" t="s">
        <v>10370</v>
      </c>
      <c r="Q1289" s="2" t="s">
        <v>10371</v>
      </c>
      <c r="R1289" s="2" t="s">
        <v>114</v>
      </c>
      <c r="S1289" s="2" t="s">
        <v>2325</v>
      </c>
      <c r="T1289" s="2" t="s">
        <v>10372</v>
      </c>
      <c r="U1289" s="2" t="s">
        <v>10365</v>
      </c>
      <c r="V1289" s="2" t="s">
        <v>683</v>
      </c>
      <c r="W1289" s="2"/>
    </row>
    <row r="1290">
      <c r="A1290" s="2" t="n">
        <v>983</v>
      </c>
      <c r="B1290" s="2" t="s">
        <v>16632</v>
      </c>
      <c r="C1290" s="2" t="s">
        <v>10373</v>
      </c>
      <c r="D1290" s="2" t="n">
        <v>764.378213724</v>
      </c>
      <c r="E1290" s="2" t="n">
        <v>6.33200609620377</v>
      </c>
      <c r="F1290" s="2" t="s">
        <v>10375</v>
      </c>
      <c r="G1290" s="2" t="n">
        <v>206473</v>
      </c>
      <c r="H1290" s="3" t="str">
        <f>HYPERLINK("http://funmeta.oebiotech.com/network/206473", "http://funmeta.oebiotech.com/network/206473")</f>
      </c>
      <c r="I1290" s="2" t="s">
        <v>10377</v>
      </c>
      <c r="J1290" s="2"/>
      <c r="K1290" s="2"/>
      <c r="L1290" s="2"/>
      <c r="M1290" s="2"/>
      <c r="N1290" s="2" t="s">
        <v>10378</v>
      </c>
      <c r="O1290" s="2"/>
      <c r="P1290" s="2" t="s">
        <v>10379</v>
      </c>
      <c r="Q1290" s="2" t="s">
        <v>10380</v>
      </c>
      <c r="R1290" s="2" t="s">
        <v>114</v>
      </c>
      <c r="S1290" s="2" t="s">
        <v>10381</v>
      </c>
      <c r="T1290" s="2" t="s">
        <v>215</v>
      </c>
      <c r="U1290" s="2" t="s">
        <v>10374</v>
      </c>
      <c r="V1290" s="2" t="s">
        <v>86</v>
      </c>
      <c r="W1290" s="2"/>
    </row>
    <row r="1291">
      <c r="A1291" s="2" t="n">
        <v>984</v>
      </c>
      <c r="B1291" s="2" t="s">
        <v>16633</v>
      </c>
      <c r="C1291" s="2" t="s">
        <v>10382</v>
      </c>
      <c r="D1291" s="2" t="n">
        <v>764.523578925</v>
      </c>
      <c r="E1291" s="2" t="n">
        <v>2.88514806965752</v>
      </c>
      <c r="F1291" s="2" t="s">
        <v>10384</v>
      </c>
      <c r="G1291" s="2" t="n">
        <v>18684</v>
      </c>
      <c r="H1291" s="3" t="str">
        <f>HYPERLINK("http://funmeta.oebiotech.com/network/18684", "http://funmeta.oebiotech.com/network/18684")</f>
      </c>
      <c r="I1291" s="2" t="s">
        <v>10386</v>
      </c>
      <c r="J1291" s="2" t="s">
        <v>10387</v>
      </c>
      <c r="K1291" s="2" t="s">
        <v>10388</v>
      </c>
      <c r="L1291" s="2" t="s">
        <v>9831</v>
      </c>
      <c r="M1291" s="2"/>
      <c r="N1291" s="2" t="s">
        <v>10389</v>
      </c>
      <c r="O1291" s="2"/>
      <c r="P1291" s="2" t="s">
        <v>10390</v>
      </c>
      <c r="Q1291" s="2" t="s">
        <v>10391</v>
      </c>
      <c r="R1291" s="2" t="s">
        <v>794</v>
      </c>
      <c r="S1291" s="2" t="s">
        <v>7122</v>
      </c>
      <c r="T1291" s="2" t="s">
        <v>8460</v>
      </c>
      <c r="U1291" s="2" t="s">
        <v>10383</v>
      </c>
      <c r="V1291" s="2" t="s">
        <v>24</v>
      </c>
      <c r="W1291" s="2" t="s">
        <v>101</v>
      </c>
    </row>
    <row r="1292">
      <c r="A1292" s="2" t="n">
        <v>985</v>
      </c>
      <c r="B1292" s="2" t="s">
        <v>16634</v>
      </c>
      <c r="C1292" s="2" t="s">
        <v>10392</v>
      </c>
      <c r="D1292" s="2" t="n">
        <v>765.13095103</v>
      </c>
      <c r="E1292" s="2" t="n">
        <v>0.549219731428268</v>
      </c>
      <c r="F1292" s="2" t="s">
        <v>10394</v>
      </c>
      <c r="G1292" s="2" t="n">
        <v>53264</v>
      </c>
      <c r="H1292" s="3" t="str">
        <f>HYPERLINK("http://funmeta.oebiotech.com/network/53264", "http://funmeta.oebiotech.com/network/53264")</f>
      </c>
      <c r="I1292" s="2" t="s">
        <v>10396</v>
      </c>
      <c r="J1292" s="2" t="s">
        <v>10397</v>
      </c>
      <c r="K1292" s="2"/>
      <c r="L1292" s="2" t="s">
        <v>10398</v>
      </c>
      <c r="M1292" s="2" t="s">
        <v>10399</v>
      </c>
      <c r="N1292" s="2" t="s">
        <v>10400</v>
      </c>
      <c r="O1292" s="2" t="s">
        <v>10401</v>
      </c>
      <c r="P1292" s="2" t="s">
        <v>10402</v>
      </c>
      <c r="Q1292" s="2" t="s">
        <v>10403</v>
      </c>
      <c r="R1292" s="2" t="s">
        <v>114</v>
      </c>
      <c r="S1292" s="2" t="s">
        <v>936</v>
      </c>
      <c r="T1292" s="2" t="s">
        <v>7289</v>
      </c>
      <c r="U1292" s="2" t="s">
        <v>10393</v>
      </c>
      <c r="V1292" s="2" t="s">
        <v>683</v>
      </c>
      <c r="W1292" s="2" t="s">
        <v>101</v>
      </c>
    </row>
    <row r="1293">
      <c r="A1293" s="2" t="n">
        <v>986</v>
      </c>
      <c r="B1293" s="2" t="s">
        <v>16635</v>
      </c>
      <c r="C1293" s="2" t="s">
        <v>10404</v>
      </c>
      <c r="D1293" s="2" t="n">
        <v>765.382865963</v>
      </c>
      <c r="E1293" s="2" t="n">
        <v>6.6372215641103</v>
      </c>
      <c r="F1293" s="2" t="s">
        <v>10406</v>
      </c>
      <c r="G1293" s="2" t="n">
        <v>211059</v>
      </c>
      <c r="H1293" s="3" t="str">
        <f>HYPERLINK("http://funmeta.oebiotech.com/network/211059", "http://funmeta.oebiotech.com/network/211059")</f>
      </c>
      <c r="I1293" s="2" t="s">
        <v>10408</v>
      </c>
      <c r="J1293" s="2"/>
      <c r="K1293" s="2"/>
      <c r="L1293" s="2"/>
      <c r="M1293" s="2"/>
      <c r="N1293" s="2"/>
      <c r="O1293" s="2"/>
      <c r="P1293" s="2" t="s">
        <v>10409</v>
      </c>
      <c r="Q1293" s="2" t="s">
        <v>10410</v>
      </c>
      <c r="R1293" s="2" t="s">
        <v>36</v>
      </c>
      <c r="S1293" s="2" t="s">
        <v>7927</v>
      </c>
      <c r="T1293" s="2" t="s">
        <v>7928</v>
      </c>
      <c r="U1293" s="2" t="s">
        <v>10405</v>
      </c>
      <c r="V1293" s="2" t="s">
        <v>24</v>
      </c>
      <c r="W1293" s="2"/>
    </row>
    <row r="1294">
      <c r="A1294" s="2" t="n">
        <v>987</v>
      </c>
      <c r="B1294" s="2" t="s">
        <v>16636</v>
      </c>
      <c r="C1294" s="2" t="s">
        <v>10411</v>
      </c>
      <c r="D1294" s="2" t="n">
        <v>766.539228989</v>
      </c>
      <c r="E1294" s="2" t="n">
        <v>6.01108131891057</v>
      </c>
      <c r="F1294" s="2" t="s">
        <v>10413</v>
      </c>
      <c r="G1294" s="2" t="n">
        <v>18683</v>
      </c>
      <c r="H1294" s="3" t="str">
        <f>HYPERLINK("http://funmeta.oebiotech.com/network/18683", "http://funmeta.oebiotech.com/network/18683")</f>
      </c>
      <c r="I1294" s="2" t="s">
        <v>10415</v>
      </c>
      <c r="J1294" s="2" t="s">
        <v>10416</v>
      </c>
      <c r="K1294" s="2" t="s">
        <v>10417</v>
      </c>
      <c r="L1294" s="2" t="s">
        <v>9831</v>
      </c>
      <c r="M1294" s="2" t="s">
        <v>10418</v>
      </c>
      <c r="N1294" s="2" t="s">
        <v>10419</v>
      </c>
      <c r="O1294" s="2"/>
      <c r="P1294" s="2" t="s">
        <v>10420</v>
      </c>
      <c r="Q1294" s="2" t="s">
        <v>10421</v>
      </c>
      <c r="R1294" s="2" t="s">
        <v>794</v>
      </c>
      <c r="S1294" s="2" t="s">
        <v>7122</v>
      </c>
      <c r="T1294" s="2" t="s">
        <v>8460</v>
      </c>
      <c r="U1294" s="2" t="s">
        <v>10412</v>
      </c>
      <c r="V1294" s="2" t="s">
        <v>24</v>
      </c>
      <c r="W1294" s="2" t="s">
        <v>101</v>
      </c>
    </row>
    <row r="1295">
      <c r="A1295" s="2" t="n">
        <v>988</v>
      </c>
      <c r="B1295" s="2" t="s">
        <v>16637</v>
      </c>
      <c r="C1295" s="2" t="s">
        <v>10422</v>
      </c>
      <c r="D1295" s="2" t="n">
        <v>767.547480399</v>
      </c>
      <c r="E1295" s="2" t="n">
        <v>4.76792667715152</v>
      </c>
      <c r="F1295" s="2" t="s">
        <v>10424</v>
      </c>
      <c r="G1295" s="2" t="n">
        <v>39591</v>
      </c>
      <c r="H1295" s="3" t="str">
        <f>HYPERLINK("http://funmeta.oebiotech.com/network/39591", "http://funmeta.oebiotech.com/network/39591")</f>
      </c>
      <c r="I1295" s="2" t="s">
        <v>10426</v>
      </c>
      <c r="J1295" s="2" t="s">
        <v>10427</v>
      </c>
      <c r="K1295" s="2" t="s">
        <v>10428</v>
      </c>
      <c r="L1295" s="2"/>
      <c r="M1295" s="2" t="s">
        <v>10429</v>
      </c>
      <c r="N1295" s="2" t="s">
        <v>10430</v>
      </c>
      <c r="O1295" s="2" t="s">
        <v>10431</v>
      </c>
      <c r="P1295" s="2" t="s">
        <v>10432</v>
      </c>
      <c r="Q1295" s="2" t="s">
        <v>10433</v>
      </c>
      <c r="R1295" s="2" t="s">
        <v>794</v>
      </c>
      <c r="S1295" s="2" t="s">
        <v>7781</v>
      </c>
      <c r="T1295" s="2" t="s">
        <v>7782</v>
      </c>
      <c r="U1295" s="2" t="s">
        <v>10423</v>
      </c>
      <c r="V1295" s="2" t="s">
        <v>218</v>
      </c>
      <c r="W1295" s="2" t="s">
        <v>39</v>
      </c>
    </row>
    <row r="1296">
      <c r="A1296" s="2" t="n">
        <v>989</v>
      </c>
      <c r="B1296" s="2" t="s">
        <v>16638</v>
      </c>
      <c r="C1296" s="2" t="s">
        <v>10434</v>
      </c>
      <c r="D1296" s="2" t="n">
        <v>769.322400734</v>
      </c>
      <c r="E1296" s="2" t="n">
        <v>0.574195438116199</v>
      </c>
      <c r="F1296" s="2" t="s">
        <v>10436</v>
      </c>
      <c r="G1296" s="2" t="n">
        <v>203556</v>
      </c>
      <c r="H1296" s="3" t="str">
        <f>HYPERLINK("http://funmeta.oebiotech.com/network/203556", "http://funmeta.oebiotech.com/network/203556")</f>
      </c>
      <c r="I1296" s="2" t="s">
        <v>10438</v>
      </c>
      <c r="J1296" s="2"/>
      <c r="K1296" s="2"/>
      <c r="L1296" s="2"/>
      <c r="M1296" s="2"/>
      <c r="N1296" s="2" t="s">
        <v>10439</v>
      </c>
      <c r="O1296" s="2"/>
      <c r="P1296" s="2" t="s">
        <v>10440</v>
      </c>
      <c r="Q1296" s="2" t="s">
        <v>10441</v>
      </c>
      <c r="R1296" s="2" t="s">
        <v>794</v>
      </c>
      <c r="S1296" s="2" t="s">
        <v>2971</v>
      </c>
      <c r="T1296" s="2" t="s">
        <v>6693</v>
      </c>
      <c r="U1296" s="2" t="s">
        <v>10435</v>
      </c>
      <c r="V1296" s="2" t="s">
        <v>161</v>
      </c>
      <c r="W1296" s="2"/>
    </row>
    <row r="1297">
      <c r="A1297" s="2" t="n">
        <v>990</v>
      </c>
      <c r="B1297" s="2" t="s">
        <v>16639</v>
      </c>
      <c r="C1297" s="2" t="s">
        <v>10442</v>
      </c>
      <c r="D1297" s="2" t="n">
        <v>769.563129974</v>
      </c>
      <c r="E1297" s="2" t="n">
        <v>0.237736916275911</v>
      </c>
      <c r="F1297" s="2" t="s">
        <v>10444</v>
      </c>
      <c r="G1297" s="2" t="n">
        <v>39601</v>
      </c>
      <c r="H1297" s="3" t="str">
        <f>HYPERLINK("http://funmeta.oebiotech.com/network/39601", "http://funmeta.oebiotech.com/network/39601")</f>
      </c>
      <c r="I1297" s="2" t="s">
        <v>10446</v>
      </c>
      <c r="J1297" s="2" t="s">
        <v>10447</v>
      </c>
      <c r="K1297" s="2" t="s">
        <v>10448</v>
      </c>
      <c r="L1297" s="2" t="s">
        <v>9017</v>
      </c>
      <c r="M1297" s="2" t="s">
        <v>10449</v>
      </c>
      <c r="N1297" s="2" t="s">
        <v>10450</v>
      </c>
      <c r="O1297" s="2"/>
      <c r="P1297" s="2" t="s">
        <v>10451</v>
      </c>
      <c r="Q1297" s="2" t="s">
        <v>10452</v>
      </c>
      <c r="R1297" s="2" t="s">
        <v>794</v>
      </c>
      <c r="S1297" s="2" t="s">
        <v>7781</v>
      </c>
      <c r="T1297" s="2" t="s">
        <v>7782</v>
      </c>
      <c r="U1297" s="2" t="s">
        <v>10443</v>
      </c>
      <c r="V1297" s="2" t="s">
        <v>218</v>
      </c>
      <c r="W1297" s="2" t="s">
        <v>39</v>
      </c>
    </row>
    <row r="1298">
      <c r="A1298" s="2" t="n">
        <v>991</v>
      </c>
      <c r="B1298" s="2" t="s">
        <v>16640</v>
      </c>
      <c r="C1298" s="2" t="s">
        <v>10453</v>
      </c>
      <c r="D1298" s="2" t="n">
        <v>775.532549895</v>
      </c>
      <c r="E1298" s="2" t="n">
        <v>5.51869452272726</v>
      </c>
      <c r="F1298" s="2" t="s">
        <v>10455</v>
      </c>
      <c r="G1298" s="2" t="n">
        <v>207065</v>
      </c>
      <c r="H1298" s="3" t="str">
        <f>HYPERLINK("http://funmeta.oebiotech.com/network/207065", "http://funmeta.oebiotech.com/network/207065")</f>
      </c>
      <c r="I1298" s="2" t="s">
        <v>10457</v>
      </c>
      <c r="J1298" s="2"/>
      <c r="K1298" s="2"/>
      <c r="L1298" s="2"/>
      <c r="M1298" s="2"/>
      <c r="N1298" s="2" t="s">
        <v>10458</v>
      </c>
      <c r="O1298" s="2"/>
      <c r="P1298" s="2" t="s">
        <v>10459</v>
      </c>
      <c r="Q1298" s="2" t="s">
        <v>10460</v>
      </c>
      <c r="R1298" s="2" t="s">
        <v>129</v>
      </c>
      <c r="S1298" s="2" t="s">
        <v>130</v>
      </c>
      <c r="T1298" s="2" t="s">
        <v>1681</v>
      </c>
      <c r="U1298" s="2" t="s">
        <v>10454</v>
      </c>
      <c r="V1298" s="2" t="s">
        <v>24</v>
      </c>
      <c r="W1298" s="2"/>
    </row>
    <row r="1299">
      <c r="A1299" s="2" t="n">
        <v>992</v>
      </c>
      <c r="B1299" s="2" t="s">
        <v>16641</v>
      </c>
      <c r="C1299" s="2" t="s">
        <v>10461</v>
      </c>
      <c r="D1299" s="2" t="n">
        <v>776.544703989</v>
      </c>
      <c r="E1299" s="2" t="n">
        <v>1.97321691719969</v>
      </c>
      <c r="F1299" s="2" t="s">
        <v>16642</v>
      </c>
      <c r="G1299" s="2" t="n">
        <v>18209</v>
      </c>
      <c r="H1299" s="3" t="str">
        <f>HYPERLINK("http://funmeta.oebiotech.com/network/18209", "http://funmeta.oebiotech.com/network/18209")</f>
      </c>
      <c r="I1299" s="2" t="s">
        <v>16643</v>
      </c>
      <c r="J1299" s="2" t="s">
        <v>16644</v>
      </c>
      <c r="K1299" s="2" t="s">
        <v>16645</v>
      </c>
      <c r="L1299" s="2" t="s">
        <v>9831</v>
      </c>
      <c r="M1299" s="2" t="s">
        <v>16646</v>
      </c>
      <c r="N1299" s="2" t="s">
        <v>16647</v>
      </c>
      <c r="O1299" s="2"/>
      <c r="P1299" s="2" t="s">
        <v>16648</v>
      </c>
      <c r="Q1299" s="2" t="s">
        <v>16649</v>
      </c>
      <c r="R1299" s="2" t="s">
        <v>794</v>
      </c>
      <c r="S1299" s="2" t="s">
        <v>7122</v>
      </c>
      <c r="T1299" s="2" t="s">
        <v>8460</v>
      </c>
      <c r="U1299" s="2" t="s">
        <v>10462</v>
      </c>
      <c r="V1299" s="2" t="s">
        <v>205</v>
      </c>
      <c r="W1299" s="2" t="s">
        <v>56</v>
      </c>
    </row>
    <row r="1300">
      <c r="A1300" s="2" t="n">
        <v>992</v>
      </c>
      <c r="B1300" s="2" t="s">
        <v>16650</v>
      </c>
      <c r="C1300" s="2" t="s">
        <v>10461</v>
      </c>
      <c r="D1300" s="2" t="n">
        <v>776.544703989</v>
      </c>
      <c r="E1300" s="2" t="n">
        <v>1.97321691719969</v>
      </c>
      <c r="F1300" s="2" t="s">
        <v>16651</v>
      </c>
      <c r="G1300" s="2" t="n">
        <v>20153</v>
      </c>
      <c r="H1300" s="3" t="str">
        <f>HYPERLINK("http://funmeta.oebiotech.com/network/20153", "http://funmeta.oebiotech.com/network/20153")</f>
      </c>
      <c r="I1300" s="2" t="s">
        <v>16652</v>
      </c>
      <c r="J1300" s="2" t="s">
        <v>16653</v>
      </c>
      <c r="K1300" s="2" t="s">
        <v>16654</v>
      </c>
      <c r="L1300" s="2" t="s">
        <v>9434</v>
      </c>
      <c r="M1300" s="2"/>
      <c r="N1300" s="2" t="s">
        <v>16655</v>
      </c>
      <c r="O1300" s="2"/>
      <c r="P1300" s="2" t="s">
        <v>16656</v>
      </c>
      <c r="Q1300" s="2" t="s">
        <v>16657</v>
      </c>
      <c r="R1300" s="2" t="s">
        <v>794</v>
      </c>
      <c r="S1300" s="2" t="s">
        <v>7122</v>
      </c>
      <c r="T1300" s="2" t="s">
        <v>8042</v>
      </c>
      <c r="U1300" s="2" t="s">
        <v>10462</v>
      </c>
      <c r="V1300" s="2" t="s">
        <v>205</v>
      </c>
      <c r="W1300" s="2" t="s">
        <v>56</v>
      </c>
    </row>
    <row r="1301">
      <c r="A1301" s="2" t="n">
        <v>993</v>
      </c>
      <c r="B1301" s="2" t="s">
        <v>16658</v>
      </c>
      <c r="C1301" s="2" t="s">
        <v>10472</v>
      </c>
      <c r="D1301" s="2" t="n">
        <v>779.546743408</v>
      </c>
      <c r="E1301" s="2" t="n">
        <v>2.53963129110326</v>
      </c>
      <c r="F1301" s="2" t="s">
        <v>10474</v>
      </c>
      <c r="G1301" s="2" t="n">
        <v>204222</v>
      </c>
      <c r="H1301" s="3" t="str">
        <f>HYPERLINK("http://funmeta.oebiotech.com/network/204222", "http://funmeta.oebiotech.com/network/204222")</f>
      </c>
      <c r="I1301" s="2" t="s">
        <v>10476</v>
      </c>
      <c r="J1301" s="2" t="s">
        <v>10477</v>
      </c>
      <c r="K1301" s="2"/>
      <c r="L1301" s="2" t="s">
        <v>10478</v>
      </c>
      <c r="M1301" s="2" t="s">
        <v>10479</v>
      </c>
      <c r="N1301" s="2" t="s">
        <v>10480</v>
      </c>
      <c r="O1301" s="2" t="s">
        <v>10481</v>
      </c>
      <c r="P1301" s="2" t="s">
        <v>10482</v>
      </c>
      <c r="Q1301" s="2" t="s">
        <v>10483</v>
      </c>
      <c r="R1301" s="2" t="s">
        <v>186</v>
      </c>
      <c r="S1301" s="2" t="s">
        <v>187</v>
      </c>
      <c r="T1301" s="2" t="s">
        <v>3454</v>
      </c>
      <c r="U1301" s="2" t="s">
        <v>10473</v>
      </c>
      <c r="V1301" s="2" t="s">
        <v>683</v>
      </c>
      <c r="W1301" s="2" t="s">
        <v>39</v>
      </c>
    </row>
    <row r="1302">
      <c r="A1302" s="2" t="n">
        <v>994</v>
      </c>
      <c r="B1302" s="2" t="s">
        <v>16659</v>
      </c>
      <c r="C1302" s="2" t="s">
        <v>10484</v>
      </c>
      <c r="D1302" s="2" t="n">
        <v>782.510760053</v>
      </c>
      <c r="E1302" s="2" t="n">
        <v>6.7926633627464</v>
      </c>
      <c r="F1302" s="2" t="s">
        <v>10486</v>
      </c>
      <c r="G1302" s="2" t="n">
        <v>18233</v>
      </c>
      <c r="H1302" s="3" t="str">
        <f>HYPERLINK("http://funmeta.oebiotech.com/network/18233", "http://funmeta.oebiotech.com/network/18233")</f>
      </c>
      <c r="I1302" s="2" t="s">
        <v>10488</v>
      </c>
      <c r="J1302" s="2" t="s">
        <v>10489</v>
      </c>
      <c r="K1302" s="2" t="s">
        <v>10490</v>
      </c>
      <c r="L1302" s="2" t="s">
        <v>9831</v>
      </c>
      <c r="M1302" s="2"/>
      <c r="N1302" s="2" t="s">
        <v>10491</v>
      </c>
      <c r="O1302" s="2"/>
      <c r="P1302" s="2" t="s">
        <v>10492</v>
      </c>
      <c r="Q1302" s="2" t="s">
        <v>10493</v>
      </c>
      <c r="R1302" s="2" t="s">
        <v>794</v>
      </c>
      <c r="S1302" s="2" t="s">
        <v>7122</v>
      </c>
      <c r="T1302" s="2" t="s">
        <v>8460</v>
      </c>
      <c r="U1302" s="2" t="s">
        <v>10485</v>
      </c>
      <c r="V1302" s="2" t="s">
        <v>218</v>
      </c>
      <c r="W1302" s="2" t="s">
        <v>39</v>
      </c>
    </row>
    <row r="1303">
      <c r="A1303" s="2" t="n">
        <v>995</v>
      </c>
      <c r="B1303" s="2" t="s">
        <v>16660</v>
      </c>
      <c r="C1303" s="2" t="s">
        <v>10494</v>
      </c>
      <c r="D1303" s="2" t="n">
        <v>790.539228989</v>
      </c>
      <c r="E1303" s="2" t="n">
        <v>5.35807914342677</v>
      </c>
      <c r="F1303" s="2" t="s">
        <v>10496</v>
      </c>
      <c r="G1303" s="2" t="n">
        <v>18689</v>
      </c>
      <c r="H1303" s="3" t="str">
        <f>HYPERLINK("http://funmeta.oebiotech.com/network/18689", "http://funmeta.oebiotech.com/network/18689")</f>
      </c>
      <c r="I1303" s="2" t="s">
        <v>10498</v>
      </c>
      <c r="J1303" s="2" t="s">
        <v>10499</v>
      </c>
      <c r="K1303" s="2" t="s">
        <v>10500</v>
      </c>
      <c r="L1303" s="2" t="s">
        <v>9831</v>
      </c>
      <c r="M1303" s="2"/>
      <c r="N1303" s="2" t="s">
        <v>10501</v>
      </c>
      <c r="O1303" s="2" t="s">
        <v>10502</v>
      </c>
      <c r="P1303" s="2" t="s">
        <v>10503</v>
      </c>
      <c r="Q1303" s="2" t="s">
        <v>10504</v>
      </c>
      <c r="R1303" s="2" t="s">
        <v>794</v>
      </c>
      <c r="S1303" s="2" t="s">
        <v>7122</v>
      </c>
      <c r="T1303" s="2" t="s">
        <v>8460</v>
      </c>
      <c r="U1303" s="2" t="s">
        <v>10495</v>
      </c>
      <c r="V1303" s="2" t="s">
        <v>24</v>
      </c>
      <c r="W1303" s="2" t="s">
        <v>39</v>
      </c>
    </row>
    <row r="1304">
      <c r="A1304" s="2" t="n">
        <v>996</v>
      </c>
      <c r="B1304" s="2" t="s">
        <v>16661</v>
      </c>
      <c r="C1304" s="2" t="s">
        <v>10505</v>
      </c>
      <c r="D1304" s="2" t="n">
        <v>791.173779454</v>
      </c>
      <c r="E1304" s="2" t="n">
        <v>0.881645073386383</v>
      </c>
      <c r="F1304" s="2" t="s">
        <v>10507</v>
      </c>
      <c r="G1304" s="2" t="n">
        <v>207826</v>
      </c>
      <c r="H1304" s="3" t="str">
        <f>HYPERLINK("http://funmeta.oebiotech.com/network/207826", "http://funmeta.oebiotech.com/network/207826")</f>
      </c>
      <c r="I1304" s="2" t="s">
        <v>10509</v>
      </c>
      <c r="J1304" s="2"/>
      <c r="K1304" s="2"/>
      <c r="L1304" s="2"/>
      <c r="M1304" s="2" t="s">
        <v>10510</v>
      </c>
      <c r="N1304" s="2" t="s">
        <v>10511</v>
      </c>
      <c r="O1304" s="2"/>
      <c r="P1304" s="2" t="s">
        <v>10512</v>
      </c>
      <c r="Q1304" s="2" t="s">
        <v>10513</v>
      </c>
      <c r="R1304" s="2" t="s">
        <v>36</v>
      </c>
      <c r="S1304" s="2" t="s">
        <v>37</v>
      </c>
      <c r="T1304" s="2" t="s">
        <v>10514</v>
      </c>
      <c r="U1304" s="2" t="s">
        <v>10506</v>
      </c>
      <c r="V1304" s="2" t="s">
        <v>161</v>
      </c>
      <c r="W1304" s="2"/>
    </row>
    <row r="1305">
      <c r="A1305" s="2" t="n">
        <v>997</v>
      </c>
      <c r="B1305" s="2" t="s">
        <v>16662</v>
      </c>
      <c r="C1305" s="2" t="s">
        <v>10515</v>
      </c>
      <c r="D1305" s="2" t="n">
        <v>792.539619094</v>
      </c>
      <c r="E1305" s="2" t="n">
        <v>4.32270139392632</v>
      </c>
      <c r="F1305" s="2" t="s">
        <v>10517</v>
      </c>
      <c r="G1305" s="2" t="n">
        <v>210677</v>
      </c>
      <c r="H1305" s="3" t="str">
        <f>HYPERLINK("http://funmeta.oebiotech.com/network/210677", "http://funmeta.oebiotech.com/network/210677")</f>
      </c>
      <c r="I1305" s="2" t="s">
        <v>10519</v>
      </c>
      <c r="J1305" s="2"/>
      <c r="K1305" s="2"/>
      <c r="L1305" s="2"/>
      <c r="M1305" s="2"/>
      <c r="N1305" s="2"/>
      <c r="O1305" s="2"/>
      <c r="P1305" s="2" t="s">
        <v>10520</v>
      </c>
      <c r="Q1305" s="2" t="s">
        <v>10521</v>
      </c>
      <c r="R1305" s="2" t="s">
        <v>794</v>
      </c>
      <c r="S1305" s="2" t="s">
        <v>7122</v>
      </c>
      <c r="T1305" s="2" t="s">
        <v>8876</v>
      </c>
      <c r="U1305" s="2" t="s">
        <v>10516</v>
      </c>
      <c r="V1305" s="2" t="s">
        <v>205</v>
      </c>
      <c r="W1305" s="2"/>
    </row>
    <row r="1306">
      <c r="A1306" s="2" t="n">
        <v>998</v>
      </c>
      <c r="B1306" s="2" t="s">
        <v>16663</v>
      </c>
      <c r="C1306" s="2" t="s">
        <v>10522</v>
      </c>
      <c r="D1306" s="2" t="n">
        <v>794.547145559</v>
      </c>
      <c r="E1306" s="2" t="n">
        <v>3.95751246648578</v>
      </c>
      <c r="F1306" s="2" t="s">
        <v>10524</v>
      </c>
      <c r="G1306" s="2" t="n">
        <v>50094</v>
      </c>
      <c r="H1306" s="3" t="str">
        <f>HYPERLINK("http://funmeta.oebiotech.com/network/50094", "http://funmeta.oebiotech.com/network/50094")</f>
      </c>
      <c r="I1306" s="2" t="s">
        <v>10526</v>
      </c>
      <c r="J1306" s="2" t="s">
        <v>10527</v>
      </c>
      <c r="K1306" s="2"/>
      <c r="L1306" s="2" t="s">
        <v>9434</v>
      </c>
      <c r="M1306" s="2"/>
      <c r="N1306" s="2" t="s">
        <v>10528</v>
      </c>
      <c r="O1306" s="2"/>
      <c r="P1306" s="2" t="s">
        <v>10529</v>
      </c>
      <c r="Q1306" s="2" t="s">
        <v>10530</v>
      </c>
      <c r="R1306" s="2" t="s">
        <v>794</v>
      </c>
      <c r="S1306" s="2" t="s">
        <v>7122</v>
      </c>
      <c r="T1306" s="2" t="s">
        <v>8042</v>
      </c>
      <c r="U1306" s="2" t="s">
        <v>10523</v>
      </c>
      <c r="V1306" s="2" t="s">
        <v>218</v>
      </c>
      <c r="W1306" s="2" t="s">
        <v>101</v>
      </c>
    </row>
    <row r="1307">
      <c r="A1307" s="2" t="n">
        <v>999</v>
      </c>
      <c r="B1307" s="2" t="s">
        <v>16664</v>
      </c>
      <c r="C1307" s="2" t="s">
        <v>10531</v>
      </c>
      <c r="D1307" s="2" t="n">
        <v>796.528113989</v>
      </c>
      <c r="E1307" s="2" t="n">
        <v>5.26962281204337</v>
      </c>
      <c r="F1307" s="2" t="s">
        <v>10533</v>
      </c>
      <c r="G1307" s="2" t="n">
        <v>20590</v>
      </c>
      <c r="H1307" s="3" t="str">
        <f>HYPERLINK("http://funmeta.oebiotech.com/network/20590", "http://funmeta.oebiotech.com/network/20590")</f>
      </c>
      <c r="I1307" s="2" t="s">
        <v>10535</v>
      </c>
      <c r="J1307" s="2" t="s">
        <v>10536</v>
      </c>
      <c r="K1307" s="2" t="s">
        <v>10537</v>
      </c>
      <c r="L1307" s="2" t="s">
        <v>9434</v>
      </c>
      <c r="M1307" s="2"/>
      <c r="N1307" s="2" t="s">
        <v>10538</v>
      </c>
      <c r="O1307" s="2"/>
      <c r="P1307" s="2" t="s">
        <v>10539</v>
      </c>
      <c r="Q1307" s="2" t="s">
        <v>10540</v>
      </c>
      <c r="R1307" s="2" t="s">
        <v>794</v>
      </c>
      <c r="S1307" s="2" t="s">
        <v>7122</v>
      </c>
      <c r="T1307" s="2" t="s">
        <v>8042</v>
      </c>
      <c r="U1307" s="2" t="s">
        <v>10532</v>
      </c>
      <c r="V1307" s="2" t="s">
        <v>161</v>
      </c>
      <c r="W1307" s="2" t="s">
        <v>56</v>
      </c>
    </row>
    <row r="1308">
      <c r="A1308" s="2" t="n">
        <v>1000</v>
      </c>
      <c r="B1308" s="2" t="s">
        <v>16665</v>
      </c>
      <c r="C1308" s="2" t="s">
        <v>10541</v>
      </c>
      <c r="D1308" s="2" t="n">
        <v>797.540982423</v>
      </c>
      <c r="E1308" s="2" t="n">
        <v>6.06683882081579</v>
      </c>
      <c r="F1308" s="2" t="s">
        <v>10543</v>
      </c>
      <c r="G1308" s="2" t="n">
        <v>212224</v>
      </c>
      <c r="H1308" s="3" t="str">
        <f>HYPERLINK("http://funmeta.oebiotech.com/network/212224", "http://funmeta.oebiotech.com/network/212224")</f>
      </c>
      <c r="I1308" s="2" t="s">
        <v>10545</v>
      </c>
      <c r="J1308" s="2"/>
      <c r="K1308" s="2"/>
      <c r="L1308" s="2"/>
      <c r="M1308" s="2"/>
      <c r="N1308" s="2"/>
      <c r="O1308" s="2"/>
      <c r="P1308" s="2" t="s">
        <v>10546</v>
      </c>
      <c r="Q1308" s="2" t="s">
        <v>10547</v>
      </c>
      <c r="R1308" s="2" t="s">
        <v>36</v>
      </c>
      <c r="S1308" s="2" t="s">
        <v>37</v>
      </c>
      <c r="T1308" s="2" t="s">
        <v>69</v>
      </c>
      <c r="U1308" s="2" t="s">
        <v>10542</v>
      </c>
      <c r="V1308" s="2" t="s">
        <v>531</v>
      </c>
      <c r="W1308" s="2"/>
    </row>
    <row r="1309">
      <c r="A1309" s="2" t="n">
        <v>1001</v>
      </c>
      <c r="B1309" s="2" t="s">
        <v>16666</v>
      </c>
      <c r="C1309" s="2" t="s">
        <v>10548</v>
      </c>
      <c r="D1309" s="2" t="n">
        <v>798.543764053</v>
      </c>
      <c r="E1309" s="2" t="n">
        <v>1.64266834086592</v>
      </c>
      <c r="F1309" s="2" t="s">
        <v>10550</v>
      </c>
      <c r="G1309" s="2" t="n">
        <v>20559</v>
      </c>
      <c r="H1309" s="3" t="str">
        <f>HYPERLINK("http://funmeta.oebiotech.com/network/20559", "http://funmeta.oebiotech.com/network/20559")</f>
      </c>
      <c r="I1309" s="2" t="s">
        <v>10552</v>
      </c>
      <c r="J1309" s="2" t="s">
        <v>10553</v>
      </c>
      <c r="K1309" s="2" t="s">
        <v>10554</v>
      </c>
      <c r="L1309" s="2" t="s">
        <v>9434</v>
      </c>
      <c r="M1309" s="2"/>
      <c r="N1309" s="2" t="s">
        <v>10555</v>
      </c>
      <c r="O1309" s="2"/>
      <c r="P1309" s="2" t="s">
        <v>10556</v>
      </c>
      <c r="Q1309" s="2" t="s">
        <v>10557</v>
      </c>
      <c r="R1309" s="2" t="s">
        <v>794</v>
      </c>
      <c r="S1309" s="2" t="s">
        <v>7122</v>
      </c>
      <c r="T1309" s="2" t="s">
        <v>8042</v>
      </c>
      <c r="U1309" s="2" t="s">
        <v>10549</v>
      </c>
      <c r="V1309" s="2" t="s">
        <v>161</v>
      </c>
      <c r="W1309" s="2" t="s">
        <v>39</v>
      </c>
    </row>
    <row r="1310">
      <c r="A1310" s="2" t="n">
        <v>1002</v>
      </c>
      <c r="B1310" s="2" t="s">
        <v>16667</v>
      </c>
      <c r="C1310" s="2" t="s">
        <v>10558</v>
      </c>
      <c r="D1310" s="2" t="n">
        <v>799.227034022</v>
      </c>
      <c r="E1310" s="2" t="n">
        <v>3.66894753414737</v>
      </c>
      <c r="F1310" s="2" t="s">
        <v>10560</v>
      </c>
      <c r="G1310" s="2" t="n">
        <v>208866</v>
      </c>
      <c r="H1310" s="3" t="str">
        <f>HYPERLINK("http://funmeta.oebiotech.com/network/208866", "http://funmeta.oebiotech.com/network/208866")</f>
      </c>
      <c r="I1310" s="2" t="s">
        <v>10562</v>
      </c>
      <c r="J1310" s="2" t="s">
        <v>10563</v>
      </c>
      <c r="K1310" s="2"/>
      <c r="L1310" s="2"/>
      <c r="M1310" s="2"/>
      <c r="N1310" s="2" t="s">
        <v>10564</v>
      </c>
      <c r="O1310" s="2"/>
      <c r="P1310" s="2" t="s">
        <v>10565</v>
      </c>
      <c r="Q1310" s="2" t="s">
        <v>10566</v>
      </c>
      <c r="R1310" s="2" t="s">
        <v>114</v>
      </c>
      <c r="S1310" s="2" t="s">
        <v>994</v>
      </c>
      <c r="T1310" s="2" t="s">
        <v>2801</v>
      </c>
      <c r="U1310" s="2" t="s">
        <v>10559</v>
      </c>
      <c r="V1310" s="2" t="s">
        <v>683</v>
      </c>
      <c r="W1310" s="2"/>
    </row>
    <row r="1311">
      <c r="A1311" s="2" t="n">
        <v>1003</v>
      </c>
      <c r="B1311" s="2" t="s">
        <v>16668</v>
      </c>
      <c r="C1311" s="2" t="s">
        <v>10567</v>
      </c>
      <c r="D1311" s="2" t="n">
        <v>799.549459324</v>
      </c>
      <c r="E1311" s="2" t="n">
        <v>9.06469457329883</v>
      </c>
      <c r="F1311" s="2" t="s">
        <v>10569</v>
      </c>
      <c r="G1311" s="2" t="n">
        <v>51095</v>
      </c>
      <c r="H1311" s="3" t="str">
        <f>HYPERLINK("http://funmeta.oebiotech.com/network/51095", "http://funmeta.oebiotech.com/network/51095")</f>
      </c>
      <c r="I1311" s="2" t="s">
        <v>10571</v>
      </c>
      <c r="J1311" s="2" t="s">
        <v>10572</v>
      </c>
      <c r="K1311" s="2"/>
      <c r="L1311" s="2"/>
      <c r="M1311" s="2"/>
      <c r="N1311" s="2" t="s">
        <v>10573</v>
      </c>
      <c r="O1311" s="2"/>
      <c r="P1311" s="2" t="s">
        <v>10574</v>
      </c>
      <c r="Q1311" s="2" t="s">
        <v>10575</v>
      </c>
      <c r="R1311" s="2" t="s">
        <v>794</v>
      </c>
      <c r="S1311" s="2" t="s">
        <v>7122</v>
      </c>
      <c r="T1311" s="2" t="s">
        <v>9951</v>
      </c>
      <c r="U1311" s="2" t="s">
        <v>10568</v>
      </c>
      <c r="V1311" s="2" t="s">
        <v>24</v>
      </c>
      <c r="W1311" s="2" t="s">
        <v>39</v>
      </c>
    </row>
    <row r="1312">
      <c r="A1312" s="2" t="n">
        <v>1004</v>
      </c>
      <c r="B1312" s="2" t="s">
        <v>16669</v>
      </c>
      <c r="C1312" s="2" t="s">
        <v>10576</v>
      </c>
      <c r="D1312" s="2" t="n">
        <v>802.552292495</v>
      </c>
      <c r="E1312" s="2" t="n">
        <v>4.98336426950402</v>
      </c>
      <c r="F1312" s="2" t="s">
        <v>10578</v>
      </c>
      <c r="G1312" s="2" t="n">
        <v>49623</v>
      </c>
      <c r="H1312" s="3" t="str">
        <f>HYPERLINK("http://funmeta.oebiotech.com/network/49623", "http://funmeta.oebiotech.com/network/49623")</f>
      </c>
      <c r="I1312" s="2" t="s">
        <v>10580</v>
      </c>
      <c r="J1312" s="2" t="s">
        <v>10581</v>
      </c>
      <c r="K1312" s="2"/>
      <c r="L1312" s="2" t="s">
        <v>9831</v>
      </c>
      <c r="M1312" s="2" t="s">
        <v>10582</v>
      </c>
      <c r="N1312" s="2" t="s">
        <v>10583</v>
      </c>
      <c r="O1312" s="2"/>
      <c r="P1312" s="2" t="s">
        <v>10584</v>
      </c>
      <c r="Q1312" s="2" t="s">
        <v>10585</v>
      </c>
      <c r="R1312" s="2" t="s">
        <v>794</v>
      </c>
      <c r="S1312" s="2" t="s">
        <v>7122</v>
      </c>
      <c r="T1312" s="2" t="s">
        <v>8460</v>
      </c>
      <c r="U1312" s="2" t="s">
        <v>10577</v>
      </c>
      <c r="V1312" s="2" t="s">
        <v>86</v>
      </c>
      <c r="W1312" s="2" t="s">
        <v>56</v>
      </c>
    </row>
    <row r="1313">
      <c r="A1313" s="2" t="n">
        <v>1005</v>
      </c>
      <c r="B1313" s="2" t="s">
        <v>16670</v>
      </c>
      <c r="C1313" s="2" t="s">
        <v>10586</v>
      </c>
      <c r="D1313" s="2" t="n">
        <v>803.546743408</v>
      </c>
      <c r="E1313" s="2" t="n">
        <v>2.88176241404577</v>
      </c>
      <c r="F1313" s="2" t="s">
        <v>16671</v>
      </c>
      <c r="G1313" s="2" t="n">
        <v>10444</v>
      </c>
      <c r="H1313" s="3" t="str">
        <f>HYPERLINK("http://funmeta.oebiotech.com/network/10444", "http://funmeta.oebiotech.com/network/10444")</f>
      </c>
      <c r="I1313" s="2" t="s">
        <v>16672</v>
      </c>
      <c r="J1313" s="2" t="s">
        <v>16673</v>
      </c>
      <c r="K1313" s="2" t="s">
        <v>16674</v>
      </c>
      <c r="L1313" s="2"/>
      <c r="M1313" s="2"/>
      <c r="N1313" s="2" t="s">
        <v>16675</v>
      </c>
      <c r="O1313" s="2"/>
      <c r="P1313" s="2" t="s">
        <v>16676</v>
      </c>
      <c r="Q1313" s="2" t="s">
        <v>16677</v>
      </c>
      <c r="R1313" s="2" t="s">
        <v>794</v>
      </c>
      <c r="S1313" s="2" t="s">
        <v>2600</v>
      </c>
      <c r="T1313" s="2" t="s">
        <v>2601</v>
      </c>
      <c r="U1313" s="2" t="s">
        <v>10587</v>
      </c>
      <c r="V1313" s="2" t="s">
        <v>683</v>
      </c>
      <c r="W1313" s="2" t="s">
        <v>56</v>
      </c>
    </row>
    <row r="1314">
      <c r="A1314" s="2" t="n">
        <v>1005</v>
      </c>
      <c r="B1314" s="2" t="s">
        <v>16678</v>
      </c>
      <c r="C1314" s="2" t="s">
        <v>10586</v>
      </c>
      <c r="D1314" s="2" t="n">
        <v>803.546743408</v>
      </c>
      <c r="E1314" s="2" t="n">
        <v>2.88176241404577</v>
      </c>
      <c r="F1314" s="2" t="s">
        <v>16679</v>
      </c>
      <c r="G1314" s="2" t="n">
        <v>47081</v>
      </c>
      <c r="H1314" s="3" t="str">
        <f>HYPERLINK("http://funmeta.oebiotech.com/network/47081", "http://funmeta.oebiotech.com/network/47081")</f>
      </c>
      <c r="I1314" s="2" t="s">
        <v>16680</v>
      </c>
      <c r="J1314" s="2" t="s">
        <v>16681</v>
      </c>
      <c r="K1314" s="2"/>
      <c r="L1314" s="2"/>
      <c r="M1314" s="2" t="s">
        <v>16682</v>
      </c>
      <c r="N1314" s="2" t="s">
        <v>16683</v>
      </c>
      <c r="O1314" s="2" t="s">
        <v>16684</v>
      </c>
      <c r="P1314" s="2" t="s">
        <v>16685</v>
      </c>
      <c r="Q1314" s="2" t="s">
        <v>16686</v>
      </c>
      <c r="R1314" s="2" t="s">
        <v>794</v>
      </c>
      <c r="S1314" s="2" t="s">
        <v>2971</v>
      </c>
      <c r="T1314" s="2" t="s">
        <v>6499</v>
      </c>
      <c r="U1314" s="2" t="s">
        <v>10587</v>
      </c>
      <c r="V1314" s="2" t="s">
        <v>683</v>
      </c>
      <c r="W1314" s="2" t="s">
        <v>56</v>
      </c>
    </row>
    <row r="1315">
      <c r="A1315" s="2" t="n">
        <v>1006</v>
      </c>
      <c r="B1315" s="2" t="s">
        <v>16687</v>
      </c>
      <c r="C1315" s="2" t="s">
        <v>10600</v>
      </c>
      <c r="D1315" s="2" t="n">
        <v>804.531557053</v>
      </c>
      <c r="E1315" s="2" t="n">
        <v>6.33467926394027</v>
      </c>
      <c r="F1315" s="2" t="s">
        <v>10602</v>
      </c>
      <c r="G1315" s="2" t="n">
        <v>49578</v>
      </c>
      <c r="H1315" s="3" t="str">
        <f>HYPERLINK("http://funmeta.oebiotech.com/network/49578", "http://funmeta.oebiotech.com/network/49578")</f>
      </c>
      <c r="I1315" s="2" t="s">
        <v>10604</v>
      </c>
      <c r="J1315" s="2" t="s">
        <v>10605</v>
      </c>
      <c r="K1315" s="2"/>
      <c r="L1315" s="2" t="s">
        <v>9831</v>
      </c>
      <c r="M1315" s="2" t="s">
        <v>10606</v>
      </c>
      <c r="N1315" s="2" t="s">
        <v>10607</v>
      </c>
      <c r="O1315" s="2"/>
      <c r="P1315" s="2" t="s">
        <v>10608</v>
      </c>
      <c r="Q1315" s="2" t="s">
        <v>10609</v>
      </c>
      <c r="R1315" s="2" t="s">
        <v>794</v>
      </c>
      <c r="S1315" s="2" t="s">
        <v>7122</v>
      </c>
      <c r="T1315" s="2" t="s">
        <v>8460</v>
      </c>
      <c r="U1315" s="2" t="s">
        <v>10601</v>
      </c>
      <c r="V1315" s="2" t="s">
        <v>86</v>
      </c>
      <c r="W1315" s="2" t="s">
        <v>39</v>
      </c>
    </row>
    <row r="1316">
      <c r="A1316" s="2" t="n">
        <v>1007</v>
      </c>
      <c r="B1316" s="2" t="s">
        <v>16688</v>
      </c>
      <c r="C1316" s="2" t="s">
        <v>10610</v>
      </c>
      <c r="D1316" s="2" t="n">
        <v>805.579500088</v>
      </c>
      <c r="E1316" s="2" t="n">
        <v>3.85407879714775</v>
      </c>
      <c r="F1316" s="2" t="s">
        <v>16689</v>
      </c>
      <c r="G1316" s="2" t="n">
        <v>197894</v>
      </c>
      <c r="H1316" s="3" t="str">
        <f>HYPERLINK("http://funmeta.oebiotech.com/network/197894", "http://funmeta.oebiotech.com/network/197894")</f>
      </c>
      <c r="I1316" s="2" t="s">
        <v>16690</v>
      </c>
      <c r="J1316" s="2"/>
      <c r="K1316" s="2"/>
      <c r="L1316" s="2"/>
      <c r="M1316" s="2"/>
      <c r="N1316" s="2"/>
      <c r="O1316" s="2"/>
      <c r="P1316" s="2" t="s">
        <v>16691</v>
      </c>
      <c r="Q1316" s="2" t="s">
        <v>16692</v>
      </c>
      <c r="R1316" s="2" t="s">
        <v>794</v>
      </c>
      <c r="S1316" s="2" t="s">
        <v>795</v>
      </c>
      <c r="T1316" s="2" t="s">
        <v>1870</v>
      </c>
      <c r="U1316" s="2" t="s">
        <v>10611</v>
      </c>
      <c r="V1316" s="2" t="s">
        <v>683</v>
      </c>
      <c r="W1316" s="2"/>
    </row>
    <row r="1317">
      <c r="A1317" s="2" t="n">
        <v>1007</v>
      </c>
      <c r="B1317" s="2" t="s">
        <v>16693</v>
      </c>
      <c r="C1317" s="2" t="s">
        <v>10610</v>
      </c>
      <c r="D1317" s="2" t="n">
        <v>805.579500088</v>
      </c>
      <c r="E1317" s="2" t="n">
        <v>3.85407879714775</v>
      </c>
      <c r="F1317" s="2" t="s">
        <v>16694</v>
      </c>
      <c r="G1317" s="2" t="n">
        <v>197895</v>
      </c>
      <c r="H1317" s="3" t="str">
        <f>HYPERLINK("http://funmeta.oebiotech.com/network/197895", "http://funmeta.oebiotech.com/network/197895")</f>
      </c>
      <c r="I1317" s="2" t="s">
        <v>16695</v>
      </c>
      <c r="J1317" s="2"/>
      <c r="K1317" s="2"/>
      <c r="L1317" s="2"/>
      <c r="M1317" s="2"/>
      <c r="N1317" s="2"/>
      <c r="O1317" s="2"/>
      <c r="P1317" s="2" t="s">
        <v>16696</v>
      </c>
      <c r="Q1317" s="2" t="s">
        <v>16697</v>
      </c>
      <c r="R1317" s="2" t="s">
        <v>794</v>
      </c>
      <c r="S1317" s="2" t="s">
        <v>795</v>
      </c>
      <c r="T1317" s="2" t="s">
        <v>1870</v>
      </c>
      <c r="U1317" s="2" t="s">
        <v>10611</v>
      </c>
      <c r="V1317" s="2" t="s">
        <v>683</v>
      </c>
      <c r="W1317" s="2"/>
    </row>
    <row r="1318">
      <c r="A1318" s="2" t="n">
        <v>1007</v>
      </c>
      <c r="B1318" s="2" t="s">
        <v>16698</v>
      </c>
      <c r="C1318" s="2" t="s">
        <v>10610</v>
      </c>
      <c r="D1318" s="2" t="n">
        <v>805.579500088</v>
      </c>
      <c r="E1318" s="2" t="n">
        <v>3.85407879714775</v>
      </c>
      <c r="F1318" s="2" t="s">
        <v>16699</v>
      </c>
      <c r="G1318" s="2" t="n">
        <v>197896</v>
      </c>
      <c r="H1318" s="3" t="str">
        <f>HYPERLINK("http://funmeta.oebiotech.com/network/197896", "http://funmeta.oebiotech.com/network/197896")</f>
      </c>
      <c r="I1318" s="2" t="s">
        <v>16700</v>
      </c>
      <c r="J1318" s="2"/>
      <c r="K1318" s="2"/>
      <c r="L1318" s="2"/>
      <c r="M1318" s="2"/>
      <c r="N1318" s="2"/>
      <c r="O1318" s="2"/>
      <c r="P1318" s="2" t="s">
        <v>16701</v>
      </c>
      <c r="Q1318" s="2" t="s">
        <v>16702</v>
      </c>
      <c r="R1318" s="2" t="s">
        <v>794</v>
      </c>
      <c r="S1318" s="2" t="s">
        <v>795</v>
      </c>
      <c r="T1318" s="2" t="s">
        <v>1870</v>
      </c>
      <c r="U1318" s="2" t="s">
        <v>10611</v>
      </c>
      <c r="V1318" s="2" t="s">
        <v>683</v>
      </c>
      <c r="W1318" s="2"/>
    </row>
    <row r="1319">
      <c r="A1319" s="2" t="n">
        <v>1008</v>
      </c>
      <c r="B1319" s="2" t="s">
        <v>16703</v>
      </c>
      <c r="C1319" s="2" t="s">
        <v>10617</v>
      </c>
      <c r="D1319" s="2" t="n">
        <v>806.534144094</v>
      </c>
      <c r="E1319" s="2" t="n">
        <v>8.94017131071808</v>
      </c>
      <c r="F1319" s="2" t="s">
        <v>10619</v>
      </c>
      <c r="G1319" s="2" t="n">
        <v>27877</v>
      </c>
      <c r="H1319" s="3" t="str">
        <f>HYPERLINK("http://funmeta.oebiotech.com/network/27877", "http://funmeta.oebiotech.com/network/27877")</f>
      </c>
      <c r="I1319" s="2" t="s">
        <v>10621</v>
      </c>
      <c r="J1319" s="2" t="s">
        <v>10622</v>
      </c>
      <c r="K1319" s="2" t="s">
        <v>10623</v>
      </c>
      <c r="L1319" s="2"/>
      <c r="M1319" s="2"/>
      <c r="N1319" s="2" t="s">
        <v>10624</v>
      </c>
      <c r="O1319" s="2"/>
      <c r="P1319" s="2" t="s">
        <v>10625</v>
      </c>
      <c r="Q1319" s="2" t="s">
        <v>10626</v>
      </c>
      <c r="R1319" s="2" t="s">
        <v>794</v>
      </c>
      <c r="S1319" s="2" t="s">
        <v>7122</v>
      </c>
      <c r="T1319" s="2" t="s">
        <v>8042</v>
      </c>
      <c r="U1319" s="2" t="s">
        <v>10618</v>
      </c>
      <c r="V1319" s="2" t="s">
        <v>24</v>
      </c>
      <c r="W1319" s="2"/>
    </row>
    <row r="1320">
      <c r="A1320" s="2" t="n">
        <v>1009</v>
      </c>
      <c r="B1320" s="2" t="s">
        <v>16704</v>
      </c>
      <c r="C1320" s="2" t="s">
        <v>10627</v>
      </c>
      <c r="D1320" s="2" t="n">
        <v>807.27391011</v>
      </c>
      <c r="E1320" s="2" t="n">
        <v>6.40054378096272</v>
      </c>
      <c r="F1320" s="2" t="s">
        <v>10629</v>
      </c>
      <c r="G1320" s="2" t="n">
        <v>208493</v>
      </c>
      <c r="H1320" s="3" t="str">
        <f>HYPERLINK("http://funmeta.oebiotech.com/network/208493", "http://funmeta.oebiotech.com/network/208493")</f>
      </c>
      <c r="I1320" s="2" t="s">
        <v>10631</v>
      </c>
      <c r="J1320" s="2" t="s">
        <v>10632</v>
      </c>
      <c r="K1320" s="2"/>
      <c r="L1320" s="2"/>
      <c r="M1320" s="2"/>
      <c r="N1320" s="2" t="s">
        <v>10633</v>
      </c>
      <c r="O1320" s="2"/>
      <c r="P1320" s="2" t="s">
        <v>10634</v>
      </c>
      <c r="Q1320" s="2" t="s">
        <v>10635</v>
      </c>
      <c r="R1320" s="2" t="s">
        <v>186</v>
      </c>
      <c r="S1320" s="2" t="s">
        <v>3046</v>
      </c>
      <c r="T1320" s="2" t="s">
        <v>215</v>
      </c>
      <c r="U1320" s="2" t="s">
        <v>10628</v>
      </c>
      <c r="V1320" s="2" t="s">
        <v>683</v>
      </c>
      <c r="W1320" s="2"/>
    </row>
    <row r="1321">
      <c r="A1321" s="2" t="n">
        <v>1010</v>
      </c>
      <c r="B1321" s="2" t="s">
        <v>16705</v>
      </c>
      <c r="C1321" s="2" t="s">
        <v>10636</v>
      </c>
      <c r="D1321" s="2" t="n">
        <v>807.505272524</v>
      </c>
      <c r="E1321" s="2" t="n">
        <v>8.40356982553525</v>
      </c>
      <c r="F1321" s="2" t="s">
        <v>10638</v>
      </c>
      <c r="G1321" s="2" t="n">
        <v>46101</v>
      </c>
      <c r="H1321" s="3" t="str">
        <f>HYPERLINK("http://funmeta.oebiotech.com/network/46101", "http://funmeta.oebiotech.com/network/46101")</f>
      </c>
      <c r="I1321" s="2" t="s">
        <v>10640</v>
      </c>
      <c r="J1321" s="2" t="s">
        <v>10641</v>
      </c>
      <c r="K1321" s="2" t="s">
        <v>10642</v>
      </c>
      <c r="L1321" s="2" t="s">
        <v>10643</v>
      </c>
      <c r="M1321" s="2" t="s">
        <v>10644</v>
      </c>
      <c r="N1321" s="2" t="s">
        <v>10645</v>
      </c>
      <c r="O1321" s="2" t="s">
        <v>10646</v>
      </c>
      <c r="P1321" s="2" t="s">
        <v>10647</v>
      </c>
      <c r="Q1321" s="2" t="s">
        <v>10648</v>
      </c>
      <c r="R1321" s="2" t="s">
        <v>794</v>
      </c>
      <c r="S1321" s="2" t="s">
        <v>2971</v>
      </c>
      <c r="T1321" s="2" t="s">
        <v>6499</v>
      </c>
      <c r="U1321" s="2" t="s">
        <v>10637</v>
      </c>
      <c r="V1321" s="2" t="s">
        <v>683</v>
      </c>
      <c r="W1321" s="2" t="s">
        <v>56</v>
      </c>
    </row>
    <row r="1322">
      <c r="A1322" s="2" t="n">
        <v>1011</v>
      </c>
      <c r="B1322" s="2" t="s">
        <v>16706</v>
      </c>
      <c r="C1322" s="2" t="s">
        <v>10649</v>
      </c>
      <c r="D1322" s="2" t="n">
        <v>808.526472158</v>
      </c>
      <c r="E1322" s="2" t="n">
        <v>0.537869243284877</v>
      </c>
      <c r="F1322" s="2" t="s">
        <v>10651</v>
      </c>
      <c r="G1322" s="2" t="n">
        <v>239054</v>
      </c>
      <c r="H1322" s="3" t="str">
        <f>HYPERLINK("http://funmeta.oebiotech.com/network/239054", "http://funmeta.oebiotech.com/network/239054")</f>
      </c>
      <c r="I1322" s="2" t="s">
        <v>10653</v>
      </c>
      <c r="J1322" s="2"/>
      <c r="K1322" s="2"/>
      <c r="L1322" s="2"/>
      <c r="M1322" s="2"/>
      <c r="N1322" s="2" t="s">
        <v>10654</v>
      </c>
      <c r="O1322" s="2"/>
      <c r="P1322" s="2" t="s">
        <v>10655</v>
      </c>
      <c r="Q1322" s="2" t="s">
        <v>10656</v>
      </c>
      <c r="R1322" s="2" t="s">
        <v>794</v>
      </c>
      <c r="S1322" s="2" t="s">
        <v>7122</v>
      </c>
      <c r="T1322" s="2" t="s">
        <v>8460</v>
      </c>
      <c r="U1322" s="2" t="s">
        <v>10650</v>
      </c>
      <c r="V1322" s="2" t="s">
        <v>86</v>
      </c>
      <c r="W1322" s="2"/>
    </row>
    <row r="1323">
      <c r="A1323" s="2" t="n">
        <v>1012</v>
      </c>
      <c r="B1323" s="2" t="s">
        <v>16707</v>
      </c>
      <c r="C1323" s="2" t="s">
        <v>10657</v>
      </c>
      <c r="D1323" s="2" t="n">
        <v>809.518553126</v>
      </c>
      <c r="E1323" s="2" t="n">
        <v>6.48664698949286</v>
      </c>
      <c r="F1323" s="2" t="s">
        <v>10659</v>
      </c>
      <c r="G1323" s="2" t="n">
        <v>50428</v>
      </c>
      <c r="H1323" s="3" t="str">
        <f>HYPERLINK("http://funmeta.oebiotech.com/network/50428", "http://funmeta.oebiotech.com/network/50428")</f>
      </c>
      <c r="I1323" s="2" t="s">
        <v>10661</v>
      </c>
      <c r="J1323" s="2"/>
      <c r="K1323" s="2"/>
      <c r="L1323" s="2"/>
      <c r="M1323" s="2"/>
      <c r="N1323" s="2"/>
      <c r="O1323" s="2"/>
      <c r="P1323" s="2" t="s">
        <v>10662</v>
      </c>
      <c r="Q1323" s="2" t="s">
        <v>10663</v>
      </c>
      <c r="R1323" s="2" t="s">
        <v>794</v>
      </c>
      <c r="S1323" s="2" t="s">
        <v>7122</v>
      </c>
      <c r="T1323" s="2" t="s">
        <v>9394</v>
      </c>
      <c r="U1323" s="2" t="s">
        <v>10658</v>
      </c>
      <c r="V1323" s="2" t="s">
        <v>24</v>
      </c>
      <c r="W1323" s="2"/>
    </row>
    <row r="1324">
      <c r="A1324" s="2" t="n">
        <v>1013</v>
      </c>
      <c r="B1324" s="2" t="s">
        <v>16708</v>
      </c>
      <c r="C1324" s="2" t="s">
        <v>10664</v>
      </c>
      <c r="D1324" s="2" t="n">
        <v>811.373913468</v>
      </c>
      <c r="E1324" s="2" t="n">
        <v>1.28137564545245</v>
      </c>
      <c r="F1324" s="2" t="s">
        <v>10666</v>
      </c>
      <c r="G1324" s="2" t="n">
        <v>199839</v>
      </c>
      <c r="H1324" s="3" t="str">
        <f>HYPERLINK("http://funmeta.oebiotech.com/network/199839", "http://funmeta.oebiotech.com/network/199839")</f>
      </c>
      <c r="I1324" s="2" t="s">
        <v>10668</v>
      </c>
      <c r="J1324" s="2"/>
      <c r="K1324" s="2"/>
      <c r="L1324" s="2"/>
      <c r="M1324" s="2"/>
      <c r="N1324" s="2" t="s">
        <v>10669</v>
      </c>
      <c r="O1324" s="2"/>
      <c r="P1324" s="2" t="s">
        <v>10670</v>
      </c>
      <c r="Q1324" s="2" t="s">
        <v>10671</v>
      </c>
      <c r="R1324" s="2" t="s">
        <v>114</v>
      </c>
      <c r="S1324" s="2" t="s">
        <v>1038</v>
      </c>
      <c r="T1324" s="2" t="s">
        <v>1039</v>
      </c>
      <c r="U1324" s="2" t="s">
        <v>10665</v>
      </c>
      <c r="V1324" s="2" t="s">
        <v>683</v>
      </c>
      <c r="W1324" s="2"/>
    </row>
    <row r="1325">
      <c r="A1325" s="2" t="n">
        <v>1014</v>
      </c>
      <c r="B1325" s="2" t="s">
        <v>16709</v>
      </c>
      <c r="C1325" s="2" t="s">
        <v>10672</v>
      </c>
      <c r="D1325" s="2" t="n">
        <v>813.520658502</v>
      </c>
      <c r="E1325" s="2" t="n">
        <v>4.87215914471133</v>
      </c>
      <c r="F1325" s="2" t="s">
        <v>10674</v>
      </c>
      <c r="G1325" s="2" t="n">
        <v>25514</v>
      </c>
      <c r="H1325" s="3" t="str">
        <f>HYPERLINK("http://funmeta.oebiotech.com/network/25514", "http://funmeta.oebiotech.com/network/25514")</f>
      </c>
      <c r="I1325" s="2" t="s">
        <v>10676</v>
      </c>
      <c r="J1325" s="2" t="s">
        <v>10677</v>
      </c>
      <c r="K1325" s="2" t="s">
        <v>10678</v>
      </c>
      <c r="L1325" s="2"/>
      <c r="M1325" s="2"/>
      <c r="N1325" s="2" t="s">
        <v>10679</v>
      </c>
      <c r="O1325" s="2"/>
      <c r="P1325" s="2" t="s">
        <v>10680</v>
      </c>
      <c r="Q1325" s="2" t="s">
        <v>10681</v>
      </c>
      <c r="R1325" s="2" t="s">
        <v>794</v>
      </c>
      <c r="S1325" s="2" t="s">
        <v>7122</v>
      </c>
      <c r="T1325" s="2" t="s">
        <v>7123</v>
      </c>
      <c r="U1325" s="2" t="s">
        <v>10673</v>
      </c>
      <c r="V1325" s="2" t="s">
        <v>86</v>
      </c>
      <c r="W1325" s="2" t="s">
        <v>56</v>
      </c>
    </row>
    <row r="1326">
      <c r="A1326" s="2" t="n">
        <v>1015</v>
      </c>
      <c r="B1326" s="2" t="s">
        <v>16710</v>
      </c>
      <c r="C1326" s="2" t="s">
        <v>10682</v>
      </c>
      <c r="D1326" s="2" t="n">
        <v>814.515845431</v>
      </c>
      <c r="E1326" s="2" t="n">
        <v>1.57012875522633</v>
      </c>
      <c r="F1326" s="2" t="s">
        <v>10684</v>
      </c>
      <c r="G1326" s="2" t="n">
        <v>50285</v>
      </c>
      <c r="H1326" s="3" t="str">
        <f>HYPERLINK("http://funmeta.oebiotech.com/network/50285", "http://funmeta.oebiotech.com/network/50285")</f>
      </c>
      <c r="I1326" s="2" t="s">
        <v>10686</v>
      </c>
      <c r="J1326" s="2" t="s">
        <v>10687</v>
      </c>
      <c r="K1326" s="2"/>
      <c r="L1326" s="2" t="s">
        <v>9434</v>
      </c>
      <c r="M1326" s="2"/>
      <c r="N1326" s="2" t="s">
        <v>10688</v>
      </c>
      <c r="O1326" s="2"/>
      <c r="P1326" s="2" t="s">
        <v>10689</v>
      </c>
      <c r="Q1326" s="2" t="s">
        <v>10690</v>
      </c>
      <c r="R1326" s="2" t="s">
        <v>794</v>
      </c>
      <c r="S1326" s="2" t="s">
        <v>7122</v>
      </c>
      <c r="T1326" s="2" t="s">
        <v>8042</v>
      </c>
      <c r="U1326" s="2" t="s">
        <v>10683</v>
      </c>
      <c r="V1326" s="2" t="s">
        <v>218</v>
      </c>
      <c r="W1326" s="2" t="s">
        <v>101</v>
      </c>
    </row>
    <row r="1327">
      <c r="A1327" s="2" t="n">
        <v>1016</v>
      </c>
      <c r="B1327" s="2" t="s">
        <v>16711</v>
      </c>
      <c r="C1327" s="2" t="s">
        <v>10691</v>
      </c>
      <c r="D1327" s="2" t="n">
        <v>815.217702452</v>
      </c>
      <c r="E1327" s="2" t="n">
        <v>1.35750916431833</v>
      </c>
      <c r="F1327" s="2" t="s">
        <v>10693</v>
      </c>
      <c r="G1327" s="2" t="n">
        <v>47446</v>
      </c>
      <c r="H1327" s="3" t="str">
        <f>HYPERLINK("http://funmeta.oebiotech.com/network/47446", "http://funmeta.oebiotech.com/network/47446")</f>
      </c>
      <c r="I1327" s="2" t="s">
        <v>10695</v>
      </c>
      <c r="J1327" s="2"/>
      <c r="K1327" s="2"/>
      <c r="L1327" s="2" t="s">
        <v>10696</v>
      </c>
      <c r="M1327" s="2"/>
      <c r="N1327" s="2" t="s">
        <v>10697</v>
      </c>
      <c r="O1327" s="2"/>
      <c r="P1327" s="2" t="s">
        <v>10698</v>
      </c>
      <c r="Q1327" s="2" t="s">
        <v>10699</v>
      </c>
      <c r="R1327" s="2" t="s">
        <v>129</v>
      </c>
      <c r="S1327" s="2" t="s">
        <v>130</v>
      </c>
      <c r="T1327" s="2" t="s">
        <v>1681</v>
      </c>
      <c r="U1327" s="2" t="s">
        <v>10692</v>
      </c>
      <c r="V1327" s="2" t="s">
        <v>86</v>
      </c>
      <c r="W1327" s="2" t="s">
        <v>101</v>
      </c>
    </row>
    <row r="1328">
      <c r="A1328" s="2" t="n">
        <v>1017</v>
      </c>
      <c r="B1328" s="2" t="s">
        <v>16712</v>
      </c>
      <c r="C1328" s="2" t="s">
        <v>10700</v>
      </c>
      <c r="D1328" s="2" t="n">
        <v>819.53928426</v>
      </c>
      <c r="E1328" s="2" t="n">
        <v>3.7526427672684</v>
      </c>
      <c r="F1328" s="2" t="s">
        <v>16713</v>
      </c>
      <c r="G1328" s="2" t="n">
        <v>23460</v>
      </c>
      <c r="H1328" s="3" t="str">
        <f>HYPERLINK("http://funmeta.oebiotech.com/network/23460", "http://funmeta.oebiotech.com/network/23460")</f>
      </c>
      <c r="I1328" s="2" t="s">
        <v>16714</v>
      </c>
      <c r="J1328" s="2" t="s">
        <v>16715</v>
      </c>
      <c r="K1328" s="2" t="s">
        <v>16716</v>
      </c>
      <c r="L1328" s="2"/>
      <c r="M1328" s="2" t="s">
        <v>16717</v>
      </c>
      <c r="N1328" s="2" t="s">
        <v>16718</v>
      </c>
      <c r="O1328" s="2"/>
      <c r="P1328" s="2" t="s">
        <v>16719</v>
      </c>
      <c r="Q1328" s="2" t="s">
        <v>16720</v>
      </c>
      <c r="R1328" s="2" t="s">
        <v>794</v>
      </c>
      <c r="S1328" s="2" t="s">
        <v>7122</v>
      </c>
      <c r="T1328" s="2" t="s">
        <v>9951</v>
      </c>
      <c r="U1328" s="2" t="s">
        <v>10701</v>
      </c>
      <c r="V1328" s="2" t="s">
        <v>205</v>
      </c>
      <c r="W1328" s="2" t="s">
        <v>39</v>
      </c>
    </row>
    <row r="1329">
      <c r="A1329" s="2" t="n">
        <v>1017</v>
      </c>
      <c r="B1329" s="2" t="s">
        <v>16721</v>
      </c>
      <c r="C1329" s="2" t="s">
        <v>10700</v>
      </c>
      <c r="D1329" s="2" t="n">
        <v>819.539284742</v>
      </c>
      <c r="E1329" s="2" t="n">
        <v>3.7526427672684</v>
      </c>
      <c r="F1329" s="2" t="s">
        <v>16722</v>
      </c>
      <c r="G1329" s="2" t="n">
        <v>199615</v>
      </c>
      <c r="H1329" s="3" t="str">
        <f>HYPERLINK("http://funmeta.oebiotech.com/network/199615", "http://funmeta.oebiotech.com/network/199615")</f>
      </c>
      <c r="I1329" s="2" t="s">
        <v>16723</v>
      </c>
      <c r="J1329" s="2"/>
      <c r="K1329" s="2"/>
      <c r="L1329" s="2"/>
      <c r="M1329" s="2"/>
      <c r="N1329" s="2" t="s">
        <v>16724</v>
      </c>
      <c r="O1329" s="2"/>
      <c r="P1329" s="2" t="s">
        <v>16725</v>
      </c>
      <c r="Q1329" s="2" t="s">
        <v>16726</v>
      </c>
      <c r="R1329" s="2" t="s">
        <v>794</v>
      </c>
      <c r="S1329" s="2" t="s">
        <v>7122</v>
      </c>
      <c r="T1329" s="2" t="s">
        <v>9951</v>
      </c>
      <c r="U1329" s="2" t="s">
        <v>10701</v>
      </c>
      <c r="V1329" s="2" t="s">
        <v>205</v>
      </c>
      <c r="W1329" s="2" t="s">
        <v>39</v>
      </c>
    </row>
    <row r="1330">
      <c r="A1330" s="2" t="n">
        <v>1018</v>
      </c>
      <c r="B1330" s="2" t="s">
        <v>16727</v>
      </c>
      <c r="C1330" s="2" t="s">
        <v>10712</v>
      </c>
      <c r="D1330" s="2" t="n">
        <v>821.564436816</v>
      </c>
      <c r="E1330" s="2" t="n">
        <v>2.22760468868738</v>
      </c>
      <c r="F1330" s="2" t="s">
        <v>10714</v>
      </c>
      <c r="G1330" s="2" t="n">
        <v>208557</v>
      </c>
      <c r="H1330" s="3" t="str">
        <f>HYPERLINK("http://funmeta.oebiotech.com/network/208557", "http://funmeta.oebiotech.com/network/208557")</f>
      </c>
      <c r="I1330" s="2" t="s">
        <v>10716</v>
      </c>
      <c r="J1330" s="2"/>
      <c r="K1330" s="2"/>
      <c r="L1330" s="2"/>
      <c r="M1330" s="2"/>
      <c r="N1330" s="2" t="s">
        <v>10717</v>
      </c>
      <c r="O1330" s="2"/>
      <c r="P1330" s="2" t="s">
        <v>10718</v>
      </c>
      <c r="Q1330" s="2" t="s">
        <v>10719</v>
      </c>
      <c r="R1330" s="2" t="s">
        <v>794</v>
      </c>
      <c r="S1330" s="2" t="s">
        <v>1098</v>
      </c>
      <c r="T1330" s="2" t="s">
        <v>9336</v>
      </c>
      <c r="U1330" s="2" t="s">
        <v>10713</v>
      </c>
      <c r="V1330" s="2" t="s">
        <v>218</v>
      </c>
      <c r="W1330" s="2"/>
    </row>
    <row r="1331">
      <c r="A1331" s="2" t="n">
        <v>1019</v>
      </c>
      <c r="B1331" s="2" t="s">
        <v>16728</v>
      </c>
      <c r="C1331" s="2" t="s">
        <v>10720</v>
      </c>
      <c r="D1331" s="2" t="n">
        <v>822.564893907</v>
      </c>
      <c r="E1331" s="2" t="n">
        <v>1.22795836413076</v>
      </c>
      <c r="F1331" s="2" t="s">
        <v>10722</v>
      </c>
      <c r="G1331" s="2" t="n">
        <v>132737</v>
      </c>
      <c r="H1331" s="3" t="str">
        <f>HYPERLINK("http://funmeta.oebiotech.com/network/132737", "http://funmeta.oebiotech.com/network/132737")</f>
      </c>
      <c r="I1331" s="2" t="s">
        <v>10724</v>
      </c>
      <c r="J1331" s="2"/>
      <c r="K1331" s="2"/>
      <c r="L1331" s="2"/>
      <c r="M1331" s="2"/>
      <c r="N1331" s="2" t="s">
        <v>10725</v>
      </c>
      <c r="O1331" s="2"/>
      <c r="P1331" s="2" t="s">
        <v>10726</v>
      </c>
      <c r="Q1331" s="2" t="s">
        <v>10727</v>
      </c>
      <c r="R1331" s="2" t="s">
        <v>794</v>
      </c>
      <c r="S1331" s="2" t="s">
        <v>7122</v>
      </c>
      <c r="T1331" s="2" t="s">
        <v>8876</v>
      </c>
      <c r="U1331" s="2" t="s">
        <v>10721</v>
      </c>
      <c r="V1331" s="2" t="s">
        <v>161</v>
      </c>
      <c r="W1331" s="2"/>
    </row>
    <row r="1332">
      <c r="A1332" s="2" t="n">
        <v>1020</v>
      </c>
      <c r="B1332" s="2" t="s">
        <v>16729</v>
      </c>
      <c r="C1332" s="2" t="s">
        <v>10728</v>
      </c>
      <c r="D1332" s="2" t="n">
        <v>823.562461759</v>
      </c>
      <c r="E1332" s="2" t="n">
        <v>2.03330419817926</v>
      </c>
      <c r="F1332" s="2" t="s">
        <v>10730</v>
      </c>
      <c r="G1332" s="2" t="n">
        <v>134920</v>
      </c>
      <c r="H1332" s="3" t="str">
        <f>HYPERLINK("http://funmeta.oebiotech.com/network/134920", "http://funmeta.oebiotech.com/network/134920")</f>
      </c>
      <c r="I1332" s="2" t="s">
        <v>10732</v>
      </c>
      <c r="J1332" s="2"/>
      <c r="K1332" s="2"/>
      <c r="L1332" s="2"/>
      <c r="M1332" s="2"/>
      <c r="N1332" s="2" t="s">
        <v>10733</v>
      </c>
      <c r="O1332" s="2"/>
      <c r="P1332" s="2" t="s">
        <v>10734</v>
      </c>
      <c r="Q1332" s="2" t="s">
        <v>10735</v>
      </c>
      <c r="R1332" s="2" t="s">
        <v>794</v>
      </c>
      <c r="S1332" s="2" t="s">
        <v>7122</v>
      </c>
      <c r="T1332" s="2" t="s">
        <v>7123</v>
      </c>
      <c r="U1332" s="2" t="s">
        <v>10729</v>
      </c>
      <c r="V1332" s="2" t="s">
        <v>218</v>
      </c>
      <c r="W1332" s="2"/>
    </row>
    <row r="1333">
      <c r="A1333" s="2" t="n">
        <v>1021</v>
      </c>
      <c r="B1333" s="2" t="s">
        <v>16730</v>
      </c>
      <c r="C1333" s="2" t="s">
        <v>10736</v>
      </c>
      <c r="D1333" s="2" t="n">
        <v>826.573360309</v>
      </c>
      <c r="E1333" s="2" t="n">
        <v>4.9128669127571</v>
      </c>
      <c r="F1333" s="2" t="s">
        <v>16731</v>
      </c>
      <c r="G1333" s="2" t="n">
        <v>49957</v>
      </c>
      <c r="H1333" s="3" t="str">
        <f>HYPERLINK("http://funmeta.oebiotech.com/network/49957", "http://funmeta.oebiotech.com/network/49957")</f>
      </c>
      <c r="I1333" s="2" t="s">
        <v>16732</v>
      </c>
      <c r="J1333" s="2" t="s">
        <v>16733</v>
      </c>
      <c r="K1333" s="2"/>
      <c r="L1333" s="2" t="s">
        <v>9434</v>
      </c>
      <c r="M1333" s="2"/>
      <c r="N1333" s="2" t="s">
        <v>16734</v>
      </c>
      <c r="O1333" s="2"/>
      <c r="P1333" s="2" t="s">
        <v>16735</v>
      </c>
      <c r="Q1333" s="2" t="s">
        <v>16736</v>
      </c>
      <c r="R1333" s="2" t="s">
        <v>794</v>
      </c>
      <c r="S1333" s="2" t="s">
        <v>7122</v>
      </c>
      <c r="T1333" s="2" t="s">
        <v>8042</v>
      </c>
      <c r="U1333" s="2" t="s">
        <v>10737</v>
      </c>
      <c r="V1333" s="2" t="s">
        <v>218</v>
      </c>
      <c r="W1333" s="2" t="s">
        <v>56</v>
      </c>
    </row>
    <row r="1334">
      <c r="A1334" s="2" t="n">
        <v>1021</v>
      </c>
      <c r="B1334" s="2" t="s">
        <v>16737</v>
      </c>
      <c r="C1334" s="2" t="s">
        <v>10736</v>
      </c>
      <c r="D1334" s="2" t="n">
        <v>826.573360309</v>
      </c>
      <c r="E1334" s="2" t="n">
        <v>4.9128669127571</v>
      </c>
      <c r="F1334" s="2" t="s">
        <v>16738</v>
      </c>
      <c r="G1334" s="2" t="n">
        <v>18220</v>
      </c>
      <c r="H1334" s="3" t="str">
        <f>HYPERLINK("http://funmeta.oebiotech.com/network/18220", "http://funmeta.oebiotech.com/network/18220")</f>
      </c>
      <c r="I1334" s="2" t="s">
        <v>16739</v>
      </c>
      <c r="J1334" s="2" t="s">
        <v>16740</v>
      </c>
      <c r="K1334" s="2" t="s">
        <v>16741</v>
      </c>
      <c r="L1334" s="2" t="s">
        <v>9831</v>
      </c>
      <c r="M1334" s="2" t="s">
        <v>16742</v>
      </c>
      <c r="N1334" s="2" t="s">
        <v>16743</v>
      </c>
      <c r="O1334" s="2"/>
      <c r="P1334" s="2" t="s">
        <v>16744</v>
      </c>
      <c r="Q1334" s="2" t="s">
        <v>16745</v>
      </c>
      <c r="R1334" s="2" t="s">
        <v>794</v>
      </c>
      <c r="S1334" s="2" t="s">
        <v>7122</v>
      </c>
      <c r="T1334" s="2" t="s">
        <v>8460</v>
      </c>
      <c r="U1334" s="2" t="s">
        <v>10737</v>
      </c>
      <c r="V1334" s="2" t="s">
        <v>218</v>
      </c>
      <c r="W1334" s="2" t="s">
        <v>56</v>
      </c>
    </row>
    <row r="1335">
      <c r="A1335" s="2" t="n">
        <v>1022</v>
      </c>
      <c r="B1335" s="2" t="s">
        <v>16746</v>
      </c>
      <c r="C1335" s="2" t="s">
        <v>10749</v>
      </c>
      <c r="D1335" s="2" t="n">
        <v>827.139325748</v>
      </c>
      <c r="E1335" s="2" t="n">
        <v>0.938062942677302</v>
      </c>
      <c r="F1335" s="2" t="s">
        <v>10751</v>
      </c>
      <c r="G1335" s="2" t="n">
        <v>82230</v>
      </c>
      <c r="H1335" s="3" t="str">
        <f>HYPERLINK("http://funmeta.oebiotech.com/network/82230", "http://funmeta.oebiotech.com/network/82230")</f>
      </c>
      <c r="I1335" s="2" t="s">
        <v>10753</v>
      </c>
      <c r="J1335" s="2" t="s">
        <v>10754</v>
      </c>
      <c r="K1335" s="2"/>
      <c r="L1335" s="2" t="s">
        <v>10755</v>
      </c>
      <c r="M1335" s="2" t="s">
        <v>10756</v>
      </c>
      <c r="N1335" s="2" t="s">
        <v>10757</v>
      </c>
      <c r="O1335" s="2"/>
      <c r="P1335" s="2" t="s">
        <v>10758</v>
      </c>
      <c r="Q1335" s="2" t="s">
        <v>10759</v>
      </c>
      <c r="R1335" s="2" t="s">
        <v>114</v>
      </c>
      <c r="S1335" s="2" t="s">
        <v>5441</v>
      </c>
      <c r="T1335" s="2" t="s">
        <v>5442</v>
      </c>
      <c r="U1335" s="2" t="s">
        <v>10750</v>
      </c>
      <c r="V1335" s="2" t="s">
        <v>683</v>
      </c>
      <c r="W1335" s="2" t="s">
        <v>101</v>
      </c>
    </row>
    <row r="1336">
      <c r="A1336" s="2" t="n">
        <v>1023</v>
      </c>
      <c r="B1336" s="2" t="s">
        <v>16747</v>
      </c>
      <c r="C1336" s="2" t="s">
        <v>10760</v>
      </c>
      <c r="D1336" s="2" t="n">
        <v>827.546743408</v>
      </c>
      <c r="E1336" s="2" t="n">
        <v>5.52430116956641</v>
      </c>
      <c r="F1336" s="2" t="s">
        <v>10762</v>
      </c>
      <c r="G1336" s="2" t="n">
        <v>54894</v>
      </c>
      <c r="H1336" s="3" t="str">
        <f>HYPERLINK("http://funmeta.oebiotech.com/network/54894", "http://funmeta.oebiotech.com/network/54894")</f>
      </c>
      <c r="I1336" s="2" t="s">
        <v>10764</v>
      </c>
      <c r="J1336" s="2"/>
      <c r="K1336" s="2"/>
      <c r="L1336" s="2" t="s">
        <v>10765</v>
      </c>
      <c r="M1336" s="2"/>
      <c r="N1336" s="2" t="s">
        <v>10766</v>
      </c>
      <c r="O1336" s="2" t="s">
        <v>10767</v>
      </c>
      <c r="P1336" s="2" t="s">
        <v>10768</v>
      </c>
      <c r="Q1336" s="2" t="s">
        <v>10769</v>
      </c>
      <c r="R1336" s="2" t="s">
        <v>129</v>
      </c>
      <c r="S1336" s="2" t="s">
        <v>130</v>
      </c>
      <c r="T1336" s="2" t="s">
        <v>131</v>
      </c>
      <c r="U1336" s="2" t="s">
        <v>10761</v>
      </c>
      <c r="V1336" s="2" t="s">
        <v>683</v>
      </c>
      <c r="W1336" s="2" t="s">
        <v>101</v>
      </c>
    </row>
    <row r="1337">
      <c r="A1337" s="2" t="n">
        <v>1024</v>
      </c>
      <c r="B1337" s="2" t="s">
        <v>16748</v>
      </c>
      <c r="C1337" s="2" t="s">
        <v>10770</v>
      </c>
      <c r="D1337" s="2" t="n">
        <v>828.567942559</v>
      </c>
      <c r="E1337" s="2" t="n">
        <v>7.09015536737602</v>
      </c>
      <c r="F1337" s="2" t="s">
        <v>16749</v>
      </c>
      <c r="G1337" s="2" t="n">
        <v>49692</v>
      </c>
      <c r="H1337" s="3" t="str">
        <f>HYPERLINK("http://funmeta.oebiotech.com/network/49692", "http://funmeta.oebiotech.com/network/49692")</f>
      </c>
      <c r="I1337" s="2" t="s">
        <v>16750</v>
      </c>
      <c r="J1337" s="2" t="s">
        <v>16751</v>
      </c>
      <c r="K1337" s="2"/>
      <c r="L1337" s="2" t="s">
        <v>9831</v>
      </c>
      <c r="M1337" s="2" t="s">
        <v>16752</v>
      </c>
      <c r="N1337" s="2" t="s">
        <v>16753</v>
      </c>
      <c r="O1337" s="2"/>
      <c r="P1337" s="2" t="s">
        <v>16754</v>
      </c>
      <c r="Q1337" s="2" t="s">
        <v>16755</v>
      </c>
      <c r="R1337" s="2" t="s">
        <v>794</v>
      </c>
      <c r="S1337" s="2" t="s">
        <v>7122</v>
      </c>
      <c r="T1337" s="2" t="s">
        <v>8460</v>
      </c>
      <c r="U1337" s="2" t="s">
        <v>10771</v>
      </c>
      <c r="V1337" s="2" t="s">
        <v>86</v>
      </c>
      <c r="W1337" s="2" t="s">
        <v>56</v>
      </c>
    </row>
    <row r="1338">
      <c r="A1338" s="2" t="n">
        <v>1024</v>
      </c>
      <c r="B1338" s="2" t="s">
        <v>16756</v>
      </c>
      <c r="C1338" s="2" t="s">
        <v>10770</v>
      </c>
      <c r="D1338" s="2" t="n">
        <v>828.567942559</v>
      </c>
      <c r="E1338" s="2" t="n">
        <v>7.09015536737602</v>
      </c>
      <c r="F1338" s="2" t="s">
        <v>16757</v>
      </c>
      <c r="G1338" s="2" t="n">
        <v>49798</v>
      </c>
      <c r="H1338" s="3" t="str">
        <f>HYPERLINK("http://funmeta.oebiotech.com/network/49798", "http://funmeta.oebiotech.com/network/49798")</f>
      </c>
      <c r="I1338" s="2" t="s">
        <v>16758</v>
      </c>
      <c r="J1338" s="2" t="s">
        <v>16759</v>
      </c>
      <c r="K1338" s="2"/>
      <c r="L1338" s="2" t="s">
        <v>9831</v>
      </c>
      <c r="M1338" s="2" t="s">
        <v>16760</v>
      </c>
      <c r="N1338" s="2" t="s">
        <v>16761</v>
      </c>
      <c r="O1338" s="2"/>
      <c r="P1338" s="2" t="s">
        <v>16762</v>
      </c>
      <c r="Q1338" s="2" t="s">
        <v>16763</v>
      </c>
      <c r="R1338" s="2" t="s">
        <v>794</v>
      </c>
      <c r="S1338" s="2" t="s">
        <v>7122</v>
      </c>
      <c r="T1338" s="2" t="s">
        <v>8460</v>
      </c>
      <c r="U1338" s="2" t="s">
        <v>10771</v>
      </c>
      <c r="V1338" s="2" t="s">
        <v>86</v>
      </c>
      <c r="W1338" s="2" t="s">
        <v>56</v>
      </c>
    </row>
    <row r="1339">
      <c r="A1339" s="2" t="n">
        <v>1025</v>
      </c>
      <c r="B1339" s="2" t="s">
        <v>16764</v>
      </c>
      <c r="C1339" s="2" t="s">
        <v>10782</v>
      </c>
      <c r="D1339" s="2" t="n">
        <v>829.575280631</v>
      </c>
      <c r="E1339" s="2" t="n">
        <v>8.44229382030742</v>
      </c>
      <c r="F1339" s="2" t="s">
        <v>10784</v>
      </c>
      <c r="G1339" s="2" t="n">
        <v>135184</v>
      </c>
      <c r="H1339" s="3" t="str">
        <f>HYPERLINK("http://funmeta.oebiotech.com/network/135184", "http://funmeta.oebiotech.com/network/135184")</f>
      </c>
      <c r="I1339" s="2" t="s">
        <v>10786</v>
      </c>
      <c r="J1339" s="2"/>
      <c r="K1339" s="2"/>
      <c r="L1339" s="2"/>
      <c r="M1339" s="2"/>
      <c r="N1339" s="2" t="s">
        <v>10787</v>
      </c>
      <c r="O1339" s="2"/>
      <c r="P1339" s="2" t="s">
        <v>10788</v>
      </c>
      <c r="Q1339" s="2" t="s">
        <v>10789</v>
      </c>
      <c r="R1339" s="2" t="s">
        <v>794</v>
      </c>
      <c r="S1339" s="2" t="s">
        <v>7122</v>
      </c>
      <c r="T1339" s="2" t="s">
        <v>7123</v>
      </c>
      <c r="U1339" s="2" t="s">
        <v>10783</v>
      </c>
      <c r="V1339" s="2" t="s">
        <v>24</v>
      </c>
      <c r="W1339" s="2"/>
    </row>
    <row r="1340">
      <c r="A1340" s="2" t="n">
        <v>1026</v>
      </c>
      <c r="B1340" s="2" t="s">
        <v>16765</v>
      </c>
      <c r="C1340" s="2" t="s">
        <v>10790</v>
      </c>
      <c r="D1340" s="2" t="n">
        <v>830.510760053</v>
      </c>
      <c r="E1340" s="2" t="n">
        <v>7.26028542939335</v>
      </c>
      <c r="F1340" s="2" t="s">
        <v>10792</v>
      </c>
      <c r="G1340" s="2" t="n">
        <v>49989</v>
      </c>
      <c r="H1340" s="3" t="str">
        <f>HYPERLINK("http://funmeta.oebiotech.com/network/49989", "http://funmeta.oebiotech.com/network/49989")</f>
      </c>
      <c r="I1340" s="2" t="s">
        <v>10794</v>
      </c>
      <c r="J1340" s="2" t="s">
        <v>10795</v>
      </c>
      <c r="K1340" s="2"/>
      <c r="L1340" s="2" t="s">
        <v>9434</v>
      </c>
      <c r="M1340" s="2" t="s">
        <v>10796</v>
      </c>
      <c r="N1340" s="2" t="s">
        <v>10797</v>
      </c>
      <c r="O1340" s="2"/>
      <c r="P1340" s="2" t="s">
        <v>10798</v>
      </c>
      <c r="Q1340" s="2" t="s">
        <v>10799</v>
      </c>
      <c r="R1340" s="2" t="s">
        <v>794</v>
      </c>
      <c r="S1340" s="2" t="s">
        <v>7122</v>
      </c>
      <c r="T1340" s="2" t="s">
        <v>8042</v>
      </c>
      <c r="U1340" s="2" t="s">
        <v>10791</v>
      </c>
      <c r="V1340" s="2" t="s">
        <v>218</v>
      </c>
      <c r="W1340" s="2" t="s">
        <v>39</v>
      </c>
    </row>
    <row r="1341">
      <c r="A1341" s="2" t="n">
        <v>1027</v>
      </c>
      <c r="B1341" s="2" t="s">
        <v>16766</v>
      </c>
      <c r="C1341" s="2" t="s">
        <v>10800</v>
      </c>
      <c r="D1341" s="2" t="n">
        <v>830.591658971</v>
      </c>
      <c r="E1341" s="2" t="n">
        <v>8.5943252490828</v>
      </c>
      <c r="F1341" s="2" t="s">
        <v>10802</v>
      </c>
      <c r="G1341" s="2" t="n">
        <v>132702</v>
      </c>
      <c r="H1341" s="3" t="str">
        <f>HYPERLINK("http://funmeta.oebiotech.com/network/132702", "http://funmeta.oebiotech.com/network/132702")</f>
      </c>
      <c r="I1341" s="2" t="s">
        <v>10804</v>
      </c>
      <c r="J1341" s="2"/>
      <c r="K1341" s="2"/>
      <c r="L1341" s="2"/>
      <c r="M1341" s="2"/>
      <c r="N1341" s="2" t="s">
        <v>10805</v>
      </c>
      <c r="O1341" s="2"/>
      <c r="P1341" s="2" t="s">
        <v>10806</v>
      </c>
      <c r="Q1341" s="2" t="s">
        <v>10807</v>
      </c>
      <c r="R1341" s="2" t="s">
        <v>794</v>
      </c>
      <c r="S1341" s="2" t="s">
        <v>7122</v>
      </c>
      <c r="T1341" s="2" t="s">
        <v>8876</v>
      </c>
      <c r="U1341" s="2" t="s">
        <v>10801</v>
      </c>
      <c r="V1341" s="2" t="s">
        <v>24</v>
      </c>
      <c r="W1341" s="2" t="s">
        <v>56</v>
      </c>
    </row>
    <row r="1342">
      <c r="A1342" s="2" t="n">
        <v>1028</v>
      </c>
      <c r="B1342" s="2" t="s">
        <v>16767</v>
      </c>
      <c r="C1342" s="2" t="s">
        <v>10808</v>
      </c>
      <c r="D1342" s="2" t="n">
        <v>833.518553602</v>
      </c>
      <c r="E1342" s="2" t="n">
        <v>2.19860046228577</v>
      </c>
      <c r="F1342" s="2" t="s">
        <v>10810</v>
      </c>
      <c r="G1342" s="2" t="n">
        <v>24674</v>
      </c>
      <c r="H1342" s="3" t="str">
        <f>HYPERLINK("http://funmeta.oebiotech.com/network/24674", "http://funmeta.oebiotech.com/network/24674")</f>
      </c>
      <c r="I1342" s="2" t="s">
        <v>10812</v>
      </c>
      <c r="J1342" s="2"/>
      <c r="K1342" s="2" t="s">
        <v>10813</v>
      </c>
      <c r="L1342" s="2"/>
      <c r="M1342" s="2" t="s">
        <v>10814</v>
      </c>
      <c r="N1342" s="2" t="s">
        <v>10815</v>
      </c>
      <c r="O1342" s="2" t="s">
        <v>10816</v>
      </c>
      <c r="P1342" s="2" t="s">
        <v>10817</v>
      </c>
      <c r="Q1342" s="2" t="s">
        <v>10818</v>
      </c>
      <c r="R1342" s="2" t="s">
        <v>794</v>
      </c>
      <c r="S1342" s="2" t="s">
        <v>7122</v>
      </c>
      <c r="T1342" s="2" t="s">
        <v>9394</v>
      </c>
      <c r="U1342" s="2" t="s">
        <v>10809</v>
      </c>
      <c r="V1342" s="2" t="s">
        <v>24</v>
      </c>
      <c r="W1342" s="2" t="s">
        <v>39</v>
      </c>
    </row>
    <row r="1343">
      <c r="A1343" s="2" t="n">
        <v>1029</v>
      </c>
      <c r="B1343" s="2" t="s">
        <v>16768</v>
      </c>
      <c r="C1343" s="2" t="s">
        <v>10819</v>
      </c>
      <c r="D1343" s="2" t="n">
        <v>834.529053925</v>
      </c>
      <c r="E1343" s="2" t="n">
        <v>4.28526828943899</v>
      </c>
      <c r="F1343" s="2" t="s">
        <v>10821</v>
      </c>
      <c r="G1343" s="2" t="n">
        <v>50021</v>
      </c>
      <c r="H1343" s="3" t="str">
        <f>HYPERLINK("http://funmeta.oebiotech.com/network/50021", "http://funmeta.oebiotech.com/network/50021")</f>
      </c>
      <c r="I1343" s="2" t="s">
        <v>10823</v>
      </c>
      <c r="J1343" s="2" t="s">
        <v>10824</v>
      </c>
      <c r="K1343" s="2"/>
      <c r="L1343" s="2" t="s">
        <v>9434</v>
      </c>
      <c r="M1343" s="2"/>
      <c r="N1343" s="2" t="s">
        <v>10825</v>
      </c>
      <c r="O1343" s="2"/>
      <c r="P1343" s="2" t="s">
        <v>10826</v>
      </c>
      <c r="Q1343" s="2" t="s">
        <v>10827</v>
      </c>
      <c r="R1343" s="2" t="s">
        <v>794</v>
      </c>
      <c r="S1343" s="2" t="s">
        <v>7122</v>
      </c>
      <c r="T1343" s="2" t="s">
        <v>8042</v>
      </c>
      <c r="U1343" s="2" t="s">
        <v>10820</v>
      </c>
      <c r="V1343" s="2" t="s">
        <v>205</v>
      </c>
      <c r="W1343" s="2" t="s">
        <v>39</v>
      </c>
    </row>
    <row r="1344">
      <c r="A1344" s="2" t="n">
        <v>1030</v>
      </c>
      <c r="B1344" s="2" t="s">
        <v>16769</v>
      </c>
      <c r="C1344" s="2" t="s">
        <v>10828</v>
      </c>
      <c r="D1344" s="2" t="n">
        <v>836.463809861</v>
      </c>
      <c r="E1344" s="2" t="n">
        <v>9.23130769061283</v>
      </c>
      <c r="F1344" s="2" t="s">
        <v>10830</v>
      </c>
      <c r="G1344" s="2" t="n">
        <v>18983</v>
      </c>
      <c r="H1344" s="3" t="str">
        <f>HYPERLINK("http://funmeta.oebiotech.com/network/18983", "http://funmeta.oebiotech.com/network/18983")</f>
      </c>
      <c r="I1344" s="2" t="s">
        <v>10832</v>
      </c>
      <c r="J1344" s="2" t="s">
        <v>10833</v>
      </c>
      <c r="K1344" s="2" t="s">
        <v>10834</v>
      </c>
      <c r="L1344" s="2" t="s">
        <v>9831</v>
      </c>
      <c r="M1344" s="2"/>
      <c r="N1344" s="2" t="s">
        <v>10835</v>
      </c>
      <c r="O1344" s="2"/>
      <c r="P1344" s="2" t="s">
        <v>10836</v>
      </c>
      <c r="Q1344" s="2" t="s">
        <v>10837</v>
      </c>
      <c r="R1344" s="2" t="s">
        <v>794</v>
      </c>
      <c r="S1344" s="2" t="s">
        <v>7122</v>
      </c>
      <c r="T1344" s="2" t="s">
        <v>8460</v>
      </c>
      <c r="U1344" s="2" t="s">
        <v>10829</v>
      </c>
      <c r="V1344" s="2" t="s">
        <v>218</v>
      </c>
      <c r="W1344" s="2" t="s">
        <v>56</v>
      </c>
    </row>
    <row r="1345">
      <c r="A1345" s="2" t="n">
        <v>1031</v>
      </c>
      <c r="B1345" s="2" t="s">
        <v>16770</v>
      </c>
      <c r="C1345" s="2" t="s">
        <v>10838</v>
      </c>
      <c r="D1345" s="2" t="n">
        <v>837.202707008</v>
      </c>
      <c r="E1345" s="2" t="n">
        <v>8.46499082458226</v>
      </c>
      <c r="F1345" s="2" t="s">
        <v>10840</v>
      </c>
      <c r="G1345" s="2" t="n">
        <v>47736</v>
      </c>
      <c r="H1345" s="3" t="str">
        <f>HYPERLINK("http://funmeta.oebiotech.com/network/47736", "http://funmeta.oebiotech.com/network/47736")</f>
      </c>
      <c r="I1345" s="2" t="s">
        <v>10842</v>
      </c>
      <c r="J1345" s="2" t="s">
        <v>10843</v>
      </c>
      <c r="K1345" s="2"/>
      <c r="L1345" s="2"/>
      <c r="M1345" s="2"/>
      <c r="N1345" s="2"/>
      <c r="O1345" s="2"/>
      <c r="P1345" s="2" t="s">
        <v>10844</v>
      </c>
      <c r="Q1345" s="2" t="s">
        <v>10845</v>
      </c>
      <c r="R1345" s="2" t="s">
        <v>114</v>
      </c>
      <c r="S1345" s="2" t="s">
        <v>10846</v>
      </c>
      <c r="T1345" s="2" t="s">
        <v>10847</v>
      </c>
      <c r="U1345" s="2" t="s">
        <v>10839</v>
      </c>
      <c r="V1345" s="2" t="s">
        <v>218</v>
      </c>
      <c r="W1345" s="2"/>
    </row>
    <row r="1346">
      <c r="A1346" s="2" t="n">
        <v>1032</v>
      </c>
      <c r="B1346" s="2" t="s">
        <v>16771</v>
      </c>
      <c r="C1346" s="2" t="s">
        <v>10848</v>
      </c>
      <c r="D1346" s="2" t="n">
        <v>839.525614038</v>
      </c>
      <c r="E1346" s="2" t="n">
        <v>4.16188088549004</v>
      </c>
      <c r="F1346" s="2" t="s">
        <v>10850</v>
      </c>
      <c r="G1346" s="2" t="n">
        <v>212301</v>
      </c>
      <c r="H1346" s="3" t="str">
        <f>HYPERLINK("http://funmeta.oebiotech.com/network/212301", "http://funmeta.oebiotech.com/network/212301")</f>
      </c>
      <c r="I1346" s="2" t="s">
        <v>10852</v>
      </c>
      <c r="J1346" s="2"/>
      <c r="K1346" s="2"/>
      <c r="L1346" s="2"/>
      <c r="M1346" s="2"/>
      <c r="N1346" s="2" t="s">
        <v>10853</v>
      </c>
      <c r="O1346" s="2"/>
      <c r="P1346" s="2" t="s">
        <v>10854</v>
      </c>
      <c r="Q1346" s="2" t="s">
        <v>10855</v>
      </c>
      <c r="R1346" s="2" t="s">
        <v>794</v>
      </c>
      <c r="S1346" s="2" t="s">
        <v>2971</v>
      </c>
      <c r="T1346" s="2" t="s">
        <v>6290</v>
      </c>
      <c r="U1346" s="2" t="s">
        <v>10849</v>
      </c>
      <c r="V1346" s="2" t="s">
        <v>683</v>
      </c>
      <c r="W1346" s="2"/>
    </row>
    <row r="1347">
      <c r="A1347" s="2" t="n">
        <v>1033</v>
      </c>
      <c r="B1347" s="2" t="s">
        <v>16772</v>
      </c>
      <c r="C1347" s="2" t="s">
        <v>10856</v>
      </c>
      <c r="D1347" s="2" t="n">
        <v>843.53928426</v>
      </c>
      <c r="E1347" s="2" t="n">
        <v>2.97761783992409</v>
      </c>
      <c r="F1347" s="2" t="s">
        <v>10858</v>
      </c>
      <c r="G1347" s="2" t="n">
        <v>23446</v>
      </c>
      <c r="H1347" s="3" t="str">
        <f>HYPERLINK("http://funmeta.oebiotech.com/network/23446", "http://funmeta.oebiotech.com/network/23446")</f>
      </c>
      <c r="I1347" s="2" t="s">
        <v>10860</v>
      </c>
      <c r="J1347" s="2" t="s">
        <v>10861</v>
      </c>
      <c r="K1347" s="2" t="s">
        <v>10862</v>
      </c>
      <c r="L1347" s="2"/>
      <c r="M1347" s="2" t="s">
        <v>10863</v>
      </c>
      <c r="N1347" s="2" t="s">
        <v>10864</v>
      </c>
      <c r="O1347" s="2"/>
      <c r="P1347" s="2" t="s">
        <v>10865</v>
      </c>
      <c r="Q1347" s="2" t="s">
        <v>10866</v>
      </c>
      <c r="R1347" s="2" t="s">
        <v>794</v>
      </c>
      <c r="S1347" s="2" t="s">
        <v>7122</v>
      </c>
      <c r="T1347" s="2" t="s">
        <v>9951</v>
      </c>
      <c r="U1347" s="2" t="s">
        <v>10857</v>
      </c>
      <c r="V1347" s="2" t="s">
        <v>205</v>
      </c>
      <c r="W1347" s="2" t="s">
        <v>56</v>
      </c>
    </row>
    <row r="1348">
      <c r="A1348" s="2" t="n">
        <v>1034</v>
      </c>
      <c r="B1348" s="2" t="s">
        <v>16773</v>
      </c>
      <c r="C1348" s="2" t="s">
        <v>10867</v>
      </c>
      <c r="D1348" s="2" t="n">
        <v>846.565444222</v>
      </c>
      <c r="E1348" s="2" t="n">
        <v>0.423650480726021</v>
      </c>
      <c r="F1348" s="2" t="s">
        <v>10869</v>
      </c>
      <c r="G1348" s="2" t="n">
        <v>210678</v>
      </c>
      <c r="H1348" s="3" t="str">
        <f>HYPERLINK("http://funmeta.oebiotech.com/network/210678", "http://funmeta.oebiotech.com/network/210678")</f>
      </c>
      <c r="I1348" s="2" t="s">
        <v>10871</v>
      </c>
      <c r="J1348" s="2"/>
      <c r="K1348" s="2"/>
      <c r="L1348" s="2"/>
      <c r="M1348" s="2"/>
      <c r="N1348" s="2"/>
      <c r="O1348" s="2"/>
      <c r="P1348" s="2" t="s">
        <v>10872</v>
      </c>
      <c r="Q1348" s="2" t="s">
        <v>10873</v>
      </c>
      <c r="R1348" s="2" t="s">
        <v>794</v>
      </c>
      <c r="S1348" s="2" t="s">
        <v>7122</v>
      </c>
      <c r="T1348" s="2" t="s">
        <v>8876</v>
      </c>
      <c r="U1348" s="2" t="s">
        <v>10868</v>
      </c>
      <c r="V1348" s="2" t="s">
        <v>24</v>
      </c>
      <c r="W1348" s="2"/>
    </row>
    <row r="1349">
      <c r="A1349" s="2" t="n">
        <v>1035</v>
      </c>
      <c r="B1349" s="2" t="s">
        <v>16774</v>
      </c>
      <c r="C1349" s="2" t="s">
        <v>10874</v>
      </c>
      <c r="D1349" s="2" t="n">
        <v>847.557702024</v>
      </c>
      <c r="E1349" s="2" t="n">
        <v>2.15933166005094</v>
      </c>
      <c r="F1349" s="2" t="s">
        <v>10876</v>
      </c>
      <c r="G1349" s="2" t="n">
        <v>45982</v>
      </c>
      <c r="H1349" s="3" t="str">
        <f>HYPERLINK("http://funmeta.oebiotech.com/network/45982", "http://funmeta.oebiotech.com/network/45982")</f>
      </c>
      <c r="I1349" s="2" t="s">
        <v>10878</v>
      </c>
      <c r="J1349" s="2" t="s">
        <v>10879</v>
      </c>
      <c r="K1349" s="2" t="s">
        <v>10880</v>
      </c>
      <c r="L1349" s="2" t="s">
        <v>10881</v>
      </c>
      <c r="M1349" s="2" t="s">
        <v>10882</v>
      </c>
      <c r="N1349" s="2" t="s">
        <v>10883</v>
      </c>
      <c r="O1349" s="2" t="s">
        <v>10884</v>
      </c>
      <c r="P1349" s="2" t="s">
        <v>10885</v>
      </c>
      <c r="Q1349" s="2" t="s">
        <v>10886</v>
      </c>
      <c r="R1349" s="2" t="s">
        <v>794</v>
      </c>
      <c r="S1349" s="2" t="s">
        <v>2971</v>
      </c>
      <c r="T1349" s="2" t="s">
        <v>6499</v>
      </c>
      <c r="U1349" s="2" t="s">
        <v>10875</v>
      </c>
      <c r="V1349" s="2" t="s">
        <v>683</v>
      </c>
      <c r="W1349" s="2" t="s">
        <v>56</v>
      </c>
    </row>
    <row r="1350">
      <c r="A1350" s="2" t="n">
        <v>1036</v>
      </c>
      <c r="B1350" s="2" t="s">
        <v>16775</v>
      </c>
      <c r="C1350" s="2" t="s">
        <v>10887</v>
      </c>
      <c r="D1350" s="2" t="n">
        <v>848.484939233</v>
      </c>
      <c r="E1350" s="2" t="n">
        <v>8.55333774885722</v>
      </c>
      <c r="F1350" s="2" t="s">
        <v>10889</v>
      </c>
      <c r="G1350" s="2" t="n">
        <v>50800</v>
      </c>
      <c r="H1350" s="3" t="str">
        <f>HYPERLINK("http://funmeta.oebiotech.com/network/50800", "http://funmeta.oebiotech.com/network/50800")</f>
      </c>
      <c r="I1350" s="2" t="s">
        <v>10891</v>
      </c>
      <c r="J1350" s="2" t="s">
        <v>10892</v>
      </c>
      <c r="K1350" s="2"/>
      <c r="L1350" s="2" t="s">
        <v>10893</v>
      </c>
      <c r="M1350" s="2" t="s">
        <v>10894</v>
      </c>
      <c r="N1350" s="2" t="s">
        <v>10895</v>
      </c>
      <c r="O1350" s="2"/>
      <c r="P1350" s="2" t="s">
        <v>10896</v>
      </c>
      <c r="Q1350" s="2" t="s">
        <v>10897</v>
      </c>
      <c r="R1350" s="2" t="s">
        <v>794</v>
      </c>
      <c r="S1350" s="2" t="s">
        <v>7122</v>
      </c>
      <c r="T1350" s="2" t="s">
        <v>8876</v>
      </c>
      <c r="U1350" s="2" t="s">
        <v>10888</v>
      </c>
      <c r="V1350" s="2" t="s">
        <v>218</v>
      </c>
      <c r="W1350" s="2" t="s">
        <v>56</v>
      </c>
    </row>
    <row r="1351">
      <c r="A1351" s="2" t="n">
        <v>1037</v>
      </c>
      <c r="B1351" s="2" t="s">
        <v>16776</v>
      </c>
      <c r="C1351" s="2" t="s">
        <v>10898</v>
      </c>
      <c r="D1351" s="2" t="n">
        <v>849.500581076</v>
      </c>
      <c r="E1351" s="2" t="n">
        <v>9.71177972883445</v>
      </c>
      <c r="F1351" s="2" t="s">
        <v>16777</v>
      </c>
      <c r="G1351" s="2" t="n">
        <v>58596</v>
      </c>
      <c r="H1351" s="3" t="str">
        <f>HYPERLINK("http://funmeta.oebiotech.com/network/58596", "http://funmeta.oebiotech.com/network/58596")</f>
      </c>
      <c r="I1351" s="2" t="s">
        <v>16778</v>
      </c>
      <c r="J1351" s="2"/>
      <c r="K1351" s="2"/>
      <c r="L1351" s="2"/>
      <c r="M1351" s="2"/>
      <c r="N1351" s="2" t="s">
        <v>16779</v>
      </c>
      <c r="O1351" s="2" t="s">
        <v>16780</v>
      </c>
      <c r="P1351" s="2" t="s">
        <v>16781</v>
      </c>
      <c r="Q1351" s="2" t="s">
        <v>16782</v>
      </c>
      <c r="R1351" s="2" t="s">
        <v>794</v>
      </c>
      <c r="S1351" s="2" t="s">
        <v>2971</v>
      </c>
      <c r="T1351" s="2" t="s">
        <v>11733</v>
      </c>
      <c r="U1351" s="2" t="s">
        <v>10899</v>
      </c>
      <c r="V1351" s="2" t="s">
        <v>24</v>
      </c>
      <c r="W1351" s="2"/>
    </row>
    <row r="1352">
      <c r="A1352" s="2" t="n">
        <v>1037</v>
      </c>
      <c r="B1352" s="2" t="s">
        <v>16783</v>
      </c>
      <c r="C1352" s="2" t="s">
        <v>10898</v>
      </c>
      <c r="D1352" s="2" t="n">
        <v>849.500581076</v>
      </c>
      <c r="E1352" s="2" t="n">
        <v>9.71177972883445</v>
      </c>
      <c r="F1352" s="2" t="s">
        <v>16784</v>
      </c>
      <c r="G1352" s="2" t="n">
        <v>59790</v>
      </c>
      <c r="H1352" s="3" t="str">
        <f>HYPERLINK("http://funmeta.oebiotech.com/network/59790", "http://funmeta.oebiotech.com/network/59790")</f>
      </c>
      <c r="I1352" s="2" t="s">
        <v>16785</v>
      </c>
      <c r="J1352" s="2"/>
      <c r="K1352" s="2"/>
      <c r="L1352" s="2"/>
      <c r="M1352" s="2"/>
      <c r="N1352" s="2" t="s">
        <v>16786</v>
      </c>
      <c r="O1352" s="2" t="s">
        <v>16787</v>
      </c>
      <c r="P1352" s="2" t="s">
        <v>16788</v>
      </c>
      <c r="Q1352" s="2" t="s">
        <v>16789</v>
      </c>
      <c r="R1352" s="2" t="s">
        <v>794</v>
      </c>
      <c r="S1352" s="2" t="s">
        <v>2971</v>
      </c>
      <c r="T1352" s="2" t="s">
        <v>11733</v>
      </c>
      <c r="U1352" s="2" t="s">
        <v>10899</v>
      </c>
      <c r="V1352" s="2" t="s">
        <v>24</v>
      </c>
      <c r="W1352" s="2"/>
    </row>
    <row r="1353">
      <c r="A1353" s="2" t="n">
        <v>1038</v>
      </c>
      <c r="B1353" s="2" t="s">
        <v>16790</v>
      </c>
      <c r="C1353" s="2" t="s">
        <v>10908</v>
      </c>
      <c r="D1353" s="2" t="n">
        <v>852.554879053</v>
      </c>
      <c r="E1353" s="2" t="n">
        <v>5.71843052738006</v>
      </c>
      <c r="F1353" s="2" t="s">
        <v>10910</v>
      </c>
      <c r="G1353" s="2" t="n">
        <v>19184</v>
      </c>
      <c r="H1353" s="3" t="str">
        <f>HYPERLINK("http://funmeta.oebiotech.com/network/19184", "http://funmeta.oebiotech.com/network/19184")</f>
      </c>
      <c r="I1353" s="2" t="s">
        <v>10912</v>
      </c>
      <c r="J1353" s="2" t="s">
        <v>10913</v>
      </c>
      <c r="K1353" s="2" t="s">
        <v>10914</v>
      </c>
      <c r="L1353" s="2" t="s">
        <v>9831</v>
      </c>
      <c r="M1353" s="2"/>
      <c r="N1353" s="2" t="s">
        <v>10915</v>
      </c>
      <c r="O1353" s="2"/>
      <c r="P1353" s="2" t="s">
        <v>10916</v>
      </c>
      <c r="Q1353" s="2" t="s">
        <v>10917</v>
      </c>
      <c r="R1353" s="2" t="s">
        <v>794</v>
      </c>
      <c r="S1353" s="2" t="s">
        <v>7122</v>
      </c>
      <c r="T1353" s="2" t="s">
        <v>8460</v>
      </c>
      <c r="U1353" s="2" t="s">
        <v>10909</v>
      </c>
      <c r="V1353" s="2" t="s">
        <v>24</v>
      </c>
      <c r="W1353" s="2" t="s">
        <v>39</v>
      </c>
    </row>
    <row r="1354">
      <c r="A1354" s="2" t="n">
        <v>1039</v>
      </c>
      <c r="B1354" s="2" t="s">
        <v>16791</v>
      </c>
      <c r="C1354" s="2" t="s">
        <v>10918</v>
      </c>
      <c r="D1354" s="2" t="n">
        <v>853.575395425</v>
      </c>
      <c r="E1354" s="2" t="n">
        <v>9.82580019050128</v>
      </c>
      <c r="F1354" s="2" t="s">
        <v>10920</v>
      </c>
      <c r="G1354" s="2" t="n">
        <v>71007</v>
      </c>
      <c r="H1354" s="3" t="str">
        <f>HYPERLINK("http://funmeta.oebiotech.com/network/71007", "http://funmeta.oebiotech.com/network/71007")</f>
      </c>
      <c r="I1354" s="2" t="s">
        <v>10922</v>
      </c>
      <c r="J1354" s="2"/>
      <c r="K1354" s="2"/>
      <c r="L1354" s="2"/>
      <c r="M1354" s="2"/>
      <c r="N1354" s="2" t="s">
        <v>10923</v>
      </c>
      <c r="O1354" s="2"/>
      <c r="P1354" s="2" t="s">
        <v>10924</v>
      </c>
      <c r="Q1354" s="2" t="s">
        <v>10925</v>
      </c>
      <c r="R1354" s="2" t="s">
        <v>794</v>
      </c>
      <c r="S1354" s="2" t="s">
        <v>2600</v>
      </c>
      <c r="T1354" s="2" t="s">
        <v>8840</v>
      </c>
      <c r="U1354" s="2" t="s">
        <v>10919</v>
      </c>
      <c r="V1354" s="2" t="s">
        <v>218</v>
      </c>
      <c r="W1354" s="2"/>
    </row>
    <row r="1355">
      <c r="A1355" s="2" t="n">
        <v>1040</v>
      </c>
      <c r="B1355" s="2" t="s">
        <v>16792</v>
      </c>
      <c r="C1355" s="2" t="s">
        <v>10926</v>
      </c>
      <c r="D1355" s="2" t="n">
        <v>854.604660437</v>
      </c>
      <c r="E1355" s="2" t="n">
        <v>2.00323991754814</v>
      </c>
      <c r="F1355" s="2" t="s">
        <v>10928</v>
      </c>
      <c r="G1355" s="2" t="n">
        <v>18222</v>
      </c>
      <c r="H1355" s="3" t="str">
        <f>HYPERLINK("http://funmeta.oebiotech.com/network/18222", "http://funmeta.oebiotech.com/network/18222")</f>
      </c>
      <c r="I1355" s="2" t="s">
        <v>10930</v>
      </c>
      <c r="J1355" s="2" t="s">
        <v>10931</v>
      </c>
      <c r="K1355" s="2" t="s">
        <v>10932</v>
      </c>
      <c r="L1355" s="2" t="s">
        <v>9831</v>
      </c>
      <c r="M1355" s="2" t="s">
        <v>10933</v>
      </c>
      <c r="N1355" s="2" t="s">
        <v>10934</v>
      </c>
      <c r="O1355" s="2"/>
      <c r="P1355" s="2" t="s">
        <v>10935</v>
      </c>
      <c r="Q1355" s="2" t="s">
        <v>10936</v>
      </c>
      <c r="R1355" s="2" t="s">
        <v>794</v>
      </c>
      <c r="S1355" s="2" t="s">
        <v>7122</v>
      </c>
      <c r="T1355" s="2" t="s">
        <v>8460</v>
      </c>
      <c r="U1355" s="2" t="s">
        <v>10927</v>
      </c>
      <c r="V1355" s="2" t="s">
        <v>218</v>
      </c>
      <c r="W1355" s="2" t="s">
        <v>101</v>
      </c>
    </row>
    <row r="1356">
      <c r="A1356" s="2" t="n">
        <v>1041</v>
      </c>
      <c r="B1356" s="2" t="s">
        <v>16793</v>
      </c>
      <c r="C1356" s="2" t="s">
        <v>10937</v>
      </c>
      <c r="D1356" s="2" t="n">
        <v>855.606301618</v>
      </c>
      <c r="E1356" s="2" t="n">
        <v>4.31093589479276</v>
      </c>
      <c r="F1356" s="2" t="s">
        <v>16794</v>
      </c>
      <c r="G1356" s="2" t="n">
        <v>48689</v>
      </c>
      <c r="H1356" s="3" t="str">
        <f>HYPERLINK("http://funmeta.oebiotech.com/network/48689", "http://funmeta.oebiotech.com/network/48689")</f>
      </c>
      <c r="I1356" s="2" t="s">
        <v>16795</v>
      </c>
      <c r="J1356" s="2" t="s">
        <v>16796</v>
      </c>
      <c r="K1356" s="2"/>
      <c r="L1356" s="2"/>
      <c r="M1356" s="2" t="s">
        <v>16797</v>
      </c>
      <c r="N1356" s="2" t="s">
        <v>16798</v>
      </c>
      <c r="O1356" s="2" t="s">
        <v>16799</v>
      </c>
      <c r="P1356" s="2" t="s">
        <v>16800</v>
      </c>
      <c r="Q1356" s="2" t="s">
        <v>16801</v>
      </c>
      <c r="R1356" s="2" t="s">
        <v>794</v>
      </c>
      <c r="S1356" s="2" t="s">
        <v>1098</v>
      </c>
      <c r="T1356" s="2" t="s">
        <v>9709</v>
      </c>
      <c r="U1356" s="2" t="s">
        <v>10938</v>
      </c>
      <c r="V1356" s="2" t="s">
        <v>218</v>
      </c>
      <c r="W1356" s="2"/>
    </row>
    <row r="1357">
      <c r="A1357" s="2" t="n">
        <v>1041</v>
      </c>
      <c r="B1357" s="2" t="s">
        <v>16802</v>
      </c>
      <c r="C1357" s="2" t="s">
        <v>10937</v>
      </c>
      <c r="D1357" s="2" t="n">
        <v>855.606301618</v>
      </c>
      <c r="E1357" s="2" t="n">
        <v>4.31093589479276</v>
      </c>
      <c r="F1357" s="2" t="s">
        <v>16803</v>
      </c>
      <c r="G1357" s="2" t="n">
        <v>37431</v>
      </c>
      <c r="H1357" s="3" t="str">
        <f>HYPERLINK("http://funmeta.oebiotech.com/network/37431", "http://funmeta.oebiotech.com/network/37431")</f>
      </c>
      <c r="I1357" s="2" t="s">
        <v>16804</v>
      </c>
      <c r="J1357" s="2" t="s">
        <v>16805</v>
      </c>
      <c r="K1357" s="2" t="s">
        <v>16806</v>
      </c>
      <c r="L1357" s="2"/>
      <c r="M1357" s="2" t="s">
        <v>16807</v>
      </c>
      <c r="N1357" s="2" t="s">
        <v>16808</v>
      </c>
      <c r="O1357" s="2"/>
      <c r="P1357" s="2" t="s">
        <v>16809</v>
      </c>
      <c r="Q1357" s="2" t="s">
        <v>16810</v>
      </c>
      <c r="R1357" s="2" t="s">
        <v>794</v>
      </c>
      <c r="S1357" s="2" t="s">
        <v>1098</v>
      </c>
      <c r="T1357" s="2" t="s">
        <v>9336</v>
      </c>
      <c r="U1357" s="2" t="s">
        <v>10938</v>
      </c>
      <c r="V1357" s="2" t="s">
        <v>218</v>
      </c>
      <c r="W1357" s="2"/>
    </row>
    <row r="1358">
      <c r="A1358" s="2" t="n">
        <v>1042</v>
      </c>
      <c r="B1358" s="2" t="s">
        <v>16811</v>
      </c>
      <c r="C1358" s="2" t="s">
        <v>10950</v>
      </c>
      <c r="D1358" s="2" t="n">
        <v>856.562857181</v>
      </c>
      <c r="E1358" s="2" t="n">
        <v>7.77688309541197</v>
      </c>
      <c r="F1358" s="2" t="s">
        <v>10952</v>
      </c>
      <c r="G1358" s="2" t="n">
        <v>50082</v>
      </c>
      <c r="H1358" s="3" t="str">
        <f>HYPERLINK("http://funmeta.oebiotech.com/network/50082", "http://funmeta.oebiotech.com/network/50082")</f>
      </c>
      <c r="I1358" s="2" t="s">
        <v>10954</v>
      </c>
      <c r="J1358" s="2" t="s">
        <v>10955</v>
      </c>
      <c r="K1358" s="2"/>
      <c r="L1358" s="2" t="s">
        <v>9434</v>
      </c>
      <c r="M1358" s="2" t="s">
        <v>10956</v>
      </c>
      <c r="N1358" s="2" t="s">
        <v>10957</v>
      </c>
      <c r="O1358" s="2"/>
      <c r="P1358" s="2" t="s">
        <v>10958</v>
      </c>
      <c r="Q1358" s="2" t="s">
        <v>10959</v>
      </c>
      <c r="R1358" s="2" t="s">
        <v>794</v>
      </c>
      <c r="S1358" s="2" t="s">
        <v>7122</v>
      </c>
      <c r="T1358" s="2" t="s">
        <v>8042</v>
      </c>
      <c r="U1358" s="2" t="s">
        <v>10951</v>
      </c>
      <c r="V1358" s="2" t="s">
        <v>86</v>
      </c>
      <c r="W1358" s="2" t="s">
        <v>101</v>
      </c>
    </row>
    <row r="1359">
      <c r="A1359" s="2" t="n">
        <v>1043</v>
      </c>
      <c r="B1359" s="2" t="s">
        <v>16812</v>
      </c>
      <c r="C1359" s="2" t="s">
        <v>10960</v>
      </c>
      <c r="D1359" s="2" t="n">
        <v>857.531440761</v>
      </c>
      <c r="E1359" s="2" t="n">
        <v>6.78072770048137</v>
      </c>
      <c r="F1359" s="2" t="s">
        <v>10962</v>
      </c>
      <c r="G1359" s="2" t="n">
        <v>52316</v>
      </c>
      <c r="H1359" s="3" t="str">
        <f>HYPERLINK("http://funmeta.oebiotech.com/network/52316", "http://funmeta.oebiotech.com/network/52316")</f>
      </c>
      <c r="I1359" s="2" t="s">
        <v>10964</v>
      </c>
      <c r="J1359" s="2"/>
      <c r="K1359" s="2"/>
      <c r="L1359" s="2"/>
      <c r="M1359" s="2"/>
      <c r="N1359" s="2" t="s">
        <v>10965</v>
      </c>
      <c r="O1359" s="2"/>
      <c r="P1359" s="2" t="s">
        <v>10966</v>
      </c>
      <c r="Q1359" s="2" t="s">
        <v>10967</v>
      </c>
      <c r="R1359" s="2" t="s">
        <v>794</v>
      </c>
      <c r="S1359" s="2" t="s">
        <v>7122</v>
      </c>
      <c r="T1359" s="2" t="s">
        <v>10968</v>
      </c>
      <c r="U1359" s="2" t="s">
        <v>10961</v>
      </c>
      <c r="V1359" s="2" t="s">
        <v>24</v>
      </c>
      <c r="W1359" s="2" t="s">
        <v>56</v>
      </c>
    </row>
    <row r="1360">
      <c r="A1360" s="2" t="n">
        <v>1044</v>
      </c>
      <c r="B1360" s="2" t="s">
        <v>16813</v>
      </c>
      <c r="C1360" s="2" t="s">
        <v>10969</v>
      </c>
      <c r="D1360" s="2" t="n">
        <v>859.531796731</v>
      </c>
      <c r="E1360" s="2" t="n">
        <v>3.27133631685981</v>
      </c>
      <c r="F1360" s="2" t="s">
        <v>10971</v>
      </c>
      <c r="G1360" s="2" t="n">
        <v>24593</v>
      </c>
      <c r="H1360" s="3" t="str">
        <f>HYPERLINK("http://funmeta.oebiotech.com/network/24593", "http://funmeta.oebiotech.com/network/24593")</f>
      </c>
      <c r="I1360" s="2" t="s">
        <v>10973</v>
      </c>
      <c r="J1360" s="2"/>
      <c r="K1360" s="2" t="s">
        <v>10974</v>
      </c>
      <c r="L1360" s="2"/>
      <c r="M1360" s="2" t="s">
        <v>10975</v>
      </c>
      <c r="N1360" s="2" t="s">
        <v>10976</v>
      </c>
      <c r="O1360" s="2" t="s">
        <v>10977</v>
      </c>
      <c r="P1360" s="2" t="s">
        <v>10978</v>
      </c>
      <c r="Q1360" s="2" t="s">
        <v>10979</v>
      </c>
      <c r="R1360" s="2" t="s">
        <v>794</v>
      </c>
      <c r="S1360" s="2" t="s">
        <v>7122</v>
      </c>
      <c r="T1360" s="2" t="s">
        <v>9394</v>
      </c>
      <c r="U1360" s="2" t="s">
        <v>10970</v>
      </c>
      <c r="V1360" s="2" t="s">
        <v>531</v>
      </c>
      <c r="W1360" s="2" t="s">
        <v>56</v>
      </c>
    </row>
    <row r="1361">
      <c r="A1361" s="2" t="n">
        <v>1045</v>
      </c>
      <c r="B1361" s="2" t="s">
        <v>16814</v>
      </c>
      <c r="C1361" s="2" t="s">
        <v>10980</v>
      </c>
      <c r="D1361" s="2" t="n">
        <v>860.557772287</v>
      </c>
      <c r="E1361" s="2" t="n">
        <v>1.44035316013062</v>
      </c>
      <c r="F1361" s="2" t="s">
        <v>10982</v>
      </c>
      <c r="G1361" s="2" t="n">
        <v>27821</v>
      </c>
      <c r="H1361" s="3" t="str">
        <f>HYPERLINK("http://funmeta.oebiotech.com/network/27821", "http://funmeta.oebiotech.com/network/27821")</f>
      </c>
      <c r="I1361" s="2" t="s">
        <v>10984</v>
      </c>
      <c r="J1361" s="2" t="s">
        <v>10985</v>
      </c>
      <c r="K1361" s="2" t="s">
        <v>10986</v>
      </c>
      <c r="L1361" s="2"/>
      <c r="M1361" s="2"/>
      <c r="N1361" s="2" t="s">
        <v>10987</v>
      </c>
      <c r="O1361" s="2"/>
      <c r="P1361" s="2" t="s">
        <v>10988</v>
      </c>
      <c r="Q1361" s="2" t="s">
        <v>10989</v>
      </c>
      <c r="R1361" s="2" t="s">
        <v>794</v>
      </c>
      <c r="S1361" s="2" t="s">
        <v>7122</v>
      </c>
      <c r="T1361" s="2" t="s">
        <v>8460</v>
      </c>
      <c r="U1361" s="2" t="s">
        <v>10981</v>
      </c>
      <c r="V1361" s="2" t="s">
        <v>86</v>
      </c>
      <c r="W1361" s="2"/>
    </row>
    <row r="1362">
      <c r="A1362" s="2" t="n">
        <v>1046</v>
      </c>
      <c r="B1362" s="2" t="s">
        <v>16815</v>
      </c>
      <c r="C1362" s="2" t="s">
        <v>10990</v>
      </c>
      <c r="D1362" s="2" t="n">
        <v>861.348249032</v>
      </c>
      <c r="E1362" s="2" t="n">
        <v>9.08773015236324</v>
      </c>
      <c r="F1362" s="2" t="s">
        <v>10992</v>
      </c>
      <c r="G1362" s="2" t="n">
        <v>52877</v>
      </c>
      <c r="H1362" s="3" t="str">
        <f>HYPERLINK("http://funmeta.oebiotech.com/network/52877", "http://funmeta.oebiotech.com/network/52877")</f>
      </c>
      <c r="I1362" s="2" t="s">
        <v>10994</v>
      </c>
      <c r="J1362" s="2" t="s">
        <v>10995</v>
      </c>
      <c r="K1362" s="2"/>
      <c r="L1362" s="2" t="s">
        <v>10996</v>
      </c>
      <c r="M1362" s="2" t="s">
        <v>10997</v>
      </c>
      <c r="N1362" s="2" t="s">
        <v>10998</v>
      </c>
      <c r="O1362" s="2" t="s">
        <v>10999</v>
      </c>
      <c r="P1362" s="2" t="s">
        <v>11000</v>
      </c>
      <c r="Q1362" s="2" t="s">
        <v>11001</v>
      </c>
      <c r="R1362" s="2" t="s">
        <v>3003</v>
      </c>
      <c r="S1362" s="2" t="s">
        <v>11002</v>
      </c>
      <c r="T1362" s="2" t="s">
        <v>215</v>
      </c>
      <c r="U1362" s="2" t="s">
        <v>10991</v>
      </c>
      <c r="V1362" s="2" t="s">
        <v>218</v>
      </c>
      <c r="W1362" s="2" t="s">
        <v>101</v>
      </c>
    </row>
    <row r="1363">
      <c r="A1363" s="2" t="n">
        <v>1047</v>
      </c>
      <c r="B1363" s="2" t="s">
        <v>16816</v>
      </c>
      <c r="C1363" s="2" t="s">
        <v>11003</v>
      </c>
      <c r="D1363" s="2" t="n">
        <v>861.541787388</v>
      </c>
      <c r="E1363" s="2" t="n">
        <v>2.00416606900465</v>
      </c>
      <c r="F1363" s="2" t="s">
        <v>11005</v>
      </c>
      <c r="G1363" s="2" t="n">
        <v>23361</v>
      </c>
      <c r="H1363" s="3" t="str">
        <f>HYPERLINK("http://funmeta.oebiotech.com/network/23361", "http://funmeta.oebiotech.com/network/23361")</f>
      </c>
      <c r="I1363" s="2" t="s">
        <v>11007</v>
      </c>
      <c r="J1363" s="2" t="s">
        <v>11008</v>
      </c>
      <c r="K1363" s="2" t="s">
        <v>11009</v>
      </c>
      <c r="L1363" s="2"/>
      <c r="M1363" s="2" t="s">
        <v>11010</v>
      </c>
      <c r="N1363" s="2" t="s">
        <v>11011</v>
      </c>
      <c r="O1363" s="2"/>
      <c r="P1363" s="2" t="s">
        <v>11012</v>
      </c>
      <c r="Q1363" s="2" t="s">
        <v>11013</v>
      </c>
      <c r="R1363" s="2" t="s">
        <v>794</v>
      </c>
      <c r="S1363" s="2" t="s">
        <v>7122</v>
      </c>
      <c r="T1363" s="2" t="s">
        <v>9951</v>
      </c>
      <c r="U1363" s="2" t="s">
        <v>11004</v>
      </c>
      <c r="V1363" s="2" t="s">
        <v>86</v>
      </c>
      <c r="W1363" s="2"/>
    </row>
    <row r="1364">
      <c r="A1364" s="2" t="n">
        <v>1048</v>
      </c>
      <c r="B1364" s="2" t="s">
        <v>16817</v>
      </c>
      <c r="C1364" s="2" t="s">
        <v>11014</v>
      </c>
      <c r="D1364" s="2" t="n">
        <v>862.363759401</v>
      </c>
      <c r="E1364" s="2" t="n">
        <v>6.57499314701249</v>
      </c>
      <c r="F1364" s="2" t="s">
        <v>11016</v>
      </c>
      <c r="G1364" s="2" t="n">
        <v>135834</v>
      </c>
      <c r="H1364" s="3" t="str">
        <f>HYPERLINK("http://funmeta.oebiotech.com/network/135834", "http://funmeta.oebiotech.com/network/135834")</f>
      </c>
      <c r="I1364" s="2" t="s">
        <v>11018</v>
      </c>
      <c r="J1364" s="2"/>
      <c r="K1364" s="2"/>
      <c r="L1364" s="2"/>
      <c r="M1364" s="2"/>
      <c r="N1364" s="2" t="s">
        <v>11019</v>
      </c>
      <c r="O1364" s="2"/>
      <c r="P1364" s="2" t="s">
        <v>11020</v>
      </c>
      <c r="Q1364" s="2" t="s">
        <v>11021</v>
      </c>
      <c r="R1364" s="2" t="s">
        <v>794</v>
      </c>
      <c r="S1364" s="2" t="s">
        <v>7122</v>
      </c>
      <c r="T1364" s="2" t="s">
        <v>11022</v>
      </c>
      <c r="U1364" s="2" t="s">
        <v>11015</v>
      </c>
      <c r="V1364" s="2" t="s">
        <v>531</v>
      </c>
      <c r="W1364" s="2"/>
    </row>
    <row r="1365">
      <c r="A1365" s="2" t="n">
        <v>1049</v>
      </c>
      <c r="B1365" s="2" t="s">
        <v>16818</v>
      </c>
      <c r="C1365" s="2" t="s">
        <v>11023</v>
      </c>
      <c r="D1365" s="2" t="n">
        <v>863.529905378</v>
      </c>
      <c r="E1365" s="2" t="n">
        <v>3.97741039882246</v>
      </c>
      <c r="F1365" s="2" t="s">
        <v>11025</v>
      </c>
      <c r="G1365" s="2" t="n">
        <v>206217</v>
      </c>
      <c r="H1365" s="3" t="str">
        <f>HYPERLINK("http://funmeta.oebiotech.com/network/206217", "http://funmeta.oebiotech.com/network/206217")</f>
      </c>
      <c r="I1365" s="2" t="s">
        <v>11027</v>
      </c>
      <c r="J1365" s="2"/>
      <c r="K1365" s="2"/>
      <c r="L1365" s="2"/>
      <c r="M1365" s="2"/>
      <c r="N1365" s="2" t="s">
        <v>11028</v>
      </c>
      <c r="O1365" s="2"/>
      <c r="P1365" s="2" t="s">
        <v>11029</v>
      </c>
      <c r="Q1365" s="2" t="s">
        <v>11030</v>
      </c>
      <c r="R1365" s="2" t="s">
        <v>2416</v>
      </c>
      <c r="S1365" s="2" t="s">
        <v>10012</v>
      </c>
      <c r="T1365" s="2" t="s">
        <v>11031</v>
      </c>
      <c r="U1365" s="2" t="s">
        <v>11024</v>
      </c>
      <c r="V1365" s="2" t="s">
        <v>161</v>
      </c>
      <c r="W1365" s="2"/>
    </row>
    <row r="1366">
      <c r="A1366" s="2" t="n">
        <v>1050</v>
      </c>
      <c r="B1366" s="2" t="s">
        <v>16819</v>
      </c>
      <c r="C1366" s="2" t="s">
        <v>11032</v>
      </c>
      <c r="D1366" s="2" t="n">
        <v>865.516111982</v>
      </c>
      <c r="E1366" s="2" t="n">
        <v>4.56507404118175</v>
      </c>
      <c r="F1366" s="2" t="s">
        <v>11034</v>
      </c>
      <c r="G1366" s="2" t="n">
        <v>212763</v>
      </c>
      <c r="H1366" s="3" t="str">
        <f>HYPERLINK("http://funmeta.oebiotech.com/network/212763", "http://funmeta.oebiotech.com/network/212763")</f>
      </c>
      <c r="I1366" s="2" t="s">
        <v>11036</v>
      </c>
      <c r="J1366" s="2"/>
      <c r="K1366" s="2"/>
      <c r="L1366" s="2"/>
      <c r="M1366" s="2"/>
      <c r="N1366" s="2" t="s">
        <v>11037</v>
      </c>
      <c r="O1366" s="2"/>
      <c r="P1366" s="2" t="s">
        <v>11038</v>
      </c>
      <c r="Q1366" s="2" t="s">
        <v>11039</v>
      </c>
      <c r="R1366" s="2" t="s">
        <v>794</v>
      </c>
      <c r="S1366" s="2" t="s">
        <v>2971</v>
      </c>
      <c r="T1366" s="2" t="s">
        <v>7552</v>
      </c>
      <c r="U1366" s="2" t="s">
        <v>11033</v>
      </c>
      <c r="V1366" s="2" t="s">
        <v>683</v>
      </c>
      <c r="W1366" s="2"/>
    </row>
    <row r="1367">
      <c r="A1367" s="2" t="n">
        <v>1051</v>
      </c>
      <c r="B1367" s="2" t="s">
        <v>16820</v>
      </c>
      <c r="C1367" s="2" t="s">
        <v>11040</v>
      </c>
      <c r="D1367" s="2" t="n">
        <v>866.518887954</v>
      </c>
      <c r="E1367" s="2" t="n">
        <v>0.478308720065558</v>
      </c>
      <c r="F1367" s="2" t="s">
        <v>16821</v>
      </c>
      <c r="G1367" s="2" t="n">
        <v>83162</v>
      </c>
      <c r="H1367" s="3" t="str">
        <f>HYPERLINK("http://funmeta.oebiotech.com/network/83162", "http://funmeta.oebiotech.com/network/83162")</f>
      </c>
      <c r="I1367" s="2" t="s">
        <v>16822</v>
      </c>
      <c r="J1367" s="2"/>
      <c r="K1367" s="2"/>
      <c r="L1367" s="2"/>
      <c r="M1367" s="2"/>
      <c r="N1367" s="2"/>
      <c r="O1367" s="2"/>
      <c r="P1367" s="2" t="s">
        <v>16823</v>
      </c>
      <c r="Q1367" s="2" t="s">
        <v>16824</v>
      </c>
      <c r="R1367" s="2" t="s">
        <v>794</v>
      </c>
      <c r="S1367" s="2" t="s">
        <v>7122</v>
      </c>
      <c r="T1367" s="2" t="s">
        <v>8876</v>
      </c>
      <c r="U1367" s="2" t="s">
        <v>11041</v>
      </c>
      <c r="V1367" s="2" t="s">
        <v>24</v>
      </c>
      <c r="W1367" s="2"/>
    </row>
    <row r="1368">
      <c r="A1368" s="2" t="n">
        <v>1051</v>
      </c>
      <c r="B1368" s="2" t="s">
        <v>16825</v>
      </c>
      <c r="C1368" s="2" t="s">
        <v>11040</v>
      </c>
      <c r="D1368" s="2" t="n">
        <v>866.518887954</v>
      </c>
      <c r="E1368" s="2" t="n">
        <v>0.478308720065558</v>
      </c>
      <c r="F1368" s="2" t="s">
        <v>16826</v>
      </c>
      <c r="G1368" s="2" t="n">
        <v>83166</v>
      </c>
      <c r="H1368" s="3" t="str">
        <f>HYPERLINK("http://funmeta.oebiotech.com/network/83166", "http://funmeta.oebiotech.com/network/83166")</f>
      </c>
      <c r="I1368" s="2" t="s">
        <v>16827</v>
      </c>
      <c r="J1368" s="2"/>
      <c r="K1368" s="2"/>
      <c r="L1368" s="2"/>
      <c r="M1368" s="2"/>
      <c r="N1368" s="2"/>
      <c r="O1368" s="2"/>
      <c r="P1368" s="2" t="s">
        <v>16828</v>
      </c>
      <c r="Q1368" s="2" t="s">
        <v>16829</v>
      </c>
      <c r="R1368" s="2" t="s">
        <v>794</v>
      </c>
      <c r="S1368" s="2" t="s">
        <v>7122</v>
      </c>
      <c r="T1368" s="2" t="s">
        <v>8876</v>
      </c>
      <c r="U1368" s="2" t="s">
        <v>11041</v>
      </c>
      <c r="V1368" s="2" t="s">
        <v>24</v>
      </c>
      <c r="W1368" s="2"/>
    </row>
    <row r="1369">
      <c r="A1369" s="2" t="n">
        <v>1051</v>
      </c>
      <c r="B1369" s="2" t="s">
        <v>16830</v>
      </c>
      <c r="C1369" s="2" t="s">
        <v>11040</v>
      </c>
      <c r="D1369" s="2" t="n">
        <v>866.518887954</v>
      </c>
      <c r="E1369" s="2" t="n">
        <v>0.478308720065558</v>
      </c>
      <c r="F1369" s="2" t="s">
        <v>16831</v>
      </c>
      <c r="G1369" s="2" t="n">
        <v>83174</v>
      </c>
      <c r="H1369" s="3" t="str">
        <f>HYPERLINK("http://funmeta.oebiotech.com/network/83174", "http://funmeta.oebiotech.com/network/83174")</f>
      </c>
      <c r="I1369" s="2" t="s">
        <v>16832</v>
      </c>
      <c r="J1369" s="2"/>
      <c r="K1369" s="2"/>
      <c r="L1369" s="2"/>
      <c r="M1369" s="2"/>
      <c r="N1369" s="2"/>
      <c r="O1369" s="2"/>
      <c r="P1369" s="2" t="s">
        <v>16833</v>
      </c>
      <c r="Q1369" s="2" t="s">
        <v>16834</v>
      </c>
      <c r="R1369" s="2" t="s">
        <v>794</v>
      </c>
      <c r="S1369" s="2" t="s">
        <v>7122</v>
      </c>
      <c r="T1369" s="2" t="s">
        <v>8876</v>
      </c>
      <c r="U1369" s="2" t="s">
        <v>11041</v>
      </c>
      <c r="V1369" s="2" t="s">
        <v>24</v>
      </c>
      <c r="W1369" s="2"/>
    </row>
    <row r="1370">
      <c r="A1370" s="2" t="n">
        <v>1052</v>
      </c>
      <c r="B1370" s="2" t="s">
        <v>16835</v>
      </c>
      <c r="C1370" s="2" t="s">
        <v>11049</v>
      </c>
      <c r="D1370" s="2" t="n">
        <v>867.518159677</v>
      </c>
      <c r="E1370" s="2" t="n">
        <v>7.93776965457365</v>
      </c>
      <c r="F1370" s="2" t="s">
        <v>11051</v>
      </c>
      <c r="G1370" s="2" t="n">
        <v>136279</v>
      </c>
      <c r="H1370" s="3" t="str">
        <f>HYPERLINK("http://funmeta.oebiotech.com/network/136279", "http://funmeta.oebiotech.com/network/136279")</f>
      </c>
      <c r="I1370" s="2" t="s">
        <v>11053</v>
      </c>
      <c r="J1370" s="2"/>
      <c r="K1370" s="2"/>
      <c r="L1370" s="2"/>
      <c r="M1370" s="2"/>
      <c r="N1370" s="2" t="s">
        <v>11054</v>
      </c>
      <c r="O1370" s="2"/>
      <c r="P1370" s="2" t="s">
        <v>11055</v>
      </c>
      <c r="Q1370" s="2" t="s">
        <v>11056</v>
      </c>
      <c r="R1370" s="2" t="s">
        <v>794</v>
      </c>
      <c r="S1370" s="2" t="s">
        <v>7122</v>
      </c>
      <c r="T1370" s="2" t="s">
        <v>9951</v>
      </c>
      <c r="U1370" s="2" t="s">
        <v>11050</v>
      </c>
      <c r="V1370" s="2" t="s">
        <v>24</v>
      </c>
      <c r="W1370" s="2"/>
    </row>
    <row r="1371">
      <c r="A1371" s="2" t="n">
        <v>1053</v>
      </c>
      <c r="B1371" s="2" t="s">
        <v>16836</v>
      </c>
      <c r="C1371" s="2" t="s">
        <v>11057</v>
      </c>
      <c r="D1371" s="2" t="n">
        <v>871.570707964</v>
      </c>
      <c r="E1371" s="2" t="n">
        <v>6.63646828126683</v>
      </c>
      <c r="F1371" s="2" t="s">
        <v>11059</v>
      </c>
      <c r="G1371" s="2" t="n">
        <v>206752</v>
      </c>
      <c r="H1371" s="3" t="str">
        <f>HYPERLINK("http://funmeta.oebiotech.com/network/206752", "http://funmeta.oebiotech.com/network/206752")</f>
      </c>
      <c r="I1371" s="2" t="s">
        <v>11061</v>
      </c>
      <c r="J1371" s="2" t="s">
        <v>11062</v>
      </c>
      <c r="K1371" s="2"/>
      <c r="L1371" s="2"/>
      <c r="M1371" s="2"/>
      <c r="N1371" s="2" t="s">
        <v>11063</v>
      </c>
      <c r="O1371" s="2"/>
      <c r="P1371" s="2" t="s">
        <v>11064</v>
      </c>
      <c r="Q1371" s="2" t="s">
        <v>11065</v>
      </c>
      <c r="R1371" s="2" t="s">
        <v>114</v>
      </c>
      <c r="S1371" s="2" t="s">
        <v>994</v>
      </c>
      <c r="T1371" s="2" t="s">
        <v>1468</v>
      </c>
      <c r="U1371" s="2" t="s">
        <v>11058</v>
      </c>
      <c r="V1371" s="2" t="s">
        <v>683</v>
      </c>
      <c r="W1371" s="2"/>
    </row>
    <row r="1372">
      <c r="A1372" s="2" t="n">
        <v>1054</v>
      </c>
      <c r="B1372" s="2" t="s">
        <v>16837</v>
      </c>
      <c r="C1372" s="2" t="s">
        <v>11066</v>
      </c>
      <c r="D1372" s="2" t="n">
        <v>872.580543971</v>
      </c>
      <c r="E1372" s="2" t="n">
        <v>2.73382608122206</v>
      </c>
      <c r="F1372" s="2" t="s">
        <v>11068</v>
      </c>
      <c r="G1372" s="2" t="n">
        <v>132877</v>
      </c>
      <c r="H1372" s="3" t="str">
        <f>HYPERLINK("http://funmeta.oebiotech.com/network/132877", "http://funmeta.oebiotech.com/network/132877")</f>
      </c>
      <c r="I1372" s="2" t="s">
        <v>11070</v>
      </c>
      <c r="J1372" s="2"/>
      <c r="K1372" s="2"/>
      <c r="L1372" s="2"/>
      <c r="M1372" s="2"/>
      <c r="N1372" s="2" t="s">
        <v>11071</v>
      </c>
      <c r="O1372" s="2"/>
      <c r="P1372" s="2" t="s">
        <v>11072</v>
      </c>
      <c r="Q1372" s="2" t="s">
        <v>11073</v>
      </c>
      <c r="R1372" s="2" t="s">
        <v>794</v>
      </c>
      <c r="S1372" s="2" t="s">
        <v>7122</v>
      </c>
      <c r="T1372" s="2" t="s">
        <v>8876</v>
      </c>
      <c r="U1372" s="2" t="s">
        <v>11067</v>
      </c>
      <c r="V1372" s="2" t="s">
        <v>161</v>
      </c>
      <c r="W1372" s="2"/>
    </row>
    <row r="1373">
      <c r="A1373" s="2" t="n">
        <v>1055</v>
      </c>
      <c r="B1373" s="2" t="s">
        <v>16838</v>
      </c>
      <c r="C1373" s="2" t="s">
        <v>11074</v>
      </c>
      <c r="D1373" s="2" t="n">
        <v>874.487583041</v>
      </c>
      <c r="E1373" s="2" t="n">
        <v>3.73273321450326</v>
      </c>
      <c r="F1373" s="2" t="s">
        <v>11076</v>
      </c>
      <c r="G1373" s="2" t="n">
        <v>21685</v>
      </c>
      <c r="H1373" s="3" t="str">
        <f>HYPERLINK("http://funmeta.oebiotech.com/network/21685", "http://funmeta.oebiotech.com/network/21685")</f>
      </c>
      <c r="I1373" s="2" t="s">
        <v>11078</v>
      </c>
      <c r="J1373" s="2" t="s">
        <v>11079</v>
      </c>
      <c r="K1373" s="2" t="s">
        <v>11080</v>
      </c>
      <c r="L1373" s="2"/>
      <c r="M1373" s="2"/>
      <c r="N1373" s="2" t="s">
        <v>11081</v>
      </c>
      <c r="O1373" s="2"/>
      <c r="P1373" s="2" t="s">
        <v>11082</v>
      </c>
      <c r="Q1373" s="2" t="s">
        <v>11083</v>
      </c>
      <c r="R1373" s="2" t="s">
        <v>794</v>
      </c>
      <c r="S1373" s="2" t="s">
        <v>7122</v>
      </c>
      <c r="T1373" s="2" t="s">
        <v>8876</v>
      </c>
      <c r="U1373" s="2" t="s">
        <v>11075</v>
      </c>
      <c r="V1373" s="2" t="s">
        <v>205</v>
      </c>
      <c r="W1373" s="2" t="s">
        <v>56</v>
      </c>
    </row>
    <row r="1374">
      <c r="A1374" s="2" t="n">
        <v>1056</v>
      </c>
      <c r="B1374" s="2" t="s">
        <v>16839</v>
      </c>
      <c r="C1374" s="2" t="s">
        <v>11084</v>
      </c>
      <c r="D1374" s="2" t="n">
        <v>874.609807373</v>
      </c>
      <c r="E1374" s="2" t="n">
        <v>0.639595741076371</v>
      </c>
      <c r="F1374" s="2" t="s">
        <v>11086</v>
      </c>
      <c r="G1374" s="2" t="n">
        <v>19417</v>
      </c>
      <c r="H1374" s="3" t="str">
        <f>HYPERLINK("http://funmeta.oebiotech.com/network/19417", "http://funmeta.oebiotech.com/network/19417")</f>
      </c>
      <c r="I1374" s="2" t="s">
        <v>11088</v>
      </c>
      <c r="J1374" s="2" t="s">
        <v>11089</v>
      </c>
      <c r="K1374" s="2" t="s">
        <v>11090</v>
      </c>
      <c r="L1374" s="2" t="s">
        <v>9831</v>
      </c>
      <c r="M1374" s="2" t="s">
        <v>11091</v>
      </c>
      <c r="N1374" s="2" t="s">
        <v>11092</v>
      </c>
      <c r="O1374" s="2"/>
      <c r="P1374" s="2" t="s">
        <v>11093</v>
      </c>
      <c r="Q1374" s="2" t="s">
        <v>11094</v>
      </c>
      <c r="R1374" s="2" t="s">
        <v>794</v>
      </c>
      <c r="S1374" s="2" t="s">
        <v>7122</v>
      </c>
      <c r="T1374" s="2" t="s">
        <v>8460</v>
      </c>
      <c r="U1374" s="2" t="s">
        <v>11085</v>
      </c>
      <c r="V1374" s="2" t="s">
        <v>86</v>
      </c>
      <c r="W1374" s="2" t="s">
        <v>101</v>
      </c>
    </row>
    <row r="1375">
      <c r="A1375" s="2" t="n">
        <v>1057</v>
      </c>
      <c r="B1375" s="2" t="s">
        <v>16840</v>
      </c>
      <c r="C1375" s="2" t="s">
        <v>11095</v>
      </c>
      <c r="D1375" s="2" t="n">
        <v>878.547207117</v>
      </c>
      <c r="E1375" s="2" t="n">
        <v>6.71454475567616</v>
      </c>
      <c r="F1375" s="2" t="s">
        <v>11097</v>
      </c>
      <c r="G1375" s="2" t="n">
        <v>20790</v>
      </c>
      <c r="H1375" s="3" t="str">
        <f>HYPERLINK("http://funmeta.oebiotech.com/network/20790", "http://funmeta.oebiotech.com/network/20790")</f>
      </c>
      <c r="I1375" s="2" t="s">
        <v>11099</v>
      </c>
      <c r="J1375" s="2" t="s">
        <v>11100</v>
      </c>
      <c r="K1375" s="2" t="s">
        <v>11101</v>
      </c>
      <c r="L1375" s="2" t="s">
        <v>9434</v>
      </c>
      <c r="M1375" s="2"/>
      <c r="N1375" s="2" t="s">
        <v>11102</v>
      </c>
      <c r="O1375" s="2"/>
      <c r="P1375" s="2" t="s">
        <v>11103</v>
      </c>
      <c r="Q1375" s="2" t="s">
        <v>11104</v>
      </c>
      <c r="R1375" s="2" t="s">
        <v>794</v>
      </c>
      <c r="S1375" s="2" t="s">
        <v>7122</v>
      </c>
      <c r="T1375" s="2" t="s">
        <v>8042</v>
      </c>
      <c r="U1375" s="2" t="s">
        <v>11096</v>
      </c>
      <c r="V1375" s="2" t="s">
        <v>86</v>
      </c>
      <c r="W1375" s="2" t="s">
        <v>101</v>
      </c>
    </row>
    <row r="1376">
      <c r="A1376" s="2" t="n">
        <v>1058</v>
      </c>
      <c r="B1376" s="2" t="s">
        <v>16841</v>
      </c>
      <c r="C1376" s="2" t="s">
        <v>11105</v>
      </c>
      <c r="D1376" s="2" t="n">
        <v>879.530414108</v>
      </c>
      <c r="E1376" s="2" t="n">
        <v>6.82067598485523</v>
      </c>
      <c r="F1376" s="2" t="s">
        <v>11107</v>
      </c>
      <c r="G1376" s="2" t="n">
        <v>202026</v>
      </c>
      <c r="H1376" s="3" t="str">
        <f>HYPERLINK("http://funmeta.oebiotech.com/network/202026", "http://funmeta.oebiotech.com/network/202026")</f>
      </c>
      <c r="I1376" s="2" t="s">
        <v>11109</v>
      </c>
      <c r="J1376" s="2"/>
      <c r="K1376" s="2"/>
      <c r="L1376" s="2"/>
      <c r="M1376" s="2" t="s">
        <v>11110</v>
      </c>
      <c r="N1376" s="2" t="s">
        <v>11111</v>
      </c>
      <c r="O1376" s="2"/>
      <c r="P1376" s="2" t="s">
        <v>11112</v>
      </c>
      <c r="Q1376" s="2" t="s">
        <v>11113</v>
      </c>
      <c r="R1376" s="2" t="s">
        <v>114</v>
      </c>
      <c r="S1376" s="2" t="s">
        <v>397</v>
      </c>
      <c r="T1376" s="2" t="s">
        <v>6158</v>
      </c>
      <c r="U1376" s="2" t="s">
        <v>11106</v>
      </c>
      <c r="V1376" s="2" t="s">
        <v>683</v>
      </c>
      <c r="W1376" s="2"/>
    </row>
    <row r="1377">
      <c r="A1377" s="2" t="n">
        <v>1059</v>
      </c>
      <c r="B1377" s="2" t="s">
        <v>16842</v>
      </c>
      <c r="C1377" s="2" t="s">
        <v>11114</v>
      </c>
      <c r="D1377" s="2" t="n">
        <v>880.562857181</v>
      </c>
      <c r="E1377" s="2" t="n">
        <v>6.69979650210416</v>
      </c>
      <c r="F1377" s="2" t="s">
        <v>11116</v>
      </c>
      <c r="G1377" s="2" t="n">
        <v>50256</v>
      </c>
      <c r="H1377" s="3" t="str">
        <f>HYPERLINK("http://funmeta.oebiotech.com/network/50256", "http://funmeta.oebiotech.com/network/50256")</f>
      </c>
      <c r="I1377" s="2" t="s">
        <v>11118</v>
      </c>
      <c r="J1377" s="2" t="s">
        <v>11119</v>
      </c>
      <c r="K1377" s="2"/>
      <c r="L1377" s="2" t="s">
        <v>9434</v>
      </c>
      <c r="M1377" s="2"/>
      <c r="N1377" s="2" t="s">
        <v>11120</v>
      </c>
      <c r="O1377" s="2"/>
      <c r="P1377" s="2" t="s">
        <v>11121</v>
      </c>
      <c r="Q1377" s="2" t="s">
        <v>11122</v>
      </c>
      <c r="R1377" s="2" t="s">
        <v>794</v>
      </c>
      <c r="S1377" s="2" t="s">
        <v>7122</v>
      </c>
      <c r="T1377" s="2" t="s">
        <v>8042</v>
      </c>
      <c r="U1377" s="2" t="s">
        <v>11115</v>
      </c>
      <c r="V1377" s="2" t="s">
        <v>86</v>
      </c>
      <c r="W1377" s="2" t="s">
        <v>101</v>
      </c>
    </row>
    <row r="1378">
      <c r="A1378" s="2" t="n">
        <v>1060</v>
      </c>
      <c r="B1378" s="2" t="s">
        <v>16843</v>
      </c>
      <c r="C1378" s="2" t="s">
        <v>11123</v>
      </c>
      <c r="D1378" s="2" t="n">
        <v>881.53967819</v>
      </c>
      <c r="E1378" s="2" t="n">
        <v>9.19627818768006</v>
      </c>
      <c r="F1378" s="2" t="s">
        <v>11125</v>
      </c>
      <c r="G1378" s="2" t="n">
        <v>50431</v>
      </c>
      <c r="H1378" s="3" t="str">
        <f>HYPERLINK("http://funmeta.oebiotech.com/network/50431", "http://funmeta.oebiotech.com/network/50431")</f>
      </c>
      <c r="I1378" s="2" t="s">
        <v>11127</v>
      </c>
      <c r="J1378" s="2"/>
      <c r="K1378" s="2"/>
      <c r="L1378" s="2"/>
      <c r="M1378" s="2" t="s">
        <v>11128</v>
      </c>
      <c r="N1378" s="2"/>
      <c r="O1378" s="2"/>
      <c r="P1378" s="2" t="s">
        <v>11129</v>
      </c>
      <c r="Q1378" s="2" t="s">
        <v>11130</v>
      </c>
      <c r="R1378" s="2" t="s">
        <v>794</v>
      </c>
      <c r="S1378" s="2" t="s">
        <v>7122</v>
      </c>
      <c r="T1378" s="2" t="s">
        <v>9394</v>
      </c>
      <c r="U1378" s="2" t="s">
        <v>11124</v>
      </c>
      <c r="V1378" s="2" t="s">
        <v>205</v>
      </c>
      <c r="W1378" s="2" t="s">
        <v>56</v>
      </c>
    </row>
    <row r="1379">
      <c r="A1379" s="2" t="n">
        <v>1061</v>
      </c>
      <c r="B1379" s="2" t="s">
        <v>16844</v>
      </c>
      <c r="C1379" s="2" t="s">
        <v>11131</v>
      </c>
      <c r="D1379" s="2" t="n">
        <v>883.340861554</v>
      </c>
      <c r="E1379" s="2" t="n">
        <v>4.69658907127274</v>
      </c>
      <c r="F1379" s="2" t="s">
        <v>11133</v>
      </c>
      <c r="G1379" s="2" t="n">
        <v>207067</v>
      </c>
      <c r="H1379" s="3" t="str">
        <f>HYPERLINK("http://funmeta.oebiotech.com/network/207067", "http://funmeta.oebiotech.com/network/207067")</f>
      </c>
      <c r="I1379" s="2" t="s">
        <v>11135</v>
      </c>
      <c r="J1379" s="2"/>
      <c r="K1379" s="2"/>
      <c r="L1379" s="2"/>
      <c r="M1379" s="2"/>
      <c r="N1379" s="2" t="s">
        <v>11136</v>
      </c>
      <c r="O1379" s="2"/>
      <c r="P1379" s="2" t="s">
        <v>11137</v>
      </c>
      <c r="Q1379" s="2" t="s">
        <v>11138</v>
      </c>
      <c r="R1379" s="2" t="s">
        <v>36</v>
      </c>
      <c r="S1379" s="2" t="s">
        <v>37</v>
      </c>
      <c r="T1379" s="2" t="s">
        <v>69</v>
      </c>
      <c r="U1379" s="2" t="s">
        <v>11132</v>
      </c>
      <c r="V1379" s="2" t="s">
        <v>161</v>
      </c>
      <c r="W1379" s="2"/>
    </row>
    <row r="1380">
      <c r="A1380" s="2" t="n">
        <v>1062</v>
      </c>
      <c r="B1380" s="2" t="s">
        <v>16845</v>
      </c>
      <c r="C1380" s="2" t="s">
        <v>11139</v>
      </c>
      <c r="D1380" s="2" t="n">
        <v>884.544708778</v>
      </c>
      <c r="E1380" s="2" t="n">
        <v>6.35163249497929</v>
      </c>
      <c r="F1380" s="2" t="s">
        <v>11141</v>
      </c>
      <c r="G1380" s="2" t="n">
        <v>132923</v>
      </c>
      <c r="H1380" s="3" t="str">
        <f>HYPERLINK("http://funmeta.oebiotech.com/network/132923", "http://funmeta.oebiotech.com/network/132923")</f>
      </c>
      <c r="I1380" s="2" t="s">
        <v>11143</v>
      </c>
      <c r="J1380" s="2"/>
      <c r="K1380" s="2"/>
      <c r="L1380" s="2"/>
      <c r="M1380" s="2"/>
      <c r="N1380" s="2" t="s">
        <v>11144</v>
      </c>
      <c r="O1380" s="2"/>
      <c r="P1380" s="2" t="s">
        <v>11145</v>
      </c>
      <c r="Q1380" s="2" t="s">
        <v>11146</v>
      </c>
      <c r="R1380" s="2" t="s">
        <v>794</v>
      </c>
      <c r="S1380" s="2" t="s">
        <v>7122</v>
      </c>
      <c r="T1380" s="2" t="s">
        <v>8876</v>
      </c>
      <c r="U1380" s="2" t="s">
        <v>11140</v>
      </c>
      <c r="V1380" s="2" t="s">
        <v>24</v>
      </c>
      <c r="W1380" s="2"/>
    </row>
    <row r="1381">
      <c r="A1381" s="2" t="n">
        <v>1063</v>
      </c>
      <c r="B1381" s="2" t="s">
        <v>16846</v>
      </c>
      <c r="C1381" s="2" t="s">
        <v>11147</v>
      </c>
      <c r="D1381" s="2" t="n">
        <v>885.555410596</v>
      </c>
      <c r="E1381" s="2" t="n">
        <v>2.40553353125176</v>
      </c>
      <c r="F1381" s="2" t="s">
        <v>11149</v>
      </c>
      <c r="G1381" s="2" t="n">
        <v>209002</v>
      </c>
      <c r="H1381" s="3" t="str">
        <f>HYPERLINK("http://funmeta.oebiotech.com/network/209002", "http://funmeta.oebiotech.com/network/209002")</f>
      </c>
      <c r="I1381" s="2" t="s">
        <v>11151</v>
      </c>
      <c r="J1381" s="2"/>
      <c r="K1381" s="2"/>
      <c r="L1381" s="2"/>
      <c r="M1381" s="2"/>
      <c r="N1381" s="2" t="s">
        <v>11152</v>
      </c>
      <c r="O1381" s="2"/>
      <c r="P1381" s="2" t="s">
        <v>11153</v>
      </c>
      <c r="Q1381" s="2" t="s">
        <v>11154</v>
      </c>
      <c r="R1381" s="2" t="s">
        <v>36</v>
      </c>
      <c r="S1381" s="2" t="s">
        <v>37</v>
      </c>
      <c r="T1381" s="2" t="s">
        <v>69</v>
      </c>
      <c r="U1381" s="2" t="s">
        <v>11148</v>
      </c>
      <c r="V1381" s="2" t="s">
        <v>24</v>
      </c>
      <c r="W1381" s="2"/>
    </row>
    <row r="1382">
      <c r="A1382" s="2" t="n">
        <v>1064</v>
      </c>
      <c r="B1382" s="2" t="s">
        <v>16847</v>
      </c>
      <c r="C1382" s="2" t="s">
        <v>11155</v>
      </c>
      <c r="D1382" s="2" t="n">
        <v>886.560354053</v>
      </c>
      <c r="E1382" s="2" t="n">
        <v>2.68656580207911</v>
      </c>
      <c r="F1382" s="2" t="s">
        <v>11157</v>
      </c>
      <c r="G1382" s="2" t="n">
        <v>50279</v>
      </c>
      <c r="H1382" s="3" t="str">
        <f>HYPERLINK("http://funmeta.oebiotech.com/network/50279", "http://funmeta.oebiotech.com/network/50279")</f>
      </c>
      <c r="I1382" s="2" t="s">
        <v>11159</v>
      </c>
      <c r="J1382" s="2" t="s">
        <v>11160</v>
      </c>
      <c r="K1382" s="2"/>
      <c r="L1382" s="2" t="s">
        <v>9434</v>
      </c>
      <c r="M1382" s="2"/>
      <c r="N1382" s="2" t="s">
        <v>11161</v>
      </c>
      <c r="O1382" s="2"/>
      <c r="P1382" s="2" t="s">
        <v>11162</v>
      </c>
      <c r="Q1382" s="2" t="s">
        <v>11163</v>
      </c>
      <c r="R1382" s="2" t="s">
        <v>794</v>
      </c>
      <c r="S1382" s="2" t="s">
        <v>7122</v>
      </c>
      <c r="T1382" s="2" t="s">
        <v>8042</v>
      </c>
      <c r="U1382" s="2" t="s">
        <v>11156</v>
      </c>
      <c r="V1382" s="2" t="s">
        <v>205</v>
      </c>
      <c r="W1382" s="2" t="s">
        <v>56</v>
      </c>
    </row>
    <row r="1383">
      <c r="A1383" s="2" t="n">
        <v>1065</v>
      </c>
      <c r="B1383" s="2" t="s">
        <v>16848</v>
      </c>
      <c r="C1383" s="2" t="s">
        <v>11164</v>
      </c>
      <c r="D1383" s="2" t="n">
        <v>890.547207117</v>
      </c>
      <c r="E1383" s="2" t="n">
        <v>2.69162945666545</v>
      </c>
      <c r="F1383" s="2" t="s">
        <v>11166</v>
      </c>
      <c r="G1383" s="2" t="n">
        <v>49687</v>
      </c>
      <c r="H1383" s="3" t="str">
        <f>HYPERLINK("http://funmeta.oebiotech.com/network/49687", "http://funmeta.oebiotech.com/network/49687")</f>
      </c>
      <c r="I1383" s="2" t="s">
        <v>11168</v>
      </c>
      <c r="J1383" s="2" t="s">
        <v>11169</v>
      </c>
      <c r="K1383" s="2"/>
      <c r="L1383" s="2" t="s">
        <v>9831</v>
      </c>
      <c r="M1383" s="2" t="s">
        <v>11170</v>
      </c>
      <c r="N1383" s="2" t="s">
        <v>11171</v>
      </c>
      <c r="O1383" s="2"/>
      <c r="P1383" s="2" t="s">
        <v>11172</v>
      </c>
      <c r="Q1383" s="2" t="s">
        <v>11173</v>
      </c>
      <c r="R1383" s="2" t="s">
        <v>794</v>
      </c>
      <c r="S1383" s="2" t="s">
        <v>7122</v>
      </c>
      <c r="T1383" s="2" t="s">
        <v>8460</v>
      </c>
      <c r="U1383" s="2" t="s">
        <v>11165</v>
      </c>
      <c r="V1383" s="2" t="s">
        <v>86</v>
      </c>
      <c r="W1383" s="2" t="s">
        <v>101</v>
      </c>
    </row>
    <row r="1384">
      <c r="A1384" s="2" t="n">
        <v>1066</v>
      </c>
      <c r="B1384" s="2" t="s">
        <v>16849</v>
      </c>
      <c r="C1384" s="2" t="s">
        <v>11174</v>
      </c>
      <c r="D1384" s="2" t="n">
        <v>892.479344345</v>
      </c>
      <c r="E1384" s="2" t="n">
        <v>6.36804511526955</v>
      </c>
      <c r="F1384" s="2" t="s">
        <v>11176</v>
      </c>
      <c r="G1384" s="2" t="n">
        <v>211164</v>
      </c>
      <c r="H1384" s="3" t="str">
        <f>HYPERLINK("http://funmeta.oebiotech.com/network/211164", "http://funmeta.oebiotech.com/network/211164")</f>
      </c>
      <c r="I1384" s="2" t="s">
        <v>11178</v>
      </c>
      <c r="J1384" s="2"/>
      <c r="K1384" s="2"/>
      <c r="L1384" s="2"/>
      <c r="M1384" s="2"/>
      <c r="N1384" s="2"/>
      <c r="O1384" s="2"/>
      <c r="P1384" s="2" t="s">
        <v>11179</v>
      </c>
      <c r="Q1384" s="2" t="s">
        <v>11180</v>
      </c>
      <c r="R1384" s="2" t="s">
        <v>36</v>
      </c>
      <c r="S1384" s="2" t="s">
        <v>37</v>
      </c>
      <c r="T1384" s="2" t="s">
        <v>69</v>
      </c>
      <c r="U1384" s="2" t="s">
        <v>11175</v>
      </c>
      <c r="V1384" s="2" t="s">
        <v>161</v>
      </c>
      <c r="W1384" s="2"/>
    </row>
    <row r="1385">
      <c r="A1385" s="2" t="n">
        <v>1067</v>
      </c>
      <c r="B1385" s="2" t="s">
        <v>16850</v>
      </c>
      <c r="C1385" s="2" t="s">
        <v>11181</v>
      </c>
      <c r="D1385" s="2" t="n">
        <v>892.582156915</v>
      </c>
      <c r="E1385" s="2" t="n">
        <v>0.187037434926533</v>
      </c>
      <c r="F1385" s="2" t="s">
        <v>11183</v>
      </c>
      <c r="G1385" s="2" t="n">
        <v>206051</v>
      </c>
      <c r="H1385" s="3" t="str">
        <f>HYPERLINK("http://funmeta.oebiotech.com/network/206051", "http://funmeta.oebiotech.com/network/206051")</f>
      </c>
      <c r="I1385" s="2" t="s">
        <v>11185</v>
      </c>
      <c r="J1385" s="2"/>
      <c r="K1385" s="2"/>
      <c r="L1385" s="2"/>
      <c r="M1385" s="2"/>
      <c r="N1385" s="2" t="s">
        <v>11186</v>
      </c>
      <c r="O1385" s="2"/>
      <c r="P1385" s="2" t="s">
        <v>11187</v>
      </c>
      <c r="Q1385" s="2" t="s">
        <v>11188</v>
      </c>
      <c r="R1385" s="2" t="s">
        <v>794</v>
      </c>
      <c r="S1385" s="2" t="s">
        <v>7122</v>
      </c>
      <c r="T1385" s="2" t="s">
        <v>215</v>
      </c>
      <c r="U1385" s="2" t="s">
        <v>11182</v>
      </c>
      <c r="V1385" s="2" t="s">
        <v>24</v>
      </c>
      <c r="W1385" s="2"/>
    </row>
    <row r="1386">
      <c r="A1386" s="2" t="n">
        <v>1068</v>
      </c>
      <c r="B1386" s="2" t="s">
        <v>16851</v>
      </c>
      <c r="C1386" s="2" t="s">
        <v>11189</v>
      </c>
      <c r="D1386" s="2" t="n">
        <v>894.578507245</v>
      </c>
      <c r="E1386" s="2" t="n">
        <v>9.00832494328206</v>
      </c>
      <c r="F1386" s="2" t="s">
        <v>11191</v>
      </c>
      <c r="G1386" s="2" t="n">
        <v>19093</v>
      </c>
      <c r="H1386" s="3" t="str">
        <f>HYPERLINK("http://funmeta.oebiotech.com/network/19093", "http://funmeta.oebiotech.com/network/19093")</f>
      </c>
      <c r="I1386" s="2" t="s">
        <v>11193</v>
      </c>
      <c r="J1386" s="2" t="s">
        <v>11194</v>
      </c>
      <c r="K1386" s="2" t="s">
        <v>11195</v>
      </c>
      <c r="L1386" s="2" t="s">
        <v>9831</v>
      </c>
      <c r="M1386" s="2"/>
      <c r="N1386" s="2" t="s">
        <v>11196</v>
      </c>
      <c r="O1386" s="2"/>
      <c r="P1386" s="2" t="s">
        <v>11197</v>
      </c>
      <c r="Q1386" s="2" t="s">
        <v>11198</v>
      </c>
      <c r="R1386" s="2" t="s">
        <v>794</v>
      </c>
      <c r="S1386" s="2" t="s">
        <v>7122</v>
      </c>
      <c r="T1386" s="2" t="s">
        <v>8460</v>
      </c>
      <c r="U1386" s="2" t="s">
        <v>11190</v>
      </c>
      <c r="V1386" s="2" t="s">
        <v>86</v>
      </c>
      <c r="W1386" s="2" t="s">
        <v>39</v>
      </c>
    </row>
    <row r="1387">
      <c r="A1387" s="2" t="n">
        <v>1069</v>
      </c>
      <c r="B1387" s="2" t="s">
        <v>16852</v>
      </c>
      <c r="C1387" s="2" t="s">
        <v>11199</v>
      </c>
      <c r="D1387" s="2" t="n">
        <v>895.588214292</v>
      </c>
      <c r="E1387" s="2" t="n">
        <v>8.2353573893522</v>
      </c>
      <c r="F1387" s="2" t="s">
        <v>16853</v>
      </c>
      <c r="G1387" s="2" t="n">
        <v>62336</v>
      </c>
      <c r="H1387" s="3" t="str">
        <f>HYPERLINK("http://funmeta.oebiotech.com/network/62336", "http://funmeta.oebiotech.com/network/62336")</f>
      </c>
      <c r="I1387" s="2" t="s">
        <v>16854</v>
      </c>
      <c r="J1387" s="2" t="s">
        <v>16855</v>
      </c>
      <c r="K1387" s="2"/>
      <c r="L1387" s="2"/>
      <c r="M1387" s="2" t="s">
        <v>16856</v>
      </c>
      <c r="N1387" s="2" t="s">
        <v>16857</v>
      </c>
      <c r="O1387" s="2" t="s">
        <v>16858</v>
      </c>
      <c r="P1387" s="2" t="s">
        <v>16859</v>
      </c>
      <c r="Q1387" s="2" t="s">
        <v>16860</v>
      </c>
      <c r="R1387" s="2" t="s">
        <v>794</v>
      </c>
      <c r="S1387" s="2" t="s">
        <v>1098</v>
      </c>
      <c r="T1387" s="2" t="s">
        <v>7646</v>
      </c>
      <c r="U1387" s="2" t="s">
        <v>11200</v>
      </c>
      <c r="V1387" s="2" t="s">
        <v>683</v>
      </c>
      <c r="W1387" s="2" t="s">
        <v>56</v>
      </c>
    </row>
    <row r="1388">
      <c r="A1388" s="2" t="n">
        <v>1069</v>
      </c>
      <c r="B1388" s="2" t="s">
        <v>16861</v>
      </c>
      <c r="C1388" s="2" t="s">
        <v>11199</v>
      </c>
      <c r="D1388" s="2" t="n">
        <v>895.588214292</v>
      </c>
      <c r="E1388" s="2" t="n">
        <v>8.2353573893522</v>
      </c>
      <c r="F1388" s="2" t="s">
        <v>16862</v>
      </c>
      <c r="G1388" s="2" t="n">
        <v>62390</v>
      </c>
      <c r="H1388" s="3" t="str">
        <f>HYPERLINK("http://funmeta.oebiotech.com/network/62390", "http://funmeta.oebiotech.com/network/62390")</f>
      </c>
      <c r="I1388" s="2" t="s">
        <v>16863</v>
      </c>
      <c r="J1388" s="2"/>
      <c r="K1388" s="2"/>
      <c r="L1388" s="2"/>
      <c r="M1388" s="2"/>
      <c r="N1388" s="2" t="s">
        <v>16864</v>
      </c>
      <c r="O1388" s="2" t="s">
        <v>16865</v>
      </c>
      <c r="P1388" s="2" t="s">
        <v>16866</v>
      </c>
      <c r="Q1388" s="2" t="s">
        <v>16867</v>
      </c>
      <c r="R1388" s="2" t="s">
        <v>794</v>
      </c>
      <c r="S1388" s="2" t="s">
        <v>1098</v>
      </c>
      <c r="T1388" s="2" t="s">
        <v>7646</v>
      </c>
      <c r="U1388" s="2" t="s">
        <v>11200</v>
      </c>
      <c r="V1388" s="2" t="s">
        <v>683</v>
      </c>
      <c r="W1388" s="2" t="s">
        <v>56</v>
      </c>
    </row>
    <row r="1389">
      <c r="A1389" s="2" t="n">
        <v>1070</v>
      </c>
      <c r="B1389" s="2" t="s">
        <v>16868</v>
      </c>
      <c r="C1389" s="2" t="s">
        <v>11210</v>
      </c>
      <c r="D1389" s="2" t="n">
        <v>895.752693069</v>
      </c>
      <c r="E1389" s="2" t="n">
        <v>4.13559866791115</v>
      </c>
      <c r="F1389" s="2" t="s">
        <v>11212</v>
      </c>
      <c r="G1389" s="2" t="n">
        <v>48488</v>
      </c>
      <c r="H1389" s="3" t="str">
        <f>HYPERLINK("http://funmeta.oebiotech.com/network/48488", "http://funmeta.oebiotech.com/network/48488")</f>
      </c>
      <c r="I1389" s="2" t="s">
        <v>11214</v>
      </c>
      <c r="J1389" s="2" t="s">
        <v>11215</v>
      </c>
      <c r="K1389" s="2"/>
      <c r="L1389" s="2" t="s">
        <v>9144</v>
      </c>
      <c r="M1389" s="2"/>
      <c r="N1389" s="2" t="s">
        <v>11216</v>
      </c>
      <c r="O1389" s="2"/>
      <c r="P1389" s="2" t="s">
        <v>11217</v>
      </c>
      <c r="Q1389" s="2" t="s">
        <v>11218</v>
      </c>
      <c r="R1389" s="2" t="s">
        <v>794</v>
      </c>
      <c r="S1389" s="2" t="s">
        <v>2600</v>
      </c>
      <c r="T1389" s="2" t="s">
        <v>8840</v>
      </c>
      <c r="U1389" s="2" t="s">
        <v>11211</v>
      </c>
      <c r="V1389" s="2" t="s">
        <v>86</v>
      </c>
      <c r="W1389" s="2" t="s">
        <v>101</v>
      </c>
    </row>
    <row r="1390">
      <c r="A1390" s="2" t="n">
        <v>1071</v>
      </c>
      <c r="B1390" s="2" t="s">
        <v>16869</v>
      </c>
      <c r="C1390" s="2" t="s">
        <v>11219</v>
      </c>
      <c r="D1390" s="2" t="n">
        <v>896.379571487</v>
      </c>
      <c r="E1390" s="2" t="n">
        <v>8.2317546279437</v>
      </c>
      <c r="F1390" s="2" t="s">
        <v>11221</v>
      </c>
      <c r="G1390" s="2" t="n">
        <v>256539</v>
      </c>
      <c r="H1390" s="3" t="str">
        <f>HYPERLINK("http://funmeta.oebiotech.com/network/256539", "http://funmeta.oebiotech.com/network/256539")</f>
      </c>
      <c r="I1390" s="2" t="s">
        <v>11223</v>
      </c>
      <c r="J1390" s="2"/>
      <c r="K1390" s="2"/>
      <c r="L1390" s="2"/>
      <c r="M1390" s="2"/>
      <c r="N1390" s="2"/>
      <c r="O1390" s="2"/>
      <c r="P1390" s="2" t="s">
        <v>11224</v>
      </c>
      <c r="Q1390" s="2" t="s">
        <v>11225</v>
      </c>
      <c r="R1390" s="2" t="s">
        <v>36</v>
      </c>
      <c r="S1390" s="2" t="s">
        <v>37</v>
      </c>
      <c r="T1390" s="2" t="s">
        <v>69</v>
      </c>
      <c r="U1390" s="2" t="s">
        <v>11220</v>
      </c>
      <c r="V1390" s="2" t="s">
        <v>24</v>
      </c>
      <c r="W1390" s="2"/>
    </row>
    <row r="1391">
      <c r="A1391" s="2" t="n">
        <v>1072</v>
      </c>
      <c r="B1391" s="2" t="s">
        <v>16870</v>
      </c>
      <c r="C1391" s="2" t="s">
        <v>11226</v>
      </c>
      <c r="D1391" s="2" t="n">
        <v>897.620970982</v>
      </c>
      <c r="E1391" s="2" t="n">
        <v>1.61990528986826</v>
      </c>
      <c r="F1391" s="2" t="s">
        <v>16871</v>
      </c>
      <c r="G1391" s="2" t="n">
        <v>48925</v>
      </c>
      <c r="H1391" s="3" t="str">
        <f>HYPERLINK("http://funmeta.oebiotech.com/network/48925", "http://funmeta.oebiotech.com/network/48925")</f>
      </c>
      <c r="I1391" s="2" t="s">
        <v>16872</v>
      </c>
      <c r="J1391" s="2"/>
      <c r="K1391" s="2"/>
      <c r="L1391" s="2" t="s">
        <v>16873</v>
      </c>
      <c r="M1391" s="2"/>
      <c r="N1391" s="2" t="s">
        <v>16874</v>
      </c>
      <c r="O1391" s="2"/>
      <c r="P1391" s="2" t="s">
        <v>16875</v>
      </c>
      <c r="Q1391" s="2" t="s">
        <v>16876</v>
      </c>
      <c r="R1391" s="2" t="s">
        <v>794</v>
      </c>
      <c r="S1391" s="2" t="s">
        <v>2971</v>
      </c>
      <c r="T1391" s="2" t="s">
        <v>6499</v>
      </c>
      <c r="U1391" s="2" t="s">
        <v>11227</v>
      </c>
      <c r="V1391" s="2" t="s">
        <v>683</v>
      </c>
      <c r="W1391" s="2" t="s">
        <v>56</v>
      </c>
    </row>
    <row r="1392">
      <c r="A1392" s="2" t="n">
        <v>1072</v>
      </c>
      <c r="B1392" s="2" t="s">
        <v>16877</v>
      </c>
      <c r="C1392" s="2" t="s">
        <v>11226</v>
      </c>
      <c r="D1392" s="2" t="n">
        <v>897.620970982</v>
      </c>
      <c r="E1392" s="2" t="n">
        <v>1.61990528986826</v>
      </c>
      <c r="F1392" s="2" t="s">
        <v>16878</v>
      </c>
      <c r="G1392" s="2" t="n">
        <v>47131</v>
      </c>
      <c r="H1392" s="3" t="str">
        <f>HYPERLINK("http://funmeta.oebiotech.com/network/47131", "http://funmeta.oebiotech.com/network/47131")</f>
      </c>
      <c r="I1392" s="2" t="s">
        <v>16879</v>
      </c>
      <c r="J1392" s="2" t="s">
        <v>16880</v>
      </c>
      <c r="K1392" s="2"/>
      <c r="L1392" s="2" t="s">
        <v>16881</v>
      </c>
      <c r="M1392" s="2" t="s">
        <v>16882</v>
      </c>
      <c r="N1392" s="2" t="s">
        <v>16883</v>
      </c>
      <c r="O1392" s="2" t="s">
        <v>16884</v>
      </c>
      <c r="P1392" s="2" t="s">
        <v>16885</v>
      </c>
      <c r="Q1392" s="2" t="s">
        <v>16886</v>
      </c>
      <c r="R1392" s="2" t="s">
        <v>794</v>
      </c>
      <c r="S1392" s="2" t="s">
        <v>2971</v>
      </c>
      <c r="T1392" s="2" t="s">
        <v>6499</v>
      </c>
      <c r="U1392" s="2" t="s">
        <v>11227</v>
      </c>
      <c r="V1392" s="2" t="s">
        <v>683</v>
      </c>
      <c r="W1392" s="2" t="s">
        <v>56</v>
      </c>
    </row>
    <row r="1393">
      <c r="A1393" s="2" t="n">
        <v>1072</v>
      </c>
      <c r="B1393" s="2" t="s">
        <v>16887</v>
      </c>
      <c r="C1393" s="2" t="s">
        <v>11226</v>
      </c>
      <c r="D1393" s="2" t="n">
        <v>897.620970982</v>
      </c>
      <c r="E1393" s="2" t="n">
        <v>1.61990528986826</v>
      </c>
      <c r="F1393" s="2" t="s">
        <v>16888</v>
      </c>
      <c r="G1393" s="2" t="n">
        <v>46732</v>
      </c>
      <c r="H1393" s="3" t="str">
        <f>HYPERLINK("http://funmeta.oebiotech.com/network/46732", "http://funmeta.oebiotech.com/network/46732")</f>
      </c>
      <c r="I1393" s="2" t="s">
        <v>16889</v>
      </c>
      <c r="J1393" s="2" t="s">
        <v>16890</v>
      </c>
      <c r="K1393" s="2" t="s">
        <v>16891</v>
      </c>
      <c r="L1393" s="2" t="s">
        <v>16892</v>
      </c>
      <c r="M1393" s="2" t="s">
        <v>16893</v>
      </c>
      <c r="N1393" s="2" t="s">
        <v>16894</v>
      </c>
      <c r="O1393" s="2" t="s">
        <v>16895</v>
      </c>
      <c r="P1393" s="2" t="s">
        <v>16896</v>
      </c>
      <c r="Q1393" s="2" t="s">
        <v>16897</v>
      </c>
      <c r="R1393" s="2" t="s">
        <v>794</v>
      </c>
      <c r="S1393" s="2" t="s">
        <v>2971</v>
      </c>
      <c r="T1393" s="2" t="s">
        <v>6499</v>
      </c>
      <c r="U1393" s="2" t="s">
        <v>11227</v>
      </c>
      <c r="V1393" s="2" t="s">
        <v>683</v>
      </c>
      <c r="W1393" s="2" t="s">
        <v>56</v>
      </c>
    </row>
    <row r="1394">
      <c r="A1394" s="2" t="n">
        <v>1073</v>
      </c>
      <c r="B1394" s="2" t="s">
        <v>16898</v>
      </c>
      <c r="C1394" s="2" t="s">
        <v>11239</v>
      </c>
      <c r="D1394" s="2" t="n">
        <v>897.768343133</v>
      </c>
      <c r="E1394" s="2" t="n">
        <v>0.520299438558039</v>
      </c>
      <c r="F1394" s="2" t="s">
        <v>11241</v>
      </c>
      <c r="G1394" s="2" t="n">
        <v>48485</v>
      </c>
      <c r="H1394" s="3" t="str">
        <f>HYPERLINK("http://funmeta.oebiotech.com/network/48485", "http://funmeta.oebiotech.com/network/48485")</f>
      </c>
      <c r="I1394" s="2" t="s">
        <v>11243</v>
      </c>
      <c r="J1394" s="2"/>
      <c r="K1394" s="2"/>
      <c r="L1394" s="2"/>
      <c r="M1394" s="2"/>
      <c r="N1394" s="2" t="s">
        <v>11244</v>
      </c>
      <c r="O1394" s="2"/>
      <c r="P1394" s="2" t="s">
        <v>11245</v>
      </c>
      <c r="Q1394" s="2" t="s">
        <v>11246</v>
      </c>
      <c r="R1394" s="2" t="s">
        <v>794</v>
      </c>
      <c r="S1394" s="2" t="s">
        <v>2600</v>
      </c>
      <c r="T1394" s="2" t="s">
        <v>8840</v>
      </c>
      <c r="U1394" s="2" t="s">
        <v>11240</v>
      </c>
      <c r="V1394" s="2" t="s">
        <v>86</v>
      </c>
      <c r="W1394" s="2"/>
    </row>
    <row r="1395">
      <c r="A1395" s="2" t="n">
        <v>1074</v>
      </c>
      <c r="B1395" s="2" t="s">
        <v>16899</v>
      </c>
      <c r="C1395" s="2" t="s">
        <v>11247</v>
      </c>
      <c r="D1395" s="2" t="n">
        <v>899.3069274</v>
      </c>
      <c r="E1395" s="2" t="n">
        <v>9.32306766698169</v>
      </c>
      <c r="F1395" s="2" t="s">
        <v>11249</v>
      </c>
      <c r="G1395" s="2" t="n">
        <v>212120</v>
      </c>
      <c r="H1395" s="3" t="str">
        <f>HYPERLINK("http://funmeta.oebiotech.com/network/212120", "http://funmeta.oebiotech.com/network/212120")</f>
      </c>
      <c r="I1395" s="2" t="s">
        <v>11251</v>
      </c>
      <c r="J1395" s="2"/>
      <c r="K1395" s="2"/>
      <c r="L1395" s="2"/>
      <c r="M1395" s="2"/>
      <c r="N1395" s="2" t="s">
        <v>11252</v>
      </c>
      <c r="O1395" s="2"/>
      <c r="P1395" s="2" t="s">
        <v>11253</v>
      </c>
      <c r="Q1395" s="2" t="s">
        <v>11254</v>
      </c>
      <c r="R1395" s="2" t="s">
        <v>186</v>
      </c>
      <c r="S1395" s="2" t="s">
        <v>187</v>
      </c>
      <c r="T1395" s="2" t="s">
        <v>188</v>
      </c>
      <c r="U1395" s="2" t="s">
        <v>11248</v>
      </c>
      <c r="V1395" s="2" t="s">
        <v>683</v>
      </c>
      <c r="W1395" s="2"/>
    </row>
    <row r="1396">
      <c r="A1396" s="2" t="n">
        <v>1075</v>
      </c>
      <c r="B1396" s="2" t="s">
        <v>16900</v>
      </c>
      <c r="C1396" s="2" t="s">
        <v>11255</v>
      </c>
      <c r="D1396" s="2" t="n">
        <v>900.319791761</v>
      </c>
      <c r="E1396" s="2" t="n">
        <v>0.635309182613157</v>
      </c>
      <c r="F1396" s="2" t="s">
        <v>11257</v>
      </c>
      <c r="G1396" s="2" t="n">
        <v>204110</v>
      </c>
      <c r="H1396" s="3" t="str">
        <f>HYPERLINK("http://funmeta.oebiotech.com/network/204110", "http://funmeta.oebiotech.com/network/204110")</f>
      </c>
      <c r="I1396" s="2" t="s">
        <v>11259</v>
      </c>
      <c r="J1396" s="2"/>
      <c r="K1396" s="2"/>
      <c r="L1396" s="2"/>
      <c r="M1396" s="2"/>
      <c r="N1396" s="2" t="s">
        <v>11260</v>
      </c>
      <c r="O1396" s="2"/>
      <c r="P1396" s="2" t="s">
        <v>11261</v>
      </c>
      <c r="Q1396" s="2" t="s">
        <v>11262</v>
      </c>
      <c r="R1396" s="2" t="s">
        <v>36</v>
      </c>
      <c r="S1396" s="2" t="s">
        <v>37</v>
      </c>
      <c r="T1396" s="2" t="s">
        <v>69</v>
      </c>
      <c r="U1396" s="2" t="s">
        <v>11256</v>
      </c>
      <c r="V1396" s="2" t="s">
        <v>161</v>
      </c>
      <c r="W1396" s="2"/>
    </row>
    <row r="1397">
      <c r="A1397" s="2" t="n">
        <v>1076</v>
      </c>
      <c r="B1397" s="2" t="s">
        <v>16901</v>
      </c>
      <c r="C1397" s="2" t="s">
        <v>11263</v>
      </c>
      <c r="D1397" s="2" t="n">
        <v>900.5204593</v>
      </c>
      <c r="E1397" s="2" t="n">
        <v>3.913073052802</v>
      </c>
      <c r="F1397" s="2" t="s">
        <v>11265</v>
      </c>
      <c r="G1397" s="2" t="n">
        <v>206456</v>
      </c>
      <c r="H1397" s="3" t="str">
        <f>HYPERLINK("http://funmeta.oebiotech.com/network/206456", "http://funmeta.oebiotech.com/network/206456")</f>
      </c>
      <c r="I1397" s="2" t="s">
        <v>11267</v>
      </c>
      <c r="J1397" s="2"/>
      <c r="K1397" s="2"/>
      <c r="L1397" s="2"/>
      <c r="M1397" s="2"/>
      <c r="N1397" s="2" t="s">
        <v>11268</v>
      </c>
      <c r="O1397" s="2"/>
      <c r="P1397" s="2" t="s">
        <v>11269</v>
      </c>
      <c r="Q1397" s="2" t="s">
        <v>11270</v>
      </c>
      <c r="R1397" s="2" t="s">
        <v>129</v>
      </c>
      <c r="S1397" s="2" t="s">
        <v>130</v>
      </c>
      <c r="T1397" s="2" t="s">
        <v>1681</v>
      </c>
      <c r="U1397" s="2" t="s">
        <v>11264</v>
      </c>
      <c r="V1397" s="2" t="s">
        <v>218</v>
      </c>
      <c r="W1397" s="2"/>
    </row>
    <row r="1398">
      <c r="A1398" s="2" t="n">
        <v>1077</v>
      </c>
      <c r="B1398" s="2" t="s">
        <v>16902</v>
      </c>
      <c r="C1398" s="2" t="s">
        <v>11271</v>
      </c>
      <c r="D1398" s="2" t="n">
        <v>901.3275484</v>
      </c>
      <c r="E1398" s="2" t="n">
        <v>2.69421858144788</v>
      </c>
      <c r="F1398" s="2" t="s">
        <v>11273</v>
      </c>
      <c r="G1398" s="2" t="n">
        <v>200712</v>
      </c>
      <c r="H1398" s="3" t="str">
        <f>HYPERLINK("http://funmeta.oebiotech.com/network/200712", "http://funmeta.oebiotech.com/network/200712")</f>
      </c>
      <c r="I1398" s="2" t="s">
        <v>11275</v>
      </c>
      <c r="J1398" s="2"/>
      <c r="K1398" s="2"/>
      <c r="L1398" s="2"/>
      <c r="M1398" s="2"/>
      <c r="N1398" s="2" t="s">
        <v>11276</v>
      </c>
      <c r="O1398" s="2"/>
      <c r="P1398" s="2" t="s">
        <v>11277</v>
      </c>
      <c r="Q1398" s="2" t="s">
        <v>11278</v>
      </c>
      <c r="R1398" s="2" t="s">
        <v>186</v>
      </c>
      <c r="S1398" s="2" t="s">
        <v>187</v>
      </c>
      <c r="T1398" s="2" t="s">
        <v>3454</v>
      </c>
      <c r="U1398" s="2" t="s">
        <v>11272</v>
      </c>
      <c r="V1398" s="2" t="s">
        <v>683</v>
      </c>
      <c r="W1398" s="2"/>
    </row>
    <row r="1399">
      <c r="A1399" s="2" t="n">
        <v>1078</v>
      </c>
      <c r="B1399" s="2" t="s">
        <v>16903</v>
      </c>
      <c r="C1399" s="2" t="s">
        <v>11279</v>
      </c>
      <c r="D1399" s="2" t="n">
        <v>901.557831382</v>
      </c>
      <c r="E1399" s="2" t="n">
        <v>4.92885042373944</v>
      </c>
      <c r="F1399" s="2" t="s">
        <v>16904</v>
      </c>
      <c r="G1399" s="2" t="n">
        <v>50433</v>
      </c>
      <c r="H1399" s="3" t="str">
        <f>HYPERLINK("http://funmeta.oebiotech.com/network/50433", "http://funmeta.oebiotech.com/network/50433")</f>
      </c>
      <c r="I1399" s="2" t="s">
        <v>16905</v>
      </c>
      <c r="J1399" s="2"/>
      <c r="K1399" s="2"/>
      <c r="L1399" s="2"/>
      <c r="M1399" s="2" t="s">
        <v>16906</v>
      </c>
      <c r="N1399" s="2"/>
      <c r="O1399" s="2"/>
      <c r="P1399" s="2" t="s">
        <v>16907</v>
      </c>
      <c r="Q1399" s="2" t="s">
        <v>16908</v>
      </c>
      <c r="R1399" s="2" t="s">
        <v>794</v>
      </c>
      <c r="S1399" s="2" t="s">
        <v>7122</v>
      </c>
      <c r="T1399" s="2" t="s">
        <v>9394</v>
      </c>
      <c r="U1399" s="2" t="s">
        <v>11280</v>
      </c>
      <c r="V1399" s="2" t="s">
        <v>86</v>
      </c>
      <c r="W1399" s="2"/>
    </row>
    <row r="1400">
      <c r="A1400" s="2" t="n">
        <v>1078</v>
      </c>
      <c r="B1400" s="2" t="s">
        <v>16909</v>
      </c>
      <c r="C1400" s="2" t="s">
        <v>11279</v>
      </c>
      <c r="D1400" s="2" t="n">
        <v>901.557831859</v>
      </c>
      <c r="E1400" s="2" t="n">
        <v>4.92885042373944</v>
      </c>
      <c r="F1400" s="2" t="s">
        <v>16910</v>
      </c>
      <c r="G1400" s="2" t="n">
        <v>202891</v>
      </c>
      <c r="H1400" s="3" t="str">
        <f>HYPERLINK("http://funmeta.oebiotech.com/network/202891", "http://funmeta.oebiotech.com/network/202891")</f>
      </c>
      <c r="I1400" s="2" t="s">
        <v>16911</v>
      </c>
      <c r="J1400" s="2"/>
      <c r="K1400" s="2"/>
      <c r="L1400" s="2"/>
      <c r="M1400" s="2"/>
      <c r="N1400" s="2" t="s">
        <v>16912</v>
      </c>
      <c r="O1400" s="2"/>
      <c r="P1400" s="2" t="s">
        <v>16913</v>
      </c>
      <c r="Q1400" s="2" t="s">
        <v>16914</v>
      </c>
      <c r="R1400" s="2" t="s">
        <v>794</v>
      </c>
      <c r="S1400" s="2" t="s">
        <v>7122</v>
      </c>
      <c r="T1400" s="2" t="s">
        <v>9394</v>
      </c>
      <c r="U1400" s="2" t="s">
        <v>11280</v>
      </c>
      <c r="V1400" s="2" t="s">
        <v>86</v>
      </c>
      <c r="W1400" s="2"/>
    </row>
    <row r="1401">
      <c r="A1401" s="2" t="n">
        <v>1079</v>
      </c>
      <c r="B1401" s="2" t="s">
        <v>16915</v>
      </c>
      <c r="C1401" s="2" t="s">
        <v>11289</v>
      </c>
      <c r="D1401" s="2" t="n">
        <v>902.531889425</v>
      </c>
      <c r="E1401" s="2" t="n">
        <v>1.27635970750509</v>
      </c>
      <c r="F1401" s="2" t="s">
        <v>16916</v>
      </c>
      <c r="G1401" s="2" t="n">
        <v>83088</v>
      </c>
      <c r="H1401" s="3" t="str">
        <f>HYPERLINK("http://funmeta.oebiotech.com/network/83088", "http://funmeta.oebiotech.com/network/83088")</f>
      </c>
      <c r="I1401" s="2" t="s">
        <v>16917</v>
      </c>
      <c r="J1401" s="2"/>
      <c r="K1401" s="2"/>
      <c r="L1401" s="2"/>
      <c r="M1401" s="2"/>
      <c r="N1401" s="2"/>
      <c r="O1401" s="2"/>
      <c r="P1401" s="2" t="s">
        <v>16918</v>
      </c>
      <c r="Q1401" s="2" t="s">
        <v>16919</v>
      </c>
      <c r="R1401" s="2" t="s">
        <v>794</v>
      </c>
      <c r="S1401" s="2" t="s">
        <v>7122</v>
      </c>
      <c r="T1401" s="2" t="s">
        <v>8042</v>
      </c>
      <c r="U1401" s="2" t="s">
        <v>11290</v>
      </c>
      <c r="V1401" s="2" t="s">
        <v>218</v>
      </c>
      <c r="W1401" s="2"/>
    </row>
    <row r="1402">
      <c r="A1402" s="2" t="n">
        <v>1079</v>
      </c>
      <c r="B1402" s="2" t="s">
        <v>16920</v>
      </c>
      <c r="C1402" s="2" t="s">
        <v>11289</v>
      </c>
      <c r="D1402" s="2" t="n">
        <v>902.531889425</v>
      </c>
      <c r="E1402" s="2" t="n">
        <v>1.27635970750509</v>
      </c>
      <c r="F1402" s="2" t="s">
        <v>16921</v>
      </c>
      <c r="G1402" s="2" t="n">
        <v>83096</v>
      </c>
      <c r="H1402" s="3" t="str">
        <f>HYPERLINK("http://funmeta.oebiotech.com/network/83096", "http://funmeta.oebiotech.com/network/83096")</f>
      </c>
      <c r="I1402" s="2" t="s">
        <v>16922</v>
      </c>
      <c r="J1402" s="2"/>
      <c r="K1402" s="2"/>
      <c r="L1402" s="2"/>
      <c r="M1402" s="2"/>
      <c r="N1402" s="2"/>
      <c r="O1402" s="2"/>
      <c r="P1402" s="2" t="s">
        <v>16923</v>
      </c>
      <c r="Q1402" s="2" t="s">
        <v>16924</v>
      </c>
      <c r="R1402" s="2" t="s">
        <v>794</v>
      </c>
      <c r="S1402" s="2" t="s">
        <v>7122</v>
      </c>
      <c r="T1402" s="2" t="s">
        <v>8042</v>
      </c>
      <c r="U1402" s="2" t="s">
        <v>11290</v>
      </c>
      <c r="V1402" s="2" t="s">
        <v>218</v>
      </c>
      <c r="W1402" s="2"/>
    </row>
    <row r="1403">
      <c r="A1403" s="2" t="n">
        <v>1079</v>
      </c>
      <c r="B1403" s="2" t="s">
        <v>16925</v>
      </c>
      <c r="C1403" s="2" t="s">
        <v>11289</v>
      </c>
      <c r="D1403" s="2" t="n">
        <v>902.531889425</v>
      </c>
      <c r="E1403" s="2" t="n">
        <v>1.27635970750509</v>
      </c>
      <c r="F1403" s="2" t="s">
        <v>16926</v>
      </c>
      <c r="G1403" s="2" t="n">
        <v>83104</v>
      </c>
      <c r="H1403" s="3" t="str">
        <f>HYPERLINK("http://funmeta.oebiotech.com/network/83104", "http://funmeta.oebiotech.com/network/83104")</f>
      </c>
      <c r="I1403" s="2" t="s">
        <v>16927</v>
      </c>
      <c r="J1403" s="2"/>
      <c r="K1403" s="2"/>
      <c r="L1403" s="2"/>
      <c r="M1403" s="2"/>
      <c r="N1403" s="2"/>
      <c r="O1403" s="2"/>
      <c r="P1403" s="2" t="s">
        <v>16928</v>
      </c>
      <c r="Q1403" s="2" t="s">
        <v>16929</v>
      </c>
      <c r="R1403" s="2" t="s">
        <v>794</v>
      </c>
      <c r="S1403" s="2" t="s">
        <v>7122</v>
      </c>
      <c r="T1403" s="2" t="s">
        <v>8042</v>
      </c>
      <c r="U1403" s="2" t="s">
        <v>11290</v>
      </c>
      <c r="V1403" s="2" t="s">
        <v>218</v>
      </c>
      <c r="W1403" s="2"/>
    </row>
    <row r="1404">
      <c r="A1404" s="2" t="n">
        <v>1080</v>
      </c>
      <c r="B1404" s="2" t="s">
        <v>16930</v>
      </c>
      <c r="C1404" s="2" t="s">
        <v>11297</v>
      </c>
      <c r="D1404" s="2" t="n">
        <v>904.547539971</v>
      </c>
      <c r="E1404" s="2" t="n">
        <v>0.664282835315601</v>
      </c>
      <c r="F1404" s="2" t="s">
        <v>11299</v>
      </c>
      <c r="G1404" s="2" t="n">
        <v>132764</v>
      </c>
      <c r="H1404" s="3" t="str">
        <f>HYPERLINK("http://funmeta.oebiotech.com/network/132764", "http://funmeta.oebiotech.com/network/132764")</f>
      </c>
      <c r="I1404" s="2" t="s">
        <v>11301</v>
      </c>
      <c r="J1404" s="2"/>
      <c r="K1404" s="2"/>
      <c r="L1404" s="2"/>
      <c r="M1404" s="2"/>
      <c r="N1404" s="2" t="s">
        <v>11302</v>
      </c>
      <c r="O1404" s="2"/>
      <c r="P1404" s="2" t="s">
        <v>11303</v>
      </c>
      <c r="Q1404" s="2" t="s">
        <v>11304</v>
      </c>
      <c r="R1404" s="2" t="s">
        <v>794</v>
      </c>
      <c r="S1404" s="2" t="s">
        <v>7122</v>
      </c>
      <c r="T1404" s="2" t="s">
        <v>8876</v>
      </c>
      <c r="U1404" s="2" t="s">
        <v>11298</v>
      </c>
      <c r="V1404" s="2" t="s">
        <v>218</v>
      </c>
      <c r="W1404" s="2"/>
    </row>
    <row r="1405">
      <c r="A1405" s="2" t="n">
        <v>1081</v>
      </c>
      <c r="B1405" s="2" t="s">
        <v>16931</v>
      </c>
      <c r="C1405" s="2" t="s">
        <v>11305</v>
      </c>
      <c r="D1405" s="2" t="n">
        <v>906.578507731</v>
      </c>
      <c r="E1405" s="2" t="n">
        <v>5.32185846769816</v>
      </c>
      <c r="F1405" s="2" t="s">
        <v>11307</v>
      </c>
      <c r="G1405" s="2" t="n">
        <v>134595</v>
      </c>
      <c r="H1405" s="3" t="str">
        <f>HYPERLINK("http://funmeta.oebiotech.com/network/134595", "http://funmeta.oebiotech.com/network/134595")</f>
      </c>
      <c r="I1405" s="2" t="s">
        <v>11309</v>
      </c>
      <c r="J1405" s="2"/>
      <c r="K1405" s="2"/>
      <c r="L1405" s="2"/>
      <c r="M1405" s="2"/>
      <c r="N1405" s="2" t="s">
        <v>11310</v>
      </c>
      <c r="O1405" s="2"/>
      <c r="P1405" s="2" t="s">
        <v>11311</v>
      </c>
      <c r="Q1405" s="2" t="s">
        <v>11312</v>
      </c>
      <c r="R1405" s="2" t="s">
        <v>794</v>
      </c>
      <c r="S1405" s="2" t="s">
        <v>7122</v>
      </c>
      <c r="T1405" s="2" t="s">
        <v>8042</v>
      </c>
      <c r="U1405" s="2" t="s">
        <v>11306</v>
      </c>
      <c r="V1405" s="2" t="s">
        <v>86</v>
      </c>
      <c r="W1405" s="2"/>
    </row>
    <row r="1406">
      <c r="A1406" s="2" t="n">
        <v>1082</v>
      </c>
      <c r="B1406" s="2" t="s">
        <v>16932</v>
      </c>
      <c r="C1406" s="2" t="s">
        <v>11313</v>
      </c>
      <c r="D1406" s="2" t="n">
        <v>907.563087</v>
      </c>
      <c r="E1406" s="2" t="n">
        <v>6.09997514091309</v>
      </c>
      <c r="F1406" s="2" t="s">
        <v>11315</v>
      </c>
      <c r="G1406" s="2" t="n">
        <v>212484</v>
      </c>
      <c r="H1406" s="3" t="str">
        <f>HYPERLINK("http://funmeta.oebiotech.com/network/212484", "http://funmeta.oebiotech.com/network/212484")</f>
      </c>
      <c r="I1406" s="2" t="s">
        <v>11317</v>
      </c>
      <c r="J1406" s="2"/>
      <c r="K1406" s="2"/>
      <c r="L1406" s="2"/>
      <c r="M1406" s="2"/>
      <c r="N1406" s="2"/>
      <c r="O1406" s="2"/>
      <c r="P1406" s="2" t="s">
        <v>11318</v>
      </c>
      <c r="Q1406" s="2" t="s">
        <v>11319</v>
      </c>
      <c r="R1406" s="2" t="s">
        <v>36</v>
      </c>
      <c r="S1406" s="2" t="s">
        <v>37</v>
      </c>
      <c r="T1406" s="2" t="s">
        <v>69</v>
      </c>
      <c r="U1406" s="2" t="s">
        <v>11314</v>
      </c>
      <c r="V1406" s="2" t="s">
        <v>531</v>
      </c>
      <c r="W1406" s="2"/>
    </row>
    <row r="1407">
      <c r="A1407" s="2" t="n">
        <v>1083</v>
      </c>
      <c r="B1407" s="2" t="s">
        <v>16933</v>
      </c>
      <c r="C1407" s="2" t="s">
        <v>11320</v>
      </c>
      <c r="D1407" s="2" t="n">
        <v>908.5788401</v>
      </c>
      <c r="E1407" s="2" t="n">
        <v>5.64935745373788</v>
      </c>
      <c r="F1407" s="2" t="s">
        <v>11322</v>
      </c>
      <c r="G1407" s="2" t="n">
        <v>132743</v>
      </c>
      <c r="H1407" s="3" t="str">
        <f>HYPERLINK("http://funmeta.oebiotech.com/network/132743", "http://funmeta.oebiotech.com/network/132743")</f>
      </c>
      <c r="I1407" s="2" t="s">
        <v>11324</v>
      </c>
      <c r="J1407" s="2"/>
      <c r="K1407" s="2"/>
      <c r="L1407" s="2"/>
      <c r="M1407" s="2"/>
      <c r="N1407" s="2" t="s">
        <v>11325</v>
      </c>
      <c r="O1407" s="2"/>
      <c r="P1407" s="2" t="s">
        <v>11326</v>
      </c>
      <c r="Q1407" s="2" t="s">
        <v>11327</v>
      </c>
      <c r="R1407" s="2" t="s">
        <v>794</v>
      </c>
      <c r="S1407" s="2" t="s">
        <v>7122</v>
      </c>
      <c r="T1407" s="2" t="s">
        <v>8876</v>
      </c>
      <c r="U1407" s="2" t="s">
        <v>11321</v>
      </c>
      <c r="V1407" s="2" t="s">
        <v>218</v>
      </c>
      <c r="W1407" s="2"/>
    </row>
    <row r="1408">
      <c r="A1408" s="2" t="n">
        <v>1084</v>
      </c>
      <c r="B1408" s="2" t="s">
        <v>16934</v>
      </c>
      <c r="C1408" s="2" t="s">
        <v>11328</v>
      </c>
      <c r="D1408" s="2" t="n">
        <v>909.570978318</v>
      </c>
      <c r="E1408" s="2" t="n">
        <v>8.63953001635836</v>
      </c>
      <c r="F1408" s="2" t="s">
        <v>11330</v>
      </c>
      <c r="G1408" s="2" t="n">
        <v>24672</v>
      </c>
      <c r="H1408" s="3" t="str">
        <f>HYPERLINK("http://funmeta.oebiotech.com/network/24672", "http://funmeta.oebiotech.com/network/24672")</f>
      </c>
      <c r="I1408" s="2" t="s">
        <v>11332</v>
      </c>
      <c r="J1408" s="2"/>
      <c r="K1408" s="2" t="s">
        <v>11333</v>
      </c>
      <c r="L1408" s="2"/>
      <c r="M1408" s="2" t="s">
        <v>11334</v>
      </c>
      <c r="N1408" s="2" t="s">
        <v>11335</v>
      </c>
      <c r="O1408" s="2" t="s">
        <v>11336</v>
      </c>
      <c r="P1408" s="2" t="s">
        <v>11337</v>
      </c>
      <c r="Q1408" s="2" t="s">
        <v>11338</v>
      </c>
      <c r="R1408" s="2" t="s">
        <v>794</v>
      </c>
      <c r="S1408" s="2" t="s">
        <v>7122</v>
      </c>
      <c r="T1408" s="2" t="s">
        <v>9394</v>
      </c>
      <c r="U1408" s="2" t="s">
        <v>11329</v>
      </c>
      <c r="V1408" s="2" t="s">
        <v>205</v>
      </c>
      <c r="W1408" s="2"/>
    </row>
    <row r="1409">
      <c r="A1409" s="2" t="n">
        <v>1085</v>
      </c>
      <c r="B1409" s="2" t="s">
        <v>16935</v>
      </c>
      <c r="C1409" s="2" t="s">
        <v>11339</v>
      </c>
      <c r="D1409" s="2" t="n">
        <v>910.555469411</v>
      </c>
      <c r="E1409" s="2" t="n">
        <v>2.22656863270319</v>
      </c>
      <c r="F1409" s="2" t="s">
        <v>11341</v>
      </c>
      <c r="G1409" s="2" t="n">
        <v>206110</v>
      </c>
      <c r="H1409" s="3" t="str">
        <f>HYPERLINK("http://funmeta.oebiotech.com/network/206110", "http://funmeta.oebiotech.com/network/206110")</f>
      </c>
      <c r="I1409" s="2" t="s">
        <v>11343</v>
      </c>
      <c r="J1409" s="2"/>
      <c r="K1409" s="2"/>
      <c r="L1409" s="2"/>
      <c r="M1409" s="2"/>
      <c r="N1409" s="2" t="s">
        <v>11344</v>
      </c>
      <c r="O1409" s="2"/>
      <c r="P1409" s="2" t="s">
        <v>11345</v>
      </c>
      <c r="Q1409" s="2" t="s">
        <v>11346</v>
      </c>
      <c r="R1409" s="2" t="s">
        <v>36</v>
      </c>
      <c r="S1409" s="2" t="s">
        <v>7927</v>
      </c>
      <c r="T1409" s="2" t="s">
        <v>7928</v>
      </c>
      <c r="U1409" s="2" t="s">
        <v>11340</v>
      </c>
      <c r="V1409" s="2" t="s">
        <v>161</v>
      </c>
      <c r="W1409" s="2"/>
    </row>
    <row r="1410">
      <c r="A1410" s="2" t="n">
        <v>1086</v>
      </c>
      <c r="B1410" s="2" t="s">
        <v>16936</v>
      </c>
      <c r="C1410" s="2" t="s">
        <v>11347</v>
      </c>
      <c r="D1410" s="2" t="n">
        <v>911.565503318</v>
      </c>
      <c r="E1410" s="2" t="n">
        <v>3.26732103788965</v>
      </c>
      <c r="F1410" s="2" t="s">
        <v>11349</v>
      </c>
      <c r="G1410" s="2" t="n">
        <v>50465</v>
      </c>
      <c r="H1410" s="3" t="str">
        <f>HYPERLINK("http://funmeta.oebiotech.com/network/50465", "http://funmeta.oebiotech.com/network/50465")</f>
      </c>
      <c r="I1410" s="2" t="s">
        <v>11351</v>
      </c>
      <c r="J1410" s="2"/>
      <c r="K1410" s="2"/>
      <c r="L1410" s="2"/>
      <c r="M1410" s="2" t="s">
        <v>11352</v>
      </c>
      <c r="N1410" s="2"/>
      <c r="O1410" s="2"/>
      <c r="P1410" s="2" t="s">
        <v>11353</v>
      </c>
      <c r="Q1410" s="2" t="s">
        <v>11354</v>
      </c>
      <c r="R1410" s="2" t="s">
        <v>794</v>
      </c>
      <c r="S1410" s="2" t="s">
        <v>7122</v>
      </c>
      <c r="T1410" s="2" t="s">
        <v>9394</v>
      </c>
      <c r="U1410" s="2" t="s">
        <v>11348</v>
      </c>
      <c r="V1410" s="2" t="s">
        <v>24</v>
      </c>
      <c r="W1410" s="2"/>
    </row>
    <row r="1411">
      <c r="A1411" s="2" t="n">
        <v>1087</v>
      </c>
      <c r="B1411" s="2" t="s">
        <v>16937</v>
      </c>
      <c r="C1411" s="2" t="s">
        <v>11355</v>
      </c>
      <c r="D1411" s="2" t="n">
        <v>912.576004602</v>
      </c>
      <c r="E1411" s="2" t="n">
        <v>1.40126429567694</v>
      </c>
      <c r="F1411" s="2" t="s">
        <v>11357</v>
      </c>
      <c r="G1411" s="2" t="n">
        <v>134647</v>
      </c>
      <c r="H1411" s="3" t="str">
        <f>HYPERLINK("http://funmeta.oebiotech.com/network/134647", "http://funmeta.oebiotech.com/network/134647")</f>
      </c>
      <c r="I1411" s="2" t="s">
        <v>11359</v>
      </c>
      <c r="J1411" s="2"/>
      <c r="K1411" s="2"/>
      <c r="L1411" s="2"/>
      <c r="M1411" s="2"/>
      <c r="N1411" s="2" t="s">
        <v>11360</v>
      </c>
      <c r="O1411" s="2"/>
      <c r="P1411" s="2" t="s">
        <v>11361</v>
      </c>
      <c r="Q1411" s="2" t="s">
        <v>11362</v>
      </c>
      <c r="R1411" s="2" t="s">
        <v>794</v>
      </c>
      <c r="S1411" s="2" t="s">
        <v>7122</v>
      </c>
      <c r="T1411" s="2" t="s">
        <v>8042</v>
      </c>
      <c r="U1411" s="2" t="s">
        <v>11356</v>
      </c>
      <c r="V1411" s="2" t="s">
        <v>205</v>
      </c>
      <c r="W1411" s="2"/>
    </row>
    <row r="1412">
      <c r="A1412" s="2" t="n">
        <v>1088</v>
      </c>
      <c r="B1412" s="2" t="s">
        <v>16938</v>
      </c>
      <c r="C1412" s="2" t="s">
        <v>11363</v>
      </c>
      <c r="D1412" s="2" t="n">
        <v>913.581153382</v>
      </c>
      <c r="E1412" s="2" t="n">
        <v>3.7483299320571</v>
      </c>
      <c r="F1412" s="2" t="s">
        <v>11365</v>
      </c>
      <c r="G1412" s="2" t="n">
        <v>50463</v>
      </c>
      <c r="H1412" s="3" t="str">
        <f>HYPERLINK("http://funmeta.oebiotech.com/network/50463", "http://funmeta.oebiotech.com/network/50463")</f>
      </c>
      <c r="I1412" s="2" t="s">
        <v>11367</v>
      </c>
      <c r="J1412" s="2"/>
      <c r="K1412" s="2"/>
      <c r="L1412" s="2"/>
      <c r="M1412" s="2" t="s">
        <v>11368</v>
      </c>
      <c r="N1412" s="2"/>
      <c r="O1412" s="2"/>
      <c r="P1412" s="2" t="s">
        <v>11369</v>
      </c>
      <c r="Q1412" s="2" t="s">
        <v>11370</v>
      </c>
      <c r="R1412" s="2" t="s">
        <v>794</v>
      </c>
      <c r="S1412" s="2" t="s">
        <v>7122</v>
      </c>
      <c r="T1412" s="2" t="s">
        <v>9394</v>
      </c>
      <c r="U1412" s="2" t="s">
        <v>11364</v>
      </c>
      <c r="V1412" s="2" t="s">
        <v>24</v>
      </c>
      <c r="W1412" s="2" t="s">
        <v>39</v>
      </c>
    </row>
    <row r="1413">
      <c r="A1413" s="2" t="n">
        <v>1089</v>
      </c>
      <c r="B1413" s="2" t="s">
        <v>16939</v>
      </c>
      <c r="C1413" s="2" t="s">
        <v>11371</v>
      </c>
      <c r="D1413" s="2" t="n">
        <v>914.568336489</v>
      </c>
      <c r="E1413" s="2" t="n">
        <v>1.28274360355895</v>
      </c>
      <c r="F1413" s="2" t="s">
        <v>16940</v>
      </c>
      <c r="G1413" s="2" t="n">
        <v>83083</v>
      </c>
      <c r="H1413" s="3" t="str">
        <f>HYPERLINK("http://funmeta.oebiotech.com/network/83083", "http://funmeta.oebiotech.com/network/83083")</f>
      </c>
      <c r="I1413" s="2" t="s">
        <v>16941</v>
      </c>
      <c r="J1413" s="2"/>
      <c r="K1413" s="2"/>
      <c r="L1413" s="2"/>
      <c r="M1413" s="2"/>
      <c r="N1413" s="2"/>
      <c r="O1413" s="2"/>
      <c r="P1413" s="2" t="s">
        <v>16942</v>
      </c>
      <c r="Q1413" s="2" t="s">
        <v>16943</v>
      </c>
      <c r="R1413" s="2" t="s">
        <v>794</v>
      </c>
      <c r="S1413" s="2" t="s">
        <v>7122</v>
      </c>
      <c r="T1413" s="2" t="s">
        <v>8042</v>
      </c>
      <c r="U1413" s="2" t="s">
        <v>11372</v>
      </c>
      <c r="V1413" s="2" t="s">
        <v>86</v>
      </c>
      <c r="W1413" s="2" t="s">
        <v>56</v>
      </c>
    </row>
    <row r="1414">
      <c r="A1414" s="2" t="n">
        <v>1089</v>
      </c>
      <c r="B1414" s="2" t="s">
        <v>16944</v>
      </c>
      <c r="C1414" s="2" t="s">
        <v>11371</v>
      </c>
      <c r="D1414" s="2" t="n">
        <v>914.568336489</v>
      </c>
      <c r="E1414" s="2" t="n">
        <v>1.28274360355895</v>
      </c>
      <c r="F1414" s="2" t="s">
        <v>16945</v>
      </c>
      <c r="G1414" s="2" t="n">
        <v>83091</v>
      </c>
      <c r="H1414" s="3" t="str">
        <f>HYPERLINK("http://funmeta.oebiotech.com/network/83091", "http://funmeta.oebiotech.com/network/83091")</f>
      </c>
      <c r="I1414" s="2" t="s">
        <v>16946</v>
      </c>
      <c r="J1414" s="2"/>
      <c r="K1414" s="2"/>
      <c r="L1414" s="2"/>
      <c r="M1414" s="2"/>
      <c r="N1414" s="2"/>
      <c r="O1414" s="2"/>
      <c r="P1414" s="2" t="s">
        <v>16947</v>
      </c>
      <c r="Q1414" s="2" t="s">
        <v>16948</v>
      </c>
      <c r="R1414" s="2" t="s">
        <v>794</v>
      </c>
      <c r="S1414" s="2" t="s">
        <v>7122</v>
      </c>
      <c r="T1414" s="2" t="s">
        <v>8042</v>
      </c>
      <c r="U1414" s="2" t="s">
        <v>11372</v>
      </c>
      <c r="V1414" s="2" t="s">
        <v>86</v>
      </c>
      <c r="W1414" s="2" t="s">
        <v>56</v>
      </c>
    </row>
    <row r="1415">
      <c r="A1415" s="2" t="n">
        <v>1089</v>
      </c>
      <c r="B1415" s="2" t="s">
        <v>16949</v>
      </c>
      <c r="C1415" s="2" t="s">
        <v>11371</v>
      </c>
      <c r="D1415" s="2" t="n">
        <v>914.568336489</v>
      </c>
      <c r="E1415" s="2" t="n">
        <v>1.28274360355895</v>
      </c>
      <c r="F1415" s="2" t="s">
        <v>16950</v>
      </c>
      <c r="G1415" s="2" t="n">
        <v>83099</v>
      </c>
      <c r="H1415" s="3" t="str">
        <f>HYPERLINK("http://funmeta.oebiotech.com/network/83099", "http://funmeta.oebiotech.com/network/83099")</f>
      </c>
      <c r="I1415" s="2" t="s">
        <v>16951</v>
      </c>
      <c r="J1415" s="2"/>
      <c r="K1415" s="2"/>
      <c r="L1415" s="2"/>
      <c r="M1415" s="2"/>
      <c r="N1415" s="2"/>
      <c r="O1415" s="2"/>
      <c r="P1415" s="2" t="s">
        <v>16952</v>
      </c>
      <c r="Q1415" s="2" t="s">
        <v>16953</v>
      </c>
      <c r="R1415" s="2" t="s">
        <v>794</v>
      </c>
      <c r="S1415" s="2" t="s">
        <v>7122</v>
      </c>
      <c r="T1415" s="2" t="s">
        <v>8042</v>
      </c>
      <c r="U1415" s="2" t="s">
        <v>11372</v>
      </c>
      <c r="V1415" s="2" t="s">
        <v>86</v>
      </c>
      <c r="W1415" s="2" t="s">
        <v>56</v>
      </c>
    </row>
    <row r="1416">
      <c r="A1416" s="2" t="n">
        <v>1090</v>
      </c>
      <c r="B1416" s="2" t="s">
        <v>16954</v>
      </c>
      <c r="C1416" s="2" t="s">
        <v>11378</v>
      </c>
      <c r="D1416" s="2" t="n">
        <v>917.539366606</v>
      </c>
      <c r="E1416" s="2" t="n">
        <v>7.40923591836766</v>
      </c>
      <c r="F1416" s="2" t="s">
        <v>11380</v>
      </c>
      <c r="G1416" s="2" t="n">
        <v>204431</v>
      </c>
      <c r="H1416" s="3" t="str">
        <f>HYPERLINK("http://funmeta.oebiotech.com/network/204431", "http://funmeta.oebiotech.com/network/204431")</f>
      </c>
      <c r="I1416" s="2" t="s">
        <v>11382</v>
      </c>
      <c r="J1416" s="2" t="s">
        <v>11383</v>
      </c>
      <c r="K1416" s="2"/>
      <c r="L1416" s="2"/>
      <c r="M1416" s="2"/>
      <c r="N1416" s="2" t="s">
        <v>11384</v>
      </c>
      <c r="O1416" s="2" t="s">
        <v>11385</v>
      </c>
      <c r="P1416" s="2" t="s">
        <v>11386</v>
      </c>
      <c r="Q1416" s="2" t="s">
        <v>11387</v>
      </c>
      <c r="R1416" s="2" t="s">
        <v>114</v>
      </c>
      <c r="S1416" s="2" t="s">
        <v>1050</v>
      </c>
      <c r="T1416" s="2" t="s">
        <v>1122</v>
      </c>
      <c r="U1416" s="2" t="s">
        <v>11379</v>
      </c>
      <c r="V1416" s="2" t="s">
        <v>683</v>
      </c>
      <c r="W1416" s="2"/>
    </row>
    <row r="1417">
      <c r="A1417" s="2" t="n">
        <v>1091</v>
      </c>
      <c r="B1417" s="2" t="s">
        <v>16955</v>
      </c>
      <c r="C1417" s="2" t="s">
        <v>11388</v>
      </c>
      <c r="D1417" s="2" t="n">
        <v>919.588214296</v>
      </c>
      <c r="E1417" s="2" t="n">
        <v>6.62982706314944</v>
      </c>
      <c r="F1417" s="2" t="s">
        <v>11390</v>
      </c>
      <c r="G1417" s="2" t="n">
        <v>208558</v>
      </c>
      <c r="H1417" s="3" t="str">
        <f>HYPERLINK("http://funmeta.oebiotech.com/network/208558", "http://funmeta.oebiotech.com/network/208558")</f>
      </c>
      <c r="I1417" s="2" t="s">
        <v>11392</v>
      </c>
      <c r="J1417" s="2"/>
      <c r="K1417" s="2"/>
      <c r="L1417" s="2"/>
      <c r="M1417" s="2"/>
      <c r="N1417" s="2" t="s">
        <v>11393</v>
      </c>
      <c r="O1417" s="2"/>
      <c r="P1417" s="2" t="s">
        <v>11394</v>
      </c>
      <c r="Q1417" s="2" t="s">
        <v>11395</v>
      </c>
      <c r="R1417" s="2" t="s">
        <v>794</v>
      </c>
      <c r="S1417" s="2" t="s">
        <v>1098</v>
      </c>
      <c r="T1417" s="2" t="s">
        <v>9336</v>
      </c>
      <c r="U1417" s="2" t="s">
        <v>11389</v>
      </c>
      <c r="V1417" s="2" t="s">
        <v>683</v>
      </c>
      <c r="W1417" s="2"/>
    </row>
    <row r="1418">
      <c r="A1418" s="2" t="n">
        <v>1092</v>
      </c>
      <c r="B1418" s="2" t="s">
        <v>16956</v>
      </c>
      <c r="C1418" s="2" t="s">
        <v>11396</v>
      </c>
      <c r="D1418" s="2" t="n">
        <v>919.752693069</v>
      </c>
      <c r="E1418" s="2" t="n">
        <v>7.80959533987106</v>
      </c>
      <c r="F1418" s="2" t="s">
        <v>11398</v>
      </c>
      <c r="G1418" s="2" t="n">
        <v>48515</v>
      </c>
      <c r="H1418" s="3" t="str">
        <f>HYPERLINK("http://funmeta.oebiotech.com/network/48515", "http://funmeta.oebiotech.com/network/48515")</f>
      </c>
      <c r="I1418" s="2" t="s">
        <v>11400</v>
      </c>
      <c r="J1418" s="2"/>
      <c r="K1418" s="2"/>
      <c r="L1418" s="2" t="s">
        <v>9144</v>
      </c>
      <c r="M1418" s="2"/>
      <c r="N1418" s="2" t="s">
        <v>11401</v>
      </c>
      <c r="O1418" s="2"/>
      <c r="P1418" s="2" t="s">
        <v>11402</v>
      </c>
      <c r="Q1418" s="2" t="s">
        <v>11403</v>
      </c>
      <c r="R1418" s="2" t="s">
        <v>794</v>
      </c>
      <c r="S1418" s="2" t="s">
        <v>2600</v>
      </c>
      <c r="T1418" s="2" t="s">
        <v>8840</v>
      </c>
      <c r="U1418" s="2" t="s">
        <v>11397</v>
      </c>
      <c r="V1418" s="2" t="s">
        <v>86</v>
      </c>
      <c r="W1418" s="2" t="s">
        <v>101</v>
      </c>
    </row>
    <row r="1419">
      <c r="A1419" s="2" t="n">
        <v>1093</v>
      </c>
      <c r="B1419" s="2" t="s">
        <v>16957</v>
      </c>
      <c r="C1419" s="2" t="s">
        <v>11404</v>
      </c>
      <c r="D1419" s="2" t="n">
        <v>920.594157309</v>
      </c>
      <c r="E1419" s="2" t="n">
        <v>7.44937107251076</v>
      </c>
      <c r="F1419" s="2" t="s">
        <v>11406</v>
      </c>
      <c r="G1419" s="2" t="n">
        <v>19324</v>
      </c>
      <c r="H1419" s="3" t="str">
        <f>HYPERLINK("http://funmeta.oebiotech.com/network/19324", "http://funmeta.oebiotech.com/network/19324")</f>
      </c>
      <c r="I1419" s="2" t="s">
        <v>11408</v>
      </c>
      <c r="J1419" s="2" t="s">
        <v>11409</v>
      </c>
      <c r="K1419" s="2" t="s">
        <v>11410</v>
      </c>
      <c r="L1419" s="2" t="s">
        <v>9831</v>
      </c>
      <c r="M1419" s="2"/>
      <c r="N1419" s="2" t="s">
        <v>11411</v>
      </c>
      <c r="O1419" s="2"/>
      <c r="P1419" s="2" t="s">
        <v>11412</v>
      </c>
      <c r="Q1419" s="2" t="s">
        <v>11413</v>
      </c>
      <c r="R1419" s="2" t="s">
        <v>794</v>
      </c>
      <c r="S1419" s="2" t="s">
        <v>7122</v>
      </c>
      <c r="T1419" s="2" t="s">
        <v>8460</v>
      </c>
      <c r="U1419" s="2" t="s">
        <v>11405</v>
      </c>
      <c r="V1419" s="2" t="s">
        <v>86</v>
      </c>
      <c r="W1419" s="2" t="s">
        <v>101</v>
      </c>
    </row>
    <row r="1420">
      <c r="A1420" s="2" t="n">
        <v>1094</v>
      </c>
      <c r="B1420" s="2" t="s">
        <v>16958</v>
      </c>
      <c r="C1420" s="2" t="s">
        <v>11414</v>
      </c>
      <c r="D1420" s="2" t="n">
        <v>921.768343133</v>
      </c>
      <c r="E1420" s="2" t="n">
        <v>1.90085547484024</v>
      </c>
      <c r="F1420" s="2" t="s">
        <v>11416</v>
      </c>
      <c r="G1420" s="2" t="n">
        <v>48509</v>
      </c>
      <c r="H1420" s="3" t="str">
        <f>HYPERLINK("http://funmeta.oebiotech.com/network/48509", "http://funmeta.oebiotech.com/network/48509")</f>
      </c>
      <c r="I1420" s="2" t="s">
        <v>11418</v>
      </c>
      <c r="J1420" s="2"/>
      <c r="K1420" s="2"/>
      <c r="L1420" s="2" t="s">
        <v>9144</v>
      </c>
      <c r="M1420" s="2"/>
      <c r="N1420" s="2" t="s">
        <v>11419</v>
      </c>
      <c r="O1420" s="2"/>
      <c r="P1420" s="2" t="s">
        <v>11420</v>
      </c>
      <c r="Q1420" s="2" t="s">
        <v>11421</v>
      </c>
      <c r="R1420" s="2" t="s">
        <v>794</v>
      </c>
      <c r="S1420" s="2" t="s">
        <v>2600</v>
      </c>
      <c r="T1420" s="2" t="s">
        <v>8840</v>
      </c>
      <c r="U1420" s="2" t="s">
        <v>11415</v>
      </c>
      <c r="V1420" s="2" t="s">
        <v>86</v>
      </c>
      <c r="W1420" s="2" t="s">
        <v>101</v>
      </c>
    </row>
    <row r="1421">
      <c r="A1421" s="2" t="n">
        <v>1095</v>
      </c>
      <c r="B1421" s="2" t="s">
        <v>16959</v>
      </c>
      <c r="C1421" s="2" t="s">
        <v>11422</v>
      </c>
      <c r="D1421" s="2" t="n">
        <v>922.609807373</v>
      </c>
      <c r="E1421" s="2" t="n">
        <v>0.699081723466712</v>
      </c>
      <c r="F1421" s="2" t="s">
        <v>11424</v>
      </c>
      <c r="G1421" s="2" t="n">
        <v>49773</v>
      </c>
      <c r="H1421" s="3" t="str">
        <f>HYPERLINK("http://funmeta.oebiotech.com/network/49773", "http://funmeta.oebiotech.com/network/49773")</f>
      </c>
      <c r="I1421" s="2" t="s">
        <v>11426</v>
      </c>
      <c r="J1421" s="2" t="s">
        <v>11427</v>
      </c>
      <c r="K1421" s="2"/>
      <c r="L1421" s="2" t="s">
        <v>9831</v>
      </c>
      <c r="M1421" s="2"/>
      <c r="N1421" s="2" t="s">
        <v>11428</v>
      </c>
      <c r="O1421" s="2"/>
      <c r="P1421" s="2" t="s">
        <v>11429</v>
      </c>
      <c r="Q1421" s="2" t="s">
        <v>11430</v>
      </c>
      <c r="R1421" s="2" t="s">
        <v>794</v>
      </c>
      <c r="S1421" s="2" t="s">
        <v>7122</v>
      </c>
      <c r="T1421" s="2" t="s">
        <v>8460</v>
      </c>
      <c r="U1421" s="2" t="s">
        <v>11423</v>
      </c>
      <c r="V1421" s="2" t="s">
        <v>86</v>
      </c>
      <c r="W1421" s="2" t="s">
        <v>101</v>
      </c>
    </row>
    <row r="1422">
      <c r="A1422" s="2" t="n">
        <v>1096</v>
      </c>
      <c r="B1422" s="2" t="s">
        <v>16960</v>
      </c>
      <c r="C1422" s="2" t="s">
        <v>11431</v>
      </c>
      <c r="D1422" s="2" t="n">
        <v>923.61951442</v>
      </c>
      <c r="E1422" s="2" t="n">
        <v>5.65848851516252</v>
      </c>
      <c r="F1422" s="2" t="s">
        <v>11433</v>
      </c>
      <c r="G1422" s="2" t="n">
        <v>62397</v>
      </c>
      <c r="H1422" s="3" t="str">
        <f>HYPERLINK("http://funmeta.oebiotech.com/network/62397", "http://funmeta.oebiotech.com/network/62397")</f>
      </c>
      <c r="I1422" s="2" t="s">
        <v>11435</v>
      </c>
      <c r="J1422" s="2" t="s">
        <v>11436</v>
      </c>
      <c r="K1422" s="2"/>
      <c r="L1422" s="2"/>
      <c r="M1422" s="2"/>
      <c r="N1422" s="2" t="s">
        <v>11437</v>
      </c>
      <c r="O1422" s="2"/>
      <c r="P1422" s="2" t="s">
        <v>11438</v>
      </c>
      <c r="Q1422" s="2" t="s">
        <v>11439</v>
      </c>
      <c r="R1422" s="2" t="s">
        <v>794</v>
      </c>
      <c r="S1422" s="2" t="s">
        <v>1098</v>
      </c>
      <c r="T1422" s="2" t="s">
        <v>7646</v>
      </c>
      <c r="U1422" s="2" t="s">
        <v>11432</v>
      </c>
      <c r="V1422" s="2" t="s">
        <v>683</v>
      </c>
      <c r="W1422" s="2"/>
    </row>
    <row r="1423">
      <c r="A1423" s="2" t="n">
        <v>1097</v>
      </c>
      <c r="B1423" s="2" t="s">
        <v>16961</v>
      </c>
      <c r="C1423" s="2" t="s">
        <v>11440</v>
      </c>
      <c r="D1423" s="2" t="n">
        <v>923.783993198</v>
      </c>
      <c r="E1423" s="2" t="n">
        <v>7.37954319877941</v>
      </c>
      <c r="F1423" s="2" t="s">
        <v>11442</v>
      </c>
      <c r="G1423" s="2" t="n">
        <v>48494</v>
      </c>
      <c r="H1423" s="3" t="str">
        <f>HYPERLINK("http://funmeta.oebiotech.com/network/48494", "http://funmeta.oebiotech.com/network/48494")</f>
      </c>
      <c r="I1423" s="2" t="s">
        <v>11444</v>
      </c>
      <c r="J1423" s="2"/>
      <c r="K1423" s="2"/>
      <c r="L1423" s="2" t="s">
        <v>9144</v>
      </c>
      <c r="M1423" s="2"/>
      <c r="N1423" s="2" t="s">
        <v>11445</v>
      </c>
      <c r="O1423" s="2"/>
      <c r="P1423" s="2" t="s">
        <v>11446</v>
      </c>
      <c r="Q1423" s="2" t="s">
        <v>11447</v>
      </c>
      <c r="R1423" s="2" t="s">
        <v>794</v>
      </c>
      <c r="S1423" s="2" t="s">
        <v>2600</v>
      </c>
      <c r="T1423" s="2" t="s">
        <v>8840</v>
      </c>
      <c r="U1423" s="2" t="s">
        <v>11441</v>
      </c>
      <c r="V1423" s="2" t="s">
        <v>86</v>
      </c>
      <c r="W1423" s="2" t="s">
        <v>101</v>
      </c>
    </row>
    <row r="1424">
      <c r="A1424" s="2" t="n">
        <v>1098</v>
      </c>
      <c r="B1424" s="2" t="s">
        <v>16962</v>
      </c>
      <c r="C1424" s="2" t="s">
        <v>11448</v>
      </c>
      <c r="D1424" s="2" t="n">
        <v>924.600685449</v>
      </c>
      <c r="E1424" s="2" t="n">
        <v>2.6101362204672</v>
      </c>
      <c r="F1424" s="2" t="s">
        <v>11450</v>
      </c>
      <c r="G1424" s="2" t="n">
        <v>51994</v>
      </c>
      <c r="H1424" s="3" t="str">
        <f>HYPERLINK("http://funmeta.oebiotech.com/network/51994", "http://funmeta.oebiotech.com/network/51994")</f>
      </c>
      <c r="I1424" s="2" t="s">
        <v>11452</v>
      </c>
      <c r="J1424" s="2"/>
      <c r="K1424" s="2"/>
      <c r="L1424" s="2" t="s">
        <v>11453</v>
      </c>
      <c r="M1424" s="2"/>
      <c r="N1424" s="2" t="s">
        <v>11454</v>
      </c>
      <c r="O1424" s="2" t="s">
        <v>11455</v>
      </c>
      <c r="P1424" s="2" t="s">
        <v>11456</v>
      </c>
      <c r="Q1424" s="2" t="s">
        <v>11457</v>
      </c>
      <c r="R1424" s="2" t="s">
        <v>794</v>
      </c>
      <c r="S1424" s="2" t="s">
        <v>7781</v>
      </c>
      <c r="T1424" s="2" t="s">
        <v>11458</v>
      </c>
      <c r="U1424" s="2" t="s">
        <v>11449</v>
      </c>
      <c r="V1424" s="2" t="s">
        <v>86</v>
      </c>
      <c r="W1424" s="2" t="s">
        <v>39</v>
      </c>
    </row>
    <row r="1425">
      <c r="A1425" s="2" t="n">
        <v>1099</v>
      </c>
      <c r="B1425" s="2" t="s">
        <v>16963</v>
      </c>
      <c r="C1425" s="2" t="s">
        <v>11459</v>
      </c>
      <c r="D1425" s="2" t="n">
        <v>925.53724135</v>
      </c>
      <c r="E1425" s="2" t="n">
        <v>3.74674570584535</v>
      </c>
      <c r="F1425" s="2" t="s">
        <v>11461</v>
      </c>
      <c r="G1425" s="2" t="n">
        <v>204374</v>
      </c>
      <c r="H1425" s="3" t="str">
        <f>HYPERLINK("http://funmeta.oebiotech.com/network/204374", "http://funmeta.oebiotech.com/network/204374")</f>
      </c>
      <c r="I1425" s="2" t="s">
        <v>11463</v>
      </c>
      <c r="J1425" s="2"/>
      <c r="K1425" s="2"/>
      <c r="L1425" s="2"/>
      <c r="M1425" s="2"/>
      <c r="N1425" s="2" t="s">
        <v>11464</v>
      </c>
      <c r="O1425" s="2"/>
      <c r="P1425" s="2" t="s">
        <v>11465</v>
      </c>
      <c r="Q1425" s="2" t="s">
        <v>11466</v>
      </c>
      <c r="R1425" s="2" t="s">
        <v>129</v>
      </c>
      <c r="S1425" s="2" t="s">
        <v>130</v>
      </c>
      <c r="T1425" s="2" t="s">
        <v>131</v>
      </c>
      <c r="U1425" s="2" t="s">
        <v>11460</v>
      </c>
      <c r="V1425" s="2" t="s">
        <v>683</v>
      </c>
      <c r="W1425" s="2"/>
    </row>
    <row r="1426">
      <c r="A1426" s="2" t="n">
        <v>1100</v>
      </c>
      <c r="B1426" s="2" t="s">
        <v>16964</v>
      </c>
      <c r="C1426" s="2" t="s">
        <v>11467</v>
      </c>
      <c r="D1426" s="2" t="n">
        <v>926.604660437</v>
      </c>
      <c r="E1426" s="2" t="n">
        <v>1.89963737366501</v>
      </c>
      <c r="F1426" s="2" t="s">
        <v>11469</v>
      </c>
      <c r="G1426" s="2" t="n">
        <v>49747</v>
      </c>
      <c r="H1426" s="3" t="str">
        <f>HYPERLINK("http://funmeta.oebiotech.com/network/49747", "http://funmeta.oebiotech.com/network/49747")</f>
      </c>
      <c r="I1426" s="2" t="s">
        <v>11471</v>
      </c>
      <c r="J1426" s="2" t="s">
        <v>11472</v>
      </c>
      <c r="K1426" s="2"/>
      <c r="L1426" s="2" t="s">
        <v>9831</v>
      </c>
      <c r="M1426" s="2"/>
      <c r="N1426" s="2" t="s">
        <v>11473</v>
      </c>
      <c r="O1426" s="2"/>
      <c r="P1426" s="2" t="s">
        <v>11474</v>
      </c>
      <c r="Q1426" s="2" t="s">
        <v>11475</v>
      </c>
      <c r="R1426" s="2" t="s">
        <v>794</v>
      </c>
      <c r="S1426" s="2" t="s">
        <v>7122</v>
      </c>
      <c r="T1426" s="2" t="s">
        <v>8460</v>
      </c>
      <c r="U1426" s="2" t="s">
        <v>11468</v>
      </c>
      <c r="V1426" s="2" t="s">
        <v>218</v>
      </c>
      <c r="W1426" s="2" t="s">
        <v>101</v>
      </c>
    </row>
    <row r="1427">
      <c r="A1427" s="2" t="n">
        <v>1101</v>
      </c>
      <c r="B1427" s="2" t="s">
        <v>16965</v>
      </c>
      <c r="C1427" s="2" t="s">
        <v>11476</v>
      </c>
      <c r="D1427" s="2" t="n">
        <v>927.627492554</v>
      </c>
      <c r="E1427" s="2" t="n">
        <v>4.37762647922413</v>
      </c>
      <c r="F1427" s="2" t="s">
        <v>11478</v>
      </c>
      <c r="G1427" s="2" t="n">
        <v>77923</v>
      </c>
      <c r="H1427" s="3" t="str">
        <f>HYPERLINK("http://funmeta.oebiotech.com/network/77923", "http://funmeta.oebiotech.com/network/77923")</f>
      </c>
      <c r="I1427" s="2" t="s">
        <v>11480</v>
      </c>
      <c r="J1427" s="2"/>
      <c r="K1427" s="2"/>
      <c r="L1427" s="2"/>
      <c r="M1427" s="2"/>
      <c r="N1427" s="2" t="s">
        <v>11481</v>
      </c>
      <c r="O1427" s="2"/>
      <c r="P1427" s="2" t="s">
        <v>11482</v>
      </c>
      <c r="Q1427" s="2" t="s">
        <v>11483</v>
      </c>
      <c r="R1427" s="2" t="s">
        <v>794</v>
      </c>
      <c r="S1427" s="2" t="s">
        <v>2600</v>
      </c>
      <c r="T1427" s="2" t="s">
        <v>8840</v>
      </c>
      <c r="U1427" s="2" t="s">
        <v>11477</v>
      </c>
      <c r="V1427" s="2" t="s">
        <v>86</v>
      </c>
      <c r="W1427" s="2"/>
    </row>
    <row r="1428">
      <c r="A1428" s="2" t="n">
        <v>1102</v>
      </c>
      <c r="B1428" s="2" t="s">
        <v>16966</v>
      </c>
      <c r="C1428" s="2" t="s">
        <v>11484</v>
      </c>
      <c r="D1428" s="2" t="n">
        <v>928.583986553</v>
      </c>
      <c r="E1428" s="2" t="n">
        <v>1.4061748528744</v>
      </c>
      <c r="F1428" s="2" t="s">
        <v>16967</v>
      </c>
      <c r="G1428" s="2" t="n">
        <v>83097</v>
      </c>
      <c r="H1428" s="3" t="str">
        <f>HYPERLINK("http://funmeta.oebiotech.com/network/83097", "http://funmeta.oebiotech.com/network/83097")</f>
      </c>
      <c r="I1428" s="2" t="s">
        <v>16968</v>
      </c>
      <c r="J1428" s="2"/>
      <c r="K1428" s="2"/>
      <c r="L1428" s="2"/>
      <c r="M1428" s="2"/>
      <c r="N1428" s="2"/>
      <c r="O1428" s="2"/>
      <c r="P1428" s="2" t="s">
        <v>16969</v>
      </c>
      <c r="Q1428" s="2" t="s">
        <v>16970</v>
      </c>
      <c r="R1428" s="2" t="s">
        <v>794</v>
      </c>
      <c r="S1428" s="2" t="s">
        <v>7122</v>
      </c>
      <c r="T1428" s="2" t="s">
        <v>8042</v>
      </c>
      <c r="U1428" s="2" t="s">
        <v>11485</v>
      </c>
      <c r="V1428" s="2" t="s">
        <v>86</v>
      </c>
      <c r="W1428" s="2"/>
    </row>
    <row r="1429">
      <c r="A1429" s="2" t="n">
        <v>1102</v>
      </c>
      <c r="B1429" s="2" t="s">
        <v>16971</v>
      </c>
      <c r="C1429" s="2" t="s">
        <v>11484</v>
      </c>
      <c r="D1429" s="2" t="n">
        <v>928.583986553</v>
      </c>
      <c r="E1429" s="2" t="n">
        <v>1.4061748528744</v>
      </c>
      <c r="F1429" s="2" t="s">
        <v>16972</v>
      </c>
      <c r="G1429" s="2" t="n">
        <v>83105</v>
      </c>
      <c r="H1429" s="3" t="str">
        <f>HYPERLINK("http://funmeta.oebiotech.com/network/83105", "http://funmeta.oebiotech.com/network/83105")</f>
      </c>
      <c r="I1429" s="2" t="s">
        <v>16973</v>
      </c>
      <c r="J1429" s="2"/>
      <c r="K1429" s="2"/>
      <c r="L1429" s="2"/>
      <c r="M1429" s="2"/>
      <c r="N1429" s="2"/>
      <c r="O1429" s="2"/>
      <c r="P1429" s="2" t="s">
        <v>16974</v>
      </c>
      <c r="Q1429" s="2" t="s">
        <v>16975</v>
      </c>
      <c r="R1429" s="2" t="s">
        <v>794</v>
      </c>
      <c r="S1429" s="2" t="s">
        <v>7122</v>
      </c>
      <c r="T1429" s="2" t="s">
        <v>8042</v>
      </c>
      <c r="U1429" s="2" t="s">
        <v>11485</v>
      </c>
      <c r="V1429" s="2" t="s">
        <v>86</v>
      </c>
      <c r="W1429" s="2"/>
    </row>
    <row r="1430">
      <c r="A1430" s="2" t="n">
        <v>1102</v>
      </c>
      <c r="B1430" s="2" t="s">
        <v>16976</v>
      </c>
      <c r="C1430" s="2" t="s">
        <v>11484</v>
      </c>
      <c r="D1430" s="2" t="n">
        <v>928.583986553</v>
      </c>
      <c r="E1430" s="2" t="n">
        <v>1.4061748528744</v>
      </c>
      <c r="F1430" s="2" t="s">
        <v>16977</v>
      </c>
      <c r="G1430" s="2" t="n">
        <v>83137</v>
      </c>
      <c r="H1430" s="3" t="str">
        <f>HYPERLINK("http://funmeta.oebiotech.com/network/83137", "http://funmeta.oebiotech.com/network/83137")</f>
      </c>
      <c r="I1430" s="2" t="s">
        <v>16978</v>
      </c>
      <c r="J1430" s="2"/>
      <c r="K1430" s="2"/>
      <c r="L1430" s="2"/>
      <c r="M1430" s="2"/>
      <c r="N1430" s="2"/>
      <c r="O1430" s="2"/>
      <c r="P1430" s="2" t="s">
        <v>16979</v>
      </c>
      <c r="Q1430" s="2" t="s">
        <v>16980</v>
      </c>
      <c r="R1430" s="2" t="s">
        <v>794</v>
      </c>
      <c r="S1430" s="2" t="s">
        <v>7122</v>
      </c>
      <c r="T1430" s="2" t="s">
        <v>8042</v>
      </c>
      <c r="U1430" s="2" t="s">
        <v>11485</v>
      </c>
      <c r="V1430" s="2" t="s">
        <v>86</v>
      </c>
      <c r="W1430" s="2"/>
    </row>
    <row r="1431">
      <c r="A1431" s="2" t="n">
        <v>1103</v>
      </c>
      <c r="B1431" s="2" t="s">
        <v>16981</v>
      </c>
      <c r="C1431" s="2" t="s">
        <v>11491</v>
      </c>
      <c r="D1431" s="2" t="n">
        <v>929.563802558</v>
      </c>
      <c r="E1431" s="2" t="n">
        <v>3.36093906208555</v>
      </c>
      <c r="F1431" s="2" t="s">
        <v>11493</v>
      </c>
      <c r="G1431" s="2" t="n">
        <v>19828</v>
      </c>
      <c r="H1431" s="3" t="str">
        <f>HYPERLINK("http://funmeta.oebiotech.com/network/19828", "http://funmeta.oebiotech.com/network/19828")</f>
      </c>
      <c r="I1431" s="2" t="s">
        <v>11495</v>
      </c>
      <c r="J1431" s="2" t="s">
        <v>11496</v>
      </c>
      <c r="K1431" s="2" t="s">
        <v>11497</v>
      </c>
      <c r="L1431" s="2" t="s">
        <v>8454</v>
      </c>
      <c r="M1431" s="2" t="s">
        <v>11498</v>
      </c>
      <c r="N1431" s="2" t="s">
        <v>11499</v>
      </c>
      <c r="O1431" s="2"/>
      <c r="P1431" s="2" t="s">
        <v>11500</v>
      </c>
      <c r="Q1431" s="2" t="s">
        <v>11501</v>
      </c>
      <c r="R1431" s="2" t="s">
        <v>794</v>
      </c>
      <c r="S1431" s="2" t="s">
        <v>7122</v>
      </c>
      <c r="T1431" s="2" t="s">
        <v>8460</v>
      </c>
      <c r="U1431" s="2" t="s">
        <v>11492</v>
      </c>
      <c r="V1431" s="2" t="s">
        <v>683</v>
      </c>
      <c r="W1431" s="2" t="s">
        <v>56</v>
      </c>
    </row>
    <row r="1432">
      <c r="A1432" s="2" t="n">
        <v>1104</v>
      </c>
      <c r="B1432" s="2" t="s">
        <v>16982</v>
      </c>
      <c r="C1432" s="2" t="s">
        <v>11502</v>
      </c>
      <c r="D1432" s="2" t="n">
        <v>931.559039424</v>
      </c>
      <c r="E1432" s="2" t="n">
        <v>0.743543784530324</v>
      </c>
      <c r="F1432" s="2" t="s">
        <v>11504</v>
      </c>
      <c r="G1432" s="2" t="n">
        <v>204692</v>
      </c>
      <c r="H1432" s="3" t="str">
        <f>HYPERLINK("http://funmeta.oebiotech.com/network/204692", "http://funmeta.oebiotech.com/network/204692")</f>
      </c>
      <c r="I1432" s="2" t="s">
        <v>11506</v>
      </c>
      <c r="J1432" s="2"/>
      <c r="K1432" s="2"/>
      <c r="L1432" s="2"/>
      <c r="M1432" s="2"/>
      <c r="N1432" s="2" t="s">
        <v>11507</v>
      </c>
      <c r="O1432" s="2"/>
      <c r="P1432" s="2" t="s">
        <v>11508</v>
      </c>
      <c r="Q1432" s="2" t="s">
        <v>11509</v>
      </c>
      <c r="R1432" s="2" t="s">
        <v>3003</v>
      </c>
      <c r="S1432" s="2" t="s">
        <v>11510</v>
      </c>
      <c r="T1432" s="2" t="s">
        <v>215</v>
      </c>
      <c r="U1432" s="2" t="s">
        <v>11503</v>
      </c>
      <c r="V1432" s="2" t="s">
        <v>683</v>
      </c>
      <c r="W1432" s="2"/>
    </row>
    <row r="1433">
      <c r="A1433" s="2" t="n">
        <v>1105</v>
      </c>
      <c r="B1433" s="2" t="s">
        <v>16983</v>
      </c>
      <c r="C1433" s="2" t="s">
        <v>11511</v>
      </c>
      <c r="D1433" s="2" t="n">
        <v>933.622308384</v>
      </c>
      <c r="E1433" s="2" t="n">
        <v>6.9888489950952</v>
      </c>
      <c r="F1433" s="2" t="s">
        <v>11513</v>
      </c>
      <c r="G1433" s="2" t="n">
        <v>209883</v>
      </c>
      <c r="H1433" s="3" t="str">
        <f>HYPERLINK("http://funmeta.oebiotech.com/network/209883", "http://funmeta.oebiotech.com/network/209883")</f>
      </c>
      <c r="I1433" s="2" t="s">
        <v>11515</v>
      </c>
      <c r="J1433" s="2" t="s">
        <v>11516</v>
      </c>
      <c r="K1433" s="2"/>
      <c r="L1433" s="2" t="s">
        <v>11517</v>
      </c>
      <c r="M1433" s="2"/>
      <c r="N1433" s="2" t="s">
        <v>11518</v>
      </c>
      <c r="O1433" s="2" t="s">
        <v>11519</v>
      </c>
      <c r="P1433" s="2" t="s">
        <v>11520</v>
      </c>
      <c r="Q1433" s="2" t="s">
        <v>11521</v>
      </c>
      <c r="R1433" s="2" t="s">
        <v>186</v>
      </c>
      <c r="S1433" s="2" t="s">
        <v>187</v>
      </c>
      <c r="T1433" s="2" t="s">
        <v>11522</v>
      </c>
      <c r="U1433" s="2" t="s">
        <v>11512</v>
      </c>
      <c r="V1433" s="2" t="s">
        <v>683</v>
      </c>
      <c r="W1433" s="2" t="s">
        <v>101</v>
      </c>
    </row>
    <row r="1434">
      <c r="A1434" s="2" t="n">
        <v>1106</v>
      </c>
      <c r="B1434" s="2" t="s">
        <v>16984</v>
      </c>
      <c r="C1434" s="2" t="s">
        <v>11523</v>
      </c>
      <c r="D1434" s="2" t="n">
        <v>934.581483907</v>
      </c>
      <c r="E1434" s="2" t="n">
        <v>8.33840005842382</v>
      </c>
      <c r="F1434" s="2" t="s">
        <v>11525</v>
      </c>
      <c r="G1434" s="2" t="n">
        <v>132915</v>
      </c>
      <c r="H1434" s="3" t="str">
        <f>HYPERLINK("http://funmeta.oebiotech.com/network/132915", "http://funmeta.oebiotech.com/network/132915")</f>
      </c>
      <c r="I1434" s="2" t="s">
        <v>11527</v>
      </c>
      <c r="J1434" s="2"/>
      <c r="K1434" s="2"/>
      <c r="L1434" s="2"/>
      <c r="M1434" s="2"/>
      <c r="N1434" s="2" t="s">
        <v>11528</v>
      </c>
      <c r="O1434" s="2"/>
      <c r="P1434" s="2" t="s">
        <v>11529</v>
      </c>
      <c r="Q1434" s="2" t="s">
        <v>11530</v>
      </c>
      <c r="R1434" s="2" t="s">
        <v>794</v>
      </c>
      <c r="S1434" s="2" t="s">
        <v>7122</v>
      </c>
      <c r="T1434" s="2" t="s">
        <v>8876</v>
      </c>
      <c r="U1434" s="2" t="s">
        <v>11524</v>
      </c>
      <c r="V1434" s="2" t="s">
        <v>205</v>
      </c>
      <c r="W1434" s="2"/>
    </row>
    <row r="1435">
      <c r="A1435" s="2" t="n">
        <v>1107</v>
      </c>
      <c r="B1435" s="2" t="s">
        <v>16985</v>
      </c>
      <c r="C1435" s="2" t="s">
        <v>11531</v>
      </c>
      <c r="D1435" s="2" t="n">
        <v>937.265223502</v>
      </c>
      <c r="E1435" s="2" t="n">
        <v>0.243674100330933</v>
      </c>
      <c r="F1435" s="2" t="s">
        <v>11533</v>
      </c>
      <c r="G1435" s="2" t="n">
        <v>204371</v>
      </c>
      <c r="H1435" s="3" t="str">
        <f>HYPERLINK("http://funmeta.oebiotech.com/network/204371", "http://funmeta.oebiotech.com/network/204371")</f>
      </c>
      <c r="I1435" s="2" t="s">
        <v>11535</v>
      </c>
      <c r="J1435" s="2"/>
      <c r="K1435" s="2"/>
      <c r="L1435" s="2"/>
      <c r="M1435" s="2" t="s">
        <v>11536</v>
      </c>
      <c r="N1435" s="2" t="s">
        <v>11537</v>
      </c>
      <c r="O1435" s="2"/>
      <c r="P1435" s="2" t="s">
        <v>11538</v>
      </c>
      <c r="Q1435" s="2" t="s">
        <v>11539</v>
      </c>
      <c r="R1435" s="2" t="s">
        <v>2416</v>
      </c>
      <c r="S1435" s="2" t="s">
        <v>7795</v>
      </c>
      <c r="T1435" s="2" t="s">
        <v>11540</v>
      </c>
      <c r="U1435" s="2" t="s">
        <v>11532</v>
      </c>
      <c r="V1435" s="2" t="s">
        <v>683</v>
      </c>
      <c r="W1435" s="2"/>
    </row>
    <row r="1436">
      <c r="A1436" s="2" t="n">
        <v>1108</v>
      </c>
      <c r="B1436" s="2" t="s">
        <v>16986</v>
      </c>
      <c r="C1436" s="2" t="s">
        <v>11541</v>
      </c>
      <c r="D1436" s="2" t="n">
        <v>944.578839617</v>
      </c>
      <c r="E1436" s="2" t="n">
        <v>5.03419427958817</v>
      </c>
      <c r="F1436" s="2" t="s">
        <v>16987</v>
      </c>
      <c r="G1436" s="2" t="n">
        <v>83092</v>
      </c>
      <c r="H1436" s="3" t="str">
        <f>HYPERLINK("http://funmeta.oebiotech.com/network/83092", "http://funmeta.oebiotech.com/network/83092")</f>
      </c>
      <c r="I1436" s="2" t="s">
        <v>16988</v>
      </c>
      <c r="J1436" s="2"/>
      <c r="K1436" s="2"/>
      <c r="L1436" s="2"/>
      <c r="M1436" s="2"/>
      <c r="N1436" s="2"/>
      <c r="O1436" s="2"/>
      <c r="P1436" s="2" t="s">
        <v>16989</v>
      </c>
      <c r="Q1436" s="2" t="s">
        <v>16990</v>
      </c>
      <c r="R1436" s="2" t="s">
        <v>794</v>
      </c>
      <c r="S1436" s="2" t="s">
        <v>7122</v>
      </c>
      <c r="T1436" s="2" t="s">
        <v>8042</v>
      </c>
      <c r="U1436" s="2" t="s">
        <v>11542</v>
      </c>
      <c r="V1436" s="2" t="s">
        <v>218</v>
      </c>
      <c r="W1436" s="2"/>
    </row>
    <row r="1437">
      <c r="A1437" s="2" t="n">
        <v>1108</v>
      </c>
      <c r="B1437" s="2" t="s">
        <v>16991</v>
      </c>
      <c r="C1437" s="2" t="s">
        <v>11541</v>
      </c>
      <c r="D1437" s="2" t="n">
        <v>944.578839617</v>
      </c>
      <c r="E1437" s="2" t="n">
        <v>5.03419427958817</v>
      </c>
      <c r="F1437" s="2" t="s">
        <v>16992</v>
      </c>
      <c r="G1437" s="2" t="n">
        <v>83100</v>
      </c>
      <c r="H1437" s="3" t="str">
        <f>HYPERLINK("http://funmeta.oebiotech.com/network/83100", "http://funmeta.oebiotech.com/network/83100")</f>
      </c>
      <c r="I1437" s="2" t="s">
        <v>16993</v>
      </c>
      <c r="J1437" s="2"/>
      <c r="K1437" s="2"/>
      <c r="L1437" s="2"/>
      <c r="M1437" s="2"/>
      <c r="N1437" s="2"/>
      <c r="O1437" s="2"/>
      <c r="P1437" s="2" t="s">
        <v>16994</v>
      </c>
      <c r="Q1437" s="2" t="s">
        <v>16995</v>
      </c>
      <c r="R1437" s="2" t="s">
        <v>794</v>
      </c>
      <c r="S1437" s="2" t="s">
        <v>7122</v>
      </c>
      <c r="T1437" s="2" t="s">
        <v>8042</v>
      </c>
      <c r="U1437" s="2" t="s">
        <v>11542</v>
      </c>
      <c r="V1437" s="2" t="s">
        <v>218</v>
      </c>
      <c r="W1437" s="2"/>
    </row>
    <row r="1438">
      <c r="A1438" s="2" t="n">
        <v>1108</v>
      </c>
      <c r="B1438" s="2" t="s">
        <v>16996</v>
      </c>
      <c r="C1438" s="2" t="s">
        <v>11541</v>
      </c>
      <c r="D1438" s="2" t="n">
        <v>944.578839617</v>
      </c>
      <c r="E1438" s="2" t="n">
        <v>5.03419427958817</v>
      </c>
      <c r="F1438" s="2" t="s">
        <v>16997</v>
      </c>
      <c r="G1438" s="2" t="n">
        <v>83151</v>
      </c>
      <c r="H1438" s="3" t="str">
        <f>HYPERLINK("http://funmeta.oebiotech.com/network/83151", "http://funmeta.oebiotech.com/network/83151")</f>
      </c>
      <c r="I1438" s="2" t="s">
        <v>16998</v>
      </c>
      <c r="J1438" s="2"/>
      <c r="K1438" s="2"/>
      <c r="L1438" s="2"/>
      <c r="M1438" s="2"/>
      <c r="N1438" s="2"/>
      <c r="O1438" s="2"/>
      <c r="P1438" s="2" t="s">
        <v>16999</v>
      </c>
      <c r="Q1438" s="2" t="s">
        <v>17000</v>
      </c>
      <c r="R1438" s="2" t="s">
        <v>794</v>
      </c>
      <c r="S1438" s="2" t="s">
        <v>7122</v>
      </c>
      <c r="T1438" s="2" t="s">
        <v>8042</v>
      </c>
      <c r="U1438" s="2" t="s">
        <v>11542</v>
      </c>
      <c r="V1438" s="2" t="s">
        <v>218</v>
      </c>
      <c r="W1438" s="2"/>
    </row>
    <row r="1439">
      <c r="A1439" s="2" t="n">
        <v>1109</v>
      </c>
      <c r="B1439" s="2" t="s">
        <v>17001</v>
      </c>
      <c r="C1439" s="2" t="s">
        <v>11548</v>
      </c>
      <c r="D1439" s="2" t="n">
        <v>945.752906339</v>
      </c>
      <c r="E1439" s="2" t="n">
        <v>1.14706187795528</v>
      </c>
      <c r="F1439" s="2" t="s">
        <v>11550</v>
      </c>
      <c r="G1439" s="2" t="n">
        <v>135439</v>
      </c>
      <c r="H1439" s="3" t="str">
        <f>HYPERLINK("http://funmeta.oebiotech.com/network/135439", "http://funmeta.oebiotech.com/network/135439")</f>
      </c>
      <c r="I1439" s="2" t="s">
        <v>11552</v>
      </c>
      <c r="J1439" s="2"/>
      <c r="K1439" s="2"/>
      <c r="L1439" s="2"/>
      <c r="M1439" s="2"/>
      <c r="N1439" s="2" t="s">
        <v>11553</v>
      </c>
      <c r="O1439" s="2"/>
      <c r="P1439" s="2" t="s">
        <v>11554</v>
      </c>
      <c r="Q1439" s="2" t="s">
        <v>11555</v>
      </c>
      <c r="R1439" s="2" t="s">
        <v>794</v>
      </c>
      <c r="S1439" s="2" t="s">
        <v>7122</v>
      </c>
      <c r="T1439" s="2" t="s">
        <v>7123</v>
      </c>
      <c r="U1439" s="2" t="s">
        <v>11549</v>
      </c>
      <c r="V1439" s="2" t="s">
        <v>205</v>
      </c>
      <c r="W1439" s="2"/>
    </row>
    <row r="1440">
      <c r="A1440" s="2" t="n">
        <v>1110</v>
      </c>
      <c r="B1440" s="2" t="s">
        <v>17002</v>
      </c>
      <c r="C1440" s="2" t="s">
        <v>11556</v>
      </c>
      <c r="D1440" s="2" t="n">
        <v>947.606495322</v>
      </c>
      <c r="E1440" s="2" t="n">
        <v>8.88970783297664</v>
      </c>
      <c r="F1440" s="2" t="s">
        <v>11558</v>
      </c>
      <c r="G1440" s="2" t="n">
        <v>37493</v>
      </c>
      <c r="H1440" s="3" t="str">
        <f>HYPERLINK("http://funmeta.oebiotech.com/network/37493", "http://funmeta.oebiotech.com/network/37493")</f>
      </c>
      <c r="I1440" s="2" t="s">
        <v>11560</v>
      </c>
      <c r="J1440" s="2" t="s">
        <v>11561</v>
      </c>
      <c r="K1440" s="2" t="s">
        <v>11562</v>
      </c>
      <c r="L1440" s="2" t="s">
        <v>11563</v>
      </c>
      <c r="M1440" s="2" t="s">
        <v>11564</v>
      </c>
      <c r="N1440" s="2" t="s">
        <v>11565</v>
      </c>
      <c r="O1440" s="2" t="s">
        <v>11566</v>
      </c>
      <c r="P1440" s="2" t="s">
        <v>11567</v>
      </c>
      <c r="Q1440" s="2" t="s">
        <v>11568</v>
      </c>
      <c r="R1440" s="2" t="s">
        <v>794</v>
      </c>
      <c r="S1440" s="2" t="s">
        <v>1098</v>
      </c>
      <c r="T1440" s="2" t="s">
        <v>11569</v>
      </c>
      <c r="U1440" s="2" t="s">
        <v>11557</v>
      </c>
      <c r="V1440" s="2" t="s">
        <v>531</v>
      </c>
      <c r="W1440" s="2" t="s">
        <v>56</v>
      </c>
    </row>
    <row r="1441">
      <c r="A1441" s="2" t="n">
        <v>1111</v>
      </c>
      <c r="B1441" s="2" t="s">
        <v>17003</v>
      </c>
      <c r="C1441" s="2" t="s">
        <v>11570</v>
      </c>
      <c r="D1441" s="2" t="n">
        <v>947.783993198</v>
      </c>
      <c r="E1441" s="2" t="n">
        <v>6.47580944103112</v>
      </c>
      <c r="F1441" s="2" t="s">
        <v>11572</v>
      </c>
      <c r="G1441" s="2" t="n">
        <v>48535</v>
      </c>
      <c r="H1441" s="3" t="str">
        <f>HYPERLINK("http://funmeta.oebiotech.com/network/48535", "http://funmeta.oebiotech.com/network/48535")</f>
      </c>
      <c r="I1441" s="2" t="s">
        <v>11574</v>
      </c>
      <c r="J1441" s="2"/>
      <c r="K1441" s="2"/>
      <c r="L1441" s="2" t="s">
        <v>9144</v>
      </c>
      <c r="M1441" s="2"/>
      <c r="N1441" s="2" t="s">
        <v>11575</v>
      </c>
      <c r="O1441" s="2"/>
      <c r="P1441" s="2" t="s">
        <v>11576</v>
      </c>
      <c r="Q1441" s="2" t="s">
        <v>11577</v>
      </c>
      <c r="R1441" s="2" t="s">
        <v>794</v>
      </c>
      <c r="S1441" s="2" t="s">
        <v>2600</v>
      </c>
      <c r="T1441" s="2" t="s">
        <v>8840</v>
      </c>
      <c r="U1441" s="2" t="s">
        <v>11571</v>
      </c>
      <c r="V1441" s="2" t="s">
        <v>86</v>
      </c>
      <c r="W1441" s="2" t="s">
        <v>101</v>
      </c>
    </row>
    <row r="1442">
      <c r="A1442" s="2" t="n">
        <v>1112</v>
      </c>
      <c r="B1442" s="2" t="s">
        <v>17004</v>
      </c>
      <c r="C1442" s="2" t="s">
        <v>11578</v>
      </c>
      <c r="D1442" s="2" t="n">
        <v>949.53724135</v>
      </c>
      <c r="E1442" s="2" t="n">
        <v>0.588563438491552</v>
      </c>
      <c r="F1442" s="2" t="s">
        <v>11580</v>
      </c>
      <c r="G1442" s="2" t="n">
        <v>212764</v>
      </c>
      <c r="H1442" s="3" t="str">
        <f>HYPERLINK("http://funmeta.oebiotech.com/network/212764", "http://funmeta.oebiotech.com/network/212764")</f>
      </c>
      <c r="I1442" s="2" t="s">
        <v>11582</v>
      </c>
      <c r="J1442" s="2"/>
      <c r="K1442" s="2"/>
      <c r="L1442" s="2"/>
      <c r="M1442" s="2"/>
      <c r="N1442" s="2" t="s">
        <v>11583</v>
      </c>
      <c r="O1442" s="2"/>
      <c r="P1442" s="2" t="s">
        <v>11584</v>
      </c>
      <c r="Q1442" s="2" t="s">
        <v>11585</v>
      </c>
      <c r="R1442" s="2" t="s">
        <v>794</v>
      </c>
      <c r="S1442" s="2" t="s">
        <v>2971</v>
      </c>
      <c r="T1442" s="2" t="s">
        <v>6290</v>
      </c>
      <c r="U1442" s="2" t="s">
        <v>11579</v>
      </c>
      <c r="V1442" s="2" t="s">
        <v>683</v>
      </c>
      <c r="W1442" s="2"/>
    </row>
    <row r="1443">
      <c r="A1443" s="2" t="n">
        <v>1113</v>
      </c>
      <c r="B1443" s="2" t="s">
        <v>17005</v>
      </c>
      <c r="C1443" s="2" t="s">
        <v>11586</v>
      </c>
      <c r="D1443" s="2" t="n">
        <v>952.583987036</v>
      </c>
      <c r="E1443" s="2" t="n">
        <v>5.53327557648871</v>
      </c>
      <c r="F1443" s="2" t="s">
        <v>11588</v>
      </c>
      <c r="G1443" s="2" t="n">
        <v>132983</v>
      </c>
      <c r="H1443" s="3" t="str">
        <f>HYPERLINK("http://funmeta.oebiotech.com/network/132983", "http://funmeta.oebiotech.com/network/132983")</f>
      </c>
      <c r="I1443" s="2" t="s">
        <v>11590</v>
      </c>
      <c r="J1443" s="2"/>
      <c r="K1443" s="2"/>
      <c r="L1443" s="2"/>
      <c r="M1443" s="2"/>
      <c r="N1443" s="2" t="s">
        <v>11591</v>
      </c>
      <c r="O1443" s="2"/>
      <c r="P1443" s="2" t="s">
        <v>11592</v>
      </c>
      <c r="Q1443" s="2" t="s">
        <v>11593</v>
      </c>
      <c r="R1443" s="2" t="s">
        <v>794</v>
      </c>
      <c r="S1443" s="2" t="s">
        <v>7122</v>
      </c>
      <c r="T1443" s="2" t="s">
        <v>8876</v>
      </c>
      <c r="U1443" s="2" t="s">
        <v>11587</v>
      </c>
      <c r="V1443" s="2" t="s">
        <v>86</v>
      </c>
      <c r="W1443" s="2"/>
    </row>
    <row r="1444">
      <c r="A1444" s="2" t="n">
        <v>1114</v>
      </c>
      <c r="B1444" s="2" t="s">
        <v>17006</v>
      </c>
      <c r="C1444" s="2" t="s">
        <v>11594</v>
      </c>
      <c r="D1444" s="2" t="n">
        <v>956.5788401</v>
      </c>
      <c r="E1444" s="2" t="n">
        <v>8.20763587204711</v>
      </c>
      <c r="F1444" s="2" t="s">
        <v>11596</v>
      </c>
      <c r="G1444" s="2" t="n">
        <v>132975</v>
      </c>
      <c r="H1444" s="3" t="str">
        <f>HYPERLINK("http://funmeta.oebiotech.com/network/132975", "http://funmeta.oebiotech.com/network/132975")</f>
      </c>
      <c r="I1444" s="2" t="s">
        <v>11598</v>
      </c>
      <c r="J1444" s="2"/>
      <c r="K1444" s="2"/>
      <c r="L1444" s="2"/>
      <c r="M1444" s="2"/>
      <c r="N1444" s="2" t="s">
        <v>11599</v>
      </c>
      <c r="O1444" s="2"/>
      <c r="P1444" s="2" t="s">
        <v>11600</v>
      </c>
      <c r="Q1444" s="2" t="s">
        <v>11601</v>
      </c>
      <c r="R1444" s="2" t="s">
        <v>794</v>
      </c>
      <c r="S1444" s="2" t="s">
        <v>7122</v>
      </c>
      <c r="T1444" s="2" t="s">
        <v>8876</v>
      </c>
      <c r="U1444" s="2" t="s">
        <v>11595</v>
      </c>
      <c r="V1444" s="2" t="s">
        <v>218</v>
      </c>
      <c r="W1444" s="2"/>
    </row>
    <row r="1445">
      <c r="A1445" s="2" t="n">
        <v>1115</v>
      </c>
      <c r="B1445" s="2" t="s">
        <v>17007</v>
      </c>
      <c r="C1445" s="2" t="s">
        <v>11602</v>
      </c>
      <c r="D1445" s="2" t="n">
        <v>957.595102686</v>
      </c>
      <c r="E1445" s="2" t="n">
        <v>0.159667716921838</v>
      </c>
      <c r="F1445" s="2" t="s">
        <v>11604</v>
      </c>
      <c r="G1445" s="2" t="n">
        <v>21200</v>
      </c>
      <c r="H1445" s="3" t="str">
        <f>HYPERLINK("http://funmeta.oebiotech.com/network/21200", "http://funmeta.oebiotech.com/network/21200")</f>
      </c>
      <c r="I1445" s="2" t="s">
        <v>11606</v>
      </c>
      <c r="J1445" s="2" t="s">
        <v>11607</v>
      </c>
      <c r="K1445" s="2" t="s">
        <v>11608</v>
      </c>
      <c r="L1445" s="2"/>
      <c r="M1445" s="2"/>
      <c r="N1445" s="2" t="s">
        <v>11609</v>
      </c>
      <c r="O1445" s="2"/>
      <c r="P1445" s="2" t="s">
        <v>11610</v>
      </c>
      <c r="Q1445" s="2" t="s">
        <v>11611</v>
      </c>
      <c r="R1445" s="2" t="s">
        <v>794</v>
      </c>
      <c r="S1445" s="2" t="s">
        <v>7122</v>
      </c>
      <c r="T1445" s="2" t="s">
        <v>8042</v>
      </c>
      <c r="U1445" s="2" t="s">
        <v>11603</v>
      </c>
      <c r="V1445" s="2" t="s">
        <v>683</v>
      </c>
      <c r="W1445" s="2" t="s">
        <v>56</v>
      </c>
    </row>
    <row r="1446">
      <c r="A1446" s="2" t="n">
        <v>1116</v>
      </c>
      <c r="B1446" s="2" t="s">
        <v>17008</v>
      </c>
      <c r="C1446" s="2" t="s">
        <v>11612</v>
      </c>
      <c r="D1446" s="2" t="n">
        <v>958.600210644</v>
      </c>
      <c r="E1446" s="2" t="n">
        <v>5.44454422341088</v>
      </c>
      <c r="F1446" s="2" t="s">
        <v>11614</v>
      </c>
      <c r="G1446" s="2" t="n">
        <v>211761</v>
      </c>
      <c r="H1446" s="3" t="str">
        <f>HYPERLINK("http://funmeta.oebiotech.com/network/211761", "http://funmeta.oebiotech.com/network/211761")</f>
      </c>
      <c r="I1446" s="2" t="s">
        <v>11616</v>
      </c>
      <c r="J1446" s="2"/>
      <c r="K1446" s="2"/>
      <c r="L1446" s="2"/>
      <c r="M1446" s="2"/>
      <c r="N1446" s="2" t="s">
        <v>11617</v>
      </c>
      <c r="O1446" s="2"/>
      <c r="P1446" s="2" t="s">
        <v>11618</v>
      </c>
      <c r="Q1446" s="2" t="s">
        <v>11619</v>
      </c>
      <c r="R1446" s="2" t="s">
        <v>129</v>
      </c>
      <c r="S1446" s="2" t="s">
        <v>130</v>
      </c>
      <c r="T1446" s="2" t="s">
        <v>1681</v>
      </c>
      <c r="U1446" s="2" t="s">
        <v>11613</v>
      </c>
      <c r="V1446" s="2" t="s">
        <v>531</v>
      </c>
      <c r="W1446" s="2"/>
    </row>
    <row r="1447">
      <c r="A1447" s="2" t="n">
        <v>1117</v>
      </c>
      <c r="B1447" s="2" t="s">
        <v>17009</v>
      </c>
      <c r="C1447" s="2" t="s">
        <v>11620</v>
      </c>
      <c r="D1447" s="2" t="n">
        <v>959.490358536</v>
      </c>
      <c r="E1447" s="2" t="n">
        <v>2.38622746637028</v>
      </c>
      <c r="F1447" s="2" t="s">
        <v>11622</v>
      </c>
      <c r="G1447" s="2" t="n">
        <v>50569</v>
      </c>
      <c r="H1447" s="3" t="str">
        <f>HYPERLINK("http://funmeta.oebiotech.com/network/50569", "http://funmeta.oebiotech.com/network/50569")</f>
      </c>
      <c r="I1447" s="2" t="s">
        <v>11624</v>
      </c>
      <c r="J1447" s="2"/>
      <c r="K1447" s="2"/>
      <c r="L1447" s="2"/>
      <c r="M1447" s="2"/>
      <c r="N1447" s="2" t="s">
        <v>11625</v>
      </c>
      <c r="O1447" s="2"/>
      <c r="P1447" s="2" t="s">
        <v>11626</v>
      </c>
      <c r="Q1447" s="2" t="s">
        <v>11627</v>
      </c>
      <c r="R1447" s="2" t="s">
        <v>794</v>
      </c>
      <c r="S1447" s="2" t="s">
        <v>7122</v>
      </c>
      <c r="T1447" s="2" t="s">
        <v>11628</v>
      </c>
      <c r="U1447" s="2" t="s">
        <v>11621</v>
      </c>
      <c r="V1447" s="2" t="s">
        <v>205</v>
      </c>
      <c r="W1447" s="2"/>
    </row>
    <row r="1448">
      <c r="A1448" s="2" t="n">
        <v>1118</v>
      </c>
      <c r="B1448" s="2" t="s">
        <v>17010</v>
      </c>
      <c r="C1448" s="2" t="s">
        <v>11629</v>
      </c>
      <c r="D1448" s="2" t="n">
        <v>961.476818632</v>
      </c>
      <c r="E1448" s="2" t="n">
        <v>7.16310235952796</v>
      </c>
      <c r="F1448" s="2" t="s">
        <v>11631</v>
      </c>
      <c r="G1448" s="2" t="n">
        <v>136153</v>
      </c>
      <c r="H1448" s="3" t="str">
        <f>HYPERLINK("http://funmeta.oebiotech.com/network/136153", "http://funmeta.oebiotech.com/network/136153")</f>
      </c>
      <c r="I1448" s="2" t="s">
        <v>11633</v>
      </c>
      <c r="J1448" s="2"/>
      <c r="K1448" s="2"/>
      <c r="L1448" s="2"/>
      <c r="M1448" s="2"/>
      <c r="N1448" s="2" t="s">
        <v>11634</v>
      </c>
      <c r="O1448" s="2"/>
      <c r="P1448" s="2" t="s">
        <v>11635</v>
      </c>
      <c r="Q1448" s="2" t="s">
        <v>11636</v>
      </c>
      <c r="R1448" s="2" t="s">
        <v>794</v>
      </c>
      <c r="S1448" s="2" t="s">
        <v>7122</v>
      </c>
      <c r="T1448" s="2" t="s">
        <v>10968</v>
      </c>
      <c r="U1448" s="2" t="s">
        <v>11630</v>
      </c>
      <c r="V1448" s="2" t="s">
        <v>86</v>
      </c>
      <c r="W1448" s="2"/>
    </row>
    <row r="1449">
      <c r="A1449" s="2" t="n">
        <v>1119</v>
      </c>
      <c r="B1449" s="2" t="s">
        <v>17011</v>
      </c>
      <c r="C1449" s="2" t="s">
        <v>11637</v>
      </c>
      <c r="D1449" s="2" t="n">
        <v>965.545518245</v>
      </c>
      <c r="E1449" s="2" t="n">
        <v>3.82013295217635</v>
      </c>
      <c r="F1449" s="2" t="s">
        <v>11639</v>
      </c>
      <c r="G1449" s="2" t="n">
        <v>203560</v>
      </c>
      <c r="H1449" s="3" t="str">
        <f>HYPERLINK("http://funmeta.oebiotech.com/network/203560", "http://funmeta.oebiotech.com/network/203560")</f>
      </c>
      <c r="I1449" s="2" t="s">
        <v>11641</v>
      </c>
      <c r="J1449" s="2"/>
      <c r="K1449" s="2"/>
      <c r="L1449" s="2"/>
      <c r="M1449" s="2"/>
      <c r="N1449" s="2" t="s">
        <v>11642</v>
      </c>
      <c r="O1449" s="2"/>
      <c r="P1449" s="2" t="s">
        <v>11643</v>
      </c>
      <c r="Q1449" s="2" t="s">
        <v>11644</v>
      </c>
      <c r="R1449" s="2" t="s">
        <v>129</v>
      </c>
      <c r="S1449" s="2" t="s">
        <v>130</v>
      </c>
      <c r="T1449" s="2" t="s">
        <v>1681</v>
      </c>
      <c r="U1449" s="2" t="s">
        <v>11638</v>
      </c>
      <c r="V1449" s="2" t="s">
        <v>531</v>
      </c>
      <c r="W1449" s="2"/>
    </row>
    <row r="1450">
      <c r="A1450" s="2" t="n">
        <v>1120</v>
      </c>
      <c r="B1450" s="2" t="s">
        <v>17012</v>
      </c>
      <c r="C1450" s="2" t="s">
        <v>11645</v>
      </c>
      <c r="D1450" s="2" t="n">
        <v>972.610139745</v>
      </c>
      <c r="E1450" s="2" t="n">
        <v>5.94518330698177</v>
      </c>
      <c r="F1450" s="2" t="s">
        <v>17013</v>
      </c>
      <c r="G1450" s="2" t="n">
        <v>83101</v>
      </c>
      <c r="H1450" s="3" t="str">
        <f>HYPERLINK("http://funmeta.oebiotech.com/network/83101", "http://funmeta.oebiotech.com/network/83101")</f>
      </c>
      <c r="I1450" s="2" t="s">
        <v>17014</v>
      </c>
      <c r="J1450" s="2"/>
      <c r="K1450" s="2"/>
      <c r="L1450" s="2"/>
      <c r="M1450" s="2"/>
      <c r="N1450" s="2"/>
      <c r="O1450" s="2"/>
      <c r="P1450" s="2" t="s">
        <v>17015</v>
      </c>
      <c r="Q1450" s="2" t="s">
        <v>17016</v>
      </c>
      <c r="R1450" s="2" t="s">
        <v>794</v>
      </c>
      <c r="S1450" s="2" t="s">
        <v>7122</v>
      </c>
      <c r="T1450" s="2" t="s">
        <v>8042</v>
      </c>
      <c r="U1450" s="2" t="s">
        <v>11646</v>
      </c>
      <c r="V1450" s="2" t="s">
        <v>218</v>
      </c>
      <c r="W1450" s="2"/>
    </row>
    <row r="1451">
      <c r="A1451" s="2" t="n">
        <v>1120</v>
      </c>
      <c r="B1451" s="2" t="s">
        <v>17017</v>
      </c>
      <c r="C1451" s="2" t="s">
        <v>11645</v>
      </c>
      <c r="D1451" s="2" t="n">
        <v>972.610140229</v>
      </c>
      <c r="E1451" s="2" t="n">
        <v>5.94518330698177</v>
      </c>
      <c r="F1451" s="2" t="s">
        <v>17018</v>
      </c>
      <c r="G1451" s="2" t="n">
        <v>133900</v>
      </c>
      <c r="H1451" s="3" t="str">
        <f>HYPERLINK("http://funmeta.oebiotech.com/network/133900", "http://funmeta.oebiotech.com/network/133900")</f>
      </c>
      <c r="I1451" s="2" t="s">
        <v>17019</v>
      </c>
      <c r="J1451" s="2"/>
      <c r="K1451" s="2"/>
      <c r="L1451" s="2"/>
      <c r="M1451" s="2"/>
      <c r="N1451" s="2"/>
      <c r="O1451" s="2"/>
      <c r="P1451" s="2" t="s">
        <v>17020</v>
      </c>
      <c r="Q1451" s="2" t="s">
        <v>17021</v>
      </c>
      <c r="R1451" s="2" t="s">
        <v>794</v>
      </c>
      <c r="S1451" s="2" t="s">
        <v>7122</v>
      </c>
      <c r="T1451" s="2" t="s">
        <v>8042</v>
      </c>
      <c r="U1451" s="2" t="s">
        <v>11646</v>
      </c>
      <c r="V1451" s="2" t="s">
        <v>218</v>
      </c>
      <c r="W1451" s="2"/>
    </row>
    <row r="1452">
      <c r="A1452" s="2" t="n">
        <v>1120</v>
      </c>
      <c r="B1452" s="2" t="s">
        <v>17022</v>
      </c>
      <c r="C1452" s="2" t="s">
        <v>11645</v>
      </c>
      <c r="D1452" s="2" t="n">
        <v>972.610140229</v>
      </c>
      <c r="E1452" s="2" t="n">
        <v>5.94518330698177</v>
      </c>
      <c r="F1452" s="2" t="s">
        <v>17023</v>
      </c>
      <c r="G1452" s="2" t="n">
        <v>133908</v>
      </c>
      <c r="H1452" s="3" t="str">
        <f>HYPERLINK("http://funmeta.oebiotech.com/network/133908", "http://funmeta.oebiotech.com/network/133908")</f>
      </c>
      <c r="I1452" s="2" t="s">
        <v>17024</v>
      </c>
      <c r="J1452" s="2"/>
      <c r="K1452" s="2"/>
      <c r="L1452" s="2"/>
      <c r="M1452" s="2"/>
      <c r="N1452" s="2"/>
      <c r="O1452" s="2"/>
      <c r="P1452" s="2" t="s">
        <v>17025</v>
      </c>
      <c r="Q1452" s="2" t="s">
        <v>17026</v>
      </c>
      <c r="R1452" s="2" t="s">
        <v>794</v>
      </c>
      <c r="S1452" s="2" t="s">
        <v>7122</v>
      </c>
      <c r="T1452" s="2" t="s">
        <v>8042</v>
      </c>
      <c r="U1452" s="2" t="s">
        <v>11646</v>
      </c>
      <c r="V1452" s="2" t="s">
        <v>218</v>
      </c>
      <c r="W1452" s="2"/>
    </row>
    <row r="1453">
      <c r="A1453" s="2" t="n">
        <v>1121</v>
      </c>
      <c r="B1453" s="2" t="s">
        <v>17027</v>
      </c>
      <c r="C1453" s="2" t="s">
        <v>11652</v>
      </c>
      <c r="D1453" s="2" t="n">
        <v>974.607882235</v>
      </c>
      <c r="E1453" s="2" t="n">
        <v>7.88772967560433</v>
      </c>
      <c r="F1453" s="2" t="s">
        <v>11654</v>
      </c>
      <c r="G1453" s="2" t="n">
        <v>207495</v>
      </c>
      <c r="H1453" s="3" t="str">
        <f>HYPERLINK("http://funmeta.oebiotech.com/network/207495", "http://funmeta.oebiotech.com/network/207495")</f>
      </c>
      <c r="I1453" s="2" t="s">
        <v>11656</v>
      </c>
      <c r="J1453" s="2"/>
      <c r="K1453" s="2"/>
      <c r="L1453" s="2"/>
      <c r="M1453" s="2"/>
      <c r="N1453" s="2" t="s">
        <v>11657</v>
      </c>
      <c r="O1453" s="2"/>
      <c r="P1453" s="2" t="s">
        <v>11658</v>
      </c>
      <c r="Q1453" s="2" t="s">
        <v>11659</v>
      </c>
      <c r="R1453" s="2" t="s">
        <v>36</v>
      </c>
      <c r="S1453" s="2" t="s">
        <v>37</v>
      </c>
      <c r="T1453" s="2" t="s">
        <v>69</v>
      </c>
      <c r="U1453" s="2" t="s">
        <v>11653</v>
      </c>
      <c r="V1453" s="2" t="s">
        <v>531</v>
      </c>
      <c r="W1453" s="2"/>
    </row>
    <row r="1454">
      <c r="A1454" s="2" t="n">
        <v>1122</v>
      </c>
      <c r="B1454" s="2" t="s">
        <v>17028</v>
      </c>
      <c r="C1454" s="2" t="s">
        <v>11660</v>
      </c>
      <c r="D1454" s="2" t="n">
        <v>981.54236217</v>
      </c>
      <c r="E1454" s="2" t="n">
        <v>3.53619680278617</v>
      </c>
      <c r="F1454" s="2" t="s">
        <v>11662</v>
      </c>
      <c r="G1454" s="2" t="n">
        <v>208285</v>
      </c>
      <c r="H1454" s="3" t="str">
        <f>HYPERLINK("http://funmeta.oebiotech.com/network/208285", "http://funmeta.oebiotech.com/network/208285")</f>
      </c>
      <c r="I1454" s="2" t="s">
        <v>11664</v>
      </c>
      <c r="J1454" s="2"/>
      <c r="K1454" s="2"/>
      <c r="L1454" s="2"/>
      <c r="M1454" s="2"/>
      <c r="N1454" s="2" t="s">
        <v>11665</v>
      </c>
      <c r="O1454" s="2"/>
      <c r="P1454" s="2" t="s">
        <v>11666</v>
      </c>
      <c r="Q1454" s="2" t="s">
        <v>11667</v>
      </c>
      <c r="R1454" s="2" t="s">
        <v>186</v>
      </c>
      <c r="S1454" s="2" t="s">
        <v>187</v>
      </c>
      <c r="T1454" s="2" t="s">
        <v>8537</v>
      </c>
      <c r="U1454" s="2" t="s">
        <v>11661</v>
      </c>
      <c r="V1454" s="2" t="s">
        <v>683</v>
      </c>
      <c r="W1454" s="2"/>
    </row>
    <row r="1455">
      <c r="A1455" s="2" t="n">
        <v>1123</v>
      </c>
      <c r="B1455" s="2" t="s">
        <v>17029</v>
      </c>
      <c r="C1455" s="2" t="s">
        <v>11668</v>
      </c>
      <c r="D1455" s="2" t="n">
        <v>998.599226312</v>
      </c>
      <c r="E1455" s="2" t="n">
        <v>0.223877568335731</v>
      </c>
      <c r="F1455" s="2" t="s">
        <v>11670</v>
      </c>
      <c r="G1455" s="2" t="n">
        <v>63089</v>
      </c>
      <c r="H1455" s="3" t="str">
        <f>HYPERLINK("http://funmeta.oebiotech.com/network/63089", "http://funmeta.oebiotech.com/network/63089")</f>
      </c>
      <c r="I1455" s="2" t="s">
        <v>11672</v>
      </c>
      <c r="J1455" s="2" t="s">
        <v>11673</v>
      </c>
      <c r="K1455" s="2"/>
      <c r="L1455" s="2"/>
      <c r="M1455" s="2"/>
      <c r="N1455" s="2" t="s">
        <v>11674</v>
      </c>
      <c r="O1455" s="2" t="s">
        <v>11675</v>
      </c>
      <c r="P1455" s="2" t="s">
        <v>11676</v>
      </c>
      <c r="Q1455" s="2" t="s">
        <v>11677</v>
      </c>
      <c r="R1455" s="2" t="s">
        <v>186</v>
      </c>
      <c r="S1455" s="2" t="s">
        <v>187</v>
      </c>
      <c r="T1455" s="2" t="s">
        <v>8537</v>
      </c>
      <c r="U1455" s="2" t="s">
        <v>11669</v>
      </c>
      <c r="V1455" s="2" t="s">
        <v>683</v>
      </c>
      <c r="W1455" s="2"/>
    </row>
    <row r="1456">
      <c r="A1456" s="2" t="n">
        <v>1124</v>
      </c>
      <c r="B1456" s="2" t="s">
        <v>17030</v>
      </c>
      <c r="C1456" s="2" t="s">
        <v>11678</v>
      </c>
      <c r="D1456" s="2" t="n">
        <v>1021.482514074</v>
      </c>
      <c r="E1456" s="2" t="n">
        <v>1.81141410984312</v>
      </c>
      <c r="F1456" s="2" t="s">
        <v>11680</v>
      </c>
      <c r="G1456" s="2" t="n">
        <v>50677</v>
      </c>
      <c r="H1456" s="3" t="str">
        <f>HYPERLINK("http://funmeta.oebiotech.com/network/50677", "http://funmeta.oebiotech.com/network/50677")</f>
      </c>
      <c r="I1456" s="2" t="s">
        <v>11682</v>
      </c>
      <c r="J1456" s="2" t="s">
        <v>11683</v>
      </c>
      <c r="K1456" s="2"/>
      <c r="L1456" s="2" t="s">
        <v>11684</v>
      </c>
      <c r="M1456" s="2"/>
      <c r="N1456" s="2" t="s">
        <v>11685</v>
      </c>
      <c r="O1456" s="2"/>
      <c r="P1456" s="2" t="s">
        <v>11686</v>
      </c>
      <c r="Q1456" s="2" t="s">
        <v>11687</v>
      </c>
      <c r="R1456" s="2" t="s">
        <v>794</v>
      </c>
      <c r="S1456" s="2" t="s">
        <v>7122</v>
      </c>
      <c r="T1456" s="2" t="s">
        <v>11628</v>
      </c>
      <c r="U1456" s="2" t="s">
        <v>11679</v>
      </c>
      <c r="V1456" s="2" t="s">
        <v>24</v>
      </c>
      <c r="W1456" s="2" t="s">
        <v>101</v>
      </c>
    </row>
    <row r="1457">
      <c r="A1457" s="2" t="n">
        <v>1125</v>
      </c>
      <c r="B1457" s="2" t="s">
        <v>17031</v>
      </c>
      <c r="C1457" s="2" t="s">
        <v>11688</v>
      </c>
      <c r="D1457" s="2" t="n">
        <v>1036.79682734</v>
      </c>
      <c r="E1457" s="2" t="n">
        <v>2.47915976668914</v>
      </c>
      <c r="F1457" s="2" t="s">
        <v>11690</v>
      </c>
      <c r="G1457" s="2" t="n">
        <v>199931</v>
      </c>
      <c r="H1457" s="3" t="str">
        <f>HYPERLINK("http://funmeta.oebiotech.com/network/199931", "http://funmeta.oebiotech.com/network/199931")</f>
      </c>
      <c r="I1457" s="2" t="s">
        <v>11692</v>
      </c>
      <c r="J1457" s="2"/>
      <c r="K1457" s="2"/>
      <c r="L1457" s="2"/>
      <c r="M1457" s="2"/>
      <c r="N1457" s="2" t="s">
        <v>11693</v>
      </c>
      <c r="O1457" s="2"/>
      <c r="P1457" s="2" t="s">
        <v>11694</v>
      </c>
      <c r="Q1457" s="2" t="s">
        <v>11695</v>
      </c>
      <c r="R1457" s="2" t="s">
        <v>36</v>
      </c>
      <c r="S1457" s="2" t="s">
        <v>37</v>
      </c>
      <c r="T1457" s="2" t="s">
        <v>69</v>
      </c>
      <c r="U1457" s="2" t="s">
        <v>11689</v>
      </c>
      <c r="V1457" s="2" t="s">
        <v>24</v>
      </c>
      <c r="W1457" s="2"/>
    </row>
    <row r="1458">
      <c r="A1458" s="2" t="n">
        <v>1126</v>
      </c>
      <c r="B1458" s="2" t="s">
        <v>17032</v>
      </c>
      <c r="C1458" s="2" t="s">
        <v>11696</v>
      </c>
      <c r="D1458" s="2" t="n">
        <v>1065.853705302</v>
      </c>
      <c r="E1458" s="2" t="n">
        <v>2.08921743212859</v>
      </c>
      <c r="F1458" s="2" t="s">
        <v>11698</v>
      </c>
      <c r="G1458" s="2" t="n">
        <v>205317</v>
      </c>
      <c r="H1458" s="3" t="str">
        <f>HYPERLINK("http://funmeta.oebiotech.com/network/205317", "http://funmeta.oebiotech.com/network/205317")</f>
      </c>
      <c r="I1458" s="2" t="s">
        <v>11700</v>
      </c>
      <c r="J1458" s="2"/>
      <c r="K1458" s="2"/>
      <c r="L1458" s="2"/>
      <c r="M1458" s="2"/>
      <c r="N1458" s="2" t="s">
        <v>11701</v>
      </c>
      <c r="O1458" s="2"/>
      <c r="P1458" s="2" t="s">
        <v>11702</v>
      </c>
      <c r="Q1458" s="2" t="s">
        <v>11703</v>
      </c>
      <c r="R1458" s="2" t="s">
        <v>114</v>
      </c>
      <c r="S1458" s="2" t="s">
        <v>730</v>
      </c>
      <c r="T1458" s="2" t="s">
        <v>731</v>
      </c>
      <c r="U1458" s="2" t="s">
        <v>11697</v>
      </c>
      <c r="V1458" s="2" t="s">
        <v>683</v>
      </c>
      <c r="W1458" s="2"/>
    </row>
    <row r="1459">
      <c r="A1459" s="2" t="n">
        <v>1127</v>
      </c>
      <c r="B1459" s="2" t="s">
        <v>17033</v>
      </c>
      <c r="C1459" s="2" t="s">
        <v>11704</v>
      </c>
      <c r="D1459" s="2" t="n">
        <v>1074.549036875</v>
      </c>
      <c r="E1459" s="2" t="n">
        <v>5.21865607604789</v>
      </c>
      <c r="F1459" s="2" t="s">
        <v>11706</v>
      </c>
      <c r="G1459" s="2" t="n">
        <v>51499</v>
      </c>
      <c r="H1459" s="3" t="str">
        <f>HYPERLINK("http://funmeta.oebiotech.com/network/51499", "http://funmeta.oebiotech.com/network/51499")</f>
      </c>
      <c r="I1459" s="2" t="s">
        <v>11708</v>
      </c>
      <c r="J1459" s="2" t="s">
        <v>11709</v>
      </c>
      <c r="K1459" s="2"/>
      <c r="L1459" s="2"/>
      <c r="M1459" s="2" t="s">
        <v>11710</v>
      </c>
      <c r="N1459" s="2" t="s">
        <v>11711</v>
      </c>
      <c r="O1459" s="2" t="s">
        <v>11712</v>
      </c>
      <c r="P1459" s="2" t="s">
        <v>11713</v>
      </c>
      <c r="Q1459" s="2" t="s">
        <v>11714</v>
      </c>
      <c r="R1459" s="2" t="s">
        <v>36</v>
      </c>
      <c r="S1459" s="2" t="s">
        <v>37</v>
      </c>
      <c r="T1459" s="2" t="s">
        <v>69</v>
      </c>
      <c r="U1459" s="2" t="s">
        <v>11705</v>
      </c>
      <c r="V1459" s="2" t="s">
        <v>24</v>
      </c>
      <c r="W1459" s="2"/>
    </row>
    <row r="1460">
      <c r="A1460" s="2" t="n">
        <v>1128</v>
      </c>
      <c r="B1460" s="2" t="s">
        <v>17034</v>
      </c>
      <c r="C1460" s="2" t="s">
        <v>11715</v>
      </c>
      <c r="D1460" s="2" t="n">
        <v>1088.632217431</v>
      </c>
      <c r="E1460" s="2" t="n">
        <v>6.73198427259548</v>
      </c>
      <c r="F1460" s="2" t="s">
        <v>11717</v>
      </c>
      <c r="G1460" s="2" t="n">
        <v>135740</v>
      </c>
      <c r="H1460" s="3" t="str">
        <f>HYPERLINK("http://funmeta.oebiotech.com/network/135740", "http://funmeta.oebiotech.com/network/135740")</f>
      </c>
      <c r="I1460" s="2" t="s">
        <v>11719</v>
      </c>
      <c r="J1460" s="2"/>
      <c r="K1460" s="2"/>
      <c r="L1460" s="2"/>
      <c r="M1460" s="2"/>
      <c r="N1460" s="2" t="s">
        <v>11720</v>
      </c>
      <c r="O1460" s="2"/>
      <c r="P1460" s="2" t="s">
        <v>11721</v>
      </c>
      <c r="Q1460" s="2" t="s">
        <v>11722</v>
      </c>
      <c r="R1460" s="2" t="s">
        <v>794</v>
      </c>
      <c r="S1460" s="2" t="s">
        <v>7122</v>
      </c>
      <c r="T1460" s="2" t="s">
        <v>11022</v>
      </c>
      <c r="U1460" s="2" t="s">
        <v>11716</v>
      </c>
      <c r="V1460" s="2" t="s">
        <v>24</v>
      </c>
      <c r="W1460" s="2"/>
    </row>
    <row r="1461">
      <c r="A1461" s="2" t="n">
        <v>1129</v>
      </c>
      <c r="B1461" s="2" t="s">
        <v>17035</v>
      </c>
      <c r="C1461" s="2" t="s">
        <v>11723</v>
      </c>
      <c r="D1461" s="2" t="n">
        <v>1112.525905031</v>
      </c>
      <c r="E1461" s="2" t="n">
        <v>4.33393160145304</v>
      </c>
      <c r="F1461" s="2" t="s">
        <v>11725</v>
      </c>
      <c r="G1461" s="2" t="n">
        <v>58492</v>
      </c>
      <c r="H1461" s="3" t="str">
        <f>HYPERLINK("http://funmeta.oebiotech.com/network/58492", "http://funmeta.oebiotech.com/network/58492")</f>
      </c>
      <c r="I1461" s="2" t="s">
        <v>11727</v>
      </c>
      <c r="J1461" s="2" t="s">
        <v>11728</v>
      </c>
      <c r="K1461" s="2"/>
      <c r="L1461" s="2"/>
      <c r="M1461" s="2"/>
      <c r="N1461" s="2" t="s">
        <v>11729</v>
      </c>
      <c r="O1461" s="2" t="s">
        <v>11730</v>
      </c>
      <c r="P1461" s="2" t="s">
        <v>11731</v>
      </c>
      <c r="Q1461" s="2" t="s">
        <v>11732</v>
      </c>
      <c r="R1461" s="2" t="s">
        <v>794</v>
      </c>
      <c r="S1461" s="2" t="s">
        <v>2971</v>
      </c>
      <c r="T1461" s="2" t="s">
        <v>11733</v>
      </c>
      <c r="U1461" s="2" t="s">
        <v>11724</v>
      </c>
      <c r="V1461" s="2" t="s">
        <v>531</v>
      </c>
      <c r="W1461" s="2"/>
    </row>
    <row r="1462">
      <c r="A1462" s="2" t="n">
        <v>1130</v>
      </c>
      <c r="B1462" s="2" t="s">
        <v>17036</v>
      </c>
      <c r="C1462" s="2" t="s">
        <v>11734</v>
      </c>
      <c r="D1462" s="2" t="n">
        <v>1149.510134924</v>
      </c>
      <c r="E1462" s="2" t="n">
        <v>8.46075860294023</v>
      </c>
      <c r="F1462" s="2" t="s">
        <v>11736</v>
      </c>
      <c r="G1462" s="2" t="n">
        <v>56346</v>
      </c>
      <c r="H1462" s="3" t="str">
        <f>HYPERLINK("http://funmeta.oebiotech.com/network/56346", "http://funmeta.oebiotech.com/network/56346")</f>
      </c>
      <c r="I1462" s="2" t="s">
        <v>11738</v>
      </c>
      <c r="J1462" s="2" t="s">
        <v>11739</v>
      </c>
      <c r="K1462" s="2"/>
      <c r="L1462" s="2"/>
      <c r="M1462" s="2"/>
      <c r="N1462" s="2" t="s">
        <v>11740</v>
      </c>
      <c r="O1462" s="2" t="s">
        <v>11741</v>
      </c>
      <c r="P1462" s="2" t="s">
        <v>11742</v>
      </c>
      <c r="Q1462" s="2" t="s">
        <v>11743</v>
      </c>
      <c r="R1462" s="2" t="s">
        <v>794</v>
      </c>
      <c r="S1462" s="2" t="s">
        <v>2971</v>
      </c>
      <c r="T1462" s="2" t="s">
        <v>11733</v>
      </c>
      <c r="U1462" s="2" t="s">
        <v>11735</v>
      </c>
      <c r="V1462" s="2" t="s">
        <v>86</v>
      </c>
      <c r="W146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n">
        <v>1</v>
      </c>
      <c r="B2" s="2" t="s">
        <v>17037</v>
      </c>
      <c r="C2" s="2" t="n">
        <v>71.086115006</v>
      </c>
      <c r="D2" s="2" t="n">
        <v>13.4657505986343</v>
      </c>
      <c r="E2" s="2" t="s">
        <v>17038</v>
      </c>
      <c r="F2" s="2" t="s">
        <v>17039</v>
      </c>
      <c r="G2" s="2" t="s">
        <v>17040</v>
      </c>
      <c r="H2" s="2" t="s">
        <v>17041</v>
      </c>
      <c r="I2" s="2" t="s">
        <v>17042</v>
      </c>
      <c r="J2" s="2" t="s">
        <v>17043</v>
      </c>
      <c r="K2" s="2" t="s">
        <v>17044</v>
      </c>
      <c r="L2" s="2" t="s">
        <v>17045</v>
      </c>
      <c r="M2" s="2" t="s">
        <v>17046</v>
      </c>
      <c r="N2" s="2" t="s">
        <v>17047</v>
      </c>
      <c r="O2" s="2" t="s">
        <v>17048</v>
      </c>
      <c r="P2" s="2" t="s">
        <v>17049</v>
      </c>
      <c r="Q2" s="2" t="s">
        <v>17050</v>
      </c>
      <c r="R2" s="2" t="s">
        <v>5788</v>
      </c>
      <c r="S2" s="2" t="s">
        <v>5789</v>
      </c>
      <c r="T2" s="2" t="s">
        <v>17051</v>
      </c>
      <c r="U2" s="2" t="s">
        <v>101</v>
      </c>
      <c r="V2" s="2" t="n">
        <v>3</v>
      </c>
    </row>
    <row r="3">
      <c r="A3" s="2" t="n">
        <v>2</v>
      </c>
      <c r="B3" s="2" t="s">
        <v>17052</v>
      </c>
      <c r="C3" s="2" t="n">
        <v>72.081363979</v>
      </c>
      <c r="D3" s="2" t="n">
        <v>14.2084540924338</v>
      </c>
      <c r="E3" s="2" t="s">
        <v>17053</v>
      </c>
      <c r="F3" s="2" t="s">
        <v>17039</v>
      </c>
      <c r="G3" s="2" t="s">
        <v>17054</v>
      </c>
      <c r="H3" s="2" t="s">
        <v>17055</v>
      </c>
      <c r="I3" s="2" t="s">
        <v>17056</v>
      </c>
      <c r="J3" s="2" t="s">
        <v>17057</v>
      </c>
      <c r="K3" s="2" t="s">
        <v>29</v>
      </c>
      <c r="L3" s="2" t="s">
        <v>17058</v>
      </c>
      <c r="M3" s="2" t="s">
        <v>17059</v>
      </c>
      <c r="N3" s="2" t="s">
        <v>17060</v>
      </c>
      <c r="O3" s="2" t="s">
        <v>17061</v>
      </c>
      <c r="P3" s="2" t="s">
        <v>17062</v>
      </c>
      <c r="Q3" s="2" t="s">
        <v>17063</v>
      </c>
      <c r="R3" s="2" t="s">
        <v>601</v>
      </c>
      <c r="S3" s="2" t="s">
        <v>602</v>
      </c>
      <c r="T3" s="2" t="s">
        <v>1800</v>
      </c>
      <c r="U3" s="2" t="s">
        <v>101</v>
      </c>
      <c r="V3" s="2" t="n">
        <v>1</v>
      </c>
    </row>
    <row r="4">
      <c r="A4" s="2" t="n">
        <v>3</v>
      </c>
      <c r="B4" s="2" t="s">
        <v>17064</v>
      </c>
      <c r="C4" s="2" t="n">
        <v>73.065379564</v>
      </c>
      <c r="D4" s="2" t="n">
        <v>9.43704983172023</v>
      </c>
      <c r="E4" s="2" t="s">
        <v>17065</v>
      </c>
      <c r="F4" s="2" t="s">
        <v>17039</v>
      </c>
      <c r="G4" s="2" t="s">
        <v>17066</v>
      </c>
      <c r="H4" s="2" t="s">
        <v>17067</v>
      </c>
      <c r="I4" s="2" t="s">
        <v>17068</v>
      </c>
      <c r="J4" s="2" t="s">
        <v>17069</v>
      </c>
      <c r="K4" s="2" t="s">
        <v>195</v>
      </c>
      <c r="L4" s="2" t="s">
        <v>17070</v>
      </c>
      <c r="M4" s="2" t="s">
        <v>17071</v>
      </c>
      <c r="N4" s="2" t="s">
        <v>17072</v>
      </c>
      <c r="O4" s="2" t="s">
        <v>17073</v>
      </c>
      <c r="P4" s="2" t="s">
        <v>17074</v>
      </c>
      <c r="Q4" s="2" t="s">
        <v>17075</v>
      </c>
      <c r="R4" s="2" t="s">
        <v>5788</v>
      </c>
      <c r="S4" s="2" t="s">
        <v>5789</v>
      </c>
      <c r="T4" s="2" t="s">
        <v>17051</v>
      </c>
      <c r="U4" s="2" t="s">
        <v>56</v>
      </c>
      <c r="V4" s="2" t="n">
        <v>3</v>
      </c>
    </row>
    <row r="5">
      <c r="A5" s="2" t="n">
        <v>4</v>
      </c>
      <c r="B5" s="2" t="s">
        <v>17076</v>
      </c>
      <c r="C5" s="2" t="n">
        <v>81.070464942</v>
      </c>
      <c r="D5" s="2" t="n">
        <v>12.0125039276367</v>
      </c>
      <c r="E5" s="2" t="s">
        <v>17077</v>
      </c>
      <c r="F5" s="2" t="s">
        <v>17039</v>
      </c>
      <c r="G5" s="2" t="s">
        <v>17078</v>
      </c>
      <c r="H5" s="2" t="s">
        <v>17079</v>
      </c>
      <c r="I5" s="2" t="s">
        <v>17080</v>
      </c>
      <c r="J5" s="2" t="s">
        <v>17081</v>
      </c>
      <c r="K5" s="2" t="s">
        <v>17082</v>
      </c>
      <c r="L5" s="2" t="s">
        <v>17083</v>
      </c>
      <c r="M5" s="2" t="s">
        <v>17084</v>
      </c>
      <c r="N5" s="2" t="s">
        <v>17085</v>
      </c>
      <c r="O5" s="2" t="s">
        <v>17086</v>
      </c>
      <c r="P5" s="2" t="s">
        <v>17087</v>
      </c>
      <c r="Q5" s="2" t="s">
        <v>17088</v>
      </c>
      <c r="R5" s="2" t="s">
        <v>5788</v>
      </c>
      <c r="S5" s="2" t="s">
        <v>5789</v>
      </c>
      <c r="T5" s="2" t="s">
        <v>17089</v>
      </c>
      <c r="U5" s="2" t="s">
        <v>56</v>
      </c>
      <c r="V5" s="2" t="n">
        <v>3</v>
      </c>
    </row>
    <row r="6">
      <c r="A6" s="2" t="n">
        <v>5</v>
      </c>
      <c r="B6" s="2" t="s">
        <v>17090</v>
      </c>
      <c r="C6" s="2" t="n">
        <v>83.086115006</v>
      </c>
      <c r="D6" s="2" t="n">
        <v>5.6535857557363</v>
      </c>
      <c r="E6" s="2" t="s">
        <v>17091</v>
      </c>
      <c r="F6" s="2" t="s">
        <v>17039</v>
      </c>
      <c r="G6" s="2" t="s">
        <v>17092</v>
      </c>
      <c r="H6" s="2" t="s">
        <v>17093</v>
      </c>
      <c r="I6" s="2" t="s">
        <v>17094</v>
      </c>
      <c r="J6" s="2" t="s">
        <v>17095</v>
      </c>
      <c r="K6" s="2" t="s">
        <v>17096</v>
      </c>
      <c r="L6" s="2" t="s">
        <v>17097</v>
      </c>
      <c r="M6" s="2" t="s">
        <v>17098</v>
      </c>
      <c r="N6" s="2" t="s">
        <v>17099</v>
      </c>
      <c r="O6" s="2" t="s">
        <v>17100</v>
      </c>
      <c r="P6" s="2" t="s">
        <v>17101</v>
      </c>
      <c r="Q6" s="2" t="s">
        <v>17102</v>
      </c>
      <c r="R6" s="2" t="s">
        <v>5788</v>
      </c>
      <c r="S6" s="2" t="s">
        <v>5789</v>
      </c>
      <c r="T6" s="2" t="s">
        <v>17089</v>
      </c>
      <c r="U6" s="2" t="s">
        <v>56</v>
      </c>
      <c r="V6" s="2" t="n">
        <v>3</v>
      </c>
    </row>
    <row r="7">
      <c r="A7" s="2" t="n">
        <v>6</v>
      </c>
      <c r="B7" s="2" t="s">
        <v>17103</v>
      </c>
      <c r="C7" s="2" t="n">
        <v>84.044978473</v>
      </c>
      <c r="D7" s="2" t="n">
        <v>0.742174525899021</v>
      </c>
      <c r="E7" s="2" t="s">
        <v>17104</v>
      </c>
      <c r="F7" s="2" t="s">
        <v>17039</v>
      </c>
      <c r="G7" s="2" t="s">
        <v>17105</v>
      </c>
      <c r="H7" s="2" t="s">
        <v>17106</v>
      </c>
      <c r="I7" s="2" t="s">
        <v>17107</v>
      </c>
      <c r="J7" s="2" t="s">
        <v>17108</v>
      </c>
      <c r="K7" s="2" t="s">
        <v>91</v>
      </c>
      <c r="L7" s="2" t="s">
        <v>17109</v>
      </c>
      <c r="M7" s="2" t="s">
        <v>17110</v>
      </c>
      <c r="N7" s="2" t="s">
        <v>17111</v>
      </c>
      <c r="O7" s="2" t="s">
        <v>17112</v>
      </c>
      <c r="P7" s="2" t="s">
        <v>17113</v>
      </c>
      <c r="Q7" s="2" t="s">
        <v>17114</v>
      </c>
      <c r="R7" s="2" t="s">
        <v>144</v>
      </c>
      <c r="S7" s="2" t="s">
        <v>145</v>
      </c>
      <c r="T7" s="2" t="s">
        <v>146</v>
      </c>
      <c r="U7" s="2" t="s">
        <v>56</v>
      </c>
      <c r="V7" s="2" t="n">
        <v>2</v>
      </c>
    </row>
    <row r="8">
      <c r="A8" s="2" t="n">
        <v>7</v>
      </c>
      <c r="B8" s="2" t="s">
        <v>17115</v>
      </c>
      <c r="C8" s="2" t="n">
        <v>84.081324325</v>
      </c>
      <c r="D8" s="2" t="n">
        <v>10.8816701527647</v>
      </c>
      <c r="E8" s="2" t="s">
        <v>17116</v>
      </c>
      <c r="F8" s="2" t="s">
        <v>17117</v>
      </c>
      <c r="G8" s="2" t="s">
        <v>17118</v>
      </c>
      <c r="H8" s="2" t="s">
        <v>17119</v>
      </c>
      <c r="I8" s="2" t="s">
        <v>17120</v>
      </c>
      <c r="J8" s="2" t="s">
        <v>17121</v>
      </c>
      <c r="K8" s="2" t="s">
        <v>29</v>
      </c>
      <c r="L8" s="2" t="s">
        <v>17122</v>
      </c>
      <c r="M8" s="2" t="s">
        <v>17123</v>
      </c>
      <c r="N8" s="2" t="s">
        <v>17124</v>
      </c>
      <c r="O8" s="2" t="s">
        <v>29</v>
      </c>
      <c r="P8" s="2" t="s">
        <v>17125</v>
      </c>
      <c r="Q8" s="2" t="s">
        <v>17126</v>
      </c>
      <c r="R8" s="2" t="s">
        <v>114</v>
      </c>
      <c r="S8" s="2" t="s">
        <v>453</v>
      </c>
      <c r="T8" s="2" t="s">
        <v>215</v>
      </c>
      <c r="U8" s="2" t="s">
        <v>56</v>
      </c>
      <c r="V8" s="2" t="n">
        <v>1</v>
      </c>
    </row>
    <row r="9">
      <c r="A9" s="2" t="n">
        <v>8</v>
      </c>
      <c r="B9" s="2" t="s">
        <v>17127</v>
      </c>
      <c r="C9" s="2" t="n">
        <v>86.096974389</v>
      </c>
      <c r="D9" s="2" t="n">
        <v>8.16697710879311</v>
      </c>
      <c r="E9" s="2" t="s">
        <v>17128</v>
      </c>
      <c r="F9" s="2" t="s">
        <v>17117</v>
      </c>
      <c r="G9" s="2" t="s">
        <v>17129</v>
      </c>
      <c r="H9" s="2" t="s">
        <v>17130</v>
      </c>
      <c r="I9" s="2" t="s">
        <v>17131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17132</v>
      </c>
      <c r="O9" s="2" t="s">
        <v>29</v>
      </c>
      <c r="P9" s="2" t="s">
        <v>17133</v>
      </c>
      <c r="Q9" s="2" t="s">
        <v>17134</v>
      </c>
      <c r="R9" s="2" t="s">
        <v>601</v>
      </c>
      <c r="S9" s="2" t="s">
        <v>602</v>
      </c>
      <c r="T9" s="2" t="s">
        <v>8583</v>
      </c>
      <c r="U9" s="2" t="s">
        <v>56</v>
      </c>
      <c r="V9" s="2" t="n">
        <v>1</v>
      </c>
    </row>
    <row r="10">
      <c r="A10" s="2" t="n">
        <v>9</v>
      </c>
      <c r="B10" s="2" t="s">
        <v>17135</v>
      </c>
      <c r="C10" s="2" t="n">
        <v>87.044055436</v>
      </c>
      <c r="D10" s="2" t="n">
        <v>13.7405090017384</v>
      </c>
      <c r="E10" s="2" t="s">
        <v>17136</v>
      </c>
      <c r="F10" s="2" t="s">
        <v>17137</v>
      </c>
      <c r="G10" s="2" t="s">
        <v>17138</v>
      </c>
      <c r="H10" s="2" t="s">
        <v>3814</v>
      </c>
      <c r="I10" s="2" t="s">
        <v>17139</v>
      </c>
      <c r="J10" s="2" t="s">
        <v>17140</v>
      </c>
      <c r="K10" s="2" t="s">
        <v>17141</v>
      </c>
      <c r="L10" s="2" t="s">
        <v>17142</v>
      </c>
      <c r="M10" s="2" t="s">
        <v>17143</v>
      </c>
      <c r="N10" s="2" t="s">
        <v>17144</v>
      </c>
      <c r="O10" s="2" t="s">
        <v>17145</v>
      </c>
      <c r="P10" s="2" t="s">
        <v>17146</v>
      </c>
      <c r="Q10" s="2" t="s">
        <v>17147</v>
      </c>
      <c r="R10" s="2" t="s">
        <v>794</v>
      </c>
      <c r="S10" s="2" t="s">
        <v>795</v>
      </c>
      <c r="T10" s="2" t="s">
        <v>796</v>
      </c>
      <c r="U10" s="2" t="s">
        <v>39</v>
      </c>
      <c r="V10" s="2" t="n">
        <v>1</v>
      </c>
    </row>
    <row r="11">
      <c r="A11" s="2" t="n">
        <v>10</v>
      </c>
      <c r="B11" s="2" t="s">
        <v>17148</v>
      </c>
      <c r="C11" s="2" t="n">
        <v>88.076278601</v>
      </c>
      <c r="D11" s="2" t="n">
        <v>7.27080829497804</v>
      </c>
      <c r="E11" s="2" t="s">
        <v>17149</v>
      </c>
      <c r="F11" s="2" t="s">
        <v>17039</v>
      </c>
      <c r="G11" s="2" t="s">
        <v>17150</v>
      </c>
      <c r="H11" s="2" t="s">
        <v>17151</v>
      </c>
      <c r="I11" s="2" t="s">
        <v>17152</v>
      </c>
      <c r="J11" s="2" t="s">
        <v>17153</v>
      </c>
      <c r="K11" s="2" t="s">
        <v>29</v>
      </c>
      <c r="L11" s="2" t="s">
        <v>17154</v>
      </c>
      <c r="M11" s="2" t="s">
        <v>17155</v>
      </c>
      <c r="N11" s="2" t="s">
        <v>17156</v>
      </c>
      <c r="O11" s="2" t="s">
        <v>17157</v>
      </c>
      <c r="P11" s="2" t="s">
        <v>17158</v>
      </c>
      <c r="Q11" s="2" t="s">
        <v>17159</v>
      </c>
      <c r="R11" s="2" t="s">
        <v>601</v>
      </c>
      <c r="S11" s="2" t="s">
        <v>602</v>
      </c>
      <c r="T11" s="2" t="s">
        <v>1800</v>
      </c>
      <c r="U11" s="2" t="s">
        <v>56</v>
      </c>
      <c r="V11" s="2" t="n">
        <v>1</v>
      </c>
    </row>
    <row r="12">
      <c r="A12" s="2" t="n">
        <v>11</v>
      </c>
      <c r="B12" s="2" t="s">
        <v>17160</v>
      </c>
      <c r="C12" s="2" t="n">
        <v>89.070938888</v>
      </c>
      <c r="D12" s="2" t="n">
        <v>11.9796520874111</v>
      </c>
      <c r="E12" s="2" t="s">
        <v>17161</v>
      </c>
      <c r="F12" s="2" t="s">
        <v>17137</v>
      </c>
      <c r="G12" s="2" t="s">
        <v>17162</v>
      </c>
      <c r="H12" s="2" t="s">
        <v>17163</v>
      </c>
      <c r="I12" s="2" t="s">
        <v>17164</v>
      </c>
      <c r="J12" s="2" t="s">
        <v>17165</v>
      </c>
      <c r="K12" s="2" t="s">
        <v>29</v>
      </c>
      <c r="L12" s="2" t="s">
        <v>17166</v>
      </c>
      <c r="M12" s="2" t="s">
        <v>17167</v>
      </c>
      <c r="N12" s="2" t="s">
        <v>17168</v>
      </c>
      <c r="O12" s="2" t="s">
        <v>17169</v>
      </c>
      <c r="P12" s="2" t="s">
        <v>17170</v>
      </c>
      <c r="Q12" s="2" t="s">
        <v>17171</v>
      </c>
      <c r="R12" s="2" t="s">
        <v>36</v>
      </c>
      <c r="S12" s="2" t="s">
        <v>282</v>
      </c>
      <c r="T12" s="2" t="s">
        <v>283</v>
      </c>
      <c r="U12" s="2" t="s">
        <v>56</v>
      </c>
      <c r="V12" s="2" t="n">
        <v>1</v>
      </c>
    </row>
    <row r="13">
      <c r="A13" s="2" t="n">
        <v>12</v>
      </c>
      <c r="B13" s="2" t="s">
        <v>17172</v>
      </c>
      <c r="C13" s="2" t="n">
        <v>91.054814878</v>
      </c>
      <c r="D13" s="2" t="n">
        <v>6.00749802586871</v>
      </c>
      <c r="E13" s="2" t="s">
        <v>17173</v>
      </c>
      <c r="F13" s="2" t="s">
        <v>17039</v>
      </c>
      <c r="G13" s="2" t="s">
        <v>17174</v>
      </c>
      <c r="H13" s="2" t="s">
        <v>17175</v>
      </c>
      <c r="I13" s="2" t="s">
        <v>17176</v>
      </c>
      <c r="J13" s="2" t="s">
        <v>17177</v>
      </c>
      <c r="K13" s="2" t="s">
        <v>29</v>
      </c>
      <c r="L13" s="2" t="s">
        <v>17178</v>
      </c>
      <c r="M13" s="2" t="s">
        <v>17179</v>
      </c>
      <c r="N13" s="2" t="s">
        <v>17180</v>
      </c>
      <c r="O13" s="2" t="s">
        <v>17181</v>
      </c>
      <c r="P13" s="2" t="s">
        <v>17182</v>
      </c>
      <c r="Q13" s="2" t="s">
        <v>17183</v>
      </c>
      <c r="R13" s="2" t="s">
        <v>186</v>
      </c>
      <c r="S13" s="2" t="s">
        <v>357</v>
      </c>
      <c r="T13" s="2" t="s">
        <v>17184</v>
      </c>
      <c r="U13" s="2" t="s">
        <v>39</v>
      </c>
      <c r="V13" s="2" t="n">
        <v>1</v>
      </c>
    </row>
    <row r="14">
      <c r="A14" s="2" t="n">
        <v>13</v>
      </c>
      <c r="B14" s="2" t="s">
        <v>17185</v>
      </c>
      <c r="C14" s="2" t="n">
        <v>95.086115006</v>
      </c>
      <c r="D14" s="2" t="n">
        <v>13.6998075299743</v>
      </c>
      <c r="E14" s="2" t="s">
        <v>17186</v>
      </c>
      <c r="F14" s="2" t="s">
        <v>17039</v>
      </c>
      <c r="G14" s="2" t="s">
        <v>17187</v>
      </c>
      <c r="H14" s="2" t="s">
        <v>17188</v>
      </c>
      <c r="I14" s="2" t="s">
        <v>17189</v>
      </c>
      <c r="J14" s="2" t="s">
        <v>17190</v>
      </c>
      <c r="K14" s="2" t="s">
        <v>17191</v>
      </c>
      <c r="L14" s="2" t="s">
        <v>195</v>
      </c>
      <c r="M14" s="2" t="s">
        <v>195</v>
      </c>
      <c r="N14" s="2" t="s">
        <v>17192</v>
      </c>
      <c r="O14" s="2" t="s">
        <v>17193</v>
      </c>
      <c r="P14" s="2" t="s">
        <v>17194</v>
      </c>
      <c r="Q14" s="2" t="s">
        <v>17195</v>
      </c>
      <c r="R14" s="2" t="s">
        <v>5788</v>
      </c>
      <c r="S14" s="2" t="s">
        <v>5789</v>
      </c>
      <c r="T14" s="2" t="s">
        <v>17089</v>
      </c>
      <c r="U14" s="2" t="s">
        <v>56</v>
      </c>
      <c r="V14" s="2" t="n">
        <v>3</v>
      </c>
    </row>
    <row r="15">
      <c r="A15" s="2" t="n">
        <v>14</v>
      </c>
      <c r="B15" s="2" t="s">
        <v>17196</v>
      </c>
      <c r="C15" s="2" t="n">
        <v>96.078367357</v>
      </c>
      <c r="D15" s="2" t="n">
        <v>3.31381339942166</v>
      </c>
      <c r="E15" s="2" t="s">
        <v>17197</v>
      </c>
      <c r="F15" s="2" t="s">
        <v>17198</v>
      </c>
      <c r="G15" s="2" t="s">
        <v>17199</v>
      </c>
      <c r="H15" s="2" t="s">
        <v>17200</v>
      </c>
      <c r="I15" s="2" t="s">
        <v>17201</v>
      </c>
      <c r="J15" s="2" t="s">
        <v>17202</v>
      </c>
      <c r="K15" s="2" t="s">
        <v>195</v>
      </c>
      <c r="L15" s="2" t="s">
        <v>17203</v>
      </c>
      <c r="M15" s="2" t="s">
        <v>17204</v>
      </c>
      <c r="N15" s="2" t="s">
        <v>17205</v>
      </c>
      <c r="O15" s="2" t="s">
        <v>17206</v>
      </c>
      <c r="P15" s="2" t="s">
        <v>17207</v>
      </c>
      <c r="Q15" s="2" t="s">
        <v>17208</v>
      </c>
      <c r="R15" s="2" t="s">
        <v>17209</v>
      </c>
      <c r="S15" s="2" t="s">
        <v>17210</v>
      </c>
      <c r="T15" s="2" t="s">
        <v>17211</v>
      </c>
      <c r="U15" s="2" t="s">
        <v>101</v>
      </c>
      <c r="V15" s="2" t="n">
        <v>3</v>
      </c>
    </row>
    <row r="16">
      <c r="A16" s="2" t="n">
        <v>15</v>
      </c>
      <c r="B16" s="2" t="s">
        <v>17212</v>
      </c>
      <c r="C16" s="2" t="n">
        <v>98.976281542</v>
      </c>
      <c r="D16" s="2" t="n">
        <v>0.69601236219981</v>
      </c>
      <c r="E16" s="2" t="s">
        <v>17213</v>
      </c>
      <c r="F16" s="2" t="s">
        <v>17137</v>
      </c>
      <c r="G16" s="2" t="s">
        <v>17214</v>
      </c>
      <c r="H16" s="2" t="s">
        <v>17215</v>
      </c>
      <c r="I16" s="2" t="s">
        <v>17216</v>
      </c>
      <c r="J16" s="2" t="s">
        <v>17217</v>
      </c>
      <c r="K16" s="2" t="s">
        <v>91</v>
      </c>
      <c r="L16" s="2" t="s">
        <v>17218</v>
      </c>
      <c r="M16" s="2" t="s">
        <v>17219</v>
      </c>
      <c r="N16" s="2" t="s">
        <v>17220</v>
      </c>
      <c r="O16" s="2" t="s">
        <v>17221</v>
      </c>
      <c r="P16" s="2" t="s">
        <v>17222</v>
      </c>
      <c r="Q16" s="2" t="s">
        <v>17223</v>
      </c>
      <c r="R16" s="2" t="s">
        <v>690</v>
      </c>
      <c r="S16" s="2" t="s">
        <v>17224</v>
      </c>
      <c r="T16" s="2" t="s">
        <v>543</v>
      </c>
      <c r="U16" s="2" t="s">
        <v>101</v>
      </c>
      <c r="V16" s="2" t="n">
        <v>2</v>
      </c>
    </row>
    <row r="17">
      <c r="A17" s="2" t="n">
        <v>16</v>
      </c>
      <c r="B17" s="2" t="s">
        <v>17225</v>
      </c>
      <c r="C17" s="2" t="n">
        <v>98.984287372</v>
      </c>
      <c r="D17" s="2" t="n">
        <v>6.71973968472323</v>
      </c>
      <c r="E17" s="2" t="s">
        <v>17226</v>
      </c>
      <c r="F17" s="2" t="s">
        <v>17227</v>
      </c>
      <c r="G17" s="2" t="s">
        <v>17228</v>
      </c>
      <c r="H17" s="2" t="s">
        <v>17229</v>
      </c>
      <c r="I17" s="2" t="s">
        <v>17230</v>
      </c>
      <c r="J17" s="2" t="s">
        <v>17231</v>
      </c>
      <c r="K17" s="2" t="s">
        <v>29</v>
      </c>
      <c r="L17" s="2" t="s">
        <v>17232</v>
      </c>
      <c r="M17" s="2" t="s">
        <v>17233</v>
      </c>
      <c r="N17" s="2" t="s">
        <v>17234</v>
      </c>
      <c r="O17" s="2" t="s">
        <v>17235</v>
      </c>
      <c r="P17" s="2" t="s">
        <v>17236</v>
      </c>
      <c r="Q17" s="2" t="s">
        <v>17237</v>
      </c>
      <c r="R17" s="2" t="s">
        <v>129</v>
      </c>
      <c r="S17" s="2" t="s">
        <v>130</v>
      </c>
      <c r="T17" s="2" t="s">
        <v>131</v>
      </c>
      <c r="U17" s="2" t="s">
        <v>101</v>
      </c>
      <c r="V17" s="2" t="n">
        <v>1</v>
      </c>
    </row>
    <row r="18">
      <c r="A18" s="2" t="n">
        <v>17</v>
      </c>
      <c r="B18" s="2" t="s">
        <v>17238</v>
      </c>
      <c r="C18" s="2" t="n">
        <v>100.076278601</v>
      </c>
      <c r="D18" s="2" t="n">
        <v>4.6668048992168</v>
      </c>
      <c r="E18" s="2" t="s">
        <v>17239</v>
      </c>
      <c r="F18" s="2" t="s">
        <v>17039</v>
      </c>
      <c r="G18" s="2" t="s">
        <v>17240</v>
      </c>
      <c r="H18" s="2" t="s">
        <v>17241</v>
      </c>
      <c r="I18" s="2" t="s">
        <v>17242</v>
      </c>
      <c r="J18" s="2" t="s">
        <v>17243</v>
      </c>
      <c r="K18" s="2" t="s">
        <v>29</v>
      </c>
      <c r="L18" s="2" t="s">
        <v>17244</v>
      </c>
      <c r="M18" s="2" t="s">
        <v>17245</v>
      </c>
      <c r="N18" s="2" t="s">
        <v>17246</v>
      </c>
      <c r="O18" s="2" t="s">
        <v>17247</v>
      </c>
      <c r="P18" s="2" t="s">
        <v>17248</v>
      </c>
      <c r="Q18" s="2" t="s">
        <v>17249</v>
      </c>
      <c r="R18" s="2" t="s">
        <v>36</v>
      </c>
      <c r="S18" s="2" t="s">
        <v>37</v>
      </c>
      <c r="T18" s="2" t="s">
        <v>69</v>
      </c>
      <c r="U18" s="2" t="s">
        <v>39</v>
      </c>
      <c r="V18" s="2" t="n">
        <v>1</v>
      </c>
    </row>
    <row r="19">
      <c r="A19" s="2" t="n">
        <v>18</v>
      </c>
      <c r="B19" s="2" t="s">
        <v>17250</v>
      </c>
      <c r="C19" s="2" t="n">
        <v>100.112624453</v>
      </c>
      <c r="D19" s="2" t="n">
        <v>4.73725211702071</v>
      </c>
      <c r="E19" s="2" t="s">
        <v>17251</v>
      </c>
      <c r="F19" s="2" t="s">
        <v>17117</v>
      </c>
      <c r="G19" s="2" t="s">
        <v>17252</v>
      </c>
      <c r="H19" s="2" t="s">
        <v>17253</v>
      </c>
      <c r="I19" s="2" t="s">
        <v>17254</v>
      </c>
      <c r="J19" s="2" t="s">
        <v>29</v>
      </c>
      <c r="K19" s="2" t="s">
        <v>29</v>
      </c>
      <c r="L19" s="2" t="s">
        <v>29</v>
      </c>
      <c r="M19" s="2" t="s">
        <v>17255</v>
      </c>
      <c r="N19" s="2" t="s">
        <v>17256</v>
      </c>
      <c r="O19" s="2" t="s">
        <v>29</v>
      </c>
      <c r="P19" s="2" t="s">
        <v>17257</v>
      </c>
      <c r="Q19" s="2" t="s">
        <v>17258</v>
      </c>
      <c r="R19" s="2" t="s">
        <v>601</v>
      </c>
      <c r="S19" s="2" t="s">
        <v>602</v>
      </c>
      <c r="T19" s="2" t="s">
        <v>17259</v>
      </c>
      <c r="U19" s="2" t="s">
        <v>29</v>
      </c>
      <c r="V19" s="2" t="n">
        <v>1</v>
      </c>
    </row>
    <row r="20">
      <c r="A20" s="2" t="n">
        <v>19</v>
      </c>
      <c r="B20" s="2" t="s">
        <v>17260</v>
      </c>
      <c r="C20" s="2" t="n">
        <v>101.060294186</v>
      </c>
      <c r="D20" s="2" t="n">
        <v>5.67044961215023</v>
      </c>
      <c r="E20" s="2" t="s">
        <v>17261</v>
      </c>
      <c r="F20" s="2" t="s">
        <v>17039</v>
      </c>
      <c r="G20" s="2" t="s">
        <v>17262</v>
      </c>
      <c r="H20" s="2" t="s">
        <v>17263</v>
      </c>
      <c r="I20" s="2" t="s">
        <v>17264</v>
      </c>
      <c r="J20" s="2" t="s">
        <v>17265</v>
      </c>
      <c r="K20" s="2" t="s">
        <v>17266</v>
      </c>
      <c r="L20" s="2" t="s">
        <v>17267</v>
      </c>
      <c r="M20" s="2" t="s">
        <v>17268</v>
      </c>
      <c r="N20" s="2" t="s">
        <v>17269</v>
      </c>
      <c r="O20" s="2" t="s">
        <v>17270</v>
      </c>
      <c r="P20" s="2" t="s">
        <v>17271</v>
      </c>
      <c r="Q20" s="2" t="s">
        <v>17272</v>
      </c>
      <c r="R20" s="2" t="s">
        <v>794</v>
      </c>
      <c r="S20" s="2" t="s">
        <v>795</v>
      </c>
      <c r="T20" s="2" t="s">
        <v>796</v>
      </c>
      <c r="U20" s="2" t="s">
        <v>39</v>
      </c>
      <c r="V20" s="2" t="n">
        <v>1</v>
      </c>
    </row>
    <row r="21">
      <c r="A21" s="2" t="n">
        <v>20</v>
      </c>
      <c r="B21" s="2" t="s">
        <v>17273</v>
      </c>
      <c r="C21" s="2" t="n">
        <v>102.091889011</v>
      </c>
      <c r="D21" s="2" t="n">
        <v>16.615292522514</v>
      </c>
      <c r="E21" s="2" t="s">
        <v>17274</v>
      </c>
      <c r="F21" s="2" t="s">
        <v>17117</v>
      </c>
      <c r="G21" s="2" t="s">
        <v>17275</v>
      </c>
      <c r="H21" s="2" t="s">
        <v>17276</v>
      </c>
      <c r="I21" s="2" t="s">
        <v>17277</v>
      </c>
      <c r="J21" s="2" t="s">
        <v>17278</v>
      </c>
      <c r="K21" s="2" t="s">
        <v>29</v>
      </c>
      <c r="L21" s="2" t="s">
        <v>17279</v>
      </c>
      <c r="M21" s="2" t="s">
        <v>17280</v>
      </c>
      <c r="N21" s="2" t="s">
        <v>17281</v>
      </c>
      <c r="O21" s="2" t="s">
        <v>17282</v>
      </c>
      <c r="P21" s="2" t="s">
        <v>17283</v>
      </c>
      <c r="Q21" s="2" t="s">
        <v>17284</v>
      </c>
      <c r="R21" s="2" t="s">
        <v>601</v>
      </c>
      <c r="S21" s="2" t="s">
        <v>602</v>
      </c>
      <c r="T21" s="2" t="s">
        <v>8583</v>
      </c>
      <c r="U21" s="2" t="s">
        <v>101</v>
      </c>
      <c r="V21" s="2" t="n">
        <v>1</v>
      </c>
    </row>
    <row r="22">
      <c r="A22" s="2" t="n">
        <v>21</v>
      </c>
      <c r="B22" s="2" t="s">
        <v>17285</v>
      </c>
      <c r="C22" s="2" t="n">
        <v>103.039558744</v>
      </c>
      <c r="D22" s="2" t="n">
        <v>5.65281128894896</v>
      </c>
      <c r="E22" s="2" t="s">
        <v>17286</v>
      </c>
      <c r="F22" s="2" t="s">
        <v>17039</v>
      </c>
      <c r="G22" s="2" t="s">
        <v>17287</v>
      </c>
      <c r="H22" s="2" t="s">
        <v>17288</v>
      </c>
      <c r="I22" s="2" t="s">
        <v>17289</v>
      </c>
      <c r="J22" s="2" t="s">
        <v>17290</v>
      </c>
      <c r="K22" s="2" t="s">
        <v>29</v>
      </c>
      <c r="L22" s="2" t="s">
        <v>17291</v>
      </c>
      <c r="M22" s="2" t="s">
        <v>17292</v>
      </c>
      <c r="N22" s="2" t="s">
        <v>17293</v>
      </c>
      <c r="O22" s="2" t="s">
        <v>17294</v>
      </c>
      <c r="P22" s="2" t="s">
        <v>17295</v>
      </c>
      <c r="Q22" s="2" t="s">
        <v>17296</v>
      </c>
      <c r="R22" s="2" t="s">
        <v>129</v>
      </c>
      <c r="S22" s="2" t="s">
        <v>130</v>
      </c>
      <c r="T22" s="2" t="s">
        <v>1681</v>
      </c>
      <c r="U22" s="2" t="s">
        <v>39</v>
      </c>
      <c r="V22" s="2" t="n">
        <v>1</v>
      </c>
    </row>
    <row r="23">
      <c r="A23" s="2" t="n">
        <v>22</v>
      </c>
      <c r="B23" s="2" t="s">
        <v>17297</v>
      </c>
      <c r="C23" s="2" t="n">
        <v>103.122974458</v>
      </c>
      <c r="D23" s="2" t="n">
        <v>9.7743302446146</v>
      </c>
      <c r="E23" s="2" t="s">
        <v>17298</v>
      </c>
      <c r="F23" s="2" t="s">
        <v>17137</v>
      </c>
      <c r="G23" s="2" t="s">
        <v>17299</v>
      </c>
      <c r="H23" s="2" t="s">
        <v>17300</v>
      </c>
      <c r="I23" s="2" t="s">
        <v>17301</v>
      </c>
      <c r="J23" s="2" t="s">
        <v>17302</v>
      </c>
      <c r="K23" s="2" t="s">
        <v>91</v>
      </c>
      <c r="L23" s="2" t="s">
        <v>17303</v>
      </c>
      <c r="M23" s="2" t="s">
        <v>17304</v>
      </c>
      <c r="N23" s="2" t="s">
        <v>17305</v>
      </c>
      <c r="O23" s="2" t="s">
        <v>17306</v>
      </c>
      <c r="P23" s="2" t="s">
        <v>17307</v>
      </c>
      <c r="Q23" s="2" t="s">
        <v>17308</v>
      </c>
      <c r="R23" s="2" t="s">
        <v>98</v>
      </c>
      <c r="S23" s="2" t="s">
        <v>99</v>
      </c>
      <c r="T23" s="2" t="s">
        <v>100</v>
      </c>
      <c r="U23" s="2" t="s">
        <v>56</v>
      </c>
      <c r="V23" s="2" t="n">
        <v>2</v>
      </c>
    </row>
    <row r="24">
      <c r="A24" s="2" t="n">
        <v>23</v>
      </c>
      <c r="B24" s="2" t="s">
        <v>17309</v>
      </c>
      <c r="C24" s="2" t="n">
        <v>104.107539075</v>
      </c>
      <c r="D24" s="2" t="n">
        <v>12.4300394043793</v>
      </c>
      <c r="E24" s="2" t="s">
        <v>17310</v>
      </c>
      <c r="F24" s="2" t="s">
        <v>17117</v>
      </c>
      <c r="G24" s="2" t="s">
        <v>17311</v>
      </c>
      <c r="H24" s="2" t="s">
        <v>17312</v>
      </c>
      <c r="I24" s="2" t="s">
        <v>17313</v>
      </c>
      <c r="J24" s="2" t="s">
        <v>847</v>
      </c>
      <c r="K24" s="2" t="s">
        <v>29</v>
      </c>
      <c r="L24" s="2" t="s">
        <v>17314</v>
      </c>
      <c r="M24" s="2" t="s">
        <v>17315</v>
      </c>
      <c r="N24" s="2" t="s">
        <v>17316</v>
      </c>
      <c r="O24" s="2" t="s">
        <v>17317</v>
      </c>
      <c r="P24" s="2" t="s">
        <v>17318</v>
      </c>
      <c r="Q24" s="2" t="s">
        <v>17319</v>
      </c>
      <c r="R24" s="2" t="s">
        <v>601</v>
      </c>
      <c r="S24" s="2" t="s">
        <v>602</v>
      </c>
      <c r="T24" s="2" t="s">
        <v>8583</v>
      </c>
      <c r="U24" s="2" t="s">
        <v>39</v>
      </c>
      <c r="V24" s="2" t="n">
        <v>1</v>
      </c>
    </row>
    <row r="25">
      <c r="A25" s="2" t="n">
        <v>24</v>
      </c>
      <c r="B25" s="2" t="s">
        <v>17320</v>
      </c>
      <c r="C25" s="2" t="n">
        <v>105.034079436</v>
      </c>
      <c r="D25" s="2" t="n">
        <v>8.85737947258018</v>
      </c>
      <c r="E25" s="2" t="s">
        <v>17321</v>
      </c>
      <c r="F25" s="2" t="s">
        <v>17039</v>
      </c>
      <c r="G25" s="2" t="s">
        <v>17322</v>
      </c>
      <c r="H25" s="2" t="s">
        <v>17323</v>
      </c>
      <c r="I25" s="2" t="s">
        <v>17324</v>
      </c>
      <c r="J25" s="2" t="s">
        <v>17325</v>
      </c>
      <c r="K25" s="2" t="s">
        <v>29</v>
      </c>
      <c r="L25" s="2" t="s">
        <v>17326</v>
      </c>
      <c r="M25" s="2" t="s">
        <v>17327</v>
      </c>
      <c r="N25" s="2" t="s">
        <v>17328</v>
      </c>
      <c r="O25" s="2" t="s">
        <v>17329</v>
      </c>
      <c r="P25" s="2" t="s">
        <v>17330</v>
      </c>
      <c r="Q25" s="2" t="s">
        <v>17331</v>
      </c>
      <c r="R25" s="2" t="s">
        <v>129</v>
      </c>
      <c r="S25" s="2" t="s">
        <v>130</v>
      </c>
      <c r="T25" s="2" t="s">
        <v>131</v>
      </c>
      <c r="U25" s="2" t="s">
        <v>39</v>
      </c>
      <c r="V25" s="2" t="n">
        <v>1</v>
      </c>
    </row>
    <row r="26">
      <c r="A26" s="2" t="n">
        <v>25</v>
      </c>
      <c r="B26" s="2" t="s">
        <v>17332</v>
      </c>
      <c r="C26" s="2" t="n">
        <v>105.070464942</v>
      </c>
      <c r="D26" s="2" t="n">
        <v>3.14213733001528</v>
      </c>
      <c r="E26" s="2" t="s">
        <v>17333</v>
      </c>
      <c r="F26" s="2" t="s">
        <v>17039</v>
      </c>
      <c r="G26" s="2" t="s">
        <v>17334</v>
      </c>
      <c r="H26" s="2" t="s">
        <v>17335</v>
      </c>
      <c r="I26" s="2" t="s">
        <v>17336</v>
      </c>
      <c r="J26" s="2" t="s">
        <v>17337</v>
      </c>
      <c r="K26" s="2" t="s">
        <v>195</v>
      </c>
      <c r="L26" s="2" t="s">
        <v>17338</v>
      </c>
      <c r="M26" s="2" t="s">
        <v>17339</v>
      </c>
      <c r="N26" s="2" t="s">
        <v>17340</v>
      </c>
      <c r="O26" s="2" t="s">
        <v>17341</v>
      </c>
      <c r="P26" s="2" t="s">
        <v>17342</v>
      </c>
      <c r="Q26" s="2" t="s">
        <v>17343</v>
      </c>
      <c r="R26" s="2" t="s">
        <v>2520</v>
      </c>
      <c r="S26" s="2" t="s">
        <v>17344</v>
      </c>
      <c r="T26" s="2" t="s">
        <v>17345</v>
      </c>
      <c r="U26" s="2" t="s">
        <v>56</v>
      </c>
      <c r="V26" s="2" t="n">
        <v>3</v>
      </c>
    </row>
    <row r="27">
      <c r="A27" s="2" t="n">
        <v>26</v>
      </c>
      <c r="B27" s="2" t="s">
        <v>17346</v>
      </c>
      <c r="C27" s="2" t="n">
        <v>107.086115006</v>
      </c>
      <c r="D27" s="2" t="n">
        <v>10.4896005307137</v>
      </c>
      <c r="E27" s="2" t="s">
        <v>17347</v>
      </c>
      <c r="F27" s="2" t="s">
        <v>17039</v>
      </c>
      <c r="G27" s="2" t="s">
        <v>17348</v>
      </c>
      <c r="H27" s="2" t="s">
        <v>17349</v>
      </c>
      <c r="I27" s="2" t="s">
        <v>17350</v>
      </c>
      <c r="J27" s="2" t="s">
        <v>17351</v>
      </c>
      <c r="K27" s="2" t="s">
        <v>17352</v>
      </c>
      <c r="L27" s="2" t="s">
        <v>195</v>
      </c>
      <c r="M27" s="2" t="s">
        <v>195</v>
      </c>
      <c r="N27" s="2" t="s">
        <v>17353</v>
      </c>
      <c r="O27" s="2" t="s">
        <v>17354</v>
      </c>
      <c r="P27" s="2" t="s">
        <v>17355</v>
      </c>
      <c r="Q27" s="2" t="s">
        <v>17356</v>
      </c>
      <c r="R27" s="2" t="s">
        <v>5788</v>
      </c>
      <c r="S27" s="2" t="s">
        <v>5789</v>
      </c>
      <c r="T27" s="2" t="s">
        <v>17089</v>
      </c>
      <c r="U27" s="2" t="s">
        <v>56</v>
      </c>
      <c r="V27" s="2" t="n">
        <v>3</v>
      </c>
    </row>
    <row r="28">
      <c r="A28" s="2" t="n">
        <v>27</v>
      </c>
      <c r="B28" s="2" t="s">
        <v>17357</v>
      </c>
      <c r="C28" s="2" t="n">
        <v>109.10176507</v>
      </c>
      <c r="D28" s="2" t="n">
        <v>8.85448427265079</v>
      </c>
      <c r="E28" s="2" t="s">
        <v>17358</v>
      </c>
      <c r="F28" s="2" t="s">
        <v>17039</v>
      </c>
      <c r="G28" s="2" t="s">
        <v>17359</v>
      </c>
      <c r="H28" s="2" t="s">
        <v>17360</v>
      </c>
      <c r="I28" s="2" t="s">
        <v>17361</v>
      </c>
      <c r="J28" s="2" t="s">
        <v>29</v>
      </c>
      <c r="K28" s="2" t="s">
        <v>17362</v>
      </c>
      <c r="L28" s="2" t="s">
        <v>17363</v>
      </c>
      <c r="M28" s="2" t="s">
        <v>17364</v>
      </c>
      <c r="N28" s="2" t="s">
        <v>17365</v>
      </c>
      <c r="O28" s="2" t="s">
        <v>17366</v>
      </c>
      <c r="P28" s="2" t="s">
        <v>17367</v>
      </c>
      <c r="Q28" s="2" t="s">
        <v>17368</v>
      </c>
      <c r="R28" s="2" t="s">
        <v>129</v>
      </c>
      <c r="S28" s="2" t="s">
        <v>130</v>
      </c>
      <c r="T28" s="2" t="s">
        <v>131</v>
      </c>
      <c r="U28" s="2" t="s">
        <v>56</v>
      </c>
      <c r="V28" s="2" t="n">
        <v>1</v>
      </c>
    </row>
    <row r="29">
      <c r="A29" s="2" t="n">
        <v>28</v>
      </c>
      <c r="B29" s="2" t="s">
        <v>17369</v>
      </c>
      <c r="C29" s="2" t="n">
        <v>110.071273237</v>
      </c>
      <c r="D29" s="2" t="n">
        <v>2.01049759285088</v>
      </c>
      <c r="E29" s="2" t="s">
        <v>17370</v>
      </c>
      <c r="F29" s="2" t="s">
        <v>17137</v>
      </c>
      <c r="G29" s="2" t="s">
        <v>17371</v>
      </c>
      <c r="H29" s="2" t="s">
        <v>17372</v>
      </c>
      <c r="I29" s="2" t="s">
        <v>17373</v>
      </c>
      <c r="J29" s="2" t="s">
        <v>17374</v>
      </c>
      <c r="K29" s="2" t="s">
        <v>91</v>
      </c>
      <c r="L29" s="2" t="s">
        <v>91</v>
      </c>
      <c r="M29" s="2" t="s">
        <v>91</v>
      </c>
      <c r="N29" s="2" t="s">
        <v>17375</v>
      </c>
      <c r="O29" s="2" t="s">
        <v>91</v>
      </c>
      <c r="P29" s="2" t="s">
        <v>17376</v>
      </c>
      <c r="Q29" s="2" t="s">
        <v>17377</v>
      </c>
      <c r="R29" s="2" t="s">
        <v>541</v>
      </c>
      <c r="S29" s="2" t="s">
        <v>1421</v>
      </c>
      <c r="T29" s="2" t="s">
        <v>17378</v>
      </c>
      <c r="U29" s="2" t="s">
        <v>29</v>
      </c>
      <c r="V29" s="2" t="n">
        <v>2</v>
      </c>
    </row>
    <row r="30">
      <c r="A30" s="2" t="n">
        <v>29</v>
      </c>
      <c r="B30" s="2" t="s">
        <v>17379</v>
      </c>
      <c r="C30" s="2" t="n">
        <v>111.044644122</v>
      </c>
      <c r="D30" s="2" t="n">
        <v>9.90026404660767</v>
      </c>
      <c r="E30" s="2" t="s">
        <v>17380</v>
      </c>
      <c r="F30" s="2" t="s">
        <v>17039</v>
      </c>
      <c r="G30" s="2" t="s">
        <v>17381</v>
      </c>
      <c r="H30" s="2" t="s">
        <v>17382</v>
      </c>
      <c r="I30" s="2" t="s">
        <v>17383</v>
      </c>
      <c r="J30" s="2" t="s">
        <v>17384</v>
      </c>
      <c r="K30" s="2" t="s">
        <v>29</v>
      </c>
      <c r="L30" s="2" t="s">
        <v>29</v>
      </c>
      <c r="M30" s="2" t="s">
        <v>17385</v>
      </c>
      <c r="N30" s="2" t="s">
        <v>17386</v>
      </c>
      <c r="O30" s="2" t="s">
        <v>17387</v>
      </c>
      <c r="P30" s="2" t="s">
        <v>17388</v>
      </c>
      <c r="Q30" s="2" t="s">
        <v>17389</v>
      </c>
      <c r="R30" s="2" t="s">
        <v>114</v>
      </c>
      <c r="S30" s="2" t="s">
        <v>1779</v>
      </c>
      <c r="T30" s="2" t="s">
        <v>1780</v>
      </c>
      <c r="U30" s="2" t="s">
        <v>56</v>
      </c>
      <c r="V30" s="2" t="n">
        <v>1</v>
      </c>
    </row>
    <row r="31">
      <c r="A31" s="2" t="n">
        <v>30</v>
      </c>
      <c r="B31" s="2" t="s">
        <v>17390</v>
      </c>
      <c r="C31" s="2" t="n">
        <v>111.117415134</v>
      </c>
      <c r="D31" s="2" t="n">
        <v>2.64190314635584</v>
      </c>
      <c r="E31" s="2" t="s">
        <v>17391</v>
      </c>
      <c r="F31" s="2" t="s">
        <v>17039</v>
      </c>
      <c r="G31" s="2" t="s">
        <v>17392</v>
      </c>
      <c r="H31" s="2" t="s">
        <v>17393</v>
      </c>
      <c r="I31" s="2" t="s">
        <v>17394</v>
      </c>
      <c r="J31" s="2" t="s">
        <v>17395</v>
      </c>
      <c r="K31" s="2" t="s">
        <v>17396</v>
      </c>
      <c r="L31" s="2" t="s">
        <v>17397</v>
      </c>
      <c r="M31" s="2" t="s">
        <v>17398</v>
      </c>
      <c r="N31" s="2" t="s">
        <v>17399</v>
      </c>
      <c r="O31" s="2" t="s">
        <v>17400</v>
      </c>
      <c r="P31" s="2" t="s">
        <v>17401</v>
      </c>
      <c r="Q31" s="2" t="s">
        <v>17402</v>
      </c>
      <c r="R31" s="2" t="s">
        <v>412</v>
      </c>
      <c r="S31" s="2" t="s">
        <v>413</v>
      </c>
      <c r="T31" s="2" t="s">
        <v>17403</v>
      </c>
      <c r="U31" s="2" t="s">
        <v>56</v>
      </c>
      <c r="V31" s="2" t="n">
        <v>2</v>
      </c>
    </row>
    <row r="32">
      <c r="A32" s="2" t="n">
        <v>31</v>
      </c>
      <c r="B32" s="2" t="s">
        <v>17404</v>
      </c>
      <c r="C32" s="2" t="n">
        <v>112.02849791</v>
      </c>
      <c r="D32" s="2" t="n">
        <v>6.19437591697154</v>
      </c>
      <c r="E32" s="2" t="s">
        <v>17405</v>
      </c>
      <c r="F32" s="2" t="s">
        <v>17406</v>
      </c>
      <c r="G32" s="2" t="s">
        <v>17407</v>
      </c>
      <c r="H32" s="2" t="s">
        <v>17408</v>
      </c>
      <c r="I32" s="2" t="s">
        <v>17409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17410</v>
      </c>
      <c r="Q32" s="2" t="s">
        <v>17411</v>
      </c>
      <c r="R32" s="2" t="s">
        <v>129</v>
      </c>
      <c r="S32" s="2" t="s">
        <v>130</v>
      </c>
      <c r="T32" s="2" t="s">
        <v>215</v>
      </c>
      <c r="U32" s="2" t="s">
        <v>29</v>
      </c>
      <c r="V32" s="2" t="n">
        <v>1</v>
      </c>
    </row>
    <row r="33">
      <c r="A33" s="2" t="n">
        <v>32</v>
      </c>
      <c r="B33" s="2" t="s">
        <v>17412</v>
      </c>
      <c r="C33" s="2" t="n">
        <v>112.051126477</v>
      </c>
      <c r="D33" s="2" t="n">
        <v>10.3142373127104</v>
      </c>
      <c r="E33" s="2" t="s">
        <v>17413</v>
      </c>
      <c r="F33" s="2" t="s">
        <v>17039</v>
      </c>
      <c r="G33" s="2" t="s">
        <v>17414</v>
      </c>
      <c r="H33" s="2" t="s">
        <v>17415</v>
      </c>
      <c r="I33" s="2" t="s">
        <v>17416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17417</v>
      </c>
      <c r="O33" s="2" t="s">
        <v>29</v>
      </c>
      <c r="P33" s="2" t="s">
        <v>17418</v>
      </c>
      <c r="Q33" s="2" t="s">
        <v>17419</v>
      </c>
      <c r="R33" s="2" t="s">
        <v>36</v>
      </c>
      <c r="S33" s="2" t="s">
        <v>37</v>
      </c>
      <c r="T33" s="2" t="s">
        <v>69</v>
      </c>
      <c r="U33" s="2" t="s">
        <v>29</v>
      </c>
      <c r="V33" s="2" t="n">
        <v>1</v>
      </c>
    </row>
    <row r="34">
      <c r="A34" s="2" t="n">
        <v>33</v>
      </c>
      <c r="B34" s="2" t="s">
        <v>17420</v>
      </c>
      <c r="C34" s="2" t="n">
        <v>112.9919316</v>
      </c>
      <c r="D34" s="2" t="n">
        <v>7.58180772689811</v>
      </c>
      <c r="E34" s="2" t="s">
        <v>17421</v>
      </c>
      <c r="F34" s="2" t="s">
        <v>17137</v>
      </c>
      <c r="G34" s="2" t="s">
        <v>17422</v>
      </c>
      <c r="H34" s="2" t="s">
        <v>17423</v>
      </c>
      <c r="I34" s="2" t="s">
        <v>17424</v>
      </c>
      <c r="J34" s="2" t="s">
        <v>17425</v>
      </c>
      <c r="K34" s="2" t="s">
        <v>29</v>
      </c>
      <c r="L34" s="2" t="s">
        <v>17426</v>
      </c>
      <c r="M34" s="2" t="s">
        <v>17427</v>
      </c>
      <c r="N34" s="2" t="s">
        <v>17428</v>
      </c>
      <c r="O34" s="2" t="s">
        <v>17429</v>
      </c>
      <c r="P34" s="2" t="s">
        <v>17430</v>
      </c>
      <c r="Q34" s="2" t="s">
        <v>17431</v>
      </c>
      <c r="R34" s="2" t="s">
        <v>213</v>
      </c>
      <c r="S34" s="2" t="s">
        <v>466</v>
      </c>
      <c r="T34" s="2" t="s">
        <v>215</v>
      </c>
      <c r="U34" s="2" t="s">
        <v>101</v>
      </c>
      <c r="V34" s="2" t="n">
        <v>1</v>
      </c>
    </row>
    <row r="35">
      <c r="A35" s="2" t="n">
        <v>34</v>
      </c>
      <c r="B35" s="2" t="s">
        <v>17432</v>
      </c>
      <c r="C35" s="2" t="n">
        <v>113.060294186</v>
      </c>
      <c r="D35" s="2" t="n">
        <v>4.1555227208818</v>
      </c>
      <c r="E35" s="2" t="s">
        <v>17433</v>
      </c>
      <c r="F35" s="2" t="s">
        <v>17039</v>
      </c>
      <c r="G35" s="2" t="s">
        <v>17434</v>
      </c>
      <c r="H35" s="2" t="s">
        <v>17435</v>
      </c>
      <c r="I35" s="2" t="s">
        <v>17436</v>
      </c>
      <c r="J35" s="2" t="s">
        <v>17437</v>
      </c>
      <c r="K35" s="2" t="s">
        <v>29</v>
      </c>
      <c r="L35" s="2" t="s">
        <v>17438</v>
      </c>
      <c r="M35" s="2" t="s">
        <v>17439</v>
      </c>
      <c r="N35" s="2" t="s">
        <v>6270</v>
      </c>
      <c r="O35" s="2" t="s">
        <v>17440</v>
      </c>
      <c r="P35" s="2" t="s">
        <v>17441</v>
      </c>
      <c r="Q35" s="2" t="s">
        <v>17442</v>
      </c>
      <c r="R35" s="2" t="s">
        <v>36</v>
      </c>
      <c r="S35" s="2" t="s">
        <v>271</v>
      </c>
      <c r="T35" s="2" t="s">
        <v>272</v>
      </c>
      <c r="U35" s="2" t="s">
        <v>39</v>
      </c>
      <c r="V35" s="2" t="n">
        <v>1</v>
      </c>
    </row>
    <row r="36">
      <c r="A36" s="2" t="n">
        <v>35</v>
      </c>
      <c r="B36" s="2" t="s">
        <v>17443</v>
      </c>
      <c r="C36" s="2" t="n">
        <v>114.091928665</v>
      </c>
      <c r="D36" s="2" t="n">
        <v>14.8100886791828</v>
      </c>
      <c r="E36" s="2" t="s">
        <v>17444</v>
      </c>
      <c r="F36" s="2" t="s">
        <v>17039</v>
      </c>
      <c r="G36" s="2" t="s">
        <v>17445</v>
      </c>
      <c r="H36" s="2" t="s">
        <v>17446</v>
      </c>
      <c r="I36" s="2" t="s">
        <v>17447</v>
      </c>
      <c r="J36" s="2" t="s">
        <v>17448</v>
      </c>
      <c r="K36" s="2" t="s">
        <v>17449</v>
      </c>
      <c r="L36" s="2" t="s">
        <v>17450</v>
      </c>
      <c r="M36" s="2" t="s">
        <v>17451</v>
      </c>
      <c r="N36" s="2" t="s">
        <v>17452</v>
      </c>
      <c r="O36" s="2" t="s">
        <v>17453</v>
      </c>
      <c r="P36" s="2" t="s">
        <v>17454</v>
      </c>
      <c r="Q36" s="2" t="s">
        <v>17455</v>
      </c>
      <c r="R36" s="2" t="s">
        <v>144</v>
      </c>
      <c r="S36" s="2" t="s">
        <v>145</v>
      </c>
      <c r="T36" s="2" t="s">
        <v>146</v>
      </c>
      <c r="U36" s="2" t="s">
        <v>39</v>
      </c>
      <c r="V36" s="2" t="n">
        <v>2</v>
      </c>
    </row>
    <row r="37">
      <c r="A37" s="2" t="n">
        <v>36</v>
      </c>
      <c r="B37" s="2" t="s">
        <v>17456</v>
      </c>
      <c r="C37" s="2" t="n">
        <v>115.086588952</v>
      </c>
      <c r="D37" s="2" t="n">
        <v>1.71703039969238</v>
      </c>
      <c r="E37" s="2" t="s">
        <v>17457</v>
      </c>
      <c r="F37" s="2" t="s">
        <v>17137</v>
      </c>
      <c r="G37" s="2" t="s">
        <v>17458</v>
      </c>
      <c r="H37" s="2" t="s">
        <v>17459</v>
      </c>
      <c r="I37" s="2" t="s">
        <v>17460</v>
      </c>
      <c r="J37" s="2" t="s">
        <v>17461</v>
      </c>
      <c r="K37" s="2" t="s">
        <v>91</v>
      </c>
      <c r="L37" s="2" t="s">
        <v>91</v>
      </c>
      <c r="M37" s="2" t="s">
        <v>17462</v>
      </c>
      <c r="N37" s="2" t="s">
        <v>17463</v>
      </c>
      <c r="O37" s="2" t="s">
        <v>17464</v>
      </c>
      <c r="P37" s="2" t="s">
        <v>17465</v>
      </c>
      <c r="Q37" s="2" t="s">
        <v>17466</v>
      </c>
      <c r="R37" s="2" t="s">
        <v>5099</v>
      </c>
      <c r="S37" s="2" t="s">
        <v>17467</v>
      </c>
      <c r="T37" s="2" t="s">
        <v>17468</v>
      </c>
      <c r="U37" s="2" t="s">
        <v>56</v>
      </c>
      <c r="V37" s="2" t="n">
        <v>2</v>
      </c>
    </row>
    <row r="38">
      <c r="A38" s="2" t="n">
        <v>37</v>
      </c>
      <c r="B38" s="2" t="s">
        <v>17469</v>
      </c>
      <c r="C38" s="2" t="n">
        <v>115.962906069</v>
      </c>
      <c r="D38" s="2" t="n">
        <v>17.5462881321395</v>
      </c>
      <c r="E38" s="2" t="s">
        <v>17470</v>
      </c>
      <c r="F38" s="2" t="s">
        <v>17039</v>
      </c>
      <c r="G38" s="2" t="s">
        <v>17471</v>
      </c>
      <c r="H38" s="2" t="s">
        <v>17472</v>
      </c>
      <c r="I38" s="2" t="s">
        <v>17473</v>
      </c>
      <c r="J38" s="2" t="s">
        <v>17474</v>
      </c>
      <c r="K38" s="2" t="s">
        <v>29</v>
      </c>
      <c r="L38" s="2" t="s">
        <v>17475</v>
      </c>
      <c r="M38" s="2" t="s">
        <v>29</v>
      </c>
      <c r="N38" s="2" t="s">
        <v>17476</v>
      </c>
      <c r="O38" s="2" t="s">
        <v>17477</v>
      </c>
      <c r="P38" s="2" t="s">
        <v>17478</v>
      </c>
      <c r="Q38" s="2" t="s">
        <v>17479</v>
      </c>
      <c r="R38" s="2" t="s">
        <v>114</v>
      </c>
      <c r="S38" s="2" t="s">
        <v>1050</v>
      </c>
      <c r="T38" s="2" t="s">
        <v>1051</v>
      </c>
      <c r="U38" s="2" t="s">
        <v>101</v>
      </c>
      <c r="V38" s="2" t="n">
        <v>1</v>
      </c>
    </row>
    <row r="39">
      <c r="A39" s="2" t="n">
        <v>38</v>
      </c>
      <c r="B39" s="2" t="s">
        <v>17480</v>
      </c>
      <c r="C39" s="2" t="n">
        <v>117.102239016</v>
      </c>
      <c r="D39" s="2" t="n">
        <v>11.1342719062869</v>
      </c>
      <c r="E39" s="2" t="s">
        <v>17481</v>
      </c>
      <c r="F39" s="2" t="s">
        <v>17137</v>
      </c>
      <c r="G39" s="2" t="s">
        <v>17482</v>
      </c>
      <c r="H39" s="2" t="s">
        <v>17483</v>
      </c>
      <c r="I39" s="2" t="s">
        <v>17484</v>
      </c>
      <c r="J39" s="2" t="s">
        <v>17485</v>
      </c>
      <c r="K39" s="2" t="s">
        <v>29</v>
      </c>
      <c r="L39" s="2" t="s">
        <v>17486</v>
      </c>
      <c r="M39" s="2" t="s">
        <v>17487</v>
      </c>
      <c r="N39" s="2" t="s">
        <v>17488</v>
      </c>
      <c r="O39" s="2" t="s">
        <v>17489</v>
      </c>
      <c r="P39" s="2" t="s">
        <v>17490</v>
      </c>
      <c r="Q39" s="2" t="s">
        <v>17491</v>
      </c>
      <c r="R39" s="2" t="s">
        <v>36</v>
      </c>
      <c r="S39" s="2" t="s">
        <v>37</v>
      </c>
      <c r="T39" s="2" t="s">
        <v>69</v>
      </c>
      <c r="U39" s="2" t="s">
        <v>101</v>
      </c>
      <c r="V39" s="2" t="n">
        <v>1</v>
      </c>
    </row>
    <row r="40">
      <c r="A40" s="2" t="n">
        <v>39</v>
      </c>
      <c r="B40" s="2" t="s">
        <v>17492</v>
      </c>
      <c r="C40" s="2" t="n">
        <v>118.086803633</v>
      </c>
      <c r="D40" s="2" t="n">
        <v>7.1666099694261</v>
      </c>
      <c r="E40" s="2" t="s">
        <v>17493</v>
      </c>
      <c r="F40" s="2" t="s">
        <v>17117</v>
      </c>
      <c r="G40" s="2" t="s">
        <v>17494</v>
      </c>
      <c r="H40" s="2" t="s">
        <v>17495</v>
      </c>
      <c r="I40" s="2" t="s">
        <v>17496</v>
      </c>
      <c r="J40" s="2" t="s">
        <v>17497</v>
      </c>
      <c r="K40" s="2" t="s">
        <v>29</v>
      </c>
      <c r="L40" s="2" t="s">
        <v>29</v>
      </c>
      <c r="M40" s="2" t="s">
        <v>17498</v>
      </c>
      <c r="N40" s="2" t="s">
        <v>17499</v>
      </c>
      <c r="O40" s="2" t="s">
        <v>17500</v>
      </c>
      <c r="P40" s="2" t="s">
        <v>17501</v>
      </c>
      <c r="Q40" s="2" t="s">
        <v>17502</v>
      </c>
      <c r="R40" s="2" t="s">
        <v>36</v>
      </c>
      <c r="S40" s="2" t="s">
        <v>37</v>
      </c>
      <c r="T40" s="2" t="s">
        <v>69</v>
      </c>
      <c r="U40" s="2" t="s">
        <v>56</v>
      </c>
      <c r="V40" s="2" t="n">
        <v>1</v>
      </c>
    </row>
    <row r="41">
      <c r="A41" s="2" t="n">
        <v>40</v>
      </c>
      <c r="B41" s="2" t="s">
        <v>17503</v>
      </c>
      <c r="C41" s="2" t="n">
        <v>120.081363979</v>
      </c>
      <c r="D41" s="2" t="n">
        <v>7.23539024184472</v>
      </c>
      <c r="E41" s="2" t="s">
        <v>17504</v>
      </c>
      <c r="F41" s="2" t="s">
        <v>17039</v>
      </c>
      <c r="G41" s="2" t="s">
        <v>17505</v>
      </c>
      <c r="H41" s="2" t="s">
        <v>17506</v>
      </c>
      <c r="I41" s="2" t="s">
        <v>17507</v>
      </c>
      <c r="J41" s="2" t="s">
        <v>17508</v>
      </c>
      <c r="K41" s="2" t="s">
        <v>195</v>
      </c>
      <c r="L41" s="2" t="s">
        <v>17509</v>
      </c>
      <c r="M41" s="2" t="s">
        <v>17510</v>
      </c>
      <c r="N41" s="2" t="s">
        <v>17511</v>
      </c>
      <c r="O41" s="2" t="s">
        <v>17512</v>
      </c>
      <c r="P41" s="2" t="s">
        <v>17513</v>
      </c>
      <c r="Q41" s="2" t="s">
        <v>17514</v>
      </c>
      <c r="R41" s="2" t="s">
        <v>17515</v>
      </c>
      <c r="S41" s="2" t="s">
        <v>17516</v>
      </c>
      <c r="T41" s="2" t="s">
        <v>17517</v>
      </c>
      <c r="U41" s="2" t="s">
        <v>56</v>
      </c>
      <c r="V41" s="2" t="n">
        <v>3</v>
      </c>
    </row>
    <row r="42">
      <c r="A42" s="2" t="n">
        <v>41</v>
      </c>
      <c r="B42" s="2" t="s">
        <v>17518</v>
      </c>
      <c r="C42" s="2" t="n">
        <v>120.969061197</v>
      </c>
      <c r="D42" s="2" t="n">
        <v>14.8508521855749</v>
      </c>
      <c r="E42" s="2" t="s">
        <v>17519</v>
      </c>
      <c r="F42" s="2" t="s">
        <v>17520</v>
      </c>
      <c r="G42" s="2" t="s">
        <v>17521</v>
      </c>
      <c r="H42" s="2" t="s">
        <v>17522</v>
      </c>
      <c r="I42" s="2" t="s">
        <v>17523</v>
      </c>
      <c r="J42" s="2" t="s">
        <v>17524</v>
      </c>
      <c r="K42" s="2" t="s">
        <v>29</v>
      </c>
      <c r="L42" s="2" t="s">
        <v>29</v>
      </c>
      <c r="M42" s="2" t="s">
        <v>29</v>
      </c>
      <c r="N42" s="2" t="s">
        <v>17525</v>
      </c>
      <c r="O42" s="2" t="s">
        <v>29</v>
      </c>
      <c r="P42" s="2" t="s">
        <v>17526</v>
      </c>
      <c r="Q42" s="2" t="s">
        <v>17527</v>
      </c>
      <c r="R42" s="2" t="s">
        <v>601</v>
      </c>
      <c r="S42" s="2" t="s">
        <v>602</v>
      </c>
      <c r="T42" s="2" t="s">
        <v>215</v>
      </c>
      <c r="U42" s="2" t="s">
        <v>29</v>
      </c>
      <c r="V42" s="2" t="n">
        <v>1</v>
      </c>
    </row>
    <row r="43">
      <c r="A43" s="2" t="n">
        <v>42</v>
      </c>
      <c r="B43" s="2" t="s">
        <v>17528</v>
      </c>
      <c r="C43" s="2" t="n">
        <v>121.028994053</v>
      </c>
      <c r="D43" s="2" t="n">
        <v>4.16631136735783</v>
      </c>
      <c r="E43" s="2" t="s">
        <v>17529</v>
      </c>
      <c r="F43" s="2" t="s">
        <v>17039</v>
      </c>
      <c r="G43" s="2" t="s">
        <v>17530</v>
      </c>
      <c r="H43" s="2" t="s">
        <v>17531</v>
      </c>
      <c r="I43" s="2" t="s">
        <v>17532</v>
      </c>
      <c r="J43" s="2" t="s">
        <v>17533</v>
      </c>
      <c r="K43" s="2" t="s">
        <v>91</v>
      </c>
      <c r="L43" s="2" t="s">
        <v>17534</v>
      </c>
      <c r="M43" s="2" t="s">
        <v>17535</v>
      </c>
      <c r="N43" s="2" t="s">
        <v>17536</v>
      </c>
      <c r="O43" s="2" t="s">
        <v>17537</v>
      </c>
      <c r="P43" s="2" t="s">
        <v>17538</v>
      </c>
      <c r="Q43" s="2" t="s">
        <v>17539</v>
      </c>
      <c r="R43" s="2" t="s">
        <v>770</v>
      </c>
      <c r="S43" s="2" t="s">
        <v>771</v>
      </c>
      <c r="T43" s="2" t="s">
        <v>17540</v>
      </c>
      <c r="U43" s="2" t="s">
        <v>56</v>
      </c>
      <c r="V43" s="2" t="n">
        <v>2</v>
      </c>
    </row>
    <row r="44">
      <c r="A44" s="2" t="n">
        <v>43</v>
      </c>
      <c r="B44" s="2" t="s">
        <v>17541</v>
      </c>
      <c r="C44" s="2" t="n">
        <v>121.10176507</v>
      </c>
      <c r="D44" s="2" t="n">
        <v>10.3230119626033</v>
      </c>
      <c r="E44" s="2" t="s">
        <v>17542</v>
      </c>
      <c r="F44" s="2" t="s">
        <v>17039</v>
      </c>
      <c r="G44" s="2" t="s">
        <v>17543</v>
      </c>
      <c r="H44" s="2" t="s">
        <v>17544</v>
      </c>
      <c r="I44" s="2" t="s">
        <v>17545</v>
      </c>
      <c r="J44" s="2" t="s">
        <v>17546</v>
      </c>
      <c r="K44" s="2" t="s">
        <v>17547</v>
      </c>
      <c r="L44" s="2" t="s">
        <v>17548</v>
      </c>
      <c r="M44" s="2" t="s">
        <v>17549</v>
      </c>
      <c r="N44" s="2" t="s">
        <v>17550</v>
      </c>
      <c r="O44" s="2" t="s">
        <v>17551</v>
      </c>
      <c r="P44" s="2" t="s">
        <v>17552</v>
      </c>
      <c r="Q44" s="2" t="s">
        <v>17553</v>
      </c>
      <c r="R44" s="2" t="s">
        <v>5788</v>
      </c>
      <c r="S44" s="2" t="s">
        <v>5789</v>
      </c>
      <c r="T44" s="2" t="s">
        <v>17089</v>
      </c>
      <c r="U44" s="2" t="s">
        <v>56</v>
      </c>
      <c r="V44" s="2" t="n">
        <v>3</v>
      </c>
    </row>
    <row r="45">
      <c r="A45" s="2" t="n">
        <v>44</v>
      </c>
      <c r="B45" s="2" t="s">
        <v>17554</v>
      </c>
      <c r="C45" s="2" t="n">
        <v>122.057631915</v>
      </c>
      <c r="D45" s="2" t="n">
        <v>1.12050085605416</v>
      </c>
      <c r="E45" s="2" t="s">
        <v>17555</v>
      </c>
      <c r="F45" s="2" t="s">
        <v>17198</v>
      </c>
      <c r="G45" s="2" t="s">
        <v>17556</v>
      </c>
      <c r="H45" s="2" t="s">
        <v>17557</v>
      </c>
      <c r="I45" s="2" t="s">
        <v>17558</v>
      </c>
      <c r="J45" s="2" t="s">
        <v>17559</v>
      </c>
      <c r="K45" s="2" t="s">
        <v>29</v>
      </c>
      <c r="L45" s="2" t="s">
        <v>29</v>
      </c>
      <c r="M45" s="2" t="s">
        <v>17560</v>
      </c>
      <c r="N45" s="2" t="s">
        <v>17561</v>
      </c>
      <c r="O45" s="2" t="s">
        <v>17562</v>
      </c>
      <c r="P45" s="2" t="s">
        <v>17563</v>
      </c>
      <c r="Q45" s="2" t="s">
        <v>17564</v>
      </c>
      <c r="R45" s="2" t="s">
        <v>114</v>
      </c>
      <c r="S45" s="2" t="s">
        <v>4121</v>
      </c>
      <c r="T45" s="2" t="s">
        <v>17565</v>
      </c>
      <c r="U45" s="2" t="s">
        <v>56</v>
      </c>
      <c r="V45" s="2" t="n">
        <v>1</v>
      </c>
    </row>
    <row r="46">
      <c r="A46" s="2" t="n">
        <v>45</v>
      </c>
      <c r="B46" s="2" t="s">
        <v>17566</v>
      </c>
      <c r="C46" s="2" t="n">
        <v>122.071861922</v>
      </c>
      <c r="D46" s="2" t="n">
        <v>0.682113699096126</v>
      </c>
      <c r="E46" s="2" t="s">
        <v>17567</v>
      </c>
      <c r="F46" s="2" t="s">
        <v>17039</v>
      </c>
      <c r="G46" s="2" t="s">
        <v>17568</v>
      </c>
      <c r="H46" s="2" t="s">
        <v>17569</v>
      </c>
      <c r="I46" s="2" t="s">
        <v>17570</v>
      </c>
      <c r="J46" s="2" t="s">
        <v>12820</v>
      </c>
      <c r="K46" s="2" t="s">
        <v>29</v>
      </c>
      <c r="L46" s="2" t="s">
        <v>17571</v>
      </c>
      <c r="M46" s="2" t="s">
        <v>17572</v>
      </c>
      <c r="N46" s="2" t="s">
        <v>17573</v>
      </c>
      <c r="O46" s="2" t="s">
        <v>17574</v>
      </c>
      <c r="P46" s="2" t="s">
        <v>17575</v>
      </c>
      <c r="Q46" s="2" t="s">
        <v>17576</v>
      </c>
      <c r="R46" s="2" t="s">
        <v>601</v>
      </c>
      <c r="S46" s="2" t="s">
        <v>602</v>
      </c>
      <c r="T46" s="2" t="s">
        <v>1800</v>
      </c>
      <c r="U46" s="2" t="s">
        <v>56</v>
      </c>
      <c r="V46" s="2" t="n">
        <v>1</v>
      </c>
    </row>
    <row r="47">
      <c r="A47" s="2" t="n">
        <v>46</v>
      </c>
      <c r="B47" s="2" t="s">
        <v>17577</v>
      </c>
      <c r="C47" s="2" t="n">
        <v>123.057058384</v>
      </c>
      <c r="D47" s="2" t="n">
        <v>0.743944782182871</v>
      </c>
      <c r="E47" s="2" t="s">
        <v>17578</v>
      </c>
      <c r="F47" s="2" t="s">
        <v>17406</v>
      </c>
      <c r="G47" s="2" t="s">
        <v>17579</v>
      </c>
      <c r="H47" s="2" t="s">
        <v>17580</v>
      </c>
      <c r="I47" s="2" t="s">
        <v>17581</v>
      </c>
      <c r="J47" s="2" t="s">
        <v>17582</v>
      </c>
      <c r="K47" s="2" t="s">
        <v>29</v>
      </c>
      <c r="L47" s="2" t="s">
        <v>17583</v>
      </c>
      <c r="M47" s="2" t="s">
        <v>17584</v>
      </c>
      <c r="N47" s="2" t="s">
        <v>17585</v>
      </c>
      <c r="O47" s="2" t="s">
        <v>17586</v>
      </c>
      <c r="P47" s="2" t="s">
        <v>17587</v>
      </c>
      <c r="Q47" s="2" t="s">
        <v>17588</v>
      </c>
      <c r="R47" s="2" t="s">
        <v>501</v>
      </c>
      <c r="S47" s="2" t="s">
        <v>17589</v>
      </c>
      <c r="T47" s="2" t="s">
        <v>17590</v>
      </c>
      <c r="U47" s="2" t="s">
        <v>56</v>
      </c>
      <c r="V47" s="2" t="n">
        <v>1</v>
      </c>
    </row>
    <row r="48">
      <c r="A48" s="2" t="n">
        <v>47</v>
      </c>
      <c r="B48" s="2" t="s">
        <v>17591</v>
      </c>
      <c r="C48" s="2" t="n">
        <v>123.117415134</v>
      </c>
      <c r="D48" s="2" t="n">
        <v>5.93911765500129</v>
      </c>
      <c r="E48" s="2" t="s">
        <v>17592</v>
      </c>
      <c r="F48" s="2" t="s">
        <v>17039</v>
      </c>
      <c r="G48" s="2" t="s">
        <v>17593</v>
      </c>
      <c r="H48" s="2" t="s">
        <v>17594</v>
      </c>
      <c r="I48" s="2" t="s">
        <v>17595</v>
      </c>
      <c r="J48" s="2" t="s">
        <v>17596</v>
      </c>
      <c r="K48" s="2" t="s">
        <v>17597</v>
      </c>
      <c r="L48" s="2" t="s">
        <v>195</v>
      </c>
      <c r="M48" s="2" t="s">
        <v>195</v>
      </c>
      <c r="N48" s="2" t="s">
        <v>17598</v>
      </c>
      <c r="O48" s="2" t="s">
        <v>17599</v>
      </c>
      <c r="P48" s="2" t="s">
        <v>17600</v>
      </c>
      <c r="Q48" s="2" t="s">
        <v>17601</v>
      </c>
      <c r="R48" s="2" t="s">
        <v>255</v>
      </c>
      <c r="S48" s="2" t="s">
        <v>256</v>
      </c>
      <c r="T48" s="2" t="s">
        <v>9248</v>
      </c>
      <c r="U48" s="2" t="s">
        <v>56</v>
      </c>
      <c r="V48" s="2" t="n">
        <v>3</v>
      </c>
    </row>
    <row r="49">
      <c r="A49" s="2" t="n">
        <v>48</v>
      </c>
      <c r="B49" s="2" t="s">
        <v>17602</v>
      </c>
      <c r="C49" s="2" t="n">
        <v>124.087511989</v>
      </c>
      <c r="D49" s="2" t="n">
        <v>2.27653024358844</v>
      </c>
      <c r="E49" s="2" t="s">
        <v>17603</v>
      </c>
      <c r="F49" s="2" t="s">
        <v>17039</v>
      </c>
      <c r="G49" s="2" t="s">
        <v>17604</v>
      </c>
      <c r="H49" s="2" t="s">
        <v>17605</v>
      </c>
      <c r="I49" s="2" t="s">
        <v>17606</v>
      </c>
      <c r="J49" s="2" t="s">
        <v>12647</v>
      </c>
      <c r="K49" s="2" t="s">
        <v>29</v>
      </c>
      <c r="L49" s="2" t="s">
        <v>17607</v>
      </c>
      <c r="M49" s="2" t="s">
        <v>17608</v>
      </c>
      <c r="N49" s="2" t="s">
        <v>17609</v>
      </c>
      <c r="O49" s="2" t="s">
        <v>17610</v>
      </c>
      <c r="P49" s="2" t="s">
        <v>17611</v>
      </c>
      <c r="Q49" s="2" t="s">
        <v>17612</v>
      </c>
      <c r="R49" s="2" t="s">
        <v>601</v>
      </c>
      <c r="S49" s="2" t="s">
        <v>602</v>
      </c>
      <c r="T49" s="2" t="s">
        <v>1800</v>
      </c>
      <c r="U49" s="2" t="s">
        <v>56</v>
      </c>
      <c r="V49" s="2" t="n">
        <v>1</v>
      </c>
    </row>
    <row r="50">
      <c r="A50" s="2" t="n">
        <v>49</v>
      </c>
      <c r="B50" s="2" t="s">
        <v>17613</v>
      </c>
      <c r="C50" s="2" t="n">
        <v>125.096679692</v>
      </c>
      <c r="D50" s="2" t="n">
        <v>0.236448858161812</v>
      </c>
      <c r="E50" s="2" t="s">
        <v>17614</v>
      </c>
      <c r="F50" s="2" t="s">
        <v>17039</v>
      </c>
      <c r="G50" s="2" t="s">
        <v>17615</v>
      </c>
      <c r="H50" s="2" t="s">
        <v>17616</v>
      </c>
      <c r="I50" s="2" t="s">
        <v>17617</v>
      </c>
      <c r="J50" s="2" t="s">
        <v>17618</v>
      </c>
      <c r="K50" s="2" t="s">
        <v>17619</v>
      </c>
      <c r="L50" s="2" t="s">
        <v>17620</v>
      </c>
      <c r="M50" s="2" t="s">
        <v>17621</v>
      </c>
      <c r="N50" s="2" t="s">
        <v>17622</v>
      </c>
      <c r="O50" s="2" t="s">
        <v>17623</v>
      </c>
      <c r="P50" s="2" t="s">
        <v>17624</v>
      </c>
      <c r="Q50" s="2" t="s">
        <v>17625</v>
      </c>
      <c r="R50" s="2" t="s">
        <v>255</v>
      </c>
      <c r="S50" s="2" t="s">
        <v>256</v>
      </c>
      <c r="T50" s="2" t="s">
        <v>257</v>
      </c>
      <c r="U50" s="2" t="s">
        <v>56</v>
      </c>
      <c r="V50" s="2" t="n">
        <v>3</v>
      </c>
    </row>
    <row r="51">
      <c r="A51" s="2" t="n">
        <v>50</v>
      </c>
      <c r="B51" s="2" t="s">
        <v>17626</v>
      </c>
      <c r="C51" s="2" t="n">
        <v>126.021939785</v>
      </c>
      <c r="D51" s="2" t="n">
        <v>10.5129904775514</v>
      </c>
      <c r="E51" s="2" t="s">
        <v>17627</v>
      </c>
      <c r="F51" s="2" t="s">
        <v>17137</v>
      </c>
      <c r="G51" s="2" t="s">
        <v>17628</v>
      </c>
      <c r="H51" s="2" t="s">
        <v>17629</v>
      </c>
      <c r="I51" s="2" t="s">
        <v>17630</v>
      </c>
      <c r="J51" s="2" t="s">
        <v>17631</v>
      </c>
      <c r="K51" s="2" t="s">
        <v>29</v>
      </c>
      <c r="L51" s="2" t="s">
        <v>17632</v>
      </c>
      <c r="M51" s="2" t="s">
        <v>17633</v>
      </c>
      <c r="N51" s="2" t="s">
        <v>17634</v>
      </c>
      <c r="O51" s="2" t="s">
        <v>17635</v>
      </c>
      <c r="P51" s="2" t="s">
        <v>17636</v>
      </c>
      <c r="Q51" s="2" t="s">
        <v>17637</v>
      </c>
      <c r="R51" s="2" t="s">
        <v>36</v>
      </c>
      <c r="S51" s="2" t="s">
        <v>344</v>
      </c>
      <c r="T51" s="2" t="s">
        <v>345</v>
      </c>
      <c r="U51" s="2" t="s">
        <v>39</v>
      </c>
      <c r="V51" s="2" t="n">
        <v>1</v>
      </c>
    </row>
    <row r="52">
      <c r="A52" s="2" t="n">
        <v>51</v>
      </c>
      <c r="B52" s="2" t="s">
        <v>17638</v>
      </c>
      <c r="C52" s="2" t="n">
        <v>127.011410004</v>
      </c>
      <c r="D52" s="2" t="n">
        <v>9.11058710307392</v>
      </c>
      <c r="E52" s="2" t="s">
        <v>17639</v>
      </c>
      <c r="F52" s="2" t="s">
        <v>17198</v>
      </c>
      <c r="G52" s="2" t="s">
        <v>17640</v>
      </c>
      <c r="H52" s="2" t="s">
        <v>17641</v>
      </c>
      <c r="I52" s="2" t="s">
        <v>17642</v>
      </c>
      <c r="J52" s="2" t="s">
        <v>17643</v>
      </c>
      <c r="K52" s="2" t="s">
        <v>29</v>
      </c>
      <c r="L52" s="2" t="s">
        <v>17644</v>
      </c>
      <c r="M52" s="2" t="s">
        <v>17645</v>
      </c>
      <c r="N52" s="2" t="s">
        <v>17646</v>
      </c>
      <c r="O52" s="2" t="s">
        <v>29</v>
      </c>
      <c r="P52" s="2" t="s">
        <v>17647</v>
      </c>
      <c r="Q52" s="2" t="s">
        <v>17648</v>
      </c>
      <c r="R52" s="2" t="s">
        <v>36</v>
      </c>
      <c r="S52" s="2" t="s">
        <v>282</v>
      </c>
      <c r="T52" s="2" t="s">
        <v>283</v>
      </c>
      <c r="U52" s="2" t="s">
        <v>101</v>
      </c>
      <c r="V52" s="2" t="n">
        <v>1</v>
      </c>
    </row>
    <row r="53">
      <c r="A53" s="2" t="n">
        <v>52</v>
      </c>
      <c r="B53" s="2" t="s">
        <v>17649</v>
      </c>
      <c r="C53" s="2" t="n">
        <v>127.112329756</v>
      </c>
      <c r="D53" s="2" t="n">
        <v>4.62484549718668</v>
      </c>
      <c r="E53" s="2" t="s">
        <v>17650</v>
      </c>
      <c r="F53" s="2" t="s">
        <v>17039</v>
      </c>
      <c r="G53" s="2" t="s">
        <v>17651</v>
      </c>
      <c r="H53" s="2" t="s">
        <v>17652</v>
      </c>
      <c r="I53" s="2" t="s">
        <v>17653</v>
      </c>
      <c r="J53" s="2" t="s">
        <v>17654</v>
      </c>
      <c r="K53" s="2" t="s">
        <v>17655</v>
      </c>
      <c r="L53" s="2" t="s">
        <v>17656</v>
      </c>
      <c r="M53" s="2" t="s">
        <v>17657</v>
      </c>
      <c r="N53" s="2" t="s">
        <v>17658</v>
      </c>
      <c r="O53" s="2" t="s">
        <v>17659</v>
      </c>
      <c r="P53" s="2" t="s">
        <v>17660</v>
      </c>
      <c r="Q53" s="2" t="s">
        <v>17661</v>
      </c>
      <c r="R53" s="2" t="s">
        <v>794</v>
      </c>
      <c r="S53" s="2" t="s">
        <v>795</v>
      </c>
      <c r="T53" s="2" t="s">
        <v>796</v>
      </c>
      <c r="U53" s="2" t="s">
        <v>56</v>
      </c>
      <c r="V53" s="2" t="n">
        <v>1</v>
      </c>
    </row>
    <row r="54">
      <c r="A54" s="2" t="n">
        <v>53</v>
      </c>
      <c r="B54" s="2" t="s">
        <v>17662</v>
      </c>
      <c r="C54" s="2" t="n">
        <v>128.107578729</v>
      </c>
      <c r="D54" s="2" t="n">
        <v>11.7494954177204</v>
      </c>
      <c r="E54" s="2" t="s">
        <v>17663</v>
      </c>
      <c r="F54" s="2" t="s">
        <v>17039</v>
      </c>
      <c r="G54" s="2" t="s">
        <v>17664</v>
      </c>
      <c r="H54" s="2" t="s">
        <v>17665</v>
      </c>
      <c r="I54" s="2" t="s">
        <v>17666</v>
      </c>
      <c r="J54" s="2" t="s">
        <v>29</v>
      </c>
      <c r="K54" s="2" t="s">
        <v>29</v>
      </c>
      <c r="L54" s="2" t="s">
        <v>17667</v>
      </c>
      <c r="M54" s="2" t="s">
        <v>17668</v>
      </c>
      <c r="N54" s="2" t="s">
        <v>17669</v>
      </c>
      <c r="O54" s="2" t="s">
        <v>17670</v>
      </c>
      <c r="P54" s="2" t="s">
        <v>17671</v>
      </c>
      <c r="Q54" s="2" t="s">
        <v>17672</v>
      </c>
      <c r="R54" s="2" t="s">
        <v>794</v>
      </c>
      <c r="S54" s="2" t="s">
        <v>795</v>
      </c>
      <c r="T54" s="2" t="s">
        <v>796</v>
      </c>
      <c r="U54" s="2" t="s">
        <v>56</v>
      </c>
      <c r="V54" s="2" t="n">
        <v>1</v>
      </c>
    </row>
    <row r="55">
      <c r="A55" s="2" t="n">
        <v>54</v>
      </c>
      <c r="B55" s="2" t="s">
        <v>17673</v>
      </c>
      <c r="C55" s="2" t="n">
        <v>128.118812115</v>
      </c>
      <c r="D55" s="2" t="n">
        <v>2.41900423887958</v>
      </c>
      <c r="E55" s="2" t="s">
        <v>17674</v>
      </c>
      <c r="F55" s="2" t="s">
        <v>17039</v>
      </c>
      <c r="G55" s="2" t="s">
        <v>17675</v>
      </c>
      <c r="H55" s="2" t="s">
        <v>17676</v>
      </c>
      <c r="I55" s="2" t="s">
        <v>17677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17678</v>
      </c>
      <c r="O55" s="2" t="s">
        <v>29</v>
      </c>
      <c r="P55" s="2" t="s">
        <v>17679</v>
      </c>
      <c r="Q55" s="2" t="s">
        <v>17680</v>
      </c>
      <c r="R55" s="2" t="s">
        <v>36</v>
      </c>
      <c r="S55" s="2" t="s">
        <v>37</v>
      </c>
      <c r="T55" s="2" t="s">
        <v>69</v>
      </c>
      <c r="U55" s="2" t="s">
        <v>29</v>
      </c>
      <c r="V55" s="2" t="n">
        <v>1</v>
      </c>
    </row>
    <row r="56">
      <c r="A56" s="2" t="n">
        <v>55</v>
      </c>
      <c r="B56" s="2" t="s">
        <v>17681</v>
      </c>
      <c r="C56" s="2" t="n">
        <v>128.988327375</v>
      </c>
      <c r="D56" s="2" t="n">
        <v>2.14372659037468</v>
      </c>
      <c r="E56" s="2" t="s">
        <v>17682</v>
      </c>
      <c r="F56" s="2" t="s">
        <v>17406</v>
      </c>
      <c r="G56" s="2" t="s">
        <v>17683</v>
      </c>
      <c r="H56" s="2" t="s">
        <v>17684</v>
      </c>
      <c r="I56" s="2" t="s">
        <v>17685</v>
      </c>
      <c r="J56" s="2" t="s">
        <v>17686</v>
      </c>
      <c r="K56" s="2" t="s">
        <v>91</v>
      </c>
      <c r="L56" s="2" t="s">
        <v>91</v>
      </c>
      <c r="M56" s="2" t="s">
        <v>91</v>
      </c>
      <c r="N56" s="2" t="s">
        <v>17687</v>
      </c>
      <c r="O56" s="2" t="s">
        <v>17688</v>
      </c>
      <c r="P56" s="2" t="s">
        <v>17689</v>
      </c>
      <c r="Q56" s="2" t="s">
        <v>17690</v>
      </c>
      <c r="R56" s="2" t="s">
        <v>715</v>
      </c>
      <c r="S56" s="2" t="s">
        <v>17691</v>
      </c>
      <c r="T56" s="2" t="s">
        <v>543</v>
      </c>
      <c r="U56" s="2" t="s">
        <v>29</v>
      </c>
      <c r="V56" s="2" t="n">
        <v>2</v>
      </c>
    </row>
    <row r="57">
      <c r="A57" s="2" t="n">
        <v>56</v>
      </c>
      <c r="B57" s="2" t="s">
        <v>17692</v>
      </c>
      <c r="C57" s="2" t="n">
        <v>129.102827702</v>
      </c>
      <c r="D57" s="2" t="n">
        <v>0.971146813365073</v>
      </c>
      <c r="E57" s="2" t="s">
        <v>17693</v>
      </c>
      <c r="F57" s="2" t="s">
        <v>17039</v>
      </c>
      <c r="G57" s="2" t="s">
        <v>17694</v>
      </c>
      <c r="H57" s="2" t="s">
        <v>17695</v>
      </c>
      <c r="I57" s="2" t="s">
        <v>17696</v>
      </c>
      <c r="J57" s="2" t="s">
        <v>17697</v>
      </c>
      <c r="K57" s="2" t="s">
        <v>29</v>
      </c>
      <c r="L57" s="2" t="s">
        <v>17698</v>
      </c>
      <c r="M57" s="2" t="s">
        <v>17699</v>
      </c>
      <c r="N57" s="2" t="s">
        <v>17700</v>
      </c>
      <c r="O57" s="2" t="s">
        <v>17701</v>
      </c>
      <c r="P57" s="2" t="s">
        <v>17702</v>
      </c>
      <c r="Q57" s="2" t="s">
        <v>17703</v>
      </c>
      <c r="R57" s="2" t="s">
        <v>36</v>
      </c>
      <c r="S57" s="2" t="s">
        <v>37</v>
      </c>
      <c r="T57" s="2" t="s">
        <v>69</v>
      </c>
      <c r="U57" s="2" t="s">
        <v>39</v>
      </c>
      <c r="V57" s="2" t="n">
        <v>1</v>
      </c>
    </row>
    <row r="58">
      <c r="A58" s="2" t="n">
        <v>57</v>
      </c>
      <c r="B58" s="2" t="s">
        <v>17704</v>
      </c>
      <c r="C58" s="2" t="n">
        <v>130.065713915</v>
      </c>
      <c r="D58" s="2" t="n">
        <v>8.09460389181647</v>
      </c>
      <c r="E58" s="2" t="s">
        <v>17705</v>
      </c>
      <c r="F58" s="2" t="s">
        <v>17039</v>
      </c>
      <c r="G58" s="2" t="s">
        <v>17706</v>
      </c>
      <c r="H58" s="2" t="s">
        <v>17707</v>
      </c>
      <c r="I58" s="2" t="s">
        <v>17708</v>
      </c>
      <c r="J58" s="2" t="s">
        <v>17709</v>
      </c>
      <c r="K58" s="2" t="s">
        <v>29</v>
      </c>
      <c r="L58" s="2" t="s">
        <v>29</v>
      </c>
      <c r="M58" s="2" t="s">
        <v>29</v>
      </c>
      <c r="N58" s="2" t="s">
        <v>17710</v>
      </c>
      <c r="O58" s="2" t="s">
        <v>17711</v>
      </c>
      <c r="P58" s="2" t="s">
        <v>17712</v>
      </c>
      <c r="Q58" s="2" t="s">
        <v>17713</v>
      </c>
      <c r="R58" s="2" t="s">
        <v>114</v>
      </c>
      <c r="S58" s="2" t="s">
        <v>397</v>
      </c>
      <c r="T58" s="2" t="s">
        <v>6158</v>
      </c>
      <c r="U58" s="2" t="s">
        <v>56</v>
      </c>
      <c r="V58" s="2" t="n">
        <v>1</v>
      </c>
    </row>
    <row r="59">
      <c r="A59" s="2" t="n">
        <v>58</v>
      </c>
      <c r="B59" s="2" t="s">
        <v>17714</v>
      </c>
      <c r="C59" s="2" t="n">
        <v>130.159025613</v>
      </c>
      <c r="D59" s="2" t="n">
        <v>11.7213353998919</v>
      </c>
      <c r="E59" s="2" t="s">
        <v>17715</v>
      </c>
      <c r="F59" s="2" t="s">
        <v>17137</v>
      </c>
      <c r="G59" s="2" t="s">
        <v>17716</v>
      </c>
      <c r="H59" s="2" t="s">
        <v>17717</v>
      </c>
      <c r="I59" s="2" t="s">
        <v>17718</v>
      </c>
      <c r="J59" s="2" t="s">
        <v>17719</v>
      </c>
      <c r="K59" s="2" t="s">
        <v>29</v>
      </c>
      <c r="L59" s="2" t="s">
        <v>17720</v>
      </c>
      <c r="M59" s="2" t="s">
        <v>17721</v>
      </c>
      <c r="N59" s="2" t="s">
        <v>17722</v>
      </c>
      <c r="O59" s="2" t="s">
        <v>17723</v>
      </c>
      <c r="P59" s="2" t="s">
        <v>17724</v>
      </c>
      <c r="Q59" s="2" t="s">
        <v>17725</v>
      </c>
      <c r="R59" s="2" t="s">
        <v>601</v>
      </c>
      <c r="S59" s="2" t="s">
        <v>602</v>
      </c>
      <c r="T59" s="2" t="s">
        <v>1800</v>
      </c>
      <c r="U59" s="2" t="s">
        <v>101</v>
      </c>
      <c r="V59" s="2" t="n">
        <v>1</v>
      </c>
    </row>
    <row r="60">
      <c r="A60" s="2" t="n">
        <v>59</v>
      </c>
      <c r="B60" s="2" t="s">
        <v>17726</v>
      </c>
      <c r="C60" s="2" t="n">
        <v>131.002436</v>
      </c>
      <c r="D60" s="2" t="n">
        <v>4.80153483157554</v>
      </c>
      <c r="E60" s="2" t="s">
        <v>17727</v>
      </c>
      <c r="F60" s="2" t="s">
        <v>17406</v>
      </c>
      <c r="G60" s="2" t="s">
        <v>17728</v>
      </c>
      <c r="H60" s="2" t="s">
        <v>17729</v>
      </c>
      <c r="I60" s="2" t="s">
        <v>17730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17731</v>
      </c>
      <c r="O60" s="2" t="s">
        <v>29</v>
      </c>
      <c r="P60" s="2" t="s">
        <v>17732</v>
      </c>
      <c r="Q60" s="2" t="s">
        <v>17733</v>
      </c>
      <c r="R60" s="2" t="s">
        <v>213</v>
      </c>
      <c r="S60" s="2" t="s">
        <v>466</v>
      </c>
      <c r="T60" s="2" t="s">
        <v>215</v>
      </c>
      <c r="U60" s="2" t="s">
        <v>29</v>
      </c>
      <c r="V60" s="2" t="n">
        <v>1</v>
      </c>
    </row>
    <row r="61">
      <c r="A61" s="2" t="n">
        <v>60</v>
      </c>
      <c r="B61" s="2" t="s">
        <v>17734</v>
      </c>
      <c r="C61" s="2" t="n">
        <v>131.107244375</v>
      </c>
      <c r="D61" s="2" t="n">
        <v>8.82411843774733</v>
      </c>
      <c r="E61" s="2" t="s">
        <v>17735</v>
      </c>
      <c r="F61" s="2" t="s">
        <v>17039</v>
      </c>
      <c r="G61" s="2" t="s">
        <v>17736</v>
      </c>
      <c r="H61" s="2" t="s">
        <v>17737</v>
      </c>
      <c r="I61" s="2" t="s">
        <v>17738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  <c r="P61" s="2" t="s">
        <v>17739</v>
      </c>
      <c r="Q61" s="2" t="s">
        <v>17740</v>
      </c>
      <c r="R61" s="2" t="s">
        <v>129</v>
      </c>
      <c r="S61" s="2" t="s">
        <v>130</v>
      </c>
      <c r="T61" s="2" t="s">
        <v>17741</v>
      </c>
      <c r="U61" s="2" t="s">
        <v>29</v>
      </c>
      <c r="V61" s="2" t="n">
        <v>1</v>
      </c>
    </row>
    <row r="62">
      <c r="A62" s="2" t="n">
        <v>61</v>
      </c>
      <c r="B62" s="2" t="s">
        <v>17742</v>
      </c>
      <c r="C62" s="2" t="n">
        <v>131.11788908</v>
      </c>
      <c r="D62" s="2" t="n">
        <v>8.51485304219203</v>
      </c>
      <c r="E62" s="2" t="s">
        <v>17743</v>
      </c>
      <c r="F62" s="2" t="s">
        <v>17137</v>
      </c>
      <c r="G62" s="2" t="s">
        <v>17744</v>
      </c>
      <c r="H62" s="2" t="s">
        <v>17745</v>
      </c>
      <c r="I62" s="2" t="s">
        <v>17746</v>
      </c>
      <c r="J62" s="2" t="s">
        <v>17747</v>
      </c>
      <c r="K62" s="2" t="s">
        <v>29</v>
      </c>
      <c r="L62" s="2" t="s">
        <v>17748</v>
      </c>
      <c r="M62" s="2" t="s">
        <v>17749</v>
      </c>
      <c r="N62" s="2" t="s">
        <v>17750</v>
      </c>
      <c r="O62" s="2" t="s">
        <v>17751</v>
      </c>
      <c r="P62" s="2" t="s">
        <v>17752</v>
      </c>
      <c r="Q62" s="2" t="s">
        <v>17753</v>
      </c>
      <c r="R62" s="2" t="s">
        <v>36</v>
      </c>
      <c r="S62" s="2" t="s">
        <v>568</v>
      </c>
      <c r="T62" s="2" t="s">
        <v>11915</v>
      </c>
      <c r="U62" s="2" t="s">
        <v>56</v>
      </c>
      <c r="V62" s="2" t="n">
        <v>1</v>
      </c>
    </row>
    <row r="63">
      <c r="A63" s="2" t="n">
        <v>62</v>
      </c>
      <c r="B63" s="2" t="s">
        <v>17754</v>
      </c>
      <c r="C63" s="2" t="n">
        <v>132.102453697</v>
      </c>
      <c r="D63" s="2" t="n">
        <v>10.8146834755435</v>
      </c>
      <c r="E63" s="2" t="s">
        <v>17755</v>
      </c>
      <c r="F63" s="2" t="s">
        <v>17117</v>
      </c>
      <c r="G63" s="2" t="s">
        <v>17756</v>
      </c>
      <c r="H63" s="2" t="s">
        <v>17757</v>
      </c>
      <c r="I63" s="2" t="s">
        <v>17758</v>
      </c>
      <c r="J63" s="2" t="s">
        <v>29</v>
      </c>
      <c r="K63" s="2" t="s">
        <v>29</v>
      </c>
      <c r="L63" s="2" t="s">
        <v>29</v>
      </c>
      <c r="M63" s="2" t="s">
        <v>17759</v>
      </c>
      <c r="N63" s="2" t="s">
        <v>29</v>
      </c>
      <c r="O63" s="2" t="s">
        <v>17760</v>
      </c>
      <c r="P63" s="2" t="s">
        <v>17761</v>
      </c>
      <c r="Q63" s="2" t="s">
        <v>17762</v>
      </c>
      <c r="R63" s="2" t="s">
        <v>12052</v>
      </c>
      <c r="S63" s="2" t="s">
        <v>12053</v>
      </c>
      <c r="T63" s="2" t="s">
        <v>12061</v>
      </c>
      <c r="U63" s="2" t="s">
        <v>56</v>
      </c>
      <c r="V63" s="2" t="n">
        <v>1</v>
      </c>
    </row>
    <row r="64">
      <c r="A64" s="2" t="n">
        <v>63</v>
      </c>
      <c r="B64" s="2" t="s">
        <v>17763</v>
      </c>
      <c r="C64" s="2" t="n">
        <v>133.08592025</v>
      </c>
      <c r="D64" s="2" t="n">
        <v>1.81628766864559</v>
      </c>
      <c r="E64" s="2" t="s">
        <v>17764</v>
      </c>
      <c r="F64" s="2" t="s">
        <v>17137</v>
      </c>
      <c r="G64" s="2" t="s">
        <v>17765</v>
      </c>
      <c r="H64" s="2" t="s">
        <v>17766</v>
      </c>
      <c r="I64" s="2" t="s">
        <v>17767</v>
      </c>
      <c r="J64" s="2" t="s">
        <v>17768</v>
      </c>
      <c r="K64" s="2" t="s">
        <v>17769</v>
      </c>
      <c r="L64" s="2" t="s">
        <v>29</v>
      </c>
      <c r="M64" s="2" t="s">
        <v>17770</v>
      </c>
      <c r="N64" s="2" t="s">
        <v>17771</v>
      </c>
      <c r="O64" s="2" t="s">
        <v>17772</v>
      </c>
      <c r="P64" s="2" t="s">
        <v>17773</v>
      </c>
      <c r="Q64" s="2" t="s">
        <v>17774</v>
      </c>
      <c r="R64" s="2" t="s">
        <v>794</v>
      </c>
      <c r="S64" s="2" t="s">
        <v>795</v>
      </c>
      <c r="T64" s="2" t="s">
        <v>796</v>
      </c>
      <c r="U64" s="2" t="s">
        <v>39</v>
      </c>
      <c r="V64" s="2" t="n">
        <v>1</v>
      </c>
    </row>
    <row r="65">
      <c r="A65" s="2" t="n">
        <v>64</v>
      </c>
      <c r="B65" s="2" t="s">
        <v>17775</v>
      </c>
      <c r="C65" s="2" t="n">
        <v>136.062359871</v>
      </c>
      <c r="D65" s="2" t="n">
        <v>5.92307997707611</v>
      </c>
      <c r="E65" s="2" t="s">
        <v>17776</v>
      </c>
      <c r="F65" s="2" t="s">
        <v>17039</v>
      </c>
      <c r="G65" s="2" t="s">
        <v>17777</v>
      </c>
      <c r="H65" s="2" t="s">
        <v>17778</v>
      </c>
      <c r="I65" s="2" t="s">
        <v>17779</v>
      </c>
      <c r="J65" s="2" t="s">
        <v>17780</v>
      </c>
      <c r="K65" s="2" t="s">
        <v>29</v>
      </c>
      <c r="L65" s="2" t="s">
        <v>17781</v>
      </c>
      <c r="M65" s="2" t="s">
        <v>17782</v>
      </c>
      <c r="N65" s="2" t="s">
        <v>17783</v>
      </c>
      <c r="O65" s="2" t="s">
        <v>17784</v>
      </c>
      <c r="P65" s="2" t="s">
        <v>17785</v>
      </c>
      <c r="Q65" s="2" t="s">
        <v>17786</v>
      </c>
      <c r="R65" s="2" t="s">
        <v>114</v>
      </c>
      <c r="S65" s="2" t="s">
        <v>369</v>
      </c>
      <c r="T65" s="2" t="s">
        <v>370</v>
      </c>
      <c r="U65" s="2" t="s">
        <v>56</v>
      </c>
      <c r="V65" s="2" t="n">
        <v>1</v>
      </c>
    </row>
    <row r="66">
      <c r="A66" s="2" t="n">
        <v>65</v>
      </c>
      <c r="B66" s="2" t="s">
        <v>17787</v>
      </c>
      <c r="C66" s="2" t="n">
        <v>136.076278601</v>
      </c>
      <c r="D66" s="2" t="n">
        <v>0.243285088787206</v>
      </c>
      <c r="E66" s="2" t="s">
        <v>17788</v>
      </c>
      <c r="F66" s="2" t="s">
        <v>17039</v>
      </c>
      <c r="G66" s="2" t="s">
        <v>17789</v>
      </c>
      <c r="H66" s="2" t="s">
        <v>17790</v>
      </c>
      <c r="I66" s="2" t="s">
        <v>17791</v>
      </c>
      <c r="J66" s="2" t="s">
        <v>17792</v>
      </c>
      <c r="K66" s="2" t="s">
        <v>195</v>
      </c>
      <c r="L66" s="2" t="s">
        <v>17793</v>
      </c>
      <c r="M66" s="2" t="s">
        <v>17794</v>
      </c>
      <c r="N66" s="2" t="s">
        <v>17795</v>
      </c>
      <c r="O66" s="2" t="s">
        <v>17796</v>
      </c>
      <c r="P66" s="2" t="s">
        <v>17797</v>
      </c>
      <c r="Q66" s="2" t="s">
        <v>17798</v>
      </c>
      <c r="R66" s="2" t="s">
        <v>2520</v>
      </c>
      <c r="S66" s="2" t="s">
        <v>8445</v>
      </c>
      <c r="T66" s="2" t="s">
        <v>17799</v>
      </c>
      <c r="U66" s="2" t="s">
        <v>56</v>
      </c>
      <c r="V66" s="2" t="n">
        <v>3</v>
      </c>
    </row>
    <row r="67">
      <c r="A67" s="2" t="n">
        <v>66</v>
      </c>
      <c r="B67" s="2" t="s">
        <v>17800</v>
      </c>
      <c r="C67" s="2" t="n">
        <v>136.112664107</v>
      </c>
      <c r="D67" s="2" t="n">
        <v>15.0976579159143</v>
      </c>
      <c r="E67" s="2" t="s">
        <v>17801</v>
      </c>
      <c r="F67" s="2" t="s">
        <v>17039</v>
      </c>
      <c r="G67" s="2" t="s">
        <v>17802</v>
      </c>
      <c r="H67" s="2" t="s">
        <v>17803</v>
      </c>
      <c r="I67" s="2" t="s">
        <v>17804</v>
      </c>
      <c r="J67" s="2" t="s">
        <v>17805</v>
      </c>
      <c r="K67" s="2" t="s">
        <v>29</v>
      </c>
      <c r="L67" s="2" t="s">
        <v>17806</v>
      </c>
      <c r="M67" s="2" t="s">
        <v>29</v>
      </c>
      <c r="N67" s="2" t="s">
        <v>17807</v>
      </c>
      <c r="O67" s="2" t="s">
        <v>17808</v>
      </c>
      <c r="P67" s="2" t="s">
        <v>17809</v>
      </c>
      <c r="Q67" s="2" t="s">
        <v>17810</v>
      </c>
      <c r="R67" s="2" t="s">
        <v>114</v>
      </c>
      <c r="S67" s="2" t="s">
        <v>4121</v>
      </c>
      <c r="T67" s="2" t="s">
        <v>17565</v>
      </c>
      <c r="U67" s="2" t="s">
        <v>56</v>
      </c>
      <c r="V67" s="2" t="n">
        <v>1</v>
      </c>
    </row>
    <row r="68">
      <c r="A68" s="2" t="n">
        <v>67</v>
      </c>
      <c r="B68" s="2" t="s">
        <v>17811</v>
      </c>
      <c r="C68" s="2" t="n">
        <v>137.04755633</v>
      </c>
      <c r="D68" s="2" t="n">
        <v>4.53459205760808</v>
      </c>
      <c r="E68" s="2" t="s">
        <v>17812</v>
      </c>
      <c r="F68" s="2" t="s">
        <v>17406</v>
      </c>
      <c r="G68" s="2" t="s">
        <v>17813</v>
      </c>
      <c r="H68" s="2" t="s">
        <v>17814</v>
      </c>
      <c r="I68" s="2" t="s">
        <v>17815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17816</v>
      </c>
      <c r="O68" s="2" t="s">
        <v>29</v>
      </c>
      <c r="P68" s="2" t="s">
        <v>17817</v>
      </c>
      <c r="Q68" s="2" t="s">
        <v>17818</v>
      </c>
      <c r="R68" s="2" t="s">
        <v>114</v>
      </c>
      <c r="S68" s="2" t="s">
        <v>17819</v>
      </c>
      <c r="T68" s="2" t="s">
        <v>215</v>
      </c>
      <c r="U68" s="2" t="s">
        <v>56</v>
      </c>
      <c r="V68" s="2" t="n">
        <v>1</v>
      </c>
    </row>
    <row r="69">
      <c r="A69" s="2" t="n">
        <v>68</v>
      </c>
      <c r="B69" s="2" t="s">
        <v>17820</v>
      </c>
      <c r="C69" s="2" t="n">
        <v>137.07148792</v>
      </c>
      <c r="D69" s="2" t="n">
        <v>1.23363529239423</v>
      </c>
      <c r="E69" s="2" t="s">
        <v>17821</v>
      </c>
      <c r="F69" s="2" t="s">
        <v>17117</v>
      </c>
      <c r="G69" s="2" t="s">
        <v>17822</v>
      </c>
      <c r="H69" s="2" t="s">
        <v>17823</v>
      </c>
      <c r="I69" s="2" t="s">
        <v>17824</v>
      </c>
      <c r="J69" s="2" t="s">
        <v>17825</v>
      </c>
      <c r="K69" s="2" t="s">
        <v>29</v>
      </c>
      <c r="L69" s="2" t="s">
        <v>17826</v>
      </c>
      <c r="M69" s="2" t="s">
        <v>17827</v>
      </c>
      <c r="N69" s="2" t="s">
        <v>17828</v>
      </c>
      <c r="O69" s="2" t="s">
        <v>17829</v>
      </c>
      <c r="P69" s="2" t="s">
        <v>17830</v>
      </c>
      <c r="Q69" s="2" t="s">
        <v>17831</v>
      </c>
      <c r="R69" s="2" t="s">
        <v>114</v>
      </c>
      <c r="S69" s="2" t="s">
        <v>936</v>
      </c>
      <c r="T69" s="2" t="s">
        <v>1749</v>
      </c>
      <c r="U69" s="2" t="s">
        <v>56</v>
      </c>
      <c r="V69" s="2" t="n">
        <v>1</v>
      </c>
    </row>
    <row r="70">
      <c r="A70" s="2" t="n">
        <v>69</v>
      </c>
      <c r="B70" s="2" t="s">
        <v>17832</v>
      </c>
      <c r="C70" s="2" t="n">
        <v>138.055543154</v>
      </c>
      <c r="D70" s="2" t="n">
        <v>9.62515886081876</v>
      </c>
      <c r="E70" s="2" t="s">
        <v>17833</v>
      </c>
      <c r="F70" s="2" t="s">
        <v>17039</v>
      </c>
      <c r="G70" s="2" t="s">
        <v>17834</v>
      </c>
      <c r="H70" s="2" t="s">
        <v>17835</v>
      </c>
      <c r="I70" s="2" t="s">
        <v>17836</v>
      </c>
      <c r="J70" s="2" t="s">
        <v>29</v>
      </c>
      <c r="K70" s="2" t="s">
        <v>29</v>
      </c>
      <c r="L70" s="2" t="s">
        <v>29</v>
      </c>
      <c r="M70" s="2" t="s">
        <v>29</v>
      </c>
      <c r="N70" s="2" t="s">
        <v>17837</v>
      </c>
      <c r="O70" s="2" t="s">
        <v>29</v>
      </c>
      <c r="P70" s="2" t="s">
        <v>17838</v>
      </c>
      <c r="Q70" s="2" t="s">
        <v>17839</v>
      </c>
      <c r="R70" s="2" t="s">
        <v>186</v>
      </c>
      <c r="S70" s="2" t="s">
        <v>357</v>
      </c>
      <c r="T70" s="2" t="s">
        <v>5859</v>
      </c>
      <c r="U70" s="2" t="s">
        <v>29</v>
      </c>
      <c r="V70" s="2" t="n">
        <v>1</v>
      </c>
    </row>
    <row r="71">
      <c r="A71" s="2" t="n">
        <v>70</v>
      </c>
      <c r="B71" s="2" t="s">
        <v>17840</v>
      </c>
      <c r="C71" s="2" t="n">
        <v>139.9903561</v>
      </c>
      <c r="D71" s="2" t="n">
        <v>9.11334297281548</v>
      </c>
      <c r="E71" s="2" t="s">
        <v>17841</v>
      </c>
      <c r="F71" s="2" t="s">
        <v>17039</v>
      </c>
      <c r="G71" s="2" t="s">
        <v>17842</v>
      </c>
      <c r="H71" s="2" t="s">
        <v>17843</v>
      </c>
      <c r="I71" s="2" t="s">
        <v>17844</v>
      </c>
      <c r="J71" s="2" t="s">
        <v>17845</v>
      </c>
      <c r="K71" s="2" t="s">
        <v>195</v>
      </c>
      <c r="L71" s="2" t="s">
        <v>17846</v>
      </c>
      <c r="M71" s="2" t="s">
        <v>17847</v>
      </c>
      <c r="N71" s="2" t="s">
        <v>17848</v>
      </c>
      <c r="O71" s="2" t="s">
        <v>17849</v>
      </c>
      <c r="P71" s="2" t="s">
        <v>17850</v>
      </c>
      <c r="Q71" s="2" t="s">
        <v>17851</v>
      </c>
      <c r="R71" s="2" t="s">
        <v>2520</v>
      </c>
      <c r="S71" s="2" t="s">
        <v>2521</v>
      </c>
      <c r="T71" s="2" t="s">
        <v>17852</v>
      </c>
      <c r="U71" s="2" t="s">
        <v>101</v>
      </c>
      <c r="V71" s="2" t="n">
        <v>3</v>
      </c>
    </row>
    <row r="72">
      <c r="A72" s="2" t="n">
        <v>71</v>
      </c>
      <c r="B72" s="2" t="s">
        <v>17853</v>
      </c>
      <c r="C72" s="2" t="n">
        <v>140.001204819</v>
      </c>
      <c r="D72" s="2" t="n">
        <v>15.1686330581384</v>
      </c>
      <c r="E72" s="2" t="s">
        <v>17854</v>
      </c>
      <c r="F72" s="2" t="s">
        <v>17137</v>
      </c>
      <c r="G72" s="2" t="s">
        <v>17855</v>
      </c>
      <c r="H72" s="2" t="s">
        <v>17856</v>
      </c>
      <c r="I72" s="2" t="s">
        <v>17857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17858</v>
      </c>
      <c r="O72" s="2" t="s">
        <v>29</v>
      </c>
      <c r="P72" s="2" t="s">
        <v>17859</v>
      </c>
      <c r="Q72" s="2" t="s">
        <v>17860</v>
      </c>
      <c r="R72" s="2" t="s">
        <v>36</v>
      </c>
      <c r="S72" s="2" t="s">
        <v>344</v>
      </c>
      <c r="T72" s="2" t="s">
        <v>345</v>
      </c>
      <c r="U72" s="2" t="s">
        <v>29</v>
      </c>
      <c r="V72" s="2" t="n">
        <v>1</v>
      </c>
    </row>
    <row r="73">
      <c r="A73" s="2" t="n">
        <v>72</v>
      </c>
      <c r="B73" s="2" t="s">
        <v>17861</v>
      </c>
      <c r="C73" s="2" t="n">
        <v>140.070604537</v>
      </c>
      <c r="D73" s="2" t="n">
        <v>13.5426494830227</v>
      </c>
      <c r="E73" s="2" t="s">
        <v>17862</v>
      </c>
      <c r="F73" s="2" t="s">
        <v>17137</v>
      </c>
      <c r="G73" s="2" t="s">
        <v>17863</v>
      </c>
      <c r="H73" s="2" t="s">
        <v>17864</v>
      </c>
      <c r="I73" s="2" t="s">
        <v>17865</v>
      </c>
      <c r="J73" s="2" t="s">
        <v>17866</v>
      </c>
      <c r="K73" s="2" t="s">
        <v>29</v>
      </c>
      <c r="L73" s="2" t="s">
        <v>29</v>
      </c>
      <c r="M73" s="2" t="s">
        <v>29</v>
      </c>
      <c r="N73" s="2" t="s">
        <v>16404</v>
      </c>
      <c r="O73" s="2" t="s">
        <v>17867</v>
      </c>
      <c r="P73" s="2" t="s">
        <v>17868</v>
      </c>
      <c r="Q73" s="2" t="s">
        <v>17869</v>
      </c>
      <c r="R73" s="2" t="s">
        <v>186</v>
      </c>
      <c r="S73" s="2" t="s">
        <v>357</v>
      </c>
      <c r="T73" s="2" t="s">
        <v>15974</v>
      </c>
      <c r="U73" s="2" t="s">
        <v>56</v>
      </c>
      <c r="V73" s="2" t="n">
        <v>1</v>
      </c>
    </row>
    <row r="74">
      <c r="A74" s="2" t="n">
        <v>73</v>
      </c>
      <c r="B74" s="2" t="s">
        <v>17870</v>
      </c>
      <c r="C74" s="2" t="n">
        <v>141.070839138</v>
      </c>
      <c r="D74" s="2" t="n">
        <v>4.74553384337803</v>
      </c>
      <c r="E74" s="2" t="s">
        <v>17871</v>
      </c>
      <c r="F74" s="2" t="s">
        <v>17198</v>
      </c>
      <c r="G74" s="2" t="s">
        <v>17872</v>
      </c>
      <c r="H74" s="2" t="s">
        <v>17873</v>
      </c>
      <c r="I74" s="2" t="s">
        <v>17874</v>
      </c>
      <c r="J74" s="2" t="s">
        <v>17875</v>
      </c>
      <c r="K74" s="2" t="s">
        <v>91</v>
      </c>
      <c r="L74" s="2" t="s">
        <v>91</v>
      </c>
      <c r="M74" s="2" t="s">
        <v>91</v>
      </c>
      <c r="N74" s="2" t="s">
        <v>17876</v>
      </c>
      <c r="O74" s="2" t="s">
        <v>17877</v>
      </c>
      <c r="P74" s="2" t="s">
        <v>17878</v>
      </c>
      <c r="Q74" s="2" t="s">
        <v>17879</v>
      </c>
      <c r="R74" s="2" t="s">
        <v>715</v>
      </c>
      <c r="S74" s="2" t="s">
        <v>17880</v>
      </c>
      <c r="T74" s="2" t="s">
        <v>17881</v>
      </c>
      <c r="U74" s="2" t="s">
        <v>56</v>
      </c>
      <c r="V74" s="2" t="n">
        <v>2</v>
      </c>
    </row>
    <row r="75">
      <c r="A75" s="2" t="n">
        <v>74</v>
      </c>
      <c r="B75" s="2" t="s">
        <v>17882</v>
      </c>
      <c r="C75" s="2" t="n">
        <v>144.102493347</v>
      </c>
      <c r="D75" s="2" t="n">
        <v>2.93959836917062</v>
      </c>
      <c r="E75" s="2" t="s">
        <v>17883</v>
      </c>
      <c r="F75" s="2" t="s">
        <v>17039</v>
      </c>
      <c r="G75" s="2" t="s">
        <v>17884</v>
      </c>
      <c r="H75" s="2" t="s">
        <v>17885</v>
      </c>
      <c r="I75" s="2" t="s">
        <v>17886</v>
      </c>
      <c r="J75" s="2" t="s">
        <v>91</v>
      </c>
      <c r="K75" s="2" t="s">
        <v>91</v>
      </c>
      <c r="L75" s="2" t="s">
        <v>91</v>
      </c>
      <c r="M75" s="2" t="s">
        <v>91</v>
      </c>
      <c r="N75" s="2" t="s">
        <v>17887</v>
      </c>
      <c r="O75" s="2" t="s">
        <v>91</v>
      </c>
      <c r="P75" s="2" t="s">
        <v>17888</v>
      </c>
      <c r="Q75" s="2" t="s">
        <v>17889</v>
      </c>
      <c r="R75" s="2" t="s">
        <v>144</v>
      </c>
      <c r="S75" s="2" t="s">
        <v>145</v>
      </c>
      <c r="T75" s="2" t="s">
        <v>146</v>
      </c>
      <c r="U75" s="2" t="s">
        <v>29</v>
      </c>
      <c r="V75" s="2" t="n">
        <v>2</v>
      </c>
    </row>
    <row r="76">
      <c r="A76" s="2" t="n">
        <v>75</v>
      </c>
      <c r="B76" s="2" t="s">
        <v>17890</v>
      </c>
      <c r="C76" s="2" t="n">
        <v>145.02197469</v>
      </c>
      <c r="D76" s="2" t="n">
        <v>16.2243679515969</v>
      </c>
      <c r="E76" s="2" t="s">
        <v>17891</v>
      </c>
      <c r="F76" s="2" t="s">
        <v>17892</v>
      </c>
      <c r="G76" s="2" t="s">
        <v>17893</v>
      </c>
      <c r="H76" s="2" t="s">
        <v>17894</v>
      </c>
      <c r="I76" s="2" t="s">
        <v>17895</v>
      </c>
      <c r="J76" s="2" t="s">
        <v>17896</v>
      </c>
      <c r="K76" s="2" t="s">
        <v>29</v>
      </c>
      <c r="L76" s="2" t="s">
        <v>17897</v>
      </c>
      <c r="M76" s="2" t="s">
        <v>17898</v>
      </c>
      <c r="N76" s="2" t="s">
        <v>17899</v>
      </c>
      <c r="O76" s="2" t="s">
        <v>17900</v>
      </c>
      <c r="P76" s="2" t="s">
        <v>17901</v>
      </c>
      <c r="Q76" s="2" t="s">
        <v>17902</v>
      </c>
      <c r="R76" s="2" t="s">
        <v>36</v>
      </c>
      <c r="S76" s="2" t="s">
        <v>282</v>
      </c>
      <c r="T76" s="2" t="s">
        <v>215</v>
      </c>
      <c r="U76" s="2" t="s">
        <v>56</v>
      </c>
      <c r="V76" s="2" t="n">
        <v>1</v>
      </c>
    </row>
    <row r="77">
      <c r="A77" s="2" t="n">
        <v>76</v>
      </c>
      <c r="B77" s="2" t="s">
        <v>17903</v>
      </c>
      <c r="C77" s="2" t="n">
        <v>145.10176507</v>
      </c>
      <c r="D77" s="2" t="n">
        <v>6.22616464289813</v>
      </c>
      <c r="E77" s="2" t="s">
        <v>17904</v>
      </c>
      <c r="F77" s="2" t="s">
        <v>17039</v>
      </c>
      <c r="G77" s="2" t="s">
        <v>17905</v>
      </c>
      <c r="H77" s="2" t="s">
        <v>17906</v>
      </c>
      <c r="I77" s="2" t="s">
        <v>17907</v>
      </c>
      <c r="J77" s="2" t="s">
        <v>17908</v>
      </c>
      <c r="K77" s="2" t="s">
        <v>195</v>
      </c>
      <c r="L77" s="2" t="s">
        <v>195</v>
      </c>
      <c r="M77" s="2" t="s">
        <v>17909</v>
      </c>
      <c r="N77" s="2" t="s">
        <v>17910</v>
      </c>
      <c r="O77" s="2" t="s">
        <v>17911</v>
      </c>
      <c r="P77" s="2" t="s">
        <v>17912</v>
      </c>
      <c r="Q77" s="2" t="s">
        <v>17913</v>
      </c>
      <c r="R77" s="2" t="s">
        <v>17914</v>
      </c>
      <c r="S77" s="2" t="s">
        <v>17915</v>
      </c>
      <c r="T77" s="2" t="s">
        <v>17916</v>
      </c>
      <c r="U77" s="2" t="s">
        <v>56</v>
      </c>
      <c r="V77" s="2" t="n">
        <v>3</v>
      </c>
    </row>
    <row r="78">
      <c r="A78" s="2" t="n">
        <v>77</v>
      </c>
      <c r="B78" s="2" t="s">
        <v>17917</v>
      </c>
      <c r="C78" s="2" t="n">
        <v>146.092402611</v>
      </c>
      <c r="D78" s="2" t="n">
        <v>2.10320003401358</v>
      </c>
      <c r="E78" s="2" t="s">
        <v>17918</v>
      </c>
      <c r="F78" s="2" t="s">
        <v>17137</v>
      </c>
      <c r="G78" s="2" t="s">
        <v>17919</v>
      </c>
      <c r="H78" s="2" t="s">
        <v>17920</v>
      </c>
      <c r="I78" s="2" t="s">
        <v>17921</v>
      </c>
      <c r="J78" s="2" t="s">
        <v>17922</v>
      </c>
      <c r="K78" s="2" t="s">
        <v>29</v>
      </c>
      <c r="L78" s="2" t="s">
        <v>17923</v>
      </c>
      <c r="M78" s="2" t="s">
        <v>17924</v>
      </c>
      <c r="N78" s="2" t="s">
        <v>17925</v>
      </c>
      <c r="O78" s="2" t="s">
        <v>17926</v>
      </c>
      <c r="P78" s="2" t="s">
        <v>17927</v>
      </c>
      <c r="Q78" s="2" t="s">
        <v>17928</v>
      </c>
      <c r="R78" s="2" t="s">
        <v>36</v>
      </c>
      <c r="S78" s="2" t="s">
        <v>37</v>
      </c>
      <c r="T78" s="2" t="s">
        <v>69</v>
      </c>
      <c r="U78" s="2" t="s">
        <v>39</v>
      </c>
      <c r="V78" s="2" t="n">
        <v>1</v>
      </c>
    </row>
    <row r="79">
      <c r="A79" s="2" t="n">
        <v>78</v>
      </c>
      <c r="B79" s="2" t="s">
        <v>17929</v>
      </c>
      <c r="C79" s="2" t="n">
        <v>147.035890952</v>
      </c>
      <c r="D79" s="2" t="n">
        <v>13.3917468598011</v>
      </c>
      <c r="E79" s="2" t="s">
        <v>17930</v>
      </c>
      <c r="F79" s="2" t="s">
        <v>17039</v>
      </c>
      <c r="G79" s="2" t="s">
        <v>17931</v>
      </c>
      <c r="H79" s="2" t="s">
        <v>17932</v>
      </c>
      <c r="I79" s="2" t="s">
        <v>17933</v>
      </c>
      <c r="J79" s="2" t="s">
        <v>29</v>
      </c>
      <c r="K79" s="2" t="s">
        <v>29</v>
      </c>
      <c r="L79" s="2" t="s">
        <v>29</v>
      </c>
      <c r="M79" s="2" t="s">
        <v>29</v>
      </c>
      <c r="N79" s="2" t="s">
        <v>17934</v>
      </c>
      <c r="O79" s="2" t="s">
        <v>29</v>
      </c>
      <c r="P79" s="2" t="s">
        <v>17935</v>
      </c>
      <c r="Q79" s="2" t="s">
        <v>17936</v>
      </c>
      <c r="R79" s="2" t="s">
        <v>114</v>
      </c>
      <c r="S79" s="2" t="s">
        <v>1254</v>
      </c>
      <c r="T79" s="2" t="s">
        <v>5401</v>
      </c>
      <c r="U79" s="2" t="s">
        <v>29</v>
      </c>
      <c r="V79" s="2" t="n">
        <v>1</v>
      </c>
    </row>
    <row r="80">
      <c r="A80" s="2" t="n">
        <v>79</v>
      </c>
      <c r="B80" s="2" t="s">
        <v>17937</v>
      </c>
      <c r="C80" s="2" t="n">
        <v>148.005112354</v>
      </c>
      <c r="D80" s="2" t="n">
        <v>6.14895195181254</v>
      </c>
      <c r="E80" s="2" t="s">
        <v>17938</v>
      </c>
      <c r="F80" s="2" t="s">
        <v>17520</v>
      </c>
      <c r="G80" s="2" t="s">
        <v>17939</v>
      </c>
      <c r="H80" s="2" t="s">
        <v>17940</v>
      </c>
      <c r="I80" s="2" t="s">
        <v>17941</v>
      </c>
      <c r="J80" s="2" t="s">
        <v>91</v>
      </c>
      <c r="K80" s="2" t="s">
        <v>91</v>
      </c>
      <c r="L80" s="2" t="s">
        <v>91</v>
      </c>
      <c r="M80" s="2" t="s">
        <v>91</v>
      </c>
      <c r="N80" s="2" t="s">
        <v>17942</v>
      </c>
      <c r="O80" s="2" t="s">
        <v>91</v>
      </c>
      <c r="P80" s="2" t="s">
        <v>17943</v>
      </c>
      <c r="Q80" s="2" t="s">
        <v>17944</v>
      </c>
      <c r="R80" s="2" t="s">
        <v>17945</v>
      </c>
      <c r="S80" s="2" t="s">
        <v>17946</v>
      </c>
      <c r="T80" s="2" t="s">
        <v>543</v>
      </c>
      <c r="U80" s="2" t="s">
        <v>29</v>
      </c>
      <c r="V80" s="2" t="n">
        <v>2</v>
      </c>
    </row>
    <row r="81">
      <c r="A81" s="2" t="n">
        <v>80</v>
      </c>
      <c r="B81" s="2" t="s">
        <v>17947</v>
      </c>
      <c r="C81" s="2" t="n">
        <v>148.976439083</v>
      </c>
      <c r="D81" s="2" t="n">
        <v>1.53988937869023</v>
      </c>
      <c r="E81" s="2" t="s">
        <v>17948</v>
      </c>
      <c r="F81" s="2" t="s">
        <v>17406</v>
      </c>
      <c r="G81" s="2" t="s">
        <v>17949</v>
      </c>
      <c r="H81" s="2" t="s">
        <v>17950</v>
      </c>
      <c r="I81" s="2" t="s">
        <v>17951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17952</v>
      </c>
      <c r="O81" s="2" t="s">
        <v>29</v>
      </c>
      <c r="P81" s="2" t="s">
        <v>17953</v>
      </c>
      <c r="Q81" s="2" t="s">
        <v>17954</v>
      </c>
      <c r="R81" s="2" t="s">
        <v>36</v>
      </c>
      <c r="S81" s="2" t="s">
        <v>1108</v>
      </c>
      <c r="T81" s="2" t="s">
        <v>1109</v>
      </c>
      <c r="U81" s="2" t="s">
        <v>29</v>
      </c>
      <c r="V81" s="2" t="n">
        <v>1</v>
      </c>
    </row>
    <row r="82">
      <c r="A82" s="2" t="n">
        <v>81</v>
      </c>
      <c r="B82" s="2" t="s">
        <v>17955</v>
      </c>
      <c r="C82" s="2" t="n">
        <v>149.026690812</v>
      </c>
      <c r="D82" s="2" t="n">
        <v>9.94654373583915</v>
      </c>
      <c r="E82" s="2" t="s">
        <v>17956</v>
      </c>
      <c r="F82" s="2" t="s">
        <v>17137</v>
      </c>
      <c r="G82" s="2" t="s">
        <v>17957</v>
      </c>
      <c r="H82" s="2" t="s">
        <v>17958</v>
      </c>
      <c r="I82" s="2" t="s">
        <v>17959</v>
      </c>
      <c r="J82" s="2" t="s">
        <v>17960</v>
      </c>
      <c r="K82" s="2" t="s">
        <v>17961</v>
      </c>
      <c r="L82" s="2" t="s">
        <v>17962</v>
      </c>
      <c r="M82" s="2" t="s">
        <v>17963</v>
      </c>
      <c r="N82" s="2" t="s">
        <v>17964</v>
      </c>
      <c r="O82" s="2" t="s">
        <v>17965</v>
      </c>
      <c r="P82" s="2" t="s">
        <v>17966</v>
      </c>
      <c r="Q82" s="2" t="s">
        <v>17967</v>
      </c>
      <c r="R82" s="2" t="s">
        <v>794</v>
      </c>
      <c r="S82" s="2" t="s">
        <v>795</v>
      </c>
      <c r="T82" s="2" t="s">
        <v>796</v>
      </c>
      <c r="U82" s="2" t="s">
        <v>56</v>
      </c>
      <c r="V82" s="2" t="n">
        <v>1</v>
      </c>
    </row>
    <row r="83">
      <c r="A83" s="2" t="n">
        <v>82</v>
      </c>
      <c r="B83" s="2" t="s">
        <v>17968</v>
      </c>
      <c r="C83" s="2" t="n">
        <v>150.97778312</v>
      </c>
      <c r="D83" s="2" t="n">
        <v>0.00139684907502009</v>
      </c>
      <c r="E83" s="2" t="s">
        <v>17969</v>
      </c>
      <c r="F83" s="2" t="s">
        <v>17970</v>
      </c>
      <c r="G83" s="2" t="s">
        <v>17971</v>
      </c>
      <c r="H83" s="2" t="s">
        <v>17972</v>
      </c>
      <c r="I83" s="2" t="s">
        <v>17973</v>
      </c>
      <c r="J83" s="2" t="s">
        <v>29</v>
      </c>
      <c r="K83" s="2" t="s">
        <v>29</v>
      </c>
      <c r="L83" s="2" t="s">
        <v>29</v>
      </c>
      <c r="M83" s="2" t="s">
        <v>17974</v>
      </c>
      <c r="N83" s="2" t="s">
        <v>17975</v>
      </c>
      <c r="O83" s="2" t="s">
        <v>29</v>
      </c>
      <c r="P83" s="2" t="s">
        <v>17976</v>
      </c>
      <c r="Q83" s="2" t="s">
        <v>17977</v>
      </c>
      <c r="R83" s="2" t="s">
        <v>36</v>
      </c>
      <c r="S83" s="2" t="s">
        <v>271</v>
      </c>
      <c r="T83" s="2" t="s">
        <v>17978</v>
      </c>
      <c r="U83" s="2" t="s">
        <v>29</v>
      </c>
      <c r="V83" s="2" t="n">
        <v>1</v>
      </c>
    </row>
    <row r="84">
      <c r="A84" s="2" t="n">
        <v>83</v>
      </c>
      <c r="B84" s="2" t="s">
        <v>17979</v>
      </c>
      <c r="C84" s="2" t="n">
        <v>151.050203441</v>
      </c>
      <c r="D84" s="2" t="n">
        <v>8.48876263802786</v>
      </c>
      <c r="E84" s="2" t="s">
        <v>17980</v>
      </c>
      <c r="F84" s="2" t="s">
        <v>17137</v>
      </c>
      <c r="G84" s="2" t="s">
        <v>17981</v>
      </c>
      <c r="H84" s="2" t="s">
        <v>17982</v>
      </c>
      <c r="I84" s="2" t="s">
        <v>17983</v>
      </c>
      <c r="J84" s="2" t="s">
        <v>17984</v>
      </c>
      <c r="K84" s="2" t="s">
        <v>29</v>
      </c>
      <c r="L84" s="2" t="s">
        <v>29</v>
      </c>
      <c r="M84" s="2" t="s">
        <v>29</v>
      </c>
      <c r="N84" s="2" t="s">
        <v>17985</v>
      </c>
      <c r="O84" s="2" t="s">
        <v>29</v>
      </c>
      <c r="P84" s="2" t="s">
        <v>17986</v>
      </c>
      <c r="Q84" s="2" t="s">
        <v>17987</v>
      </c>
      <c r="R84" s="2" t="s">
        <v>114</v>
      </c>
      <c r="S84" s="2" t="s">
        <v>369</v>
      </c>
      <c r="T84" s="2" t="s">
        <v>370</v>
      </c>
      <c r="U84" s="2" t="s">
        <v>29</v>
      </c>
      <c r="V84" s="2" t="n">
        <v>1</v>
      </c>
    </row>
    <row r="85">
      <c r="A85" s="2" t="n">
        <v>84</v>
      </c>
      <c r="B85" s="2" t="s">
        <v>17988</v>
      </c>
      <c r="C85" s="2" t="n">
        <v>152.031811095</v>
      </c>
      <c r="D85" s="2" t="n">
        <v>1.34119446524762</v>
      </c>
      <c r="E85" s="2" t="s">
        <v>17989</v>
      </c>
      <c r="F85" s="2" t="s">
        <v>17198</v>
      </c>
      <c r="G85" s="2" t="s">
        <v>17990</v>
      </c>
      <c r="H85" s="2" t="s">
        <v>17991</v>
      </c>
      <c r="I85" s="2" t="s">
        <v>17992</v>
      </c>
      <c r="J85" s="2" t="s">
        <v>17993</v>
      </c>
      <c r="K85" s="2" t="s">
        <v>29</v>
      </c>
      <c r="L85" s="2" t="s">
        <v>17994</v>
      </c>
      <c r="M85" s="2" t="s">
        <v>17995</v>
      </c>
      <c r="N85" s="2" t="s">
        <v>17996</v>
      </c>
      <c r="O85" s="2" t="s">
        <v>17997</v>
      </c>
      <c r="P85" s="2" t="s">
        <v>17998</v>
      </c>
      <c r="Q85" s="2" t="s">
        <v>17999</v>
      </c>
      <c r="R85" s="2" t="s">
        <v>36</v>
      </c>
      <c r="S85" s="2" t="s">
        <v>37</v>
      </c>
      <c r="T85" s="2" t="s">
        <v>69</v>
      </c>
      <c r="U85" s="2" t="s">
        <v>39</v>
      </c>
      <c r="V85" s="2" t="n">
        <v>1</v>
      </c>
    </row>
    <row r="86">
      <c r="A86" s="2" t="n">
        <v>85</v>
      </c>
      <c r="B86" s="2" t="s">
        <v>18000</v>
      </c>
      <c r="C86" s="2" t="n">
        <v>155.049140814</v>
      </c>
      <c r="D86" s="2" t="n">
        <v>6.09130716879903</v>
      </c>
      <c r="E86" s="2" t="s">
        <v>18001</v>
      </c>
      <c r="F86" s="2" t="s">
        <v>17137</v>
      </c>
      <c r="G86" s="2" t="s">
        <v>18002</v>
      </c>
      <c r="H86" s="2" t="s">
        <v>18003</v>
      </c>
      <c r="I86" s="2" t="s">
        <v>18004</v>
      </c>
      <c r="J86" s="2" t="s">
        <v>18005</v>
      </c>
      <c r="K86" s="2" t="s">
        <v>29</v>
      </c>
      <c r="L86" s="2" t="s">
        <v>29</v>
      </c>
      <c r="M86" s="2" t="s">
        <v>18006</v>
      </c>
      <c r="N86" s="2" t="s">
        <v>18007</v>
      </c>
      <c r="O86" s="2" t="s">
        <v>18008</v>
      </c>
      <c r="P86" s="2" t="s">
        <v>18009</v>
      </c>
      <c r="Q86" s="2" t="s">
        <v>18010</v>
      </c>
      <c r="R86" s="2" t="s">
        <v>186</v>
      </c>
      <c r="S86" s="2" t="s">
        <v>187</v>
      </c>
      <c r="T86" s="2" t="s">
        <v>18011</v>
      </c>
      <c r="U86" s="2" t="s">
        <v>29</v>
      </c>
      <c r="V86" s="2" t="n">
        <v>1</v>
      </c>
    </row>
    <row r="87">
      <c r="A87" s="2" t="n">
        <v>86</v>
      </c>
      <c r="B87" s="2" t="s">
        <v>18012</v>
      </c>
      <c r="C87" s="2" t="n">
        <v>155.070270186</v>
      </c>
      <c r="D87" s="2" t="n">
        <v>2.12992933193941</v>
      </c>
      <c r="E87" s="2" t="s">
        <v>18013</v>
      </c>
      <c r="F87" s="2" t="s">
        <v>17137</v>
      </c>
      <c r="G87" s="2" t="s">
        <v>18014</v>
      </c>
      <c r="H87" s="2" t="s">
        <v>18015</v>
      </c>
      <c r="I87" s="2" t="s">
        <v>18016</v>
      </c>
      <c r="J87" s="2" t="s">
        <v>18017</v>
      </c>
      <c r="K87" s="2" t="s">
        <v>29</v>
      </c>
      <c r="L87" s="2" t="s">
        <v>18018</v>
      </c>
      <c r="M87" s="2" t="s">
        <v>18019</v>
      </c>
      <c r="N87" s="2" t="s">
        <v>18020</v>
      </c>
      <c r="O87" s="2" t="s">
        <v>18021</v>
      </c>
      <c r="P87" s="2" t="s">
        <v>18022</v>
      </c>
      <c r="Q87" s="2" t="s">
        <v>18023</v>
      </c>
      <c r="R87" s="2" t="s">
        <v>186</v>
      </c>
      <c r="S87" s="2" t="s">
        <v>357</v>
      </c>
      <c r="T87" s="2" t="s">
        <v>5859</v>
      </c>
      <c r="U87" s="2" t="s">
        <v>56</v>
      </c>
      <c r="V87" s="2" t="n">
        <v>1</v>
      </c>
    </row>
    <row r="88">
      <c r="A88" s="2" t="n">
        <v>87</v>
      </c>
      <c r="B88" s="2" t="s">
        <v>18024</v>
      </c>
      <c r="C88" s="2" t="n">
        <v>156.043124665</v>
      </c>
      <c r="D88" s="2" t="n">
        <v>0.845459665808477</v>
      </c>
      <c r="E88" s="2" t="s">
        <v>18025</v>
      </c>
      <c r="F88" s="2" t="s">
        <v>17198</v>
      </c>
      <c r="G88" s="2" t="s">
        <v>18026</v>
      </c>
      <c r="H88" s="2" t="s">
        <v>18027</v>
      </c>
      <c r="I88" s="2" t="s">
        <v>18028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18029</v>
      </c>
      <c r="O88" s="2" t="s">
        <v>29</v>
      </c>
      <c r="P88" s="2" t="s">
        <v>18030</v>
      </c>
      <c r="Q88" s="2" t="s">
        <v>18031</v>
      </c>
      <c r="R88" s="2" t="s">
        <v>36</v>
      </c>
      <c r="S88" s="2" t="s">
        <v>37</v>
      </c>
      <c r="T88" s="2" t="s">
        <v>69</v>
      </c>
      <c r="U88" s="2" t="s">
        <v>29</v>
      </c>
      <c r="V88" s="2" t="n">
        <v>1</v>
      </c>
    </row>
    <row r="89">
      <c r="A89" s="2" t="n">
        <v>88</v>
      </c>
      <c r="B89" s="2" t="s">
        <v>18032</v>
      </c>
      <c r="C89" s="2" t="n">
        <v>156.077341233</v>
      </c>
      <c r="D89" s="2" t="n">
        <v>2.27788227893445</v>
      </c>
      <c r="E89" s="2" t="s">
        <v>18033</v>
      </c>
      <c r="F89" s="2" t="s">
        <v>17039</v>
      </c>
      <c r="G89" s="2" t="s">
        <v>18034</v>
      </c>
      <c r="H89" s="2" t="s">
        <v>18035</v>
      </c>
      <c r="I89" s="2" t="s">
        <v>18036</v>
      </c>
      <c r="J89" s="2" t="s">
        <v>18037</v>
      </c>
      <c r="K89" s="2" t="s">
        <v>29</v>
      </c>
      <c r="L89" s="2" t="s">
        <v>18038</v>
      </c>
      <c r="M89" s="2" t="s">
        <v>18039</v>
      </c>
      <c r="N89" s="2" t="s">
        <v>18040</v>
      </c>
      <c r="O89" s="2" t="s">
        <v>18041</v>
      </c>
      <c r="P89" s="2" t="s">
        <v>18042</v>
      </c>
      <c r="Q89" s="2" t="s">
        <v>18043</v>
      </c>
      <c r="R89" s="2" t="s">
        <v>36</v>
      </c>
      <c r="S89" s="2" t="s">
        <v>271</v>
      </c>
      <c r="T89" s="2" t="s">
        <v>272</v>
      </c>
      <c r="U89" s="2" t="s">
        <v>56</v>
      </c>
      <c r="V89" s="2" t="n">
        <v>1</v>
      </c>
    </row>
    <row r="90">
      <c r="A90" s="2" t="n">
        <v>89</v>
      </c>
      <c r="B90" s="2" t="s">
        <v>18044</v>
      </c>
      <c r="C90" s="2" t="n">
        <v>156.149523559</v>
      </c>
      <c r="D90" s="2" t="n">
        <v>0.643598283379904</v>
      </c>
      <c r="E90" s="2" t="s">
        <v>18045</v>
      </c>
      <c r="F90" s="2" t="s">
        <v>17137</v>
      </c>
      <c r="G90" s="2" t="s">
        <v>18046</v>
      </c>
      <c r="H90" s="2" t="s">
        <v>18047</v>
      </c>
      <c r="I90" s="2" t="s">
        <v>18048</v>
      </c>
      <c r="J90" s="2" t="s">
        <v>18049</v>
      </c>
      <c r="K90" s="2" t="s">
        <v>91</v>
      </c>
      <c r="L90" s="2" t="s">
        <v>91</v>
      </c>
      <c r="M90" s="2" t="s">
        <v>91</v>
      </c>
      <c r="N90" s="2" t="s">
        <v>18050</v>
      </c>
      <c r="O90" s="2" t="s">
        <v>18051</v>
      </c>
      <c r="P90" s="2" t="s">
        <v>18052</v>
      </c>
      <c r="Q90" s="2" t="s">
        <v>18053</v>
      </c>
      <c r="R90" s="2" t="s">
        <v>98</v>
      </c>
      <c r="S90" s="2" t="s">
        <v>99</v>
      </c>
      <c r="T90" s="2" t="s">
        <v>18054</v>
      </c>
      <c r="U90" s="2" t="s">
        <v>29</v>
      </c>
      <c r="V90" s="2" t="n">
        <v>2</v>
      </c>
    </row>
    <row r="91">
      <c r="A91" s="2" t="n">
        <v>90</v>
      </c>
      <c r="B91" s="2" t="s">
        <v>18055</v>
      </c>
      <c r="C91" s="2" t="n">
        <v>158.042375781</v>
      </c>
      <c r="D91" s="2" t="n">
        <v>0.645353724984338</v>
      </c>
      <c r="E91" s="2" t="s">
        <v>18056</v>
      </c>
      <c r="F91" s="2" t="s">
        <v>17198</v>
      </c>
      <c r="G91" s="2" t="s">
        <v>18057</v>
      </c>
      <c r="H91" s="2" t="s">
        <v>18058</v>
      </c>
      <c r="I91" s="2" t="s">
        <v>18059</v>
      </c>
      <c r="J91" s="2" t="s">
        <v>18060</v>
      </c>
      <c r="K91" s="2" t="s">
        <v>18061</v>
      </c>
      <c r="L91" s="2" t="s">
        <v>29</v>
      </c>
      <c r="M91" s="2" t="s">
        <v>29</v>
      </c>
      <c r="N91" s="2" t="s">
        <v>18062</v>
      </c>
      <c r="O91" s="2" t="s">
        <v>18063</v>
      </c>
      <c r="P91" s="2" t="s">
        <v>18064</v>
      </c>
      <c r="Q91" s="2" t="s">
        <v>18065</v>
      </c>
      <c r="R91" s="2" t="s">
        <v>36</v>
      </c>
      <c r="S91" s="2" t="s">
        <v>37</v>
      </c>
      <c r="T91" s="2" t="s">
        <v>69</v>
      </c>
      <c r="U91" s="2" t="s">
        <v>56</v>
      </c>
      <c r="V91" s="2" t="n">
        <v>1</v>
      </c>
    </row>
    <row r="92">
      <c r="A92" s="2" t="n">
        <v>91</v>
      </c>
      <c r="B92" s="2" t="s">
        <v>18066</v>
      </c>
      <c r="C92" s="2" t="n">
        <v>158.096425357</v>
      </c>
      <c r="D92" s="2" t="n">
        <v>3.09745992593022</v>
      </c>
      <c r="E92" s="2" t="s">
        <v>18067</v>
      </c>
      <c r="F92" s="2" t="s">
        <v>17137</v>
      </c>
      <c r="G92" s="2" t="s">
        <v>18068</v>
      </c>
      <c r="H92" s="2" t="s">
        <v>18069</v>
      </c>
      <c r="I92" s="2" t="s">
        <v>18070</v>
      </c>
      <c r="J92" s="2" t="s">
        <v>18071</v>
      </c>
      <c r="K92" s="2" t="s">
        <v>195</v>
      </c>
      <c r="L92" s="2" t="s">
        <v>195</v>
      </c>
      <c r="M92" s="2" t="s">
        <v>195</v>
      </c>
      <c r="N92" s="2" t="s">
        <v>18072</v>
      </c>
      <c r="O92" s="2" t="s">
        <v>195</v>
      </c>
      <c r="P92" s="2" t="s">
        <v>18073</v>
      </c>
      <c r="Q92" s="2" t="s">
        <v>18074</v>
      </c>
      <c r="R92" s="2" t="s">
        <v>490</v>
      </c>
      <c r="S92" s="2" t="s">
        <v>18075</v>
      </c>
      <c r="T92" s="2" t="s">
        <v>492</v>
      </c>
      <c r="U92" s="2" t="s">
        <v>29</v>
      </c>
      <c r="V92" s="2" t="n">
        <v>3</v>
      </c>
    </row>
    <row r="93">
      <c r="A93" s="2" t="n">
        <v>92</v>
      </c>
      <c r="B93" s="2" t="s">
        <v>18076</v>
      </c>
      <c r="C93" s="2" t="n">
        <v>158.118143411</v>
      </c>
      <c r="D93" s="2" t="n">
        <v>13.9098347945389</v>
      </c>
      <c r="E93" s="2" t="s">
        <v>18077</v>
      </c>
      <c r="F93" s="2" t="s">
        <v>17039</v>
      </c>
      <c r="G93" s="2" t="s">
        <v>18078</v>
      </c>
      <c r="H93" s="2" t="s">
        <v>18079</v>
      </c>
      <c r="I93" s="2" t="s">
        <v>18080</v>
      </c>
      <c r="J93" s="2" t="s">
        <v>195</v>
      </c>
      <c r="K93" s="2" t="s">
        <v>195</v>
      </c>
      <c r="L93" s="2" t="s">
        <v>195</v>
      </c>
      <c r="M93" s="2" t="s">
        <v>195</v>
      </c>
      <c r="N93" s="2" t="s">
        <v>18081</v>
      </c>
      <c r="O93" s="2" t="s">
        <v>195</v>
      </c>
      <c r="P93" s="2" t="s">
        <v>18082</v>
      </c>
      <c r="Q93" s="2" t="s">
        <v>18083</v>
      </c>
      <c r="R93" s="2" t="s">
        <v>1558</v>
      </c>
      <c r="S93" s="2" t="s">
        <v>1844</v>
      </c>
      <c r="T93" s="2" t="s">
        <v>1845</v>
      </c>
      <c r="U93" s="2" t="s">
        <v>29</v>
      </c>
      <c r="V93" s="2" t="n">
        <v>3</v>
      </c>
    </row>
    <row r="94">
      <c r="A94" s="2" t="n">
        <v>93</v>
      </c>
      <c r="B94" s="2" t="s">
        <v>18084</v>
      </c>
      <c r="C94" s="2" t="n">
        <v>158.153940236</v>
      </c>
      <c r="D94" s="2" t="n">
        <v>11.376418310836</v>
      </c>
      <c r="E94" s="2" t="s">
        <v>18085</v>
      </c>
      <c r="F94" s="2" t="s">
        <v>17137</v>
      </c>
      <c r="G94" s="2" t="s">
        <v>18086</v>
      </c>
      <c r="H94" s="2" t="s">
        <v>18087</v>
      </c>
      <c r="I94" s="2" t="s">
        <v>18088</v>
      </c>
      <c r="J94" s="2" t="s">
        <v>18089</v>
      </c>
      <c r="K94" s="2" t="s">
        <v>195</v>
      </c>
      <c r="L94" s="2" t="s">
        <v>195</v>
      </c>
      <c r="M94" s="2" t="s">
        <v>195</v>
      </c>
      <c r="N94" s="2" t="s">
        <v>18090</v>
      </c>
      <c r="O94" s="2" t="s">
        <v>195</v>
      </c>
      <c r="P94" s="2" t="s">
        <v>18091</v>
      </c>
      <c r="Q94" s="2" t="s">
        <v>18092</v>
      </c>
      <c r="R94" s="2" t="s">
        <v>18093</v>
      </c>
      <c r="S94" s="2" t="s">
        <v>18094</v>
      </c>
      <c r="T94" s="2" t="s">
        <v>18095</v>
      </c>
      <c r="U94" s="2" t="s">
        <v>29</v>
      </c>
      <c r="V94" s="2" t="n">
        <v>3</v>
      </c>
    </row>
    <row r="95">
      <c r="A95" s="2" t="n">
        <v>94</v>
      </c>
      <c r="B95" s="2" t="s">
        <v>18096</v>
      </c>
      <c r="C95" s="2" t="n">
        <v>158.922071521</v>
      </c>
      <c r="D95" s="2" t="n">
        <v>0.594175048098157</v>
      </c>
      <c r="E95" s="2" t="s">
        <v>18097</v>
      </c>
      <c r="F95" s="2" t="s">
        <v>17520</v>
      </c>
      <c r="G95" s="2" t="s">
        <v>18098</v>
      </c>
      <c r="H95" s="2" t="s">
        <v>18099</v>
      </c>
      <c r="I95" s="2" t="s">
        <v>18100</v>
      </c>
      <c r="J95" s="2" t="s">
        <v>18101</v>
      </c>
      <c r="K95" s="2" t="s">
        <v>29</v>
      </c>
      <c r="L95" s="2" t="s">
        <v>29</v>
      </c>
      <c r="M95" s="2" t="s">
        <v>29</v>
      </c>
      <c r="N95" s="2" t="s">
        <v>18102</v>
      </c>
      <c r="O95" s="2" t="s">
        <v>29</v>
      </c>
      <c r="P95" s="2" t="s">
        <v>18103</v>
      </c>
      <c r="Q95" s="2" t="s">
        <v>18104</v>
      </c>
      <c r="R95" s="2" t="s">
        <v>213</v>
      </c>
      <c r="S95" s="2" t="s">
        <v>1298</v>
      </c>
      <c r="T95" s="2" t="s">
        <v>1299</v>
      </c>
      <c r="U95" s="2" t="s">
        <v>29</v>
      </c>
      <c r="V95" s="2" t="n">
        <v>1</v>
      </c>
    </row>
    <row r="96">
      <c r="A96" s="2" t="n">
        <v>95</v>
      </c>
      <c r="B96" s="2" t="s">
        <v>18105</v>
      </c>
      <c r="C96" s="2" t="n">
        <v>158.99889206</v>
      </c>
      <c r="D96" s="2" t="n">
        <v>6.34034151426364</v>
      </c>
      <c r="E96" s="2" t="s">
        <v>18106</v>
      </c>
      <c r="F96" s="2" t="s">
        <v>17406</v>
      </c>
      <c r="G96" s="2" t="s">
        <v>18107</v>
      </c>
      <c r="H96" s="2" t="s">
        <v>18108</v>
      </c>
      <c r="I96" s="2" t="s">
        <v>18109</v>
      </c>
      <c r="J96" s="2" t="s">
        <v>18110</v>
      </c>
      <c r="K96" s="2" t="s">
        <v>29</v>
      </c>
      <c r="L96" s="2" t="s">
        <v>29</v>
      </c>
      <c r="M96" s="2" t="s">
        <v>29</v>
      </c>
      <c r="N96" s="2" t="s">
        <v>18111</v>
      </c>
      <c r="O96" s="2" t="s">
        <v>29</v>
      </c>
      <c r="P96" s="2" t="s">
        <v>18112</v>
      </c>
      <c r="Q96" s="2" t="s">
        <v>18113</v>
      </c>
      <c r="R96" s="2" t="s">
        <v>644</v>
      </c>
      <c r="S96" s="2" t="s">
        <v>18114</v>
      </c>
      <c r="T96" s="2" t="s">
        <v>215</v>
      </c>
      <c r="U96" s="2" t="s">
        <v>29</v>
      </c>
      <c r="V96" s="2" t="n">
        <v>1</v>
      </c>
    </row>
    <row r="97">
      <c r="A97" s="2" t="n">
        <v>96</v>
      </c>
      <c r="B97" s="2" t="s">
        <v>18115</v>
      </c>
      <c r="C97" s="2" t="n">
        <v>159.047426254</v>
      </c>
      <c r="D97" s="2" t="n">
        <v>0.436309503978944</v>
      </c>
      <c r="E97" s="2" t="s">
        <v>18116</v>
      </c>
      <c r="F97" s="2" t="s">
        <v>17137</v>
      </c>
      <c r="G97" s="2" t="s">
        <v>18117</v>
      </c>
      <c r="H97" s="2" t="s">
        <v>18118</v>
      </c>
      <c r="I97" s="2" t="s">
        <v>18119</v>
      </c>
      <c r="J97" s="2" t="s">
        <v>18120</v>
      </c>
      <c r="K97" s="2" t="s">
        <v>29</v>
      </c>
      <c r="L97" s="2" t="s">
        <v>29</v>
      </c>
      <c r="M97" s="2" t="s">
        <v>18121</v>
      </c>
      <c r="N97" s="2" t="s">
        <v>18122</v>
      </c>
      <c r="O97" s="2" t="s">
        <v>18123</v>
      </c>
      <c r="P97" s="2" t="s">
        <v>18124</v>
      </c>
      <c r="Q97" s="2" t="s">
        <v>18125</v>
      </c>
      <c r="R97" s="2" t="s">
        <v>114</v>
      </c>
      <c r="S97" s="2" t="s">
        <v>115</v>
      </c>
      <c r="T97" s="2" t="s">
        <v>215</v>
      </c>
      <c r="U97" s="2" t="s">
        <v>56</v>
      </c>
      <c r="V97" s="2" t="n">
        <v>1</v>
      </c>
    </row>
    <row r="98">
      <c r="A98" s="2" t="n">
        <v>97</v>
      </c>
      <c r="B98" s="2" t="s">
        <v>18126</v>
      </c>
      <c r="C98" s="2" t="n">
        <v>159.160422596</v>
      </c>
      <c r="D98" s="2" t="n">
        <v>7.40159110467573</v>
      </c>
      <c r="E98" s="2" t="s">
        <v>18127</v>
      </c>
      <c r="F98" s="2" t="s">
        <v>17137</v>
      </c>
      <c r="G98" s="2" t="s">
        <v>18128</v>
      </c>
      <c r="H98" s="2" t="s">
        <v>18129</v>
      </c>
      <c r="I98" s="2" t="s">
        <v>18130</v>
      </c>
      <c r="J98" s="2" t="s">
        <v>29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  <c r="P98" s="2" t="s">
        <v>18131</v>
      </c>
      <c r="Q98" s="2" t="s">
        <v>18132</v>
      </c>
      <c r="R98" s="2" t="s">
        <v>601</v>
      </c>
      <c r="S98" s="2" t="s">
        <v>602</v>
      </c>
      <c r="T98" s="2" t="s">
        <v>1969</v>
      </c>
      <c r="U98" s="2" t="s">
        <v>29</v>
      </c>
      <c r="V98" s="2" t="n">
        <v>1</v>
      </c>
    </row>
    <row r="99">
      <c r="A99" s="2" t="n">
        <v>98</v>
      </c>
      <c r="B99" s="2" t="s">
        <v>18133</v>
      </c>
      <c r="C99" s="2" t="n">
        <v>161.096679692</v>
      </c>
      <c r="D99" s="2" t="n">
        <v>4.37815003372671</v>
      </c>
      <c r="E99" s="2" t="s">
        <v>18134</v>
      </c>
      <c r="F99" s="2" t="s">
        <v>17039</v>
      </c>
      <c r="G99" s="2" t="s">
        <v>18135</v>
      </c>
      <c r="H99" s="2" t="s">
        <v>18136</v>
      </c>
      <c r="I99" s="2" t="s">
        <v>18137</v>
      </c>
      <c r="J99" s="2" t="s">
        <v>18138</v>
      </c>
      <c r="K99" s="2" t="s">
        <v>29</v>
      </c>
      <c r="L99" s="2" t="s">
        <v>18139</v>
      </c>
      <c r="M99" s="2" t="s">
        <v>18140</v>
      </c>
      <c r="N99" s="2" t="s">
        <v>18141</v>
      </c>
      <c r="O99" s="2" t="s">
        <v>18142</v>
      </c>
      <c r="P99" s="2" t="s">
        <v>18143</v>
      </c>
      <c r="Q99" s="2" t="s">
        <v>18144</v>
      </c>
      <c r="R99" s="2" t="s">
        <v>186</v>
      </c>
      <c r="S99" s="2" t="s">
        <v>187</v>
      </c>
      <c r="T99" s="2" t="s">
        <v>3552</v>
      </c>
      <c r="U99" s="2" t="s">
        <v>56</v>
      </c>
      <c r="V99" s="2" t="n">
        <v>1</v>
      </c>
    </row>
    <row r="100">
      <c r="A100" s="2" t="n">
        <v>99</v>
      </c>
      <c r="B100" s="2" t="s">
        <v>18145</v>
      </c>
      <c r="C100" s="2" t="n">
        <v>162.113018383</v>
      </c>
      <c r="D100" s="2" t="n">
        <v>3.52465614293998</v>
      </c>
      <c r="E100" s="2" t="s">
        <v>18146</v>
      </c>
      <c r="F100" s="2" t="s">
        <v>17117</v>
      </c>
      <c r="G100" s="2" t="s">
        <v>18147</v>
      </c>
      <c r="H100" s="2" t="s">
        <v>18148</v>
      </c>
      <c r="I100" s="2" t="s">
        <v>18149</v>
      </c>
      <c r="J100" s="2" t="s">
        <v>18150</v>
      </c>
      <c r="K100" s="2" t="s">
        <v>29</v>
      </c>
      <c r="L100" s="2" t="s">
        <v>18151</v>
      </c>
      <c r="M100" s="2" t="s">
        <v>18152</v>
      </c>
      <c r="N100" s="2" t="s">
        <v>18153</v>
      </c>
      <c r="O100" s="2" t="s">
        <v>18154</v>
      </c>
      <c r="P100" s="2" t="s">
        <v>18155</v>
      </c>
      <c r="Q100" s="2" t="s">
        <v>18156</v>
      </c>
      <c r="R100" s="2" t="s">
        <v>601</v>
      </c>
      <c r="S100" s="2" t="s">
        <v>602</v>
      </c>
      <c r="T100" s="2" t="s">
        <v>8583</v>
      </c>
      <c r="U100" s="2" t="s">
        <v>39</v>
      </c>
      <c r="V100" s="2" t="n">
        <v>1</v>
      </c>
    </row>
    <row r="101">
      <c r="A101" s="2" t="n">
        <v>100</v>
      </c>
      <c r="B101" s="2" t="s">
        <v>18157</v>
      </c>
      <c r="C101" s="2" t="n">
        <v>163.039558744</v>
      </c>
      <c r="D101" s="2" t="n">
        <v>2.4785677157482</v>
      </c>
      <c r="E101" s="2" t="s">
        <v>18158</v>
      </c>
      <c r="F101" s="2" t="s">
        <v>17039</v>
      </c>
      <c r="G101" s="2" t="s">
        <v>18159</v>
      </c>
      <c r="H101" s="2" t="s">
        <v>18160</v>
      </c>
      <c r="I101" s="2" t="s">
        <v>18161</v>
      </c>
      <c r="J101" s="2" t="s">
        <v>18162</v>
      </c>
      <c r="K101" s="2" t="s">
        <v>195</v>
      </c>
      <c r="L101" s="2" t="s">
        <v>18163</v>
      </c>
      <c r="M101" s="2" t="s">
        <v>18164</v>
      </c>
      <c r="N101" s="2" t="s">
        <v>18165</v>
      </c>
      <c r="O101" s="2" t="s">
        <v>18166</v>
      </c>
      <c r="P101" s="2" t="s">
        <v>18167</v>
      </c>
      <c r="Q101" s="2" t="s">
        <v>18168</v>
      </c>
      <c r="R101" s="2" t="s">
        <v>18169</v>
      </c>
      <c r="S101" s="2" t="s">
        <v>18170</v>
      </c>
      <c r="T101" s="2" t="s">
        <v>18171</v>
      </c>
      <c r="U101" s="2" t="s">
        <v>56</v>
      </c>
      <c r="V101" s="2" t="n">
        <v>3</v>
      </c>
    </row>
    <row r="102">
      <c r="A102" s="2" t="n">
        <v>101</v>
      </c>
      <c r="B102" s="2" t="s">
        <v>18172</v>
      </c>
      <c r="C102" s="2" t="n">
        <v>163.118951707</v>
      </c>
      <c r="D102" s="2" t="n">
        <v>5.24461611986121</v>
      </c>
      <c r="E102" s="2" t="s">
        <v>18173</v>
      </c>
      <c r="F102" s="2" t="s">
        <v>17137</v>
      </c>
      <c r="G102" s="2" t="s">
        <v>18174</v>
      </c>
      <c r="H102" s="2" t="s">
        <v>18175</v>
      </c>
      <c r="I102" s="2" t="s">
        <v>18176</v>
      </c>
      <c r="J102" s="2" t="s">
        <v>29</v>
      </c>
      <c r="K102" s="2" t="s">
        <v>29</v>
      </c>
      <c r="L102" s="2" t="s">
        <v>29</v>
      </c>
      <c r="M102" s="2" t="s">
        <v>29</v>
      </c>
      <c r="N102" s="2" t="s">
        <v>18177</v>
      </c>
      <c r="O102" s="2" t="s">
        <v>29</v>
      </c>
      <c r="P102" s="2" t="s">
        <v>18178</v>
      </c>
      <c r="Q102" s="2" t="s">
        <v>18179</v>
      </c>
      <c r="R102" s="2" t="s">
        <v>601</v>
      </c>
      <c r="S102" s="2" t="s">
        <v>602</v>
      </c>
      <c r="T102" s="2" t="s">
        <v>1800</v>
      </c>
      <c r="U102" s="2" t="s">
        <v>29</v>
      </c>
      <c r="V102" s="2" t="n">
        <v>1</v>
      </c>
    </row>
    <row r="103">
      <c r="A103" s="2" t="n">
        <v>102</v>
      </c>
      <c r="B103" s="2" t="s">
        <v>18180</v>
      </c>
      <c r="C103" s="2" t="n">
        <v>165.070464942</v>
      </c>
      <c r="D103" s="2" t="n">
        <v>12.5483449285755</v>
      </c>
      <c r="E103" s="2" t="s">
        <v>18181</v>
      </c>
      <c r="F103" s="2" t="s">
        <v>17039</v>
      </c>
      <c r="G103" s="2" t="s">
        <v>18182</v>
      </c>
      <c r="H103" s="2" t="s">
        <v>18183</v>
      </c>
      <c r="I103" s="2" t="s">
        <v>18184</v>
      </c>
      <c r="J103" s="2" t="s">
        <v>18185</v>
      </c>
      <c r="K103" s="2" t="s">
        <v>91</v>
      </c>
      <c r="L103" s="2" t="s">
        <v>18186</v>
      </c>
      <c r="M103" s="2" t="s">
        <v>18187</v>
      </c>
      <c r="N103" s="2" t="s">
        <v>18188</v>
      </c>
      <c r="O103" s="2" t="s">
        <v>18189</v>
      </c>
      <c r="P103" s="2" t="s">
        <v>18190</v>
      </c>
      <c r="Q103" s="2" t="s">
        <v>18191</v>
      </c>
      <c r="R103" s="2" t="s">
        <v>770</v>
      </c>
      <c r="S103" s="2" t="s">
        <v>18192</v>
      </c>
      <c r="T103" s="2" t="s">
        <v>18193</v>
      </c>
      <c r="U103" s="2" t="s">
        <v>56</v>
      </c>
      <c r="V103" s="2" t="n">
        <v>2</v>
      </c>
    </row>
    <row r="104">
      <c r="A104" s="2" t="n">
        <v>103</v>
      </c>
      <c r="B104" s="2" t="s">
        <v>18194</v>
      </c>
      <c r="C104" s="2" t="n">
        <v>165.091594314</v>
      </c>
      <c r="D104" s="2" t="n">
        <v>4.16842320353561</v>
      </c>
      <c r="E104" s="2" t="s">
        <v>18195</v>
      </c>
      <c r="F104" s="2" t="s">
        <v>17039</v>
      </c>
      <c r="G104" s="2" t="s">
        <v>18196</v>
      </c>
      <c r="H104" s="2" t="s">
        <v>18197</v>
      </c>
      <c r="I104" s="2" t="s">
        <v>18198</v>
      </c>
      <c r="J104" s="2" t="s">
        <v>18199</v>
      </c>
      <c r="K104" s="2" t="s">
        <v>18200</v>
      </c>
      <c r="L104" s="2" t="s">
        <v>195</v>
      </c>
      <c r="M104" s="2" t="s">
        <v>195</v>
      </c>
      <c r="N104" s="2" t="s">
        <v>18201</v>
      </c>
      <c r="O104" s="2" t="s">
        <v>18202</v>
      </c>
      <c r="P104" s="2" t="s">
        <v>18203</v>
      </c>
      <c r="Q104" s="2" t="s">
        <v>18204</v>
      </c>
      <c r="R104" s="2" t="s">
        <v>1670</v>
      </c>
      <c r="S104" s="2" t="s">
        <v>1671</v>
      </c>
      <c r="T104" s="2" t="s">
        <v>18205</v>
      </c>
      <c r="U104" s="2" t="s">
        <v>56</v>
      </c>
      <c r="V104" s="2" t="n">
        <v>3</v>
      </c>
    </row>
    <row r="105">
      <c r="A105" s="2" t="n">
        <v>104</v>
      </c>
      <c r="B105" s="2" t="s">
        <v>18206</v>
      </c>
      <c r="C105" s="2" t="n">
        <v>166.086254601</v>
      </c>
      <c r="D105" s="2" t="n">
        <v>6.49353125621412</v>
      </c>
      <c r="E105" s="2" t="s">
        <v>18207</v>
      </c>
      <c r="F105" s="2" t="s">
        <v>17137</v>
      </c>
      <c r="G105" s="2" t="s">
        <v>18208</v>
      </c>
      <c r="H105" s="2" t="s">
        <v>18209</v>
      </c>
      <c r="I105" s="2" t="s">
        <v>18210</v>
      </c>
      <c r="J105" s="2" t="s">
        <v>18211</v>
      </c>
      <c r="K105" s="2" t="s">
        <v>29</v>
      </c>
      <c r="L105" s="2" t="s">
        <v>18212</v>
      </c>
      <c r="M105" s="2" t="s">
        <v>18213</v>
      </c>
      <c r="N105" s="2" t="s">
        <v>18214</v>
      </c>
      <c r="O105" s="2" t="s">
        <v>18215</v>
      </c>
      <c r="P105" s="2" t="s">
        <v>18216</v>
      </c>
      <c r="Q105" s="2" t="s">
        <v>18217</v>
      </c>
      <c r="R105" s="2" t="s">
        <v>36</v>
      </c>
      <c r="S105" s="2" t="s">
        <v>37</v>
      </c>
      <c r="T105" s="2" t="s">
        <v>69</v>
      </c>
      <c r="U105" s="2" t="s">
        <v>39</v>
      </c>
      <c r="V105" s="2" t="n">
        <v>1</v>
      </c>
    </row>
    <row r="106">
      <c r="A106" s="2" t="n">
        <v>105</v>
      </c>
      <c r="B106" s="2" t="s">
        <v>18218</v>
      </c>
      <c r="C106" s="2" t="n">
        <v>166.950618259</v>
      </c>
      <c r="D106" s="2" t="n">
        <v>4.61483378899279</v>
      </c>
      <c r="E106" s="2" t="s">
        <v>18219</v>
      </c>
      <c r="F106" s="2" t="s">
        <v>17406</v>
      </c>
      <c r="G106" s="2" t="s">
        <v>18220</v>
      </c>
      <c r="H106" s="2" t="s">
        <v>18221</v>
      </c>
      <c r="I106" s="2" t="s">
        <v>18222</v>
      </c>
      <c r="J106" s="2" t="s">
        <v>29</v>
      </c>
      <c r="K106" s="2" t="s">
        <v>29</v>
      </c>
      <c r="L106" s="2" t="s">
        <v>29</v>
      </c>
      <c r="M106" s="2" t="s">
        <v>29</v>
      </c>
      <c r="N106" s="2" t="s">
        <v>18223</v>
      </c>
      <c r="O106" s="2" t="s">
        <v>29</v>
      </c>
      <c r="P106" s="2" t="s">
        <v>18224</v>
      </c>
      <c r="Q106" s="2" t="s">
        <v>18225</v>
      </c>
      <c r="R106" s="2" t="s">
        <v>36</v>
      </c>
      <c r="S106" s="2" t="s">
        <v>2572</v>
      </c>
      <c r="T106" s="2" t="s">
        <v>2637</v>
      </c>
      <c r="U106" s="2" t="s">
        <v>29</v>
      </c>
      <c r="V106" s="2" t="n">
        <v>1</v>
      </c>
    </row>
    <row r="107">
      <c r="A107" s="2" t="n">
        <v>106</v>
      </c>
      <c r="B107" s="2" t="s">
        <v>18226</v>
      </c>
      <c r="C107" s="2" t="n">
        <v>167.034473366</v>
      </c>
      <c r="D107" s="2" t="n">
        <v>7.54568674064919</v>
      </c>
      <c r="E107" s="2" t="s">
        <v>18227</v>
      </c>
      <c r="F107" s="2" t="s">
        <v>17039</v>
      </c>
      <c r="G107" s="2" t="s">
        <v>18228</v>
      </c>
      <c r="H107" s="2" t="s">
        <v>18229</v>
      </c>
      <c r="I107" s="2" t="s">
        <v>18230</v>
      </c>
      <c r="J107" s="2" t="s">
        <v>18231</v>
      </c>
      <c r="K107" s="2" t="s">
        <v>29</v>
      </c>
      <c r="L107" s="2" t="s">
        <v>18232</v>
      </c>
      <c r="M107" s="2" t="s">
        <v>18233</v>
      </c>
      <c r="N107" s="2" t="s">
        <v>18234</v>
      </c>
      <c r="O107" s="2" t="s">
        <v>18235</v>
      </c>
      <c r="P107" s="2" t="s">
        <v>18236</v>
      </c>
      <c r="Q107" s="2" t="s">
        <v>18237</v>
      </c>
      <c r="R107" s="2" t="s">
        <v>186</v>
      </c>
      <c r="S107" s="2" t="s">
        <v>357</v>
      </c>
      <c r="T107" s="2" t="s">
        <v>15974</v>
      </c>
      <c r="U107" s="2" t="s">
        <v>56</v>
      </c>
      <c r="V107" s="2" t="n">
        <v>1</v>
      </c>
    </row>
    <row r="108">
      <c r="A108" s="2" t="n">
        <v>107</v>
      </c>
      <c r="B108" s="2" t="s">
        <v>18238</v>
      </c>
      <c r="C108" s="2" t="n">
        <v>168.954249572</v>
      </c>
      <c r="D108" s="2" t="n">
        <v>16.3766987376503</v>
      </c>
      <c r="E108" s="2" t="s">
        <v>18239</v>
      </c>
      <c r="F108" s="2" t="s">
        <v>17406</v>
      </c>
      <c r="G108" s="2" t="s">
        <v>18240</v>
      </c>
      <c r="H108" s="2" t="s">
        <v>18241</v>
      </c>
      <c r="I108" s="2" t="s">
        <v>18242</v>
      </c>
      <c r="J108" s="2" t="s">
        <v>18243</v>
      </c>
      <c r="K108" s="2" t="s">
        <v>195</v>
      </c>
      <c r="L108" s="2" t="s">
        <v>195</v>
      </c>
      <c r="M108" s="2" t="s">
        <v>195</v>
      </c>
      <c r="N108" s="2" t="s">
        <v>18244</v>
      </c>
      <c r="O108" s="2" t="s">
        <v>18245</v>
      </c>
      <c r="P108" s="2" t="s">
        <v>18246</v>
      </c>
      <c r="Q108" s="2" t="s">
        <v>18247</v>
      </c>
      <c r="R108" s="2" t="s">
        <v>18248</v>
      </c>
      <c r="S108" s="2" t="s">
        <v>18249</v>
      </c>
      <c r="T108" s="2" t="s">
        <v>18250</v>
      </c>
      <c r="U108" s="2" t="s">
        <v>29</v>
      </c>
      <c r="V108" s="2" t="n">
        <v>3</v>
      </c>
    </row>
    <row r="109">
      <c r="A109" s="2" t="n">
        <v>108</v>
      </c>
      <c r="B109" s="2" t="s">
        <v>18251</v>
      </c>
      <c r="C109" s="2" t="n">
        <v>169.059425453</v>
      </c>
      <c r="D109" s="2" t="n">
        <v>3.31635541504567</v>
      </c>
      <c r="E109" s="2" t="s">
        <v>18252</v>
      </c>
      <c r="F109" s="2" t="s">
        <v>17137</v>
      </c>
      <c r="G109" s="2" t="s">
        <v>18253</v>
      </c>
      <c r="H109" s="2" t="s">
        <v>18254</v>
      </c>
      <c r="I109" s="2" t="s">
        <v>18255</v>
      </c>
      <c r="J109" s="2" t="s">
        <v>29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29</v>
      </c>
      <c r="P109" s="2" t="s">
        <v>18256</v>
      </c>
      <c r="Q109" s="2" t="s">
        <v>18257</v>
      </c>
      <c r="R109" s="2" t="s">
        <v>601</v>
      </c>
      <c r="S109" s="2" t="s">
        <v>602</v>
      </c>
      <c r="T109" s="2" t="s">
        <v>7887</v>
      </c>
      <c r="U109" s="2" t="s">
        <v>29</v>
      </c>
      <c r="V109" s="2" t="n">
        <v>1</v>
      </c>
    </row>
    <row r="110">
      <c r="A110" s="2" t="n">
        <v>109</v>
      </c>
      <c r="B110" s="2" t="s">
        <v>18258</v>
      </c>
      <c r="C110" s="2" t="n">
        <v>169.08592025</v>
      </c>
      <c r="D110" s="2" t="n">
        <v>3.56500009323066</v>
      </c>
      <c r="E110" s="2" t="s">
        <v>18259</v>
      </c>
      <c r="F110" s="2" t="s">
        <v>17137</v>
      </c>
      <c r="G110" s="2" t="s">
        <v>18260</v>
      </c>
      <c r="H110" s="2" t="s">
        <v>18261</v>
      </c>
      <c r="I110" s="2" t="s">
        <v>18262</v>
      </c>
      <c r="J110" s="2" t="s">
        <v>18263</v>
      </c>
      <c r="K110" s="2" t="s">
        <v>18264</v>
      </c>
      <c r="L110" s="2" t="s">
        <v>195</v>
      </c>
      <c r="M110" s="2" t="s">
        <v>18265</v>
      </c>
      <c r="N110" s="2" t="s">
        <v>18266</v>
      </c>
      <c r="O110" s="2" t="s">
        <v>18267</v>
      </c>
      <c r="P110" s="2" t="s">
        <v>18268</v>
      </c>
      <c r="Q110" s="2" t="s">
        <v>18269</v>
      </c>
      <c r="R110" s="2" t="s">
        <v>18270</v>
      </c>
      <c r="S110" s="2" t="s">
        <v>18271</v>
      </c>
      <c r="T110" s="2" t="s">
        <v>18272</v>
      </c>
      <c r="U110" s="2" t="s">
        <v>56</v>
      </c>
      <c r="V110" s="2" t="n">
        <v>3</v>
      </c>
    </row>
    <row r="111">
      <c r="A111" s="2" t="n">
        <v>110</v>
      </c>
      <c r="B111" s="2" t="s">
        <v>18273</v>
      </c>
      <c r="C111" s="2" t="n">
        <v>169.122894442</v>
      </c>
      <c r="D111" s="2" t="n">
        <v>12.6447960794678</v>
      </c>
      <c r="E111" s="2" t="s">
        <v>18274</v>
      </c>
      <c r="F111" s="2" t="s">
        <v>17039</v>
      </c>
      <c r="G111" s="2" t="s">
        <v>18275</v>
      </c>
      <c r="H111" s="2" t="s">
        <v>18276</v>
      </c>
      <c r="I111" s="2" t="s">
        <v>18277</v>
      </c>
      <c r="J111" s="2" t="s">
        <v>18278</v>
      </c>
      <c r="K111" s="2" t="s">
        <v>18279</v>
      </c>
      <c r="L111" s="2" t="s">
        <v>195</v>
      </c>
      <c r="M111" s="2" t="s">
        <v>18280</v>
      </c>
      <c r="N111" s="2" t="s">
        <v>18281</v>
      </c>
      <c r="O111" s="2" t="s">
        <v>18282</v>
      </c>
      <c r="P111" s="2" t="s">
        <v>18283</v>
      </c>
      <c r="Q111" s="2" t="s">
        <v>18284</v>
      </c>
      <c r="R111" s="2" t="s">
        <v>2688</v>
      </c>
      <c r="S111" s="2" t="s">
        <v>18285</v>
      </c>
      <c r="T111" s="2" t="s">
        <v>18286</v>
      </c>
      <c r="U111" s="2" t="s">
        <v>56</v>
      </c>
      <c r="V111" s="2" t="n">
        <v>3</v>
      </c>
    </row>
    <row r="112">
      <c r="A112" s="2" t="n">
        <v>111</v>
      </c>
      <c r="B112" s="2" t="s">
        <v>18287</v>
      </c>
      <c r="C112" s="2" t="n">
        <v>169.985015653</v>
      </c>
      <c r="D112" s="2" t="n">
        <v>9.81906678514666</v>
      </c>
      <c r="E112" s="2" t="s">
        <v>18288</v>
      </c>
      <c r="F112" s="2" t="s">
        <v>17406</v>
      </c>
      <c r="G112" s="2" t="s">
        <v>18289</v>
      </c>
      <c r="H112" s="2" t="s">
        <v>18290</v>
      </c>
      <c r="I112" s="2" t="s">
        <v>18291</v>
      </c>
      <c r="J112" s="2" t="s">
        <v>18292</v>
      </c>
      <c r="K112" s="2" t="s">
        <v>18293</v>
      </c>
      <c r="L112" s="2" t="s">
        <v>18294</v>
      </c>
      <c r="M112" s="2" t="s">
        <v>18295</v>
      </c>
      <c r="N112" s="2" t="s">
        <v>18296</v>
      </c>
      <c r="O112" s="2" t="s">
        <v>18297</v>
      </c>
      <c r="P112" s="2" t="s">
        <v>18298</v>
      </c>
      <c r="Q112" s="2" t="s">
        <v>18299</v>
      </c>
      <c r="R112" s="2" t="s">
        <v>36</v>
      </c>
      <c r="S112" s="2" t="s">
        <v>37</v>
      </c>
      <c r="T112" s="2" t="s">
        <v>242</v>
      </c>
      <c r="U112" s="2" t="s">
        <v>56</v>
      </c>
      <c r="V112" s="2" t="n">
        <v>1</v>
      </c>
    </row>
    <row r="113">
      <c r="A113" s="2" t="n">
        <v>112</v>
      </c>
      <c r="B113" s="2" t="s">
        <v>18300</v>
      </c>
      <c r="C113" s="2" t="n">
        <v>170.035476413</v>
      </c>
      <c r="D113" s="2" t="n">
        <v>0.553308120296801</v>
      </c>
      <c r="E113" s="2" t="s">
        <v>18301</v>
      </c>
      <c r="F113" s="2" t="s">
        <v>17039</v>
      </c>
      <c r="G113" s="2" t="s">
        <v>18302</v>
      </c>
      <c r="H113" s="2" t="s">
        <v>18303</v>
      </c>
      <c r="I113" s="2" t="s">
        <v>18304</v>
      </c>
      <c r="J113" s="2" t="s">
        <v>18305</v>
      </c>
      <c r="K113" s="2" t="s">
        <v>91</v>
      </c>
      <c r="L113" s="2" t="s">
        <v>91</v>
      </c>
      <c r="M113" s="2" t="s">
        <v>18306</v>
      </c>
      <c r="N113" s="2" t="s">
        <v>18307</v>
      </c>
      <c r="O113" s="2" t="s">
        <v>18308</v>
      </c>
      <c r="P113" s="2" t="s">
        <v>18309</v>
      </c>
      <c r="Q113" s="2" t="s">
        <v>18310</v>
      </c>
      <c r="R113" s="2" t="s">
        <v>541</v>
      </c>
      <c r="S113" s="2" t="s">
        <v>18311</v>
      </c>
      <c r="T113" s="2" t="s">
        <v>18312</v>
      </c>
      <c r="U113" s="2" t="s">
        <v>29</v>
      </c>
      <c r="V113" s="2" t="n">
        <v>2</v>
      </c>
    </row>
    <row r="114">
      <c r="A114" s="2" t="n">
        <v>113</v>
      </c>
      <c r="B114" s="2" t="s">
        <v>18313</v>
      </c>
      <c r="C114" s="2" t="n">
        <v>170.060039849</v>
      </c>
      <c r="D114" s="2" t="n">
        <v>3.30814938774062</v>
      </c>
      <c r="E114" s="2" t="s">
        <v>18314</v>
      </c>
      <c r="F114" s="2" t="s">
        <v>17137</v>
      </c>
      <c r="G114" s="2" t="s">
        <v>18315</v>
      </c>
      <c r="H114" s="2" t="s">
        <v>18316</v>
      </c>
      <c r="I114" s="2" t="s">
        <v>18317</v>
      </c>
      <c r="J114" s="2" t="s">
        <v>18318</v>
      </c>
      <c r="K114" s="2" t="s">
        <v>29</v>
      </c>
      <c r="L114" s="2" t="s">
        <v>29</v>
      </c>
      <c r="M114" s="2" t="s">
        <v>29</v>
      </c>
      <c r="N114" s="2" t="s">
        <v>18319</v>
      </c>
      <c r="O114" s="2" t="s">
        <v>29</v>
      </c>
      <c r="P114" s="2" t="s">
        <v>18320</v>
      </c>
      <c r="Q114" s="2" t="s">
        <v>18321</v>
      </c>
      <c r="R114" s="2" t="s">
        <v>186</v>
      </c>
      <c r="S114" s="2" t="s">
        <v>4086</v>
      </c>
      <c r="T114" s="2" t="s">
        <v>215</v>
      </c>
      <c r="U114" s="2" t="s">
        <v>29</v>
      </c>
      <c r="V114" s="2" t="n">
        <v>1</v>
      </c>
    </row>
    <row r="115">
      <c r="A115" s="2" t="n">
        <v>114</v>
      </c>
      <c r="B115" s="2" t="s">
        <v>18322</v>
      </c>
      <c r="C115" s="2" t="n">
        <v>171.101570314</v>
      </c>
      <c r="D115" s="2" t="n">
        <v>3.14104491732775</v>
      </c>
      <c r="E115" s="2" t="s">
        <v>18323</v>
      </c>
      <c r="F115" s="2" t="s">
        <v>17137</v>
      </c>
      <c r="G115" s="2" t="s">
        <v>18324</v>
      </c>
      <c r="H115" s="2" t="s">
        <v>18325</v>
      </c>
      <c r="I115" s="2" t="s">
        <v>18326</v>
      </c>
      <c r="J115" s="2" t="s">
        <v>18327</v>
      </c>
      <c r="K115" s="2" t="s">
        <v>29</v>
      </c>
      <c r="L115" s="2" t="s">
        <v>29</v>
      </c>
      <c r="M115" s="2" t="s">
        <v>18328</v>
      </c>
      <c r="N115" s="2" t="s">
        <v>18329</v>
      </c>
      <c r="O115" s="2" t="s">
        <v>18330</v>
      </c>
      <c r="P115" s="2" t="s">
        <v>18331</v>
      </c>
      <c r="Q115" s="2" t="s">
        <v>18332</v>
      </c>
      <c r="R115" s="2" t="s">
        <v>114</v>
      </c>
      <c r="S115" s="2" t="s">
        <v>877</v>
      </c>
      <c r="T115" s="2" t="s">
        <v>215</v>
      </c>
      <c r="U115" s="2" t="s">
        <v>56</v>
      </c>
      <c r="V115" s="2" t="n">
        <v>1</v>
      </c>
    </row>
    <row r="116">
      <c r="A116" s="2" t="n">
        <v>115</v>
      </c>
      <c r="B116" s="2" t="s">
        <v>18333</v>
      </c>
      <c r="C116" s="2" t="n">
        <v>171.149189208</v>
      </c>
      <c r="D116" s="2" t="n">
        <v>0.982027059091487</v>
      </c>
      <c r="E116" s="2" t="s">
        <v>18334</v>
      </c>
      <c r="F116" s="2" t="s">
        <v>17137</v>
      </c>
      <c r="G116" s="2" t="s">
        <v>18335</v>
      </c>
      <c r="H116" s="2" t="s">
        <v>18336</v>
      </c>
      <c r="I116" s="2" t="s">
        <v>18337</v>
      </c>
      <c r="J116" s="2" t="s">
        <v>29</v>
      </c>
      <c r="K116" s="2" t="s">
        <v>29</v>
      </c>
      <c r="L116" s="2" t="s">
        <v>29</v>
      </c>
      <c r="M116" s="2" t="s">
        <v>29</v>
      </c>
      <c r="N116" s="2" t="s">
        <v>18338</v>
      </c>
      <c r="O116" s="2" t="s">
        <v>29</v>
      </c>
      <c r="P116" s="2" t="s">
        <v>18339</v>
      </c>
      <c r="Q116" s="2" t="s">
        <v>18340</v>
      </c>
      <c r="R116" s="2" t="s">
        <v>36</v>
      </c>
      <c r="S116" s="2" t="s">
        <v>37</v>
      </c>
      <c r="T116" s="2" t="s">
        <v>69</v>
      </c>
      <c r="U116" s="2" t="s">
        <v>29</v>
      </c>
      <c r="V116" s="2" t="n">
        <v>1</v>
      </c>
    </row>
    <row r="117">
      <c r="A117" s="2" t="n">
        <v>116</v>
      </c>
      <c r="B117" s="2" t="s">
        <v>18341</v>
      </c>
      <c r="C117" s="2" t="n">
        <v>172.169590299</v>
      </c>
      <c r="D117" s="2" t="n">
        <v>2.33579046420817</v>
      </c>
      <c r="E117" s="2" t="s">
        <v>18342</v>
      </c>
      <c r="F117" s="2" t="s">
        <v>17137</v>
      </c>
      <c r="G117" s="2" t="s">
        <v>18343</v>
      </c>
      <c r="H117" s="2" t="s">
        <v>18344</v>
      </c>
      <c r="I117" s="2" t="s">
        <v>18345</v>
      </c>
      <c r="J117" s="2" t="s">
        <v>18346</v>
      </c>
      <c r="K117" s="2" t="s">
        <v>18347</v>
      </c>
      <c r="L117" s="2" t="s">
        <v>29</v>
      </c>
      <c r="M117" s="2" t="s">
        <v>29</v>
      </c>
      <c r="N117" s="2" t="s">
        <v>18348</v>
      </c>
      <c r="O117" s="2" t="s">
        <v>18349</v>
      </c>
      <c r="P117" s="2" t="s">
        <v>18350</v>
      </c>
      <c r="Q117" s="2" t="s">
        <v>18351</v>
      </c>
      <c r="R117" s="2" t="s">
        <v>794</v>
      </c>
      <c r="S117" s="2" t="s">
        <v>795</v>
      </c>
      <c r="T117" s="2" t="s">
        <v>5115</v>
      </c>
      <c r="U117" s="2" t="s">
        <v>56</v>
      </c>
      <c r="V117" s="2" t="n">
        <v>1</v>
      </c>
    </row>
    <row r="118">
      <c r="A118" s="2" t="n">
        <v>117</v>
      </c>
      <c r="B118" s="2" t="s">
        <v>18352</v>
      </c>
      <c r="C118" s="2" t="n">
        <v>173.054612222</v>
      </c>
      <c r="D118" s="2" t="n">
        <v>3.06317571489413</v>
      </c>
      <c r="E118" s="2" t="s">
        <v>18353</v>
      </c>
      <c r="F118" s="2" t="s">
        <v>17198</v>
      </c>
      <c r="G118" s="2" t="s">
        <v>18354</v>
      </c>
      <c r="H118" s="2" t="s">
        <v>18355</v>
      </c>
      <c r="I118" s="2" t="s">
        <v>18356</v>
      </c>
      <c r="J118" s="2" t="s">
        <v>18357</v>
      </c>
      <c r="K118" s="2" t="s">
        <v>29</v>
      </c>
      <c r="L118" s="2" t="s">
        <v>29</v>
      </c>
      <c r="M118" s="2" t="s">
        <v>18358</v>
      </c>
      <c r="N118" s="2" t="s">
        <v>18359</v>
      </c>
      <c r="O118" s="2" t="s">
        <v>29</v>
      </c>
      <c r="P118" s="2" t="s">
        <v>18360</v>
      </c>
      <c r="Q118" s="2" t="s">
        <v>18361</v>
      </c>
      <c r="R118" s="2" t="s">
        <v>114</v>
      </c>
      <c r="S118" s="2" t="s">
        <v>730</v>
      </c>
      <c r="T118" s="2" t="s">
        <v>731</v>
      </c>
      <c r="U118" s="2" t="s">
        <v>29</v>
      </c>
      <c r="V118" s="2" t="n">
        <v>1</v>
      </c>
    </row>
    <row r="119">
      <c r="A119" s="2" t="n">
        <v>118</v>
      </c>
      <c r="B119" s="2" t="s">
        <v>18362</v>
      </c>
      <c r="C119" s="2" t="n">
        <v>174.997713637</v>
      </c>
      <c r="D119" s="2" t="n">
        <v>4.04166218141863</v>
      </c>
      <c r="E119" s="2" t="s">
        <v>18363</v>
      </c>
      <c r="F119" s="2" t="s">
        <v>17137</v>
      </c>
      <c r="G119" s="2" t="s">
        <v>18364</v>
      </c>
      <c r="H119" s="2" t="s">
        <v>18365</v>
      </c>
      <c r="I119" s="2" t="s">
        <v>18366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18367</v>
      </c>
      <c r="O119" s="2" t="s">
        <v>29</v>
      </c>
      <c r="P119" s="2" t="s">
        <v>18368</v>
      </c>
      <c r="Q119" s="2" t="s">
        <v>18369</v>
      </c>
      <c r="R119" s="2" t="s">
        <v>186</v>
      </c>
      <c r="S119" s="2" t="s">
        <v>187</v>
      </c>
      <c r="T119" s="2" t="s">
        <v>215</v>
      </c>
      <c r="U119" s="2" t="s">
        <v>29</v>
      </c>
      <c r="V119" s="2" t="n">
        <v>1</v>
      </c>
    </row>
    <row r="120">
      <c r="A120" s="2" t="n">
        <v>119</v>
      </c>
      <c r="B120" s="2" t="s">
        <v>18370</v>
      </c>
      <c r="C120" s="2" t="n">
        <v>175.026820888</v>
      </c>
      <c r="D120" s="2" t="n">
        <v>4.9655379675448</v>
      </c>
      <c r="E120" s="2" t="s">
        <v>18371</v>
      </c>
      <c r="F120" s="2" t="s">
        <v>17406</v>
      </c>
      <c r="G120" s="2" t="s">
        <v>18372</v>
      </c>
      <c r="H120" s="2" t="s">
        <v>18373</v>
      </c>
      <c r="I120" s="2" t="s">
        <v>18374</v>
      </c>
      <c r="J120" s="2" t="s">
        <v>18375</v>
      </c>
      <c r="K120" s="2" t="s">
        <v>29</v>
      </c>
      <c r="L120" s="2" t="s">
        <v>29</v>
      </c>
      <c r="M120" s="2" t="s">
        <v>18376</v>
      </c>
      <c r="N120" s="2" t="s">
        <v>12194</v>
      </c>
      <c r="O120" s="2" t="s">
        <v>18377</v>
      </c>
      <c r="P120" s="2" t="s">
        <v>18378</v>
      </c>
      <c r="Q120" s="2" t="s">
        <v>18379</v>
      </c>
      <c r="R120" s="2" t="s">
        <v>114</v>
      </c>
      <c r="S120" s="2" t="s">
        <v>936</v>
      </c>
      <c r="T120" s="2" t="s">
        <v>1749</v>
      </c>
      <c r="U120" s="2" t="s">
        <v>56</v>
      </c>
      <c r="V120" s="2" t="n">
        <v>1</v>
      </c>
    </row>
    <row r="121">
      <c r="A121" s="2" t="n">
        <v>120</v>
      </c>
      <c r="B121" s="2" t="s">
        <v>18380</v>
      </c>
      <c r="C121" s="2" t="n">
        <v>175.166570606</v>
      </c>
      <c r="D121" s="2" t="n">
        <v>17.021083734118</v>
      </c>
      <c r="E121" s="2" t="s">
        <v>18381</v>
      </c>
      <c r="F121" s="2" t="s">
        <v>18382</v>
      </c>
      <c r="G121" s="2" t="s">
        <v>18383</v>
      </c>
      <c r="H121" s="2" t="s">
        <v>18384</v>
      </c>
      <c r="I121" s="2" t="s">
        <v>18385</v>
      </c>
      <c r="J121" s="2" t="s">
        <v>29</v>
      </c>
      <c r="K121" s="2" t="s">
        <v>29</v>
      </c>
      <c r="L121" s="2" t="s">
        <v>29</v>
      </c>
      <c r="M121" s="2" t="s">
        <v>29</v>
      </c>
      <c r="N121" s="2" t="s">
        <v>18386</v>
      </c>
      <c r="O121" s="2" t="s">
        <v>29</v>
      </c>
      <c r="P121" s="2" t="s">
        <v>18387</v>
      </c>
      <c r="Q121" s="2" t="s">
        <v>18388</v>
      </c>
      <c r="R121" s="2" t="s">
        <v>601</v>
      </c>
      <c r="S121" s="2" t="s">
        <v>602</v>
      </c>
      <c r="T121" s="2" t="s">
        <v>1969</v>
      </c>
      <c r="U121" s="2" t="s">
        <v>29</v>
      </c>
      <c r="V121" s="2" t="n">
        <v>1</v>
      </c>
    </row>
    <row r="122">
      <c r="A122" s="2" t="n">
        <v>121</v>
      </c>
      <c r="B122" s="2" t="s">
        <v>18389</v>
      </c>
      <c r="C122" s="2" t="n">
        <v>176.010836473</v>
      </c>
      <c r="D122" s="2" t="n">
        <v>3.56792425010353</v>
      </c>
      <c r="E122" s="2" t="s">
        <v>18390</v>
      </c>
      <c r="F122" s="2" t="s">
        <v>17406</v>
      </c>
      <c r="G122" s="2" t="s">
        <v>18391</v>
      </c>
      <c r="H122" s="2" t="s">
        <v>18392</v>
      </c>
      <c r="I122" s="2" t="s">
        <v>18393</v>
      </c>
      <c r="J122" s="2" t="s">
        <v>18394</v>
      </c>
      <c r="K122" s="2" t="s">
        <v>195</v>
      </c>
      <c r="L122" s="2" t="s">
        <v>18395</v>
      </c>
      <c r="M122" s="2" t="s">
        <v>18396</v>
      </c>
      <c r="N122" s="2" t="s">
        <v>18397</v>
      </c>
      <c r="O122" s="2" t="s">
        <v>18398</v>
      </c>
      <c r="P122" s="2" t="s">
        <v>18399</v>
      </c>
      <c r="Q122" s="2" t="s">
        <v>18400</v>
      </c>
      <c r="R122" s="2" t="s">
        <v>18401</v>
      </c>
      <c r="S122" s="2" t="s">
        <v>18402</v>
      </c>
      <c r="T122" s="2" t="s">
        <v>18403</v>
      </c>
      <c r="U122" s="2" t="s">
        <v>56</v>
      </c>
      <c r="V122" s="2" t="n">
        <v>3</v>
      </c>
    </row>
    <row r="123">
      <c r="A123" s="2" t="n">
        <v>122</v>
      </c>
      <c r="B123" s="2" t="s">
        <v>18404</v>
      </c>
      <c r="C123" s="2" t="n">
        <v>177.006085446</v>
      </c>
      <c r="D123" s="2" t="n">
        <v>17.8022318951541</v>
      </c>
      <c r="E123" s="2" t="s">
        <v>18405</v>
      </c>
      <c r="F123" s="2" t="s">
        <v>17406</v>
      </c>
      <c r="G123" s="2" t="s">
        <v>18406</v>
      </c>
      <c r="H123" s="2" t="s">
        <v>18407</v>
      </c>
      <c r="I123" s="2" t="s">
        <v>18408</v>
      </c>
      <c r="J123" s="2" t="s">
        <v>18409</v>
      </c>
      <c r="K123" s="2" t="s">
        <v>29</v>
      </c>
      <c r="L123" s="2" t="s">
        <v>18410</v>
      </c>
      <c r="M123" s="2" t="s">
        <v>18411</v>
      </c>
      <c r="N123" s="2" t="s">
        <v>18412</v>
      </c>
      <c r="O123" s="2" t="s">
        <v>18413</v>
      </c>
      <c r="P123" s="2" t="s">
        <v>18414</v>
      </c>
      <c r="Q123" s="2" t="s">
        <v>18415</v>
      </c>
      <c r="R123" s="2" t="s">
        <v>114</v>
      </c>
      <c r="S123" s="2" t="s">
        <v>172</v>
      </c>
      <c r="T123" s="2" t="s">
        <v>173</v>
      </c>
      <c r="U123" s="2" t="s">
        <v>56</v>
      </c>
      <c r="V123" s="2" t="n">
        <v>1</v>
      </c>
    </row>
    <row r="124">
      <c r="A124" s="2" t="n">
        <v>123</v>
      </c>
      <c r="B124" s="2" t="s">
        <v>18416</v>
      </c>
      <c r="C124" s="2" t="n">
        <v>177.055208808</v>
      </c>
      <c r="D124" s="2" t="n">
        <v>6.29891909441124</v>
      </c>
      <c r="E124" s="2" t="s">
        <v>18417</v>
      </c>
      <c r="F124" s="2" t="s">
        <v>17039</v>
      </c>
      <c r="G124" s="2" t="s">
        <v>18418</v>
      </c>
      <c r="H124" s="2" t="s">
        <v>18419</v>
      </c>
      <c r="I124" s="2" t="s">
        <v>18420</v>
      </c>
      <c r="J124" s="2" t="s">
        <v>18421</v>
      </c>
      <c r="K124" s="2" t="s">
        <v>29</v>
      </c>
      <c r="L124" s="2" t="s">
        <v>18422</v>
      </c>
      <c r="M124" s="2" t="s">
        <v>18423</v>
      </c>
      <c r="N124" s="2" t="s">
        <v>18424</v>
      </c>
      <c r="O124" s="2" t="s">
        <v>18425</v>
      </c>
      <c r="P124" s="2" t="s">
        <v>18426</v>
      </c>
      <c r="Q124" s="2" t="s">
        <v>18427</v>
      </c>
      <c r="R124" s="2" t="s">
        <v>1355</v>
      </c>
      <c r="S124" s="2" t="s">
        <v>6741</v>
      </c>
      <c r="T124" s="2" t="s">
        <v>6742</v>
      </c>
      <c r="U124" s="2" t="s">
        <v>56</v>
      </c>
      <c r="V124" s="2" t="n">
        <v>1</v>
      </c>
    </row>
    <row r="125">
      <c r="A125" s="2" t="n">
        <v>124</v>
      </c>
      <c r="B125" s="2" t="s">
        <v>18428</v>
      </c>
      <c r="C125" s="2" t="n">
        <v>177.12797982</v>
      </c>
      <c r="D125" s="2" t="n">
        <v>7.68795561059389</v>
      </c>
      <c r="E125" s="2" t="s">
        <v>18429</v>
      </c>
      <c r="F125" s="2" t="s">
        <v>17039</v>
      </c>
      <c r="G125" s="2" t="s">
        <v>18430</v>
      </c>
      <c r="H125" s="2" t="s">
        <v>18431</v>
      </c>
      <c r="I125" s="2" t="s">
        <v>18432</v>
      </c>
      <c r="J125" s="2" t="s">
        <v>18433</v>
      </c>
      <c r="K125" s="2" t="s">
        <v>29</v>
      </c>
      <c r="L125" s="2" t="s">
        <v>29</v>
      </c>
      <c r="M125" s="2" t="s">
        <v>18434</v>
      </c>
      <c r="N125" s="2" t="s">
        <v>18435</v>
      </c>
      <c r="O125" s="2" t="s">
        <v>18436</v>
      </c>
      <c r="P125" s="2" t="s">
        <v>18437</v>
      </c>
      <c r="Q125" s="2" t="s">
        <v>18438</v>
      </c>
      <c r="R125" s="2" t="s">
        <v>186</v>
      </c>
      <c r="S125" s="2" t="s">
        <v>187</v>
      </c>
      <c r="T125" s="2" t="s">
        <v>18439</v>
      </c>
      <c r="U125" s="2" t="s">
        <v>56</v>
      </c>
      <c r="V125" s="2" t="n">
        <v>1</v>
      </c>
    </row>
    <row r="126">
      <c r="A126" s="2" t="n">
        <v>125</v>
      </c>
      <c r="B126" s="2" t="s">
        <v>18440</v>
      </c>
      <c r="C126" s="2" t="n">
        <v>178.062872043</v>
      </c>
      <c r="D126" s="2" t="n">
        <v>8.50098388431356</v>
      </c>
      <c r="E126" s="2" t="s">
        <v>18441</v>
      </c>
      <c r="F126" s="2" t="s">
        <v>17406</v>
      </c>
      <c r="G126" s="2" t="s">
        <v>18442</v>
      </c>
      <c r="H126" s="2" t="s">
        <v>18443</v>
      </c>
      <c r="I126" s="2" t="s">
        <v>18444</v>
      </c>
      <c r="J126" s="2" t="s">
        <v>18445</v>
      </c>
      <c r="K126" s="2" t="s">
        <v>91</v>
      </c>
      <c r="L126" s="2" t="s">
        <v>91</v>
      </c>
      <c r="M126" s="2" t="s">
        <v>91</v>
      </c>
      <c r="N126" s="2" t="s">
        <v>18446</v>
      </c>
      <c r="O126" s="2" t="s">
        <v>18447</v>
      </c>
      <c r="P126" s="2" t="s">
        <v>18448</v>
      </c>
      <c r="Q126" s="2" t="s">
        <v>18449</v>
      </c>
      <c r="R126" s="2" t="s">
        <v>541</v>
      </c>
      <c r="S126" s="2" t="s">
        <v>18450</v>
      </c>
      <c r="T126" s="2" t="s">
        <v>18451</v>
      </c>
      <c r="U126" s="2" t="s">
        <v>56</v>
      </c>
      <c r="V126" s="2" t="n">
        <v>2</v>
      </c>
    </row>
    <row r="127">
      <c r="A127" s="2" t="n">
        <v>126</v>
      </c>
      <c r="B127" s="2" t="s">
        <v>18452</v>
      </c>
      <c r="C127" s="2" t="n">
        <v>179.063745504</v>
      </c>
      <c r="D127" s="2" t="n">
        <v>5.16601774188511</v>
      </c>
      <c r="E127" s="2" t="s">
        <v>18453</v>
      </c>
      <c r="F127" s="2" t="s">
        <v>17137</v>
      </c>
      <c r="G127" s="2" t="s">
        <v>18454</v>
      </c>
      <c r="H127" s="2" t="s">
        <v>18455</v>
      </c>
      <c r="I127" s="2" t="s">
        <v>18456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2" t="s">
        <v>18457</v>
      </c>
      <c r="Q127" s="2" t="s">
        <v>18458</v>
      </c>
      <c r="R127" s="2" t="s">
        <v>114</v>
      </c>
      <c r="S127" s="2" t="s">
        <v>2325</v>
      </c>
      <c r="T127" s="2" t="s">
        <v>215</v>
      </c>
      <c r="U127" s="2" t="s">
        <v>29</v>
      </c>
      <c r="V127" s="2" t="n">
        <v>1</v>
      </c>
    </row>
    <row r="128">
      <c r="A128" s="2" t="n">
        <v>127</v>
      </c>
      <c r="B128" s="2" t="s">
        <v>18459</v>
      </c>
      <c r="C128" s="2" t="n">
        <v>181.089291549</v>
      </c>
      <c r="D128" s="2" t="n">
        <v>4.10851989609101</v>
      </c>
      <c r="E128" s="2" t="s">
        <v>18460</v>
      </c>
      <c r="F128" s="2" t="s">
        <v>17137</v>
      </c>
      <c r="G128" s="2" t="s">
        <v>18461</v>
      </c>
      <c r="H128" s="2" t="s">
        <v>18462</v>
      </c>
      <c r="I128" s="2" t="s">
        <v>18463</v>
      </c>
      <c r="J128" s="2" t="s">
        <v>29</v>
      </c>
      <c r="K128" s="2" t="s">
        <v>29</v>
      </c>
      <c r="L128" s="2" t="s">
        <v>29</v>
      </c>
      <c r="M128" s="2" t="s">
        <v>29</v>
      </c>
      <c r="N128" s="2" t="s">
        <v>18464</v>
      </c>
      <c r="O128" s="2" t="s">
        <v>29</v>
      </c>
      <c r="P128" s="2" t="s">
        <v>18465</v>
      </c>
      <c r="Q128" s="2" t="s">
        <v>18466</v>
      </c>
      <c r="R128" s="2" t="s">
        <v>36</v>
      </c>
      <c r="S128" s="2" t="s">
        <v>344</v>
      </c>
      <c r="T128" s="2" t="s">
        <v>345</v>
      </c>
      <c r="U128" s="2" t="s">
        <v>29</v>
      </c>
      <c r="V128" s="2" t="n">
        <v>1</v>
      </c>
    </row>
    <row r="129">
      <c r="A129" s="2" t="n">
        <v>128</v>
      </c>
      <c r="B129" s="2" t="s">
        <v>18467</v>
      </c>
      <c r="C129" s="2" t="n">
        <v>181.159279948</v>
      </c>
      <c r="D129" s="2" t="n">
        <v>9.04839249492744</v>
      </c>
      <c r="E129" s="2" t="s">
        <v>18468</v>
      </c>
      <c r="F129" s="2" t="s">
        <v>17039</v>
      </c>
      <c r="G129" s="2" t="s">
        <v>18469</v>
      </c>
      <c r="H129" s="2" t="s">
        <v>18470</v>
      </c>
      <c r="I129" s="2" t="s">
        <v>18471</v>
      </c>
      <c r="J129" s="2" t="s">
        <v>18472</v>
      </c>
      <c r="K129" s="2" t="s">
        <v>18473</v>
      </c>
      <c r="L129" s="2" t="s">
        <v>195</v>
      </c>
      <c r="M129" s="2" t="s">
        <v>18474</v>
      </c>
      <c r="N129" s="2" t="s">
        <v>18475</v>
      </c>
      <c r="O129" s="2" t="s">
        <v>18476</v>
      </c>
      <c r="P129" s="2" t="s">
        <v>18477</v>
      </c>
      <c r="Q129" s="2" t="s">
        <v>18478</v>
      </c>
      <c r="R129" s="2" t="s">
        <v>255</v>
      </c>
      <c r="S129" s="2" t="s">
        <v>256</v>
      </c>
      <c r="T129" s="2" t="s">
        <v>257</v>
      </c>
      <c r="U129" s="2" t="s">
        <v>56</v>
      </c>
      <c r="V129" s="2" t="n">
        <v>3</v>
      </c>
    </row>
    <row r="130">
      <c r="A130" s="2" t="n">
        <v>129</v>
      </c>
      <c r="B130" s="2" t="s">
        <v>18479</v>
      </c>
      <c r="C130" s="2" t="n">
        <v>182.057670389</v>
      </c>
      <c r="D130" s="2" t="n">
        <v>4.95134544902829</v>
      </c>
      <c r="E130" s="2" t="s">
        <v>18480</v>
      </c>
      <c r="F130" s="2" t="s">
        <v>17137</v>
      </c>
      <c r="G130" s="2" t="s">
        <v>18481</v>
      </c>
      <c r="H130" s="2" t="s">
        <v>18482</v>
      </c>
      <c r="I130" s="2" t="s">
        <v>18483</v>
      </c>
      <c r="J130" s="2" t="s">
        <v>29</v>
      </c>
      <c r="K130" s="2" t="s">
        <v>29</v>
      </c>
      <c r="L130" s="2" t="s">
        <v>18484</v>
      </c>
      <c r="M130" s="2" t="s">
        <v>18485</v>
      </c>
      <c r="N130" s="2" t="s">
        <v>18486</v>
      </c>
      <c r="O130" s="2" t="s">
        <v>29</v>
      </c>
      <c r="P130" s="2" t="s">
        <v>18487</v>
      </c>
      <c r="Q130" s="2" t="s">
        <v>18488</v>
      </c>
      <c r="R130" s="2" t="s">
        <v>36</v>
      </c>
      <c r="S130" s="2" t="s">
        <v>37</v>
      </c>
      <c r="T130" s="2" t="s">
        <v>69</v>
      </c>
      <c r="U130" s="2" t="s">
        <v>101</v>
      </c>
      <c r="V130" s="2" t="n">
        <v>1</v>
      </c>
    </row>
    <row r="131">
      <c r="A131" s="2" t="n">
        <v>130</v>
      </c>
      <c r="B131" s="2" t="s">
        <v>18489</v>
      </c>
      <c r="C131" s="2" t="n">
        <v>182.190914429</v>
      </c>
      <c r="D131" s="2" t="n">
        <v>6.14760545117206</v>
      </c>
      <c r="E131" s="2" t="s">
        <v>18490</v>
      </c>
      <c r="F131" s="2" t="s">
        <v>17039</v>
      </c>
      <c r="G131" s="2" t="s">
        <v>18491</v>
      </c>
      <c r="H131" s="2" t="s">
        <v>18492</v>
      </c>
      <c r="I131" s="2" t="s">
        <v>18493</v>
      </c>
      <c r="J131" s="2" t="s">
        <v>18494</v>
      </c>
      <c r="K131" s="2" t="s">
        <v>18495</v>
      </c>
      <c r="L131" s="2" t="s">
        <v>18496</v>
      </c>
      <c r="M131" s="2" t="s">
        <v>18497</v>
      </c>
      <c r="N131" s="2" t="s">
        <v>18498</v>
      </c>
      <c r="O131" s="2" t="s">
        <v>29</v>
      </c>
      <c r="P131" s="2" t="s">
        <v>18499</v>
      </c>
      <c r="Q131" s="2" t="s">
        <v>18500</v>
      </c>
      <c r="R131" s="2" t="s">
        <v>794</v>
      </c>
      <c r="S131" s="2" t="s">
        <v>795</v>
      </c>
      <c r="T131" s="2" t="s">
        <v>5115</v>
      </c>
      <c r="U131" s="2" t="s">
        <v>101</v>
      </c>
      <c r="V131" s="2" t="n">
        <v>1</v>
      </c>
    </row>
    <row r="132">
      <c r="A132" s="2" t="n">
        <v>131</v>
      </c>
      <c r="B132" s="2" t="s">
        <v>18501</v>
      </c>
      <c r="C132" s="2" t="n">
        <v>183.079175822</v>
      </c>
      <c r="D132" s="2" t="n">
        <v>1.2342922945199</v>
      </c>
      <c r="E132" s="2" t="s">
        <v>18502</v>
      </c>
      <c r="F132" s="2" t="s">
        <v>17198</v>
      </c>
      <c r="G132" s="2" t="s">
        <v>18503</v>
      </c>
      <c r="H132" s="2" t="s">
        <v>18504</v>
      </c>
      <c r="I132" s="2" t="s">
        <v>18505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29</v>
      </c>
      <c r="P132" s="2" t="s">
        <v>18506</v>
      </c>
      <c r="Q132" s="2" t="s">
        <v>18507</v>
      </c>
      <c r="R132" s="2" t="s">
        <v>794</v>
      </c>
      <c r="S132" s="2" t="s">
        <v>795</v>
      </c>
      <c r="T132" s="2" t="s">
        <v>796</v>
      </c>
      <c r="U132" s="2" t="s">
        <v>29</v>
      </c>
      <c r="V132" s="2" t="n">
        <v>1</v>
      </c>
    </row>
    <row r="133">
      <c r="A133" s="2" t="n">
        <v>132</v>
      </c>
      <c r="B133" s="2" t="s">
        <v>18508</v>
      </c>
      <c r="C133" s="2" t="n">
        <v>183.102159</v>
      </c>
      <c r="D133" s="2" t="n">
        <v>2.39298470048223</v>
      </c>
      <c r="E133" s="2" t="s">
        <v>18509</v>
      </c>
      <c r="F133" s="2" t="s">
        <v>17039</v>
      </c>
      <c r="G133" s="2" t="s">
        <v>18510</v>
      </c>
      <c r="H133" s="2" t="s">
        <v>18511</v>
      </c>
      <c r="I133" s="2" t="s">
        <v>18512</v>
      </c>
      <c r="J133" s="2" t="s">
        <v>18513</v>
      </c>
      <c r="K133" s="2" t="s">
        <v>18514</v>
      </c>
      <c r="L133" s="2" t="s">
        <v>195</v>
      </c>
      <c r="M133" s="2" t="s">
        <v>18515</v>
      </c>
      <c r="N133" s="2" t="s">
        <v>18516</v>
      </c>
      <c r="O133" s="2" t="s">
        <v>18517</v>
      </c>
      <c r="P133" s="2" t="s">
        <v>18518</v>
      </c>
      <c r="Q133" s="2" t="s">
        <v>18519</v>
      </c>
      <c r="R133" s="2" t="s">
        <v>6853</v>
      </c>
      <c r="S133" s="2" t="s">
        <v>18520</v>
      </c>
      <c r="T133" s="2" t="s">
        <v>18521</v>
      </c>
      <c r="U133" s="2" t="s">
        <v>56</v>
      </c>
      <c r="V133" s="2" t="n">
        <v>3</v>
      </c>
    </row>
    <row r="134">
      <c r="A134" s="2" t="n">
        <v>133</v>
      </c>
      <c r="B134" s="2" t="s">
        <v>18522</v>
      </c>
      <c r="C134" s="2" t="n">
        <v>184.073869485</v>
      </c>
      <c r="D134" s="2" t="n">
        <v>6.40507297253771</v>
      </c>
      <c r="E134" s="2" t="s">
        <v>18523</v>
      </c>
      <c r="F134" s="2" t="s">
        <v>17117</v>
      </c>
      <c r="G134" s="2" t="s">
        <v>18524</v>
      </c>
      <c r="H134" s="2" t="s">
        <v>18525</v>
      </c>
      <c r="I134" s="2" t="s">
        <v>18526</v>
      </c>
      <c r="J134" s="2" t="s">
        <v>18527</v>
      </c>
      <c r="K134" s="2" t="s">
        <v>29</v>
      </c>
      <c r="L134" s="2" t="s">
        <v>18528</v>
      </c>
      <c r="M134" s="2" t="s">
        <v>18529</v>
      </c>
      <c r="N134" s="2" t="s">
        <v>18530</v>
      </c>
      <c r="O134" s="2" t="s">
        <v>18531</v>
      </c>
      <c r="P134" s="2" t="s">
        <v>18532</v>
      </c>
      <c r="Q134" s="2" t="s">
        <v>18533</v>
      </c>
      <c r="R134" s="2" t="s">
        <v>601</v>
      </c>
      <c r="S134" s="2" t="s">
        <v>602</v>
      </c>
      <c r="T134" s="2" t="s">
        <v>8583</v>
      </c>
      <c r="U134" s="2" t="s">
        <v>56</v>
      </c>
      <c r="V134" s="2" t="n">
        <v>1</v>
      </c>
    </row>
    <row r="135">
      <c r="A135" s="2" t="n">
        <v>134</v>
      </c>
      <c r="B135" s="2" t="s">
        <v>18534</v>
      </c>
      <c r="C135" s="2" t="n">
        <v>185.032145446</v>
      </c>
      <c r="D135" s="2" t="n">
        <v>5.51350593837659</v>
      </c>
      <c r="E135" s="2" t="s">
        <v>18535</v>
      </c>
      <c r="F135" s="2" t="s">
        <v>17198</v>
      </c>
      <c r="G135" s="2" t="s">
        <v>18536</v>
      </c>
      <c r="H135" s="2" t="s">
        <v>18537</v>
      </c>
      <c r="I135" s="2" t="s">
        <v>18538</v>
      </c>
      <c r="J135" s="2" t="s">
        <v>18539</v>
      </c>
      <c r="K135" s="2" t="s">
        <v>29</v>
      </c>
      <c r="L135" s="2" t="s">
        <v>29</v>
      </c>
      <c r="M135" s="2" t="s">
        <v>29</v>
      </c>
      <c r="N135" s="2" t="s">
        <v>18540</v>
      </c>
      <c r="O135" s="2" t="s">
        <v>18541</v>
      </c>
      <c r="P135" s="2" t="s">
        <v>18542</v>
      </c>
      <c r="Q135" s="2" t="s">
        <v>18543</v>
      </c>
      <c r="R135" s="2" t="s">
        <v>114</v>
      </c>
      <c r="S135" s="2" t="s">
        <v>1254</v>
      </c>
      <c r="T135" s="2" t="s">
        <v>1255</v>
      </c>
      <c r="U135" s="2" t="s">
        <v>56</v>
      </c>
      <c r="V135" s="2" t="n">
        <v>1</v>
      </c>
    </row>
    <row r="136">
      <c r="A136" s="2" t="n">
        <v>135</v>
      </c>
      <c r="B136" s="2" t="s">
        <v>18544</v>
      </c>
      <c r="C136" s="2" t="n">
        <v>185.080834872</v>
      </c>
      <c r="D136" s="2" t="n">
        <v>0.00115294506047119</v>
      </c>
      <c r="E136" s="2" t="s">
        <v>18545</v>
      </c>
      <c r="F136" s="2" t="s">
        <v>17137</v>
      </c>
      <c r="G136" s="2" t="s">
        <v>18546</v>
      </c>
      <c r="H136" s="2" t="s">
        <v>18547</v>
      </c>
      <c r="I136" s="2" t="s">
        <v>18548</v>
      </c>
      <c r="J136" s="2" t="s">
        <v>18549</v>
      </c>
      <c r="K136" s="2" t="s">
        <v>29</v>
      </c>
      <c r="L136" s="2" t="s">
        <v>18550</v>
      </c>
      <c r="M136" s="2" t="s">
        <v>29</v>
      </c>
      <c r="N136" s="2" t="s">
        <v>18551</v>
      </c>
      <c r="O136" s="2" t="s">
        <v>18552</v>
      </c>
      <c r="P136" s="2" t="s">
        <v>18553</v>
      </c>
      <c r="Q136" s="2" t="s">
        <v>18554</v>
      </c>
      <c r="R136" s="2" t="s">
        <v>186</v>
      </c>
      <c r="S136" s="2" t="s">
        <v>357</v>
      </c>
      <c r="T136" s="2" t="s">
        <v>5859</v>
      </c>
      <c r="U136" s="2" t="s">
        <v>56</v>
      </c>
      <c r="V136" s="2" t="n">
        <v>1</v>
      </c>
    </row>
    <row r="137">
      <c r="A137" s="2" t="n">
        <v>136</v>
      </c>
      <c r="B137" s="2" t="s">
        <v>18555</v>
      </c>
      <c r="C137" s="2" t="n">
        <v>185.117220378</v>
      </c>
      <c r="D137" s="2" t="n">
        <v>2.34360906307729</v>
      </c>
      <c r="E137" s="2" t="s">
        <v>18556</v>
      </c>
      <c r="F137" s="2" t="s">
        <v>17137</v>
      </c>
      <c r="G137" s="2" t="s">
        <v>18557</v>
      </c>
      <c r="H137" s="2" t="s">
        <v>18558</v>
      </c>
      <c r="I137" s="2" t="s">
        <v>18559</v>
      </c>
      <c r="J137" s="2" t="s">
        <v>18560</v>
      </c>
      <c r="K137" s="2" t="s">
        <v>18561</v>
      </c>
      <c r="L137" s="2" t="s">
        <v>91</v>
      </c>
      <c r="M137" s="2" t="s">
        <v>18562</v>
      </c>
      <c r="N137" s="2" t="s">
        <v>18563</v>
      </c>
      <c r="O137" s="2" t="s">
        <v>18564</v>
      </c>
      <c r="P137" s="2" t="s">
        <v>18565</v>
      </c>
      <c r="Q137" s="2" t="s">
        <v>18566</v>
      </c>
      <c r="R137" s="2" t="s">
        <v>412</v>
      </c>
      <c r="S137" s="2" t="s">
        <v>4869</v>
      </c>
      <c r="T137" s="2" t="s">
        <v>18567</v>
      </c>
      <c r="U137" s="2" t="s">
        <v>56</v>
      </c>
      <c r="V137" s="2" t="n">
        <v>2</v>
      </c>
    </row>
    <row r="138">
      <c r="A138" s="2" t="n">
        <v>137</v>
      </c>
      <c r="B138" s="2" t="s">
        <v>18568</v>
      </c>
      <c r="C138" s="2" t="n">
        <v>186.013754095</v>
      </c>
      <c r="D138" s="2" t="n">
        <v>10.9101675197586</v>
      </c>
      <c r="E138" s="2" t="s">
        <v>18569</v>
      </c>
      <c r="F138" s="2" t="s">
        <v>17970</v>
      </c>
      <c r="G138" s="2" t="s">
        <v>18570</v>
      </c>
      <c r="H138" s="2" t="s">
        <v>18571</v>
      </c>
      <c r="I138" s="2" t="s">
        <v>18572</v>
      </c>
      <c r="J138" s="2" t="s">
        <v>18573</v>
      </c>
      <c r="K138" s="2" t="s">
        <v>18574</v>
      </c>
      <c r="L138" s="2" t="s">
        <v>18575</v>
      </c>
      <c r="M138" s="2" t="s">
        <v>18576</v>
      </c>
      <c r="N138" s="2" t="s">
        <v>18577</v>
      </c>
      <c r="O138" s="2" t="s">
        <v>18578</v>
      </c>
      <c r="P138" s="2" t="s">
        <v>18579</v>
      </c>
      <c r="Q138" s="2" t="s">
        <v>18580</v>
      </c>
      <c r="R138" s="2" t="s">
        <v>36</v>
      </c>
      <c r="S138" s="2" t="s">
        <v>37</v>
      </c>
      <c r="T138" s="2" t="s">
        <v>69</v>
      </c>
      <c r="U138" s="2" t="s">
        <v>56</v>
      </c>
      <c r="V138" s="2" t="n">
        <v>1</v>
      </c>
    </row>
    <row r="139">
      <c r="A139" s="2" t="n">
        <v>138</v>
      </c>
      <c r="B139" s="2" t="s">
        <v>18581</v>
      </c>
      <c r="C139" s="2" t="n">
        <v>186.221625873</v>
      </c>
      <c r="D139" s="2" t="n">
        <v>5.57268978550515</v>
      </c>
      <c r="E139" s="2" t="s">
        <v>18582</v>
      </c>
      <c r="F139" s="2" t="s">
        <v>17137</v>
      </c>
      <c r="G139" s="2" t="s">
        <v>18583</v>
      </c>
      <c r="H139" s="2" t="s">
        <v>18584</v>
      </c>
      <c r="I139" s="2" t="s">
        <v>18585</v>
      </c>
      <c r="J139" s="2" t="s">
        <v>91</v>
      </c>
      <c r="K139" s="2" t="s">
        <v>91</v>
      </c>
      <c r="L139" s="2" t="s">
        <v>91</v>
      </c>
      <c r="M139" s="2" t="s">
        <v>18586</v>
      </c>
      <c r="N139" s="2" t="s">
        <v>91</v>
      </c>
      <c r="O139" s="2" t="s">
        <v>91</v>
      </c>
      <c r="P139" s="2" t="s">
        <v>18587</v>
      </c>
      <c r="Q139" s="2" t="s">
        <v>18588</v>
      </c>
      <c r="R139" s="2" t="s">
        <v>98</v>
      </c>
      <c r="S139" s="2" t="s">
        <v>99</v>
      </c>
      <c r="T139" s="2" t="s">
        <v>100</v>
      </c>
      <c r="U139" s="2" t="s">
        <v>29</v>
      </c>
      <c r="V139" s="2" t="n">
        <v>2</v>
      </c>
    </row>
    <row r="140">
      <c r="A140" s="2" t="n">
        <v>139</v>
      </c>
      <c r="B140" s="2" t="s">
        <v>18589</v>
      </c>
      <c r="C140" s="2" t="n">
        <v>187.075355564</v>
      </c>
      <c r="D140" s="2" t="n">
        <v>4.23353581032861</v>
      </c>
      <c r="E140" s="2" t="s">
        <v>18590</v>
      </c>
      <c r="F140" s="2" t="s">
        <v>17137</v>
      </c>
      <c r="G140" s="2" t="s">
        <v>18591</v>
      </c>
      <c r="H140" s="2" t="s">
        <v>18592</v>
      </c>
      <c r="I140" s="2" t="s">
        <v>18593</v>
      </c>
      <c r="J140" s="2" t="s">
        <v>18594</v>
      </c>
      <c r="K140" s="2" t="s">
        <v>91</v>
      </c>
      <c r="L140" s="2" t="s">
        <v>18595</v>
      </c>
      <c r="M140" s="2" t="s">
        <v>18596</v>
      </c>
      <c r="N140" s="2" t="s">
        <v>18597</v>
      </c>
      <c r="O140" s="2" t="s">
        <v>18598</v>
      </c>
      <c r="P140" s="2" t="s">
        <v>18599</v>
      </c>
      <c r="Q140" s="2" t="s">
        <v>18600</v>
      </c>
      <c r="R140" s="2" t="s">
        <v>18601</v>
      </c>
      <c r="S140" s="2" t="s">
        <v>18602</v>
      </c>
      <c r="T140" s="2" t="s">
        <v>18603</v>
      </c>
      <c r="U140" s="2" t="s">
        <v>101</v>
      </c>
      <c r="V140" s="2" t="n">
        <v>2</v>
      </c>
    </row>
    <row r="141">
      <c r="A141" s="2" t="n">
        <v>140</v>
      </c>
      <c r="B141" s="2" t="s">
        <v>18604</v>
      </c>
      <c r="C141" s="2" t="n">
        <v>187.122974458</v>
      </c>
      <c r="D141" s="2" t="n">
        <v>13.9589308791669</v>
      </c>
      <c r="E141" s="2" t="s">
        <v>18605</v>
      </c>
      <c r="F141" s="2" t="s">
        <v>17137</v>
      </c>
      <c r="G141" s="2" t="s">
        <v>18606</v>
      </c>
      <c r="H141" s="2" t="s">
        <v>18607</v>
      </c>
      <c r="I141" s="2" t="s">
        <v>18608</v>
      </c>
      <c r="J141" s="2" t="s">
        <v>18609</v>
      </c>
      <c r="K141" s="2" t="s">
        <v>29</v>
      </c>
      <c r="L141" s="2" t="s">
        <v>29</v>
      </c>
      <c r="M141" s="2" t="s">
        <v>18610</v>
      </c>
      <c r="N141" s="2" t="s">
        <v>18611</v>
      </c>
      <c r="O141" s="2" t="s">
        <v>18612</v>
      </c>
      <c r="P141" s="2" t="s">
        <v>18613</v>
      </c>
      <c r="Q141" s="2" t="s">
        <v>18614</v>
      </c>
      <c r="R141" s="2" t="s">
        <v>114</v>
      </c>
      <c r="S141" s="2" t="s">
        <v>994</v>
      </c>
      <c r="T141" s="2" t="s">
        <v>14555</v>
      </c>
      <c r="U141" s="2" t="s">
        <v>56</v>
      </c>
      <c r="V141" s="2" t="n">
        <v>1</v>
      </c>
    </row>
    <row r="142">
      <c r="A142" s="2" t="n">
        <v>141</v>
      </c>
      <c r="B142" s="2" t="s">
        <v>18615</v>
      </c>
      <c r="C142" s="2" t="n">
        <v>188.143375549</v>
      </c>
      <c r="D142" s="2" t="n">
        <v>8.68810805531916</v>
      </c>
      <c r="E142" s="2" t="s">
        <v>18616</v>
      </c>
      <c r="F142" s="2" t="s">
        <v>17137</v>
      </c>
      <c r="G142" s="2" t="s">
        <v>18617</v>
      </c>
      <c r="H142" s="2" t="s">
        <v>18618</v>
      </c>
      <c r="I142" s="2" t="s">
        <v>18619</v>
      </c>
      <c r="J142" s="2" t="s">
        <v>29</v>
      </c>
      <c r="K142" s="2" t="s">
        <v>29</v>
      </c>
      <c r="L142" s="2" t="s">
        <v>18620</v>
      </c>
      <c r="M142" s="2" t="s">
        <v>18621</v>
      </c>
      <c r="N142" s="2" t="s">
        <v>18622</v>
      </c>
      <c r="O142" s="2" t="s">
        <v>18623</v>
      </c>
      <c r="P142" s="2" t="s">
        <v>18624</v>
      </c>
      <c r="Q142" s="2" t="s">
        <v>18625</v>
      </c>
      <c r="R142" s="2" t="s">
        <v>186</v>
      </c>
      <c r="S142" s="2" t="s">
        <v>187</v>
      </c>
      <c r="T142" s="2" t="s">
        <v>11522</v>
      </c>
      <c r="U142" s="2" t="s">
        <v>56</v>
      </c>
      <c r="V142" s="2" t="n">
        <v>1</v>
      </c>
    </row>
    <row r="143">
      <c r="A143" s="2" t="n">
        <v>142</v>
      </c>
      <c r="B143" s="2" t="s">
        <v>18626</v>
      </c>
      <c r="C143" s="2" t="n">
        <v>189.054620122</v>
      </c>
      <c r="D143" s="2" t="n">
        <v>4.4989199789325</v>
      </c>
      <c r="E143" s="2" t="s">
        <v>18627</v>
      </c>
      <c r="F143" s="2" t="s">
        <v>17137</v>
      </c>
      <c r="G143" s="2" t="s">
        <v>18628</v>
      </c>
      <c r="H143" s="2" t="s">
        <v>18629</v>
      </c>
      <c r="I143" s="2" t="s">
        <v>18630</v>
      </c>
      <c r="J143" s="2" t="s">
        <v>18631</v>
      </c>
      <c r="K143" s="2" t="s">
        <v>29</v>
      </c>
      <c r="L143" s="2" t="s">
        <v>29</v>
      </c>
      <c r="M143" s="2" t="s">
        <v>18632</v>
      </c>
      <c r="N143" s="2" t="s">
        <v>18633</v>
      </c>
      <c r="O143" s="2" t="s">
        <v>18634</v>
      </c>
      <c r="P143" s="2" t="s">
        <v>18635</v>
      </c>
      <c r="Q143" s="2" t="s">
        <v>18636</v>
      </c>
      <c r="R143" s="2" t="s">
        <v>186</v>
      </c>
      <c r="S143" s="2" t="s">
        <v>4086</v>
      </c>
      <c r="T143" s="2" t="s">
        <v>4181</v>
      </c>
      <c r="U143" s="2" t="s">
        <v>56</v>
      </c>
      <c r="V143" s="2" t="n">
        <v>1</v>
      </c>
    </row>
    <row r="144">
      <c r="A144" s="2" t="n">
        <v>143</v>
      </c>
      <c r="B144" s="2" t="s">
        <v>18637</v>
      </c>
      <c r="C144" s="2" t="n">
        <v>191.02794868</v>
      </c>
      <c r="D144" s="2" t="n">
        <v>11.1014174450547</v>
      </c>
      <c r="E144" s="2" t="s">
        <v>18638</v>
      </c>
      <c r="F144" s="2" t="s">
        <v>17039</v>
      </c>
      <c r="G144" s="2" t="s">
        <v>18639</v>
      </c>
      <c r="H144" s="2" t="s">
        <v>18640</v>
      </c>
      <c r="I144" s="2" t="s">
        <v>18641</v>
      </c>
      <c r="J144" s="2" t="s">
        <v>29</v>
      </c>
      <c r="K144" s="2" t="s">
        <v>29</v>
      </c>
      <c r="L144" s="2" t="s">
        <v>29</v>
      </c>
      <c r="M144" s="2" t="s">
        <v>29</v>
      </c>
      <c r="N144" s="2" t="s">
        <v>18642</v>
      </c>
      <c r="O144" s="2" t="s">
        <v>29</v>
      </c>
      <c r="P144" s="2" t="s">
        <v>18643</v>
      </c>
      <c r="Q144" s="2" t="s">
        <v>18644</v>
      </c>
      <c r="R144" s="2" t="s">
        <v>114</v>
      </c>
      <c r="S144" s="2" t="s">
        <v>5053</v>
      </c>
      <c r="T144" s="2" t="s">
        <v>215</v>
      </c>
      <c r="U144" s="2" t="s">
        <v>29</v>
      </c>
      <c r="V144" s="2" t="n">
        <v>1</v>
      </c>
    </row>
    <row r="145">
      <c r="A145" s="2" t="n">
        <v>144</v>
      </c>
      <c r="B145" s="2" t="s">
        <v>18645</v>
      </c>
      <c r="C145" s="2" t="n">
        <v>192.032504948</v>
      </c>
      <c r="D145" s="2" t="n">
        <v>2.35586025965578</v>
      </c>
      <c r="E145" s="2" t="s">
        <v>18646</v>
      </c>
      <c r="F145" s="2" t="s">
        <v>17137</v>
      </c>
      <c r="G145" s="2" t="s">
        <v>18647</v>
      </c>
      <c r="H145" s="2" t="s">
        <v>18648</v>
      </c>
      <c r="I145" s="2" t="s">
        <v>18649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18650</v>
      </c>
      <c r="O145" s="2" t="s">
        <v>29</v>
      </c>
      <c r="P145" s="2" t="s">
        <v>18651</v>
      </c>
      <c r="Q145" s="2" t="s">
        <v>18652</v>
      </c>
      <c r="R145" s="2" t="s">
        <v>36</v>
      </c>
      <c r="S145" s="2" t="s">
        <v>37</v>
      </c>
      <c r="T145" s="2" t="s">
        <v>69</v>
      </c>
      <c r="U145" s="2" t="s">
        <v>29</v>
      </c>
      <c r="V145" s="2" t="n">
        <v>1</v>
      </c>
    </row>
    <row r="146">
      <c r="A146" s="2" t="n">
        <v>145</v>
      </c>
      <c r="B146" s="2" t="s">
        <v>18653</v>
      </c>
      <c r="C146" s="2" t="n">
        <v>192.138290171</v>
      </c>
      <c r="D146" s="2" t="n">
        <v>8.41618810413753</v>
      </c>
      <c r="E146" s="2" t="s">
        <v>18654</v>
      </c>
      <c r="F146" s="2" t="s">
        <v>17137</v>
      </c>
      <c r="G146" s="2" t="s">
        <v>18655</v>
      </c>
      <c r="H146" s="2" t="s">
        <v>18656</v>
      </c>
      <c r="I146" s="2" t="s">
        <v>18657</v>
      </c>
      <c r="J146" s="2" t="s">
        <v>18658</v>
      </c>
      <c r="K146" s="2" t="s">
        <v>29</v>
      </c>
      <c r="L146" s="2" t="s">
        <v>18659</v>
      </c>
      <c r="M146" s="2" t="s">
        <v>29</v>
      </c>
      <c r="N146" s="2" t="s">
        <v>18660</v>
      </c>
      <c r="O146" s="2" t="s">
        <v>18661</v>
      </c>
      <c r="P146" s="2" t="s">
        <v>18662</v>
      </c>
      <c r="Q146" s="2" t="s">
        <v>18663</v>
      </c>
      <c r="R146" s="2" t="s">
        <v>186</v>
      </c>
      <c r="S146" s="2" t="s">
        <v>187</v>
      </c>
      <c r="T146" s="2" t="s">
        <v>7013</v>
      </c>
      <c r="U146" s="2" t="s">
        <v>56</v>
      </c>
      <c r="V146" s="2" t="n">
        <v>1</v>
      </c>
    </row>
    <row r="147">
      <c r="A147" s="2" t="n">
        <v>146</v>
      </c>
      <c r="B147" s="2" t="s">
        <v>18664</v>
      </c>
      <c r="C147" s="2" t="n">
        <v>193.133539144</v>
      </c>
      <c r="D147" s="2" t="n">
        <v>0.417169247302622</v>
      </c>
      <c r="E147" s="2" t="s">
        <v>18665</v>
      </c>
      <c r="F147" s="2" t="s">
        <v>17137</v>
      </c>
      <c r="G147" s="2" t="s">
        <v>18666</v>
      </c>
      <c r="H147" s="2" t="s">
        <v>18667</v>
      </c>
      <c r="I147" s="2" t="s">
        <v>18668</v>
      </c>
      <c r="J147" s="2" t="s">
        <v>18669</v>
      </c>
      <c r="K147" s="2" t="s">
        <v>29</v>
      </c>
      <c r="L147" s="2" t="s">
        <v>18670</v>
      </c>
      <c r="M147" s="2" t="s">
        <v>18671</v>
      </c>
      <c r="N147" s="2" t="s">
        <v>18672</v>
      </c>
      <c r="O147" s="2" t="s">
        <v>18673</v>
      </c>
      <c r="P147" s="2" t="s">
        <v>18674</v>
      </c>
      <c r="Q147" s="2" t="s">
        <v>18675</v>
      </c>
      <c r="R147" s="2" t="s">
        <v>186</v>
      </c>
      <c r="S147" s="2" t="s">
        <v>187</v>
      </c>
      <c r="T147" s="2" t="s">
        <v>18676</v>
      </c>
      <c r="U147" s="2" t="s">
        <v>56</v>
      </c>
      <c r="V147" s="2" t="n">
        <v>1</v>
      </c>
    </row>
    <row r="148">
      <c r="A148" s="2" t="n">
        <v>147</v>
      </c>
      <c r="B148" s="2" t="s">
        <v>18677</v>
      </c>
      <c r="C148" s="2" t="n">
        <v>193.159279948</v>
      </c>
      <c r="D148" s="2" t="n">
        <v>5.64992497878605</v>
      </c>
      <c r="E148" s="2" t="s">
        <v>18678</v>
      </c>
      <c r="F148" s="2" t="s">
        <v>17039</v>
      </c>
      <c r="G148" s="2" t="s">
        <v>18679</v>
      </c>
      <c r="H148" s="2" t="s">
        <v>18680</v>
      </c>
      <c r="I148" s="2" t="s">
        <v>18681</v>
      </c>
      <c r="J148" s="2" t="s">
        <v>18682</v>
      </c>
      <c r="K148" s="2" t="s">
        <v>18683</v>
      </c>
      <c r="L148" s="2" t="s">
        <v>195</v>
      </c>
      <c r="M148" s="2" t="s">
        <v>195</v>
      </c>
      <c r="N148" s="2" t="s">
        <v>18684</v>
      </c>
      <c r="O148" s="2" t="s">
        <v>18685</v>
      </c>
      <c r="P148" s="2" t="s">
        <v>18686</v>
      </c>
      <c r="Q148" s="2" t="s">
        <v>18687</v>
      </c>
      <c r="R148" s="2" t="s">
        <v>255</v>
      </c>
      <c r="S148" s="2" t="s">
        <v>3414</v>
      </c>
      <c r="T148" s="2" t="s">
        <v>18688</v>
      </c>
      <c r="U148" s="2" t="s">
        <v>56</v>
      </c>
      <c r="V148" s="2" t="n">
        <v>3</v>
      </c>
    </row>
    <row r="149">
      <c r="A149" s="2" t="n">
        <v>148</v>
      </c>
      <c r="B149" s="2" t="s">
        <v>18689</v>
      </c>
      <c r="C149" s="2" t="n">
        <v>195.004235857</v>
      </c>
      <c r="D149" s="2" t="n">
        <v>2.13902948680291</v>
      </c>
      <c r="E149" s="2" t="s">
        <v>18690</v>
      </c>
      <c r="F149" s="2" t="s">
        <v>17039</v>
      </c>
      <c r="G149" s="2" t="s">
        <v>18691</v>
      </c>
      <c r="H149" s="2" t="s">
        <v>18692</v>
      </c>
      <c r="I149" s="2" t="s">
        <v>18693</v>
      </c>
      <c r="J149" s="2" t="s">
        <v>18694</v>
      </c>
      <c r="K149" s="2" t="s">
        <v>29</v>
      </c>
      <c r="L149" s="2" t="s">
        <v>29</v>
      </c>
      <c r="M149" s="2" t="s">
        <v>18695</v>
      </c>
      <c r="N149" s="2" t="s">
        <v>18696</v>
      </c>
      <c r="O149" s="2" t="s">
        <v>29</v>
      </c>
      <c r="P149" s="2" t="s">
        <v>18697</v>
      </c>
      <c r="Q149" s="2" t="s">
        <v>18698</v>
      </c>
      <c r="R149" s="2" t="s">
        <v>186</v>
      </c>
      <c r="S149" s="2" t="s">
        <v>187</v>
      </c>
      <c r="T149" s="2" t="s">
        <v>3454</v>
      </c>
      <c r="U149" s="2" t="s">
        <v>29</v>
      </c>
      <c r="V149" s="2" t="n">
        <v>1</v>
      </c>
    </row>
    <row r="150">
      <c r="A150" s="2" t="n">
        <v>149</v>
      </c>
      <c r="B150" s="2" t="s">
        <v>18699</v>
      </c>
      <c r="C150" s="2" t="n">
        <v>196.073281979</v>
      </c>
      <c r="D150" s="2" t="n">
        <v>0.178224033864462</v>
      </c>
      <c r="E150" s="2" t="s">
        <v>18700</v>
      </c>
      <c r="F150" s="2" t="s">
        <v>17198</v>
      </c>
      <c r="G150" s="2" t="s">
        <v>18701</v>
      </c>
      <c r="H150" s="2" t="s">
        <v>18702</v>
      </c>
      <c r="I150" s="2" t="s">
        <v>18703</v>
      </c>
      <c r="J150" s="2" t="s">
        <v>18704</v>
      </c>
      <c r="K150" s="2" t="s">
        <v>29</v>
      </c>
      <c r="L150" s="2" t="s">
        <v>18705</v>
      </c>
      <c r="M150" s="2" t="s">
        <v>18706</v>
      </c>
      <c r="N150" s="2" t="s">
        <v>18707</v>
      </c>
      <c r="O150" s="2" t="s">
        <v>18708</v>
      </c>
      <c r="P150" s="2" t="s">
        <v>18709</v>
      </c>
      <c r="Q150" s="2" t="s">
        <v>18710</v>
      </c>
      <c r="R150" s="2" t="s">
        <v>114</v>
      </c>
      <c r="S150" s="2" t="s">
        <v>2057</v>
      </c>
      <c r="T150" s="2" t="s">
        <v>5603</v>
      </c>
      <c r="U150" s="2" t="s">
        <v>56</v>
      </c>
      <c r="V150" s="2" t="n">
        <v>1</v>
      </c>
    </row>
    <row r="151">
      <c r="A151" s="2" t="n">
        <v>150</v>
      </c>
      <c r="B151" s="2" t="s">
        <v>18711</v>
      </c>
      <c r="C151" s="2" t="n">
        <v>196.169590299</v>
      </c>
      <c r="D151" s="2" t="n">
        <v>5.94211384531357</v>
      </c>
      <c r="E151" s="2" t="s">
        <v>18712</v>
      </c>
      <c r="F151" s="2" t="s">
        <v>17137</v>
      </c>
      <c r="G151" s="2" t="s">
        <v>18713</v>
      </c>
      <c r="H151" s="2" t="s">
        <v>18714</v>
      </c>
      <c r="I151" s="2" t="s">
        <v>18715</v>
      </c>
      <c r="J151" s="2" t="s">
        <v>91</v>
      </c>
      <c r="K151" s="2" t="s">
        <v>91</v>
      </c>
      <c r="L151" s="2" t="s">
        <v>91</v>
      </c>
      <c r="M151" s="2" t="s">
        <v>91</v>
      </c>
      <c r="N151" s="2" t="s">
        <v>18716</v>
      </c>
      <c r="O151" s="2" t="s">
        <v>91</v>
      </c>
      <c r="P151" s="2" t="s">
        <v>18717</v>
      </c>
      <c r="Q151" s="2" t="s">
        <v>18718</v>
      </c>
      <c r="R151" s="2" t="s">
        <v>427</v>
      </c>
      <c r="S151" s="2" t="s">
        <v>428</v>
      </c>
      <c r="T151" s="2" t="s">
        <v>429</v>
      </c>
      <c r="U151" s="2" t="s">
        <v>56</v>
      </c>
      <c r="V151" s="2" t="n">
        <v>2</v>
      </c>
    </row>
    <row r="152">
      <c r="A152" s="2" t="n">
        <v>151</v>
      </c>
      <c r="B152" s="2" t="s">
        <v>18719</v>
      </c>
      <c r="C152" s="2" t="n">
        <v>197.097053888</v>
      </c>
      <c r="D152" s="2" t="n">
        <v>0.704210841412101</v>
      </c>
      <c r="E152" s="2" t="s">
        <v>18720</v>
      </c>
      <c r="F152" s="2" t="s">
        <v>17198</v>
      </c>
      <c r="G152" s="2" t="s">
        <v>18721</v>
      </c>
      <c r="H152" s="2" t="s">
        <v>18722</v>
      </c>
      <c r="I152" s="2" t="s">
        <v>18723</v>
      </c>
      <c r="J152" s="2" t="s">
        <v>18724</v>
      </c>
      <c r="K152" s="2" t="s">
        <v>29</v>
      </c>
      <c r="L152" s="2" t="s">
        <v>29</v>
      </c>
      <c r="M152" s="2" t="s">
        <v>29</v>
      </c>
      <c r="N152" s="2" t="s">
        <v>18725</v>
      </c>
      <c r="O152" s="2" t="s">
        <v>18726</v>
      </c>
      <c r="P152" s="2" t="s">
        <v>18727</v>
      </c>
      <c r="Q152" s="2" t="s">
        <v>18728</v>
      </c>
      <c r="R152" s="2" t="s">
        <v>794</v>
      </c>
      <c r="S152" s="2" t="s">
        <v>795</v>
      </c>
      <c r="T152" s="2" t="s">
        <v>18729</v>
      </c>
      <c r="U152" s="2" t="s">
        <v>56</v>
      </c>
      <c r="V152" s="2" t="n">
        <v>1</v>
      </c>
    </row>
    <row r="153">
      <c r="A153" s="2" t="n">
        <v>152</v>
      </c>
      <c r="B153" s="2" t="s">
        <v>18730</v>
      </c>
      <c r="C153" s="2" t="n">
        <v>198.048523791</v>
      </c>
      <c r="D153" s="2" t="n">
        <v>11.8916246656635</v>
      </c>
      <c r="E153" s="2" t="s">
        <v>18731</v>
      </c>
      <c r="F153" s="2" t="s">
        <v>17198</v>
      </c>
      <c r="G153" s="2" t="s">
        <v>18732</v>
      </c>
      <c r="H153" s="2" t="s">
        <v>18733</v>
      </c>
      <c r="I153" s="2" t="s">
        <v>18734</v>
      </c>
      <c r="J153" s="2" t="s">
        <v>18735</v>
      </c>
      <c r="K153" s="2" t="s">
        <v>29</v>
      </c>
      <c r="L153" s="2" t="s">
        <v>18736</v>
      </c>
      <c r="M153" s="2" t="s">
        <v>18737</v>
      </c>
      <c r="N153" s="2" t="s">
        <v>18738</v>
      </c>
      <c r="O153" s="2" t="s">
        <v>18739</v>
      </c>
      <c r="P153" s="2" t="s">
        <v>18740</v>
      </c>
      <c r="Q153" s="2" t="s">
        <v>18741</v>
      </c>
      <c r="R153" s="2" t="s">
        <v>36</v>
      </c>
      <c r="S153" s="2" t="s">
        <v>37</v>
      </c>
      <c r="T153" s="2" t="s">
        <v>69</v>
      </c>
      <c r="U153" s="2" t="s">
        <v>56</v>
      </c>
      <c r="V153" s="2" t="n">
        <v>1</v>
      </c>
    </row>
    <row r="154">
      <c r="A154" s="2" t="n">
        <v>153</v>
      </c>
      <c r="B154" s="2" t="s">
        <v>18742</v>
      </c>
      <c r="C154" s="2" t="n">
        <v>199.097073622</v>
      </c>
      <c r="D154" s="2" t="n">
        <v>0.0491919911856504</v>
      </c>
      <c r="E154" s="2" t="s">
        <v>18743</v>
      </c>
      <c r="F154" s="2" t="s">
        <v>17039</v>
      </c>
      <c r="G154" s="2" t="s">
        <v>18744</v>
      </c>
      <c r="H154" s="2" t="s">
        <v>18745</v>
      </c>
      <c r="I154" s="2" t="s">
        <v>18746</v>
      </c>
      <c r="J154" s="2" t="s">
        <v>29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  <c r="P154" s="2" t="s">
        <v>18747</v>
      </c>
      <c r="Q154" s="2" t="s">
        <v>18748</v>
      </c>
      <c r="R154" s="2" t="s">
        <v>794</v>
      </c>
      <c r="S154" s="2" t="s">
        <v>795</v>
      </c>
      <c r="T154" s="2" t="s">
        <v>796</v>
      </c>
      <c r="U154" s="2" t="s">
        <v>29</v>
      </c>
      <c r="V154" s="2" t="n">
        <v>1</v>
      </c>
    </row>
    <row r="155">
      <c r="A155" s="2" t="n">
        <v>154</v>
      </c>
      <c r="B155" s="2" t="s">
        <v>18749</v>
      </c>
      <c r="C155" s="2" t="n">
        <v>200.045452413</v>
      </c>
      <c r="D155" s="2" t="n">
        <v>1.73287763342515</v>
      </c>
      <c r="E155" s="2" t="s">
        <v>18750</v>
      </c>
      <c r="F155" s="2" t="s">
        <v>17137</v>
      </c>
      <c r="G155" s="2" t="s">
        <v>18751</v>
      </c>
      <c r="H155" s="2" t="s">
        <v>18752</v>
      </c>
      <c r="I155" s="2" t="s">
        <v>18753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18754</v>
      </c>
      <c r="O155" s="2" t="s">
        <v>29</v>
      </c>
      <c r="P155" s="2" t="s">
        <v>18755</v>
      </c>
      <c r="Q155" s="2" t="s">
        <v>18756</v>
      </c>
      <c r="R155" s="2" t="s">
        <v>186</v>
      </c>
      <c r="S155" s="2" t="s">
        <v>187</v>
      </c>
      <c r="T155" s="2" t="s">
        <v>1206</v>
      </c>
      <c r="U155" s="2" t="s">
        <v>29</v>
      </c>
      <c r="V155" s="2" t="n">
        <v>1</v>
      </c>
    </row>
    <row r="156">
      <c r="A156" s="2" t="n">
        <v>155</v>
      </c>
      <c r="B156" s="2" t="s">
        <v>18757</v>
      </c>
      <c r="C156" s="2" t="n">
        <v>200.068196601</v>
      </c>
      <c r="D156" s="2" t="n">
        <v>0.80363879408353</v>
      </c>
      <c r="E156" s="2" t="s">
        <v>18758</v>
      </c>
      <c r="F156" s="2" t="s">
        <v>17198</v>
      </c>
      <c r="G156" s="2" t="s">
        <v>18759</v>
      </c>
      <c r="H156" s="2" t="s">
        <v>18760</v>
      </c>
      <c r="I156" s="2" t="s">
        <v>18761</v>
      </c>
      <c r="J156" s="2" t="s">
        <v>18762</v>
      </c>
      <c r="K156" s="2" t="s">
        <v>91</v>
      </c>
      <c r="L156" s="2" t="s">
        <v>91</v>
      </c>
      <c r="M156" s="2" t="s">
        <v>18763</v>
      </c>
      <c r="N156" s="2" t="s">
        <v>18764</v>
      </c>
      <c r="O156" s="2" t="s">
        <v>18765</v>
      </c>
      <c r="P156" s="2" t="s">
        <v>18766</v>
      </c>
      <c r="Q156" s="2" t="s">
        <v>18767</v>
      </c>
      <c r="R156" s="2" t="s">
        <v>541</v>
      </c>
      <c r="S156" s="2" t="s">
        <v>18768</v>
      </c>
      <c r="T156" s="2" t="s">
        <v>18769</v>
      </c>
      <c r="U156" s="2" t="s">
        <v>56</v>
      </c>
      <c r="V156" s="2" t="n">
        <v>2</v>
      </c>
    </row>
    <row r="157">
      <c r="A157" s="2" t="n">
        <v>156</v>
      </c>
      <c r="B157" s="2" t="s">
        <v>18770</v>
      </c>
      <c r="C157" s="2" t="n">
        <v>201.088752442</v>
      </c>
      <c r="D157" s="2" t="n">
        <v>2.50416413388841</v>
      </c>
      <c r="E157" s="2" t="s">
        <v>18771</v>
      </c>
      <c r="F157" s="2" t="s">
        <v>17406</v>
      </c>
      <c r="G157" s="2" t="s">
        <v>18772</v>
      </c>
      <c r="H157" s="2" t="s">
        <v>18773</v>
      </c>
      <c r="I157" s="2" t="s">
        <v>18774</v>
      </c>
      <c r="J157" s="2" t="s">
        <v>29</v>
      </c>
      <c r="K157" s="2" t="s">
        <v>29</v>
      </c>
      <c r="L157" s="2" t="s">
        <v>29</v>
      </c>
      <c r="M157" s="2" t="s">
        <v>18775</v>
      </c>
      <c r="N157" s="2" t="s">
        <v>18776</v>
      </c>
      <c r="O157" s="2" t="s">
        <v>18777</v>
      </c>
      <c r="P157" s="2" t="s">
        <v>18778</v>
      </c>
      <c r="Q157" s="2" t="s">
        <v>18779</v>
      </c>
      <c r="R157" s="2" t="s">
        <v>794</v>
      </c>
      <c r="S157" s="2" t="s">
        <v>795</v>
      </c>
      <c r="T157" s="2" t="s">
        <v>3273</v>
      </c>
      <c r="U157" s="2" t="s">
        <v>56</v>
      </c>
      <c r="V157" s="2" t="n">
        <v>1</v>
      </c>
    </row>
    <row r="158">
      <c r="A158" s="2" t="n">
        <v>157</v>
      </c>
      <c r="B158" s="2" t="s">
        <v>18780</v>
      </c>
      <c r="C158" s="2" t="n">
        <v>201.164365326</v>
      </c>
      <c r="D158" s="2" t="n">
        <v>18.4613606056026</v>
      </c>
      <c r="E158" s="2" t="s">
        <v>18781</v>
      </c>
      <c r="F158" s="2" t="s">
        <v>17039</v>
      </c>
      <c r="G158" s="2" t="s">
        <v>18782</v>
      </c>
      <c r="H158" s="2" t="s">
        <v>18783</v>
      </c>
      <c r="I158" s="2" t="s">
        <v>18784</v>
      </c>
      <c r="J158" s="2" t="s">
        <v>18785</v>
      </c>
      <c r="K158" s="2" t="s">
        <v>195</v>
      </c>
      <c r="L158" s="2" t="s">
        <v>195</v>
      </c>
      <c r="M158" s="2" t="s">
        <v>195</v>
      </c>
      <c r="N158" s="2" t="s">
        <v>18786</v>
      </c>
      <c r="O158" s="2" t="s">
        <v>18787</v>
      </c>
      <c r="P158" s="2" t="s">
        <v>18788</v>
      </c>
      <c r="Q158" s="2" t="s">
        <v>18789</v>
      </c>
      <c r="R158" s="2" t="s">
        <v>255</v>
      </c>
      <c r="S158" s="2" t="s">
        <v>1728</v>
      </c>
      <c r="T158" s="2" t="s">
        <v>2268</v>
      </c>
      <c r="U158" s="2" t="s">
        <v>56</v>
      </c>
      <c r="V158" s="2" t="n">
        <v>3</v>
      </c>
    </row>
    <row r="159">
      <c r="A159" s="2" t="n">
        <v>158</v>
      </c>
      <c r="B159" s="2" t="s">
        <v>18790</v>
      </c>
      <c r="C159" s="2" t="n">
        <v>201.207372789</v>
      </c>
      <c r="D159" s="2" t="n">
        <v>9.65320468735573</v>
      </c>
      <c r="E159" s="2" t="s">
        <v>18791</v>
      </c>
      <c r="F159" s="2" t="s">
        <v>17137</v>
      </c>
      <c r="G159" s="2" t="s">
        <v>18792</v>
      </c>
      <c r="H159" s="2" t="s">
        <v>18793</v>
      </c>
      <c r="I159" s="2" t="s">
        <v>18794</v>
      </c>
      <c r="J159" s="2" t="s">
        <v>91</v>
      </c>
      <c r="K159" s="2" t="s">
        <v>91</v>
      </c>
      <c r="L159" s="2" t="s">
        <v>91</v>
      </c>
      <c r="M159" s="2" t="s">
        <v>18795</v>
      </c>
      <c r="N159" s="2" t="s">
        <v>18796</v>
      </c>
      <c r="O159" s="2" t="s">
        <v>91</v>
      </c>
      <c r="P159" s="2" t="s">
        <v>18797</v>
      </c>
      <c r="Q159" s="2" t="s">
        <v>18798</v>
      </c>
      <c r="R159" s="2" t="s">
        <v>18799</v>
      </c>
      <c r="S159" s="2" t="s">
        <v>18800</v>
      </c>
      <c r="T159" s="2" t="s">
        <v>18801</v>
      </c>
      <c r="U159" s="2" t="s">
        <v>29</v>
      </c>
      <c r="V159" s="2" t="n">
        <v>2</v>
      </c>
    </row>
    <row r="160">
      <c r="A160" s="2" t="n">
        <v>159</v>
      </c>
      <c r="B160" s="2" t="s">
        <v>18802</v>
      </c>
      <c r="C160" s="2" t="n">
        <v>201.939327789</v>
      </c>
      <c r="D160" s="2" t="n">
        <v>17.9148175222452</v>
      </c>
      <c r="E160" s="2" t="s">
        <v>18803</v>
      </c>
      <c r="F160" s="2" t="s">
        <v>17406</v>
      </c>
      <c r="G160" s="2" t="s">
        <v>18804</v>
      </c>
      <c r="H160" s="2" t="s">
        <v>18805</v>
      </c>
      <c r="I160" s="2" t="s">
        <v>18806</v>
      </c>
      <c r="J160" s="2" t="s">
        <v>18807</v>
      </c>
      <c r="K160" s="2" t="s">
        <v>29</v>
      </c>
      <c r="L160" s="2" t="s">
        <v>29</v>
      </c>
      <c r="M160" s="2" t="s">
        <v>18808</v>
      </c>
      <c r="N160" s="2" t="s">
        <v>18809</v>
      </c>
      <c r="O160" s="2" t="s">
        <v>18810</v>
      </c>
      <c r="P160" s="2" t="s">
        <v>18811</v>
      </c>
      <c r="Q160" s="2" t="s">
        <v>18812</v>
      </c>
      <c r="R160" s="2" t="s">
        <v>36</v>
      </c>
      <c r="S160" s="2" t="s">
        <v>37</v>
      </c>
      <c r="T160" s="2" t="s">
        <v>69</v>
      </c>
      <c r="U160" s="2" t="s">
        <v>56</v>
      </c>
      <c r="V160" s="2" t="n">
        <v>1</v>
      </c>
    </row>
    <row r="161">
      <c r="A161" s="2" t="n">
        <v>160</v>
      </c>
      <c r="B161" s="2" t="s">
        <v>18813</v>
      </c>
      <c r="C161" s="2" t="n">
        <v>202.1596143</v>
      </c>
      <c r="D161" s="2" t="n">
        <v>4.08315556515041</v>
      </c>
      <c r="E161" s="2" t="s">
        <v>18814</v>
      </c>
      <c r="F161" s="2" t="s">
        <v>17039</v>
      </c>
      <c r="G161" s="2" t="s">
        <v>18815</v>
      </c>
      <c r="H161" s="2" t="s">
        <v>18816</v>
      </c>
      <c r="I161" s="2" t="s">
        <v>18817</v>
      </c>
      <c r="J161" s="2" t="s">
        <v>29</v>
      </c>
      <c r="K161" s="2" t="s">
        <v>29</v>
      </c>
      <c r="L161" s="2" t="s">
        <v>29</v>
      </c>
      <c r="M161" s="2" t="s">
        <v>18818</v>
      </c>
      <c r="N161" s="2" t="s">
        <v>18819</v>
      </c>
      <c r="O161" s="2" t="s">
        <v>29</v>
      </c>
      <c r="P161" s="2" t="s">
        <v>18820</v>
      </c>
      <c r="Q161" s="2" t="s">
        <v>18821</v>
      </c>
      <c r="R161" s="2" t="s">
        <v>114</v>
      </c>
      <c r="S161" s="2" t="s">
        <v>4121</v>
      </c>
      <c r="T161" s="2" t="s">
        <v>5334</v>
      </c>
      <c r="U161" s="2" t="s">
        <v>29</v>
      </c>
      <c r="V161" s="2" t="n">
        <v>1</v>
      </c>
    </row>
    <row r="162">
      <c r="A162" s="2" t="n">
        <v>161</v>
      </c>
      <c r="B162" s="2" t="s">
        <v>18822</v>
      </c>
      <c r="C162" s="2" t="n">
        <v>203.022878321</v>
      </c>
      <c r="D162" s="2" t="n">
        <v>4.56741527175305</v>
      </c>
      <c r="E162" s="2" t="s">
        <v>18823</v>
      </c>
      <c r="F162" s="2" t="s">
        <v>17406</v>
      </c>
      <c r="G162" s="2" t="s">
        <v>18824</v>
      </c>
      <c r="H162" s="2" t="s">
        <v>18825</v>
      </c>
      <c r="I162" s="2" t="s">
        <v>18826</v>
      </c>
      <c r="J162" s="2" t="s">
        <v>29</v>
      </c>
      <c r="K162" s="2" t="s">
        <v>29</v>
      </c>
      <c r="L162" s="2" t="s">
        <v>29</v>
      </c>
      <c r="M162" s="2" t="s">
        <v>29</v>
      </c>
      <c r="N162" s="2" t="s">
        <v>18827</v>
      </c>
      <c r="O162" s="2" t="s">
        <v>29</v>
      </c>
      <c r="P162" s="2" t="s">
        <v>18828</v>
      </c>
      <c r="Q162" s="2" t="s">
        <v>18829</v>
      </c>
      <c r="R162" s="2" t="s">
        <v>36</v>
      </c>
      <c r="S162" s="2" t="s">
        <v>37</v>
      </c>
      <c r="T162" s="2" t="s">
        <v>69</v>
      </c>
      <c r="U162" s="2" t="s">
        <v>29</v>
      </c>
      <c r="V162" s="2" t="n">
        <v>1</v>
      </c>
    </row>
    <row r="163">
      <c r="A163" s="2" t="n">
        <v>162</v>
      </c>
      <c r="B163" s="2" t="s">
        <v>18830</v>
      </c>
      <c r="C163" s="2" t="n">
        <v>203.055014052</v>
      </c>
      <c r="D163" s="2" t="n">
        <v>2.79147193871538</v>
      </c>
      <c r="E163" s="2" t="s">
        <v>18831</v>
      </c>
      <c r="F163" s="2" t="s">
        <v>17137</v>
      </c>
      <c r="G163" s="2" t="s">
        <v>18832</v>
      </c>
      <c r="H163" s="2" t="s">
        <v>18833</v>
      </c>
      <c r="I163" s="2" t="s">
        <v>18834</v>
      </c>
      <c r="J163" s="2" t="s">
        <v>18835</v>
      </c>
      <c r="K163" s="2" t="s">
        <v>91</v>
      </c>
      <c r="L163" s="2" t="s">
        <v>91</v>
      </c>
      <c r="M163" s="2" t="s">
        <v>18836</v>
      </c>
      <c r="N163" s="2" t="s">
        <v>18837</v>
      </c>
      <c r="O163" s="2" t="s">
        <v>18838</v>
      </c>
      <c r="P163" s="2" t="s">
        <v>18839</v>
      </c>
      <c r="Q163" s="2" t="s">
        <v>18840</v>
      </c>
      <c r="R163" s="2" t="s">
        <v>144</v>
      </c>
      <c r="S163" s="2" t="s">
        <v>18841</v>
      </c>
      <c r="T163" s="2" t="s">
        <v>18842</v>
      </c>
      <c r="U163" s="2" t="s">
        <v>56</v>
      </c>
      <c r="V163" s="2" t="n">
        <v>2</v>
      </c>
    </row>
    <row r="164">
      <c r="A164" s="2" t="n">
        <v>163</v>
      </c>
      <c r="B164" s="2" t="s">
        <v>18843</v>
      </c>
      <c r="C164" s="2" t="n">
        <v>203.928221477</v>
      </c>
      <c r="D164" s="2" t="n">
        <v>19.1215797548792</v>
      </c>
      <c r="E164" s="2" t="s">
        <v>18844</v>
      </c>
      <c r="F164" s="2" t="s">
        <v>17520</v>
      </c>
      <c r="G164" s="2" t="s">
        <v>18845</v>
      </c>
      <c r="H164" s="2" t="s">
        <v>18846</v>
      </c>
      <c r="I164" s="2" t="s">
        <v>18847</v>
      </c>
      <c r="J164" s="2" t="s">
        <v>18848</v>
      </c>
      <c r="K164" s="2" t="s">
        <v>29</v>
      </c>
      <c r="L164" s="2" t="s">
        <v>29</v>
      </c>
      <c r="M164" s="2" t="s">
        <v>29</v>
      </c>
      <c r="N164" s="2" t="s">
        <v>18849</v>
      </c>
      <c r="O164" s="2" t="s">
        <v>18850</v>
      </c>
      <c r="P164" s="2" t="s">
        <v>18851</v>
      </c>
      <c r="Q164" s="2" t="s">
        <v>18852</v>
      </c>
      <c r="R164" s="2" t="s">
        <v>129</v>
      </c>
      <c r="S164" s="2" t="s">
        <v>130</v>
      </c>
      <c r="T164" s="2" t="s">
        <v>131</v>
      </c>
      <c r="U164" s="2" t="s">
        <v>56</v>
      </c>
      <c r="V164" s="2" t="n">
        <v>1</v>
      </c>
    </row>
    <row r="165">
      <c r="A165" s="2" t="n">
        <v>164</v>
      </c>
      <c r="B165" s="2" t="s">
        <v>18853</v>
      </c>
      <c r="C165" s="2" t="n">
        <v>204.0580417</v>
      </c>
      <c r="D165" s="2" t="n">
        <v>4.61521553967402</v>
      </c>
      <c r="E165" s="2" t="s">
        <v>18854</v>
      </c>
      <c r="F165" s="2" t="s">
        <v>17039</v>
      </c>
      <c r="G165" s="2" t="s">
        <v>18855</v>
      </c>
      <c r="H165" s="2" t="s">
        <v>18856</v>
      </c>
      <c r="I165" s="2" t="s">
        <v>18857</v>
      </c>
      <c r="J165" s="2" t="s">
        <v>18858</v>
      </c>
      <c r="K165" s="2" t="s">
        <v>29</v>
      </c>
      <c r="L165" s="2" t="s">
        <v>29</v>
      </c>
      <c r="M165" s="2" t="s">
        <v>29</v>
      </c>
      <c r="N165" s="2" t="s">
        <v>18859</v>
      </c>
      <c r="O165" s="2" t="s">
        <v>18860</v>
      </c>
      <c r="P165" s="2" t="s">
        <v>18861</v>
      </c>
      <c r="Q165" s="2" t="s">
        <v>18862</v>
      </c>
      <c r="R165" s="2" t="s">
        <v>186</v>
      </c>
      <c r="S165" s="2" t="s">
        <v>187</v>
      </c>
      <c r="T165" s="2" t="s">
        <v>2791</v>
      </c>
      <c r="U165" s="2" t="s">
        <v>29</v>
      </c>
      <c r="V165" s="2" t="n">
        <v>1</v>
      </c>
    </row>
    <row r="166">
      <c r="A166" s="2" t="n">
        <v>165</v>
      </c>
      <c r="B166" s="2" t="s">
        <v>18863</v>
      </c>
      <c r="C166" s="2" t="n">
        <v>204.123583069</v>
      </c>
      <c r="D166" s="2" t="n">
        <v>8.25335005033796</v>
      </c>
      <c r="E166" s="2" t="s">
        <v>18864</v>
      </c>
      <c r="F166" s="2" t="s">
        <v>17117</v>
      </c>
      <c r="G166" s="2" t="s">
        <v>18865</v>
      </c>
      <c r="H166" s="2" t="s">
        <v>18866</v>
      </c>
      <c r="I166" s="2" t="s">
        <v>18867</v>
      </c>
      <c r="J166" s="2" t="s">
        <v>29</v>
      </c>
      <c r="K166" s="2" t="s">
        <v>29</v>
      </c>
      <c r="L166" s="2" t="s">
        <v>29</v>
      </c>
      <c r="M166" s="2" t="s">
        <v>18868</v>
      </c>
      <c r="N166" s="2" t="s">
        <v>29</v>
      </c>
      <c r="O166" s="2" t="s">
        <v>18869</v>
      </c>
      <c r="P166" s="2" t="s">
        <v>18870</v>
      </c>
      <c r="Q166" s="2" t="s">
        <v>18871</v>
      </c>
      <c r="R166" s="2" t="s">
        <v>794</v>
      </c>
      <c r="S166" s="2" t="s">
        <v>795</v>
      </c>
      <c r="T166" s="2" t="s">
        <v>1870</v>
      </c>
      <c r="U166" s="2" t="s">
        <v>39</v>
      </c>
      <c r="V166" s="2" t="n">
        <v>1</v>
      </c>
    </row>
    <row r="167">
      <c r="A167" s="2" t="n">
        <v>166</v>
      </c>
      <c r="B167" s="2" t="s">
        <v>18872</v>
      </c>
      <c r="C167" s="2" t="n">
        <v>205.05985235</v>
      </c>
      <c r="D167" s="2" t="n">
        <v>0.957148151378121</v>
      </c>
      <c r="E167" s="2" t="s">
        <v>18873</v>
      </c>
      <c r="F167" s="2" t="s">
        <v>17406</v>
      </c>
      <c r="G167" s="2" t="s">
        <v>18874</v>
      </c>
      <c r="H167" s="2" t="s">
        <v>18875</v>
      </c>
      <c r="I167" s="2" t="s">
        <v>18876</v>
      </c>
      <c r="J167" s="2" t="s">
        <v>18877</v>
      </c>
      <c r="K167" s="2" t="s">
        <v>29</v>
      </c>
      <c r="L167" s="2" t="s">
        <v>18878</v>
      </c>
      <c r="M167" s="2" t="s">
        <v>18879</v>
      </c>
      <c r="N167" s="2" t="s">
        <v>18880</v>
      </c>
      <c r="O167" s="2" t="s">
        <v>18881</v>
      </c>
      <c r="P167" s="2" t="s">
        <v>18882</v>
      </c>
      <c r="Q167" s="2" t="s">
        <v>18883</v>
      </c>
      <c r="R167" s="2" t="s">
        <v>114</v>
      </c>
      <c r="S167" s="2" t="s">
        <v>2206</v>
      </c>
      <c r="T167" s="2" t="s">
        <v>3383</v>
      </c>
      <c r="U167" s="2" t="s">
        <v>101</v>
      </c>
      <c r="V167" s="2" t="n">
        <v>1</v>
      </c>
    </row>
    <row r="168">
      <c r="A168" s="2" t="n">
        <v>167</v>
      </c>
      <c r="B168" s="2" t="s">
        <v>18884</v>
      </c>
      <c r="C168" s="2" t="n">
        <v>205.087646304</v>
      </c>
      <c r="D168" s="2" t="n">
        <v>0.254616601320254</v>
      </c>
      <c r="E168" s="2" t="s">
        <v>18885</v>
      </c>
      <c r="F168" s="2" t="s">
        <v>17198</v>
      </c>
      <c r="G168" s="2" t="s">
        <v>18886</v>
      </c>
      <c r="H168" s="2" t="s">
        <v>18887</v>
      </c>
      <c r="I168" s="2" t="s">
        <v>18888</v>
      </c>
      <c r="J168" s="2" t="s">
        <v>18889</v>
      </c>
      <c r="K168" s="2" t="s">
        <v>29</v>
      </c>
      <c r="L168" s="2" t="s">
        <v>18890</v>
      </c>
      <c r="M168" s="2" t="s">
        <v>29</v>
      </c>
      <c r="N168" s="2" t="s">
        <v>18891</v>
      </c>
      <c r="O168" s="2" t="s">
        <v>18892</v>
      </c>
      <c r="P168" s="2" t="s">
        <v>18893</v>
      </c>
      <c r="Q168" s="2" t="s">
        <v>18894</v>
      </c>
      <c r="R168" s="2" t="s">
        <v>36</v>
      </c>
      <c r="S168" s="2" t="s">
        <v>2572</v>
      </c>
      <c r="T168" s="2" t="s">
        <v>18895</v>
      </c>
      <c r="U168" s="2" t="s">
        <v>101</v>
      </c>
      <c r="V168" s="2" t="n">
        <v>1</v>
      </c>
    </row>
    <row r="169">
      <c r="A169" s="2" t="n">
        <v>168</v>
      </c>
      <c r="B169" s="2" t="s">
        <v>18896</v>
      </c>
      <c r="C169" s="2" t="n">
        <v>206.055224979</v>
      </c>
      <c r="D169" s="2" t="n">
        <v>1.43651901200691</v>
      </c>
      <c r="E169" s="2" t="s">
        <v>18897</v>
      </c>
      <c r="F169" s="2" t="s">
        <v>17970</v>
      </c>
      <c r="G169" s="2" t="s">
        <v>18898</v>
      </c>
      <c r="H169" s="2" t="s">
        <v>18899</v>
      </c>
      <c r="I169" s="2" t="s">
        <v>18900</v>
      </c>
      <c r="J169" s="2" t="s">
        <v>18901</v>
      </c>
      <c r="K169" s="2" t="s">
        <v>91</v>
      </c>
      <c r="L169" s="2" t="s">
        <v>18902</v>
      </c>
      <c r="M169" s="2" t="s">
        <v>18903</v>
      </c>
      <c r="N169" s="2" t="s">
        <v>18904</v>
      </c>
      <c r="O169" s="2" t="s">
        <v>18905</v>
      </c>
      <c r="P169" s="2" t="s">
        <v>18906</v>
      </c>
      <c r="Q169" s="2" t="s">
        <v>18907</v>
      </c>
      <c r="R169" s="2" t="s">
        <v>541</v>
      </c>
      <c r="S169" s="2" t="s">
        <v>18908</v>
      </c>
      <c r="T169" s="2" t="s">
        <v>18909</v>
      </c>
      <c r="U169" s="2" t="s">
        <v>56</v>
      </c>
      <c r="V169" s="2" t="n">
        <v>2</v>
      </c>
    </row>
    <row r="170">
      <c r="A170" s="2" t="n">
        <v>169</v>
      </c>
      <c r="B170" s="2" t="s">
        <v>18910</v>
      </c>
      <c r="C170" s="2" t="n">
        <v>207.014131838</v>
      </c>
      <c r="D170" s="2" t="n">
        <v>8.93638010650391</v>
      </c>
      <c r="E170" s="2" t="s">
        <v>18911</v>
      </c>
      <c r="F170" s="2" t="s">
        <v>17039</v>
      </c>
      <c r="G170" s="2" t="s">
        <v>18912</v>
      </c>
      <c r="H170" s="2" t="s">
        <v>18913</v>
      </c>
      <c r="I170" s="2" t="s">
        <v>18914</v>
      </c>
      <c r="J170" s="2" t="s">
        <v>29</v>
      </c>
      <c r="K170" s="2" t="s">
        <v>29</v>
      </c>
      <c r="L170" s="2" t="s">
        <v>29</v>
      </c>
      <c r="M170" s="2" t="s">
        <v>29</v>
      </c>
      <c r="N170" s="2" t="s">
        <v>18915</v>
      </c>
      <c r="O170" s="2" t="s">
        <v>29</v>
      </c>
      <c r="P170" s="2" t="s">
        <v>18916</v>
      </c>
      <c r="Q170" s="2" t="s">
        <v>18917</v>
      </c>
      <c r="R170" s="2" t="s">
        <v>36</v>
      </c>
      <c r="S170" s="2" t="s">
        <v>82</v>
      </c>
      <c r="T170" s="2" t="s">
        <v>1594</v>
      </c>
      <c r="U170" s="2" t="s">
        <v>29</v>
      </c>
      <c r="V170" s="2" t="n">
        <v>1</v>
      </c>
    </row>
    <row r="171">
      <c r="A171" s="2" t="n">
        <v>170</v>
      </c>
      <c r="B171" s="2" t="s">
        <v>18918</v>
      </c>
      <c r="C171" s="2" t="n">
        <v>207.078033006</v>
      </c>
      <c r="D171" s="2" t="n">
        <v>2.38446482628486</v>
      </c>
      <c r="E171" s="2" t="s">
        <v>18919</v>
      </c>
      <c r="F171" s="2" t="s">
        <v>17198</v>
      </c>
      <c r="G171" s="2" t="s">
        <v>18920</v>
      </c>
      <c r="H171" s="2" t="s">
        <v>18921</v>
      </c>
      <c r="I171" s="2" t="s">
        <v>18922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18923</v>
      </c>
      <c r="Q171" s="2" t="s">
        <v>18924</v>
      </c>
      <c r="R171" s="2" t="s">
        <v>186</v>
      </c>
      <c r="S171" s="2" t="s">
        <v>911</v>
      </c>
      <c r="T171" s="2" t="s">
        <v>215</v>
      </c>
      <c r="U171" s="2" t="s">
        <v>29</v>
      </c>
      <c r="V171" s="2" t="n">
        <v>1</v>
      </c>
    </row>
    <row r="172">
      <c r="A172" s="2" t="n">
        <v>171</v>
      </c>
      <c r="B172" s="2" t="s">
        <v>18925</v>
      </c>
      <c r="C172" s="2" t="n">
        <v>208.007253566</v>
      </c>
      <c r="D172" s="2" t="n">
        <v>0.600031776004744</v>
      </c>
      <c r="E172" s="2" t="s">
        <v>18926</v>
      </c>
      <c r="F172" s="2" t="s">
        <v>17198</v>
      </c>
      <c r="G172" s="2" t="s">
        <v>18927</v>
      </c>
      <c r="H172" s="2" t="s">
        <v>18928</v>
      </c>
      <c r="I172" s="2" t="s">
        <v>18929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18930</v>
      </c>
      <c r="O172" s="2" t="s">
        <v>29</v>
      </c>
      <c r="P172" s="2" t="s">
        <v>18931</v>
      </c>
      <c r="Q172" s="2" t="s">
        <v>18932</v>
      </c>
      <c r="R172" s="2" t="s">
        <v>36</v>
      </c>
      <c r="S172" s="2" t="s">
        <v>344</v>
      </c>
      <c r="T172" s="2" t="s">
        <v>345</v>
      </c>
      <c r="U172" s="2" t="s">
        <v>29</v>
      </c>
      <c r="V172" s="2" t="n">
        <v>1</v>
      </c>
    </row>
    <row r="173">
      <c r="A173" s="2" t="n">
        <v>172</v>
      </c>
      <c r="B173" s="2" t="s">
        <v>18933</v>
      </c>
      <c r="C173" s="2" t="n">
        <v>209.003174282</v>
      </c>
      <c r="D173" s="2" t="n">
        <v>12.0812308244538</v>
      </c>
      <c r="E173" s="2" t="s">
        <v>18934</v>
      </c>
      <c r="F173" s="2" t="s">
        <v>17137</v>
      </c>
      <c r="G173" s="2" t="s">
        <v>18935</v>
      </c>
      <c r="H173" s="2" t="s">
        <v>18936</v>
      </c>
      <c r="I173" s="2" t="s">
        <v>18937</v>
      </c>
      <c r="J173" s="2" t="s">
        <v>18938</v>
      </c>
      <c r="K173" s="2" t="s">
        <v>29</v>
      </c>
      <c r="L173" s="2" t="s">
        <v>29</v>
      </c>
      <c r="M173" s="2" t="s">
        <v>29</v>
      </c>
      <c r="N173" s="2" t="s">
        <v>18939</v>
      </c>
      <c r="O173" s="2" t="s">
        <v>29</v>
      </c>
      <c r="P173" s="2" t="s">
        <v>18940</v>
      </c>
      <c r="Q173" s="2" t="s">
        <v>18941</v>
      </c>
      <c r="R173" s="2" t="s">
        <v>129</v>
      </c>
      <c r="S173" s="2" t="s">
        <v>130</v>
      </c>
      <c r="T173" s="2" t="s">
        <v>131</v>
      </c>
      <c r="U173" s="2" t="s">
        <v>29</v>
      </c>
      <c r="V173" s="2" t="n">
        <v>1</v>
      </c>
    </row>
    <row r="174">
      <c r="A174" s="2" t="n">
        <v>173</v>
      </c>
      <c r="B174" s="2" t="s">
        <v>18942</v>
      </c>
      <c r="C174" s="2" t="n">
        <v>209.117220378</v>
      </c>
      <c r="D174" s="2" t="n">
        <v>4.59796708180273</v>
      </c>
      <c r="E174" s="2" t="s">
        <v>18943</v>
      </c>
      <c r="F174" s="2" t="s">
        <v>17137</v>
      </c>
      <c r="G174" s="2" t="s">
        <v>18944</v>
      </c>
      <c r="H174" s="2" t="s">
        <v>18945</v>
      </c>
      <c r="I174" s="2" t="s">
        <v>18946</v>
      </c>
      <c r="J174" s="2" t="s">
        <v>18947</v>
      </c>
      <c r="K174" s="2" t="s">
        <v>195</v>
      </c>
      <c r="L174" s="2" t="s">
        <v>195</v>
      </c>
      <c r="M174" s="2" t="s">
        <v>18948</v>
      </c>
      <c r="N174" s="2" t="s">
        <v>18949</v>
      </c>
      <c r="O174" s="2" t="s">
        <v>18950</v>
      </c>
      <c r="P174" s="2" t="s">
        <v>18951</v>
      </c>
      <c r="Q174" s="2" t="s">
        <v>18952</v>
      </c>
      <c r="R174" s="2" t="s">
        <v>6418</v>
      </c>
      <c r="S174" s="2" t="s">
        <v>18953</v>
      </c>
      <c r="T174" s="2" t="s">
        <v>18954</v>
      </c>
      <c r="U174" s="2" t="s">
        <v>56</v>
      </c>
      <c r="V174" s="2" t="n">
        <v>3</v>
      </c>
    </row>
    <row r="175">
      <c r="A175" s="2" t="n">
        <v>174</v>
      </c>
      <c r="B175" s="2" t="s">
        <v>18955</v>
      </c>
      <c r="C175" s="2" t="n">
        <v>210.091339979</v>
      </c>
      <c r="D175" s="2" t="n">
        <v>0.714681107978347</v>
      </c>
      <c r="E175" s="2" t="s">
        <v>18956</v>
      </c>
      <c r="F175" s="2" t="s">
        <v>17137</v>
      </c>
      <c r="G175" s="2" t="s">
        <v>18957</v>
      </c>
      <c r="H175" s="2" t="s">
        <v>18958</v>
      </c>
      <c r="I175" s="2" t="s">
        <v>18959</v>
      </c>
      <c r="J175" s="2" t="s">
        <v>18960</v>
      </c>
      <c r="K175" s="2" t="s">
        <v>18961</v>
      </c>
      <c r="L175" s="2" t="s">
        <v>18962</v>
      </c>
      <c r="M175" s="2" t="s">
        <v>18963</v>
      </c>
      <c r="N175" s="2" t="s">
        <v>18964</v>
      </c>
      <c r="O175" s="2" t="s">
        <v>29</v>
      </c>
      <c r="P175" s="2" t="s">
        <v>18965</v>
      </c>
      <c r="Q175" s="2" t="s">
        <v>18966</v>
      </c>
      <c r="R175" s="2" t="s">
        <v>114</v>
      </c>
      <c r="S175" s="2" t="s">
        <v>3757</v>
      </c>
      <c r="T175" s="2" t="s">
        <v>3758</v>
      </c>
      <c r="U175" s="2" t="s">
        <v>56</v>
      </c>
      <c r="V175" s="2" t="n">
        <v>1</v>
      </c>
    </row>
    <row r="176">
      <c r="A176" s="2" t="n">
        <v>175</v>
      </c>
      <c r="B176" s="2" t="s">
        <v>18967</v>
      </c>
      <c r="C176" s="2" t="n">
        <v>210.123702739</v>
      </c>
      <c r="D176" s="2" t="n">
        <v>9.94333636908379</v>
      </c>
      <c r="E176" s="2" t="s">
        <v>18968</v>
      </c>
      <c r="F176" s="2" t="s">
        <v>17137</v>
      </c>
      <c r="G176" s="2" t="s">
        <v>18969</v>
      </c>
      <c r="H176" s="2" t="s">
        <v>18970</v>
      </c>
      <c r="I176" s="2" t="s">
        <v>18971</v>
      </c>
      <c r="J176" s="2" t="s">
        <v>18972</v>
      </c>
      <c r="K176" s="2" t="s">
        <v>29</v>
      </c>
      <c r="L176" s="2" t="s">
        <v>18973</v>
      </c>
      <c r="M176" s="2" t="s">
        <v>18974</v>
      </c>
      <c r="N176" s="2" t="s">
        <v>18975</v>
      </c>
      <c r="O176" s="2" t="s">
        <v>18976</v>
      </c>
      <c r="P176" s="2" t="s">
        <v>18977</v>
      </c>
      <c r="Q176" s="2" t="s">
        <v>18978</v>
      </c>
      <c r="R176" s="2" t="s">
        <v>114</v>
      </c>
      <c r="S176" s="2" t="s">
        <v>936</v>
      </c>
      <c r="T176" s="2" t="s">
        <v>215</v>
      </c>
      <c r="U176" s="2" t="s">
        <v>56</v>
      </c>
      <c r="V176" s="2" t="n">
        <v>1</v>
      </c>
    </row>
    <row r="177">
      <c r="A177" s="2" t="n">
        <v>176</v>
      </c>
      <c r="B177" s="2" t="s">
        <v>18979</v>
      </c>
      <c r="C177" s="2" t="n">
        <v>210.992088666</v>
      </c>
      <c r="D177" s="2" t="n">
        <v>5.4691065250567</v>
      </c>
      <c r="E177" s="2" t="s">
        <v>18980</v>
      </c>
      <c r="F177" s="2" t="s">
        <v>17406</v>
      </c>
      <c r="G177" s="2" t="s">
        <v>18981</v>
      </c>
      <c r="H177" s="2" t="s">
        <v>18982</v>
      </c>
      <c r="I177" s="2" t="s">
        <v>18983</v>
      </c>
      <c r="J177" s="2" t="s">
        <v>18984</v>
      </c>
      <c r="K177" s="2" t="s">
        <v>29</v>
      </c>
      <c r="L177" s="2" t="s">
        <v>29</v>
      </c>
      <c r="M177" s="2" t="s">
        <v>18985</v>
      </c>
      <c r="N177" s="2" t="s">
        <v>18986</v>
      </c>
      <c r="O177" s="2" t="s">
        <v>18987</v>
      </c>
      <c r="P177" s="2" t="s">
        <v>18988</v>
      </c>
      <c r="Q177" s="2" t="s">
        <v>18989</v>
      </c>
      <c r="R177" s="2" t="s">
        <v>186</v>
      </c>
      <c r="S177" s="2" t="s">
        <v>187</v>
      </c>
      <c r="T177" s="2" t="s">
        <v>215</v>
      </c>
      <c r="U177" s="2" t="s">
        <v>56</v>
      </c>
      <c r="V177" s="2" t="n">
        <v>1</v>
      </c>
    </row>
    <row r="178">
      <c r="A178" s="2" t="n">
        <v>177</v>
      </c>
      <c r="B178" s="2" t="s">
        <v>18990</v>
      </c>
      <c r="C178" s="2" t="n">
        <v>211.099855754</v>
      </c>
      <c r="D178" s="2" t="n">
        <v>10.6194018699566</v>
      </c>
      <c r="E178" s="2" t="s">
        <v>18991</v>
      </c>
      <c r="F178" s="2" t="s">
        <v>17137</v>
      </c>
      <c r="G178" s="2" t="s">
        <v>18992</v>
      </c>
      <c r="H178" s="2" t="s">
        <v>18993</v>
      </c>
      <c r="I178" s="2" t="s">
        <v>18994</v>
      </c>
      <c r="J178" s="2" t="s">
        <v>18995</v>
      </c>
      <c r="K178" s="2" t="s">
        <v>29</v>
      </c>
      <c r="L178" s="2" t="s">
        <v>29</v>
      </c>
      <c r="M178" s="2" t="s">
        <v>18996</v>
      </c>
      <c r="N178" s="2" t="s">
        <v>18997</v>
      </c>
      <c r="O178" s="2" t="s">
        <v>18998</v>
      </c>
      <c r="P178" s="2" t="s">
        <v>18999</v>
      </c>
      <c r="Q178" s="2" t="s">
        <v>19000</v>
      </c>
      <c r="R178" s="2" t="s">
        <v>36</v>
      </c>
      <c r="S178" s="2" t="s">
        <v>1857</v>
      </c>
      <c r="T178" s="2" t="s">
        <v>19001</v>
      </c>
      <c r="U178" s="2" t="s">
        <v>29</v>
      </c>
      <c r="V178" s="2" t="n">
        <v>1</v>
      </c>
    </row>
    <row r="179">
      <c r="A179" s="2" t="n">
        <v>178</v>
      </c>
      <c r="B179" s="2" t="s">
        <v>19002</v>
      </c>
      <c r="C179" s="2" t="n">
        <v>211.169844634</v>
      </c>
      <c r="D179" s="2" t="n">
        <v>4.45927742324114</v>
      </c>
      <c r="E179" s="2" t="s">
        <v>19003</v>
      </c>
      <c r="F179" s="2" t="s">
        <v>17039</v>
      </c>
      <c r="G179" s="2" t="s">
        <v>19004</v>
      </c>
      <c r="H179" s="2" t="s">
        <v>19005</v>
      </c>
      <c r="I179" s="2" t="s">
        <v>19006</v>
      </c>
      <c r="J179" s="2" t="s">
        <v>19007</v>
      </c>
      <c r="K179" s="2" t="s">
        <v>19008</v>
      </c>
      <c r="L179" s="2" t="s">
        <v>195</v>
      </c>
      <c r="M179" s="2" t="s">
        <v>195</v>
      </c>
      <c r="N179" s="2" t="s">
        <v>19009</v>
      </c>
      <c r="O179" s="2" t="s">
        <v>19010</v>
      </c>
      <c r="P179" s="2" t="s">
        <v>19011</v>
      </c>
      <c r="Q179" s="2" t="s">
        <v>19012</v>
      </c>
      <c r="R179" s="2" t="s">
        <v>255</v>
      </c>
      <c r="S179" s="2" t="s">
        <v>5224</v>
      </c>
      <c r="T179" s="2" t="s">
        <v>19013</v>
      </c>
      <c r="U179" s="2" t="s">
        <v>56</v>
      </c>
      <c r="V179" s="2" t="n">
        <v>3</v>
      </c>
    </row>
    <row r="180">
      <c r="A180" s="2" t="n">
        <v>179</v>
      </c>
      <c r="B180" s="2" t="s">
        <v>19014</v>
      </c>
      <c r="C180" s="2" t="n">
        <v>213.113472404</v>
      </c>
      <c r="D180" s="2" t="n">
        <v>1.23348756958385</v>
      </c>
      <c r="E180" s="2" t="s">
        <v>19015</v>
      </c>
      <c r="F180" s="2" t="s">
        <v>17137</v>
      </c>
      <c r="G180" s="2" t="s">
        <v>19016</v>
      </c>
      <c r="H180" s="2" t="s">
        <v>19017</v>
      </c>
      <c r="I180" s="2" t="s">
        <v>19018</v>
      </c>
      <c r="J180" s="2" t="s">
        <v>19019</v>
      </c>
      <c r="K180" s="2" t="s">
        <v>29</v>
      </c>
      <c r="L180" s="2" t="s">
        <v>19020</v>
      </c>
      <c r="M180" s="2" t="s">
        <v>29</v>
      </c>
      <c r="N180" s="2" t="s">
        <v>19021</v>
      </c>
      <c r="O180" s="2" t="s">
        <v>19022</v>
      </c>
      <c r="P180" s="2" t="s">
        <v>19023</v>
      </c>
      <c r="Q180" s="2" t="s">
        <v>19024</v>
      </c>
      <c r="R180" s="2" t="s">
        <v>114</v>
      </c>
      <c r="S180" s="2" t="s">
        <v>2057</v>
      </c>
      <c r="T180" s="2" t="s">
        <v>215</v>
      </c>
      <c r="U180" s="2" t="s">
        <v>56</v>
      </c>
      <c r="V180" s="2" t="n">
        <v>1</v>
      </c>
    </row>
    <row r="181">
      <c r="A181" s="2" t="n">
        <v>180</v>
      </c>
      <c r="B181" s="2" t="s">
        <v>19025</v>
      </c>
      <c r="C181" s="2" t="n">
        <v>215.071233549</v>
      </c>
      <c r="D181" s="2" t="n">
        <v>1.95350650941314</v>
      </c>
      <c r="E181" s="2" t="s">
        <v>19026</v>
      </c>
      <c r="F181" s="2" t="s">
        <v>17198</v>
      </c>
      <c r="G181" s="2" t="s">
        <v>19027</v>
      </c>
      <c r="H181" s="2" t="s">
        <v>19028</v>
      </c>
      <c r="I181" s="2" t="s">
        <v>19029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19030</v>
      </c>
      <c r="O181" s="2" t="s">
        <v>29</v>
      </c>
      <c r="P181" s="2" t="s">
        <v>19031</v>
      </c>
      <c r="Q181" s="2" t="s">
        <v>19032</v>
      </c>
      <c r="R181" s="2" t="s">
        <v>794</v>
      </c>
      <c r="S181" s="2" t="s">
        <v>795</v>
      </c>
      <c r="T181" s="2" t="s">
        <v>1870</v>
      </c>
      <c r="U181" s="2" t="s">
        <v>29</v>
      </c>
      <c r="V181" s="2" t="n">
        <v>1</v>
      </c>
    </row>
    <row r="182">
      <c r="A182" s="2" t="n">
        <v>181</v>
      </c>
      <c r="B182" s="2" t="s">
        <v>19033</v>
      </c>
      <c r="C182" s="2" t="n">
        <v>216.019111139</v>
      </c>
      <c r="D182" s="2" t="n">
        <v>6.84537872265502</v>
      </c>
      <c r="E182" s="2" t="s">
        <v>19034</v>
      </c>
      <c r="F182" s="2" t="s">
        <v>17039</v>
      </c>
      <c r="G182" s="2" t="s">
        <v>19035</v>
      </c>
      <c r="H182" s="2" t="s">
        <v>19036</v>
      </c>
      <c r="I182" s="2" t="s">
        <v>19037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19038</v>
      </c>
      <c r="O182" s="2" t="s">
        <v>29</v>
      </c>
      <c r="P182" s="2" t="s">
        <v>19039</v>
      </c>
      <c r="Q182" s="2" t="s">
        <v>19040</v>
      </c>
      <c r="R182" s="2" t="s">
        <v>36</v>
      </c>
      <c r="S182" s="2" t="s">
        <v>1108</v>
      </c>
      <c r="T182" s="2" t="s">
        <v>19041</v>
      </c>
      <c r="U182" s="2" t="s">
        <v>29</v>
      </c>
      <c r="V182" s="2" t="n">
        <v>1</v>
      </c>
    </row>
    <row r="183">
      <c r="A183" s="2" t="n">
        <v>182</v>
      </c>
      <c r="B183" s="2" t="s">
        <v>19042</v>
      </c>
      <c r="C183" s="2" t="n">
        <v>216.055136551</v>
      </c>
      <c r="D183" s="2" t="n">
        <v>11.6678519736513</v>
      </c>
      <c r="E183" s="2" t="s">
        <v>19043</v>
      </c>
      <c r="F183" s="2" t="s">
        <v>17520</v>
      </c>
      <c r="G183" s="2" t="s">
        <v>19044</v>
      </c>
      <c r="H183" s="2" t="s">
        <v>19045</v>
      </c>
      <c r="I183" s="2" t="s">
        <v>19046</v>
      </c>
      <c r="J183" s="2" t="s">
        <v>29</v>
      </c>
      <c r="K183" s="2" t="s">
        <v>29</v>
      </c>
      <c r="L183" s="2" t="s">
        <v>29</v>
      </c>
      <c r="M183" s="2" t="s">
        <v>19047</v>
      </c>
      <c r="N183" s="2" t="s">
        <v>19048</v>
      </c>
      <c r="O183" s="2" t="s">
        <v>29</v>
      </c>
      <c r="P183" s="2" t="s">
        <v>19049</v>
      </c>
      <c r="Q183" s="2" t="s">
        <v>19050</v>
      </c>
      <c r="R183" s="2" t="s">
        <v>114</v>
      </c>
      <c r="S183" s="2" t="s">
        <v>19051</v>
      </c>
      <c r="T183" s="2" t="s">
        <v>215</v>
      </c>
      <c r="U183" s="2" t="s">
        <v>29</v>
      </c>
      <c r="V183" s="2" t="n">
        <v>1</v>
      </c>
    </row>
    <row r="184">
      <c r="A184" s="2" t="n">
        <v>183</v>
      </c>
      <c r="B184" s="2" t="s">
        <v>19052</v>
      </c>
      <c r="C184" s="2" t="n">
        <v>216.126302795</v>
      </c>
      <c r="D184" s="2" t="n">
        <v>19.7499244782658</v>
      </c>
      <c r="E184" s="2" t="s">
        <v>19053</v>
      </c>
      <c r="F184" s="2" t="s">
        <v>17039</v>
      </c>
      <c r="G184" s="2" t="s">
        <v>19054</v>
      </c>
      <c r="H184" s="2" t="s">
        <v>19055</v>
      </c>
      <c r="I184" s="2" t="s">
        <v>19056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19057</v>
      </c>
      <c r="O184" s="2" t="s">
        <v>29</v>
      </c>
      <c r="P184" s="2" t="s">
        <v>19058</v>
      </c>
      <c r="Q184" s="2" t="s">
        <v>19059</v>
      </c>
      <c r="R184" s="2" t="s">
        <v>186</v>
      </c>
      <c r="S184" s="2" t="s">
        <v>187</v>
      </c>
      <c r="T184" s="2" t="s">
        <v>215</v>
      </c>
      <c r="U184" s="2" t="s">
        <v>29</v>
      </c>
      <c r="V184" s="2" t="n">
        <v>1</v>
      </c>
    </row>
    <row r="185">
      <c r="A185" s="2" t="n">
        <v>184</v>
      </c>
      <c r="B185" s="2" t="s">
        <v>19060</v>
      </c>
      <c r="C185" s="2" t="n">
        <v>217.047165282</v>
      </c>
      <c r="D185" s="2" t="n">
        <v>1.92940761593985</v>
      </c>
      <c r="E185" s="2" t="s">
        <v>19061</v>
      </c>
      <c r="F185" s="2" t="s">
        <v>17137</v>
      </c>
      <c r="G185" s="2" t="s">
        <v>19062</v>
      </c>
      <c r="H185" s="2" t="s">
        <v>19063</v>
      </c>
      <c r="I185" s="2" t="s">
        <v>19064</v>
      </c>
      <c r="J185" s="2" t="s">
        <v>19065</v>
      </c>
      <c r="K185" s="2" t="s">
        <v>29</v>
      </c>
      <c r="L185" s="2" t="s">
        <v>19066</v>
      </c>
      <c r="M185" s="2" t="s">
        <v>19067</v>
      </c>
      <c r="N185" s="2" t="s">
        <v>19068</v>
      </c>
      <c r="O185" s="2" t="s">
        <v>29</v>
      </c>
      <c r="P185" s="2" t="s">
        <v>19069</v>
      </c>
      <c r="Q185" s="2" t="s">
        <v>19070</v>
      </c>
      <c r="R185" s="2" t="s">
        <v>36</v>
      </c>
      <c r="S185" s="2" t="s">
        <v>2572</v>
      </c>
      <c r="T185" s="2" t="s">
        <v>2637</v>
      </c>
      <c r="U185" s="2" t="s">
        <v>101</v>
      </c>
      <c r="V185" s="2" t="n">
        <v>1</v>
      </c>
    </row>
    <row r="186">
      <c r="A186" s="2" t="n">
        <v>185</v>
      </c>
      <c r="B186" s="2" t="s">
        <v>19071</v>
      </c>
      <c r="C186" s="2" t="n">
        <v>218.103166993</v>
      </c>
      <c r="D186" s="2" t="n">
        <v>0.887579035984538</v>
      </c>
      <c r="E186" s="2" t="s">
        <v>19072</v>
      </c>
      <c r="F186" s="2" t="s">
        <v>17137</v>
      </c>
      <c r="G186" s="2" t="s">
        <v>19073</v>
      </c>
      <c r="H186" s="2" t="s">
        <v>19074</v>
      </c>
      <c r="I186" s="2" t="s">
        <v>19075</v>
      </c>
      <c r="J186" s="2" t="s">
        <v>19076</v>
      </c>
      <c r="K186" s="2" t="s">
        <v>29</v>
      </c>
      <c r="L186" s="2" t="s">
        <v>29</v>
      </c>
      <c r="M186" s="2" t="s">
        <v>19077</v>
      </c>
      <c r="N186" s="2" t="s">
        <v>19078</v>
      </c>
      <c r="O186" s="2" t="s">
        <v>19079</v>
      </c>
      <c r="P186" s="2" t="s">
        <v>19080</v>
      </c>
      <c r="Q186" s="2" t="s">
        <v>19081</v>
      </c>
      <c r="R186" s="2" t="s">
        <v>644</v>
      </c>
      <c r="S186" s="2" t="s">
        <v>645</v>
      </c>
      <c r="T186" s="2" t="s">
        <v>215</v>
      </c>
      <c r="U186" s="2" t="s">
        <v>56</v>
      </c>
      <c r="V186" s="2" t="n">
        <v>1</v>
      </c>
    </row>
    <row r="187">
      <c r="A187" s="2" t="n">
        <v>186</v>
      </c>
      <c r="B187" s="2" t="s">
        <v>19082</v>
      </c>
      <c r="C187" s="2" t="n">
        <v>219.026391366</v>
      </c>
      <c r="D187" s="2" t="n">
        <v>6.86870745802724</v>
      </c>
      <c r="E187" s="2" t="s">
        <v>19083</v>
      </c>
      <c r="F187" s="2" t="s">
        <v>17198</v>
      </c>
      <c r="G187" s="2" t="s">
        <v>19084</v>
      </c>
      <c r="H187" s="2" t="s">
        <v>19085</v>
      </c>
      <c r="I187" s="2" t="s">
        <v>19086</v>
      </c>
      <c r="J187" s="2" t="s">
        <v>29</v>
      </c>
      <c r="K187" s="2" t="s">
        <v>29</v>
      </c>
      <c r="L187" s="2" t="s">
        <v>29</v>
      </c>
      <c r="M187" s="2" t="s">
        <v>19087</v>
      </c>
      <c r="N187" s="2" t="s">
        <v>19088</v>
      </c>
      <c r="O187" s="2" t="s">
        <v>29</v>
      </c>
      <c r="P187" s="2" t="s">
        <v>19089</v>
      </c>
      <c r="Q187" s="2" t="s">
        <v>19090</v>
      </c>
      <c r="R187" s="2" t="s">
        <v>186</v>
      </c>
      <c r="S187" s="2" t="s">
        <v>8491</v>
      </c>
      <c r="T187" s="2" t="s">
        <v>215</v>
      </c>
      <c r="U187" s="2" t="s">
        <v>39</v>
      </c>
      <c r="V187" s="2" t="n">
        <v>1</v>
      </c>
    </row>
    <row r="188">
      <c r="A188" s="2" t="n">
        <v>187</v>
      </c>
      <c r="B188" s="2" t="s">
        <v>19091</v>
      </c>
      <c r="C188" s="2" t="n">
        <v>219.060369936</v>
      </c>
      <c r="D188" s="2" t="n">
        <v>6.13722151536472</v>
      </c>
      <c r="E188" s="2" t="s">
        <v>19092</v>
      </c>
      <c r="F188" s="2" t="s">
        <v>17970</v>
      </c>
      <c r="G188" s="2" t="s">
        <v>19093</v>
      </c>
      <c r="H188" s="2" t="s">
        <v>19094</v>
      </c>
      <c r="I188" s="2" t="s">
        <v>19095</v>
      </c>
      <c r="J188" s="2" t="s">
        <v>19096</v>
      </c>
      <c r="K188" s="2" t="s">
        <v>19097</v>
      </c>
      <c r="L188" s="2" t="s">
        <v>19098</v>
      </c>
      <c r="M188" s="2" t="s">
        <v>19099</v>
      </c>
      <c r="N188" s="2" t="s">
        <v>19100</v>
      </c>
      <c r="O188" s="2" t="s">
        <v>19101</v>
      </c>
      <c r="P188" s="2" t="s">
        <v>19102</v>
      </c>
      <c r="Q188" s="2" t="s">
        <v>19103</v>
      </c>
      <c r="R188" s="2" t="s">
        <v>794</v>
      </c>
      <c r="S188" s="2" t="s">
        <v>795</v>
      </c>
      <c r="T188" s="2" t="s">
        <v>796</v>
      </c>
      <c r="U188" s="2" t="s">
        <v>39</v>
      </c>
      <c r="V188" s="2" t="n">
        <v>1</v>
      </c>
    </row>
    <row r="189">
      <c r="A189" s="2" t="n">
        <v>188</v>
      </c>
      <c r="B189" s="2" t="s">
        <v>19104</v>
      </c>
      <c r="C189" s="2" t="n">
        <v>220.031258901</v>
      </c>
      <c r="D189" s="2" t="n">
        <v>2.43990464401099</v>
      </c>
      <c r="E189" s="2" t="s">
        <v>19105</v>
      </c>
      <c r="F189" s="2" t="s">
        <v>17137</v>
      </c>
      <c r="G189" s="2" t="s">
        <v>19106</v>
      </c>
      <c r="H189" s="2" t="s">
        <v>19107</v>
      </c>
      <c r="I189" s="2" t="s">
        <v>19108</v>
      </c>
      <c r="J189" s="2" t="s">
        <v>29</v>
      </c>
      <c r="K189" s="2" t="s">
        <v>29</v>
      </c>
      <c r="L189" s="2" t="s">
        <v>29</v>
      </c>
      <c r="M189" s="2" t="s">
        <v>29</v>
      </c>
      <c r="N189" s="2" t="s">
        <v>19109</v>
      </c>
      <c r="O189" s="2" t="s">
        <v>29</v>
      </c>
      <c r="P189" s="2" t="s">
        <v>19110</v>
      </c>
      <c r="Q189" s="2" t="s">
        <v>19111</v>
      </c>
      <c r="R189" s="2" t="s">
        <v>36</v>
      </c>
      <c r="S189" s="2" t="s">
        <v>37</v>
      </c>
      <c r="T189" s="2" t="s">
        <v>69</v>
      </c>
      <c r="U189" s="2" t="s">
        <v>29</v>
      </c>
      <c r="V189" s="2" t="n">
        <v>1</v>
      </c>
    </row>
    <row r="190">
      <c r="A190" s="2" t="n">
        <v>189</v>
      </c>
      <c r="B190" s="2" t="s">
        <v>19112</v>
      </c>
      <c r="C190" s="2" t="n">
        <v>220.99591469</v>
      </c>
      <c r="D190" s="2" t="n">
        <v>2.66627134677586</v>
      </c>
      <c r="E190" s="2" t="s">
        <v>19113</v>
      </c>
      <c r="F190" s="2" t="s">
        <v>17406</v>
      </c>
      <c r="G190" s="2" t="s">
        <v>19114</v>
      </c>
      <c r="H190" s="2" t="s">
        <v>19115</v>
      </c>
      <c r="I190" s="2" t="s">
        <v>19116</v>
      </c>
      <c r="J190" s="2" t="s">
        <v>19117</v>
      </c>
      <c r="K190" s="2" t="s">
        <v>91</v>
      </c>
      <c r="L190" s="2" t="s">
        <v>19118</v>
      </c>
      <c r="M190" s="2" t="s">
        <v>19119</v>
      </c>
      <c r="N190" s="2" t="s">
        <v>19120</v>
      </c>
      <c r="O190" s="2" t="s">
        <v>19121</v>
      </c>
      <c r="P190" s="2" t="s">
        <v>19122</v>
      </c>
      <c r="Q190" s="2" t="s">
        <v>19123</v>
      </c>
      <c r="R190" s="2" t="s">
        <v>770</v>
      </c>
      <c r="S190" s="2" t="s">
        <v>771</v>
      </c>
      <c r="T190" s="2" t="s">
        <v>19124</v>
      </c>
      <c r="U190" s="2" t="s">
        <v>101</v>
      </c>
      <c r="V190" s="2" t="n">
        <v>2</v>
      </c>
    </row>
    <row r="191">
      <c r="A191" s="2" t="n">
        <v>190</v>
      </c>
      <c r="B191" s="2" t="s">
        <v>19125</v>
      </c>
      <c r="C191" s="2" t="n">
        <v>221.031119322</v>
      </c>
      <c r="D191" s="2" t="n">
        <v>3.061002641152</v>
      </c>
      <c r="E191" s="2" t="s">
        <v>19126</v>
      </c>
      <c r="F191" s="2" t="s">
        <v>17039</v>
      </c>
      <c r="G191" s="2" t="s">
        <v>19127</v>
      </c>
      <c r="H191" s="2" t="s">
        <v>19128</v>
      </c>
      <c r="I191" s="2" t="s">
        <v>19129</v>
      </c>
      <c r="J191" s="2" t="s">
        <v>29</v>
      </c>
      <c r="K191" s="2" t="s">
        <v>29</v>
      </c>
      <c r="L191" s="2" t="s">
        <v>29</v>
      </c>
      <c r="M191" s="2" t="s">
        <v>19130</v>
      </c>
      <c r="N191" s="2" t="s">
        <v>19131</v>
      </c>
      <c r="O191" s="2" t="s">
        <v>19132</v>
      </c>
      <c r="P191" s="2" t="s">
        <v>19133</v>
      </c>
      <c r="Q191" s="2" t="s">
        <v>19134</v>
      </c>
      <c r="R191" s="2" t="s">
        <v>114</v>
      </c>
      <c r="S191" s="2" t="s">
        <v>1050</v>
      </c>
      <c r="T191" s="2" t="s">
        <v>1122</v>
      </c>
      <c r="U191" s="2" t="s">
        <v>56</v>
      </c>
      <c r="V191" s="2" t="n">
        <v>1</v>
      </c>
    </row>
    <row r="192">
      <c r="A192" s="2" t="n">
        <v>191</v>
      </c>
      <c r="B192" s="2" t="s">
        <v>19135</v>
      </c>
      <c r="C192" s="2" t="n">
        <v>222.031571914</v>
      </c>
      <c r="D192" s="2" t="n">
        <v>0.897657346462126</v>
      </c>
      <c r="E192" s="2" t="s">
        <v>19136</v>
      </c>
      <c r="F192" s="2" t="s">
        <v>17406</v>
      </c>
      <c r="G192" s="2" t="s">
        <v>19137</v>
      </c>
      <c r="H192" s="2" t="s">
        <v>19138</v>
      </c>
      <c r="I192" s="2" t="s">
        <v>19139</v>
      </c>
      <c r="J192" s="2" t="s">
        <v>19140</v>
      </c>
      <c r="K192" s="2" t="s">
        <v>91</v>
      </c>
      <c r="L192" s="2" t="s">
        <v>91</v>
      </c>
      <c r="M192" s="2" t="s">
        <v>19141</v>
      </c>
      <c r="N192" s="2" t="s">
        <v>19142</v>
      </c>
      <c r="O192" s="2" t="s">
        <v>91</v>
      </c>
      <c r="P192" s="2" t="s">
        <v>19143</v>
      </c>
      <c r="Q192" s="2" t="s">
        <v>19144</v>
      </c>
      <c r="R192" s="2" t="s">
        <v>541</v>
      </c>
      <c r="S192" s="2" t="s">
        <v>19145</v>
      </c>
      <c r="T192" s="2" t="s">
        <v>19146</v>
      </c>
      <c r="U192" s="2" t="s">
        <v>29</v>
      </c>
      <c r="V192" s="2" t="n">
        <v>2</v>
      </c>
    </row>
    <row r="193">
      <c r="A193" s="2" t="n">
        <v>192</v>
      </c>
      <c r="B193" s="2" t="s">
        <v>19147</v>
      </c>
      <c r="C193" s="2" t="n">
        <v>222.9897035</v>
      </c>
      <c r="D193" s="2" t="n">
        <v>0.768209723594738</v>
      </c>
      <c r="E193" s="2" t="s">
        <v>19148</v>
      </c>
      <c r="F193" s="2" t="s">
        <v>17970</v>
      </c>
      <c r="G193" s="2" t="s">
        <v>19149</v>
      </c>
      <c r="H193" s="2" t="s">
        <v>19150</v>
      </c>
      <c r="I193" s="2" t="s">
        <v>19151</v>
      </c>
      <c r="J193" s="2" t="s">
        <v>19152</v>
      </c>
      <c r="K193" s="2" t="s">
        <v>29</v>
      </c>
      <c r="L193" s="2" t="s">
        <v>29</v>
      </c>
      <c r="M193" s="2" t="s">
        <v>29</v>
      </c>
      <c r="N193" s="2" t="s">
        <v>19153</v>
      </c>
      <c r="O193" s="2" t="s">
        <v>29</v>
      </c>
      <c r="P193" s="2" t="s">
        <v>19154</v>
      </c>
      <c r="Q193" s="2" t="s">
        <v>19155</v>
      </c>
      <c r="R193" s="2" t="s">
        <v>186</v>
      </c>
      <c r="S193" s="2" t="s">
        <v>4086</v>
      </c>
      <c r="T193" s="2" t="s">
        <v>19156</v>
      </c>
      <c r="U193" s="2" t="s">
        <v>29</v>
      </c>
      <c r="V193" s="2" t="n">
        <v>1</v>
      </c>
    </row>
    <row r="194">
      <c r="A194" s="2" t="n">
        <v>193</v>
      </c>
      <c r="B194" s="2" t="s">
        <v>19157</v>
      </c>
      <c r="C194" s="2" t="n">
        <v>223.051818258</v>
      </c>
      <c r="D194" s="2" t="n">
        <v>0.188815872927454</v>
      </c>
      <c r="E194" s="2" t="s">
        <v>19158</v>
      </c>
      <c r="F194" s="2" t="s">
        <v>17198</v>
      </c>
      <c r="G194" s="2" t="s">
        <v>19159</v>
      </c>
      <c r="H194" s="2" t="s">
        <v>19160</v>
      </c>
      <c r="I194" s="2" t="s">
        <v>19161</v>
      </c>
      <c r="J194" s="2" t="s">
        <v>29</v>
      </c>
      <c r="K194" s="2" t="s">
        <v>29</v>
      </c>
      <c r="L194" s="2" t="s">
        <v>29</v>
      </c>
      <c r="M194" s="2" t="s">
        <v>29</v>
      </c>
      <c r="N194" s="2" t="s">
        <v>19162</v>
      </c>
      <c r="O194" s="2" t="s">
        <v>29</v>
      </c>
      <c r="P194" s="2" t="s">
        <v>19163</v>
      </c>
      <c r="Q194" s="2" t="s">
        <v>19164</v>
      </c>
      <c r="R194" s="2" t="s">
        <v>186</v>
      </c>
      <c r="S194" s="2" t="s">
        <v>9353</v>
      </c>
      <c r="T194" s="2" t="s">
        <v>215</v>
      </c>
      <c r="U194" s="2" t="s">
        <v>29</v>
      </c>
      <c r="V194" s="2" t="n">
        <v>1</v>
      </c>
    </row>
    <row r="195">
      <c r="A195" s="2" t="n">
        <v>194</v>
      </c>
      <c r="B195" s="2" t="s">
        <v>19165</v>
      </c>
      <c r="C195" s="2" t="n">
        <v>223.975260579</v>
      </c>
      <c r="D195" s="2" t="n">
        <v>5.51523773724032</v>
      </c>
      <c r="E195" s="2" t="s">
        <v>19166</v>
      </c>
      <c r="F195" s="2" t="s">
        <v>17970</v>
      </c>
      <c r="G195" s="2" t="s">
        <v>19167</v>
      </c>
      <c r="H195" s="2" t="s">
        <v>19168</v>
      </c>
      <c r="I195" s="2" t="s">
        <v>19169</v>
      </c>
      <c r="J195" s="2" t="s">
        <v>29</v>
      </c>
      <c r="K195" s="2" t="s">
        <v>29</v>
      </c>
      <c r="L195" s="2" t="s">
        <v>29</v>
      </c>
      <c r="M195" s="2" t="s">
        <v>29</v>
      </c>
      <c r="N195" s="2" t="s">
        <v>19170</v>
      </c>
      <c r="O195" s="2" t="s">
        <v>29</v>
      </c>
      <c r="P195" s="2" t="s">
        <v>19171</v>
      </c>
      <c r="Q195" s="2" t="s">
        <v>19172</v>
      </c>
      <c r="R195" s="2" t="s">
        <v>114</v>
      </c>
      <c r="S195" s="2" t="s">
        <v>6004</v>
      </c>
      <c r="T195" s="2" t="s">
        <v>19173</v>
      </c>
      <c r="U195" s="2" t="s">
        <v>29</v>
      </c>
      <c r="V195" s="2" t="n">
        <v>1</v>
      </c>
    </row>
    <row r="196">
      <c r="A196" s="2" t="n">
        <v>195</v>
      </c>
      <c r="B196" s="2" t="s">
        <v>19174</v>
      </c>
      <c r="C196" s="2" t="n">
        <v>224.093659994</v>
      </c>
      <c r="D196" s="2" t="n">
        <v>13.1254760090957</v>
      </c>
      <c r="E196" s="2" t="s">
        <v>19175</v>
      </c>
      <c r="F196" s="2" t="s">
        <v>17039</v>
      </c>
      <c r="G196" s="2" t="s">
        <v>19176</v>
      </c>
      <c r="H196" s="2" t="s">
        <v>19177</v>
      </c>
      <c r="I196" s="2" t="s">
        <v>19178</v>
      </c>
      <c r="J196" s="2" t="s">
        <v>19179</v>
      </c>
      <c r="K196" s="2" t="s">
        <v>195</v>
      </c>
      <c r="L196" s="2" t="s">
        <v>195</v>
      </c>
      <c r="M196" s="2" t="s">
        <v>195</v>
      </c>
      <c r="N196" s="2" t="s">
        <v>19180</v>
      </c>
      <c r="O196" s="2" t="s">
        <v>195</v>
      </c>
      <c r="P196" s="2" t="s">
        <v>19181</v>
      </c>
      <c r="Q196" s="2" t="s">
        <v>19182</v>
      </c>
      <c r="R196" s="2" t="s">
        <v>490</v>
      </c>
      <c r="S196" s="2" t="s">
        <v>19183</v>
      </c>
      <c r="T196" s="2" t="s">
        <v>19184</v>
      </c>
      <c r="U196" s="2" t="s">
        <v>29</v>
      </c>
      <c r="V196" s="2" t="n">
        <v>3</v>
      </c>
    </row>
    <row r="197">
      <c r="A197" s="2" t="n">
        <v>196</v>
      </c>
      <c r="B197" s="2" t="s">
        <v>19185</v>
      </c>
      <c r="C197" s="2" t="n">
        <v>224.118223431</v>
      </c>
      <c r="D197" s="2" t="n">
        <v>2.28474904970955</v>
      </c>
      <c r="E197" s="2" t="s">
        <v>19186</v>
      </c>
      <c r="F197" s="2" t="s">
        <v>17137</v>
      </c>
      <c r="G197" s="2" t="s">
        <v>19187</v>
      </c>
      <c r="H197" s="2" t="s">
        <v>19188</v>
      </c>
      <c r="I197" s="2" t="s">
        <v>19189</v>
      </c>
      <c r="J197" s="2" t="s">
        <v>19190</v>
      </c>
      <c r="K197" s="2" t="s">
        <v>29</v>
      </c>
      <c r="L197" s="2" t="s">
        <v>19191</v>
      </c>
      <c r="M197" s="2" t="s">
        <v>19192</v>
      </c>
      <c r="N197" s="2" t="s">
        <v>19193</v>
      </c>
      <c r="O197" s="2" t="s">
        <v>19194</v>
      </c>
      <c r="P197" s="2" t="s">
        <v>19195</v>
      </c>
      <c r="Q197" s="2" t="s">
        <v>19196</v>
      </c>
      <c r="R197" s="2" t="s">
        <v>186</v>
      </c>
      <c r="S197" s="2" t="s">
        <v>187</v>
      </c>
      <c r="T197" s="2" t="s">
        <v>5455</v>
      </c>
      <c r="U197" s="2" t="s">
        <v>101</v>
      </c>
      <c r="V197" s="2" t="n">
        <v>1</v>
      </c>
    </row>
    <row r="198">
      <c r="A198" s="2" t="n">
        <v>197</v>
      </c>
      <c r="B198" s="2" t="s">
        <v>19197</v>
      </c>
      <c r="C198" s="2" t="n">
        <v>224.985809087</v>
      </c>
      <c r="D198" s="2" t="n">
        <v>6.60892007178402</v>
      </c>
      <c r="E198" s="2" t="s">
        <v>19198</v>
      </c>
      <c r="F198" s="2" t="s">
        <v>17039</v>
      </c>
      <c r="G198" s="2" t="s">
        <v>19199</v>
      </c>
      <c r="H198" s="2" t="s">
        <v>19200</v>
      </c>
      <c r="I198" s="2" t="s">
        <v>19201</v>
      </c>
      <c r="J198" s="2" t="s">
        <v>29</v>
      </c>
      <c r="K198" s="2" t="s">
        <v>29</v>
      </c>
      <c r="L198" s="2" t="s">
        <v>29</v>
      </c>
      <c r="M198" s="2" t="s">
        <v>19202</v>
      </c>
      <c r="N198" s="2" t="s">
        <v>19203</v>
      </c>
      <c r="O198" s="2" t="s">
        <v>29</v>
      </c>
      <c r="P198" s="2" t="s">
        <v>19204</v>
      </c>
      <c r="Q198" s="2" t="s">
        <v>19205</v>
      </c>
      <c r="R198" s="2" t="s">
        <v>1355</v>
      </c>
      <c r="S198" s="2" t="s">
        <v>3298</v>
      </c>
      <c r="T198" s="2" t="s">
        <v>215</v>
      </c>
      <c r="U198" s="2" t="s">
        <v>29</v>
      </c>
      <c r="V198" s="2" t="n">
        <v>1</v>
      </c>
    </row>
    <row r="199">
      <c r="A199" s="2" t="n">
        <v>198</v>
      </c>
      <c r="B199" s="2" t="s">
        <v>19206</v>
      </c>
      <c r="C199" s="2" t="n">
        <v>225.039363988</v>
      </c>
      <c r="D199" s="2" t="n">
        <v>7.5608406442816</v>
      </c>
      <c r="E199" s="2" t="s">
        <v>19207</v>
      </c>
      <c r="F199" s="2" t="s">
        <v>17137</v>
      </c>
      <c r="G199" s="2" t="s">
        <v>19208</v>
      </c>
      <c r="H199" s="2" t="s">
        <v>19209</v>
      </c>
      <c r="I199" s="2" t="s">
        <v>19210</v>
      </c>
      <c r="J199" s="2" t="s">
        <v>19211</v>
      </c>
      <c r="K199" s="2" t="s">
        <v>29</v>
      </c>
      <c r="L199" s="2" t="s">
        <v>29</v>
      </c>
      <c r="M199" s="2" t="s">
        <v>29</v>
      </c>
      <c r="N199" s="2" t="s">
        <v>19212</v>
      </c>
      <c r="O199" s="2" t="s">
        <v>19213</v>
      </c>
      <c r="P199" s="2" t="s">
        <v>19214</v>
      </c>
      <c r="Q199" s="2" t="s">
        <v>19215</v>
      </c>
      <c r="R199" s="2" t="s">
        <v>186</v>
      </c>
      <c r="S199" s="2" t="s">
        <v>187</v>
      </c>
      <c r="T199" s="2" t="s">
        <v>6601</v>
      </c>
      <c r="U199" s="2" t="s">
        <v>56</v>
      </c>
      <c r="V199" s="2" t="n">
        <v>1</v>
      </c>
    </row>
    <row r="200">
      <c r="A200" s="2" t="n">
        <v>199</v>
      </c>
      <c r="B200" s="2" t="s">
        <v>19216</v>
      </c>
      <c r="C200" s="2" t="n">
        <v>225.091594314</v>
      </c>
      <c r="D200" s="2" t="n">
        <v>8.58341377740905</v>
      </c>
      <c r="E200" s="2" t="s">
        <v>19217</v>
      </c>
      <c r="F200" s="2" t="s">
        <v>17039</v>
      </c>
      <c r="G200" s="2" t="s">
        <v>19218</v>
      </c>
      <c r="H200" s="2" t="s">
        <v>19219</v>
      </c>
      <c r="I200" s="2" t="s">
        <v>19220</v>
      </c>
      <c r="J200" s="2" t="s">
        <v>19221</v>
      </c>
      <c r="K200" s="2" t="s">
        <v>29</v>
      </c>
      <c r="L200" s="2" t="s">
        <v>19222</v>
      </c>
      <c r="M200" s="2" t="s">
        <v>19223</v>
      </c>
      <c r="N200" s="2" t="s">
        <v>19224</v>
      </c>
      <c r="O200" s="2" t="s">
        <v>19225</v>
      </c>
      <c r="P200" s="2" t="s">
        <v>19226</v>
      </c>
      <c r="Q200" s="2" t="s">
        <v>19227</v>
      </c>
      <c r="R200" s="2" t="s">
        <v>1355</v>
      </c>
      <c r="S200" s="2" t="s">
        <v>3653</v>
      </c>
      <c r="T200" s="2" t="s">
        <v>9177</v>
      </c>
      <c r="U200" s="2" t="s">
        <v>56</v>
      </c>
      <c r="V200" s="2" t="n">
        <v>1</v>
      </c>
    </row>
    <row r="201">
      <c r="A201" s="2" t="n">
        <v>200</v>
      </c>
      <c r="B201" s="2" t="s">
        <v>19228</v>
      </c>
      <c r="C201" s="2" t="n">
        <v>228.062085086</v>
      </c>
      <c r="D201" s="2" t="n">
        <v>9.40449512136221</v>
      </c>
      <c r="E201" s="2" t="s">
        <v>19229</v>
      </c>
      <c r="F201" s="2" t="s">
        <v>17039</v>
      </c>
      <c r="G201" s="2" t="s">
        <v>19230</v>
      </c>
      <c r="H201" s="2" t="s">
        <v>19231</v>
      </c>
      <c r="I201" s="2" t="s">
        <v>19232</v>
      </c>
      <c r="J201" s="2" t="s">
        <v>29</v>
      </c>
      <c r="K201" s="2" t="s">
        <v>29</v>
      </c>
      <c r="L201" s="2" t="s">
        <v>29</v>
      </c>
      <c r="M201" s="2" t="s">
        <v>29</v>
      </c>
      <c r="N201" s="2" t="s">
        <v>19233</v>
      </c>
      <c r="O201" s="2" t="s">
        <v>29</v>
      </c>
      <c r="P201" s="2" t="s">
        <v>19234</v>
      </c>
      <c r="Q201" s="2" t="s">
        <v>19235</v>
      </c>
      <c r="R201" s="2" t="s">
        <v>129</v>
      </c>
      <c r="S201" s="2" t="s">
        <v>130</v>
      </c>
      <c r="T201" s="2" t="s">
        <v>1681</v>
      </c>
      <c r="U201" s="2" t="s">
        <v>29</v>
      </c>
      <c r="V201" s="2" t="n">
        <v>1</v>
      </c>
    </row>
    <row r="202">
      <c r="A202" s="2" t="n">
        <v>201</v>
      </c>
      <c r="B202" s="2" t="s">
        <v>19236</v>
      </c>
      <c r="C202" s="2" t="n">
        <v>228.954200796</v>
      </c>
      <c r="D202" s="2" t="n">
        <v>3.31814195471435</v>
      </c>
      <c r="E202" s="2" t="s">
        <v>19237</v>
      </c>
      <c r="F202" s="2" t="s">
        <v>17198</v>
      </c>
      <c r="G202" s="2" t="s">
        <v>19238</v>
      </c>
      <c r="H202" s="2" t="s">
        <v>19239</v>
      </c>
      <c r="I202" s="2" t="s">
        <v>19240</v>
      </c>
      <c r="J202" s="2" t="s">
        <v>19241</v>
      </c>
      <c r="K202" s="2" t="s">
        <v>29</v>
      </c>
      <c r="L202" s="2" t="s">
        <v>19242</v>
      </c>
      <c r="M202" s="2" t="s">
        <v>19243</v>
      </c>
      <c r="N202" s="2" t="s">
        <v>19244</v>
      </c>
      <c r="O202" s="2" t="s">
        <v>19245</v>
      </c>
      <c r="P202" s="2" t="s">
        <v>19246</v>
      </c>
      <c r="Q202" s="2" t="s">
        <v>19247</v>
      </c>
      <c r="R202" s="2" t="s">
        <v>186</v>
      </c>
      <c r="S202" s="2" t="s">
        <v>187</v>
      </c>
      <c r="T202" s="2" t="s">
        <v>1206</v>
      </c>
      <c r="U202" s="2" t="s">
        <v>101</v>
      </c>
      <c r="V202" s="2" t="n">
        <v>1</v>
      </c>
    </row>
    <row r="203">
      <c r="A203" s="2" t="n">
        <v>202</v>
      </c>
      <c r="B203" s="2" t="s">
        <v>19248</v>
      </c>
      <c r="C203" s="2" t="n">
        <v>228.978596464</v>
      </c>
      <c r="D203" s="2" t="n">
        <v>1.88077544598465</v>
      </c>
      <c r="E203" s="2" t="s">
        <v>19249</v>
      </c>
      <c r="F203" s="2" t="s">
        <v>17198</v>
      </c>
      <c r="G203" s="2" t="s">
        <v>19250</v>
      </c>
      <c r="H203" s="2" t="s">
        <v>19251</v>
      </c>
      <c r="I203" s="2" t="s">
        <v>19252</v>
      </c>
      <c r="J203" s="2" t="s">
        <v>29</v>
      </c>
      <c r="K203" s="2" t="s">
        <v>29</v>
      </c>
      <c r="L203" s="2" t="s">
        <v>29</v>
      </c>
      <c r="M203" s="2" t="s">
        <v>29</v>
      </c>
      <c r="N203" s="2" t="s">
        <v>19253</v>
      </c>
      <c r="O203" s="2" t="s">
        <v>29</v>
      </c>
      <c r="P203" s="2" t="s">
        <v>19254</v>
      </c>
      <c r="Q203" s="2" t="s">
        <v>19255</v>
      </c>
      <c r="R203" s="2" t="s">
        <v>114</v>
      </c>
      <c r="S203" s="2" t="s">
        <v>877</v>
      </c>
      <c r="T203" s="2" t="s">
        <v>215</v>
      </c>
      <c r="U203" s="2" t="s">
        <v>29</v>
      </c>
      <c r="V203" s="2" t="n">
        <v>1</v>
      </c>
    </row>
    <row r="204">
      <c r="A204" s="2" t="n">
        <v>203</v>
      </c>
      <c r="B204" s="2" t="s">
        <v>19256</v>
      </c>
      <c r="C204" s="2" t="n">
        <v>229.143435128</v>
      </c>
      <c r="D204" s="2" t="n">
        <v>12.0854637193774</v>
      </c>
      <c r="E204" s="2" t="s">
        <v>19257</v>
      </c>
      <c r="F204" s="2" t="s">
        <v>17137</v>
      </c>
      <c r="G204" s="2" t="s">
        <v>19258</v>
      </c>
      <c r="H204" s="2" t="s">
        <v>19259</v>
      </c>
      <c r="I204" s="2" t="s">
        <v>19260</v>
      </c>
      <c r="J204" s="2" t="s">
        <v>19261</v>
      </c>
      <c r="K204" s="2" t="s">
        <v>19262</v>
      </c>
      <c r="L204" s="2" t="s">
        <v>19263</v>
      </c>
      <c r="M204" s="2" t="s">
        <v>19264</v>
      </c>
      <c r="N204" s="2" t="s">
        <v>19265</v>
      </c>
      <c r="O204" s="2" t="s">
        <v>19266</v>
      </c>
      <c r="P204" s="2" t="s">
        <v>19267</v>
      </c>
      <c r="Q204" s="2" t="s">
        <v>19268</v>
      </c>
      <c r="R204" s="2" t="s">
        <v>794</v>
      </c>
      <c r="S204" s="2" t="s">
        <v>795</v>
      </c>
      <c r="T204" s="2" t="s">
        <v>796</v>
      </c>
      <c r="U204" s="2" t="s">
        <v>56</v>
      </c>
      <c r="V204" s="2" t="n">
        <v>1</v>
      </c>
    </row>
    <row r="205">
      <c r="A205" s="2" t="n">
        <v>204</v>
      </c>
      <c r="B205" s="2" t="s">
        <v>19269</v>
      </c>
      <c r="C205" s="2" t="n">
        <v>231.058659642</v>
      </c>
      <c r="D205" s="2" t="n">
        <v>4.44657328195077</v>
      </c>
      <c r="E205" s="2" t="s">
        <v>19270</v>
      </c>
      <c r="F205" s="2" t="s">
        <v>17137</v>
      </c>
      <c r="G205" s="2" t="s">
        <v>19271</v>
      </c>
      <c r="H205" s="2" t="s">
        <v>19272</v>
      </c>
      <c r="I205" s="2" t="s">
        <v>19273</v>
      </c>
      <c r="J205" s="2" t="s">
        <v>19274</v>
      </c>
      <c r="K205" s="2" t="s">
        <v>29</v>
      </c>
      <c r="L205" s="2" t="s">
        <v>29</v>
      </c>
      <c r="M205" s="2" t="s">
        <v>19275</v>
      </c>
      <c r="N205" s="2" t="s">
        <v>19276</v>
      </c>
      <c r="O205" s="2" t="s">
        <v>19277</v>
      </c>
      <c r="P205" s="2" t="s">
        <v>19278</v>
      </c>
      <c r="Q205" s="2" t="s">
        <v>19279</v>
      </c>
      <c r="R205" s="2" t="s">
        <v>114</v>
      </c>
      <c r="S205" s="2" t="s">
        <v>994</v>
      </c>
      <c r="T205" s="2" t="s">
        <v>1468</v>
      </c>
      <c r="U205" s="2" t="s">
        <v>56</v>
      </c>
      <c r="V205" s="2" t="n">
        <v>1</v>
      </c>
    </row>
    <row r="206">
      <c r="A206" s="2" t="n">
        <v>205</v>
      </c>
      <c r="B206" s="2" t="s">
        <v>19280</v>
      </c>
      <c r="C206" s="2" t="n">
        <v>231.101570314</v>
      </c>
      <c r="D206" s="2" t="n">
        <v>7.36876143747404</v>
      </c>
      <c r="E206" s="2" t="s">
        <v>19281</v>
      </c>
      <c r="F206" s="2" t="s">
        <v>17137</v>
      </c>
      <c r="G206" s="2" t="s">
        <v>19282</v>
      </c>
      <c r="H206" s="2" t="s">
        <v>19283</v>
      </c>
      <c r="I206" s="2" t="s">
        <v>19284</v>
      </c>
      <c r="J206" s="2" t="s">
        <v>19285</v>
      </c>
      <c r="K206" s="2" t="s">
        <v>29</v>
      </c>
      <c r="L206" s="2" t="s">
        <v>19286</v>
      </c>
      <c r="M206" s="2" t="s">
        <v>19287</v>
      </c>
      <c r="N206" s="2" t="s">
        <v>19288</v>
      </c>
      <c r="O206" s="2" t="s">
        <v>19289</v>
      </c>
      <c r="P206" s="2" t="s">
        <v>19290</v>
      </c>
      <c r="Q206" s="2" t="s">
        <v>19291</v>
      </c>
      <c r="R206" s="2" t="s">
        <v>186</v>
      </c>
      <c r="S206" s="2" t="s">
        <v>4086</v>
      </c>
      <c r="T206" s="2" t="s">
        <v>215</v>
      </c>
      <c r="U206" s="2" t="s">
        <v>101</v>
      </c>
      <c r="V206" s="2" t="n">
        <v>1</v>
      </c>
    </row>
    <row r="207">
      <c r="A207" s="2" t="n">
        <v>206</v>
      </c>
      <c r="B207" s="2" t="s">
        <v>19292</v>
      </c>
      <c r="C207" s="2" t="n">
        <v>231.149189208</v>
      </c>
      <c r="D207" s="2" t="n">
        <v>0.149423898085013</v>
      </c>
      <c r="E207" s="2" t="s">
        <v>19293</v>
      </c>
      <c r="F207" s="2" t="s">
        <v>17137</v>
      </c>
      <c r="G207" s="2" t="s">
        <v>19294</v>
      </c>
      <c r="H207" s="2" t="s">
        <v>2362</v>
      </c>
      <c r="I207" s="2" t="s">
        <v>19295</v>
      </c>
      <c r="J207" s="2" t="s">
        <v>19296</v>
      </c>
      <c r="K207" s="2" t="s">
        <v>29</v>
      </c>
      <c r="L207" s="2" t="s">
        <v>29</v>
      </c>
      <c r="M207" s="2" t="s">
        <v>19297</v>
      </c>
      <c r="N207" s="2" t="s">
        <v>19298</v>
      </c>
      <c r="O207" s="2" t="s">
        <v>19299</v>
      </c>
      <c r="P207" s="2" t="s">
        <v>19300</v>
      </c>
      <c r="Q207" s="2" t="s">
        <v>19301</v>
      </c>
      <c r="R207" s="2" t="s">
        <v>114</v>
      </c>
      <c r="S207" s="2" t="s">
        <v>19302</v>
      </c>
      <c r="T207" s="2" t="s">
        <v>215</v>
      </c>
      <c r="U207" s="2" t="s">
        <v>56</v>
      </c>
      <c r="V207" s="2" t="n">
        <v>1</v>
      </c>
    </row>
    <row r="208">
      <c r="A208" s="2" t="n">
        <v>207</v>
      </c>
      <c r="B208" s="2" t="s">
        <v>19303</v>
      </c>
      <c r="C208" s="2" t="n">
        <v>233.079764338</v>
      </c>
      <c r="D208" s="2" t="n">
        <v>2.22966680373675</v>
      </c>
      <c r="E208" s="2" t="s">
        <v>19304</v>
      </c>
      <c r="F208" s="2" t="s">
        <v>17198</v>
      </c>
      <c r="G208" s="2" t="s">
        <v>19305</v>
      </c>
      <c r="H208" s="2" t="s">
        <v>19306</v>
      </c>
      <c r="I208" s="2" t="s">
        <v>19307</v>
      </c>
      <c r="J208" s="2" t="s">
        <v>29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29</v>
      </c>
      <c r="P208" s="2" t="s">
        <v>19308</v>
      </c>
      <c r="Q208" s="2" t="s">
        <v>19309</v>
      </c>
      <c r="R208" s="2" t="s">
        <v>114</v>
      </c>
      <c r="S208" s="2" t="s">
        <v>1254</v>
      </c>
      <c r="T208" s="2" t="s">
        <v>1255</v>
      </c>
      <c r="U208" s="2" t="s">
        <v>29</v>
      </c>
      <c r="V208" s="2" t="n">
        <v>1</v>
      </c>
    </row>
    <row r="209">
      <c r="A209" s="2" t="n">
        <v>208</v>
      </c>
      <c r="B209" s="2" t="s">
        <v>19310</v>
      </c>
      <c r="C209" s="2" t="n">
        <v>234.100380478</v>
      </c>
      <c r="D209" s="2" t="n">
        <v>3.38415770921246</v>
      </c>
      <c r="E209" s="2" t="s">
        <v>19311</v>
      </c>
      <c r="F209" s="2" t="s">
        <v>17137</v>
      </c>
      <c r="G209" s="2" t="s">
        <v>19312</v>
      </c>
      <c r="H209" s="2" t="s">
        <v>19313</v>
      </c>
      <c r="I209" s="2" t="s">
        <v>19314</v>
      </c>
      <c r="J209" s="2" t="s">
        <v>19315</v>
      </c>
      <c r="K209" s="2" t="s">
        <v>29</v>
      </c>
      <c r="L209" s="2" t="s">
        <v>19316</v>
      </c>
      <c r="M209" s="2" t="s">
        <v>19317</v>
      </c>
      <c r="N209" s="2" t="s">
        <v>19318</v>
      </c>
      <c r="O209" s="2" t="s">
        <v>19319</v>
      </c>
      <c r="P209" s="2" t="s">
        <v>19320</v>
      </c>
      <c r="Q209" s="2" t="s">
        <v>19321</v>
      </c>
      <c r="R209" s="2" t="s">
        <v>36</v>
      </c>
      <c r="S209" s="2" t="s">
        <v>282</v>
      </c>
      <c r="T209" s="2" t="s">
        <v>283</v>
      </c>
      <c r="U209" s="2" t="s">
        <v>101</v>
      </c>
      <c r="V209" s="2" t="n">
        <v>1</v>
      </c>
    </row>
    <row r="210">
      <c r="A210" s="2" t="n">
        <v>209</v>
      </c>
      <c r="B210" s="2" t="s">
        <v>19322</v>
      </c>
      <c r="C210" s="2" t="n">
        <v>235.081817475</v>
      </c>
      <c r="D210" s="2" t="n">
        <v>0.0838418584283286</v>
      </c>
      <c r="E210" s="2" t="s">
        <v>19323</v>
      </c>
      <c r="F210" s="2" t="s">
        <v>17039</v>
      </c>
      <c r="G210" s="2" t="s">
        <v>19324</v>
      </c>
      <c r="H210" s="2" t="s">
        <v>19325</v>
      </c>
      <c r="I210" s="2" t="s">
        <v>19326</v>
      </c>
      <c r="J210" s="2" t="s">
        <v>91</v>
      </c>
      <c r="K210" s="2" t="s">
        <v>91</v>
      </c>
      <c r="L210" s="2" t="s">
        <v>91</v>
      </c>
      <c r="M210" s="2" t="s">
        <v>91</v>
      </c>
      <c r="N210" s="2" t="s">
        <v>91</v>
      </c>
      <c r="O210" s="2" t="s">
        <v>91</v>
      </c>
      <c r="P210" s="2" t="s">
        <v>19327</v>
      </c>
      <c r="Q210" s="2" t="s">
        <v>19328</v>
      </c>
      <c r="R210" s="2" t="s">
        <v>19329</v>
      </c>
      <c r="S210" s="2" t="s">
        <v>19330</v>
      </c>
      <c r="T210" s="2" t="s">
        <v>19331</v>
      </c>
      <c r="U210" s="2" t="s">
        <v>29</v>
      </c>
      <c r="V210" s="2" t="n">
        <v>2</v>
      </c>
    </row>
    <row r="211">
      <c r="A211" s="2" t="n">
        <v>210</v>
      </c>
      <c r="B211" s="2" t="s">
        <v>19332</v>
      </c>
      <c r="C211" s="2" t="n">
        <v>236.990829312</v>
      </c>
      <c r="D211" s="2" t="n">
        <v>0.116895974454016</v>
      </c>
      <c r="E211" s="2" t="s">
        <v>19333</v>
      </c>
      <c r="F211" s="2" t="s">
        <v>17406</v>
      </c>
      <c r="G211" s="2" t="s">
        <v>19334</v>
      </c>
      <c r="H211" s="2" t="s">
        <v>19335</v>
      </c>
      <c r="I211" s="2" t="s">
        <v>19336</v>
      </c>
      <c r="J211" s="2" t="s">
        <v>19337</v>
      </c>
      <c r="K211" s="2" t="s">
        <v>29</v>
      </c>
      <c r="L211" s="2" t="s">
        <v>19338</v>
      </c>
      <c r="M211" s="2" t="s">
        <v>19339</v>
      </c>
      <c r="N211" s="2" t="s">
        <v>19340</v>
      </c>
      <c r="O211" s="2" t="s">
        <v>19341</v>
      </c>
      <c r="P211" s="2" t="s">
        <v>19342</v>
      </c>
      <c r="Q211" s="2" t="s">
        <v>19343</v>
      </c>
      <c r="R211" s="2" t="s">
        <v>186</v>
      </c>
      <c r="S211" s="2" t="s">
        <v>357</v>
      </c>
      <c r="T211" s="2" t="s">
        <v>1149</v>
      </c>
      <c r="U211" s="2" t="s">
        <v>101</v>
      </c>
      <c r="V211" s="2" t="n">
        <v>1</v>
      </c>
    </row>
    <row r="212">
      <c r="A212" s="2" t="n">
        <v>211</v>
      </c>
      <c r="B212" s="2" t="s">
        <v>19344</v>
      </c>
      <c r="C212" s="2" t="n">
        <v>237.114061087</v>
      </c>
      <c r="D212" s="2" t="n">
        <v>0.0768027283350776</v>
      </c>
      <c r="E212" s="2" t="s">
        <v>19345</v>
      </c>
      <c r="F212" s="2" t="s">
        <v>17039</v>
      </c>
      <c r="G212" s="2" t="s">
        <v>19346</v>
      </c>
      <c r="H212" s="2" t="s">
        <v>19347</v>
      </c>
      <c r="I212" s="2" t="s">
        <v>19348</v>
      </c>
      <c r="J212" s="2" t="s">
        <v>29</v>
      </c>
      <c r="K212" s="2" t="s">
        <v>29</v>
      </c>
      <c r="L212" s="2" t="s">
        <v>29</v>
      </c>
      <c r="M212" s="2" t="s">
        <v>29</v>
      </c>
      <c r="N212" s="2" t="s">
        <v>19349</v>
      </c>
      <c r="O212" s="2" t="s">
        <v>29</v>
      </c>
      <c r="P212" s="2" t="s">
        <v>19350</v>
      </c>
      <c r="Q212" s="2" t="s">
        <v>19351</v>
      </c>
      <c r="R212" s="2" t="s">
        <v>114</v>
      </c>
      <c r="S212" s="2" t="s">
        <v>172</v>
      </c>
      <c r="T212" s="2" t="s">
        <v>173</v>
      </c>
      <c r="U212" s="2" t="s">
        <v>29</v>
      </c>
      <c r="V212" s="2" t="n">
        <v>1</v>
      </c>
    </row>
    <row r="213">
      <c r="A213" s="2" t="n">
        <v>212</v>
      </c>
      <c r="B213" s="2" t="s">
        <v>19352</v>
      </c>
      <c r="C213" s="2" t="n">
        <v>237.149109188</v>
      </c>
      <c r="D213" s="2" t="n">
        <v>2.94479349327779</v>
      </c>
      <c r="E213" s="2" t="s">
        <v>19353</v>
      </c>
      <c r="F213" s="2" t="s">
        <v>17039</v>
      </c>
      <c r="G213" s="2" t="s">
        <v>19354</v>
      </c>
      <c r="H213" s="2" t="s">
        <v>19355</v>
      </c>
      <c r="I213" s="2" t="s">
        <v>19356</v>
      </c>
      <c r="J213" s="2" t="s">
        <v>19357</v>
      </c>
      <c r="K213" s="2" t="s">
        <v>29</v>
      </c>
      <c r="L213" s="2" t="s">
        <v>29</v>
      </c>
      <c r="M213" s="2" t="s">
        <v>29</v>
      </c>
      <c r="N213" s="2" t="s">
        <v>19358</v>
      </c>
      <c r="O213" s="2" t="s">
        <v>19359</v>
      </c>
      <c r="P213" s="2" t="s">
        <v>19360</v>
      </c>
      <c r="Q213" s="2" t="s">
        <v>19361</v>
      </c>
      <c r="R213" s="2" t="s">
        <v>114</v>
      </c>
      <c r="S213" s="2" t="s">
        <v>1646</v>
      </c>
      <c r="T213" s="2" t="s">
        <v>1647</v>
      </c>
      <c r="U213" s="2" t="s">
        <v>29</v>
      </c>
      <c r="V213" s="2" t="n">
        <v>1</v>
      </c>
    </row>
    <row r="214">
      <c r="A214" s="2" t="n">
        <v>213</v>
      </c>
      <c r="B214" s="2" t="s">
        <v>19362</v>
      </c>
      <c r="C214" s="2" t="n">
        <v>238.152594931</v>
      </c>
      <c r="D214" s="2" t="n">
        <v>15.1385461342888</v>
      </c>
      <c r="E214" s="2" t="s">
        <v>19363</v>
      </c>
      <c r="F214" s="2" t="s">
        <v>17198</v>
      </c>
      <c r="G214" s="2" t="s">
        <v>19364</v>
      </c>
      <c r="H214" s="2" t="s">
        <v>19365</v>
      </c>
      <c r="I214" s="2" t="s">
        <v>19366</v>
      </c>
      <c r="J214" s="2" t="s">
        <v>19367</v>
      </c>
      <c r="K214" s="2" t="s">
        <v>29</v>
      </c>
      <c r="L214" s="2" t="s">
        <v>29</v>
      </c>
      <c r="M214" s="2" t="s">
        <v>29</v>
      </c>
      <c r="N214" s="2" t="s">
        <v>19368</v>
      </c>
      <c r="O214" s="2" t="s">
        <v>19369</v>
      </c>
      <c r="P214" s="2" t="s">
        <v>19370</v>
      </c>
      <c r="Q214" s="2" t="s">
        <v>19371</v>
      </c>
      <c r="R214" s="2" t="s">
        <v>114</v>
      </c>
      <c r="S214" s="2" t="s">
        <v>1038</v>
      </c>
      <c r="T214" s="2" t="s">
        <v>1039</v>
      </c>
      <c r="U214" s="2" t="s">
        <v>29</v>
      </c>
      <c r="V214" s="2" t="n">
        <v>1</v>
      </c>
    </row>
    <row r="215">
      <c r="A215" s="2" t="n">
        <v>214</v>
      </c>
      <c r="B215" s="2" t="s">
        <v>19372</v>
      </c>
      <c r="C215" s="2" t="n">
        <v>239.070858872</v>
      </c>
      <c r="D215" s="2" t="n">
        <v>2.81142844759124</v>
      </c>
      <c r="E215" s="2" t="s">
        <v>19373</v>
      </c>
      <c r="F215" s="2" t="s">
        <v>17039</v>
      </c>
      <c r="G215" s="2" t="s">
        <v>19374</v>
      </c>
      <c r="H215" s="2" t="s">
        <v>19375</v>
      </c>
      <c r="I215" s="2" t="s">
        <v>19376</v>
      </c>
      <c r="J215" s="2" t="s">
        <v>19377</v>
      </c>
      <c r="K215" s="2" t="s">
        <v>19378</v>
      </c>
      <c r="L215" s="2" t="s">
        <v>19379</v>
      </c>
      <c r="M215" s="2" t="s">
        <v>19380</v>
      </c>
      <c r="N215" s="2" t="s">
        <v>19381</v>
      </c>
      <c r="O215" s="2" t="s">
        <v>19382</v>
      </c>
      <c r="P215" s="2" t="s">
        <v>19383</v>
      </c>
      <c r="Q215" s="2" t="s">
        <v>19384</v>
      </c>
      <c r="R215" s="2" t="s">
        <v>7198</v>
      </c>
      <c r="S215" s="2" t="s">
        <v>8937</v>
      </c>
      <c r="T215" s="2" t="s">
        <v>19385</v>
      </c>
      <c r="U215" s="2" t="s">
        <v>56</v>
      </c>
      <c r="V215" s="2" t="n">
        <v>2</v>
      </c>
    </row>
    <row r="216">
      <c r="A216" s="2" t="n">
        <v>215</v>
      </c>
      <c r="B216" s="2" t="s">
        <v>19386</v>
      </c>
      <c r="C216" s="2" t="n">
        <v>239.161762634</v>
      </c>
      <c r="D216" s="2" t="n">
        <v>3.7188343115083</v>
      </c>
      <c r="E216" s="2" t="s">
        <v>19387</v>
      </c>
      <c r="F216" s="2" t="s">
        <v>17198</v>
      </c>
      <c r="G216" s="2" t="s">
        <v>19388</v>
      </c>
      <c r="H216" s="2" t="s">
        <v>19389</v>
      </c>
      <c r="I216" s="2" t="s">
        <v>19390</v>
      </c>
      <c r="J216" s="2" t="s">
        <v>19391</v>
      </c>
      <c r="K216" s="2" t="s">
        <v>19392</v>
      </c>
      <c r="L216" s="2" t="s">
        <v>19393</v>
      </c>
      <c r="M216" s="2" t="s">
        <v>19394</v>
      </c>
      <c r="N216" s="2" t="s">
        <v>19395</v>
      </c>
      <c r="O216" s="2" t="s">
        <v>19396</v>
      </c>
      <c r="P216" s="2" t="s">
        <v>19397</v>
      </c>
      <c r="Q216" s="2" t="s">
        <v>19398</v>
      </c>
      <c r="R216" s="2" t="s">
        <v>36</v>
      </c>
      <c r="S216" s="2" t="s">
        <v>82</v>
      </c>
      <c r="T216" s="2" t="s">
        <v>1594</v>
      </c>
      <c r="U216" s="2" t="s">
        <v>56</v>
      </c>
      <c r="V216" s="2" t="n">
        <v>1</v>
      </c>
    </row>
    <row r="217">
      <c r="A217" s="2" t="n">
        <v>216</v>
      </c>
      <c r="B217" s="2" t="s">
        <v>19399</v>
      </c>
      <c r="C217" s="2" t="n">
        <v>241.010583576</v>
      </c>
      <c r="D217" s="2" t="n">
        <v>0.885677668783742</v>
      </c>
      <c r="E217" s="2" t="s">
        <v>19400</v>
      </c>
      <c r="F217" s="2" t="s">
        <v>17039</v>
      </c>
      <c r="G217" s="2" t="s">
        <v>19401</v>
      </c>
      <c r="H217" s="2" t="s">
        <v>19402</v>
      </c>
      <c r="I217" s="2" t="s">
        <v>19403</v>
      </c>
      <c r="J217" s="2" t="s">
        <v>19404</v>
      </c>
      <c r="K217" s="2" t="s">
        <v>29</v>
      </c>
      <c r="L217" s="2" t="s">
        <v>29</v>
      </c>
      <c r="M217" s="2" t="s">
        <v>19405</v>
      </c>
      <c r="N217" s="2" t="s">
        <v>19406</v>
      </c>
      <c r="O217" s="2" t="s">
        <v>19407</v>
      </c>
      <c r="P217" s="2" t="s">
        <v>19408</v>
      </c>
      <c r="Q217" s="2" t="s">
        <v>19409</v>
      </c>
      <c r="R217" s="2" t="s">
        <v>114</v>
      </c>
      <c r="S217" s="2" t="s">
        <v>4262</v>
      </c>
      <c r="T217" s="2" t="s">
        <v>215</v>
      </c>
      <c r="U217" s="2" t="s">
        <v>56</v>
      </c>
      <c r="V217" s="2" t="n">
        <v>1</v>
      </c>
    </row>
    <row r="218">
      <c r="A218" s="2" t="n">
        <v>217</v>
      </c>
      <c r="B218" s="2" t="s">
        <v>19410</v>
      </c>
      <c r="C218" s="2" t="n">
        <v>241.177412698</v>
      </c>
      <c r="D218" s="2" t="n">
        <v>10.8362611839212</v>
      </c>
      <c r="E218" s="2" t="s">
        <v>19411</v>
      </c>
      <c r="F218" s="2" t="s">
        <v>17198</v>
      </c>
      <c r="G218" s="2" t="s">
        <v>19412</v>
      </c>
      <c r="H218" s="2" t="s">
        <v>19413</v>
      </c>
      <c r="I218" s="2" t="s">
        <v>19414</v>
      </c>
      <c r="J218" s="2" t="s">
        <v>19415</v>
      </c>
      <c r="K218" s="2" t="s">
        <v>29</v>
      </c>
      <c r="L218" s="2" t="s">
        <v>29</v>
      </c>
      <c r="M218" s="2" t="s">
        <v>29</v>
      </c>
      <c r="N218" s="2" t="s">
        <v>19416</v>
      </c>
      <c r="O218" s="2" t="s">
        <v>19417</v>
      </c>
      <c r="P218" s="2" t="s">
        <v>19418</v>
      </c>
      <c r="Q218" s="2" t="s">
        <v>19419</v>
      </c>
      <c r="R218" s="2" t="s">
        <v>129</v>
      </c>
      <c r="S218" s="2" t="s">
        <v>130</v>
      </c>
      <c r="T218" s="2" t="s">
        <v>4133</v>
      </c>
      <c r="U218" s="2" t="s">
        <v>56</v>
      </c>
      <c r="V218" s="2" t="n">
        <v>1</v>
      </c>
    </row>
    <row r="219">
      <c r="A219" s="2" t="n">
        <v>218</v>
      </c>
      <c r="B219" s="2" t="s">
        <v>19420</v>
      </c>
      <c r="C219" s="2" t="n">
        <v>242.284226125</v>
      </c>
      <c r="D219" s="2" t="n">
        <v>6.65210875106727</v>
      </c>
      <c r="E219" s="2" t="s">
        <v>19421</v>
      </c>
      <c r="F219" s="2" t="s">
        <v>17137</v>
      </c>
      <c r="G219" s="2" t="s">
        <v>19422</v>
      </c>
      <c r="H219" s="2" t="s">
        <v>19423</v>
      </c>
      <c r="I219" s="2" t="s">
        <v>19424</v>
      </c>
      <c r="J219" s="2" t="s">
        <v>19425</v>
      </c>
      <c r="K219" s="2" t="s">
        <v>91</v>
      </c>
      <c r="L219" s="2" t="s">
        <v>91</v>
      </c>
      <c r="M219" s="2" t="s">
        <v>19426</v>
      </c>
      <c r="N219" s="2" t="s">
        <v>19427</v>
      </c>
      <c r="O219" s="2" t="s">
        <v>19428</v>
      </c>
      <c r="P219" s="2" t="s">
        <v>19429</v>
      </c>
      <c r="Q219" s="2" t="s">
        <v>19430</v>
      </c>
      <c r="R219" s="2" t="s">
        <v>98</v>
      </c>
      <c r="S219" s="2" t="s">
        <v>99</v>
      </c>
      <c r="T219" s="2" t="s">
        <v>100</v>
      </c>
      <c r="U219" s="2" t="s">
        <v>29</v>
      </c>
      <c r="V219" s="2" t="n">
        <v>2</v>
      </c>
    </row>
    <row r="220">
      <c r="A220" s="2" t="n">
        <v>219</v>
      </c>
      <c r="B220" s="2" t="s">
        <v>19431</v>
      </c>
      <c r="C220" s="2" t="n">
        <v>243.0198662</v>
      </c>
      <c r="D220" s="2" t="n">
        <v>1.35795903578854</v>
      </c>
      <c r="E220" s="2" t="s">
        <v>19432</v>
      </c>
      <c r="F220" s="2" t="s">
        <v>17198</v>
      </c>
      <c r="G220" s="2" t="s">
        <v>19433</v>
      </c>
      <c r="H220" s="2" t="s">
        <v>19434</v>
      </c>
      <c r="I220" s="2" t="s">
        <v>19435</v>
      </c>
      <c r="J220" s="2" t="s">
        <v>91</v>
      </c>
      <c r="K220" s="2" t="s">
        <v>91</v>
      </c>
      <c r="L220" s="2" t="s">
        <v>91</v>
      </c>
      <c r="M220" s="2" t="s">
        <v>91</v>
      </c>
      <c r="N220" s="2" t="s">
        <v>19436</v>
      </c>
      <c r="O220" s="2" t="s">
        <v>91</v>
      </c>
      <c r="P220" s="2" t="s">
        <v>19437</v>
      </c>
      <c r="Q220" s="2" t="s">
        <v>19438</v>
      </c>
      <c r="R220" s="2" t="s">
        <v>809</v>
      </c>
      <c r="S220" s="2" t="s">
        <v>19439</v>
      </c>
      <c r="T220" s="2" t="s">
        <v>19440</v>
      </c>
      <c r="U220" s="2" t="s">
        <v>29</v>
      </c>
      <c r="V220" s="2" t="n">
        <v>2</v>
      </c>
    </row>
    <row r="221">
      <c r="A221" s="2" t="n">
        <v>220</v>
      </c>
      <c r="B221" s="2" t="s">
        <v>19441</v>
      </c>
      <c r="C221" s="2" t="n">
        <v>244.0135742</v>
      </c>
      <c r="D221" s="2" t="n">
        <v>7.70666118793241</v>
      </c>
      <c r="E221" s="2" t="s">
        <v>19442</v>
      </c>
      <c r="F221" s="2" t="s">
        <v>17198</v>
      </c>
      <c r="G221" s="2" t="s">
        <v>19443</v>
      </c>
      <c r="H221" s="2" t="s">
        <v>19444</v>
      </c>
      <c r="I221" s="2" t="s">
        <v>19445</v>
      </c>
      <c r="J221" s="2" t="s">
        <v>19446</v>
      </c>
      <c r="K221" s="2" t="s">
        <v>29</v>
      </c>
      <c r="L221" s="2" t="s">
        <v>19447</v>
      </c>
      <c r="M221" s="2" t="s">
        <v>19448</v>
      </c>
      <c r="N221" s="2" t="s">
        <v>19449</v>
      </c>
      <c r="O221" s="2" t="s">
        <v>19450</v>
      </c>
      <c r="P221" s="2" t="s">
        <v>19451</v>
      </c>
      <c r="Q221" s="2" t="s">
        <v>19452</v>
      </c>
      <c r="R221" s="2" t="s">
        <v>114</v>
      </c>
      <c r="S221" s="2" t="s">
        <v>2057</v>
      </c>
      <c r="T221" s="2" t="s">
        <v>3625</v>
      </c>
      <c r="U221" s="2" t="s">
        <v>101</v>
      </c>
      <c r="V221" s="2" t="n">
        <v>1</v>
      </c>
    </row>
    <row r="222">
      <c r="A222" s="2" t="n">
        <v>221</v>
      </c>
      <c r="B222" s="2" t="s">
        <v>19453</v>
      </c>
      <c r="C222" s="2" t="n">
        <v>244.092796541</v>
      </c>
      <c r="D222" s="2" t="n">
        <v>2.08190978744035</v>
      </c>
      <c r="E222" s="2" t="s">
        <v>19454</v>
      </c>
      <c r="F222" s="2" t="s">
        <v>17137</v>
      </c>
      <c r="G222" s="2" t="s">
        <v>19455</v>
      </c>
      <c r="H222" s="2" t="s">
        <v>19456</v>
      </c>
      <c r="I222" s="2" t="s">
        <v>19457</v>
      </c>
      <c r="J222" s="2" t="s">
        <v>19458</v>
      </c>
      <c r="K222" s="2" t="s">
        <v>91</v>
      </c>
      <c r="L222" s="2" t="s">
        <v>19459</v>
      </c>
      <c r="M222" s="2" t="s">
        <v>19460</v>
      </c>
      <c r="N222" s="2" t="s">
        <v>19461</v>
      </c>
      <c r="O222" s="2" t="s">
        <v>19462</v>
      </c>
      <c r="P222" s="2" t="s">
        <v>19463</v>
      </c>
      <c r="Q222" s="2" t="s">
        <v>19464</v>
      </c>
      <c r="R222" s="2" t="s">
        <v>3638</v>
      </c>
      <c r="S222" s="2" t="s">
        <v>19465</v>
      </c>
      <c r="T222" s="2" t="s">
        <v>543</v>
      </c>
      <c r="U222" s="2" t="s">
        <v>56</v>
      </c>
      <c r="V222" s="2" t="n">
        <v>2</v>
      </c>
    </row>
    <row r="223">
      <c r="A223" s="2" t="n">
        <v>222</v>
      </c>
      <c r="B223" s="2" t="s">
        <v>19466</v>
      </c>
      <c r="C223" s="2" t="n">
        <v>245.117220378</v>
      </c>
      <c r="D223" s="2" t="n">
        <v>4.08864798620352</v>
      </c>
      <c r="E223" s="2" t="s">
        <v>19467</v>
      </c>
      <c r="F223" s="2" t="s">
        <v>17137</v>
      </c>
      <c r="G223" s="2" t="s">
        <v>19468</v>
      </c>
      <c r="H223" s="2" t="s">
        <v>19469</v>
      </c>
      <c r="I223" s="2" t="s">
        <v>19470</v>
      </c>
      <c r="J223" s="2" t="s">
        <v>19471</v>
      </c>
      <c r="K223" s="2" t="s">
        <v>19472</v>
      </c>
      <c r="L223" s="2" t="s">
        <v>19473</v>
      </c>
      <c r="M223" s="2" t="s">
        <v>29</v>
      </c>
      <c r="N223" s="2" t="s">
        <v>19474</v>
      </c>
      <c r="O223" s="2" t="s">
        <v>19475</v>
      </c>
      <c r="P223" s="2" t="s">
        <v>19476</v>
      </c>
      <c r="Q223" s="2" t="s">
        <v>19477</v>
      </c>
      <c r="R223" s="2" t="s">
        <v>1355</v>
      </c>
      <c r="S223" s="2" t="s">
        <v>3249</v>
      </c>
      <c r="T223" s="2" t="s">
        <v>215</v>
      </c>
      <c r="U223" s="2" t="s">
        <v>56</v>
      </c>
      <c r="V223" s="2" t="n">
        <v>1</v>
      </c>
    </row>
    <row r="224">
      <c r="A224" s="2" t="n">
        <v>223</v>
      </c>
      <c r="B224" s="2" t="s">
        <v>19478</v>
      </c>
      <c r="C224" s="2" t="n">
        <v>245.175323942</v>
      </c>
      <c r="D224" s="2" t="n">
        <v>9.24994177306584</v>
      </c>
      <c r="E224" s="2" t="s">
        <v>19479</v>
      </c>
      <c r="F224" s="2" t="s">
        <v>17039</v>
      </c>
      <c r="G224" s="2" t="s">
        <v>19480</v>
      </c>
      <c r="H224" s="2" t="s">
        <v>19481</v>
      </c>
      <c r="I224" s="2" t="s">
        <v>19482</v>
      </c>
      <c r="J224" s="2" t="s">
        <v>19483</v>
      </c>
      <c r="K224" s="2" t="s">
        <v>29</v>
      </c>
      <c r="L224" s="2" t="s">
        <v>29</v>
      </c>
      <c r="M224" s="2" t="s">
        <v>19484</v>
      </c>
      <c r="N224" s="2" t="s">
        <v>19485</v>
      </c>
      <c r="O224" s="2" t="s">
        <v>19486</v>
      </c>
      <c r="P224" s="2" t="s">
        <v>19487</v>
      </c>
      <c r="Q224" s="2" t="s">
        <v>19488</v>
      </c>
      <c r="R224" s="2" t="s">
        <v>794</v>
      </c>
      <c r="S224" s="2" t="s">
        <v>795</v>
      </c>
      <c r="T224" s="2" t="s">
        <v>3273</v>
      </c>
      <c r="U224" s="2" t="s">
        <v>56</v>
      </c>
      <c r="V224" s="2" t="n">
        <v>1</v>
      </c>
    </row>
    <row r="225">
      <c r="A225" s="2" t="n">
        <v>224</v>
      </c>
      <c r="B225" s="2" t="s">
        <v>19489</v>
      </c>
      <c r="C225" s="2" t="n">
        <v>245.226965582</v>
      </c>
      <c r="D225" s="2" t="n">
        <v>6.93143381752833</v>
      </c>
      <c r="E225" s="2" t="s">
        <v>19490</v>
      </c>
      <c r="F225" s="2" t="s">
        <v>17039</v>
      </c>
      <c r="G225" s="2" t="s">
        <v>19491</v>
      </c>
      <c r="H225" s="2" t="s">
        <v>19492</v>
      </c>
      <c r="I225" s="2" t="s">
        <v>19493</v>
      </c>
      <c r="J225" s="2" t="s">
        <v>19494</v>
      </c>
      <c r="K225" s="2" t="s">
        <v>29</v>
      </c>
      <c r="L225" s="2" t="s">
        <v>29</v>
      </c>
      <c r="M225" s="2" t="s">
        <v>29</v>
      </c>
      <c r="N225" s="2" t="s">
        <v>19495</v>
      </c>
      <c r="O225" s="2" t="s">
        <v>19496</v>
      </c>
      <c r="P225" s="2" t="s">
        <v>19497</v>
      </c>
      <c r="Q225" s="2" t="s">
        <v>19498</v>
      </c>
      <c r="R225" s="2" t="s">
        <v>794</v>
      </c>
      <c r="S225" s="2" t="s">
        <v>1098</v>
      </c>
      <c r="T225" s="2" t="s">
        <v>4662</v>
      </c>
      <c r="U225" s="2" t="s">
        <v>56</v>
      </c>
      <c r="V225" s="2" t="n">
        <v>1</v>
      </c>
    </row>
    <row r="226">
      <c r="A226" s="2" t="n">
        <v>225</v>
      </c>
      <c r="B226" s="2" t="s">
        <v>19499</v>
      </c>
      <c r="C226" s="2" t="n">
        <v>245.952494466</v>
      </c>
      <c r="D226" s="2" t="n">
        <v>8.19334509886234</v>
      </c>
      <c r="E226" s="2" t="s">
        <v>19500</v>
      </c>
      <c r="F226" s="2" t="s">
        <v>17198</v>
      </c>
      <c r="G226" s="2" t="s">
        <v>19501</v>
      </c>
      <c r="H226" s="2" t="s">
        <v>19502</v>
      </c>
      <c r="I226" s="2" t="s">
        <v>19503</v>
      </c>
      <c r="J226" s="2" t="s">
        <v>19504</v>
      </c>
      <c r="K226" s="2" t="s">
        <v>29</v>
      </c>
      <c r="L226" s="2" t="s">
        <v>29</v>
      </c>
      <c r="M226" s="2" t="s">
        <v>29</v>
      </c>
      <c r="N226" s="2" t="s">
        <v>19505</v>
      </c>
      <c r="O226" s="2" t="s">
        <v>19506</v>
      </c>
      <c r="P226" s="2" t="s">
        <v>19507</v>
      </c>
      <c r="Q226" s="2" t="s">
        <v>19508</v>
      </c>
      <c r="R226" s="2" t="s">
        <v>114</v>
      </c>
      <c r="S226" s="2" t="s">
        <v>994</v>
      </c>
      <c r="T226" s="2" t="s">
        <v>1468</v>
      </c>
      <c r="U226" s="2" t="s">
        <v>29</v>
      </c>
      <c r="V226" s="2" t="n">
        <v>1</v>
      </c>
    </row>
    <row r="227">
      <c r="A227" s="2" t="n">
        <v>226</v>
      </c>
      <c r="B227" s="2" t="s">
        <v>19509</v>
      </c>
      <c r="C227" s="2" t="n">
        <v>246.071231119</v>
      </c>
      <c r="D227" s="2" t="n">
        <v>3.55407620253412</v>
      </c>
      <c r="E227" s="2" t="s">
        <v>19510</v>
      </c>
      <c r="F227" s="2" t="s">
        <v>17198</v>
      </c>
      <c r="G227" s="2" t="s">
        <v>19511</v>
      </c>
      <c r="H227" s="2" t="s">
        <v>19512</v>
      </c>
      <c r="I227" s="2" t="s">
        <v>19513</v>
      </c>
      <c r="J227" s="2" t="s">
        <v>29</v>
      </c>
      <c r="K227" s="2" t="s">
        <v>29</v>
      </c>
      <c r="L227" s="2" t="s">
        <v>29</v>
      </c>
      <c r="M227" s="2" t="s">
        <v>29</v>
      </c>
      <c r="N227" s="2" t="s">
        <v>19514</v>
      </c>
      <c r="O227" s="2" t="s">
        <v>29</v>
      </c>
      <c r="P227" s="2" t="s">
        <v>19515</v>
      </c>
      <c r="Q227" s="2" t="s">
        <v>19516</v>
      </c>
      <c r="R227" s="2" t="s">
        <v>12052</v>
      </c>
      <c r="S227" s="2" t="s">
        <v>12053</v>
      </c>
      <c r="T227" s="2" t="s">
        <v>12061</v>
      </c>
      <c r="U227" s="2" t="s">
        <v>29</v>
      </c>
      <c r="V227" s="2" t="n">
        <v>1</v>
      </c>
    </row>
    <row r="228">
      <c r="A228" s="2" t="n">
        <v>227</v>
      </c>
      <c r="B228" s="2" t="s">
        <v>19517</v>
      </c>
      <c r="C228" s="2" t="n">
        <v>246.100320181</v>
      </c>
      <c r="D228" s="2" t="n">
        <v>0.714856122120491</v>
      </c>
      <c r="E228" s="2" t="s">
        <v>19518</v>
      </c>
      <c r="F228" s="2" t="s">
        <v>17406</v>
      </c>
      <c r="G228" s="2" t="s">
        <v>19519</v>
      </c>
      <c r="H228" s="2" t="s">
        <v>19520</v>
      </c>
      <c r="I228" s="2" t="s">
        <v>19521</v>
      </c>
      <c r="J228" s="2" t="s">
        <v>29</v>
      </c>
      <c r="K228" s="2" t="s">
        <v>29</v>
      </c>
      <c r="L228" s="2" t="s">
        <v>19522</v>
      </c>
      <c r="M228" s="2" t="s">
        <v>29</v>
      </c>
      <c r="N228" s="2" t="s">
        <v>19523</v>
      </c>
      <c r="O228" s="2" t="s">
        <v>19524</v>
      </c>
      <c r="P228" s="2" t="s">
        <v>19525</v>
      </c>
      <c r="Q228" s="2" t="s">
        <v>19526</v>
      </c>
      <c r="R228" s="2" t="s">
        <v>114</v>
      </c>
      <c r="S228" s="2" t="s">
        <v>369</v>
      </c>
      <c r="T228" s="2" t="s">
        <v>370</v>
      </c>
      <c r="U228" s="2" t="s">
        <v>56</v>
      </c>
      <c r="V228" s="2" t="n">
        <v>1</v>
      </c>
    </row>
    <row r="229">
      <c r="A229" s="2" t="n">
        <v>228</v>
      </c>
      <c r="B229" s="2" t="s">
        <v>19527</v>
      </c>
      <c r="C229" s="2" t="n">
        <v>247.051973006</v>
      </c>
      <c r="D229" s="2" t="n">
        <v>0.54110894843554</v>
      </c>
      <c r="E229" s="2" t="s">
        <v>19528</v>
      </c>
      <c r="F229" s="2" t="s">
        <v>17406</v>
      </c>
      <c r="G229" s="2" t="s">
        <v>19529</v>
      </c>
      <c r="H229" s="2" t="s">
        <v>19530</v>
      </c>
      <c r="I229" s="2" t="s">
        <v>19531</v>
      </c>
      <c r="J229" s="2" t="s">
        <v>19532</v>
      </c>
      <c r="K229" s="2" t="s">
        <v>91</v>
      </c>
      <c r="L229" s="2" t="s">
        <v>19533</v>
      </c>
      <c r="M229" s="2" t="s">
        <v>19534</v>
      </c>
      <c r="N229" s="2" t="s">
        <v>19535</v>
      </c>
      <c r="O229" s="2" t="s">
        <v>19536</v>
      </c>
      <c r="P229" s="2" t="s">
        <v>19537</v>
      </c>
      <c r="Q229" s="2" t="s">
        <v>19538</v>
      </c>
      <c r="R229" s="2" t="s">
        <v>19539</v>
      </c>
      <c r="S229" s="2" t="s">
        <v>19540</v>
      </c>
      <c r="T229" s="2" t="s">
        <v>19541</v>
      </c>
      <c r="U229" s="2" t="s">
        <v>101</v>
      </c>
      <c r="V229" s="2" t="n">
        <v>2</v>
      </c>
    </row>
    <row r="230">
      <c r="A230" s="2" t="n">
        <v>229</v>
      </c>
      <c r="B230" s="2" t="s">
        <v>19542</v>
      </c>
      <c r="C230" s="2" t="n">
        <v>247.092462179</v>
      </c>
      <c r="D230" s="2" t="n">
        <v>0.0860094704135983</v>
      </c>
      <c r="E230" s="2" t="s">
        <v>19543</v>
      </c>
      <c r="F230" s="2" t="s">
        <v>17137</v>
      </c>
      <c r="G230" s="2" t="s">
        <v>19544</v>
      </c>
      <c r="H230" s="2" t="s">
        <v>19545</v>
      </c>
      <c r="I230" s="2" t="s">
        <v>19546</v>
      </c>
      <c r="J230" s="2" t="s">
        <v>19547</v>
      </c>
      <c r="K230" s="2" t="s">
        <v>91</v>
      </c>
      <c r="L230" s="2" t="s">
        <v>91</v>
      </c>
      <c r="M230" s="2" t="s">
        <v>19548</v>
      </c>
      <c r="N230" s="2" t="s">
        <v>19549</v>
      </c>
      <c r="O230" s="2" t="s">
        <v>19550</v>
      </c>
      <c r="P230" s="2" t="s">
        <v>19551</v>
      </c>
      <c r="Q230" s="2" t="s">
        <v>19552</v>
      </c>
      <c r="R230" s="2" t="s">
        <v>19553</v>
      </c>
      <c r="S230" s="2" t="s">
        <v>19554</v>
      </c>
      <c r="T230" s="2" t="s">
        <v>19555</v>
      </c>
      <c r="U230" s="2" t="s">
        <v>56</v>
      </c>
      <c r="V230" s="2" t="n">
        <v>2</v>
      </c>
    </row>
    <row r="231">
      <c r="A231" s="2" t="n">
        <v>230</v>
      </c>
      <c r="B231" s="2" t="s">
        <v>19556</v>
      </c>
      <c r="C231" s="2" t="n">
        <v>248.114789363</v>
      </c>
      <c r="D231" s="2" t="n">
        <v>10.0343324487398</v>
      </c>
      <c r="E231" s="2" t="s">
        <v>19557</v>
      </c>
      <c r="F231" s="2" t="s">
        <v>17039</v>
      </c>
      <c r="G231" s="2" t="s">
        <v>19558</v>
      </c>
      <c r="H231" s="2" t="s">
        <v>19559</v>
      </c>
      <c r="I231" s="2" t="s">
        <v>19560</v>
      </c>
      <c r="J231" s="2" t="s">
        <v>29</v>
      </c>
      <c r="K231" s="2" t="s">
        <v>29</v>
      </c>
      <c r="L231" s="2" t="s">
        <v>29</v>
      </c>
      <c r="M231" s="2" t="s">
        <v>29</v>
      </c>
      <c r="N231" s="2" t="s">
        <v>19561</v>
      </c>
      <c r="O231" s="2" t="s">
        <v>29</v>
      </c>
      <c r="P231" s="2" t="s">
        <v>19562</v>
      </c>
      <c r="Q231" s="2" t="s">
        <v>19563</v>
      </c>
      <c r="R231" s="2" t="s">
        <v>2416</v>
      </c>
      <c r="S231" s="2" t="s">
        <v>19564</v>
      </c>
      <c r="T231" s="2" t="s">
        <v>19565</v>
      </c>
      <c r="U231" s="2" t="s">
        <v>29</v>
      </c>
      <c r="V231" s="2" t="n">
        <v>1</v>
      </c>
    </row>
    <row r="232">
      <c r="A232" s="2" t="n">
        <v>231</v>
      </c>
      <c r="B232" s="2" t="s">
        <v>19566</v>
      </c>
      <c r="C232" s="2" t="n">
        <v>248.938320838</v>
      </c>
      <c r="D232" s="2" t="n">
        <v>8.42110231496943</v>
      </c>
      <c r="E232" s="2" t="s">
        <v>19567</v>
      </c>
      <c r="F232" s="2" t="s">
        <v>17406</v>
      </c>
      <c r="G232" s="2" t="s">
        <v>19568</v>
      </c>
      <c r="H232" s="2" t="s">
        <v>19569</v>
      </c>
      <c r="I232" s="2" t="s">
        <v>19570</v>
      </c>
      <c r="J232" s="2" t="s">
        <v>29</v>
      </c>
      <c r="K232" s="2" t="s">
        <v>29</v>
      </c>
      <c r="L232" s="2" t="s">
        <v>29</v>
      </c>
      <c r="M232" s="2" t="s">
        <v>29</v>
      </c>
      <c r="N232" s="2" t="s">
        <v>29</v>
      </c>
      <c r="O232" s="2" t="s">
        <v>29</v>
      </c>
      <c r="P232" s="2" t="s">
        <v>19571</v>
      </c>
      <c r="Q232" s="2" t="s">
        <v>19572</v>
      </c>
      <c r="R232" s="2" t="s">
        <v>36</v>
      </c>
      <c r="S232" s="2" t="s">
        <v>37</v>
      </c>
      <c r="T232" s="2" t="s">
        <v>242</v>
      </c>
      <c r="U232" s="2" t="s">
        <v>29</v>
      </c>
      <c r="V232" s="2" t="n">
        <v>1</v>
      </c>
    </row>
    <row r="233">
      <c r="A233" s="2" t="n">
        <v>232</v>
      </c>
      <c r="B233" s="2" t="s">
        <v>19573</v>
      </c>
      <c r="C233" s="2" t="n">
        <v>249.070839625</v>
      </c>
      <c r="D233" s="2" t="n">
        <v>1.3789611655426</v>
      </c>
      <c r="E233" s="2" t="s">
        <v>19574</v>
      </c>
      <c r="F233" s="2" t="s">
        <v>17198</v>
      </c>
      <c r="G233" s="2" t="s">
        <v>19575</v>
      </c>
      <c r="H233" s="2" t="s">
        <v>19576</v>
      </c>
      <c r="I233" s="2" t="s">
        <v>19577</v>
      </c>
      <c r="J233" s="2" t="s">
        <v>29</v>
      </c>
      <c r="K233" s="2" t="s">
        <v>29</v>
      </c>
      <c r="L233" s="2" t="s">
        <v>29</v>
      </c>
      <c r="M233" s="2" t="s">
        <v>29</v>
      </c>
      <c r="N233" s="2" t="s">
        <v>19578</v>
      </c>
      <c r="O233" s="2" t="s">
        <v>29</v>
      </c>
      <c r="P233" s="2" t="s">
        <v>19579</v>
      </c>
      <c r="Q233" s="2" t="s">
        <v>19580</v>
      </c>
      <c r="R233" s="2" t="s">
        <v>114</v>
      </c>
      <c r="S233" s="2" t="s">
        <v>19581</v>
      </c>
      <c r="T233" s="2" t="s">
        <v>19582</v>
      </c>
      <c r="U233" s="2" t="s">
        <v>29</v>
      </c>
      <c r="V233" s="2" t="n">
        <v>1</v>
      </c>
    </row>
    <row r="234">
      <c r="A234" s="2" t="n">
        <v>233</v>
      </c>
      <c r="B234" s="2" t="s">
        <v>19583</v>
      </c>
      <c r="C234" s="2" t="n">
        <v>249.120960452</v>
      </c>
      <c r="D234" s="2" t="n">
        <v>4.93371958679536</v>
      </c>
      <c r="E234" s="2" t="s">
        <v>19584</v>
      </c>
      <c r="F234" s="2" t="s">
        <v>17198</v>
      </c>
      <c r="G234" s="2" t="s">
        <v>19585</v>
      </c>
      <c r="H234" s="2" t="s">
        <v>19586</v>
      </c>
      <c r="I234" s="2" t="s">
        <v>19587</v>
      </c>
      <c r="J234" s="2" t="s">
        <v>19588</v>
      </c>
      <c r="K234" s="2" t="s">
        <v>91</v>
      </c>
      <c r="L234" s="2" t="s">
        <v>19589</v>
      </c>
      <c r="M234" s="2" t="s">
        <v>19590</v>
      </c>
      <c r="N234" s="2" t="s">
        <v>19591</v>
      </c>
      <c r="O234" s="2" t="s">
        <v>19592</v>
      </c>
      <c r="P234" s="2" t="s">
        <v>19593</v>
      </c>
      <c r="Q234" s="2" t="s">
        <v>19594</v>
      </c>
      <c r="R234" s="2" t="s">
        <v>541</v>
      </c>
      <c r="S234" s="2" t="s">
        <v>4614</v>
      </c>
      <c r="T234" s="2" t="s">
        <v>19595</v>
      </c>
      <c r="U234" s="2" t="s">
        <v>56</v>
      </c>
      <c r="V234" s="2" t="n">
        <v>2</v>
      </c>
    </row>
    <row r="235">
      <c r="A235" s="2" t="n">
        <v>234</v>
      </c>
      <c r="B235" s="2" t="s">
        <v>19596</v>
      </c>
      <c r="C235" s="2" t="n">
        <v>249.148520506</v>
      </c>
      <c r="D235" s="2" t="n">
        <v>3.47153325594994</v>
      </c>
      <c r="E235" s="2" t="s">
        <v>19597</v>
      </c>
      <c r="F235" s="2" t="s">
        <v>17137</v>
      </c>
      <c r="G235" s="2" t="s">
        <v>19598</v>
      </c>
      <c r="H235" s="2" t="s">
        <v>19599</v>
      </c>
      <c r="I235" s="2" t="s">
        <v>19600</v>
      </c>
      <c r="J235" s="2" t="s">
        <v>29</v>
      </c>
      <c r="K235" s="2" t="s">
        <v>29</v>
      </c>
      <c r="L235" s="2" t="s">
        <v>19601</v>
      </c>
      <c r="M235" s="2" t="s">
        <v>29</v>
      </c>
      <c r="N235" s="2" t="s">
        <v>19602</v>
      </c>
      <c r="O235" s="2" t="s">
        <v>19603</v>
      </c>
      <c r="P235" s="2" t="s">
        <v>19604</v>
      </c>
      <c r="Q235" s="2" t="s">
        <v>19605</v>
      </c>
      <c r="R235" s="2" t="s">
        <v>114</v>
      </c>
      <c r="S235" s="2" t="s">
        <v>1646</v>
      </c>
      <c r="T235" s="2" t="s">
        <v>1647</v>
      </c>
      <c r="U235" s="2" t="s">
        <v>56</v>
      </c>
      <c r="V235" s="2" t="n">
        <v>1</v>
      </c>
    </row>
    <row r="236">
      <c r="A236" s="2" t="n">
        <v>235</v>
      </c>
      <c r="B236" s="2" t="s">
        <v>19606</v>
      </c>
      <c r="C236" s="2" t="n">
        <v>250.086254598</v>
      </c>
      <c r="D236" s="2" t="n">
        <v>3.89903542352562</v>
      </c>
      <c r="E236" s="2" t="s">
        <v>19607</v>
      </c>
      <c r="F236" s="2" t="s">
        <v>17137</v>
      </c>
      <c r="G236" s="2" t="s">
        <v>19608</v>
      </c>
      <c r="H236" s="2" t="s">
        <v>19609</v>
      </c>
      <c r="I236" s="2" t="s">
        <v>19610</v>
      </c>
      <c r="J236" s="2" t="s">
        <v>29</v>
      </c>
      <c r="K236" s="2" t="s">
        <v>29</v>
      </c>
      <c r="L236" s="2" t="s">
        <v>29</v>
      </c>
      <c r="M236" s="2" t="s">
        <v>29</v>
      </c>
      <c r="N236" s="2" t="s">
        <v>19611</v>
      </c>
      <c r="O236" s="2" t="s">
        <v>29</v>
      </c>
      <c r="P236" s="2" t="s">
        <v>19612</v>
      </c>
      <c r="Q236" s="2" t="s">
        <v>19613</v>
      </c>
      <c r="R236" s="2" t="s">
        <v>114</v>
      </c>
      <c r="S236" s="2" t="s">
        <v>2057</v>
      </c>
      <c r="T236" s="2" t="s">
        <v>19614</v>
      </c>
      <c r="U236" s="2" t="s">
        <v>29</v>
      </c>
      <c r="V236" s="2" t="n">
        <v>1</v>
      </c>
    </row>
    <row r="237">
      <c r="A237" s="2" t="n">
        <v>236</v>
      </c>
      <c r="B237" s="2" t="s">
        <v>19615</v>
      </c>
      <c r="C237" s="2" t="n">
        <v>250.13119342</v>
      </c>
      <c r="D237" s="2" t="n">
        <v>4.4964306300233</v>
      </c>
      <c r="E237" s="2" t="s">
        <v>19616</v>
      </c>
      <c r="F237" s="2" t="s">
        <v>17137</v>
      </c>
      <c r="G237" s="2" t="s">
        <v>19617</v>
      </c>
      <c r="H237" s="2" t="s">
        <v>19618</v>
      </c>
      <c r="I237" s="2" t="s">
        <v>19619</v>
      </c>
      <c r="J237" s="2" t="s">
        <v>29</v>
      </c>
      <c r="K237" s="2" t="s">
        <v>29</v>
      </c>
      <c r="L237" s="2" t="s">
        <v>29</v>
      </c>
      <c r="M237" s="2" t="s">
        <v>29</v>
      </c>
      <c r="N237" s="2" t="s">
        <v>19620</v>
      </c>
      <c r="O237" s="2" t="s">
        <v>29</v>
      </c>
      <c r="P237" s="2" t="s">
        <v>19621</v>
      </c>
      <c r="Q237" s="2" t="s">
        <v>19622</v>
      </c>
      <c r="R237" s="2" t="s">
        <v>114</v>
      </c>
      <c r="S237" s="2" t="s">
        <v>994</v>
      </c>
      <c r="T237" s="2" t="s">
        <v>1028</v>
      </c>
      <c r="U237" s="2" t="s">
        <v>29</v>
      </c>
      <c r="V237" s="2" t="n">
        <v>1</v>
      </c>
    </row>
    <row r="238">
      <c r="A238" s="2" t="n">
        <v>237</v>
      </c>
      <c r="B238" s="2" t="s">
        <v>19623</v>
      </c>
      <c r="C238" s="2" t="n">
        <v>251.002301865</v>
      </c>
      <c r="D238" s="2" t="n">
        <v>1.51321242406542</v>
      </c>
      <c r="E238" s="2" t="s">
        <v>19624</v>
      </c>
      <c r="F238" s="2" t="s">
        <v>17198</v>
      </c>
      <c r="G238" s="2" t="s">
        <v>19625</v>
      </c>
      <c r="H238" s="2" t="s">
        <v>19626</v>
      </c>
      <c r="I238" s="2" t="s">
        <v>19627</v>
      </c>
      <c r="J238" s="2" t="s">
        <v>29</v>
      </c>
      <c r="K238" s="2" t="s">
        <v>29</v>
      </c>
      <c r="L238" s="2" t="s">
        <v>29</v>
      </c>
      <c r="M238" s="2" t="s">
        <v>29</v>
      </c>
      <c r="N238" s="2" t="s">
        <v>19628</v>
      </c>
      <c r="O238" s="2" t="s">
        <v>29</v>
      </c>
      <c r="P238" s="2" t="s">
        <v>19629</v>
      </c>
      <c r="Q238" s="2" t="s">
        <v>19630</v>
      </c>
      <c r="R238" s="2" t="s">
        <v>114</v>
      </c>
      <c r="S238" s="2" t="s">
        <v>730</v>
      </c>
      <c r="T238" s="2" t="s">
        <v>731</v>
      </c>
      <c r="U238" s="2" t="s">
        <v>29</v>
      </c>
      <c r="V238" s="2" t="n">
        <v>1</v>
      </c>
    </row>
    <row r="239">
      <c r="A239" s="2" t="n">
        <v>238</v>
      </c>
      <c r="B239" s="2" t="s">
        <v>19631</v>
      </c>
      <c r="C239" s="2" t="n">
        <v>251.050258446</v>
      </c>
      <c r="D239" s="2" t="n">
        <v>0.693352570985556</v>
      </c>
      <c r="E239" s="2" t="s">
        <v>19632</v>
      </c>
      <c r="F239" s="2" t="s">
        <v>17406</v>
      </c>
      <c r="G239" s="2" t="s">
        <v>19633</v>
      </c>
      <c r="H239" s="2" t="s">
        <v>19634</v>
      </c>
      <c r="I239" s="2" t="s">
        <v>19635</v>
      </c>
      <c r="J239" s="2" t="s">
        <v>19636</v>
      </c>
      <c r="K239" s="2" t="s">
        <v>29</v>
      </c>
      <c r="L239" s="2" t="s">
        <v>29</v>
      </c>
      <c r="M239" s="2" t="s">
        <v>29</v>
      </c>
      <c r="N239" s="2" t="s">
        <v>19637</v>
      </c>
      <c r="O239" s="2" t="s">
        <v>19638</v>
      </c>
      <c r="P239" s="2" t="s">
        <v>19639</v>
      </c>
      <c r="Q239" s="2" t="s">
        <v>19640</v>
      </c>
      <c r="R239" s="2" t="s">
        <v>644</v>
      </c>
      <c r="S239" s="2" t="s">
        <v>12701</v>
      </c>
      <c r="T239" s="2" t="s">
        <v>12702</v>
      </c>
      <c r="U239" s="2" t="s">
        <v>56</v>
      </c>
      <c r="V239" s="2" t="n">
        <v>1</v>
      </c>
    </row>
    <row r="240">
      <c r="A240" s="2" t="n">
        <v>239</v>
      </c>
      <c r="B240" s="2" t="s">
        <v>19641</v>
      </c>
      <c r="C240" s="2" t="n">
        <v>252.951011712</v>
      </c>
      <c r="D240" s="2" t="n">
        <v>1.63611981141365</v>
      </c>
      <c r="E240" s="2" t="s">
        <v>19642</v>
      </c>
      <c r="F240" s="2" t="s">
        <v>17406</v>
      </c>
      <c r="G240" s="2" t="s">
        <v>19643</v>
      </c>
      <c r="H240" s="2" t="s">
        <v>19644</v>
      </c>
      <c r="I240" s="2" t="s">
        <v>19645</v>
      </c>
      <c r="J240" s="2" t="s">
        <v>19646</v>
      </c>
      <c r="K240" s="2" t="s">
        <v>29</v>
      </c>
      <c r="L240" s="2" t="s">
        <v>19647</v>
      </c>
      <c r="M240" s="2" t="s">
        <v>19648</v>
      </c>
      <c r="N240" s="2" t="s">
        <v>19649</v>
      </c>
      <c r="O240" s="2" t="s">
        <v>29</v>
      </c>
      <c r="P240" s="2" t="s">
        <v>19650</v>
      </c>
      <c r="Q240" s="2" t="s">
        <v>19651</v>
      </c>
      <c r="R240" s="2" t="s">
        <v>36</v>
      </c>
      <c r="S240" s="2" t="s">
        <v>271</v>
      </c>
      <c r="T240" s="2" t="s">
        <v>272</v>
      </c>
      <c r="U240" s="2" t="s">
        <v>56</v>
      </c>
      <c r="V240" s="2" t="n">
        <v>1</v>
      </c>
    </row>
    <row r="241">
      <c r="A241" s="2" t="n">
        <v>240</v>
      </c>
      <c r="B241" s="2" t="s">
        <v>19652</v>
      </c>
      <c r="C241" s="2" t="n">
        <v>253.040756392</v>
      </c>
      <c r="D241" s="2" t="n">
        <v>6.03984851936004</v>
      </c>
      <c r="E241" s="2" t="s">
        <v>19653</v>
      </c>
      <c r="F241" s="2" t="s">
        <v>17406</v>
      </c>
      <c r="G241" s="2" t="s">
        <v>19654</v>
      </c>
      <c r="H241" s="2" t="s">
        <v>19655</v>
      </c>
      <c r="I241" s="2" t="s">
        <v>19656</v>
      </c>
      <c r="J241" s="2" t="s">
        <v>19657</v>
      </c>
      <c r="K241" s="2" t="s">
        <v>29</v>
      </c>
      <c r="L241" s="2" t="s">
        <v>29</v>
      </c>
      <c r="M241" s="2" t="s">
        <v>19658</v>
      </c>
      <c r="N241" s="2" t="s">
        <v>19659</v>
      </c>
      <c r="O241" s="2" t="s">
        <v>19660</v>
      </c>
      <c r="P241" s="2" t="s">
        <v>19661</v>
      </c>
      <c r="Q241" s="2" t="s">
        <v>19662</v>
      </c>
      <c r="R241" s="2" t="s">
        <v>114</v>
      </c>
      <c r="S241" s="2" t="s">
        <v>19663</v>
      </c>
      <c r="T241" s="2" t="s">
        <v>215</v>
      </c>
      <c r="U241" s="2" t="s">
        <v>56</v>
      </c>
      <c r="V241" s="2" t="n">
        <v>1</v>
      </c>
    </row>
    <row r="242">
      <c r="A242" s="2" t="n">
        <v>241</v>
      </c>
      <c r="B242" s="2" t="s">
        <v>19664</v>
      </c>
      <c r="C242" s="2" t="n">
        <v>253.122991232</v>
      </c>
      <c r="D242" s="2" t="n">
        <v>5.40563471294117</v>
      </c>
      <c r="E242" s="2" t="s">
        <v>19665</v>
      </c>
      <c r="F242" s="2" t="s">
        <v>17137</v>
      </c>
      <c r="G242" s="2" t="s">
        <v>19666</v>
      </c>
      <c r="H242" s="2" t="s">
        <v>19667</v>
      </c>
      <c r="I242" s="2" t="s">
        <v>19668</v>
      </c>
      <c r="J242" s="2" t="s">
        <v>19669</v>
      </c>
      <c r="K242" s="2" t="s">
        <v>29</v>
      </c>
      <c r="L242" s="2" t="s">
        <v>19670</v>
      </c>
      <c r="M242" s="2" t="s">
        <v>19671</v>
      </c>
      <c r="N242" s="2" t="s">
        <v>19672</v>
      </c>
      <c r="O242" s="2" t="s">
        <v>19673</v>
      </c>
      <c r="P242" s="2" t="s">
        <v>19674</v>
      </c>
      <c r="Q242" s="2" t="s">
        <v>19675</v>
      </c>
      <c r="R242" s="2" t="s">
        <v>114</v>
      </c>
      <c r="S242" s="2" t="s">
        <v>172</v>
      </c>
      <c r="T242" s="2" t="s">
        <v>173</v>
      </c>
      <c r="U242" s="2" t="s">
        <v>56</v>
      </c>
      <c r="V242" s="2" t="n">
        <v>1</v>
      </c>
    </row>
    <row r="243">
      <c r="A243" s="2" t="n">
        <v>242</v>
      </c>
      <c r="B243" s="2" t="s">
        <v>19676</v>
      </c>
      <c r="C243" s="2" t="n">
        <v>254.018839469</v>
      </c>
      <c r="D243" s="2" t="n">
        <v>1.53249725934868</v>
      </c>
      <c r="E243" s="2" t="s">
        <v>19677</v>
      </c>
      <c r="F243" s="2" t="s">
        <v>17970</v>
      </c>
      <c r="G243" s="2" t="s">
        <v>19678</v>
      </c>
      <c r="H243" s="2" t="s">
        <v>19679</v>
      </c>
      <c r="I243" s="2" t="s">
        <v>19680</v>
      </c>
      <c r="J243" s="2" t="s">
        <v>29</v>
      </c>
      <c r="K243" s="2" t="s">
        <v>29</v>
      </c>
      <c r="L243" s="2" t="s">
        <v>29</v>
      </c>
      <c r="M243" s="2" t="s">
        <v>29</v>
      </c>
      <c r="N243" s="2" t="s">
        <v>19681</v>
      </c>
      <c r="O243" s="2" t="s">
        <v>29</v>
      </c>
      <c r="P243" s="2" t="s">
        <v>19682</v>
      </c>
      <c r="Q243" s="2" t="s">
        <v>19683</v>
      </c>
      <c r="R243" s="2" t="s">
        <v>114</v>
      </c>
      <c r="S243" s="2" t="s">
        <v>5053</v>
      </c>
      <c r="T243" s="2" t="s">
        <v>5054</v>
      </c>
      <c r="U243" s="2" t="s">
        <v>29</v>
      </c>
      <c r="V243" s="2" t="n">
        <v>1</v>
      </c>
    </row>
    <row r="244">
      <c r="A244" s="2" t="n">
        <v>243</v>
      </c>
      <c r="B244" s="2" t="s">
        <v>19684</v>
      </c>
      <c r="C244" s="2" t="n">
        <v>254.122357427</v>
      </c>
      <c r="D244" s="2" t="n">
        <v>7.07480551395415</v>
      </c>
      <c r="E244" s="2" t="s">
        <v>19685</v>
      </c>
      <c r="F244" s="2" t="s">
        <v>17198</v>
      </c>
      <c r="G244" s="2" t="s">
        <v>19686</v>
      </c>
      <c r="H244" s="2" t="s">
        <v>19687</v>
      </c>
      <c r="I244" s="2" t="s">
        <v>19688</v>
      </c>
      <c r="J244" s="2" t="s">
        <v>19689</v>
      </c>
      <c r="K244" s="2" t="s">
        <v>91</v>
      </c>
      <c r="L244" s="2" t="s">
        <v>91</v>
      </c>
      <c r="M244" s="2" t="s">
        <v>91</v>
      </c>
      <c r="N244" s="2" t="s">
        <v>19690</v>
      </c>
      <c r="O244" s="2" t="s">
        <v>19691</v>
      </c>
      <c r="P244" s="2" t="s">
        <v>19692</v>
      </c>
      <c r="Q244" s="2" t="s">
        <v>19693</v>
      </c>
      <c r="R244" s="2" t="s">
        <v>144</v>
      </c>
      <c r="S244" s="2" t="s">
        <v>145</v>
      </c>
      <c r="T244" s="2" t="s">
        <v>146</v>
      </c>
      <c r="U244" s="2" t="s">
        <v>56</v>
      </c>
      <c r="V244" s="2" t="n">
        <v>2</v>
      </c>
    </row>
    <row r="245">
      <c r="A245" s="2" t="n">
        <v>244</v>
      </c>
      <c r="B245" s="2" t="s">
        <v>19694</v>
      </c>
      <c r="C245" s="2" t="n">
        <v>254.9989523</v>
      </c>
      <c r="D245" s="2" t="n">
        <v>3.45118865628362</v>
      </c>
      <c r="E245" s="2" t="s">
        <v>19695</v>
      </c>
      <c r="F245" s="2" t="s">
        <v>17137</v>
      </c>
      <c r="G245" s="2" t="s">
        <v>19696</v>
      </c>
      <c r="H245" s="2" t="s">
        <v>19697</v>
      </c>
      <c r="I245" s="2" t="s">
        <v>19698</v>
      </c>
      <c r="J245" s="2" t="s">
        <v>29</v>
      </c>
      <c r="K245" s="2" t="s">
        <v>29</v>
      </c>
      <c r="L245" s="2" t="s">
        <v>29</v>
      </c>
      <c r="M245" s="2" t="s">
        <v>29</v>
      </c>
      <c r="N245" s="2" t="s">
        <v>29</v>
      </c>
      <c r="O245" s="2" t="s">
        <v>29</v>
      </c>
      <c r="P245" s="2" t="s">
        <v>19699</v>
      </c>
      <c r="Q245" s="2" t="s">
        <v>19700</v>
      </c>
      <c r="R245" s="2" t="s">
        <v>186</v>
      </c>
      <c r="S245" s="2" t="s">
        <v>187</v>
      </c>
      <c r="T245" s="2" t="s">
        <v>1206</v>
      </c>
      <c r="U245" s="2" t="s">
        <v>29</v>
      </c>
      <c r="V245" s="2" t="n">
        <v>1</v>
      </c>
    </row>
    <row r="246">
      <c r="A246" s="2" t="n">
        <v>245</v>
      </c>
      <c r="B246" s="2" t="s">
        <v>19701</v>
      </c>
      <c r="C246" s="2" t="n">
        <v>255.06573384</v>
      </c>
      <c r="D246" s="2" t="n">
        <v>5.03424383542104</v>
      </c>
      <c r="E246" s="2" t="s">
        <v>19702</v>
      </c>
      <c r="F246" s="2" t="s">
        <v>17117</v>
      </c>
      <c r="G246" s="2" t="s">
        <v>19703</v>
      </c>
      <c r="H246" s="2" t="s">
        <v>19704</v>
      </c>
      <c r="I246" s="2" t="s">
        <v>19705</v>
      </c>
      <c r="J246" s="2" t="s">
        <v>29</v>
      </c>
      <c r="K246" s="2" t="s">
        <v>29</v>
      </c>
      <c r="L246" s="2" t="s">
        <v>19706</v>
      </c>
      <c r="M246" s="2" t="s">
        <v>19707</v>
      </c>
      <c r="N246" s="2" t="s">
        <v>19708</v>
      </c>
      <c r="O246" s="2" t="s">
        <v>29</v>
      </c>
      <c r="P246" s="2" t="s">
        <v>19709</v>
      </c>
      <c r="Q246" s="2" t="s">
        <v>19710</v>
      </c>
      <c r="R246" s="2" t="s">
        <v>1355</v>
      </c>
      <c r="S246" s="2" t="s">
        <v>5199</v>
      </c>
      <c r="T246" s="2" t="s">
        <v>19711</v>
      </c>
      <c r="U246" s="2" t="s">
        <v>101</v>
      </c>
      <c r="V246" s="2" t="n">
        <v>1</v>
      </c>
    </row>
    <row r="247">
      <c r="A247" s="2" t="n">
        <v>246</v>
      </c>
      <c r="B247" s="2" t="s">
        <v>19712</v>
      </c>
      <c r="C247" s="2" t="n">
        <v>255.141326638</v>
      </c>
      <c r="D247" s="2" t="n">
        <v>4.11863538760036</v>
      </c>
      <c r="E247" s="2" t="s">
        <v>19713</v>
      </c>
      <c r="F247" s="2" t="s">
        <v>17137</v>
      </c>
      <c r="G247" s="2" t="s">
        <v>19714</v>
      </c>
      <c r="H247" s="2" t="s">
        <v>19715</v>
      </c>
      <c r="I247" s="2" t="s">
        <v>19716</v>
      </c>
      <c r="J247" s="2" t="s">
        <v>19717</v>
      </c>
      <c r="K247" s="2" t="s">
        <v>91</v>
      </c>
      <c r="L247" s="2" t="s">
        <v>91</v>
      </c>
      <c r="M247" s="2" t="s">
        <v>19718</v>
      </c>
      <c r="N247" s="2" t="s">
        <v>19719</v>
      </c>
      <c r="O247" s="2" t="s">
        <v>19720</v>
      </c>
      <c r="P247" s="2" t="s">
        <v>19721</v>
      </c>
      <c r="Q247" s="2" t="s">
        <v>19722</v>
      </c>
      <c r="R247" s="2" t="s">
        <v>715</v>
      </c>
      <c r="S247" s="2" t="s">
        <v>17880</v>
      </c>
      <c r="T247" s="2" t="s">
        <v>19723</v>
      </c>
      <c r="U247" s="2" t="s">
        <v>56</v>
      </c>
      <c r="V247" s="2" t="n">
        <v>2</v>
      </c>
    </row>
    <row r="248">
      <c r="A248" s="2" t="n">
        <v>247</v>
      </c>
      <c r="B248" s="2" t="s">
        <v>19724</v>
      </c>
      <c r="C248" s="2" t="n">
        <v>256.015126663</v>
      </c>
      <c r="D248" s="2" t="n">
        <v>6.08276967742999</v>
      </c>
      <c r="E248" s="2" t="s">
        <v>19725</v>
      </c>
      <c r="F248" s="2" t="s">
        <v>17137</v>
      </c>
      <c r="G248" s="2" t="s">
        <v>19726</v>
      </c>
      <c r="H248" s="2" t="s">
        <v>19727</v>
      </c>
      <c r="I248" s="2" t="s">
        <v>19728</v>
      </c>
      <c r="J248" s="2" t="s">
        <v>19729</v>
      </c>
      <c r="K248" s="2" t="s">
        <v>29</v>
      </c>
      <c r="L248" s="2" t="s">
        <v>19730</v>
      </c>
      <c r="M248" s="2" t="s">
        <v>19731</v>
      </c>
      <c r="N248" s="2" t="s">
        <v>19732</v>
      </c>
      <c r="O248" s="2" t="s">
        <v>19733</v>
      </c>
      <c r="P248" s="2" t="s">
        <v>19734</v>
      </c>
      <c r="Q248" s="2" t="s">
        <v>19735</v>
      </c>
      <c r="R248" s="2" t="s">
        <v>186</v>
      </c>
      <c r="S248" s="2" t="s">
        <v>187</v>
      </c>
      <c r="T248" s="2" t="s">
        <v>2791</v>
      </c>
      <c r="U248" s="2" t="s">
        <v>101</v>
      </c>
      <c r="V248" s="2" t="n">
        <v>1</v>
      </c>
    </row>
    <row r="249">
      <c r="A249" s="2" t="n">
        <v>248</v>
      </c>
      <c r="B249" s="2" t="s">
        <v>19736</v>
      </c>
      <c r="C249" s="2" t="n">
        <v>256.136576094</v>
      </c>
      <c r="D249" s="2" t="n">
        <v>1.2624450268757</v>
      </c>
      <c r="E249" s="2" t="s">
        <v>19737</v>
      </c>
      <c r="F249" s="2" t="s">
        <v>17137</v>
      </c>
      <c r="G249" s="2" t="s">
        <v>19738</v>
      </c>
      <c r="H249" s="2" t="s">
        <v>19739</v>
      </c>
      <c r="I249" s="2" t="s">
        <v>19740</v>
      </c>
      <c r="J249" s="2" t="s">
        <v>29</v>
      </c>
      <c r="K249" s="2" t="s">
        <v>29</v>
      </c>
      <c r="L249" s="2" t="s">
        <v>29</v>
      </c>
      <c r="M249" s="2" t="s">
        <v>29</v>
      </c>
      <c r="N249" s="2" t="s">
        <v>19741</v>
      </c>
      <c r="O249" s="2" t="s">
        <v>29</v>
      </c>
      <c r="P249" s="2" t="s">
        <v>19742</v>
      </c>
      <c r="Q249" s="2" t="s">
        <v>19743</v>
      </c>
      <c r="R249" s="2" t="s">
        <v>186</v>
      </c>
      <c r="S249" s="2" t="s">
        <v>187</v>
      </c>
      <c r="T249" s="2" t="s">
        <v>3552</v>
      </c>
      <c r="U249" s="2" t="s">
        <v>29</v>
      </c>
      <c r="V249" s="2" t="n">
        <v>1</v>
      </c>
    </row>
    <row r="250">
      <c r="A250" s="2" t="n">
        <v>249</v>
      </c>
      <c r="B250" s="2" t="s">
        <v>19744</v>
      </c>
      <c r="C250" s="2" t="n">
        <v>256.263490683</v>
      </c>
      <c r="D250" s="2" t="n">
        <v>11.8927186228401</v>
      </c>
      <c r="E250" s="2" t="s">
        <v>19745</v>
      </c>
      <c r="F250" s="2" t="s">
        <v>17137</v>
      </c>
      <c r="G250" s="2" t="s">
        <v>19746</v>
      </c>
      <c r="H250" s="2" t="s">
        <v>19747</v>
      </c>
      <c r="I250" s="2" t="s">
        <v>19748</v>
      </c>
      <c r="J250" s="2" t="s">
        <v>19749</v>
      </c>
      <c r="K250" s="2" t="s">
        <v>19750</v>
      </c>
      <c r="L250" s="2" t="s">
        <v>29</v>
      </c>
      <c r="M250" s="2" t="s">
        <v>19751</v>
      </c>
      <c r="N250" s="2" t="s">
        <v>19752</v>
      </c>
      <c r="O250" s="2" t="s">
        <v>19753</v>
      </c>
      <c r="P250" s="2" t="s">
        <v>19754</v>
      </c>
      <c r="Q250" s="2" t="s">
        <v>19755</v>
      </c>
      <c r="R250" s="2" t="s">
        <v>794</v>
      </c>
      <c r="S250" s="2" t="s">
        <v>795</v>
      </c>
      <c r="T250" s="2" t="s">
        <v>5115</v>
      </c>
      <c r="U250" s="2" t="s">
        <v>39</v>
      </c>
      <c r="V250" s="2" t="n">
        <v>1</v>
      </c>
    </row>
    <row r="251">
      <c r="A251" s="2" t="n">
        <v>250</v>
      </c>
      <c r="B251" s="2" t="s">
        <v>19756</v>
      </c>
      <c r="C251" s="2" t="n">
        <v>256.98376252</v>
      </c>
      <c r="D251" s="2" t="n">
        <v>1.752187054214</v>
      </c>
      <c r="E251" s="2" t="s">
        <v>19757</v>
      </c>
      <c r="F251" s="2" t="s">
        <v>17520</v>
      </c>
      <c r="G251" s="2" t="s">
        <v>19758</v>
      </c>
      <c r="H251" s="2" t="s">
        <v>19759</v>
      </c>
      <c r="I251" s="2" t="s">
        <v>19760</v>
      </c>
      <c r="J251" s="2" t="s">
        <v>19761</v>
      </c>
      <c r="K251" s="2" t="s">
        <v>195</v>
      </c>
      <c r="L251" s="2" t="s">
        <v>19762</v>
      </c>
      <c r="M251" s="2" t="s">
        <v>19763</v>
      </c>
      <c r="N251" s="2" t="s">
        <v>19764</v>
      </c>
      <c r="O251" s="2" t="s">
        <v>19765</v>
      </c>
      <c r="P251" s="2" t="s">
        <v>19766</v>
      </c>
      <c r="Q251" s="2" t="s">
        <v>19767</v>
      </c>
      <c r="R251" s="2" t="s">
        <v>490</v>
      </c>
      <c r="S251" s="2" t="s">
        <v>19768</v>
      </c>
      <c r="T251" s="2" t="s">
        <v>19769</v>
      </c>
      <c r="U251" s="2" t="s">
        <v>56</v>
      </c>
      <c r="V251" s="2" t="n">
        <v>3</v>
      </c>
    </row>
    <row r="252">
      <c r="A252" s="2" t="n">
        <v>251</v>
      </c>
      <c r="B252" s="2" t="s">
        <v>19770</v>
      </c>
      <c r="C252" s="2" t="n">
        <v>257.081423558</v>
      </c>
      <c r="D252" s="2" t="n">
        <v>0.491629967921789</v>
      </c>
      <c r="E252" s="2" t="s">
        <v>19771</v>
      </c>
      <c r="F252" s="2" t="s">
        <v>17039</v>
      </c>
      <c r="G252" s="2" t="s">
        <v>19772</v>
      </c>
      <c r="H252" s="2" t="s">
        <v>19773</v>
      </c>
      <c r="I252" s="2" t="s">
        <v>19774</v>
      </c>
      <c r="J252" s="2" t="s">
        <v>19775</v>
      </c>
      <c r="K252" s="2" t="s">
        <v>19776</v>
      </c>
      <c r="L252" s="2" t="s">
        <v>19777</v>
      </c>
      <c r="M252" s="2" t="s">
        <v>19778</v>
      </c>
      <c r="N252" s="2" t="s">
        <v>19779</v>
      </c>
      <c r="O252" s="2" t="s">
        <v>19780</v>
      </c>
      <c r="P252" s="2" t="s">
        <v>19781</v>
      </c>
      <c r="Q252" s="2" t="s">
        <v>19782</v>
      </c>
      <c r="R252" s="2" t="s">
        <v>7198</v>
      </c>
      <c r="S252" s="2" t="s">
        <v>19783</v>
      </c>
      <c r="T252" s="2" t="s">
        <v>19784</v>
      </c>
      <c r="U252" s="2" t="s">
        <v>56</v>
      </c>
      <c r="V252" s="2" t="n">
        <v>2</v>
      </c>
    </row>
    <row r="253">
      <c r="A253" s="2" t="n">
        <v>252</v>
      </c>
      <c r="B253" s="2" t="s">
        <v>19785</v>
      </c>
      <c r="C253" s="2" t="n">
        <v>257.148791012</v>
      </c>
      <c r="D253" s="2" t="n">
        <v>8.39379743323403</v>
      </c>
      <c r="E253" s="2" t="s">
        <v>19786</v>
      </c>
      <c r="F253" s="2" t="s">
        <v>17970</v>
      </c>
      <c r="G253" s="2" t="s">
        <v>19787</v>
      </c>
      <c r="H253" s="2" t="s">
        <v>19788</v>
      </c>
      <c r="I253" s="2" t="s">
        <v>19789</v>
      </c>
      <c r="J253" s="2" t="s">
        <v>19790</v>
      </c>
      <c r="K253" s="2" t="s">
        <v>19791</v>
      </c>
      <c r="L253" s="2" t="s">
        <v>195</v>
      </c>
      <c r="M253" s="2" t="s">
        <v>195</v>
      </c>
      <c r="N253" s="2" t="s">
        <v>19792</v>
      </c>
      <c r="O253" s="2" t="s">
        <v>19793</v>
      </c>
      <c r="P253" s="2" t="s">
        <v>19794</v>
      </c>
      <c r="Q253" s="2" t="s">
        <v>19795</v>
      </c>
      <c r="R253" s="2" t="s">
        <v>255</v>
      </c>
      <c r="S253" s="2" t="s">
        <v>256</v>
      </c>
      <c r="T253" s="2" t="s">
        <v>19796</v>
      </c>
      <c r="U253" s="2" t="s">
        <v>56</v>
      </c>
      <c r="V253" s="2" t="n">
        <v>3</v>
      </c>
    </row>
    <row r="254">
      <c r="A254" s="2" t="n">
        <v>253</v>
      </c>
      <c r="B254" s="2" t="s">
        <v>19797</v>
      </c>
      <c r="C254" s="2" t="n">
        <v>259.085937024</v>
      </c>
      <c r="D254" s="2" t="n">
        <v>2.46409338166199</v>
      </c>
      <c r="E254" s="2" t="s">
        <v>19798</v>
      </c>
      <c r="F254" s="2" t="s">
        <v>17137</v>
      </c>
      <c r="G254" s="2" t="s">
        <v>19799</v>
      </c>
      <c r="H254" s="2" t="s">
        <v>19800</v>
      </c>
      <c r="I254" s="2" t="s">
        <v>19801</v>
      </c>
      <c r="J254" s="2" t="s">
        <v>19802</v>
      </c>
      <c r="K254" s="2" t="s">
        <v>91</v>
      </c>
      <c r="L254" s="2" t="s">
        <v>91</v>
      </c>
      <c r="M254" s="2" t="s">
        <v>91</v>
      </c>
      <c r="N254" s="2" t="s">
        <v>19803</v>
      </c>
      <c r="O254" s="2" t="s">
        <v>19804</v>
      </c>
      <c r="P254" s="2" t="s">
        <v>19805</v>
      </c>
      <c r="Q254" s="2" t="s">
        <v>19806</v>
      </c>
      <c r="R254" s="2" t="s">
        <v>144</v>
      </c>
      <c r="S254" s="2" t="s">
        <v>145</v>
      </c>
      <c r="T254" s="2" t="s">
        <v>146</v>
      </c>
      <c r="U254" s="2" t="s">
        <v>56</v>
      </c>
      <c r="V254" s="2" t="n">
        <v>2</v>
      </c>
    </row>
    <row r="255">
      <c r="A255" s="2" t="n">
        <v>254</v>
      </c>
      <c r="B255" s="2" t="s">
        <v>19807</v>
      </c>
      <c r="C255" s="2" t="n">
        <v>259.9875745</v>
      </c>
      <c r="D255" s="2" t="n">
        <v>3.40075999643831</v>
      </c>
      <c r="E255" s="2" t="s">
        <v>19808</v>
      </c>
      <c r="F255" s="2" t="s">
        <v>17137</v>
      </c>
      <c r="G255" s="2" t="s">
        <v>19809</v>
      </c>
      <c r="H255" s="2" t="s">
        <v>19810</v>
      </c>
      <c r="I255" s="2" t="s">
        <v>19811</v>
      </c>
      <c r="J255" s="2" t="s">
        <v>91</v>
      </c>
      <c r="K255" s="2" t="s">
        <v>91</v>
      </c>
      <c r="L255" s="2" t="s">
        <v>91</v>
      </c>
      <c r="M255" s="2" t="s">
        <v>91</v>
      </c>
      <c r="N255" s="2" t="s">
        <v>19812</v>
      </c>
      <c r="O255" s="2" t="s">
        <v>91</v>
      </c>
      <c r="P255" s="2" t="s">
        <v>19813</v>
      </c>
      <c r="Q255" s="2" t="s">
        <v>19814</v>
      </c>
      <c r="R255" s="2" t="s">
        <v>541</v>
      </c>
      <c r="S255" s="2" t="s">
        <v>19815</v>
      </c>
      <c r="T255" s="2" t="s">
        <v>19816</v>
      </c>
      <c r="U255" s="2" t="s">
        <v>29</v>
      </c>
      <c r="V255" s="2" t="n">
        <v>2</v>
      </c>
    </row>
    <row r="256">
      <c r="A256" s="2" t="n">
        <v>255</v>
      </c>
      <c r="B256" s="2" t="s">
        <v>19817</v>
      </c>
      <c r="C256" s="2" t="n">
        <v>260.052978941</v>
      </c>
      <c r="D256" s="2" t="n">
        <v>1.81163575444607</v>
      </c>
      <c r="E256" s="2" t="s">
        <v>19818</v>
      </c>
      <c r="F256" s="2" t="s">
        <v>17137</v>
      </c>
      <c r="G256" s="2" t="s">
        <v>19819</v>
      </c>
      <c r="H256" s="2" t="s">
        <v>19820</v>
      </c>
      <c r="I256" s="2" t="s">
        <v>19821</v>
      </c>
      <c r="J256" s="2" t="s">
        <v>19822</v>
      </c>
      <c r="K256" s="2" t="s">
        <v>29</v>
      </c>
      <c r="L256" s="2" t="s">
        <v>19823</v>
      </c>
      <c r="M256" s="2" t="s">
        <v>19824</v>
      </c>
      <c r="N256" s="2" t="s">
        <v>19825</v>
      </c>
      <c r="O256" s="2" t="s">
        <v>19826</v>
      </c>
      <c r="P256" s="2" t="s">
        <v>19827</v>
      </c>
      <c r="Q256" s="2" t="s">
        <v>19828</v>
      </c>
      <c r="R256" s="2" t="s">
        <v>129</v>
      </c>
      <c r="S256" s="2" t="s">
        <v>130</v>
      </c>
      <c r="T256" s="2" t="s">
        <v>1681</v>
      </c>
      <c r="U256" s="2" t="s">
        <v>56</v>
      </c>
      <c r="V256" s="2" t="n">
        <v>1</v>
      </c>
    </row>
    <row r="257">
      <c r="A257" s="2" t="n">
        <v>256</v>
      </c>
      <c r="B257" s="2" t="s">
        <v>19829</v>
      </c>
      <c r="C257" s="2" t="n">
        <v>260.114320365</v>
      </c>
      <c r="D257" s="2" t="n">
        <v>0.563723918255811</v>
      </c>
      <c r="E257" s="2" t="s">
        <v>19830</v>
      </c>
      <c r="F257" s="2" t="s">
        <v>17039</v>
      </c>
      <c r="G257" s="2" t="s">
        <v>19831</v>
      </c>
      <c r="H257" s="2" t="s">
        <v>19832</v>
      </c>
      <c r="I257" s="2" t="s">
        <v>19833</v>
      </c>
      <c r="J257" s="2" t="s">
        <v>19834</v>
      </c>
      <c r="K257" s="2" t="s">
        <v>19835</v>
      </c>
      <c r="L257" s="2" t="s">
        <v>19836</v>
      </c>
      <c r="M257" s="2" t="s">
        <v>19837</v>
      </c>
      <c r="N257" s="2" t="s">
        <v>19838</v>
      </c>
      <c r="O257" s="2" t="s">
        <v>29</v>
      </c>
      <c r="P257" s="2" t="s">
        <v>19839</v>
      </c>
      <c r="Q257" s="2" t="s">
        <v>19840</v>
      </c>
      <c r="R257" s="2" t="s">
        <v>794</v>
      </c>
      <c r="S257" s="2" t="s">
        <v>795</v>
      </c>
      <c r="T257" s="2" t="s">
        <v>5115</v>
      </c>
      <c r="U257" s="2" t="s">
        <v>56</v>
      </c>
      <c r="V257" s="2" t="n">
        <v>1</v>
      </c>
    </row>
    <row r="258">
      <c r="A258" s="2" t="n">
        <v>257</v>
      </c>
      <c r="B258" s="2" t="s">
        <v>19841</v>
      </c>
      <c r="C258" s="2" t="n">
        <v>261.043613765</v>
      </c>
      <c r="D258" s="2" t="n">
        <v>5.50714944325853</v>
      </c>
      <c r="E258" s="2" t="s">
        <v>19842</v>
      </c>
      <c r="F258" s="2" t="s">
        <v>17406</v>
      </c>
      <c r="G258" s="2" t="s">
        <v>19843</v>
      </c>
      <c r="H258" s="2" t="s">
        <v>19844</v>
      </c>
      <c r="I258" s="2" t="s">
        <v>19845</v>
      </c>
      <c r="J258" s="2" t="s">
        <v>29</v>
      </c>
      <c r="K258" s="2" t="s">
        <v>29</v>
      </c>
      <c r="L258" s="2" t="s">
        <v>29</v>
      </c>
      <c r="M258" s="2" t="s">
        <v>29</v>
      </c>
      <c r="N258" s="2" t="s">
        <v>19846</v>
      </c>
      <c r="O258" s="2" t="s">
        <v>29</v>
      </c>
      <c r="P258" s="2" t="s">
        <v>19847</v>
      </c>
      <c r="Q258" s="2" t="s">
        <v>19848</v>
      </c>
      <c r="R258" s="2" t="s">
        <v>114</v>
      </c>
      <c r="S258" s="2" t="s">
        <v>994</v>
      </c>
      <c r="T258" s="2" t="s">
        <v>19849</v>
      </c>
      <c r="U258" s="2" t="s">
        <v>29</v>
      </c>
      <c r="V258" s="2" t="n">
        <v>1</v>
      </c>
    </row>
    <row r="259">
      <c r="A259" s="2" t="n">
        <v>258</v>
      </c>
      <c r="B259" s="2" t="s">
        <v>19850</v>
      </c>
      <c r="C259" s="2" t="n">
        <v>261.070656206</v>
      </c>
      <c r="D259" s="2" t="n">
        <v>0.473532994192163</v>
      </c>
      <c r="E259" s="2" t="s">
        <v>19851</v>
      </c>
      <c r="F259" s="2" t="s">
        <v>17198</v>
      </c>
      <c r="G259" s="2" t="s">
        <v>19852</v>
      </c>
      <c r="H259" s="2" t="s">
        <v>19853</v>
      </c>
      <c r="I259" s="2" t="s">
        <v>19854</v>
      </c>
      <c r="J259" s="2" t="s">
        <v>19855</v>
      </c>
      <c r="K259" s="2" t="s">
        <v>29</v>
      </c>
      <c r="L259" s="2" t="s">
        <v>29</v>
      </c>
      <c r="M259" s="2" t="s">
        <v>29</v>
      </c>
      <c r="N259" s="2" t="s">
        <v>19856</v>
      </c>
      <c r="O259" s="2" t="s">
        <v>29</v>
      </c>
      <c r="P259" s="2" t="s">
        <v>19857</v>
      </c>
      <c r="Q259" s="2" t="s">
        <v>19858</v>
      </c>
      <c r="R259" s="2" t="s">
        <v>114</v>
      </c>
      <c r="S259" s="2" t="s">
        <v>730</v>
      </c>
      <c r="T259" s="2" t="s">
        <v>731</v>
      </c>
      <c r="U259" s="2" t="s">
        <v>29</v>
      </c>
      <c r="V259" s="2" t="n">
        <v>1</v>
      </c>
    </row>
    <row r="260">
      <c r="A260" s="2" t="n">
        <v>259</v>
      </c>
      <c r="B260" s="2" t="s">
        <v>19859</v>
      </c>
      <c r="C260" s="2" t="n">
        <v>261.104008576</v>
      </c>
      <c r="D260" s="2" t="n">
        <v>0.579558181334453</v>
      </c>
      <c r="E260" s="2" t="s">
        <v>19860</v>
      </c>
      <c r="F260" s="2" t="s">
        <v>17406</v>
      </c>
      <c r="G260" s="2" t="s">
        <v>19861</v>
      </c>
      <c r="H260" s="2" t="s">
        <v>19862</v>
      </c>
      <c r="I260" s="2" t="s">
        <v>19863</v>
      </c>
      <c r="J260" s="2" t="s">
        <v>19864</v>
      </c>
      <c r="K260" s="2" t="s">
        <v>29</v>
      </c>
      <c r="L260" s="2" t="s">
        <v>29</v>
      </c>
      <c r="M260" s="2" t="s">
        <v>29</v>
      </c>
      <c r="N260" s="2" t="s">
        <v>19865</v>
      </c>
      <c r="O260" s="2" t="s">
        <v>19866</v>
      </c>
      <c r="P260" s="2" t="s">
        <v>19867</v>
      </c>
      <c r="Q260" s="2" t="s">
        <v>19868</v>
      </c>
      <c r="R260" s="2" t="s">
        <v>501</v>
      </c>
      <c r="S260" s="2" t="s">
        <v>502</v>
      </c>
      <c r="T260" s="2" t="s">
        <v>3612</v>
      </c>
      <c r="U260" s="2" t="s">
        <v>56</v>
      </c>
      <c r="V260" s="2" t="n">
        <v>1</v>
      </c>
    </row>
    <row r="261">
      <c r="A261" s="2" t="n">
        <v>260</v>
      </c>
      <c r="B261" s="2" t="s">
        <v>19869</v>
      </c>
      <c r="C261" s="2" t="n">
        <v>261.127327892</v>
      </c>
      <c r="D261" s="2" t="n">
        <v>1.36561895649877</v>
      </c>
      <c r="E261" s="2" t="s">
        <v>19870</v>
      </c>
      <c r="F261" s="2" t="s">
        <v>17039</v>
      </c>
      <c r="G261" s="2" t="s">
        <v>19871</v>
      </c>
      <c r="H261" s="2" t="s">
        <v>19872</v>
      </c>
      <c r="I261" s="2" t="s">
        <v>19873</v>
      </c>
      <c r="J261" s="2" t="s">
        <v>19874</v>
      </c>
      <c r="K261" s="2" t="s">
        <v>29</v>
      </c>
      <c r="L261" s="2" t="s">
        <v>19875</v>
      </c>
      <c r="M261" s="2" t="s">
        <v>19876</v>
      </c>
      <c r="N261" s="2" t="s">
        <v>19877</v>
      </c>
      <c r="O261" s="2" t="s">
        <v>19878</v>
      </c>
      <c r="P261" s="2" t="s">
        <v>19879</v>
      </c>
      <c r="Q261" s="2" t="s">
        <v>19880</v>
      </c>
      <c r="R261" s="2" t="s">
        <v>36</v>
      </c>
      <c r="S261" s="2" t="s">
        <v>37</v>
      </c>
      <c r="T261" s="2" t="s">
        <v>69</v>
      </c>
      <c r="U261" s="2" t="s">
        <v>56</v>
      </c>
      <c r="V261" s="2" t="n">
        <v>1</v>
      </c>
    </row>
    <row r="262">
      <c r="A262" s="2" t="n">
        <v>261</v>
      </c>
      <c r="B262" s="2" t="s">
        <v>19881</v>
      </c>
      <c r="C262" s="2" t="n">
        <v>261.927960505</v>
      </c>
      <c r="D262" s="2" t="n">
        <v>0.0132067181724911</v>
      </c>
      <c r="E262" s="2" t="s">
        <v>19882</v>
      </c>
      <c r="F262" s="2" t="s">
        <v>17520</v>
      </c>
      <c r="G262" s="2" t="s">
        <v>19883</v>
      </c>
      <c r="H262" s="2" t="s">
        <v>19884</v>
      </c>
      <c r="I262" s="2" t="s">
        <v>19885</v>
      </c>
      <c r="J262" s="2" t="s">
        <v>19886</v>
      </c>
      <c r="K262" s="2" t="s">
        <v>91</v>
      </c>
      <c r="L262" s="2" t="s">
        <v>19887</v>
      </c>
      <c r="M262" s="2" t="s">
        <v>19888</v>
      </c>
      <c r="N262" s="2" t="s">
        <v>19889</v>
      </c>
      <c r="O262" s="2" t="s">
        <v>19890</v>
      </c>
      <c r="P262" s="2" t="s">
        <v>19891</v>
      </c>
      <c r="Q262" s="2" t="s">
        <v>19892</v>
      </c>
      <c r="R262" s="2" t="s">
        <v>144</v>
      </c>
      <c r="S262" s="2" t="s">
        <v>145</v>
      </c>
      <c r="T262" s="2" t="s">
        <v>146</v>
      </c>
      <c r="U262" s="2" t="s">
        <v>56</v>
      </c>
      <c r="V262" s="2" t="n">
        <v>2</v>
      </c>
    </row>
    <row r="263">
      <c r="A263" s="2" t="n">
        <v>262</v>
      </c>
      <c r="B263" s="2" t="s">
        <v>19893</v>
      </c>
      <c r="C263" s="2" t="n">
        <v>262.128513788</v>
      </c>
      <c r="D263" s="2" t="n">
        <v>16.8773657121158</v>
      </c>
      <c r="E263" s="2" t="s">
        <v>19894</v>
      </c>
      <c r="F263" s="2" t="s">
        <v>17117</v>
      </c>
      <c r="G263" s="2" t="s">
        <v>19895</v>
      </c>
      <c r="H263" s="2" t="s">
        <v>19896</v>
      </c>
      <c r="I263" s="2" t="s">
        <v>19897</v>
      </c>
      <c r="J263" s="2" t="s">
        <v>29</v>
      </c>
      <c r="K263" s="2" t="s">
        <v>29</v>
      </c>
      <c r="L263" s="2" t="s">
        <v>29</v>
      </c>
      <c r="M263" s="2" t="s">
        <v>29</v>
      </c>
      <c r="N263" s="2" t="s">
        <v>29</v>
      </c>
      <c r="O263" s="2" t="s">
        <v>19898</v>
      </c>
      <c r="P263" s="2" t="s">
        <v>19899</v>
      </c>
      <c r="Q263" s="2" t="s">
        <v>19900</v>
      </c>
      <c r="R263" s="2" t="s">
        <v>794</v>
      </c>
      <c r="S263" s="2" t="s">
        <v>795</v>
      </c>
      <c r="T263" s="2" t="s">
        <v>1870</v>
      </c>
      <c r="U263" s="2" t="s">
        <v>56</v>
      </c>
      <c r="V263" s="2" t="n">
        <v>1</v>
      </c>
    </row>
    <row r="264">
      <c r="A264" s="2" t="n">
        <v>263</v>
      </c>
      <c r="B264" s="2" t="s">
        <v>19901</v>
      </c>
      <c r="C264" s="2" t="n">
        <v>263.06031096</v>
      </c>
      <c r="D264" s="2" t="n">
        <v>2.59271526379735</v>
      </c>
      <c r="E264" s="2" t="s">
        <v>19902</v>
      </c>
      <c r="F264" s="2" t="s">
        <v>17039</v>
      </c>
      <c r="G264" s="2" t="s">
        <v>19903</v>
      </c>
      <c r="H264" s="2" t="s">
        <v>19904</v>
      </c>
      <c r="I264" s="2" t="s">
        <v>19905</v>
      </c>
      <c r="J264" s="2" t="s">
        <v>19906</v>
      </c>
      <c r="K264" s="2" t="s">
        <v>29</v>
      </c>
      <c r="L264" s="2" t="s">
        <v>19907</v>
      </c>
      <c r="M264" s="2" t="s">
        <v>19908</v>
      </c>
      <c r="N264" s="2" t="s">
        <v>19909</v>
      </c>
      <c r="O264" s="2" t="s">
        <v>19910</v>
      </c>
      <c r="P264" s="2" t="s">
        <v>19911</v>
      </c>
      <c r="Q264" s="2" t="s">
        <v>19912</v>
      </c>
      <c r="R264" s="2" t="s">
        <v>186</v>
      </c>
      <c r="S264" s="2" t="s">
        <v>187</v>
      </c>
      <c r="T264" s="2" t="s">
        <v>3996</v>
      </c>
      <c r="U264" s="2" t="s">
        <v>56</v>
      </c>
      <c r="V264" s="2" t="n">
        <v>1</v>
      </c>
    </row>
    <row r="265">
      <c r="A265" s="2" t="n">
        <v>264</v>
      </c>
      <c r="B265" s="2" t="s">
        <v>19913</v>
      </c>
      <c r="C265" s="2" t="n">
        <v>263.085463078</v>
      </c>
      <c r="D265" s="2" t="n">
        <v>3.96798890227838</v>
      </c>
      <c r="E265" s="2" t="s">
        <v>19914</v>
      </c>
      <c r="F265" s="2" t="s">
        <v>17039</v>
      </c>
      <c r="G265" s="2" t="s">
        <v>19915</v>
      </c>
      <c r="H265" s="2" t="s">
        <v>19916</v>
      </c>
      <c r="I265" s="2" t="s">
        <v>19917</v>
      </c>
      <c r="J265" s="2" t="s">
        <v>29</v>
      </c>
      <c r="K265" s="2" t="s">
        <v>29</v>
      </c>
      <c r="L265" s="2" t="s">
        <v>29</v>
      </c>
      <c r="M265" s="2" t="s">
        <v>29</v>
      </c>
      <c r="N265" s="2" t="s">
        <v>19918</v>
      </c>
      <c r="O265" s="2" t="s">
        <v>29</v>
      </c>
      <c r="P265" s="2" t="s">
        <v>19919</v>
      </c>
      <c r="Q265" s="2" t="s">
        <v>19920</v>
      </c>
      <c r="R265" s="2" t="s">
        <v>186</v>
      </c>
      <c r="S265" s="2" t="s">
        <v>911</v>
      </c>
      <c r="T265" s="2" t="s">
        <v>215</v>
      </c>
      <c r="U265" s="2" t="s">
        <v>56</v>
      </c>
      <c r="V265" s="2" t="n">
        <v>1</v>
      </c>
    </row>
    <row r="266">
      <c r="A266" s="2" t="n">
        <v>265</v>
      </c>
      <c r="B266" s="2" t="s">
        <v>19921</v>
      </c>
      <c r="C266" s="2" t="n">
        <v>265.026152186</v>
      </c>
      <c r="D266" s="2" t="n">
        <v>4.09779860339217</v>
      </c>
      <c r="E266" s="2" t="s">
        <v>19922</v>
      </c>
      <c r="F266" s="2" t="s">
        <v>17406</v>
      </c>
      <c r="G266" s="2" t="s">
        <v>19923</v>
      </c>
      <c r="H266" s="2" t="s">
        <v>19924</v>
      </c>
      <c r="I266" s="2" t="s">
        <v>19925</v>
      </c>
      <c r="J266" s="2" t="s">
        <v>19926</v>
      </c>
      <c r="K266" s="2" t="s">
        <v>91</v>
      </c>
      <c r="L266" s="2" t="s">
        <v>91</v>
      </c>
      <c r="M266" s="2" t="s">
        <v>91</v>
      </c>
      <c r="N266" s="2" t="s">
        <v>19927</v>
      </c>
      <c r="O266" s="2" t="s">
        <v>19928</v>
      </c>
      <c r="P266" s="2" t="s">
        <v>19929</v>
      </c>
      <c r="Q266" s="2" t="s">
        <v>19930</v>
      </c>
      <c r="R266" s="2" t="s">
        <v>19931</v>
      </c>
      <c r="S266" s="2" t="s">
        <v>19932</v>
      </c>
      <c r="T266" s="2" t="s">
        <v>19933</v>
      </c>
      <c r="U266" s="2" t="s">
        <v>56</v>
      </c>
      <c r="V266" s="2" t="n">
        <v>2</v>
      </c>
    </row>
    <row r="267">
      <c r="A267" s="2" t="n">
        <v>266</v>
      </c>
      <c r="B267" s="2" t="s">
        <v>19934</v>
      </c>
      <c r="C267" s="2" t="n">
        <v>265.066381884</v>
      </c>
      <c r="D267" s="2" t="n">
        <v>1.11808254331177</v>
      </c>
      <c r="E267" s="2" t="s">
        <v>19935</v>
      </c>
      <c r="F267" s="2" t="s">
        <v>17039</v>
      </c>
      <c r="G267" s="2" t="s">
        <v>19936</v>
      </c>
      <c r="H267" s="2" t="s">
        <v>19937</v>
      </c>
      <c r="I267" s="2" t="s">
        <v>19938</v>
      </c>
      <c r="J267" s="2" t="s">
        <v>19939</v>
      </c>
      <c r="K267" s="2" t="s">
        <v>29</v>
      </c>
      <c r="L267" s="2" t="s">
        <v>29</v>
      </c>
      <c r="M267" s="2" t="s">
        <v>29</v>
      </c>
      <c r="N267" s="2" t="s">
        <v>19940</v>
      </c>
      <c r="O267" s="2" t="s">
        <v>29</v>
      </c>
      <c r="P267" s="2" t="s">
        <v>19941</v>
      </c>
      <c r="Q267" s="2" t="s">
        <v>19942</v>
      </c>
      <c r="R267" s="2" t="s">
        <v>36</v>
      </c>
      <c r="S267" s="2" t="s">
        <v>19943</v>
      </c>
      <c r="T267" s="2" t="s">
        <v>19944</v>
      </c>
      <c r="U267" s="2" t="s">
        <v>29</v>
      </c>
      <c r="V267" s="2" t="n">
        <v>1</v>
      </c>
    </row>
    <row r="268">
      <c r="A268" s="2" t="n">
        <v>267</v>
      </c>
      <c r="B268" s="2" t="s">
        <v>19945</v>
      </c>
      <c r="C268" s="2" t="n">
        <v>266.053763919</v>
      </c>
      <c r="D268" s="2" t="n">
        <v>5.90427614869411</v>
      </c>
      <c r="E268" s="2" t="s">
        <v>19946</v>
      </c>
      <c r="F268" s="2" t="s">
        <v>17406</v>
      </c>
      <c r="G268" s="2" t="s">
        <v>19947</v>
      </c>
      <c r="H268" s="2" t="s">
        <v>19948</v>
      </c>
      <c r="I268" s="2" t="s">
        <v>19949</v>
      </c>
      <c r="J268" s="2" t="s">
        <v>19950</v>
      </c>
      <c r="K268" s="2" t="s">
        <v>29</v>
      </c>
      <c r="L268" s="2" t="s">
        <v>19951</v>
      </c>
      <c r="M268" s="2" t="s">
        <v>19952</v>
      </c>
      <c r="N268" s="2" t="s">
        <v>19953</v>
      </c>
      <c r="O268" s="2" t="s">
        <v>19954</v>
      </c>
      <c r="P268" s="2" t="s">
        <v>19955</v>
      </c>
      <c r="Q268" s="2" t="s">
        <v>19956</v>
      </c>
      <c r="R268" s="2" t="s">
        <v>2416</v>
      </c>
      <c r="S268" s="2" t="s">
        <v>2417</v>
      </c>
      <c r="T268" s="2" t="s">
        <v>2848</v>
      </c>
      <c r="U268" s="2" t="s">
        <v>56</v>
      </c>
      <c r="V268" s="2" t="n">
        <v>1</v>
      </c>
    </row>
    <row r="269">
      <c r="A269" s="2" t="n">
        <v>268</v>
      </c>
      <c r="B269" s="2" t="s">
        <v>19957</v>
      </c>
      <c r="C269" s="2" t="n">
        <v>267.058754126</v>
      </c>
      <c r="D269" s="2" t="n">
        <v>1.93828845372127</v>
      </c>
      <c r="E269" s="2" t="s">
        <v>19958</v>
      </c>
      <c r="F269" s="2" t="s">
        <v>17198</v>
      </c>
      <c r="G269" s="2" t="s">
        <v>19959</v>
      </c>
      <c r="H269" s="2" t="s">
        <v>19960</v>
      </c>
      <c r="I269" s="2" t="s">
        <v>19961</v>
      </c>
      <c r="J269" s="2" t="s">
        <v>19962</v>
      </c>
      <c r="K269" s="2" t="s">
        <v>29</v>
      </c>
      <c r="L269" s="2" t="s">
        <v>19963</v>
      </c>
      <c r="M269" s="2" t="s">
        <v>19964</v>
      </c>
      <c r="N269" s="2" t="s">
        <v>19965</v>
      </c>
      <c r="O269" s="2" t="s">
        <v>19966</v>
      </c>
      <c r="P269" s="2" t="s">
        <v>19967</v>
      </c>
      <c r="Q269" s="2" t="s">
        <v>19968</v>
      </c>
      <c r="R269" s="2" t="s">
        <v>2416</v>
      </c>
      <c r="S269" s="2" t="s">
        <v>2417</v>
      </c>
      <c r="T269" s="2" t="s">
        <v>215</v>
      </c>
      <c r="U269" s="2" t="s">
        <v>39</v>
      </c>
      <c r="V269" s="2" t="n">
        <v>1</v>
      </c>
    </row>
    <row r="270">
      <c r="A270" s="2" t="n">
        <v>269</v>
      </c>
      <c r="B270" s="2" t="s">
        <v>19969</v>
      </c>
      <c r="C270" s="2" t="n">
        <v>268.052307358</v>
      </c>
      <c r="D270" s="2" t="n">
        <v>4.79944580757347</v>
      </c>
      <c r="E270" s="2" t="s">
        <v>19970</v>
      </c>
      <c r="F270" s="2" t="s">
        <v>17406</v>
      </c>
      <c r="G270" s="2" t="s">
        <v>19971</v>
      </c>
      <c r="H270" s="2" t="s">
        <v>19972</v>
      </c>
      <c r="I270" s="2" t="s">
        <v>19973</v>
      </c>
      <c r="J270" s="2" t="s">
        <v>29</v>
      </c>
      <c r="K270" s="2" t="s">
        <v>29</v>
      </c>
      <c r="L270" s="2" t="s">
        <v>29</v>
      </c>
      <c r="M270" s="2" t="s">
        <v>29</v>
      </c>
      <c r="N270" s="2" t="s">
        <v>19974</v>
      </c>
      <c r="O270" s="2" t="s">
        <v>29</v>
      </c>
      <c r="P270" s="2" t="s">
        <v>19975</v>
      </c>
      <c r="Q270" s="2" t="s">
        <v>19976</v>
      </c>
      <c r="R270" s="2" t="s">
        <v>114</v>
      </c>
      <c r="S270" s="2" t="s">
        <v>2057</v>
      </c>
      <c r="T270" s="2" t="s">
        <v>3067</v>
      </c>
      <c r="U270" s="2" t="s">
        <v>29</v>
      </c>
      <c r="V270" s="2" t="n">
        <v>1</v>
      </c>
    </row>
    <row r="271">
      <c r="A271" s="2" t="n">
        <v>270</v>
      </c>
      <c r="B271" s="2" t="s">
        <v>19977</v>
      </c>
      <c r="C271" s="2" t="n">
        <v>268.104029929</v>
      </c>
      <c r="D271" s="2" t="n">
        <v>3.80031229289617</v>
      </c>
      <c r="E271" s="2" t="s">
        <v>19978</v>
      </c>
      <c r="F271" s="2" t="s">
        <v>17137</v>
      </c>
      <c r="G271" s="2" t="s">
        <v>19979</v>
      </c>
      <c r="H271" s="2" t="s">
        <v>19980</v>
      </c>
      <c r="I271" s="2" t="s">
        <v>19981</v>
      </c>
      <c r="J271" s="2" t="s">
        <v>19982</v>
      </c>
      <c r="K271" s="2" t="s">
        <v>91</v>
      </c>
      <c r="L271" s="2" t="s">
        <v>19983</v>
      </c>
      <c r="M271" s="2" t="s">
        <v>19984</v>
      </c>
      <c r="N271" s="2" t="s">
        <v>19985</v>
      </c>
      <c r="O271" s="2" t="s">
        <v>19986</v>
      </c>
      <c r="P271" s="2" t="s">
        <v>19987</v>
      </c>
      <c r="Q271" s="2" t="s">
        <v>19988</v>
      </c>
      <c r="R271" s="2" t="s">
        <v>3638</v>
      </c>
      <c r="S271" s="2" t="s">
        <v>19989</v>
      </c>
      <c r="T271" s="2" t="s">
        <v>19990</v>
      </c>
      <c r="U271" s="2" t="s">
        <v>39</v>
      </c>
      <c r="V271" s="2" t="n">
        <v>2</v>
      </c>
    </row>
    <row r="272">
      <c r="A272" s="2" t="n">
        <v>271</v>
      </c>
      <c r="B272" s="2" t="s">
        <v>19991</v>
      </c>
      <c r="C272" s="2" t="n">
        <v>269.110789688</v>
      </c>
      <c r="D272" s="2" t="n">
        <v>2.55550605775146</v>
      </c>
      <c r="E272" s="2" t="s">
        <v>19992</v>
      </c>
      <c r="F272" s="2" t="s">
        <v>17198</v>
      </c>
      <c r="G272" s="2" t="s">
        <v>19993</v>
      </c>
      <c r="H272" s="2" t="s">
        <v>19994</v>
      </c>
      <c r="I272" s="2" t="s">
        <v>19995</v>
      </c>
      <c r="J272" s="2" t="s">
        <v>19996</v>
      </c>
      <c r="K272" s="2" t="s">
        <v>195</v>
      </c>
      <c r="L272" s="2" t="s">
        <v>195</v>
      </c>
      <c r="M272" s="2" t="s">
        <v>19997</v>
      </c>
      <c r="N272" s="2" t="s">
        <v>19998</v>
      </c>
      <c r="O272" s="2" t="s">
        <v>19999</v>
      </c>
      <c r="P272" s="2" t="s">
        <v>20000</v>
      </c>
      <c r="Q272" s="2" t="s">
        <v>20001</v>
      </c>
      <c r="R272" s="2" t="s">
        <v>1558</v>
      </c>
      <c r="S272" s="2" t="s">
        <v>1844</v>
      </c>
      <c r="T272" s="2" t="s">
        <v>1845</v>
      </c>
      <c r="U272" s="2" t="s">
        <v>39</v>
      </c>
      <c r="V272" s="2" t="n">
        <v>3</v>
      </c>
    </row>
    <row r="273">
      <c r="A273" s="2" t="n">
        <v>272</v>
      </c>
      <c r="B273" s="2" t="s">
        <v>20002</v>
      </c>
      <c r="C273" s="2" t="n">
        <v>270.279140747</v>
      </c>
      <c r="D273" s="2" t="n">
        <v>13.682616555958</v>
      </c>
      <c r="E273" s="2" t="s">
        <v>20003</v>
      </c>
      <c r="F273" s="2" t="s">
        <v>17137</v>
      </c>
      <c r="G273" s="2" t="s">
        <v>20004</v>
      </c>
      <c r="H273" s="2" t="s">
        <v>20005</v>
      </c>
      <c r="I273" s="2" t="s">
        <v>20006</v>
      </c>
      <c r="J273" s="2" t="s">
        <v>20007</v>
      </c>
      <c r="K273" s="2" t="s">
        <v>29</v>
      </c>
      <c r="L273" s="2" t="s">
        <v>20008</v>
      </c>
      <c r="M273" s="2" t="s">
        <v>29</v>
      </c>
      <c r="N273" s="2" t="s">
        <v>20009</v>
      </c>
      <c r="O273" s="2" t="s">
        <v>20010</v>
      </c>
      <c r="P273" s="2" t="s">
        <v>20011</v>
      </c>
      <c r="Q273" s="2" t="s">
        <v>20012</v>
      </c>
      <c r="R273" s="2" t="s">
        <v>36</v>
      </c>
      <c r="S273" s="2" t="s">
        <v>37</v>
      </c>
      <c r="T273" s="2" t="s">
        <v>1217</v>
      </c>
      <c r="U273" s="2" t="s">
        <v>56</v>
      </c>
      <c r="V273" s="2" t="n">
        <v>1</v>
      </c>
    </row>
    <row r="274">
      <c r="A274" s="2" t="n">
        <v>273</v>
      </c>
      <c r="B274" s="2" t="s">
        <v>20013</v>
      </c>
      <c r="C274" s="2" t="n">
        <v>271.13287044</v>
      </c>
      <c r="D274" s="2" t="n">
        <v>1.84675645484854</v>
      </c>
      <c r="E274" s="2" t="s">
        <v>20014</v>
      </c>
      <c r="F274" s="2" t="s">
        <v>17137</v>
      </c>
      <c r="G274" s="2" t="s">
        <v>20015</v>
      </c>
      <c r="H274" s="2" t="s">
        <v>20016</v>
      </c>
      <c r="I274" s="2" t="s">
        <v>20017</v>
      </c>
      <c r="J274" s="2" t="s">
        <v>20018</v>
      </c>
      <c r="K274" s="2" t="s">
        <v>91</v>
      </c>
      <c r="L274" s="2" t="s">
        <v>91</v>
      </c>
      <c r="M274" s="2" t="s">
        <v>91</v>
      </c>
      <c r="N274" s="2" t="s">
        <v>20019</v>
      </c>
      <c r="O274" s="2" t="s">
        <v>20020</v>
      </c>
      <c r="P274" s="2" t="s">
        <v>20021</v>
      </c>
      <c r="Q274" s="2" t="s">
        <v>20022</v>
      </c>
      <c r="R274" s="2" t="s">
        <v>7198</v>
      </c>
      <c r="S274" s="2" t="s">
        <v>20023</v>
      </c>
      <c r="T274" s="2" t="s">
        <v>543</v>
      </c>
      <c r="U274" s="2" t="s">
        <v>29</v>
      </c>
      <c r="V274" s="2" t="n">
        <v>2</v>
      </c>
    </row>
    <row r="275">
      <c r="A275" s="2" t="n">
        <v>274</v>
      </c>
      <c r="B275" s="2" t="s">
        <v>20024</v>
      </c>
      <c r="C275" s="2" t="n">
        <v>272.186222973</v>
      </c>
      <c r="D275" s="2" t="n">
        <v>8.36238411352396</v>
      </c>
      <c r="E275" s="2" t="s">
        <v>20025</v>
      </c>
      <c r="F275" s="2" t="s">
        <v>17039</v>
      </c>
      <c r="G275" s="2" t="s">
        <v>20026</v>
      </c>
      <c r="H275" s="2" t="s">
        <v>20027</v>
      </c>
      <c r="I275" s="2" t="s">
        <v>20028</v>
      </c>
      <c r="J275" s="2" t="s">
        <v>195</v>
      </c>
      <c r="K275" s="2" t="s">
        <v>195</v>
      </c>
      <c r="L275" s="2" t="s">
        <v>195</v>
      </c>
      <c r="M275" s="2" t="s">
        <v>20029</v>
      </c>
      <c r="N275" s="2" t="s">
        <v>20030</v>
      </c>
      <c r="O275" s="2" t="s">
        <v>195</v>
      </c>
      <c r="P275" s="2" t="s">
        <v>20031</v>
      </c>
      <c r="Q275" s="2" t="s">
        <v>20032</v>
      </c>
      <c r="R275" s="2" t="s">
        <v>255</v>
      </c>
      <c r="S275" s="2" t="s">
        <v>256</v>
      </c>
      <c r="T275" s="2" t="s">
        <v>668</v>
      </c>
      <c r="U275" s="2" t="s">
        <v>29</v>
      </c>
      <c r="V275" s="2" t="n">
        <v>3</v>
      </c>
    </row>
    <row r="276">
      <c r="A276" s="2" t="n">
        <v>275</v>
      </c>
      <c r="B276" s="2" t="s">
        <v>20033</v>
      </c>
      <c r="C276" s="2" t="n">
        <v>273.119934328</v>
      </c>
      <c r="D276" s="2" t="n">
        <v>6.57309655073455</v>
      </c>
      <c r="E276" s="2" t="s">
        <v>20034</v>
      </c>
      <c r="F276" s="2" t="s">
        <v>17039</v>
      </c>
      <c r="G276" s="2" t="s">
        <v>20035</v>
      </c>
      <c r="H276" s="2" t="s">
        <v>20036</v>
      </c>
      <c r="I276" s="2" t="s">
        <v>20037</v>
      </c>
      <c r="J276" s="2" t="s">
        <v>20038</v>
      </c>
      <c r="K276" s="2" t="s">
        <v>29</v>
      </c>
      <c r="L276" s="2" t="s">
        <v>20039</v>
      </c>
      <c r="M276" s="2" t="s">
        <v>20040</v>
      </c>
      <c r="N276" s="2" t="s">
        <v>20041</v>
      </c>
      <c r="O276" s="2" t="s">
        <v>20042</v>
      </c>
      <c r="P276" s="2" t="s">
        <v>20043</v>
      </c>
      <c r="Q276" s="2" t="s">
        <v>20044</v>
      </c>
      <c r="R276" s="2" t="s">
        <v>36</v>
      </c>
      <c r="S276" s="2" t="s">
        <v>37</v>
      </c>
      <c r="T276" s="2" t="s">
        <v>69</v>
      </c>
      <c r="U276" s="2" t="s">
        <v>56</v>
      </c>
      <c r="V276" s="2" t="n">
        <v>1</v>
      </c>
    </row>
    <row r="277">
      <c r="A277" s="2" t="n">
        <v>276</v>
      </c>
      <c r="B277" s="2" t="s">
        <v>20045</v>
      </c>
      <c r="C277" s="2" t="n">
        <v>273.170238564</v>
      </c>
      <c r="D277" s="2" t="n">
        <v>1.55167560155462</v>
      </c>
      <c r="E277" s="2" t="s">
        <v>20046</v>
      </c>
      <c r="F277" s="2" t="s">
        <v>17039</v>
      </c>
      <c r="G277" s="2" t="s">
        <v>20047</v>
      </c>
      <c r="H277" s="2" t="s">
        <v>20048</v>
      </c>
      <c r="I277" s="2" t="s">
        <v>20049</v>
      </c>
      <c r="J277" s="2" t="s">
        <v>20050</v>
      </c>
      <c r="K277" s="2" t="s">
        <v>29</v>
      </c>
      <c r="L277" s="2" t="s">
        <v>29</v>
      </c>
      <c r="M277" s="2" t="s">
        <v>20051</v>
      </c>
      <c r="N277" s="2" t="s">
        <v>20052</v>
      </c>
      <c r="O277" s="2" t="s">
        <v>20053</v>
      </c>
      <c r="P277" s="2" t="s">
        <v>20054</v>
      </c>
      <c r="Q277" s="2" t="s">
        <v>20055</v>
      </c>
      <c r="R277" s="2" t="s">
        <v>794</v>
      </c>
      <c r="S277" s="2" t="s">
        <v>795</v>
      </c>
      <c r="T277" s="2" t="s">
        <v>8424</v>
      </c>
      <c r="U277" s="2" t="s">
        <v>39</v>
      </c>
      <c r="V277" s="2" t="n">
        <v>1</v>
      </c>
    </row>
    <row r="278">
      <c r="A278" s="2" t="n">
        <v>277</v>
      </c>
      <c r="B278" s="2" t="s">
        <v>20056</v>
      </c>
      <c r="C278" s="2" t="n">
        <v>274.06293234</v>
      </c>
      <c r="D278" s="2" t="n">
        <v>0.838533281337773</v>
      </c>
      <c r="E278" s="2" t="s">
        <v>20057</v>
      </c>
      <c r="F278" s="2" t="s">
        <v>17137</v>
      </c>
      <c r="G278" s="2" t="s">
        <v>20058</v>
      </c>
      <c r="H278" s="2" t="s">
        <v>20059</v>
      </c>
      <c r="I278" s="2" t="s">
        <v>20060</v>
      </c>
      <c r="J278" s="2" t="s">
        <v>20061</v>
      </c>
      <c r="K278" s="2" t="s">
        <v>29</v>
      </c>
      <c r="L278" s="2" t="s">
        <v>20062</v>
      </c>
      <c r="M278" s="2" t="s">
        <v>20063</v>
      </c>
      <c r="N278" s="2" t="s">
        <v>20064</v>
      </c>
      <c r="O278" s="2" t="s">
        <v>20065</v>
      </c>
      <c r="P278" s="2" t="s">
        <v>20066</v>
      </c>
      <c r="Q278" s="2" t="s">
        <v>20067</v>
      </c>
      <c r="R278" s="2" t="s">
        <v>114</v>
      </c>
      <c r="S278" s="2" t="s">
        <v>994</v>
      </c>
      <c r="T278" s="2" t="s">
        <v>3328</v>
      </c>
      <c r="U278" s="2" t="s">
        <v>101</v>
      </c>
      <c r="V278" s="2" t="n">
        <v>1</v>
      </c>
    </row>
    <row r="279">
      <c r="A279" s="2" t="n">
        <v>278</v>
      </c>
      <c r="B279" s="2" t="s">
        <v>20068</v>
      </c>
      <c r="C279" s="2" t="n">
        <v>275.118580302</v>
      </c>
      <c r="D279" s="2" t="n">
        <v>2.22804963273915</v>
      </c>
      <c r="E279" s="2" t="s">
        <v>20069</v>
      </c>
      <c r="F279" s="2" t="s">
        <v>17137</v>
      </c>
      <c r="G279" s="2" t="s">
        <v>20070</v>
      </c>
      <c r="H279" s="2" t="s">
        <v>20071</v>
      </c>
      <c r="I279" s="2" t="s">
        <v>20072</v>
      </c>
      <c r="J279" s="2" t="s">
        <v>29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29</v>
      </c>
      <c r="P279" s="2" t="s">
        <v>20073</v>
      </c>
      <c r="Q279" s="2" t="s">
        <v>20074</v>
      </c>
      <c r="R279" s="2" t="s">
        <v>36</v>
      </c>
      <c r="S279" s="2" t="s">
        <v>37</v>
      </c>
      <c r="T279" s="2" t="s">
        <v>69</v>
      </c>
      <c r="U279" s="2" t="s">
        <v>29</v>
      </c>
      <c r="V279" s="2" t="n">
        <v>1</v>
      </c>
    </row>
    <row r="280">
      <c r="A280" s="2" t="n">
        <v>279</v>
      </c>
      <c r="B280" s="2" t="s">
        <v>20075</v>
      </c>
      <c r="C280" s="2" t="n">
        <v>275.147843904</v>
      </c>
      <c r="D280" s="2" t="n">
        <v>3.7397502619208</v>
      </c>
      <c r="E280" s="2" t="s">
        <v>20076</v>
      </c>
      <c r="F280" s="2" t="s">
        <v>17198</v>
      </c>
      <c r="G280" s="2" t="s">
        <v>20077</v>
      </c>
      <c r="H280" s="2" t="s">
        <v>20078</v>
      </c>
      <c r="I280" s="2" t="s">
        <v>20079</v>
      </c>
      <c r="J280" s="2" t="s">
        <v>20080</v>
      </c>
      <c r="K280" s="2" t="s">
        <v>29</v>
      </c>
      <c r="L280" s="2" t="s">
        <v>20081</v>
      </c>
      <c r="M280" s="2" t="s">
        <v>29</v>
      </c>
      <c r="N280" s="2" t="s">
        <v>20082</v>
      </c>
      <c r="O280" s="2" t="s">
        <v>20083</v>
      </c>
      <c r="P280" s="2" t="s">
        <v>20084</v>
      </c>
      <c r="Q280" s="2" t="s">
        <v>20085</v>
      </c>
      <c r="R280" s="2" t="s">
        <v>601</v>
      </c>
      <c r="S280" s="2" t="s">
        <v>602</v>
      </c>
      <c r="T280" s="2" t="s">
        <v>1800</v>
      </c>
      <c r="U280" s="2" t="s">
        <v>101</v>
      </c>
      <c r="V280" s="2" t="n">
        <v>1</v>
      </c>
    </row>
    <row r="281">
      <c r="A281" s="2" t="n">
        <v>280</v>
      </c>
      <c r="B281" s="2" t="s">
        <v>20086</v>
      </c>
      <c r="C281" s="2" t="n">
        <v>275.999216</v>
      </c>
      <c r="D281" s="2" t="n">
        <v>0.805429700752581</v>
      </c>
      <c r="E281" s="2" t="s">
        <v>20087</v>
      </c>
      <c r="F281" s="2" t="s">
        <v>17137</v>
      </c>
      <c r="G281" s="2" t="s">
        <v>20088</v>
      </c>
      <c r="H281" s="2" t="s">
        <v>20089</v>
      </c>
      <c r="I281" s="2" t="s">
        <v>20090</v>
      </c>
      <c r="J281" s="2" t="s">
        <v>20091</v>
      </c>
      <c r="K281" s="2" t="s">
        <v>91</v>
      </c>
      <c r="L281" s="2" t="s">
        <v>91</v>
      </c>
      <c r="M281" s="2" t="s">
        <v>91</v>
      </c>
      <c r="N281" s="2" t="s">
        <v>20092</v>
      </c>
      <c r="O281" s="2" t="s">
        <v>91</v>
      </c>
      <c r="P281" s="2" t="s">
        <v>20093</v>
      </c>
      <c r="Q281" s="2" t="s">
        <v>20094</v>
      </c>
      <c r="R281" s="2" t="s">
        <v>770</v>
      </c>
      <c r="S281" s="2" t="s">
        <v>771</v>
      </c>
      <c r="T281" s="2" t="s">
        <v>20095</v>
      </c>
      <c r="U281" s="2" t="s">
        <v>29</v>
      </c>
      <c r="V281" s="2" t="n">
        <v>2</v>
      </c>
    </row>
    <row r="282">
      <c r="A282" s="2" t="n">
        <v>281</v>
      </c>
      <c r="B282" s="2" t="s">
        <v>20096</v>
      </c>
      <c r="C282" s="2" t="n">
        <v>277.107049615</v>
      </c>
      <c r="D282" s="2" t="n">
        <v>1.37161537347954</v>
      </c>
      <c r="E282" s="2" t="s">
        <v>20097</v>
      </c>
      <c r="F282" s="2" t="s">
        <v>17137</v>
      </c>
      <c r="G282" s="2" t="s">
        <v>20098</v>
      </c>
      <c r="H282" s="2" t="s">
        <v>20099</v>
      </c>
      <c r="I282" s="2" t="s">
        <v>20100</v>
      </c>
      <c r="J282" s="2" t="s">
        <v>91</v>
      </c>
      <c r="K282" s="2" t="s">
        <v>91</v>
      </c>
      <c r="L282" s="2" t="s">
        <v>20101</v>
      </c>
      <c r="M282" s="2" t="s">
        <v>20102</v>
      </c>
      <c r="N282" s="2" t="s">
        <v>20103</v>
      </c>
      <c r="O282" s="2" t="s">
        <v>20104</v>
      </c>
      <c r="P282" s="2" t="s">
        <v>20105</v>
      </c>
      <c r="Q282" s="2" t="s">
        <v>20106</v>
      </c>
      <c r="R282" s="2" t="s">
        <v>19931</v>
      </c>
      <c r="S282" s="2" t="s">
        <v>20107</v>
      </c>
      <c r="T282" s="2" t="s">
        <v>20108</v>
      </c>
      <c r="U282" s="2" t="s">
        <v>56</v>
      </c>
      <c r="V282" s="2" t="n">
        <v>2</v>
      </c>
    </row>
    <row r="283">
      <c r="A283" s="2" t="n">
        <v>282</v>
      </c>
      <c r="B283" s="2" t="s">
        <v>20109</v>
      </c>
      <c r="C283" s="2" t="n">
        <v>277.167516716</v>
      </c>
      <c r="D283" s="2" t="n">
        <v>1.38588873543422</v>
      </c>
      <c r="E283" s="2" t="s">
        <v>20110</v>
      </c>
      <c r="F283" s="2" t="s">
        <v>17198</v>
      </c>
      <c r="G283" s="2" t="s">
        <v>20111</v>
      </c>
      <c r="H283" s="2" t="s">
        <v>20112</v>
      </c>
      <c r="I283" s="2" t="s">
        <v>20113</v>
      </c>
      <c r="J283" s="2" t="s">
        <v>29</v>
      </c>
      <c r="K283" s="2" t="s">
        <v>29</v>
      </c>
      <c r="L283" s="2" t="s">
        <v>29</v>
      </c>
      <c r="M283" s="2" t="s">
        <v>29</v>
      </c>
      <c r="N283" s="2" t="s">
        <v>29</v>
      </c>
      <c r="O283" s="2" t="s">
        <v>20114</v>
      </c>
      <c r="P283" s="2" t="s">
        <v>20115</v>
      </c>
      <c r="Q283" s="2" t="s">
        <v>20116</v>
      </c>
      <c r="R283" s="2" t="s">
        <v>186</v>
      </c>
      <c r="S283" s="2" t="s">
        <v>187</v>
      </c>
      <c r="T283" s="2" t="s">
        <v>20117</v>
      </c>
      <c r="U283" s="2" t="s">
        <v>56</v>
      </c>
      <c r="V283" s="2" t="n">
        <v>1</v>
      </c>
    </row>
    <row r="284">
      <c r="A284" s="2" t="n">
        <v>283</v>
      </c>
      <c r="B284" s="2" t="s">
        <v>20118</v>
      </c>
      <c r="C284" s="2" t="n">
        <v>279.043992194</v>
      </c>
      <c r="D284" s="2" t="n">
        <v>1.44646822847316</v>
      </c>
      <c r="E284" s="2" t="s">
        <v>20119</v>
      </c>
      <c r="F284" s="2" t="s">
        <v>17039</v>
      </c>
      <c r="G284" s="2" t="s">
        <v>20120</v>
      </c>
      <c r="H284" s="2" t="s">
        <v>20121</v>
      </c>
      <c r="I284" s="2" t="s">
        <v>20122</v>
      </c>
      <c r="J284" s="2" t="s">
        <v>29</v>
      </c>
      <c r="K284" s="2" t="s">
        <v>29</v>
      </c>
      <c r="L284" s="2" t="s">
        <v>29</v>
      </c>
      <c r="M284" s="2" t="s">
        <v>29</v>
      </c>
      <c r="N284" s="2" t="s">
        <v>20123</v>
      </c>
      <c r="O284" s="2" t="s">
        <v>29</v>
      </c>
      <c r="P284" s="2" t="s">
        <v>20124</v>
      </c>
      <c r="Q284" s="2" t="s">
        <v>20125</v>
      </c>
      <c r="R284" s="2" t="s">
        <v>114</v>
      </c>
      <c r="S284" s="2" t="s">
        <v>5831</v>
      </c>
      <c r="T284" s="2" t="s">
        <v>215</v>
      </c>
      <c r="U284" s="2" t="s">
        <v>29</v>
      </c>
      <c r="V284" s="2" t="n">
        <v>1</v>
      </c>
    </row>
    <row r="285">
      <c r="A285" s="2" t="n">
        <v>284</v>
      </c>
      <c r="B285" s="2" t="s">
        <v>20126</v>
      </c>
      <c r="C285" s="2" t="n">
        <v>279.156677256</v>
      </c>
      <c r="D285" s="2" t="n">
        <v>15.9019778035012</v>
      </c>
      <c r="E285" s="2" t="s">
        <v>20127</v>
      </c>
      <c r="F285" s="2" t="s">
        <v>17198</v>
      </c>
      <c r="G285" s="2" t="s">
        <v>20128</v>
      </c>
      <c r="H285" s="2" t="s">
        <v>20129</v>
      </c>
      <c r="I285" s="2" t="s">
        <v>20130</v>
      </c>
      <c r="J285" s="2" t="s">
        <v>20131</v>
      </c>
      <c r="K285" s="2" t="s">
        <v>29</v>
      </c>
      <c r="L285" s="2" t="s">
        <v>29</v>
      </c>
      <c r="M285" s="2" t="s">
        <v>20132</v>
      </c>
      <c r="N285" s="2" t="s">
        <v>20133</v>
      </c>
      <c r="O285" s="2" t="s">
        <v>29</v>
      </c>
      <c r="P285" s="2" t="s">
        <v>20134</v>
      </c>
      <c r="Q285" s="2" t="s">
        <v>20135</v>
      </c>
      <c r="R285" s="2" t="s">
        <v>114</v>
      </c>
      <c r="S285" s="2" t="s">
        <v>1646</v>
      </c>
      <c r="T285" s="2" t="s">
        <v>1647</v>
      </c>
      <c r="U285" s="2" t="s">
        <v>56</v>
      </c>
      <c r="V285" s="2" t="n">
        <v>1</v>
      </c>
    </row>
    <row r="286">
      <c r="A286" s="2" t="n">
        <v>285</v>
      </c>
      <c r="B286" s="2" t="s">
        <v>20136</v>
      </c>
      <c r="C286" s="2" t="n">
        <v>280.145026864</v>
      </c>
      <c r="D286" s="2" t="n">
        <v>1.10009839387788</v>
      </c>
      <c r="E286" s="2" t="s">
        <v>20137</v>
      </c>
      <c r="F286" s="2" t="s">
        <v>17039</v>
      </c>
      <c r="G286" s="2" t="s">
        <v>20138</v>
      </c>
      <c r="H286" s="2" t="s">
        <v>20139</v>
      </c>
      <c r="I286" s="2" t="s">
        <v>20140</v>
      </c>
      <c r="J286" s="2" t="s">
        <v>29</v>
      </c>
      <c r="K286" s="2" t="s">
        <v>29</v>
      </c>
      <c r="L286" s="2" t="s">
        <v>29</v>
      </c>
      <c r="M286" s="2" t="s">
        <v>29</v>
      </c>
      <c r="N286" s="2" t="s">
        <v>20141</v>
      </c>
      <c r="O286" s="2" t="s">
        <v>29</v>
      </c>
      <c r="P286" s="2" t="s">
        <v>20142</v>
      </c>
      <c r="Q286" s="2" t="s">
        <v>20143</v>
      </c>
      <c r="R286" s="2" t="s">
        <v>36</v>
      </c>
      <c r="S286" s="2" t="s">
        <v>37</v>
      </c>
      <c r="T286" s="2" t="s">
        <v>69</v>
      </c>
      <c r="U286" s="2" t="s">
        <v>29</v>
      </c>
      <c r="V286" s="2" t="n">
        <v>1</v>
      </c>
    </row>
    <row r="287">
      <c r="A287" s="2" t="n">
        <v>286</v>
      </c>
      <c r="B287" s="2" t="s">
        <v>20144</v>
      </c>
      <c r="C287" s="2" t="n">
        <v>281.051915699</v>
      </c>
      <c r="D287" s="2" t="n">
        <v>2.39860673454829</v>
      </c>
      <c r="E287" s="2" t="s">
        <v>20145</v>
      </c>
      <c r="F287" s="2" t="s">
        <v>17198</v>
      </c>
      <c r="G287" s="2" t="s">
        <v>20146</v>
      </c>
      <c r="H287" s="2" t="s">
        <v>20147</v>
      </c>
      <c r="I287" s="2" t="s">
        <v>20148</v>
      </c>
      <c r="J287" s="2" t="s">
        <v>29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29</v>
      </c>
      <c r="P287" s="2" t="s">
        <v>20149</v>
      </c>
      <c r="Q287" s="2" t="s">
        <v>20150</v>
      </c>
      <c r="R287" s="2" t="s">
        <v>114</v>
      </c>
      <c r="S287" s="2" t="s">
        <v>4262</v>
      </c>
      <c r="T287" s="2" t="s">
        <v>215</v>
      </c>
      <c r="U287" s="2" t="s">
        <v>29</v>
      </c>
      <c r="V287" s="2" t="n">
        <v>1</v>
      </c>
    </row>
    <row r="288">
      <c r="A288" s="2" t="n">
        <v>287</v>
      </c>
      <c r="B288" s="2" t="s">
        <v>20151</v>
      </c>
      <c r="C288" s="2" t="n">
        <v>281.110789696</v>
      </c>
      <c r="D288" s="2" t="n">
        <v>3.42499653419511</v>
      </c>
      <c r="E288" s="2" t="s">
        <v>20152</v>
      </c>
      <c r="F288" s="2" t="s">
        <v>17198</v>
      </c>
      <c r="G288" s="2" t="s">
        <v>20153</v>
      </c>
      <c r="H288" s="2" t="s">
        <v>20154</v>
      </c>
      <c r="I288" s="2" t="s">
        <v>20155</v>
      </c>
      <c r="J288" s="2" t="s">
        <v>20156</v>
      </c>
      <c r="K288" s="2" t="s">
        <v>91</v>
      </c>
      <c r="L288" s="2" t="s">
        <v>91</v>
      </c>
      <c r="M288" s="2" t="s">
        <v>20157</v>
      </c>
      <c r="N288" s="2" t="s">
        <v>20158</v>
      </c>
      <c r="O288" s="2" t="s">
        <v>20159</v>
      </c>
      <c r="P288" s="2" t="s">
        <v>20160</v>
      </c>
      <c r="Q288" s="2" t="s">
        <v>20161</v>
      </c>
      <c r="R288" s="2" t="s">
        <v>144</v>
      </c>
      <c r="S288" s="2" t="s">
        <v>145</v>
      </c>
      <c r="T288" s="2" t="s">
        <v>146</v>
      </c>
      <c r="U288" s="2" t="s">
        <v>56</v>
      </c>
      <c r="V288" s="2" t="n">
        <v>2</v>
      </c>
    </row>
    <row r="289">
      <c r="A289" s="2" t="n">
        <v>288</v>
      </c>
      <c r="B289" s="2" t="s">
        <v>20162</v>
      </c>
      <c r="C289" s="2" t="n">
        <v>282.050353648</v>
      </c>
      <c r="D289" s="2" t="n">
        <v>2.21772909657535</v>
      </c>
      <c r="E289" s="2" t="s">
        <v>20163</v>
      </c>
      <c r="F289" s="2" t="s">
        <v>17198</v>
      </c>
      <c r="G289" s="2" t="s">
        <v>20164</v>
      </c>
      <c r="H289" s="2" t="s">
        <v>20165</v>
      </c>
      <c r="I289" s="2" t="s">
        <v>20166</v>
      </c>
      <c r="J289" s="2" t="s">
        <v>20167</v>
      </c>
      <c r="K289" s="2" t="s">
        <v>29</v>
      </c>
      <c r="L289" s="2" t="s">
        <v>20168</v>
      </c>
      <c r="M289" s="2" t="s">
        <v>29</v>
      </c>
      <c r="N289" s="2" t="s">
        <v>20169</v>
      </c>
      <c r="O289" s="2" t="s">
        <v>20170</v>
      </c>
      <c r="P289" s="2" t="s">
        <v>20171</v>
      </c>
      <c r="Q289" s="2" t="s">
        <v>20172</v>
      </c>
      <c r="R289" s="2" t="s">
        <v>186</v>
      </c>
      <c r="S289" s="2" t="s">
        <v>187</v>
      </c>
      <c r="T289" s="2" t="s">
        <v>2781</v>
      </c>
      <c r="U289" s="2" t="s">
        <v>101</v>
      </c>
      <c r="V289" s="2" t="n">
        <v>1</v>
      </c>
    </row>
    <row r="290">
      <c r="A290" s="2" t="n">
        <v>289</v>
      </c>
      <c r="B290" s="2" t="s">
        <v>20173</v>
      </c>
      <c r="C290" s="2" t="n">
        <v>282.149443543</v>
      </c>
      <c r="D290" s="2" t="n">
        <v>1.89074939800936</v>
      </c>
      <c r="E290" s="2" t="s">
        <v>20174</v>
      </c>
      <c r="F290" s="2" t="s">
        <v>17039</v>
      </c>
      <c r="G290" s="2" t="s">
        <v>20175</v>
      </c>
      <c r="H290" s="2" t="s">
        <v>20176</v>
      </c>
      <c r="I290" s="2" t="s">
        <v>20177</v>
      </c>
      <c r="J290" s="2" t="s">
        <v>20178</v>
      </c>
      <c r="K290" s="2" t="s">
        <v>91</v>
      </c>
      <c r="L290" s="2" t="s">
        <v>20179</v>
      </c>
      <c r="M290" s="2" t="s">
        <v>20180</v>
      </c>
      <c r="N290" s="2" t="s">
        <v>20181</v>
      </c>
      <c r="O290" s="2" t="s">
        <v>20182</v>
      </c>
      <c r="P290" s="2" t="s">
        <v>20183</v>
      </c>
      <c r="Q290" s="2" t="s">
        <v>20184</v>
      </c>
      <c r="R290" s="2" t="s">
        <v>20185</v>
      </c>
      <c r="S290" s="2" t="s">
        <v>20186</v>
      </c>
      <c r="T290" s="2" t="s">
        <v>543</v>
      </c>
      <c r="U290" s="2" t="s">
        <v>56</v>
      </c>
      <c r="V290" s="2" t="n">
        <v>2</v>
      </c>
    </row>
    <row r="291">
      <c r="A291" s="2" t="n">
        <v>290</v>
      </c>
      <c r="B291" s="2" t="s">
        <v>20187</v>
      </c>
      <c r="C291" s="2" t="n">
        <v>282.279729433</v>
      </c>
      <c r="D291" s="2" t="n">
        <v>7.65382856376034</v>
      </c>
      <c r="E291" s="2" t="s">
        <v>20188</v>
      </c>
      <c r="F291" s="2" t="s">
        <v>17039</v>
      </c>
      <c r="G291" s="2" t="s">
        <v>20189</v>
      </c>
      <c r="H291" s="2" t="s">
        <v>20190</v>
      </c>
      <c r="I291" s="2" t="s">
        <v>20191</v>
      </c>
      <c r="J291" s="2" t="s">
        <v>29</v>
      </c>
      <c r="K291" s="2" t="s">
        <v>20192</v>
      </c>
      <c r="L291" s="2" t="s">
        <v>20193</v>
      </c>
      <c r="M291" s="2" t="s">
        <v>20194</v>
      </c>
      <c r="N291" s="2" t="s">
        <v>20195</v>
      </c>
      <c r="O291" s="2" t="s">
        <v>20196</v>
      </c>
      <c r="P291" s="2" t="s">
        <v>20197</v>
      </c>
      <c r="Q291" s="2" t="s">
        <v>20198</v>
      </c>
      <c r="R291" s="2" t="s">
        <v>601</v>
      </c>
      <c r="S291" s="2" t="s">
        <v>602</v>
      </c>
      <c r="T291" s="2" t="s">
        <v>1800</v>
      </c>
      <c r="U291" s="2" t="s">
        <v>39</v>
      </c>
      <c r="V291" s="2" t="n">
        <v>1</v>
      </c>
    </row>
    <row r="292">
      <c r="A292" s="2" t="n">
        <v>291</v>
      </c>
      <c r="B292" s="2" t="s">
        <v>20199</v>
      </c>
      <c r="C292" s="2" t="n">
        <v>283.130462506</v>
      </c>
      <c r="D292" s="2" t="n">
        <v>3.08869567421126</v>
      </c>
      <c r="E292" s="2" t="s">
        <v>20200</v>
      </c>
      <c r="F292" s="2" t="s">
        <v>17198</v>
      </c>
      <c r="G292" s="2" t="s">
        <v>20201</v>
      </c>
      <c r="H292" s="2" t="s">
        <v>20202</v>
      </c>
      <c r="I292" s="2" t="s">
        <v>20203</v>
      </c>
      <c r="J292" s="2" t="s">
        <v>29</v>
      </c>
      <c r="K292" s="2" t="s">
        <v>29</v>
      </c>
      <c r="L292" s="2" t="s">
        <v>20204</v>
      </c>
      <c r="M292" s="2" t="s">
        <v>20205</v>
      </c>
      <c r="N292" s="2" t="s">
        <v>20206</v>
      </c>
      <c r="O292" s="2" t="s">
        <v>20207</v>
      </c>
      <c r="P292" s="2" t="s">
        <v>20208</v>
      </c>
      <c r="Q292" s="2" t="s">
        <v>20209</v>
      </c>
      <c r="R292" s="2" t="s">
        <v>794</v>
      </c>
      <c r="S292" s="2" t="s">
        <v>1098</v>
      </c>
      <c r="T292" s="2" t="s">
        <v>3079</v>
      </c>
      <c r="U292" s="2" t="s">
        <v>56</v>
      </c>
      <c r="V292" s="2" t="n">
        <v>1</v>
      </c>
    </row>
    <row r="293">
      <c r="A293" s="2" t="n">
        <v>292</v>
      </c>
      <c r="B293" s="2" t="s">
        <v>20210</v>
      </c>
      <c r="C293" s="2" t="n">
        <v>284.136944867</v>
      </c>
      <c r="D293" s="2" t="n">
        <v>2.37614500890207</v>
      </c>
      <c r="E293" s="2" t="s">
        <v>20211</v>
      </c>
      <c r="F293" s="2" t="s">
        <v>17198</v>
      </c>
      <c r="G293" s="2" t="s">
        <v>20212</v>
      </c>
      <c r="H293" s="2" t="s">
        <v>20213</v>
      </c>
      <c r="I293" s="2" t="s">
        <v>20214</v>
      </c>
      <c r="J293" s="2" t="s">
        <v>29</v>
      </c>
      <c r="K293" s="2" t="s">
        <v>29</v>
      </c>
      <c r="L293" s="2" t="s">
        <v>29</v>
      </c>
      <c r="M293" s="2" t="s">
        <v>29</v>
      </c>
      <c r="N293" s="2" t="s">
        <v>20215</v>
      </c>
      <c r="O293" s="2" t="s">
        <v>29</v>
      </c>
      <c r="P293" s="2" t="s">
        <v>20216</v>
      </c>
      <c r="Q293" s="2" t="s">
        <v>20217</v>
      </c>
      <c r="R293" s="2" t="s">
        <v>114</v>
      </c>
      <c r="S293" s="2" t="s">
        <v>994</v>
      </c>
      <c r="T293" s="2" t="s">
        <v>3328</v>
      </c>
      <c r="U293" s="2" t="s">
        <v>56</v>
      </c>
      <c r="V293" s="2" t="n">
        <v>1</v>
      </c>
    </row>
    <row r="294">
      <c r="A294" s="2" t="n">
        <v>293</v>
      </c>
      <c r="B294" s="2" t="s">
        <v>20218</v>
      </c>
      <c r="C294" s="2" t="n">
        <v>285.055678488</v>
      </c>
      <c r="D294" s="2" t="n">
        <v>2.36282409182303</v>
      </c>
      <c r="E294" s="2" t="s">
        <v>20219</v>
      </c>
      <c r="F294" s="2" t="s">
        <v>17970</v>
      </c>
      <c r="G294" s="2" t="s">
        <v>20220</v>
      </c>
      <c r="H294" s="2" t="s">
        <v>20221</v>
      </c>
      <c r="I294" s="2" t="s">
        <v>20222</v>
      </c>
      <c r="J294" s="2" t="s">
        <v>29</v>
      </c>
      <c r="K294" s="2" t="s">
        <v>29</v>
      </c>
      <c r="L294" s="2" t="s">
        <v>29</v>
      </c>
      <c r="M294" s="2" t="s">
        <v>20223</v>
      </c>
      <c r="N294" s="2" t="s">
        <v>20224</v>
      </c>
      <c r="O294" s="2" t="s">
        <v>29</v>
      </c>
      <c r="P294" s="2" t="s">
        <v>20225</v>
      </c>
      <c r="Q294" s="2" t="s">
        <v>20226</v>
      </c>
      <c r="R294" s="2" t="s">
        <v>129</v>
      </c>
      <c r="S294" s="2" t="s">
        <v>130</v>
      </c>
      <c r="T294" s="2" t="s">
        <v>1681</v>
      </c>
      <c r="U294" s="2" t="s">
        <v>56</v>
      </c>
      <c r="V294" s="2" t="n">
        <v>1</v>
      </c>
    </row>
    <row r="295">
      <c r="A295" s="2" t="n">
        <v>294</v>
      </c>
      <c r="B295" s="2" t="s">
        <v>20227</v>
      </c>
      <c r="C295" s="2" t="n">
        <v>285.135190456</v>
      </c>
      <c r="D295" s="2" t="n">
        <v>0.220748793992251</v>
      </c>
      <c r="E295" s="2" t="s">
        <v>20228</v>
      </c>
      <c r="F295" s="2" t="s">
        <v>17039</v>
      </c>
      <c r="G295" s="2" t="s">
        <v>20229</v>
      </c>
      <c r="H295" s="2" t="s">
        <v>20230</v>
      </c>
      <c r="I295" s="2" t="s">
        <v>20231</v>
      </c>
      <c r="J295" s="2" t="s">
        <v>20232</v>
      </c>
      <c r="K295" s="2" t="s">
        <v>29</v>
      </c>
      <c r="L295" s="2" t="s">
        <v>29</v>
      </c>
      <c r="M295" s="2" t="s">
        <v>20233</v>
      </c>
      <c r="N295" s="2" t="s">
        <v>20234</v>
      </c>
      <c r="O295" s="2" t="s">
        <v>20235</v>
      </c>
      <c r="P295" s="2" t="s">
        <v>20236</v>
      </c>
      <c r="Q295" s="2" t="s">
        <v>20237</v>
      </c>
      <c r="R295" s="2" t="s">
        <v>36</v>
      </c>
      <c r="S295" s="2" t="s">
        <v>37</v>
      </c>
      <c r="T295" s="2" t="s">
        <v>69</v>
      </c>
      <c r="U295" s="2" t="s">
        <v>56</v>
      </c>
      <c r="V295" s="2" t="n">
        <v>1</v>
      </c>
    </row>
    <row r="296">
      <c r="A296" s="2" t="n">
        <v>295</v>
      </c>
      <c r="B296" s="2" t="s">
        <v>20238</v>
      </c>
      <c r="C296" s="2" t="n">
        <v>285.185494697</v>
      </c>
      <c r="D296" s="2" t="n">
        <v>0.139014237906698</v>
      </c>
      <c r="E296" s="2" t="s">
        <v>20239</v>
      </c>
      <c r="F296" s="2" t="s">
        <v>17039</v>
      </c>
      <c r="G296" s="2" t="s">
        <v>20240</v>
      </c>
      <c r="H296" s="2" t="s">
        <v>20241</v>
      </c>
      <c r="I296" s="2" t="s">
        <v>20242</v>
      </c>
      <c r="J296" s="2" t="s">
        <v>29</v>
      </c>
      <c r="K296" s="2" t="s">
        <v>29</v>
      </c>
      <c r="L296" s="2" t="s">
        <v>29</v>
      </c>
      <c r="M296" s="2" t="s">
        <v>29</v>
      </c>
      <c r="N296" s="2" t="s">
        <v>20243</v>
      </c>
      <c r="O296" s="2" t="s">
        <v>29</v>
      </c>
      <c r="P296" s="2" t="s">
        <v>20244</v>
      </c>
      <c r="Q296" s="2" t="s">
        <v>20245</v>
      </c>
      <c r="R296" s="2" t="s">
        <v>794</v>
      </c>
      <c r="S296" s="2" t="s">
        <v>2971</v>
      </c>
      <c r="T296" s="2" t="s">
        <v>3921</v>
      </c>
      <c r="U296" s="2" t="s">
        <v>39</v>
      </c>
      <c r="V296" s="2" t="n">
        <v>1</v>
      </c>
    </row>
    <row r="297">
      <c r="A297" s="2" t="n">
        <v>296</v>
      </c>
      <c r="B297" s="2" t="s">
        <v>20246</v>
      </c>
      <c r="C297" s="2" t="n">
        <v>286.8918962</v>
      </c>
      <c r="D297" s="2" t="n">
        <v>5.59746795548518</v>
      </c>
      <c r="E297" s="2" t="s">
        <v>20247</v>
      </c>
      <c r="F297" s="2" t="s">
        <v>17970</v>
      </c>
      <c r="G297" s="2" t="s">
        <v>20248</v>
      </c>
      <c r="H297" s="2" t="s">
        <v>20249</v>
      </c>
      <c r="I297" s="2" t="s">
        <v>20250</v>
      </c>
      <c r="J297" s="2" t="s">
        <v>20251</v>
      </c>
      <c r="K297" s="2" t="s">
        <v>29</v>
      </c>
      <c r="L297" s="2" t="s">
        <v>29</v>
      </c>
      <c r="M297" s="2" t="s">
        <v>29</v>
      </c>
      <c r="N297" s="2" t="s">
        <v>20252</v>
      </c>
      <c r="O297" s="2" t="s">
        <v>29</v>
      </c>
      <c r="P297" s="2" t="s">
        <v>20253</v>
      </c>
      <c r="Q297" s="2" t="s">
        <v>20254</v>
      </c>
      <c r="R297" s="2" t="s">
        <v>186</v>
      </c>
      <c r="S297" s="2" t="s">
        <v>187</v>
      </c>
      <c r="T297" s="2" t="s">
        <v>1950</v>
      </c>
      <c r="U297" s="2" t="s">
        <v>29</v>
      </c>
      <c r="V297" s="2" t="n">
        <v>1</v>
      </c>
    </row>
    <row r="298">
      <c r="A298" s="2" t="n">
        <v>297</v>
      </c>
      <c r="B298" s="2" t="s">
        <v>20255</v>
      </c>
      <c r="C298" s="2" t="n">
        <v>286.9904167</v>
      </c>
      <c r="D298" s="2" t="n">
        <v>3.97503278922762</v>
      </c>
      <c r="E298" s="2" t="s">
        <v>20256</v>
      </c>
      <c r="F298" s="2" t="s">
        <v>17137</v>
      </c>
      <c r="G298" s="2" t="s">
        <v>20257</v>
      </c>
      <c r="H298" s="2" t="s">
        <v>20258</v>
      </c>
      <c r="I298" s="2" t="s">
        <v>20259</v>
      </c>
      <c r="J298" s="2" t="s">
        <v>20260</v>
      </c>
      <c r="K298" s="2" t="s">
        <v>29</v>
      </c>
      <c r="L298" s="2" t="s">
        <v>29</v>
      </c>
      <c r="M298" s="2" t="s">
        <v>29</v>
      </c>
      <c r="N298" s="2" t="s">
        <v>20261</v>
      </c>
      <c r="O298" s="2" t="s">
        <v>29</v>
      </c>
      <c r="P298" s="2" t="s">
        <v>20262</v>
      </c>
      <c r="Q298" s="2" t="s">
        <v>20263</v>
      </c>
      <c r="R298" s="2" t="s">
        <v>794</v>
      </c>
      <c r="S298" s="2" t="s">
        <v>795</v>
      </c>
      <c r="T298" s="2" t="s">
        <v>1870</v>
      </c>
      <c r="U298" s="2" t="s">
        <v>29</v>
      </c>
      <c r="V298" s="2" t="n">
        <v>1</v>
      </c>
    </row>
    <row r="299">
      <c r="A299" s="2" t="n">
        <v>298</v>
      </c>
      <c r="B299" s="2" t="s">
        <v>20264</v>
      </c>
      <c r="C299" s="2" t="n">
        <v>287.161485228</v>
      </c>
      <c r="D299" s="2" t="n">
        <v>0.455665198141144</v>
      </c>
      <c r="E299" s="2" t="s">
        <v>20265</v>
      </c>
      <c r="F299" s="2" t="s">
        <v>17137</v>
      </c>
      <c r="G299" s="2" t="s">
        <v>20266</v>
      </c>
      <c r="H299" s="2" t="s">
        <v>20267</v>
      </c>
      <c r="I299" s="2" t="s">
        <v>20268</v>
      </c>
      <c r="J299" s="2" t="s">
        <v>20269</v>
      </c>
      <c r="K299" s="2" t="s">
        <v>29</v>
      </c>
      <c r="L299" s="2" t="s">
        <v>20270</v>
      </c>
      <c r="M299" s="2" t="s">
        <v>20271</v>
      </c>
      <c r="N299" s="2" t="s">
        <v>20272</v>
      </c>
      <c r="O299" s="2" t="s">
        <v>20273</v>
      </c>
      <c r="P299" s="2" t="s">
        <v>20274</v>
      </c>
      <c r="Q299" s="2" t="s">
        <v>20275</v>
      </c>
      <c r="R299" s="2" t="s">
        <v>2416</v>
      </c>
      <c r="S299" s="2" t="s">
        <v>19564</v>
      </c>
      <c r="T299" s="2" t="s">
        <v>19565</v>
      </c>
      <c r="U299" s="2" t="s">
        <v>56</v>
      </c>
      <c r="V299" s="2" t="n">
        <v>1</v>
      </c>
    </row>
    <row r="300">
      <c r="A300" s="2" t="n">
        <v>299</v>
      </c>
      <c r="B300" s="2" t="s">
        <v>20276</v>
      </c>
      <c r="C300" s="2" t="n">
        <v>287.23212671</v>
      </c>
      <c r="D300" s="2" t="n">
        <v>18.0266261849896</v>
      </c>
      <c r="E300" s="2" t="s">
        <v>20277</v>
      </c>
      <c r="F300" s="2" t="s">
        <v>17970</v>
      </c>
      <c r="G300" s="2" t="s">
        <v>20278</v>
      </c>
      <c r="H300" s="2" t="s">
        <v>20279</v>
      </c>
      <c r="I300" s="2" t="s">
        <v>20280</v>
      </c>
      <c r="J300" s="2" t="s">
        <v>20281</v>
      </c>
      <c r="K300" s="2" t="s">
        <v>20282</v>
      </c>
      <c r="L300" s="2" t="s">
        <v>20283</v>
      </c>
      <c r="M300" s="2" t="s">
        <v>20284</v>
      </c>
      <c r="N300" s="2" t="s">
        <v>20285</v>
      </c>
      <c r="O300" s="2" t="s">
        <v>20286</v>
      </c>
      <c r="P300" s="2" t="s">
        <v>20287</v>
      </c>
      <c r="Q300" s="2" t="s">
        <v>20288</v>
      </c>
      <c r="R300" s="2" t="s">
        <v>794</v>
      </c>
      <c r="S300" s="2" t="s">
        <v>795</v>
      </c>
      <c r="T300" s="2" t="s">
        <v>3273</v>
      </c>
      <c r="U300" s="2" t="s">
        <v>101</v>
      </c>
      <c r="V300" s="2" t="n">
        <v>1</v>
      </c>
    </row>
    <row r="301">
      <c r="A301" s="2" t="n">
        <v>300</v>
      </c>
      <c r="B301" s="2" t="s">
        <v>20289</v>
      </c>
      <c r="C301" s="2" t="n">
        <v>288.160008225</v>
      </c>
      <c r="D301" s="2" t="n">
        <v>4.35646325723909</v>
      </c>
      <c r="E301" s="2" t="s">
        <v>20290</v>
      </c>
      <c r="F301" s="2" t="s">
        <v>17039</v>
      </c>
      <c r="G301" s="2" t="s">
        <v>20291</v>
      </c>
      <c r="H301" s="2" t="s">
        <v>20292</v>
      </c>
      <c r="I301" s="2" t="s">
        <v>20293</v>
      </c>
      <c r="J301" s="2" t="s">
        <v>20294</v>
      </c>
      <c r="K301" s="2" t="s">
        <v>29</v>
      </c>
      <c r="L301" s="2" t="s">
        <v>20295</v>
      </c>
      <c r="M301" s="2" t="s">
        <v>20296</v>
      </c>
      <c r="N301" s="2" t="s">
        <v>20297</v>
      </c>
      <c r="O301" s="2" t="s">
        <v>20298</v>
      </c>
      <c r="P301" s="2" t="s">
        <v>20299</v>
      </c>
      <c r="Q301" s="2" t="s">
        <v>20300</v>
      </c>
      <c r="R301" s="2" t="s">
        <v>1355</v>
      </c>
      <c r="S301" s="2" t="s">
        <v>1356</v>
      </c>
      <c r="T301" s="2" t="s">
        <v>215</v>
      </c>
      <c r="U301" s="2" t="s">
        <v>101</v>
      </c>
      <c r="V301" s="2" t="n">
        <v>1</v>
      </c>
    </row>
    <row r="302">
      <c r="A302" s="2" t="n">
        <v>301</v>
      </c>
      <c r="B302" s="2" t="s">
        <v>20301</v>
      </c>
      <c r="C302" s="2" t="n">
        <v>289.13749913</v>
      </c>
      <c r="D302" s="2" t="n">
        <v>5.1877346627823</v>
      </c>
      <c r="E302" s="2" t="s">
        <v>20302</v>
      </c>
      <c r="F302" s="2" t="s">
        <v>17039</v>
      </c>
      <c r="G302" s="2" t="s">
        <v>20303</v>
      </c>
      <c r="H302" s="2" t="s">
        <v>20304</v>
      </c>
      <c r="I302" s="2" t="s">
        <v>20305</v>
      </c>
      <c r="J302" s="2" t="s">
        <v>29</v>
      </c>
      <c r="K302" s="2" t="s">
        <v>29</v>
      </c>
      <c r="L302" s="2" t="s">
        <v>29</v>
      </c>
      <c r="M302" s="2" t="s">
        <v>29</v>
      </c>
      <c r="N302" s="2" t="s">
        <v>20306</v>
      </c>
      <c r="O302" s="2" t="s">
        <v>29</v>
      </c>
      <c r="P302" s="2" t="s">
        <v>20307</v>
      </c>
      <c r="Q302" s="2" t="s">
        <v>20308</v>
      </c>
      <c r="R302" s="2" t="s">
        <v>186</v>
      </c>
      <c r="S302" s="2" t="s">
        <v>4086</v>
      </c>
      <c r="T302" s="2" t="s">
        <v>4087</v>
      </c>
      <c r="U302" s="2" t="s">
        <v>29</v>
      </c>
      <c r="V302" s="2" t="n">
        <v>1</v>
      </c>
    </row>
    <row r="303">
      <c r="A303" s="2" t="n">
        <v>302</v>
      </c>
      <c r="B303" s="2" t="s">
        <v>20309</v>
      </c>
      <c r="C303" s="2" t="n">
        <v>291.06865011</v>
      </c>
      <c r="D303" s="2" t="n">
        <v>1.20156467683348</v>
      </c>
      <c r="E303" s="2" t="s">
        <v>20310</v>
      </c>
      <c r="F303" s="2" t="s">
        <v>17198</v>
      </c>
      <c r="G303" s="2" t="s">
        <v>20311</v>
      </c>
      <c r="H303" s="2" t="s">
        <v>20312</v>
      </c>
      <c r="I303" s="2" t="s">
        <v>20313</v>
      </c>
      <c r="J303" s="2" t="s">
        <v>20314</v>
      </c>
      <c r="K303" s="2" t="s">
        <v>29</v>
      </c>
      <c r="L303" s="2" t="s">
        <v>29</v>
      </c>
      <c r="M303" s="2" t="s">
        <v>29</v>
      </c>
      <c r="N303" s="2" t="s">
        <v>20315</v>
      </c>
      <c r="O303" s="2" t="s">
        <v>20316</v>
      </c>
      <c r="P303" s="2" t="s">
        <v>20317</v>
      </c>
      <c r="Q303" s="2" t="s">
        <v>20318</v>
      </c>
      <c r="R303" s="2" t="s">
        <v>129</v>
      </c>
      <c r="S303" s="2" t="s">
        <v>130</v>
      </c>
      <c r="T303" s="2" t="s">
        <v>1681</v>
      </c>
      <c r="U303" s="2" t="s">
        <v>56</v>
      </c>
      <c r="V303" s="2" t="n">
        <v>1</v>
      </c>
    </row>
    <row r="304">
      <c r="A304" s="2" t="n">
        <v>303</v>
      </c>
      <c r="B304" s="2" t="s">
        <v>20319</v>
      </c>
      <c r="C304" s="2" t="n">
        <v>291.149777894</v>
      </c>
      <c r="D304" s="2" t="n">
        <v>6.4402452894106</v>
      </c>
      <c r="E304" s="2" t="s">
        <v>20320</v>
      </c>
      <c r="F304" s="2" t="s">
        <v>17039</v>
      </c>
      <c r="G304" s="2" t="s">
        <v>20321</v>
      </c>
      <c r="H304" s="2" t="s">
        <v>20322</v>
      </c>
      <c r="I304" s="2" t="s">
        <v>20323</v>
      </c>
      <c r="J304" s="2" t="s">
        <v>20324</v>
      </c>
      <c r="K304" s="2" t="s">
        <v>29</v>
      </c>
      <c r="L304" s="2" t="s">
        <v>20325</v>
      </c>
      <c r="M304" s="2" t="s">
        <v>20326</v>
      </c>
      <c r="N304" s="2" t="s">
        <v>20327</v>
      </c>
      <c r="O304" s="2" t="s">
        <v>20328</v>
      </c>
      <c r="P304" s="2" t="s">
        <v>20329</v>
      </c>
      <c r="Q304" s="2" t="s">
        <v>20330</v>
      </c>
      <c r="R304" s="2" t="s">
        <v>186</v>
      </c>
      <c r="S304" s="2" t="s">
        <v>187</v>
      </c>
      <c r="T304" s="2" t="s">
        <v>215</v>
      </c>
      <c r="U304" s="2" t="s">
        <v>56</v>
      </c>
      <c r="V304" s="2" t="n">
        <v>1</v>
      </c>
    </row>
    <row r="305">
      <c r="A305" s="2" t="n">
        <v>304</v>
      </c>
      <c r="B305" s="2" t="s">
        <v>20331</v>
      </c>
      <c r="C305" s="2" t="n">
        <v>291.974910697</v>
      </c>
      <c r="D305" s="2" t="n">
        <v>2.52203310399502</v>
      </c>
      <c r="E305" s="2" t="s">
        <v>20332</v>
      </c>
      <c r="F305" s="2" t="s">
        <v>17520</v>
      </c>
      <c r="G305" s="2" t="s">
        <v>20333</v>
      </c>
      <c r="H305" s="2" t="s">
        <v>20334</v>
      </c>
      <c r="I305" s="2" t="s">
        <v>20335</v>
      </c>
      <c r="J305" s="2" t="s">
        <v>20336</v>
      </c>
      <c r="K305" s="2" t="s">
        <v>29</v>
      </c>
      <c r="L305" s="2" t="s">
        <v>29</v>
      </c>
      <c r="M305" s="2" t="s">
        <v>20337</v>
      </c>
      <c r="N305" s="2" t="s">
        <v>20338</v>
      </c>
      <c r="O305" s="2" t="s">
        <v>29</v>
      </c>
      <c r="P305" s="2" t="s">
        <v>20339</v>
      </c>
      <c r="Q305" s="2" t="s">
        <v>20340</v>
      </c>
      <c r="R305" s="2" t="s">
        <v>794</v>
      </c>
      <c r="S305" s="2" t="s">
        <v>7122</v>
      </c>
      <c r="T305" s="2" t="s">
        <v>8042</v>
      </c>
      <c r="U305" s="2" t="s">
        <v>39</v>
      </c>
      <c r="V305" s="2" t="n">
        <v>1</v>
      </c>
    </row>
    <row r="306">
      <c r="A306" s="2" t="n">
        <v>305</v>
      </c>
      <c r="B306" s="2" t="s">
        <v>20341</v>
      </c>
      <c r="C306" s="2" t="n">
        <v>293.090803134</v>
      </c>
      <c r="D306" s="2" t="n">
        <v>3.44905280155687</v>
      </c>
      <c r="E306" s="2" t="s">
        <v>20342</v>
      </c>
      <c r="F306" s="2" t="s">
        <v>17198</v>
      </c>
      <c r="G306" s="2" t="s">
        <v>20343</v>
      </c>
      <c r="H306" s="2" t="s">
        <v>20344</v>
      </c>
      <c r="I306" s="2" t="s">
        <v>20345</v>
      </c>
      <c r="J306" s="2" t="s">
        <v>29</v>
      </c>
      <c r="K306" s="2" t="s">
        <v>29</v>
      </c>
      <c r="L306" s="2" t="s">
        <v>29</v>
      </c>
      <c r="M306" s="2" t="s">
        <v>29</v>
      </c>
      <c r="N306" s="2" t="s">
        <v>20346</v>
      </c>
      <c r="O306" s="2" t="s">
        <v>29</v>
      </c>
      <c r="P306" s="2" t="s">
        <v>20347</v>
      </c>
      <c r="Q306" s="2" t="s">
        <v>20348</v>
      </c>
      <c r="R306" s="2" t="s">
        <v>114</v>
      </c>
      <c r="S306" s="2" t="s">
        <v>369</v>
      </c>
      <c r="T306" s="2" t="s">
        <v>370</v>
      </c>
      <c r="U306" s="2" t="s">
        <v>29</v>
      </c>
      <c r="V306" s="2" t="n">
        <v>1</v>
      </c>
    </row>
    <row r="307">
      <c r="A307" s="2" t="n">
        <v>306</v>
      </c>
      <c r="B307" s="2" t="s">
        <v>20349</v>
      </c>
      <c r="C307" s="2" t="n">
        <v>293.173664724</v>
      </c>
      <c r="D307" s="2" t="n">
        <v>1.40529040005072</v>
      </c>
      <c r="E307" s="2" t="s">
        <v>20350</v>
      </c>
      <c r="F307" s="2" t="s">
        <v>17198</v>
      </c>
      <c r="G307" s="2" t="s">
        <v>20351</v>
      </c>
      <c r="H307" s="2" t="s">
        <v>20352</v>
      </c>
      <c r="I307" s="2" t="s">
        <v>20353</v>
      </c>
      <c r="J307" s="2" t="s">
        <v>29</v>
      </c>
      <c r="K307" s="2" t="s">
        <v>29</v>
      </c>
      <c r="L307" s="2" t="s">
        <v>29</v>
      </c>
      <c r="M307" s="2" t="s">
        <v>29</v>
      </c>
      <c r="N307" s="2" t="s">
        <v>20354</v>
      </c>
      <c r="O307" s="2" t="s">
        <v>29</v>
      </c>
      <c r="P307" s="2" t="s">
        <v>20355</v>
      </c>
      <c r="Q307" s="2" t="s">
        <v>20356</v>
      </c>
      <c r="R307" s="2" t="s">
        <v>186</v>
      </c>
      <c r="S307" s="2" t="s">
        <v>187</v>
      </c>
      <c r="T307" s="2" t="s">
        <v>8700</v>
      </c>
      <c r="U307" s="2" t="s">
        <v>29</v>
      </c>
      <c r="V307" s="2" t="n">
        <v>1</v>
      </c>
    </row>
    <row r="308">
      <c r="A308" s="2" t="n">
        <v>307</v>
      </c>
      <c r="B308" s="2" t="s">
        <v>20357</v>
      </c>
      <c r="C308" s="2" t="n">
        <v>294.171321633</v>
      </c>
      <c r="D308" s="2" t="n">
        <v>1.52487413653167</v>
      </c>
      <c r="E308" s="2" t="s">
        <v>20358</v>
      </c>
      <c r="F308" s="2" t="s">
        <v>17137</v>
      </c>
      <c r="G308" s="2" t="s">
        <v>20359</v>
      </c>
      <c r="H308" s="2" t="s">
        <v>20360</v>
      </c>
      <c r="I308" s="2" t="s">
        <v>20361</v>
      </c>
      <c r="J308" s="2" t="s">
        <v>20362</v>
      </c>
      <c r="K308" s="2" t="s">
        <v>29</v>
      </c>
      <c r="L308" s="2" t="s">
        <v>20363</v>
      </c>
      <c r="M308" s="2" t="s">
        <v>20364</v>
      </c>
      <c r="N308" s="2" t="s">
        <v>20365</v>
      </c>
      <c r="O308" s="2" t="s">
        <v>20366</v>
      </c>
      <c r="P308" s="2" t="s">
        <v>20367</v>
      </c>
      <c r="Q308" s="2" t="s">
        <v>20368</v>
      </c>
      <c r="R308" s="2" t="s">
        <v>186</v>
      </c>
      <c r="S308" s="2" t="s">
        <v>187</v>
      </c>
      <c r="T308" s="2" t="s">
        <v>1895</v>
      </c>
      <c r="U308" s="2" t="s">
        <v>56</v>
      </c>
      <c r="V308" s="2" t="n">
        <v>1</v>
      </c>
    </row>
    <row r="309">
      <c r="A309" s="2" t="n">
        <v>308</v>
      </c>
      <c r="B309" s="2" t="s">
        <v>20369</v>
      </c>
      <c r="C309" s="2" t="n">
        <v>294.196473753</v>
      </c>
      <c r="D309" s="2" t="n">
        <v>5.60315159471494</v>
      </c>
      <c r="E309" s="2" t="s">
        <v>20370</v>
      </c>
      <c r="F309" s="2" t="s">
        <v>17137</v>
      </c>
      <c r="G309" s="2" t="s">
        <v>20371</v>
      </c>
      <c r="H309" s="2" t="s">
        <v>20372</v>
      </c>
      <c r="I309" s="2" t="s">
        <v>20373</v>
      </c>
      <c r="J309" s="2" t="s">
        <v>20374</v>
      </c>
      <c r="K309" s="2" t="s">
        <v>29</v>
      </c>
      <c r="L309" s="2" t="s">
        <v>20375</v>
      </c>
      <c r="M309" s="2" t="s">
        <v>11507</v>
      </c>
      <c r="N309" s="2" t="s">
        <v>20376</v>
      </c>
      <c r="O309" s="2" t="s">
        <v>20377</v>
      </c>
      <c r="P309" s="2" t="s">
        <v>20378</v>
      </c>
      <c r="Q309" s="2" t="s">
        <v>20379</v>
      </c>
      <c r="R309" s="2" t="s">
        <v>186</v>
      </c>
      <c r="S309" s="2" t="s">
        <v>187</v>
      </c>
      <c r="T309" s="2" t="s">
        <v>18676</v>
      </c>
      <c r="U309" s="2" t="s">
        <v>101</v>
      </c>
      <c r="V309" s="2" t="n">
        <v>1</v>
      </c>
    </row>
    <row r="310">
      <c r="A310" s="2" t="n">
        <v>309</v>
      </c>
      <c r="B310" s="2" t="s">
        <v>20380</v>
      </c>
      <c r="C310" s="2" t="n">
        <v>295.078820866</v>
      </c>
      <c r="D310" s="2" t="n">
        <v>3.81676766891059</v>
      </c>
      <c r="E310" s="2" t="s">
        <v>20381</v>
      </c>
      <c r="F310" s="2" t="s">
        <v>17198</v>
      </c>
      <c r="G310" s="2" t="s">
        <v>20382</v>
      </c>
      <c r="H310" s="2" t="s">
        <v>20383</v>
      </c>
      <c r="I310" s="2" t="s">
        <v>20384</v>
      </c>
      <c r="J310" s="2" t="s">
        <v>20385</v>
      </c>
      <c r="K310" s="2" t="s">
        <v>29</v>
      </c>
      <c r="L310" s="2" t="s">
        <v>20386</v>
      </c>
      <c r="M310" s="2" t="s">
        <v>20387</v>
      </c>
      <c r="N310" s="2" t="s">
        <v>20388</v>
      </c>
      <c r="O310" s="2" t="s">
        <v>20389</v>
      </c>
      <c r="P310" s="2" t="s">
        <v>20390</v>
      </c>
      <c r="Q310" s="2" t="s">
        <v>20391</v>
      </c>
      <c r="R310" s="2" t="s">
        <v>129</v>
      </c>
      <c r="S310" s="2" t="s">
        <v>130</v>
      </c>
      <c r="T310" s="2" t="s">
        <v>1681</v>
      </c>
      <c r="U310" s="2" t="s">
        <v>56</v>
      </c>
      <c r="V310" s="2" t="n">
        <v>1</v>
      </c>
    </row>
    <row r="311">
      <c r="A311" s="2" t="n">
        <v>310</v>
      </c>
      <c r="B311" s="2" t="s">
        <v>20392</v>
      </c>
      <c r="C311" s="2" t="n">
        <v>296.068351351</v>
      </c>
      <c r="D311" s="2" t="n">
        <v>1.85246104347865</v>
      </c>
      <c r="E311" s="2" t="s">
        <v>20393</v>
      </c>
      <c r="F311" s="2" t="s">
        <v>17406</v>
      </c>
      <c r="G311" s="2" t="s">
        <v>20394</v>
      </c>
      <c r="H311" s="2" t="s">
        <v>20395</v>
      </c>
      <c r="I311" s="2" t="s">
        <v>20396</v>
      </c>
      <c r="J311" s="2" t="s">
        <v>20397</v>
      </c>
      <c r="K311" s="2" t="s">
        <v>29</v>
      </c>
      <c r="L311" s="2" t="s">
        <v>20398</v>
      </c>
      <c r="M311" s="2" t="s">
        <v>20399</v>
      </c>
      <c r="N311" s="2" t="s">
        <v>20400</v>
      </c>
      <c r="O311" s="2" t="s">
        <v>20401</v>
      </c>
      <c r="P311" s="2" t="s">
        <v>20402</v>
      </c>
      <c r="Q311" s="2" t="s">
        <v>20403</v>
      </c>
      <c r="R311" s="2" t="s">
        <v>129</v>
      </c>
      <c r="S311" s="2" t="s">
        <v>130</v>
      </c>
      <c r="T311" s="2" t="s">
        <v>131</v>
      </c>
      <c r="U311" s="2" t="s">
        <v>56</v>
      </c>
      <c r="V311" s="2" t="n">
        <v>1</v>
      </c>
    </row>
    <row r="312">
      <c r="A312" s="2" t="n">
        <v>311</v>
      </c>
      <c r="B312" s="2" t="s">
        <v>20404</v>
      </c>
      <c r="C312" s="2" t="n">
        <v>296.183226357</v>
      </c>
      <c r="D312" s="2" t="n">
        <v>1.16493297627387</v>
      </c>
      <c r="E312" s="2" t="s">
        <v>20405</v>
      </c>
      <c r="F312" s="2" t="s">
        <v>17198</v>
      </c>
      <c r="G312" s="2" t="s">
        <v>20406</v>
      </c>
      <c r="H312" s="2" t="s">
        <v>20407</v>
      </c>
      <c r="I312" s="2" t="s">
        <v>20408</v>
      </c>
      <c r="J312" s="2" t="s">
        <v>29</v>
      </c>
      <c r="K312" s="2" t="s">
        <v>20409</v>
      </c>
      <c r="L312" s="2" t="s">
        <v>29</v>
      </c>
      <c r="M312" s="2" t="s">
        <v>20410</v>
      </c>
      <c r="N312" s="2" t="s">
        <v>20411</v>
      </c>
      <c r="O312" s="2" t="s">
        <v>29</v>
      </c>
      <c r="P312" s="2" t="s">
        <v>20412</v>
      </c>
      <c r="Q312" s="2" t="s">
        <v>20413</v>
      </c>
      <c r="R312" s="2" t="s">
        <v>794</v>
      </c>
      <c r="S312" s="2" t="s">
        <v>795</v>
      </c>
      <c r="T312" s="2" t="s">
        <v>1870</v>
      </c>
      <c r="U312" s="2" t="s">
        <v>39</v>
      </c>
      <c r="V312" s="2" t="n">
        <v>1</v>
      </c>
    </row>
    <row r="313">
      <c r="A313" s="2" t="n">
        <v>312</v>
      </c>
      <c r="B313" s="2" t="s">
        <v>20414</v>
      </c>
      <c r="C313" s="2" t="n">
        <v>297.01598143</v>
      </c>
      <c r="D313" s="2" t="n">
        <v>0.135141079598154</v>
      </c>
      <c r="E313" s="2" t="s">
        <v>20415</v>
      </c>
      <c r="F313" s="2" t="s">
        <v>17406</v>
      </c>
      <c r="G313" s="2" t="s">
        <v>20416</v>
      </c>
      <c r="H313" s="2" t="s">
        <v>20417</v>
      </c>
      <c r="I313" s="2" t="s">
        <v>20418</v>
      </c>
      <c r="J313" s="2" t="s">
        <v>20419</v>
      </c>
      <c r="K313" s="2" t="s">
        <v>195</v>
      </c>
      <c r="L313" s="2" t="s">
        <v>20420</v>
      </c>
      <c r="M313" s="2" t="s">
        <v>20421</v>
      </c>
      <c r="N313" s="2" t="s">
        <v>20422</v>
      </c>
      <c r="O313" s="2" t="s">
        <v>20423</v>
      </c>
      <c r="P313" s="2" t="s">
        <v>20424</v>
      </c>
      <c r="Q313" s="2" t="s">
        <v>20425</v>
      </c>
      <c r="R313" s="2" t="s">
        <v>20426</v>
      </c>
      <c r="S313" s="2" t="s">
        <v>20427</v>
      </c>
      <c r="T313" s="2" t="s">
        <v>20428</v>
      </c>
      <c r="U313" s="2" t="s">
        <v>56</v>
      </c>
      <c r="V313" s="2" t="n">
        <v>3</v>
      </c>
    </row>
    <row r="314">
      <c r="A314" s="2" t="n">
        <v>313</v>
      </c>
      <c r="B314" s="2" t="s">
        <v>20429</v>
      </c>
      <c r="C314" s="2" t="n">
        <v>297.072595146</v>
      </c>
      <c r="D314" s="2" t="n">
        <v>0.663681682561996</v>
      </c>
      <c r="E314" s="2" t="s">
        <v>20430</v>
      </c>
      <c r="F314" s="2" t="s">
        <v>17137</v>
      </c>
      <c r="G314" s="2" t="s">
        <v>20431</v>
      </c>
      <c r="H314" s="2" t="s">
        <v>20432</v>
      </c>
      <c r="I314" s="2" t="s">
        <v>20433</v>
      </c>
      <c r="J314" s="2" t="s">
        <v>20434</v>
      </c>
      <c r="K314" s="2" t="s">
        <v>29</v>
      </c>
      <c r="L314" s="2" t="s">
        <v>29</v>
      </c>
      <c r="M314" s="2" t="s">
        <v>20435</v>
      </c>
      <c r="N314" s="2" t="s">
        <v>20436</v>
      </c>
      <c r="O314" s="2" t="s">
        <v>20437</v>
      </c>
      <c r="P314" s="2" t="s">
        <v>20438</v>
      </c>
      <c r="Q314" s="2" t="s">
        <v>20439</v>
      </c>
      <c r="R314" s="2" t="s">
        <v>114</v>
      </c>
      <c r="S314" s="2" t="s">
        <v>994</v>
      </c>
      <c r="T314" s="2" t="s">
        <v>215</v>
      </c>
      <c r="U314" s="2" t="s">
        <v>29</v>
      </c>
      <c r="V314" s="2" t="n">
        <v>1</v>
      </c>
    </row>
    <row r="315">
      <c r="A315" s="2" t="n">
        <v>314</v>
      </c>
      <c r="B315" s="2" t="s">
        <v>20440</v>
      </c>
      <c r="C315" s="2" t="n">
        <v>297.148520506</v>
      </c>
      <c r="D315" s="2" t="n">
        <v>4.86202808399205</v>
      </c>
      <c r="E315" s="2" t="s">
        <v>20441</v>
      </c>
      <c r="F315" s="2" t="s">
        <v>17137</v>
      </c>
      <c r="G315" s="2" t="s">
        <v>20442</v>
      </c>
      <c r="H315" s="2" t="s">
        <v>20443</v>
      </c>
      <c r="I315" s="2" t="s">
        <v>20444</v>
      </c>
      <c r="J315" s="2" t="s">
        <v>20445</v>
      </c>
      <c r="K315" s="2" t="s">
        <v>29</v>
      </c>
      <c r="L315" s="2" t="s">
        <v>29</v>
      </c>
      <c r="M315" s="2" t="s">
        <v>29</v>
      </c>
      <c r="N315" s="2" t="s">
        <v>20446</v>
      </c>
      <c r="O315" s="2" t="s">
        <v>20447</v>
      </c>
      <c r="P315" s="2" t="s">
        <v>20448</v>
      </c>
      <c r="Q315" s="2" t="s">
        <v>20449</v>
      </c>
      <c r="R315" s="2" t="s">
        <v>794</v>
      </c>
      <c r="S315" s="2" t="s">
        <v>1098</v>
      </c>
      <c r="T315" s="2" t="s">
        <v>4662</v>
      </c>
      <c r="U315" s="2" t="s">
        <v>56</v>
      </c>
      <c r="V315" s="2" t="n">
        <v>1</v>
      </c>
    </row>
    <row r="316">
      <c r="A316" s="2" t="n">
        <v>315</v>
      </c>
      <c r="B316" s="2" t="s">
        <v>20450</v>
      </c>
      <c r="C316" s="2" t="n">
        <v>298.120386921</v>
      </c>
      <c r="D316" s="2" t="n">
        <v>3.69125564318348</v>
      </c>
      <c r="E316" s="2" t="s">
        <v>20451</v>
      </c>
      <c r="F316" s="2" t="s">
        <v>17406</v>
      </c>
      <c r="G316" s="2" t="s">
        <v>20452</v>
      </c>
      <c r="H316" s="2" t="s">
        <v>20453</v>
      </c>
      <c r="I316" s="2" t="s">
        <v>20454</v>
      </c>
      <c r="J316" s="2" t="s">
        <v>20455</v>
      </c>
      <c r="K316" s="2" t="s">
        <v>91</v>
      </c>
      <c r="L316" s="2" t="s">
        <v>91</v>
      </c>
      <c r="M316" s="2" t="s">
        <v>91</v>
      </c>
      <c r="N316" s="2" t="s">
        <v>20456</v>
      </c>
      <c r="O316" s="2" t="s">
        <v>20457</v>
      </c>
      <c r="P316" s="2" t="s">
        <v>20458</v>
      </c>
      <c r="Q316" s="2" t="s">
        <v>20459</v>
      </c>
      <c r="R316" s="2" t="s">
        <v>809</v>
      </c>
      <c r="S316" s="2" t="s">
        <v>20460</v>
      </c>
      <c r="T316" s="2" t="s">
        <v>543</v>
      </c>
      <c r="U316" s="2" t="s">
        <v>56</v>
      </c>
      <c r="V316" s="2" t="n">
        <v>2</v>
      </c>
    </row>
    <row r="317">
      <c r="A317" s="2" t="n">
        <v>316</v>
      </c>
      <c r="B317" s="2" t="s">
        <v>20461</v>
      </c>
      <c r="C317" s="2" t="n">
        <v>298.152594931</v>
      </c>
      <c r="D317" s="2" t="n">
        <v>3.31603599710635</v>
      </c>
      <c r="E317" s="2" t="s">
        <v>20462</v>
      </c>
      <c r="F317" s="2" t="s">
        <v>17198</v>
      </c>
      <c r="G317" s="2" t="s">
        <v>20463</v>
      </c>
      <c r="H317" s="2" t="s">
        <v>20464</v>
      </c>
      <c r="I317" s="2" t="s">
        <v>20465</v>
      </c>
      <c r="J317" s="2" t="s">
        <v>20466</v>
      </c>
      <c r="K317" s="2" t="s">
        <v>29</v>
      </c>
      <c r="L317" s="2" t="s">
        <v>20467</v>
      </c>
      <c r="M317" s="2" t="s">
        <v>20468</v>
      </c>
      <c r="N317" s="2" t="s">
        <v>20469</v>
      </c>
      <c r="O317" s="2" t="s">
        <v>20470</v>
      </c>
      <c r="P317" s="2" t="s">
        <v>20471</v>
      </c>
      <c r="Q317" s="2" t="s">
        <v>20472</v>
      </c>
      <c r="R317" s="2" t="s">
        <v>114</v>
      </c>
      <c r="S317" s="2" t="s">
        <v>994</v>
      </c>
      <c r="T317" s="2" t="s">
        <v>20473</v>
      </c>
      <c r="U317" s="2" t="s">
        <v>101</v>
      </c>
      <c r="V317" s="2" t="n">
        <v>1</v>
      </c>
    </row>
    <row r="318">
      <c r="A318" s="2" t="n">
        <v>317</v>
      </c>
      <c r="B318" s="2" t="s">
        <v>20474</v>
      </c>
      <c r="C318" s="2" t="n">
        <v>299.119620578</v>
      </c>
      <c r="D318" s="2" t="n">
        <v>1.22133375882213</v>
      </c>
      <c r="E318" s="2" t="s">
        <v>20475</v>
      </c>
      <c r="F318" s="2" t="s">
        <v>17039</v>
      </c>
      <c r="G318" s="2" t="s">
        <v>20476</v>
      </c>
      <c r="H318" s="2" t="s">
        <v>20477</v>
      </c>
      <c r="I318" s="2" t="s">
        <v>20478</v>
      </c>
      <c r="J318" s="2" t="s">
        <v>29</v>
      </c>
      <c r="K318" s="2" t="s">
        <v>29</v>
      </c>
      <c r="L318" s="2" t="s">
        <v>29</v>
      </c>
      <c r="M318" s="2" t="s">
        <v>20479</v>
      </c>
      <c r="N318" s="2" t="s">
        <v>20480</v>
      </c>
      <c r="O318" s="2" t="s">
        <v>29</v>
      </c>
      <c r="P318" s="2" t="s">
        <v>20481</v>
      </c>
      <c r="Q318" s="2" t="s">
        <v>20482</v>
      </c>
      <c r="R318" s="2" t="s">
        <v>186</v>
      </c>
      <c r="S318" s="2" t="s">
        <v>187</v>
      </c>
      <c r="T318" s="2" t="s">
        <v>6895</v>
      </c>
      <c r="U318" s="2" t="s">
        <v>29</v>
      </c>
      <c r="V318" s="2" t="n">
        <v>1</v>
      </c>
    </row>
    <row r="319">
      <c r="A319" s="2" t="n">
        <v>318</v>
      </c>
      <c r="B319" s="2" t="s">
        <v>20483</v>
      </c>
      <c r="C319" s="2" t="n">
        <v>299.157646343</v>
      </c>
      <c r="D319" s="2" t="n">
        <v>16.192466890074</v>
      </c>
      <c r="E319" s="2" t="s">
        <v>20484</v>
      </c>
      <c r="F319" s="2" t="s">
        <v>17117</v>
      </c>
      <c r="G319" s="2" t="s">
        <v>20485</v>
      </c>
      <c r="H319" s="2" t="s">
        <v>20486</v>
      </c>
      <c r="I319" s="2" t="s">
        <v>20487</v>
      </c>
      <c r="J319" s="2" t="s">
        <v>29</v>
      </c>
      <c r="K319" s="2" t="s">
        <v>29</v>
      </c>
      <c r="L319" s="2" t="s">
        <v>29</v>
      </c>
      <c r="M319" s="2" t="s">
        <v>29</v>
      </c>
      <c r="N319" s="2" t="s">
        <v>29</v>
      </c>
      <c r="O319" s="2" t="s">
        <v>20488</v>
      </c>
      <c r="P319" s="2" t="s">
        <v>20489</v>
      </c>
      <c r="Q319" s="2" t="s">
        <v>20490</v>
      </c>
      <c r="R319" s="2" t="s">
        <v>114</v>
      </c>
      <c r="S319" s="2" t="s">
        <v>5831</v>
      </c>
      <c r="T319" s="2" t="s">
        <v>5832</v>
      </c>
      <c r="U319" s="2" t="s">
        <v>56</v>
      </c>
      <c r="V319" s="2" t="n">
        <v>1</v>
      </c>
    </row>
    <row r="320">
      <c r="A320" s="2" t="n">
        <v>319</v>
      </c>
      <c r="B320" s="2" t="s">
        <v>20491</v>
      </c>
      <c r="C320" s="2" t="n">
        <v>302.0666724</v>
      </c>
      <c r="D320" s="2" t="n">
        <v>2.42823299573895</v>
      </c>
      <c r="E320" s="2" t="s">
        <v>20492</v>
      </c>
      <c r="F320" s="2" t="s">
        <v>17198</v>
      </c>
      <c r="G320" s="2" t="s">
        <v>20493</v>
      </c>
      <c r="H320" s="2" t="s">
        <v>20494</v>
      </c>
      <c r="I320" s="2" t="s">
        <v>20495</v>
      </c>
      <c r="J320" s="2" t="s">
        <v>20496</v>
      </c>
      <c r="K320" s="2" t="s">
        <v>29</v>
      </c>
      <c r="L320" s="2" t="s">
        <v>29</v>
      </c>
      <c r="M320" s="2" t="s">
        <v>29</v>
      </c>
      <c r="N320" s="2" t="s">
        <v>20497</v>
      </c>
      <c r="O320" s="2" t="s">
        <v>29</v>
      </c>
      <c r="P320" s="2" t="s">
        <v>20498</v>
      </c>
      <c r="Q320" s="2" t="s">
        <v>20499</v>
      </c>
      <c r="R320" s="2" t="s">
        <v>186</v>
      </c>
      <c r="S320" s="2" t="s">
        <v>187</v>
      </c>
      <c r="T320" s="2" t="s">
        <v>2791</v>
      </c>
      <c r="U320" s="2" t="s">
        <v>29</v>
      </c>
      <c r="V320" s="2" t="n">
        <v>1</v>
      </c>
    </row>
    <row r="321">
      <c r="A321" s="2" t="n">
        <v>320</v>
      </c>
      <c r="B321" s="2" t="s">
        <v>20500</v>
      </c>
      <c r="C321" s="2" t="n">
        <v>304.157705463</v>
      </c>
      <c r="D321" s="2" t="n">
        <v>1.12561503674868</v>
      </c>
      <c r="E321" s="2" t="s">
        <v>20501</v>
      </c>
      <c r="F321" s="2" t="s">
        <v>17137</v>
      </c>
      <c r="G321" s="2" t="s">
        <v>20502</v>
      </c>
      <c r="H321" s="2" t="s">
        <v>20503</v>
      </c>
      <c r="I321" s="2" t="s">
        <v>20504</v>
      </c>
      <c r="J321" s="2" t="s">
        <v>29</v>
      </c>
      <c r="K321" s="2" t="s">
        <v>29</v>
      </c>
      <c r="L321" s="2" t="s">
        <v>29</v>
      </c>
      <c r="M321" s="2" t="s">
        <v>29</v>
      </c>
      <c r="N321" s="2" t="s">
        <v>29</v>
      </c>
      <c r="O321" s="2" t="s">
        <v>29</v>
      </c>
      <c r="P321" s="2" t="s">
        <v>20505</v>
      </c>
      <c r="Q321" s="2" t="s">
        <v>20506</v>
      </c>
      <c r="R321" s="2" t="s">
        <v>36</v>
      </c>
      <c r="S321" s="2" t="s">
        <v>37</v>
      </c>
      <c r="T321" s="2" t="s">
        <v>69</v>
      </c>
      <c r="U321" s="2" t="s">
        <v>29</v>
      </c>
      <c r="V321" s="2" t="n">
        <v>1</v>
      </c>
    </row>
    <row r="322">
      <c r="A322" s="2" t="n">
        <v>321</v>
      </c>
      <c r="B322" s="2" t="s">
        <v>20507</v>
      </c>
      <c r="C322" s="2" t="n">
        <v>305.10844251</v>
      </c>
      <c r="D322" s="2" t="n">
        <v>4.42142226293708</v>
      </c>
      <c r="E322" s="2" t="s">
        <v>20508</v>
      </c>
      <c r="F322" s="2" t="s">
        <v>17406</v>
      </c>
      <c r="G322" s="2" t="s">
        <v>20509</v>
      </c>
      <c r="H322" s="2" t="s">
        <v>20510</v>
      </c>
      <c r="I322" s="2" t="s">
        <v>20511</v>
      </c>
      <c r="J322" s="2" t="s">
        <v>29</v>
      </c>
      <c r="K322" s="2" t="s">
        <v>29</v>
      </c>
      <c r="L322" s="2" t="s">
        <v>29</v>
      </c>
      <c r="M322" s="2" t="s">
        <v>29</v>
      </c>
      <c r="N322" s="2" t="s">
        <v>20512</v>
      </c>
      <c r="O322" s="2" t="s">
        <v>29</v>
      </c>
      <c r="P322" s="2" t="s">
        <v>20513</v>
      </c>
      <c r="Q322" s="2" t="s">
        <v>20514</v>
      </c>
      <c r="R322" s="2" t="s">
        <v>794</v>
      </c>
      <c r="S322" s="2" t="s">
        <v>1098</v>
      </c>
      <c r="T322" s="2" t="s">
        <v>1099</v>
      </c>
      <c r="U322" s="2" t="s">
        <v>29</v>
      </c>
      <c r="V322" s="2" t="n">
        <v>1</v>
      </c>
    </row>
    <row r="323">
      <c r="A323" s="2" t="n">
        <v>322</v>
      </c>
      <c r="B323" s="2" t="s">
        <v>20515</v>
      </c>
      <c r="C323" s="2" t="n">
        <v>305.172049908</v>
      </c>
      <c r="D323" s="2" t="n">
        <v>1.15945428524811</v>
      </c>
      <c r="E323" s="2" t="s">
        <v>20516</v>
      </c>
      <c r="F323" s="2" t="s">
        <v>17137</v>
      </c>
      <c r="G323" s="2" t="s">
        <v>20517</v>
      </c>
      <c r="H323" s="2" t="s">
        <v>20518</v>
      </c>
      <c r="I323" s="2" t="s">
        <v>20519</v>
      </c>
      <c r="J323" s="2" t="s">
        <v>29</v>
      </c>
      <c r="K323" s="2" t="s">
        <v>29</v>
      </c>
      <c r="L323" s="2" t="s">
        <v>29</v>
      </c>
      <c r="M323" s="2" t="s">
        <v>29</v>
      </c>
      <c r="N323" s="2" t="s">
        <v>29</v>
      </c>
      <c r="O323" s="2" t="s">
        <v>29</v>
      </c>
      <c r="P323" s="2" t="s">
        <v>20520</v>
      </c>
      <c r="Q323" s="2" t="s">
        <v>20521</v>
      </c>
      <c r="R323" s="2" t="s">
        <v>114</v>
      </c>
      <c r="S323" s="2" t="s">
        <v>1038</v>
      </c>
      <c r="T323" s="2" t="s">
        <v>1039</v>
      </c>
      <c r="U323" s="2" t="s">
        <v>29</v>
      </c>
      <c r="V323" s="2" t="n">
        <v>1</v>
      </c>
    </row>
    <row r="324">
      <c r="A324" s="2" t="n">
        <v>323</v>
      </c>
      <c r="B324" s="2" t="s">
        <v>20522</v>
      </c>
      <c r="C324" s="2" t="n">
        <v>307.047143582</v>
      </c>
      <c r="D324" s="2" t="n">
        <v>0.916912329076133</v>
      </c>
      <c r="E324" s="2" t="s">
        <v>20523</v>
      </c>
      <c r="F324" s="2" t="s">
        <v>17198</v>
      </c>
      <c r="G324" s="2" t="s">
        <v>20524</v>
      </c>
      <c r="H324" s="2" t="s">
        <v>20525</v>
      </c>
      <c r="I324" s="2" t="s">
        <v>20526</v>
      </c>
      <c r="J324" s="2" t="s">
        <v>20527</v>
      </c>
      <c r="K324" s="2" t="s">
        <v>91</v>
      </c>
      <c r="L324" s="2" t="s">
        <v>91</v>
      </c>
      <c r="M324" s="2" t="s">
        <v>91</v>
      </c>
      <c r="N324" s="2" t="s">
        <v>20528</v>
      </c>
      <c r="O324" s="2" t="s">
        <v>91</v>
      </c>
      <c r="P324" s="2" t="s">
        <v>20529</v>
      </c>
      <c r="Q324" s="2" t="s">
        <v>20530</v>
      </c>
      <c r="R324" s="2" t="s">
        <v>3638</v>
      </c>
      <c r="S324" s="2" t="s">
        <v>3639</v>
      </c>
      <c r="T324" s="2" t="s">
        <v>543</v>
      </c>
      <c r="U324" s="2" t="s">
        <v>29</v>
      </c>
      <c r="V324" s="2" t="n">
        <v>2</v>
      </c>
    </row>
    <row r="325">
      <c r="A325" s="2" t="n">
        <v>324</v>
      </c>
      <c r="B325" s="2" t="s">
        <v>20531</v>
      </c>
      <c r="C325" s="2" t="n">
        <v>307.190385317</v>
      </c>
      <c r="D325" s="2" t="n">
        <v>4.34815998523361</v>
      </c>
      <c r="E325" s="2" t="s">
        <v>20532</v>
      </c>
      <c r="F325" s="2" t="s">
        <v>17137</v>
      </c>
      <c r="G325" s="2" t="s">
        <v>20533</v>
      </c>
      <c r="H325" s="2" t="s">
        <v>20534</v>
      </c>
      <c r="I325" s="2" t="s">
        <v>20535</v>
      </c>
      <c r="J325" s="2" t="s">
        <v>29</v>
      </c>
      <c r="K325" s="2" t="s">
        <v>29</v>
      </c>
      <c r="L325" s="2" t="s">
        <v>29</v>
      </c>
      <c r="M325" s="2" t="s">
        <v>29</v>
      </c>
      <c r="N325" s="2" t="s">
        <v>20536</v>
      </c>
      <c r="O325" s="2" t="s">
        <v>20537</v>
      </c>
      <c r="P325" s="2" t="s">
        <v>20538</v>
      </c>
      <c r="Q325" s="2" t="s">
        <v>20539</v>
      </c>
      <c r="R325" s="2" t="s">
        <v>114</v>
      </c>
      <c r="S325" s="2" t="s">
        <v>6312</v>
      </c>
      <c r="T325" s="2" t="s">
        <v>6313</v>
      </c>
      <c r="U325" s="2" t="s">
        <v>56</v>
      </c>
      <c r="V325" s="2" t="n">
        <v>1</v>
      </c>
    </row>
    <row r="326">
      <c r="A326" s="2" t="n">
        <v>325</v>
      </c>
      <c r="B326" s="2" t="s">
        <v>20540</v>
      </c>
      <c r="C326" s="2" t="n">
        <v>308.044187293</v>
      </c>
      <c r="D326" s="2" t="n">
        <v>5.50177675449628</v>
      </c>
      <c r="E326" s="2" t="s">
        <v>20541</v>
      </c>
      <c r="F326" s="2" t="s">
        <v>17198</v>
      </c>
      <c r="G326" s="2" t="s">
        <v>20542</v>
      </c>
      <c r="H326" s="2" t="s">
        <v>20543</v>
      </c>
      <c r="I326" s="2" t="s">
        <v>20544</v>
      </c>
      <c r="J326" s="2" t="s">
        <v>29</v>
      </c>
      <c r="K326" s="2" t="s">
        <v>29</v>
      </c>
      <c r="L326" s="2" t="s">
        <v>29</v>
      </c>
      <c r="M326" s="2" t="s">
        <v>29</v>
      </c>
      <c r="N326" s="2" t="s">
        <v>20545</v>
      </c>
      <c r="O326" s="2" t="s">
        <v>29</v>
      </c>
      <c r="P326" s="2" t="s">
        <v>20546</v>
      </c>
      <c r="Q326" s="2" t="s">
        <v>20547</v>
      </c>
      <c r="R326" s="2" t="s">
        <v>114</v>
      </c>
      <c r="S326" s="2" t="s">
        <v>172</v>
      </c>
      <c r="T326" s="2" t="s">
        <v>8675</v>
      </c>
      <c r="U326" s="2" t="s">
        <v>29</v>
      </c>
      <c r="V326" s="2" t="n">
        <v>1</v>
      </c>
    </row>
    <row r="327">
      <c r="A327" s="2" t="n">
        <v>326</v>
      </c>
      <c r="B327" s="2" t="s">
        <v>20548</v>
      </c>
      <c r="C327" s="2" t="n">
        <v>308.092696791</v>
      </c>
      <c r="D327" s="2" t="n">
        <v>8.1808968022321</v>
      </c>
      <c r="E327" s="2" t="s">
        <v>20549</v>
      </c>
      <c r="F327" s="2" t="s">
        <v>17198</v>
      </c>
      <c r="G327" s="2" t="s">
        <v>20550</v>
      </c>
      <c r="H327" s="2" t="s">
        <v>20551</v>
      </c>
      <c r="I327" s="2" t="s">
        <v>20552</v>
      </c>
      <c r="J327" s="2" t="s">
        <v>20553</v>
      </c>
      <c r="K327" s="2" t="s">
        <v>29</v>
      </c>
      <c r="L327" s="2" t="s">
        <v>20554</v>
      </c>
      <c r="M327" s="2" t="s">
        <v>20555</v>
      </c>
      <c r="N327" s="2" t="s">
        <v>20556</v>
      </c>
      <c r="O327" s="2" t="s">
        <v>20557</v>
      </c>
      <c r="P327" s="2" t="s">
        <v>20558</v>
      </c>
      <c r="Q327" s="2" t="s">
        <v>20559</v>
      </c>
      <c r="R327" s="2" t="s">
        <v>186</v>
      </c>
      <c r="S327" s="2" t="s">
        <v>187</v>
      </c>
      <c r="T327" s="2" t="s">
        <v>3996</v>
      </c>
      <c r="U327" s="2" t="s">
        <v>56</v>
      </c>
      <c r="V327" s="2" t="n">
        <v>1</v>
      </c>
    </row>
    <row r="328">
      <c r="A328" s="2" t="n">
        <v>327</v>
      </c>
      <c r="B328" s="2" t="s">
        <v>20560</v>
      </c>
      <c r="C328" s="2" t="n">
        <v>308.197456361</v>
      </c>
      <c r="D328" s="2" t="n">
        <v>6.99044592294165</v>
      </c>
      <c r="E328" s="2" t="s">
        <v>20561</v>
      </c>
      <c r="F328" s="2" t="s">
        <v>17039</v>
      </c>
      <c r="G328" s="2" t="s">
        <v>20562</v>
      </c>
      <c r="H328" s="2" t="s">
        <v>20563</v>
      </c>
      <c r="I328" s="2" t="s">
        <v>20564</v>
      </c>
      <c r="J328" s="2" t="s">
        <v>20565</v>
      </c>
      <c r="K328" s="2" t="s">
        <v>91</v>
      </c>
      <c r="L328" s="2" t="s">
        <v>91</v>
      </c>
      <c r="M328" s="2" t="s">
        <v>91</v>
      </c>
      <c r="N328" s="2" t="s">
        <v>20566</v>
      </c>
      <c r="O328" s="2" t="s">
        <v>91</v>
      </c>
      <c r="P328" s="2" t="s">
        <v>20567</v>
      </c>
      <c r="Q328" s="2" t="s">
        <v>20568</v>
      </c>
      <c r="R328" s="2" t="s">
        <v>144</v>
      </c>
      <c r="S328" s="2" t="s">
        <v>145</v>
      </c>
      <c r="T328" s="2" t="s">
        <v>146</v>
      </c>
      <c r="U328" s="2" t="s">
        <v>29</v>
      </c>
      <c r="V328" s="2" t="n">
        <v>2</v>
      </c>
    </row>
    <row r="329">
      <c r="A329" s="2" t="n">
        <v>328</v>
      </c>
      <c r="B329" s="2" t="s">
        <v>20569</v>
      </c>
      <c r="C329" s="2" t="n">
        <v>309.048227914</v>
      </c>
      <c r="D329" s="2" t="n">
        <v>5.00964688400457</v>
      </c>
      <c r="E329" s="2" t="s">
        <v>20570</v>
      </c>
      <c r="F329" s="2" t="s">
        <v>17137</v>
      </c>
      <c r="G329" s="2" t="s">
        <v>20571</v>
      </c>
      <c r="H329" s="2" t="s">
        <v>20572</v>
      </c>
      <c r="I329" s="2" t="s">
        <v>20573</v>
      </c>
      <c r="J329" s="2" t="s">
        <v>20574</v>
      </c>
      <c r="K329" s="2" t="s">
        <v>29</v>
      </c>
      <c r="L329" s="2" t="s">
        <v>20575</v>
      </c>
      <c r="M329" s="2" t="s">
        <v>20576</v>
      </c>
      <c r="N329" s="2" t="s">
        <v>20577</v>
      </c>
      <c r="O329" s="2" t="s">
        <v>20578</v>
      </c>
      <c r="P329" s="2" t="s">
        <v>20579</v>
      </c>
      <c r="Q329" s="2" t="s">
        <v>20580</v>
      </c>
      <c r="R329" s="2" t="s">
        <v>2416</v>
      </c>
      <c r="S329" s="2" t="s">
        <v>10012</v>
      </c>
      <c r="T329" s="2" t="s">
        <v>11031</v>
      </c>
      <c r="U329" s="2" t="s">
        <v>56</v>
      </c>
      <c r="V329" s="2" t="n">
        <v>1</v>
      </c>
    </row>
    <row r="330">
      <c r="A330" s="2" t="n">
        <v>329</v>
      </c>
      <c r="B330" s="2" t="s">
        <v>20581</v>
      </c>
      <c r="C330" s="2" t="n">
        <v>310.139746724</v>
      </c>
      <c r="D330" s="2" t="n">
        <v>4.85356209297281</v>
      </c>
      <c r="E330" s="2" t="s">
        <v>20582</v>
      </c>
      <c r="F330" s="2" t="s">
        <v>17137</v>
      </c>
      <c r="G330" s="2" t="s">
        <v>20583</v>
      </c>
      <c r="H330" s="2" t="s">
        <v>20584</v>
      </c>
      <c r="I330" s="2" t="s">
        <v>20585</v>
      </c>
      <c r="J330" s="2" t="s">
        <v>20586</v>
      </c>
      <c r="K330" s="2" t="s">
        <v>195</v>
      </c>
      <c r="L330" s="2" t="s">
        <v>195</v>
      </c>
      <c r="M330" s="2" t="s">
        <v>20587</v>
      </c>
      <c r="N330" s="2" t="s">
        <v>20588</v>
      </c>
      <c r="O330" s="2" t="s">
        <v>20589</v>
      </c>
      <c r="P330" s="2" t="s">
        <v>20590</v>
      </c>
      <c r="Q330" s="2" t="s">
        <v>20591</v>
      </c>
      <c r="R330" s="2" t="s">
        <v>1558</v>
      </c>
      <c r="S330" s="2" t="s">
        <v>1844</v>
      </c>
      <c r="T330" s="2" t="s">
        <v>1845</v>
      </c>
      <c r="U330" s="2" t="s">
        <v>56</v>
      </c>
      <c r="V330" s="2" t="n">
        <v>3</v>
      </c>
    </row>
    <row r="331">
      <c r="A331" s="2" t="n">
        <v>330</v>
      </c>
      <c r="B331" s="2" t="s">
        <v>20592</v>
      </c>
      <c r="C331" s="2" t="n">
        <v>311.058385345</v>
      </c>
      <c r="D331" s="2" t="n">
        <v>3.41388056331641</v>
      </c>
      <c r="E331" s="2" t="s">
        <v>20593</v>
      </c>
      <c r="F331" s="2" t="s">
        <v>17137</v>
      </c>
      <c r="G331" s="2" t="s">
        <v>20594</v>
      </c>
      <c r="H331" s="2" t="s">
        <v>20595</v>
      </c>
      <c r="I331" s="2" t="s">
        <v>20596</v>
      </c>
      <c r="J331" s="2" t="s">
        <v>91</v>
      </c>
      <c r="K331" s="2" t="s">
        <v>91</v>
      </c>
      <c r="L331" s="2" t="s">
        <v>91</v>
      </c>
      <c r="M331" s="2" t="s">
        <v>20597</v>
      </c>
      <c r="N331" s="2" t="s">
        <v>20598</v>
      </c>
      <c r="O331" s="2" t="s">
        <v>91</v>
      </c>
      <c r="P331" s="2" t="s">
        <v>20599</v>
      </c>
      <c r="Q331" s="2" t="s">
        <v>20600</v>
      </c>
      <c r="R331" s="2" t="s">
        <v>7198</v>
      </c>
      <c r="S331" s="2" t="s">
        <v>20601</v>
      </c>
      <c r="T331" s="2" t="s">
        <v>543</v>
      </c>
      <c r="U331" s="2" t="s">
        <v>29</v>
      </c>
      <c r="V331" s="2" t="n">
        <v>2</v>
      </c>
    </row>
    <row r="332">
      <c r="A332" s="2" t="n">
        <v>331</v>
      </c>
      <c r="B332" s="2" t="s">
        <v>20602</v>
      </c>
      <c r="C332" s="2" t="n">
        <v>313.212772074</v>
      </c>
      <c r="D332" s="2" t="n">
        <v>1.42889268060499</v>
      </c>
      <c r="E332" s="2" t="s">
        <v>20603</v>
      </c>
      <c r="F332" s="2" t="s">
        <v>17039</v>
      </c>
      <c r="G332" s="2" t="s">
        <v>20604</v>
      </c>
      <c r="H332" s="2" t="s">
        <v>20605</v>
      </c>
      <c r="I332" s="2" t="s">
        <v>20606</v>
      </c>
      <c r="J332" s="2" t="s">
        <v>29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29</v>
      </c>
      <c r="P332" s="2" t="s">
        <v>20607</v>
      </c>
      <c r="Q332" s="2" t="s">
        <v>20608</v>
      </c>
      <c r="R332" s="2" t="s">
        <v>794</v>
      </c>
      <c r="S332" s="2" t="s">
        <v>795</v>
      </c>
      <c r="T332" s="2" t="s">
        <v>1870</v>
      </c>
      <c r="U332" s="2" t="s">
        <v>29</v>
      </c>
      <c r="V332" s="2" t="n">
        <v>1</v>
      </c>
    </row>
    <row r="333">
      <c r="A333" s="2" t="n">
        <v>332</v>
      </c>
      <c r="B333" s="2" t="s">
        <v>20609</v>
      </c>
      <c r="C333" s="2" t="n">
        <v>313.274309704</v>
      </c>
      <c r="D333" s="2" t="n">
        <v>1.58176991299404</v>
      </c>
      <c r="E333" s="2" t="s">
        <v>20610</v>
      </c>
      <c r="F333" s="2" t="s">
        <v>17039</v>
      </c>
      <c r="G333" s="2" t="s">
        <v>20611</v>
      </c>
      <c r="H333" s="2" t="s">
        <v>20612</v>
      </c>
      <c r="I333" s="2" t="s">
        <v>20613</v>
      </c>
      <c r="J333" s="2" t="s">
        <v>20614</v>
      </c>
      <c r="K333" s="2" t="s">
        <v>20615</v>
      </c>
      <c r="L333" s="2" t="s">
        <v>91</v>
      </c>
      <c r="M333" s="2" t="s">
        <v>20616</v>
      </c>
      <c r="N333" s="2" t="s">
        <v>20617</v>
      </c>
      <c r="O333" s="2" t="s">
        <v>91</v>
      </c>
      <c r="P333" s="2" t="s">
        <v>20618</v>
      </c>
      <c r="Q333" s="2" t="s">
        <v>20619</v>
      </c>
      <c r="R333" s="2" t="s">
        <v>412</v>
      </c>
      <c r="S333" s="2" t="s">
        <v>8907</v>
      </c>
      <c r="T333" s="2" t="s">
        <v>20620</v>
      </c>
      <c r="U333" s="2" t="s">
        <v>56</v>
      </c>
      <c r="V333" s="2" t="n">
        <v>2</v>
      </c>
    </row>
    <row r="334">
      <c r="A334" s="2" t="n">
        <v>333</v>
      </c>
      <c r="B334" s="2" t="s">
        <v>20621</v>
      </c>
      <c r="C334" s="2" t="n">
        <v>315.155651132</v>
      </c>
      <c r="D334" s="2" t="n">
        <v>0.308161998930503</v>
      </c>
      <c r="E334" s="2" t="s">
        <v>20622</v>
      </c>
      <c r="F334" s="2" t="s">
        <v>17039</v>
      </c>
      <c r="G334" s="2" t="s">
        <v>20623</v>
      </c>
      <c r="H334" s="2" t="s">
        <v>20624</v>
      </c>
      <c r="I334" s="2" t="s">
        <v>20625</v>
      </c>
      <c r="J334" s="2" t="s">
        <v>20626</v>
      </c>
      <c r="K334" s="2" t="s">
        <v>29</v>
      </c>
      <c r="L334" s="2" t="s">
        <v>20627</v>
      </c>
      <c r="M334" s="2" t="s">
        <v>20628</v>
      </c>
      <c r="N334" s="2" t="s">
        <v>20629</v>
      </c>
      <c r="O334" s="2" t="s">
        <v>20630</v>
      </c>
      <c r="P334" s="2" t="s">
        <v>20631</v>
      </c>
      <c r="Q334" s="2" t="s">
        <v>20632</v>
      </c>
      <c r="R334" s="2" t="s">
        <v>114</v>
      </c>
      <c r="S334" s="2" t="s">
        <v>7162</v>
      </c>
      <c r="T334" s="2" t="s">
        <v>7163</v>
      </c>
      <c r="U334" s="2" t="s">
        <v>56</v>
      </c>
      <c r="V334" s="2" t="n">
        <v>1</v>
      </c>
    </row>
    <row r="335">
      <c r="A335" s="2" t="n">
        <v>334</v>
      </c>
      <c r="B335" s="2" t="s">
        <v>20633</v>
      </c>
      <c r="C335" s="2" t="n">
        <v>316.998040384</v>
      </c>
      <c r="D335" s="2" t="n">
        <v>5.07116737165682</v>
      </c>
      <c r="E335" s="2" t="s">
        <v>20634</v>
      </c>
      <c r="F335" s="2" t="s">
        <v>17039</v>
      </c>
      <c r="G335" s="2" t="s">
        <v>20635</v>
      </c>
      <c r="H335" s="2" t="s">
        <v>20636</v>
      </c>
      <c r="I335" s="2" t="s">
        <v>20637</v>
      </c>
      <c r="J335" s="2" t="s">
        <v>20638</v>
      </c>
      <c r="K335" s="2" t="s">
        <v>29</v>
      </c>
      <c r="L335" s="2" t="s">
        <v>29</v>
      </c>
      <c r="M335" s="2" t="s">
        <v>29</v>
      </c>
      <c r="N335" s="2" t="s">
        <v>20639</v>
      </c>
      <c r="O335" s="2" t="s">
        <v>20640</v>
      </c>
      <c r="P335" s="2" t="s">
        <v>20641</v>
      </c>
      <c r="Q335" s="2" t="s">
        <v>20642</v>
      </c>
      <c r="R335" s="2" t="s">
        <v>186</v>
      </c>
      <c r="S335" s="2" t="s">
        <v>4086</v>
      </c>
      <c r="T335" s="2" t="s">
        <v>215</v>
      </c>
      <c r="U335" s="2" t="s">
        <v>56</v>
      </c>
      <c r="V335" s="2" t="n">
        <v>1</v>
      </c>
    </row>
    <row r="336">
      <c r="A336" s="2" t="n">
        <v>335</v>
      </c>
      <c r="B336" s="2" t="s">
        <v>20643</v>
      </c>
      <c r="C336" s="2" t="n">
        <v>317.11780906</v>
      </c>
      <c r="D336" s="2" t="n">
        <v>2.3009448049401</v>
      </c>
      <c r="E336" s="2" t="s">
        <v>20644</v>
      </c>
      <c r="F336" s="2" t="s">
        <v>17039</v>
      </c>
      <c r="G336" s="2" t="s">
        <v>20645</v>
      </c>
      <c r="H336" s="2" t="s">
        <v>20646</v>
      </c>
      <c r="I336" s="2" t="s">
        <v>20647</v>
      </c>
      <c r="J336" s="2" t="s">
        <v>29</v>
      </c>
      <c r="K336" s="2" t="s">
        <v>29</v>
      </c>
      <c r="L336" s="2" t="s">
        <v>29</v>
      </c>
      <c r="M336" s="2" t="s">
        <v>29</v>
      </c>
      <c r="N336" s="2" t="s">
        <v>29</v>
      </c>
      <c r="O336" s="2" t="s">
        <v>29</v>
      </c>
      <c r="P336" s="2" t="s">
        <v>20648</v>
      </c>
      <c r="Q336" s="2" t="s">
        <v>20649</v>
      </c>
      <c r="R336" s="2" t="s">
        <v>1355</v>
      </c>
      <c r="S336" s="2" t="s">
        <v>3298</v>
      </c>
      <c r="T336" s="2" t="s">
        <v>3299</v>
      </c>
      <c r="U336" s="2" t="s">
        <v>29</v>
      </c>
      <c r="V336" s="2" t="n">
        <v>1</v>
      </c>
    </row>
    <row r="337">
      <c r="A337" s="2" t="n">
        <v>336</v>
      </c>
      <c r="B337" s="2" t="s">
        <v>20650</v>
      </c>
      <c r="C337" s="2" t="n">
        <v>317.187738204</v>
      </c>
      <c r="D337" s="2" t="n">
        <v>3.2088467143102</v>
      </c>
      <c r="E337" s="2" t="s">
        <v>20651</v>
      </c>
      <c r="F337" s="2" t="s">
        <v>17406</v>
      </c>
      <c r="G337" s="2" t="s">
        <v>20652</v>
      </c>
      <c r="H337" s="2" t="s">
        <v>20653</v>
      </c>
      <c r="I337" s="2" t="s">
        <v>20654</v>
      </c>
      <c r="J337" s="2" t="s">
        <v>20655</v>
      </c>
      <c r="K337" s="2" t="s">
        <v>20656</v>
      </c>
      <c r="L337" s="2" t="s">
        <v>20657</v>
      </c>
      <c r="M337" s="2" t="s">
        <v>20658</v>
      </c>
      <c r="N337" s="2" t="s">
        <v>20659</v>
      </c>
      <c r="O337" s="2" t="s">
        <v>20660</v>
      </c>
      <c r="P337" s="2" t="s">
        <v>20661</v>
      </c>
      <c r="Q337" s="2" t="s">
        <v>20662</v>
      </c>
      <c r="R337" s="2" t="s">
        <v>794</v>
      </c>
      <c r="S337" s="2" t="s">
        <v>795</v>
      </c>
      <c r="T337" s="2" t="s">
        <v>2391</v>
      </c>
      <c r="U337" s="2" t="s">
        <v>39</v>
      </c>
      <c r="V337" s="2" t="n">
        <v>1</v>
      </c>
    </row>
    <row r="338">
      <c r="A338" s="2" t="n">
        <v>337</v>
      </c>
      <c r="B338" s="2" t="s">
        <v>20663</v>
      </c>
      <c r="C338" s="2" t="n">
        <v>319.115206372</v>
      </c>
      <c r="D338" s="2" t="n">
        <v>0.512484079604575</v>
      </c>
      <c r="E338" s="2" t="s">
        <v>20664</v>
      </c>
      <c r="F338" s="2" t="s">
        <v>17198</v>
      </c>
      <c r="G338" s="2" t="s">
        <v>20665</v>
      </c>
      <c r="H338" s="2" t="s">
        <v>20666</v>
      </c>
      <c r="I338" s="2" t="s">
        <v>20667</v>
      </c>
      <c r="J338" s="2" t="s">
        <v>29</v>
      </c>
      <c r="K338" s="2" t="s">
        <v>29</v>
      </c>
      <c r="L338" s="2" t="s">
        <v>20668</v>
      </c>
      <c r="M338" s="2" t="s">
        <v>29</v>
      </c>
      <c r="N338" s="2" t="s">
        <v>20669</v>
      </c>
      <c r="O338" s="2" t="s">
        <v>20670</v>
      </c>
      <c r="P338" s="2" t="s">
        <v>20671</v>
      </c>
      <c r="Q338" s="2" t="s">
        <v>20672</v>
      </c>
      <c r="R338" s="2" t="s">
        <v>794</v>
      </c>
      <c r="S338" s="2" t="s">
        <v>1098</v>
      </c>
      <c r="T338" s="2" t="s">
        <v>3079</v>
      </c>
      <c r="U338" s="2" t="s">
        <v>56</v>
      </c>
      <c r="V338" s="2" t="n">
        <v>1</v>
      </c>
    </row>
    <row r="339">
      <c r="A339" s="2" t="n">
        <v>338</v>
      </c>
      <c r="B339" s="2" t="s">
        <v>20673</v>
      </c>
      <c r="C339" s="2" t="n">
        <v>320.124096669</v>
      </c>
      <c r="D339" s="2" t="n">
        <v>7.86488373007582</v>
      </c>
      <c r="E339" s="2" t="s">
        <v>20674</v>
      </c>
      <c r="F339" s="2" t="s">
        <v>17137</v>
      </c>
      <c r="G339" s="2" t="s">
        <v>20675</v>
      </c>
      <c r="H339" s="2" t="s">
        <v>20676</v>
      </c>
      <c r="I339" s="2" t="s">
        <v>20677</v>
      </c>
      <c r="J339" s="2" t="s">
        <v>91</v>
      </c>
      <c r="K339" s="2" t="s">
        <v>91</v>
      </c>
      <c r="L339" s="2" t="s">
        <v>91</v>
      </c>
      <c r="M339" s="2" t="s">
        <v>91</v>
      </c>
      <c r="N339" s="2" t="s">
        <v>20678</v>
      </c>
      <c r="O339" s="2" t="s">
        <v>91</v>
      </c>
      <c r="P339" s="2" t="s">
        <v>20679</v>
      </c>
      <c r="Q339" s="2" t="s">
        <v>20680</v>
      </c>
      <c r="R339" s="2" t="s">
        <v>144</v>
      </c>
      <c r="S339" s="2" t="s">
        <v>145</v>
      </c>
      <c r="T339" s="2" t="s">
        <v>146</v>
      </c>
      <c r="U339" s="2" t="s">
        <v>56</v>
      </c>
      <c r="V339" s="2" t="n">
        <v>2</v>
      </c>
    </row>
    <row r="340">
      <c r="A340" s="2" t="n">
        <v>339</v>
      </c>
      <c r="B340" s="2" t="s">
        <v>20681</v>
      </c>
      <c r="C340" s="2" t="n">
        <v>320.198637241</v>
      </c>
      <c r="D340" s="2" t="n">
        <v>9.09195005721992</v>
      </c>
      <c r="E340" s="2" t="s">
        <v>20682</v>
      </c>
      <c r="F340" s="2" t="s">
        <v>17406</v>
      </c>
      <c r="G340" s="2" t="s">
        <v>20683</v>
      </c>
      <c r="H340" s="2" t="s">
        <v>20684</v>
      </c>
      <c r="I340" s="2" t="s">
        <v>20685</v>
      </c>
      <c r="J340" s="2" t="s">
        <v>20686</v>
      </c>
      <c r="K340" s="2" t="s">
        <v>29</v>
      </c>
      <c r="L340" s="2" t="s">
        <v>29</v>
      </c>
      <c r="M340" s="2" t="s">
        <v>29</v>
      </c>
      <c r="N340" s="2" t="s">
        <v>20687</v>
      </c>
      <c r="O340" s="2" t="s">
        <v>20688</v>
      </c>
      <c r="P340" s="2" t="s">
        <v>20689</v>
      </c>
      <c r="Q340" s="2" t="s">
        <v>20690</v>
      </c>
      <c r="R340" s="2" t="s">
        <v>794</v>
      </c>
      <c r="S340" s="2" t="s">
        <v>795</v>
      </c>
      <c r="T340" s="2" t="s">
        <v>1870</v>
      </c>
      <c r="U340" s="2" t="s">
        <v>56</v>
      </c>
      <c r="V340" s="2" t="n">
        <v>1</v>
      </c>
    </row>
    <row r="341">
      <c r="A341" s="2" t="n">
        <v>340</v>
      </c>
      <c r="B341" s="2" t="s">
        <v>20691</v>
      </c>
      <c r="C341" s="2" t="n">
        <v>321.133264372</v>
      </c>
      <c r="D341" s="2" t="n">
        <v>0.416701558712093</v>
      </c>
      <c r="E341" s="2" t="s">
        <v>20692</v>
      </c>
      <c r="F341" s="2" t="s">
        <v>17137</v>
      </c>
      <c r="G341" s="2" t="s">
        <v>20693</v>
      </c>
      <c r="H341" s="2" t="s">
        <v>20694</v>
      </c>
      <c r="I341" s="2" t="s">
        <v>20695</v>
      </c>
      <c r="J341" s="2" t="s">
        <v>20696</v>
      </c>
      <c r="K341" s="2" t="s">
        <v>29</v>
      </c>
      <c r="L341" s="2" t="s">
        <v>29</v>
      </c>
      <c r="M341" s="2" t="s">
        <v>20697</v>
      </c>
      <c r="N341" s="2" t="s">
        <v>20698</v>
      </c>
      <c r="O341" s="2" t="s">
        <v>20699</v>
      </c>
      <c r="P341" s="2" t="s">
        <v>20700</v>
      </c>
      <c r="Q341" s="2" t="s">
        <v>20701</v>
      </c>
      <c r="R341" s="2" t="s">
        <v>114</v>
      </c>
      <c r="S341" s="2" t="s">
        <v>1779</v>
      </c>
      <c r="T341" s="2" t="s">
        <v>1780</v>
      </c>
      <c r="U341" s="2" t="s">
        <v>56</v>
      </c>
      <c r="V341" s="2" t="n">
        <v>1</v>
      </c>
    </row>
    <row r="342">
      <c r="A342" s="2" t="n">
        <v>341</v>
      </c>
      <c r="B342" s="2" t="s">
        <v>20702</v>
      </c>
      <c r="C342" s="2" t="n">
        <v>321.221880204</v>
      </c>
      <c r="D342" s="2" t="n">
        <v>3.95432167471805</v>
      </c>
      <c r="E342" s="2" t="s">
        <v>20703</v>
      </c>
      <c r="F342" s="2" t="s">
        <v>17039</v>
      </c>
      <c r="G342" s="2" t="s">
        <v>20704</v>
      </c>
      <c r="H342" s="2" t="s">
        <v>20705</v>
      </c>
      <c r="I342" s="2" t="s">
        <v>20706</v>
      </c>
      <c r="J342" s="2" t="s">
        <v>91</v>
      </c>
      <c r="K342" s="2" t="s">
        <v>91</v>
      </c>
      <c r="L342" s="2" t="s">
        <v>91</v>
      </c>
      <c r="M342" s="2" t="s">
        <v>20707</v>
      </c>
      <c r="N342" s="2" t="s">
        <v>20708</v>
      </c>
      <c r="O342" s="2" t="s">
        <v>20709</v>
      </c>
      <c r="P342" s="2" t="s">
        <v>20710</v>
      </c>
      <c r="Q342" s="2" t="s">
        <v>20711</v>
      </c>
      <c r="R342" s="2" t="s">
        <v>412</v>
      </c>
      <c r="S342" s="2" t="s">
        <v>5304</v>
      </c>
      <c r="T342" s="2" t="s">
        <v>20712</v>
      </c>
      <c r="U342" s="2" t="s">
        <v>56</v>
      </c>
      <c r="V342" s="2" t="n">
        <v>2</v>
      </c>
    </row>
    <row r="343">
      <c r="A343" s="2" t="n">
        <v>342</v>
      </c>
      <c r="B343" s="2" t="s">
        <v>20713</v>
      </c>
      <c r="C343" s="2" t="n">
        <v>322.131884639</v>
      </c>
      <c r="D343" s="2" t="n">
        <v>9.52204191396839</v>
      </c>
      <c r="E343" s="2" t="s">
        <v>20714</v>
      </c>
      <c r="F343" s="2" t="s">
        <v>17137</v>
      </c>
      <c r="G343" s="2" t="s">
        <v>20715</v>
      </c>
      <c r="H343" s="2" t="s">
        <v>20716</v>
      </c>
      <c r="I343" s="2" t="s">
        <v>20717</v>
      </c>
      <c r="J343" s="2" t="s">
        <v>29</v>
      </c>
      <c r="K343" s="2" t="s">
        <v>29</v>
      </c>
      <c r="L343" s="2" t="s">
        <v>29</v>
      </c>
      <c r="M343" s="2" t="s">
        <v>29</v>
      </c>
      <c r="N343" s="2" t="s">
        <v>29</v>
      </c>
      <c r="O343" s="2" t="s">
        <v>29</v>
      </c>
      <c r="P343" s="2" t="s">
        <v>20718</v>
      </c>
      <c r="Q343" s="2" t="s">
        <v>20719</v>
      </c>
      <c r="R343" s="2" t="s">
        <v>794</v>
      </c>
      <c r="S343" s="2" t="s">
        <v>795</v>
      </c>
      <c r="T343" s="2" t="s">
        <v>1870</v>
      </c>
      <c r="U343" s="2" t="s">
        <v>29</v>
      </c>
      <c r="V343" s="2" t="n">
        <v>1</v>
      </c>
    </row>
    <row r="344">
      <c r="A344" s="2" t="n">
        <v>343</v>
      </c>
      <c r="B344" s="2" t="s">
        <v>20720</v>
      </c>
      <c r="C344" s="2" t="n">
        <v>323.042058204</v>
      </c>
      <c r="D344" s="2" t="n">
        <v>0.0288215013547553</v>
      </c>
      <c r="E344" s="2" t="s">
        <v>20721</v>
      </c>
      <c r="F344" s="2" t="s">
        <v>17198</v>
      </c>
      <c r="G344" s="2" t="s">
        <v>20722</v>
      </c>
      <c r="H344" s="2" t="s">
        <v>20723</v>
      </c>
      <c r="I344" s="2" t="s">
        <v>20724</v>
      </c>
      <c r="J344" s="2" t="s">
        <v>20725</v>
      </c>
      <c r="K344" s="2" t="s">
        <v>29</v>
      </c>
      <c r="L344" s="2" t="s">
        <v>20726</v>
      </c>
      <c r="M344" s="2" t="s">
        <v>20727</v>
      </c>
      <c r="N344" s="2" t="s">
        <v>20728</v>
      </c>
      <c r="O344" s="2" t="s">
        <v>20729</v>
      </c>
      <c r="P344" s="2" t="s">
        <v>20730</v>
      </c>
      <c r="Q344" s="2" t="s">
        <v>20731</v>
      </c>
      <c r="R344" s="2" t="s">
        <v>36</v>
      </c>
      <c r="S344" s="2" t="s">
        <v>37</v>
      </c>
      <c r="T344" s="2" t="s">
        <v>69</v>
      </c>
      <c r="U344" s="2" t="s">
        <v>56</v>
      </c>
      <c r="V344" s="2" t="n">
        <v>1</v>
      </c>
    </row>
    <row r="345">
      <c r="A345" s="2" t="n">
        <v>344</v>
      </c>
      <c r="B345" s="2" t="s">
        <v>20732</v>
      </c>
      <c r="C345" s="2" t="n">
        <v>323.127785064</v>
      </c>
      <c r="D345" s="2" t="n">
        <v>0.140798881379711</v>
      </c>
      <c r="E345" s="2" t="s">
        <v>20733</v>
      </c>
      <c r="F345" s="2" t="s">
        <v>17137</v>
      </c>
      <c r="G345" s="2" t="s">
        <v>20734</v>
      </c>
      <c r="H345" s="2" t="s">
        <v>20735</v>
      </c>
      <c r="I345" s="2" t="s">
        <v>20736</v>
      </c>
      <c r="J345" s="2" t="s">
        <v>20737</v>
      </c>
      <c r="K345" s="2" t="s">
        <v>29</v>
      </c>
      <c r="L345" s="2" t="s">
        <v>29</v>
      </c>
      <c r="M345" s="2" t="s">
        <v>20738</v>
      </c>
      <c r="N345" s="2" t="s">
        <v>20739</v>
      </c>
      <c r="O345" s="2" t="s">
        <v>20740</v>
      </c>
      <c r="P345" s="2" t="s">
        <v>20741</v>
      </c>
      <c r="Q345" s="2" t="s">
        <v>20742</v>
      </c>
      <c r="R345" s="2" t="s">
        <v>1355</v>
      </c>
      <c r="S345" s="2" t="s">
        <v>3653</v>
      </c>
      <c r="T345" s="2" t="s">
        <v>20743</v>
      </c>
      <c r="U345" s="2" t="s">
        <v>56</v>
      </c>
      <c r="V345" s="2" t="n">
        <v>1</v>
      </c>
    </row>
    <row r="346">
      <c r="A346" s="2" t="n">
        <v>345</v>
      </c>
      <c r="B346" s="2" t="s">
        <v>20744</v>
      </c>
      <c r="C346" s="2" t="n">
        <v>323.187226032</v>
      </c>
      <c r="D346" s="2" t="n">
        <v>0.613854105418849</v>
      </c>
      <c r="E346" s="2" t="s">
        <v>20745</v>
      </c>
      <c r="F346" s="2" t="s">
        <v>17039</v>
      </c>
      <c r="G346" s="2" t="s">
        <v>20746</v>
      </c>
      <c r="H346" s="2" t="s">
        <v>20747</v>
      </c>
      <c r="I346" s="2" t="s">
        <v>20748</v>
      </c>
      <c r="J346" s="2" t="s">
        <v>20749</v>
      </c>
      <c r="K346" s="2" t="s">
        <v>29</v>
      </c>
      <c r="L346" s="2" t="s">
        <v>20750</v>
      </c>
      <c r="M346" s="2" t="s">
        <v>20751</v>
      </c>
      <c r="N346" s="2" t="s">
        <v>20752</v>
      </c>
      <c r="O346" s="2" t="s">
        <v>20753</v>
      </c>
      <c r="P346" s="2" t="s">
        <v>20754</v>
      </c>
      <c r="Q346" s="2" t="s">
        <v>20755</v>
      </c>
      <c r="R346" s="2" t="s">
        <v>186</v>
      </c>
      <c r="S346" s="2" t="s">
        <v>911</v>
      </c>
      <c r="T346" s="2" t="s">
        <v>215</v>
      </c>
      <c r="U346" s="2" t="s">
        <v>56</v>
      </c>
      <c r="V346" s="2" t="n">
        <v>1</v>
      </c>
    </row>
    <row r="347">
      <c r="A347" s="2" t="n">
        <v>346</v>
      </c>
      <c r="B347" s="2" t="s">
        <v>20756</v>
      </c>
      <c r="C347" s="2" t="n">
        <v>324.193397113</v>
      </c>
      <c r="D347" s="2" t="n">
        <v>0.84916814819168</v>
      </c>
      <c r="E347" s="2" t="s">
        <v>20757</v>
      </c>
      <c r="F347" s="2" t="s">
        <v>17198</v>
      </c>
      <c r="G347" s="2" t="s">
        <v>20758</v>
      </c>
      <c r="H347" s="2" t="s">
        <v>20759</v>
      </c>
      <c r="I347" s="2" t="s">
        <v>20760</v>
      </c>
      <c r="J347" s="2" t="s">
        <v>29</v>
      </c>
      <c r="K347" s="2" t="s">
        <v>29</v>
      </c>
      <c r="L347" s="2" t="s">
        <v>29</v>
      </c>
      <c r="M347" s="2" t="s">
        <v>29</v>
      </c>
      <c r="N347" s="2" t="s">
        <v>20761</v>
      </c>
      <c r="O347" s="2" t="s">
        <v>29</v>
      </c>
      <c r="P347" s="2" t="s">
        <v>20762</v>
      </c>
      <c r="Q347" s="2" t="s">
        <v>20763</v>
      </c>
      <c r="R347" s="2" t="s">
        <v>3003</v>
      </c>
      <c r="S347" s="2" t="s">
        <v>20764</v>
      </c>
      <c r="T347" s="2" t="s">
        <v>20765</v>
      </c>
      <c r="U347" s="2" t="s">
        <v>29</v>
      </c>
      <c r="V347" s="2" t="n">
        <v>1</v>
      </c>
    </row>
    <row r="348">
      <c r="A348" s="2" t="n">
        <v>347</v>
      </c>
      <c r="B348" s="2" t="s">
        <v>20766</v>
      </c>
      <c r="C348" s="2" t="n">
        <v>325.107049622</v>
      </c>
      <c r="D348" s="2" t="n">
        <v>2.92975905420533</v>
      </c>
      <c r="E348" s="2" t="s">
        <v>20767</v>
      </c>
      <c r="F348" s="2" t="s">
        <v>17137</v>
      </c>
      <c r="G348" s="2" t="s">
        <v>20768</v>
      </c>
      <c r="H348" s="2" t="s">
        <v>20769</v>
      </c>
      <c r="I348" s="2" t="s">
        <v>20770</v>
      </c>
      <c r="J348" s="2" t="s">
        <v>195</v>
      </c>
      <c r="K348" s="2" t="s">
        <v>195</v>
      </c>
      <c r="L348" s="2" t="s">
        <v>195</v>
      </c>
      <c r="M348" s="2" t="s">
        <v>195</v>
      </c>
      <c r="N348" s="2" t="s">
        <v>20771</v>
      </c>
      <c r="O348" s="2" t="s">
        <v>195</v>
      </c>
      <c r="P348" s="2" t="s">
        <v>20772</v>
      </c>
      <c r="Q348" s="2" t="s">
        <v>20773</v>
      </c>
      <c r="R348" s="2" t="s">
        <v>5817</v>
      </c>
      <c r="S348" s="2" t="s">
        <v>20774</v>
      </c>
      <c r="T348" s="2" t="s">
        <v>20775</v>
      </c>
      <c r="U348" s="2" t="s">
        <v>56</v>
      </c>
      <c r="V348" s="2" t="n">
        <v>3</v>
      </c>
    </row>
    <row r="349">
      <c r="A349" s="2" t="n">
        <v>348</v>
      </c>
      <c r="B349" s="2" t="s">
        <v>20776</v>
      </c>
      <c r="C349" s="2" t="n">
        <v>325.179820634</v>
      </c>
      <c r="D349" s="2" t="n">
        <v>0.0221267611990811</v>
      </c>
      <c r="E349" s="2" t="s">
        <v>20777</v>
      </c>
      <c r="F349" s="2" t="s">
        <v>17137</v>
      </c>
      <c r="G349" s="2" t="s">
        <v>20778</v>
      </c>
      <c r="H349" s="2" t="s">
        <v>20779</v>
      </c>
      <c r="I349" s="2" t="s">
        <v>20780</v>
      </c>
      <c r="J349" s="2" t="s">
        <v>29</v>
      </c>
      <c r="K349" s="2" t="s">
        <v>29</v>
      </c>
      <c r="L349" s="2" t="s">
        <v>20781</v>
      </c>
      <c r="M349" s="2" t="s">
        <v>29</v>
      </c>
      <c r="N349" s="2" t="s">
        <v>20782</v>
      </c>
      <c r="O349" s="2" t="s">
        <v>29</v>
      </c>
      <c r="P349" s="2" t="s">
        <v>20783</v>
      </c>
      <c r="Q349" s="2" t="s">
        <v>20784</v>
      </c>
      <c r="R349" s="2" t="s">
        <v>794</v>
      </c>
      <c r="S349" s="2" t="s">
        <v>1098</v>
      </c>
      <c r="T349" s="2" t="s">
        <v>9336</v>
      </c>
      <c r="U349" s="2" t="s">
        <v>56</v>
      </c>
      <c r="V349" s="2" t="n">
        <v>1</v>
      </c>
    </row>
    <row r="350">
      <c r="A350" s="2" t="n">
        <v>349</v>
      </c>
      <c r="B350" s="2" t="s">
        <v>20785</v>
      </c>
      <c r="C350" s="2" t="n">
        <v>326.111124047</v>
      </c>
      <c r="D350" s="2" t="n">
        <v>2.81773506235658</v>
      </c>
      <c r="E350" s="2" t="s">
        <v>20786</v>
      </c>
      <c r="F350" s="2" t="s">
        <v>17198</v>
      </c>
      <c r="G350" s="2" t="s">
        <v>20787</v>
      </c>
      <c r="H350" s="2" t="s">
        <v>20788</v>
      </c>
      <c r="I350" s="2" t="s">
        <v>20789</v>
      </c>
      <c r="J350" s="2" t="s">
        <v>29</v>
      </c>
      <c r="K350" s="2" t="s">
        <v>29</v>
      </c>
      <c r="L350" s="2" t="s">
        <v>29</v>
      </c>
      <c r="M350" s="2" t="s">
        <v>20790</v>
      </c>
      <c r="N350" s="2" t="s">
        <v>20791</v>
      </c>
      <c r="O350" s="2" t="s">
        <v>20792</v>
      </c>
      <c r="P350" s="2" t="s">
        <v>20793</v>
      </c>
      <c r="Q350" s="2" t="s">
        <v>20794</v>
      </c>
      <c r="R350" s="2" t="s">
        <v>36</v>
      </c>
      <c r="S350" s="2" t="s">
        <v>37</v>
      </c>
      <c r="T350" s="2" t="s">
        <v>69</v>
      </c>
      <c r="U350" s="2" t="s">
        <v>56</v>
      </c>
      <c r="V350" s="2" t="n">
        <v>1</v>
      </c>
    </row>
    <row r="351">
      <c r="A351" s="2" t="n">
        <v>350</v>
      </c>
      <c r="B351" s="2" t="s">
        <v>20795</v>
      </c>
      <c r="C351" s="2" t="n">
        <v>326.186302995</v>
      </c>
      <c r="D351" s="2" t="n">
        <v>4.34594527662293</v>
      </c>
      <c r="E351" s="2" t="s">
        <v>20796</v>
      </c>
      <c r="F351" s="2" t="s">
        <v>17137</v>
      </c>
      <c r="G351" s="2" t="s">
        <v>20797</v>
      </c>
      <c r="H351" s="2" t="s">
        <v>20798</v>
      </c>
      <c r="I351" s="2" t="s">
        <v>20799</v>
      </c>
      <c r="J351" s="2" t="s">
        <v>20800</v>
      </c>
      <c r="K351" s="2" t="s">
        <v>29</v>
      </c>
      <c r="L351" s="2" t="s">
        <v>20801</v>
      </c>
      <c r="M351" s="2" t="s">
        <v>20802</v>
      </c>
      <c r="N351" s="2" t="s">
        <v>20803</v>
      </c>
      <c r="O351" s="2" t="s">
        <v>20804</v>
      </c>
      <c r="P351" s="2" t="s">
        <v>20805</v>
      </c>
      <c r="Q351" s="2" t="s">
        <v>20806</v>
      </c>
      <c r="R351" s="2" t="s">
        <v>3003</v>
      </c>
      <c r="S351" s="2" t="s">
        <v>4720</v>
      </c>
      <c r="T351" s="2" t="s">
        <v>4721</v>
      </c>
      <c r="U351" s="2" t="s">
        <v>56</v>
      </c>
      <c r="V351" s="2" t="n">
        <v>1</v>
      </c>
    </row>
    <row r="352">
      <c r="A352" s="2" t="n">
        <v>351</v>
      </c>
      <c r="B352" s="2" t="s">
        <v>20807</v>
      </c>
      <c r="C352" s="2" t="n">
        <v>327.009726864</v>
      </c>
      <c r="D352" s="2" t="n">
        <v>0.477817739747294</v>
      </c>
      <c r="E352" s="2" t="s">
        <v>20808</v>
      </c>
      <c r="F352" s="2" t="s">
        <v>17406</v>
      </c>
      <c r="G352" s="2" t="s">
        <v>20809</v>
      </c>
      <c r="H352" s="2" t="s">
        <v>20810</v>
      </c>
      <c r="I352" s="2" t="s">
        <v>20811</v>
      </c>
      <c r="J352" s="2" t="s">
        <v>29</v>
      </c>
      <c r="K352" s="2" t="s">
        <v>29</v>
      </c>
      <c r="L352" s="2" t="s">
        <v>29</v>
      </c>
      <c r="M352" s="2" t="s">
        <v>29</v>
      </c>
      <c r="N352" s="2" t="s">
        <v>20812</v>
      </c>
      <c r="O352" s="2" t="s">
        <v>29</v>
      </c>
      <c r="P352" s="2" t="s">
        <v>20813</v>
      </c>
      <c r="Q352" s="2" t="s">
        <v>20814</v>
      </c>
      <c r="R352" s="2" t="s">
        <v>114</v>
      </c>
      <c r="S352" s="2" t="s">
        <v>4523</v>
      </c>
      <c r="T352" s="2" t="s">
        <v>4524</v>
      </c>
      <c r="U352" s="2" t="s">
        <v>29</v>
      </c>
      <c r="V352" s="2" t="n">
        <v>1</v>
      </c>
    </row>
    <row r="353">
      <c r="A353" s="2" t="n">
        <v>352</v>
      </c>
      <c r="B353" s="2" t="s">
        <v>20815</v>
      </c>
      <c r="C353" s="2" t="n">
        <v>327.0921874</v>
      </c>
      <c r="D353" s="2" t="n">
        <v>5.60480165368556</v>
      </c>
      <c r="E353" s="2" t="s">
        <v>20816</v>
      </c>
      <c r="F353" s="2" t="s">
        <v>17137</v>
      </c>
      <c r="G353" s="2" t="s">
        <v>20817</v>
      </c>
      <c r="H353" s="2" t="s">
        <v>20818</v>
      </c>
      <c r="I353" s="2" t="s">
        <v>20819</v>
      </c>
      <c r="J353" s="2" t="s">
        <v>195</v>
      </c>
      <c r="K353" s="2" t="s">
        <v>195</v>
      </c>
      <c r="L353" s="2" t="s">
        <v>195</v>
      </c>
      <c r="M353" s="2" t="s">
        <v>20820</v>
      </c>
      <c r="N353" s="2" t="s">
        <v>20821</v>
      </c>
      <c r="O353" s="2" t="s">
        <v>20822</v>
      </c>
      <c r="P353" s="2" t="s">
        <v>20823</v>
      </c>
      <c r="Q353" s="2" t="s">
        <v>20824</v>
      </c>
      <c r="R353" s="2" t="s">
        <v>5788</v>
      </c>
      <c r="S353" s="2" t="s">
        <v>5789</v>
      </c>
      <c r="T353" s="2" t="s">
        <v>5790</v>
      </c>
      <c r="U353" s="2" t="s">
        <v>29</v>
      </c>
      <c r="V353" s="2" t="n">
        <v>3</v>
      </c>
    </row>
    <row r="354">
      <c r="A354" s="2" t="n">
        <v>353</v>
      </c>
      <c r="B354" s="2" t="s">
        <v>20825</v>
      </c>
      <c r="C354" s="2" t="n">
        <v>327.12750238</v>
      </c>
      <c r="D354" s="2" t="n">
        <v>0.245203090990822</v>
      </c>
      <c r="E354" s="2" t="s">
        <v>20826</v>
      </c>
      <c r="F354" s="2" t="s">
        <v>17198</v>
      </c>
      <c r="G354" s="2" t="s">
        <v>20827</v>
      </c>
      <c r="H354" s="2" t="s">
        <v>20828</v>
      </c>
      <c r="I354" s="2" t="s">
        <v>20829</v>
      </c>
      <c r="J354" s="2" t="s">
        <v>29</v>
      </c>
      <c r="K354" s="2" t="s">
        <v>29</v>
      </c>
      <c r="L354" s="2" t="s">
        <v>29</v>
      </c>
      <c r="M354" s="2" t="s">
        <v>29</v>
      </c>
      <c r="N354" s="2" t="s">
        <v>20830</v>
      </c>
      <c r="O354" s="2" t="s">
        <v>29</v>
      </c>
      <c r="P354" s="2" t="s">
        <v>20831</v>
      </c>
      <c r="Q354" s="2" t="s">
        <v>20832</v>
      </c>
      <c r="R354" s="2" t="s">
        <v>36</v>
      </c>
      <c r="S354" s="2" t="s">
        <v>37</v>
      </c>
      <c r="T354" s="2" t="s">
        <v>69</v>
      </c>
      <c r="U354" s="2" t="s">
        <v>29</v>
      </c>
      <c r="V354" s="2" t="n">
        <v>1</v>
      </c>
    </row>
    <row r="355">
      <c r="A355" s="2" t="n">
        <v>354</v>
      </c>
      <c r="B355" s="2" t="s">
        <v>20833</v>
      </c>
      <c r="C355" s="2" t="n">
        <v>327.183166781</v>
      </c>
      <c r="D355" s="2" t="n">
        <v>0.551202401392185</v>
      </c>
      <c r="E355" s="2" t="s">
        <v>20834</v>
      </c>
      <c r="F355" s="2" t="s">
        <v>17198</v>
      </c>
      <c r="G355" s="2" t="s">
        <v>20835</v>
      </c>
      <c r="H355" s="2" t="s">
        <v>20836</v>
      </c>
      <c r="I355" s="2" t="s">
        <v>20837</v>
      </c>
      <c r="J355" s="2" t="s">
        <v>29</v>
      </c>
      <c r="K355" s="2" t="s">
        <v>29</v>
      </c>
      <c r="L355" s="2" t="s">
        <v>29</v>
      </c>
      <c r="M355" s="2" t="s">
        <v>29</v>
      </c>
      <c r="N355" s="2" t="s">
        <v>29</v>
      </c>
      <c r="O355" s="2" t="s">
        <v>29</v>
      </c>
      <c r="P355" s="2" t="s">
        <v>20838</v>
      </c>
      <c r="Q355" s="2" t="s">
        <v>20839</v>
      </c>
      <c r="R355" s="2" t="s">
        <v>114</v>
      </c>
      <c r="S355" s="2" t="s">
        <v>3757</v>
      </c>
      <c r="T355" s="2" t="s">
        <v>3758</v>
      </c>
      <c r="U355" s="2" t="s">
        <v>29</v>
      </c>
      <c r="V355" s="2" t="n">
        <v>1</v>
      </c>
    </row>
    <row r="356">
      <c r="A356" s="2" t="n">
        <v>355</v>
      </c>
      <c r="B356" s="2" t="s">
        <v>20840</v>
      </c>
      <c r="C356" s="2" t="n">
        <v>327.244859152</v>
      </c>
      <c r="D356" s="2" t="n">
        <v>2.34732416444139</v>
      </c>
      <c r="E356" s="2" t="s">
        <v>20841</v>
      </c>
      <c r="F356" s="2" t="s">
        <v>17406</v>
      </c>
      <c r="G356" s="2" t="s">
        <v>20842</v>
      </c>
      <c r="H356" s="2" t="s">
        <v>20843</v>
      </c>
      <c r="I356" s="2" t="s">
        <v>20844</v>
      </c>
      <c r="J356" s="2" t="s">
        <v>20845</v>
      </c>
      <c r="K356" s="2" t="s">
        <v>91</v>
      </c>
      <c r="L356" s="2" t="s">
        <v>91</v>
      </c>
      <c r="M356" s="2" t="s">
        <v>20846</v>
      </c>
      <c r="N356" s="2" t="s">
        <v>20847</v>
      </c>
      <c r="O356" s="2" t="s">
        <v>20848</v>
      </c>
      <c r="P356" s="2" t="s">
        <v>20849</v>
      </c>
      <c r="Q356" s="2" t="s">
        <v>20850</v>
      </c>
      <c r="R356" s="2" t="s">
        <v>2020</v>
      </c>
      <c r="S356" s="2" t="s">
        <v>20851</v>
      </c>
      <c r="T356" s="2" t="s">
        <v>20852</v>
      </c>
      <c r="U356" s="2" t="s">
        <v>29</v>
      </c>
      <c r="V356" s="2" t="n">
        <v>2</v>
      </c>
    </row>
    <row r="357">
      <c r="A357" s="2" t="n">
        <v>356</v>
      </c>
      <c r="B357" s="2" t="s">
        <v>20853</v>
      </c>
      <c r="C357" s="2" t="n">
        <v>328.203567873</v>
      </c>
      <c r="D357" s="2" t="n">
        <v>8.41571474943488</v>
      </c>
      <c r="E357" s="2" t="s">
        <v>20854</v>
      </c>
      <c r="F357" s="2" t="s">
        <v>17198</v>
      </c>
      <c r="G357" s="2" t="s">
        <v>20855</v>
      </c>
      <c r="H357" s="2" t="s">
        <v>20856</v>
      </c>
      <c r="I357" s="2" t="s">
        <v>20857</v>
      </c>
      <c r="J357" s="2" t="s">
        <v>91</v>
      </c>
      <c r="K357" s="2" t="s">
        <v>91</v>
      </c>
      <c r="L357" s="2" t="s">
        <v>91</v>
      </c>
      <c r="M357" s="2" t="s">
        <v>91</v>
      </c>
      <c r="N357" s="2" t="s">
        <v>20858</v>
      </c>
      <c r="O357" s="2" t="s">
        <v>91</v>
      </c>
      <c r="P357" s="2" t="s">
        <v>20859</v>
      </c>
      <c r="Q357" s="2" t="s">
        <v>20860</v>
      </c>
      <c r="R357" s="2" t="s">
        <v>809</v>
      </c>
      <c r="S357" s="2" t="s">
        <v>20861</v>
      </c>
      <c r="T357" s="2" t="s">
        <v>20862</v>
      </c>
      <c r="U357" s="2" t="s">
        <v>29</v>
      </c>
      <c r="V357" s="2" t="n">
        <v>2</v>
      </c>
    </row>
    <row r="358">
      <c r="A358" s="2" t="n">
        <v>357</v>
      </c>
      <c r="B358" s="2" t="s">
        <v>20863</v>
      </c>
      <c r="C358" s="2" t="n">
        <v>329.012553268</v>
      </c>
      <c r="D358" s="2" t="n">
        <v>1.4648212386955</v>
      </c>
      <c r="E358" s="2" t="s">
        <v>20864</v>
      </c>
      <c r="F358" s="2" t="s">
        <v>17406</v>
      </c>
      <c r="G358" s="2" t="s">
        <v>20865</v>
      </c>
      <c r="H358" s="2" t="s">
        <v>20866</v>
      </c>
      <c r="I358" s="2" t="s">
        <v>20867</v>
      </c>
      <c r="J358" s="2" t="s">
        <v>29</v>
      </c>
      <c r="K358" s="2" t="s">
        <v>29</v>
      </c>
      <c r="L358" s="2" t="s">
        <v>29</v>
      </c>
      <c r="M358" s="2" t="s">
        <v>29</v>
      </c>
      <c r="N358" s="2" t="s">
        <v>20868</v>
      </c>
      <c r="O358" s="2" t="s">
        <v>29</v>
      </c>
      <c r="P358" s="2" t="s">
        <v>20869</v>
      </c>
      <c r="Q358" s="2" t="s">
        <v>20870</v>
      </c>
      <c r="R358" s="2" t="s">
        <v>36</v>
      </c>
      <c r="S358" s="2" t="s">
        <v>344</v>
      </c>
      <c r="T358" s="2" t="s">
        <v>345</v>
      </c>
      <c r="U358" s="2" t="s">
        <v>29</v>
      </c>
      <c r="V358" s="2" t="n">
        <v>1</v>
      </c>
    </row>
    <row r="359">
      <c r="A359" s="2" t="n">
        <v>358</v>
      </c>
      <c r="B359" s="2" t="s">
        <v>20871</v>
      </c>
      <c r="C359" s="2" t="n">
        <v>329.168211027</v>
      </c>
      <c r="D359" s="2" t="n">
        <v>0.577876730948546</v>
      </c>
      <c r="E359" s="2" t="s">
        <v>20872</v>
      </c>
      <c r="F359" s="2" t="s">
        <v>17117</v>
      </c>
      <c r="G359" s="2" t="s">
        <v>20873</v>
      </c>
      <c r="H359" s="2" t="s">
        <v>20874</v>
      </c>
      <c r="I359" s="2" t="s">
        <v>20875</v>
      </c>
      <c r="J359" s="2" t="s">
        <v>29</v>
      </c>
      <c r="K359" s="2" t="s">
        <v>29</v>
      </c>
      <c r="L359" s="2" t="s">
        <v>29</v>
      </c>
      <c r="M359" s="2" t="s">
        <v>29</v>
      </c>
      <c r="N359" s="2" t="s">
        <v>29</v>
      </c>
      <c r="O359" s="2" t="s">
        <v>20876</v>
      </c>
      <c r="P359" s="2" t="s">
        <v>20877</v>
      </c>
      <c r="Q359" s="2" t="s">
        <v>20878</v>
      </c>
      <c r="R359" s="2" t="s">
        <v>114</v>
      </c>
      <c r="S359" s="2" t="s">
        <v>5831</v>
      </c>
      <c r="T359" s="2" t="s">
        <v>5832</v>
      </c>
      <c r="U359" s="2" t="s">
        <v>56</v>
      </c>
      <c r="V359" s="2" t="n">
        <v>1</v>
      </c>
    </row>
    <row r="360">
      <c r="A360" s="2" t="n">
        <v>359</v>
      </c>
      <c r="B360" s="2" t="s">
        <v>20879</v>
      </c>
      <c r="C360" s="2" t="n">
        <v>329.211120762</v>
      </c>
      <c r="D360" s="2" t="n">
        <v>0.230267321424835</v>
      </c>
      <c r="E360" s="2" t="s">
        <v>20880</v>
      </c>
      <c r="F360" s="2" t="s">
        <v>17137</v>
      </c>
      <c r="G360" s="2" t="s">
        <v>20881</v>
      </c>
      <c r="H360" s="2" t="s">
        <v>20882</v>
      </c>
      <c r="I360" s="2" t="s">
        <v>20883</v>
      </c>
      <c r="J360" s="2" t="s">
        <v>20884</v>
      </c>
      <c r="K360" s="2" t="s">
        <v>29</v>
      </c>
      <c r="L360" s="2" t="s">
        <v>29</v>
      </c>
      <c r="M360" s="2" t="s">
        <v>29</v>
      </c>
      <c r="N360" s="2" t="s">
        <v>20885</v>
      </c>
      <c r="O360" s="2" t="s">
        <v>29</v>
      </c>
      <c r="P360" s="2" t="s">
        <v>20886</v>
      </c>
      <c r="Q360" s="2" t="s">
        <v>20887</v>
      </c>
      <c r="R360" s="2" t="s">
        <v>186</v>
      </c>
      <c r="S360" s="2" t="s">
        <v>3770</v>
      </c>
      <c r="T360" s="2" t="s">
        <v>215</v>
      </c>
      <c r="U360" s="2" t="s">
        <v>56</v>
      </c>
      <c r="V360" s="2" t="n">
        <v>1</v>
      </c>
    </row>
    <row r="361">
      <c r="A361" s="2" t="n">
        <v>360</v>
      </c>
      <c r="B361" s="2" t="s">
        <v>20888</v>
      </c>
      <c r="C361" s="2" t="n">
        <v>330.076672523</v>
      </c>
      <c r="D361" s="2" t="n">
        <v>8.45984322261255</v>
      </c>
      <c r="E361" s="2" t="s">
        <v>20889</v>
      </c>
      <c r="F361" s="2" t="s">
        <v>17039</v>
      </c>
      <c r="G361" s="2" t="s">
        <v>20890</v>
      </c>
      <c r="H361" s="2" t="s">
        <v>20891</v>
      </c>
      <c r="I361" s="2" t="s">
        <v>20892</v>
      </c>
      <c r="J361" s="2" t="s">
        <v>20893</v>
      </c>
      <c r="K361" s="2" t="s">
        <v>29</v>
      </c>
      <c r="L361" s="2" t="s">
        <v>20894</v>
      </c>
      <c r="M361" s="2" t="s">
        <v>29</v>
      </c>
      <c r="N361" s="2" t="s">
        <v>20895</v>
      </c>
      <c r="O361" s="2" t="s">
        <v>20896</v>
      </c>
      <c r="P361" s="2" t="s">
        <v>20897</v>
      </c>
      <c r="Q361" s="2" t="s">
        <v>20898</v>
      </c>
      <c r="R361" s="2" t="s">
        <v>114</v>
      </c>
      <c r="S361" s="2" t="s">
        <v>2057</v>
      </c>
      <c r="T361" s="2" t="s">
        <v>3067</v>
      </c>
      <c r="U361" s="2" t="s">
        <v>101</v>
      </c>
      <c r="V361" s="2" t="n">
        <v>1</v>
      </c>
    </row>
    <row r="362">
      <c r="A362" s="2" t="n">
        <v>361</v>
      </c>
      <c r="B362" s="2" t="s">
        <v>20899</v>
      </c>
      <c r="C362" s="2" t="n">
        <v>331.006204604</v>
      </c>
      <c r="D362" s="2" t="n">
        <v>0.778867037457924</v>
      </c>
      <c r="E362" s="2" t="s">
        <v>20900</v>
      </c>
      <c r="F362" s="2" t="s">
        <v>17227</v>
      </c>
      <c r="G362" s="2" t="s">
        <v>20901</v>
      </c>
      <c r="H362" s="2" t="s">
        <v>20902</v>
      </c>
      <c r="I362" s="2" t="s">
        <v>20903</v>
      </c>
      <c r="J362" s="2" t="s">
        <v>20904</v>
      </c>
      <c r="K362" s="2" t="s">
        <v>29</v>
      </c>
      <c r="L362" s="2" t="s">
        <v>20905</v>
      </c>
      <c r="M362" s="2" t="s">
        <v>20906</v>
      </c>
      <c r="N362" s="2" t="s">
        <v>20907</v>
      </c>
      <c r="O362" s="2" t="s">
        <v>20908</v>
      </c>
      <c r="P362" s="2" t="s">
        <v>20909</v>
      </c>
      <c r="Q362" s="2" t="s">
        <v>20910</v>
      </c>
      <c r="R362" s="2" t="s">
        <v>36</v>
      </c>
      <c r="S362" s="2" t="s">
        <v>271</v>
      </c>
      <c r="T362" s="2" t="s">
        <v>2066</v>
      </c>
      <c r="U362" s="2" t="s">
        <v>39</v>
      </c>
      <c r="V362" s="2" t="n">
        <v>1</v>
      </c>
    </row>
    <row r="363">
      <c r="A363" s="2" t="n">
        <v>362</v>
      </c>
      <c r="B363" s="2" t="s">
        <v>20911</v>
      </c>
      <c r="C363" s="2" t="n">
        <v>331.09423175</v>
      </c>
      <c r="D363" s="2" t="n">
        <v>1.21199021580965</v>
      </c>
      <c r="E363" s="2" t="s">
        <v>20912</v>
      </c>
      <c r="F363" s="2" t="s">
        <v>17406</v>
      </c>
      <c r="G363" s="2" t="s">
        <v>20913</v>
      </c>
      <c r="H363" s="2" t="s">
        <v>20914</v>
      </c>
      <c r="I363" s="2" t="s">
        <v>20915</v>
      </c>
      <c r="J363" s="2" t="s">
        <v>20916</v>
      </c>
      <c r="K363" s="2" t="s">
        <v>29</v>
      </c>
      <c r="L363" s="2" t="s">
        <v>29</v>
      </c>
      <c r="M363" s="2" t="s">
        <v>20917</v>
      </c>
      <c r="N363" s="2" t="s">
        <v>20918</v>
      </c>
      <c r="O363" s="2" t="s">
        <v>20919</v>
      </c>
      <c r="P363" s="2" t="s">
        <v>20920</v>
      </c>
      <c r="Q363" s="2" t="s">
        <v>20921</v>
      </c>
      <c r="R363" s="2" t="s">
        <v>1355</v>
      </c>
      <c r="S363" s="2" t="s">
        <v>20922</v>
      </c>
      <c r="T363" s="2" t="s">
        <v>215</v>
      </c>
      <c r="U363" s="2" t="s">
        <v>56</v>
      </c>
      <c r="V363" s="2" t="n">
        <v>1</v>
      </c>
    </row>
    <row r="364">
      <c r="A364" s="2" t="n">
        <v>363</v>
      </c>
      <c r="B364" s="2" t="s">
        <v>20923</v>
      </c>
      <c r="C364" s="2" t="n">
        <v>331.144103828</v>
      </c>
      <c r="D364" s="2" t="n">
        <v>0.600730140283773</v>
      </c>
      <c r="E364" s="2" t="s">
        <v>20924</v>
      </c>
      <c r="F364" s="2" t="s">
        <v>17137</v>
      </c>
      <c r="G364" s="2" t="s">
        <v>20925</v>
      </c>
      <c r="H364" s="2" t="s">
        <v>20926</v>
      </c>
      <c r="I364" s="2" t="s">
        <v>20927</v>
      </c>
      <c r="J364" s="2" t="s">
        <v>29</v>
      </c>
      <c r="K364" s="2" t="s">
        <v>29</v>
      </c>
      <c r="L364" s="2" t="s">
        <v>29</v>
      </c>
      <c r="M364" s="2" t="s">
        <v>29</v>
      </c>
      <c r="N364" s="2" t="s">
        <v>20928</v>
      </c>
      <c r="O364" s="2" t="s">
        <v>29</v>
      </c>
      <c r="P364" s="2" t="s">
        <v>20929</v>
      </c>
      <c r="Q364" s="2" t="s">
        <v>20930</v>
      </c>
      <c r="R364" s="2" t="s">
        <v>186</v>
      </c>
      <c r="S364" s="2" t="s">
        <v>3770</v>
      </c>
      <c r="T364" s="2" t="s">
        <v>20931</v>
      </c>
      <c r="U364" s="2" t="s">
        <v>29</v>
      </c>
      <c r="V364" s="2" t="n">
        <v>1</v>
      </c>
    </row>
    <row r="365">
      <c r="A365" s="2" t="n">
        <v>364</v>
      </c>
      <c r="B365" s="2" t="s">
        <v>20932</v>
      </c>
      <c r="C365" s="2" t="n">
        <v>331.210444158</v>
      </c>
      <c r="D365" s="2" t="n">
        <v>1.19001718727352</v>
      </c>
      <c r="E365" s="2" t="s">
        <v>20933</v>
      </c>
      <c r="F365" s="2" t="s">
        <v>17198</v>
      </c>
      <c r="G365" s="2" t="s">
        <v>20934</v>
      </c>
      <c r="H365" s="2" t="s">
        <v>20935</v>
      </c>
      <c r="I365" s="2" t="s">
        <v>20936</v>
      </c>
      <c r="J365" s="2" t="s">
        <v>29</v>
      </c>
      <c r="K365" s="2" t="s">
        <v>29</v>
      </c>
      <c r="L365" s="2" t="s">
        <v>29</v>
      </c>
      <c r="M365" s="2" t="s">
        <v>29</v>
      </c>
      <c r="N365" s="2" t="s">
        <v>20937</v>
      </c>
      <c r="O365" s="2" t="s">
        <v>29</v>
      </c>
      <c r="P365" s="2" t="s">
        <v>20938</v>
      </c>
      <c r="Q365" s="2" t="s">
        <v>20939</v>
      </c>
      <c r="R365" s="2" t="s">
        <v>601</v>
      </c>
      <c r="S365" s="2" t="s">
        <v>602</v>
      </c>
      <c r="T365" s="2" t="s">
        <v>20940</v>
      </c>
      <c r="U365" s="2" t="s">
        <v>29</v>
      </c>
      <c r="V365" s="2" t="n">
        <v>1</v>
      </c>
    </row>
    <row r="366">
      <c r="A366" s="2" t="n">
        <v>365</v>
      </c>
      <c r="B366" s="2" t="s">
        <v>20941</v>
      </c>
      <c r="C366" s="2" t="n">
        <v>333.109881814</v>
      </c>
      <c r="D366" s="2" t="n">
        <v>1.19118981063698</v>
      </c>
      <c r="E366" s="2" t="s">
        <v>20942</v>
      </c>
      <c r="F366" s="2" t="s">
        <v>17406</v>
      </c>
      <c r="G366" s="2" t="s">
        <v>20943</v>
      </c>
      <c r="H366" s="2" t="s">
        <v>20944</v>
      </c>
      <c r="I366" s="2" t="s">
        <v>20945</v>
      </c>
      <c r="J366" s="2" t="s">
        <v>20946</v>
      </c>
      <c r="K366" s="2" t="s">
        <v>29</v>
      </c>
      <c r="L366" s="2" t="s">
        <v>29</v>
      </c>
      <c r="M366" s="2" t="s">
        <v>20947</v>
      </c>
      <c r="N366" s="2" t="s">
        <v>20948</v>
      </c>
      <c r="O366" s="2" t="s">
        <v>20949</v>
      </c>
      <c r="P366" s="2" t="s">
        <v>20950</v>
      </c>
      <c r="Q366" s="2" t="s">
        <v>20951</v>
      </c>
      <c r="R366" s="2" t="s">
        <v>794</v>
      </c>
      <c r="S366" s="2" t="s">
        <v>1098</v>
      </c>
      <c r="T366" s="2" t="s">
        <v>3079</v>
      </c>
      <c r="U366" s="2" t="s">
        <v>56</v>
      </c>
      <c r="V366" s="2" t="n">
        <v>1</v>
      </c>
    </row>
    <row r="367">
      <c r="A367" s="2" t="n">
        <v>366</v>
      </c>
      <c r="B367" s="2" t="s">
        <v>20952</v>
      </c>
      <c r="C367" s="2" t="n">
        <v>333.164835006</v>
      </c>
      <c r="D367" s="2" t="n">
        <v>1.04123120684493</v>
      </c>
      <c r="E367" s="2" t="s">
        <v>20953</v>
      </c>
      <c r="F367" s="2" t="s">
        <v>17970</v>
      </c>
      <c r="G367" s="2" t="s">
        <v>20954</v>
      </c>
      <c r="H367" s="2" t="s">
        <v>20955</v>
      </c>
      <c r="I367" s="2" t="s">
        <v>20956</v>
      </c>
      <c r="J367" s="2" t="s">
        <v>20957</v>
      </c>
      <c r="K367" s="2" t="s">
        <v>29</v>
      </c>
      <c r="L367" s="2" t="s">
        <v>29</v>
      </c>
      <c r="M367" s="2" t="s">
        <v>20958</v>
      </c>
      <c r="N367" s="2" t="s">
        <v>20959</v>
      </c>
      <c r="O367" s="2" t="s">
        <v>20960</v>
      </c>
      <c r="P367" s="2" t="s">
        <v>20961</v>
      </c>
      <c r="Q367" s="2" t="s">
        <v>20962</v>
      </c>
      <c r="R367" s="2" t="s">
        <v>794</v>
      </c>
      <c r="S367" s="2" t="s">
        <v>795</v>
      </c>
      <c r="T367" s="2" t="s">
        <v>796</v>
      </c>
      <c r="U367" s="2" t="s">
        <v>56</v>
      </c>
      <c r="V367" s="2" t="n">
        <v>1</v>
      </c>
    </row>
    <row r="368">
      <c r="A368" s="2" t="n">
        <v>367</v>
      </c>
      <c r="B368" s="2" t="s">
        <v>20963</v>
      </c>
      <c r="C368" s="2" t="n">
        <v>333.206035384</v>
      </c>
      <c r="D368" s="2" t="n">
        <v>8.10159873222955</v>
      </c>
      <c r="E368" s="2" t="s">
        <v>20964</v>
      </c>
      <c r="F368" s="2" t="s">
        <v>17137</v>
      </c>
      <c r="G368" s="2" t="s">
        <v>20965</v>
      </c>
      <c r="H368" s="2" t="s">
        <v>20966</v>
      </c>
      <c r="I368" s="2" t="s">
        <v>20967</v>
      </c>
      <c r="J368" s="2" t="s">
        <v>29</v>
      </c>
      <c r="K368" s="2" t="s">
        <v>29</v>
      </c>
      <c r="L368" s="2" t="s">
        <v>20968</v>
      </c>
      <c r="M368" s="2" t="s">
        <v>29</v>
      </c>
      <c r="N368" s="2" t="s">
        <v>20969</v>
      </c>
      <c r="O368" s="2" t="s">
        <v>20970</v>
      </c>
      <c r="P368" s="2" t="s">
        <v>20971</v>
      </c>
      <c r="Q368" s="2" t="s">
        <v>20972</v>
      </c>
      <c r="R368" s="2" t="s">
        <v>794</v>
      </c>
      <c r="S368" s="2" t="s">
        <v>1098</v>
      </c>
      <c r="T368" s="2" t="s">
        <v>3308</v>
      </c>
      <c r="U368" s="2" t="s">
        <v>56</v>
      </c>
      <c r="V368" s="2" t="n">
        <v>1</v>
      </c>
    </row>
    <row r="369">
      <c r="A369" s="2" t="n">
        <v>368</v>
      </c>
      <c r="B369" s="2" t="s">
        <v>20973</v>
      </c>
      <c r="C369" s="2" t="n">
        <v>335.117465751</v>
      </c>
      <c r="D369" s="2" t="n">
        <v>3.96968968710726</v>
      </c>
      <c r="E369" s="2" t="s">
        <v>20974</v>
      </c>
      <c r="F369" s="2" t="s">
        <v>17406</v>
      </c>
      <c r="G369" s="2" t="s">
        <v>20975</v>
      </c>
      <c r="H369" s="2" t="s">
        <v>20976</v>
      </c>
      <c r="I369" s="2" t="s">
        <v>20977</v>
      </c>
      <c r="J369" s="2" t="s">
        <v>20978</v>
      </c>
      <c r="K369" s="2" t="s">
        <v>20979</v>
      </c>
      <c r="L369" s="2" t="s">
        <v>29</v>
      </c>
      <c r="M369" s="2" t="s">
        <v>29</v>
      </c>
      <c r="N369" s="2" t="s">
        <v>20980</v>
      </c>
      <c r="O369" s="2" t="s">
        <v>20981</v>
      </c>
      <c r="P369" s="2" t="s">
        <v>20982</v>
      </c>
      <c r="Q369" s="2" t="s">
        <v>20983</v>
      </c>
      <c r="R369" s="2" t="s">
        <v>213</v>
      </c>
      <c r="S369" s="2" t="s">
        <v>20984</v>
      </c>
      <c r="T369" s="2" t="s">
        <v>20985</v>
      </c>
      <c r="U369" s="2" t="s">
        <v>29</v>
      </c>
      <c r="V369" s="2" t="n">
        <v>1</v>
      </c>
    </row>
    <row r="370">
      <c r="A370" s="2" t="n">
        <v>369</v>
      </c>
      <c r="B370" s="2" t="s">
        <v>20986</v>
      </c>
      <c r="C370" s="2" t="n">
        <v>335.185299942</v>
      </c>
      <c r="D370" s="2" t="n">
        <v>1.51632924273751</v>
      </c>
      <c r="E370" s="2" t="s">
        <v>20987</v>
      </c>
      <c r="F370" s="2" t="s">
        <v>17137</v>
      </c>
      <c r="G370" s="2" t="s">
        <v>20988</v>
      </c>
      <c r="H370" s="2" t="s">
        <v>20989</v>
      </c>
      <c r="I370" s="2" t="s">
        <v>20990</v>
      </c>
      <c r="J370" s="2" t="s">
        <v>20991</v>
      </c>
      <c r="K370" s="2" t="s">
        <v>91</v>
      </c>
      <c r="L370" s="2" t="s">
        <v>91</v>
      </c>
      <c r="M370" s="2" t="s">
        <v>20992</v>
      </c>
      <c r="N370" s="2" t="s">
        <v>20993</v>
      </c>
      <c r="O370" s="2" t="s">
        <v>20994</v>
      </c>
      <c r="P370" s="2" t="s">
        <v>20995</v>
      </c>
      <c r="Q370" s="2" t="s">
        <v>20996</v>
      </c>
      <c r="R370" s="2" t="s">
        <v>770</v>
      </c>
      <c r="S370" s="2" t="s">
        <v>20997</v>
      </c>
      <c r="T370" s="2" t="s">
        <v>543</v>
      </c>
      <c r="U370" s="2" t="s">
        <v>29</v>
      </c>
      <c r="V370" s="2" t="n">
        <v>2</v>
      </c>
    </row>
    <row r="371">
      <c r="A371" s="2" t="n">
        <v>370</v>
      </c>
      <c r="B371" s="2" t="s">
        <v>20998</v>
      </c>
      <c r="C371" s="2" t="n">
        <v>336.10586465</v>
      </c>
      <c r="D371" s="2" t="n">
        <v>0.517527189055717</v>
      </c>
      <c r="E371" s="2" t="s">
        <v>20999</v>
      </c>
      <c r="F371" s="2" t="s">
        <v>17039</v>
      </c>
      <c r="G371" s="2" t="s">
        <v>21000</v>
      </c>
      <c r="H371" s="2" t="s">
        <v>21001</v>
      </c>
      <c r="I371" s="2" t="s">
        <v>21002</v>
      </c>
      <c r="J371" s="2" t="s">
        <v>29</v>
      </c>
      <c r="K371" s="2" t="s">
        <v>29</v>
      </c>
      <c r="L371" s="2" t="s">
        <v>29</v>
      </c>
      <c r="M371" s="2" t="s">
        <v>29</v>
      </c>
      <c r="N371" s="2" t="s">
        <v>29</v>
      </c>
      <c r="O371" s="2" t="s">
        <v>29</v>
      </c>
      <c r="P371" s="2" t="s">
        <v>21003</v>
      </c>
      <c r="Q371" s="2" t="s">
        <v>21004</v>
      </c>
      <c r="R371" s="2" t="s">
        <v>114</v>
      </c>
      <c r="S371" s="2" t="s">
        <v>6312</v>
      </c>
      <c r="T371" s="2" t="s">
        <v>6313</v>
      </c>
      <c r="U371" s="2" t="s">
        <v>29</v>
      </c>
      <c r="V371" s="2" t="n">
        <v>1</v>
      </c>
    </row>
    <row r="372">
      <c r="A372" s="2" t="n">
        <v>371</v>
      </c>
      <c r="B372" s="2" t="s">
        <v>21005</v>
      </c>
      <c r="C372" s="2" t="n">
        <v>337.170887532</v>
      </c>
      <c r="D372" s="2" t="n">
        <v>4.66393778259276</v>
      </c>
      <c r="E372" s="2" t="s">
        <v>21006</v>
      </c>
      <c r="F372" s="2" t="s">
        <v>17198</v>
      </c>
      <c r="G372" s="2" t="s">
        <v>21007</v>
      </c>
      <c r="H372" s="2" t="s">
        <v>21008</v>
      </c>
      <c r="I372" s="2" t="s">
        <v>21009</v>
      </c>
      <c r="J372" s="2" t="s">
        <v>21010</v>
      </c>
      <c r="K372" s="2" t="s">
        <v>29</v>
      </c>
      <c r="L372" s="2" t="s">
        <v>21011</v>
      </c>
      <c r="M372" s="2" t="s">
        <v>21012</v>
      </c>
      <c r="N372" s="2" t="s">
        <v>21013</v>
      </c>
      <c r="O372" s="2" t="s">
        <v>21014</v>
      </c>
      <c r="P372" s="2" t="s">
        <v>21015</v>
      </c>
      <c r="Q372" s="2" t="s">
        <v>21016</v>
      </c>
      <c r="R372" s="2" t="s">
        <v>114</v>
      </c>
      <c r="S372" s="2" t="s">
        <v>2057</v>
      </c>
      <c r="T372" s="2" t="s">
        <v>21017</v>
      </c>
      <c r="U372" s="2" t="s">
        <v>56</v>
      </c>
      <c r="V372" s="2" t="n">
        <v>1</v>
      </c>
    </row>
    <row r="373">
      <c r="A373" s="2" t="n">
        <v>372</v>
      </c>
      <c r="B373" s="2" t="s">
        <v>21018</v>
      </c>
      <c r="C373" s="2" t="n">
        <v>337.274309704</v>
      </c>
      <c r="D373" s="2" t="n">
        <v>2.67020455001067</v>
      </c>
      <c r="E373" s="2" t="s">
        <v>21019</v>
      </c>
      <c r="F373" s="2" t="s">
        <v>17039</v>
      </c>
      <c r="G373" s="2" t="s">
        <v>21020</v>
      </c>
      <c r="H373" s="2" t="s">
        <v>21021</v>
      </c>
      <c r="I373" s="2" t="s">
        <v>21022</v>
      </c>
      <c r="J373" s="2" t="s">
        <v>21023</v>
      </c>
      <c r="K373" s="2" t="s">
        <v>21024</v>
      </c>
      <c r="L373" s="2" t="s">
        <v>29</v>
      </c>
      <c r="M373" s="2" t="s">
        <v>21025</v>
      </c>
      <c r="N373" s="2" t="s">
        <v>21026</v>
      </c>
      <c r="O373" s="2" t="s">
        <v>29</v>
      </c>
      <c r="P373" s="2" t="s">
        <v>21027</v>
      </c>
      <c r="Q373" s="2" t="s">
        <v>21028</v>
      </c>
      <c r="R373" s="2" t="s">
        <v>794</v>
      </c>
      <c r="S373" s="2" t="s">
        <v>795</v>
      </c>
      <c r="T373" s="2" t="s">
        <v>2391</v>
      </c>
      <c r="U373" s="2" t="s">
        <v>56</v>
      </c>
      <c r="V373" s="2" t="n">
        <v>1</v>
      </c>
    </row>
    <row r="374">
      <c r="A374" s="2" t="n">
        <v>373</v>
      </c>
      <c r="B374" s="2" t="s">
        <v>21029</v>
      </c>
      <c r="C374" s="2" t="n">
        <v>338.342329689</v>
      </c>
      <c r="D374" s="2" t="n">
        <v>9.84917433069696</v>
      </c>
      <c r="E374" s="2" t="s">
        <v>21030</v>
      </c>
      <c r="F374" s="2" t="s">
        <v>17039</v>
      </c>
      <c r="G374" s="2" t="s">
        <v>21031</v>
      </c>
      <c r="H374" s="2" t="s">
        <v>19909</v>
      </c>
      <c r="I374" s="2" t="s">
        <v>21032</v>
      </c>
      <c r="J374" s="2" t="s">
        <v>21033</v>
      </c>
      <c r="K374" s="2" t="s">
        <v>21034</v>
      </c>
      <c r="L374" s="2" t="s">
        <v>29</v>
      </c>
      <c r="M374" s="2" t="s">
        <v>21035</v>
      </c>
      <c r="N374" s="2" t="s">
        <v>21036</v>
      </c>
      <c r="O374" s="2" t="s">
        <v>21037</v>
      </c>
      <c r="P374" s="2" t="s">
        <v>21038</v>
      </c>
      <c r="Q374" s="2" t="s">
        <v>21039</v>
      </c>
      <c r="R374" s="2" t="s">
        <v>601</v>
      </c>
      <c r="S374" s="2" t="s">
        <v>602</v>
      </c>
      <c r="T374" s="2" t="s">
        <v>1800</v>
      </c>
      <c r="U374" s="2" t="s">
        <v>29</v>
      </c>
      <c r="V374" s="2" t="n">
        <v>1</v>
      </c>
    </row>
    <row r="375">
      <c r="A375" s="2" t="n">
        <v>374</v>
      </c>
      <c r="B375" s="2" t="s">
        <v>21040</v>
      </c>
      <c r="C375" s="2" t="n">
        <v>339.057395004</v>
      </c>
      <c r="D375" s="2" t="n">
        <v>2.03214520649152</v>
      </c>
      <c r="E375" s="2" t="s">
        <v>21041</v>
      </c>
      <c r="F375" s="2" t="s">
        <v>17198</v>
      </c>
      <c r="G375" s="2" t="s">
        <v>21042</v>
      </c>
      <c r="H375" s="2" t="s">
        <v>21043</v>
      </c>
      <c r="I375" s="2" t="s">
        <v>21044</v>
      </c>
      <c r="J375" s="2" t="s">
        <v>29</v>
      </c>
      <c r="K375" s="2" t="s">
        <v>29</v>
      </c>
      <c r="L375" s="2" t="s">
        <v>29</v>
      </c>
      <c r="M375" s="2" t="s">
        <v>29</v>
      </c>
      <c r="N375" s="2" t="s">
        <v>21045</v>
      </c>
      <c r="O375" s="2" t="s">
        <v>29</v>
      </c>
      <c r="P375" s="2" t="s">
        <v>21046</v>
      </c>
      <c r="Q375" s="2" t="s">
        <v>21047</v>
      </c>
      <c r="R375" s="2" t="s">
        <v>186</v>
      </c>
      <c r="S375" s="2" t="s">
        <v>187</v>
      </c>
      <c r="T375" s="2" t="s">
        <v>2791</v>
      </c>
      <c r="U375" s="2" t="s">
        <v>29</v>
      </c>
      <c r="V375" s="2" t="n">
        <v>1</v>
      </c>
    </row>
    <row r="376">
      <c r="A376" s="2" t="n">
        <v>375</v>
      </c>
      <c r="B376" s="2" t="s">
        <v>21048</v>
      </c>
      <c r="C376" s="2" t="n">
        <v>339.172088142</v>
      </c>
      <c r="D376" s="2" t="n">
        <v>8.08983521775594</v>
      </c>
      <c r="E376" s="2" t="s">
        <v>21049</v>
      </c>
      <c r="F376" s="2" t="s">
        <v>17406</v>
      </c>
      <c r="G376" s="2" t="s">
        <v>21050</v>
      </c>
      <c r="H376" s="2" t="s">
        <v>21051</v>
      </c>
      <c r="I376" s="2" t="s">
        <v>21052</v>
      </c>
      <c r="J376" s="2" t="s">
        <v>21053</v>
      </c>
      <c r="K376" s="2" t="s">
        <v>21054</v>
      </c>
      <c r="L376" s="2" t="s">
        <v>21055</v>
      </c>
      <c r="M376" s="2" t="s">
        <v>21056</v>
      </c>
      <c r="N376" s="2" t="s">
        <v>20260</v>
      </c>
      <c r="O376" s="2" t="s">
        <v>21057</v>
      </c>
      <c r="P376" s="2" t="s">
        <v>21058</v>
      </c>
      <c r="Q376" s="2" t="s">
        <v>21059</v>
      </c>
      <c r="R376" s="2" t="s">
        <v>794</v>
      </c>
      <c r="S376" s="2" t="s">
        <v>1098</v>
      </c>
      <c r="T376" s="2" t="s">
        <v>5036</v>
      </c>
      <c r="U376" s="2" t="s">
        <v>56</v>
      </c>
      <c r="V376" s="2" t="n">
        <v>1</v>
      </c>
    </row>
    <row r="377">
      <c r="A377" s="2" t="n">
        <v>376</v>
      </c>
      <c r="B377" s="2" t="s">
        <v>21060</v>
      </c>
      <c r="C377" s="2" t="n">
        <v>339.286963146</v>
      </c>
      <c r="D377" s="2" t="n">
        <v>13.9340527882417</v>
      </c>
      <c r="E377" s="2" t="s">
        <v>21061</v>
      </c>
      <c r="F377" s="2" t="s">
        <v>17198</v>
      </c>
      <c r="G377" s="2" t="s">
        <v>21062</v>
      </c>
      <c r="H377" s="2" t="s">
        <v>21063</v>
      </c>
      <c r="I377" s="2" t="s">
        <v>21064</v>
      </c>
      <c r="J377" s="2" t="s">
        <v>21065</v>
      </c>
      <c r="K377" s="2" t="s">
        <v>21066</v>
      </c>
      <c r="L377" s="2" t="s">
        <v>29</v>
      </c>
      <c r="M377" s="2" t="s">
        <v>29</v>
      </c>
      <c r="N377" s="2" t="s">
        <v>21067</v>
      </c>
      <c r="O377" s="2" t="s">
        <v>29</v>
      </c>
      <c r="P377" s="2" t="s">
        <v>21068</v>
      </c>
      <c r="Q377" s="2" t="s">
        <v>21069</v>
      </c>
      <c r="R377" s="2" t="s">
        <v>794</v>
      </c>
      <c r="S377" s="2" t="s">
        <v>795</v>
      </c>
      <c r="T377" s="2" t="s">
        <v>3273</v>
      </c>
      <c r="U377" s="2" t="s">
        <v>56</v>
      </c>
      <c r="V377" s="2" t="n">
        <v>1</v>
      </c>
    </row>
    <row r="378">
      <c r="A378" s="2" t="n">
        <v>377</v>
      </c>
      <c r="B378" s="2" t="s">
        <v>21070</v>
      </c>
      <c r="C378" s="2" t="n">
        <v>339.345815432</v>
      </c>
      <c r="D378" s="2" t="n">
        <v>0.533838861256572</v>
      </c>
      <c r="E378" s="2" t="s">
        <v>21071</v>
      </c>
      <c r="F378" s="2" t="s">
        <v>17892</v>
      </c>
      <c r="G378" s="2" t="s">
        <v>21072</v>
      </c>
      <c r="H378" s="2" t="s">
        <v>21073</v>
      </c>
      <c r="I378" s="2" t="s">
        <v>21074</v>
      </c>
      <c r="J378" s="2" t="s">
        <v>29</v>
      </c>
      <c r="K378" s="2" t="s">
        <v>29</v>
      </c>
      <c r="L378" s="2" t="s">
        <v>29</v>
      </c>
      <c r="M378" s="2" t="s">
        <v>29</v>
      </c>
      <c r="N378" s="2" t="s">
        <v>21075</v>
      </c>
      <c r="O378" s="2" t="s">
        <v>29</v>
      </c>
      <c r="P378" s="2" t="s">
        <v>21076</v>
      </c>
      <c r="Q378" s="2" t="s">
        <v>21077</v>
      </c>
      <c r="R378" s="2" t="s">
        <v>601</v>
      </c>
      <c r="S378" s="2" t="s">
        <v>602</v>
      </c>
      <c r="T378" s="2" t="s">
        <v>1800</v>
      </c>
      <c r="U378" s="2" t="s">
        <v>29</v>
      </c>
      <c r="V378" s="2" t="n">
        <v>1</v>
      </c>
    </row>
    <row r="379">
      <c r="A379" s="2" t="n">
        <v>378</v>
      </c>
      <c r="B379" s="2" t="s">
        <v>21078</v>
      </c>
      <c r="C379" s="2" t="n">
        <v>341.18655733</v>
      </c>
      <c r="D379" s="2" t="n">
        <v>0.0600298287189725</v>
      </c>
      <c r="E379" s="2" t="s">
        <v>21079</v>
      </c>
      <c r="F379" s="2" t="s">
        <v>17039</v>
      </c>
      <c r="G379" s="2" t="s">
        <v>21080</v>
      </c>
      <c r="H379" s="2" t="s">
        <v>21081</v>
      </c>
      <c r="I379" s="2" t="s">
        <v>21082</v>
      </c>
      <c r="J379" s="2" t="s">
        <v>21083</v>
      </c>
      <c r="K379" s="2" t="s">
        <v>29</v>
      </c>
      <c r="L379" s="2" t="s">
        <v>29</v>
      </c>
      <c r="M379" s="2" t="s">
        <v>29</v>
      </c>
      <c r="N379" s="2" t="s">
        <v>21084</v>
      </c>
      <c r="O379" s="2" t="s">
        <v>29</v>
      </c>
      <c r="P379" s="2" t="s">
        <v>21085</v>
      </c>
      <c r="Q379" s="2" t="s">
        <v>21086</v>
      </c>
      <c r="R379" s="2" t="s">
        <v>186</v>
      </c>
      <c r="S379" s="2" t="s">
        <v>187</v>
      </c>
      <c r="T379" s="2" t="s">
        <v>3454</v>
      </c>
      <c r="U379" s="2" t="s">
        <v>29</v>
      </c>
      <c r="V379" s="2" t="n">
        <v>1</v>
      </c>
    </row>
    <row r="380">
      <c r="A380" s="2" t="n">
        <v>379</v>
      </c>
      <c r="B380" s="2" t="s">
        <v>21087</v>
      </c>
      <c r="C380" s="2" t="n">
        <v>343.143452378</v>
      </c>
      <c r="D380" s="2" t="n">
        <v>5.11432276288239</v>
      </c>
      <c r="E380" s="2" t="s">
        <v>21088</v>
      </c>
      <c r="F380" s="2" t="s">
        <v>17137</v>
      </c>
      <c r="G380" s="2" t="s">
        <v>21089</v>
      </c>
      <c r="H380" s="2" t="s">
        <v>21090</v>
      </c>
      <c r="I380" s="2" t="s">
        <v>21091</v>
      </c>
      <c r="J380" s="2" t="s">
        <v>29</v>
      </c>
      <c r="K380" s="2" t="s">
        <v>29</v>
      </c>
      <c r="L380" s="2" t="s">
        <v>29</v>
      </c>
      <c r="M380" s="2" t="s">
        <v>29</v>
      </c>
      <c r="N380" s="2" t="s">
        <v>29</v>
      </c>
      <c r="O380" s="2" t="s">
        <v>29</v>
      </c>
      <c r="P380" s="2" t="s">
        <v>21092</v>
      </c>
      <c r="Q380" s="2" t="s">
        <v>21093</v>
      </c>
      <c r="R380" s="2" t="s">
        <v>36</v>
      </c>
      <c r="S380" s="2" t="s">
        <v>37</v>
      </c>
      <c r="T380" s="2" t="s">
        <v>69</v>
      </c>
      <c r="U380" s="2" t="s">
        <v>29</v>
      </c>
      <c r="V380" s="2" t="n">
        <v>1</v>
      </c>
    </row>
    <row r="381">
      <c r="A381" s="2" t="n">
        <v>380</v>
      </c>
      <c r="B381" s="2" t="s">
        <v>21094</v>
      </c>
      <c r="C381" s="2" t="n">
        <v>343.211514692</v>
      </c>
      <c r="D381" s="2" t="n">
        <v>3.98982310083498</v>
      </c>
      <c r="E381" s="2" t="s">
        <v>21095</v>
      </c>
      <c r="F381" s="2" t="s">
        <v>17137</v>
      </c>
      <c r="G381" s="2" t="s">
        <v>21096</v>
      </c>
      <c r="H381" s="2" t="s">
        <v>21097</v>
      </c>
      <c r="I381" s="2" t="s">
        <v>21098</v>
      </c>
      <c r="J381" s="2" t="s">
        <v>29</v>
      </c>
      <c r="K381" s="2" t="s">
        <v>29</v>
      </c>
      <c r="L381" s="2" t="s">
        <v>29</v>
      </c>
      <c r="M381" s="2" t="s">
        <v>29</v>
      </c>
      <c r="N381" s="2" t="s">
        <v>21099</v>
      </c>
      <c r="O381" s="2" t="s">
        <v>29</v>
      </c>
      <c r="P381" s="2" t="s">
        <v>21100</v>
      </c>
      <c r="Q381" s="2" t="s">
        <v>21101</v>
      </c>
      <c r="R381" s="2" t="s">
        <v>794</v>
      </c>
      <c r="S381" s="2" t="s">
        <v>795</v>
      </c>
      <c r="T381" s="2" t="s">
        <v>796</v>
      </c>
      <c r="U381" s="2" t="s">
        <v>56</v>
      </c>
      <c r="V381" s="2" t="n">
        <v>1</v>
      </c>
    </row>
    <row r="382">
      <c r="A382" s="2" t="n">
        <v>381</v>
      </c>
      <c r="B382" s="2" t="s">
        <v>21102</v>
      </c>
      <c r="C382" s="2" t="n">
        <v>344.03017</v>
      </c>
      <c r="D382" s="2" t="n">
        <v>0.163990440914287</v>
      </c>
      <c r="E382" s="2" t="s">
        <v>21103</v>
      </c>
      <c r="F382" s="2" t="s">
        <v>17039</v>
      </c>
      <c r="G382" s="2" t="s">
        <v>21104</v>
      </c>
      <c r="H382" s="2" t="s">
        <v>21105</v>
      </c>
      <c r="I382" s="2" t="s">
        <v>21106</v>
      </c>
      <c r="J382" s="2" t="s">
        <v>21107</v>
      </c>
      <c r="K382" s="2" t="s">
        <v>91</v>
      </c>
      <c r="L382" s="2" t="s">
        <v>21108</v>
      </c>
      <c r="M382" s="2" t="s">
        <v>21109</v>
      </c>
      <c r="N382" s="2" t="s">
        <v>21110</v>
      </c>
      <c r="O382" s="2" t="s">
        <v>21111</v>
      </c>
      <c r="P382" s="2" t="s">
        <v>21112</v>
      </c>
      <c r="Q382" s="2" t="s">
        <v>21113</v>
      </c>
      <c r="R382" s="2" t="s">
        <v>770</v>
      </c>
      <c r="S382" s="2" t="s">
        <v>771</v>
      </c>
      <c r="T382" s="2" t="s">
        <v>21114</v>
      </c>
      <c r="U382" s="2" t="s">
        <v>101</v>
      </c>
      <c r="V382" s="2" t="n">
        <v>2</v>
      </c>
    </row>
    <row r="383">
      <c r="A383" s="2" t="n">
        <v>382</v>
      </c>
      <c r="B383" s="2" t="s">
        <v>21115</v>
      </c>
      <c r="C383" s="2" t="n">
        <v>344.219611863</v>
      </c>
      <c r="D383" s="2" t="n">
        <v>0.412325928853342</v>
      </c>
      <c r="E383" s="2" t="s">
        <v>21116</v>
      </c>
      <c r="F383" s="2" t="s">
        <v>17198</v>
      </c>
      <c r="G383" s="2" t="s">
        <v>21117</v>
      </c>
      <c r="H383" s="2" t="s">
        <v>21118</v>
      </c>
      <c r="I383" s="2" t="s">
        <v>21119</v>
      </c>
      <c r="J383" s="2" t="s">
        <v>21120</v>
      </c>
      <c r="K383" s="2" t="s">
        <v>29</v>
      </c>
      <c r="L383" s="2" t="s">
        <v>29</v>
      </c>
      <c r="M383" s="2" t="s">
        <v>29</v>
      </c>
      <c r="N383" s="2" t="s">
        <v>21121</v>
      </c>
      <c r="O383" s="2" t="s">
        <v>21122</v>
      </c>
      <c r="P383" s="2" t="s">
        <v>21123</v>
      </c>
      <c r="Q383" s="2" t="s">
        <v>21124</v>
      </c>
      <c r="R383" s="2" t="s">
        <v>186</v>
      </c>
      <c r="S383" s="2" t="s">
        <v>357</v>
      </c>
      <c r="T383" s="2" t="s">
        <v>5859</v>
      </c>
      <c r="U383" s="2" t="s">
        <v>56</v>
      </c>
      <c r="V383" s="2" t="n">
        <v>1</v>
      </c>
    </row>
    <row r="384">
      <c r="A384" s="2" t="n">
        <v>383</v>
      </c>
      <c r="B384" s="2" t="s">
        <v>21125</v>
      </c>
      <c r="C384" s="2" t="n">
        <v>345.0057224</v>
      </c>
      <c r="D384" s="2" t="n">
        <v>2.33795531660133</v>
      </c>
      <c r="E384" s="2" t="s">
        <v>21126</v>
      </c>
      <c r="F384" s="2" t="s">
        <v>17406</v>
      </c>
      <c r="G384" s="2" t="s">
        <v>21127</v>
      </c>
      <c r="H384" s="2" t="s">
        <v>21128</v>
      </c>
      <c r="I384" s="2" t="s">
        <v>21129</v>
      </c>
      <c r="J384" s="2" t="s">
        <v>29</v>
      </c>
      <c r="K384" s="2" t="s">
        <v>29</v>
      </c>
      <c r="L384" s="2" t="s">
        <v>29</v>
      </c>
      <c r="M384" s="2" t="s">
        <v>21130</v>
      </c>
      <c r="N384" s="2" t="s">
        <v>21131</v>
      </c>
      <c r="O384" s="2" t="s">
        <v>29</v>
      </c>
      <c r="P384" s="2" t="s">
        <v>21132</v>
      </c>
      <c r="Q384" s="2" t="s">
        <v>21133</v>
      </c>
      <c r="R384" s="2" t="s">
        <v>129</v>
      </c>
      <c r="S384" s="2" t="s">
        <v>130</v>
      </c>
      <c r="T384" s="2" t="s">
        <v>131</v>
      </c>
      <c r="U384" s="2" t="s">
        <v>29</v>
      </c>
      <c r="V384" s="2" t="n">
        <v>1</v>
      </c>
    </row>
    <row r="385">
      <c r="A385" s="2" t="n">
        <v>384</v>
      </c>
      <c r="B385" s="2" t="s">
        <v>21134</v>
      </c>
      <c r="C385" s="2" t="n">
        <v>345.1621724</v>
      </c>
      <c r="D385" s="2" t="n">
        <v>0.00729462477479142</v>
      </c>
      <c r="E385" s="2" t="s">
        <v>21135</v>
      </c>
      <c r="F385" s="2" t="s">
        <v>17039</v>
      </c>
      <c r="G385" s="2" t="s">
        <v>21136</v>
      </c>
      <c r="H385" s="2" t="s">
        <v>21137</v>
      </c>
      <c r="I385" s="2" t="s">
        <v>21138</v>
      </c>
      <c r="J385" s="2" t="s">
        <v>29</v>
      </c>
      <c r="K385" s="2" t="s">
        <v>29</v>
      </c>
      <c r="L385" s="2" t="s">
        <v>29</v>
      </c>
      <c r="M385" s="2" t="s">
        <v>29</v>
      </c>
      <c r="N385" s="2" t="s">
        <v>21139</v>
      </c>
      <c r="O385" s="2" t="s">
        <v>29</v>
      </c>
      <c r="P385" s="2" t="s">
        <v>21140</v>
      </c>
      <c r="Q385" s="2" t="s">
        <v>21141</v>
      </c>
      <c r="R385" s="2" t="s">
        <v>794</v>
      </c>
      <c r="S385" s="2" t="s">
        <v>2971</v>
      </c>
      <c r="T385" s="2" t="s">
        <v>5393</v>
      </c>
      <c r="U385" s="2" t="s">
        <v>29</v>
      </c>
      <c r="V385" s="2" t="n">
        <v>1</v>
      </c>
    </row>
    <row r="386">
      <c r="A386" s="2" t="n">
        <v>385</v>
      </c>
      <c r="B386" s="2" t="s">
        <v>21142</v>
      </c>
      <c r="C386" s="2" t="n">
        <v>345.216514605</v>
      </c>
      <c r="D386" s="2" t="n">
        <v>8.1950467024655</v>
      </c>
      <c r="E386" s="2" t="s">
        <v>21143</v>
      </c>
      <c r="F386" s="2" t="s">
        <v>17198</v>
      </c>
      <c r="G386" s="2" t="s">
        <v>21144</v>
      </c>
      <c r="H386" s="2" t="s">
        <v>21145</v>
      </c>
      <c r="I386" s="2" t="s">
        <v>21146</v>
      </c>
      <c r="J386" s="2" t="s">
        <v>29</v>
      </c>
      <c r="K386" s="2" t="s">
        <v>29</v>
      </c>
      <c r="L386" s="2" t="s">
        <v>29</v>
      </c>
      <c r="M386" s="2" t="s">
        <v>29</v>
      </c>
      <c r="N386" s="2" t="s">
        <v>21147</v>
      </c>
      <c r="O386" s="2" t="s">
        <v>29</v>
      </c>
      <c r="P386" s="2" t="s">
        <v>21148</v>
      </c>
      <c r="Q386" s="2" t="s">
        <v>21149</v>
      </c>
      <c r="R386" s="2" t="s">
        <v>36</v>
      </c>
      <c r="S386" s="2" t="s">
        <v>2572</v>
      </c>
      <c r="T386" s="2" t="s">
        <v>2637</v>
      </c>
      <c r="U386" s="2" t="s">
        <v>29</v>
      </c>
      <c r="V386" s="2" t="n">
        <v>1</v>
      </c>
    </row>
    <row r="387">
      <c r="A387" s="2" t="n">
        <v>386</v>
      </c>
      <c r="B387" s="2" t="s">
        <v>21150</v>
      </c>
      <c r="C387" s="2" t="n">
        <v>347.052606116</v>
      </c>
      <c r="D387" s="2" t="n">
        <v>4.1392487326958</v>
      </c>
      <c r="E387" s="2" t="s">
        <v>21151</v>
      </c>
      <c r="F387" s="2" t="s">
        <v>17198</v>
      </c>
      <c r="G387" s="2" t="s">
        <v>21152</v>
      </c>
      <c r="H387" s="2" t="s">
        <v>21153</v>
      </c>
      <c r="I387" s="2" t="s">
        <v>21154</v>
      </c>
      <c r="J387" s="2" t="s">
        <v>29</v>
      </c>
      <c r="K387" s="2" t="s">
        <v>29</v>
      </c>
      <c r="L387" s="2" t="s">
        <v>21155</v>
      </c>
      <c r="M387" s="2" t="s">
        <v>21156</v>
      </c>
      <c r="N387" s="2" t="s">
        <v>21157</v>
      </c>
      <c r="O387" s="2" t="s">
        <v>21158</v>
      </c>
      <c r="P387" s="2" t="s">
        <v>21159</v>
      </c>
      <c r="Q387" s="2" t="s">
        <v>21160</v>
      </c>
      <c r="R387" s="2" t="s">
        <v>1355</v>
      </c>
      <c r="S387" s="2" t="s">
        <v>21161</v>
      </c>
      <c r="T387" s="2" t="s">
        <v>215</v>
      </c>
      <c r="U387" s="2" t="s">
        <v>101</v>
      </c>
      <c r="V387" s="2" t="n">
        <v>1</v>
      </c>
    </row>
    <row r="388">
      <c r="A388" s="2" t="n">
        <v>387</v>
      </c>
      <c r="B388" s="2" t="s">
        <v>21162</v>
      </c>
      <c r="C388" s="2" t="n">
        <v>347.185299937</v>
      </c>
      <c r="D388" s="2" t="n">
        <v>1.80588588701327</v>
      </c>
      <c r="E388" s="2" t="s">
        <v>21163</v>
      </c>
      <c r="F388" s="2" t="s">
        <v>17137</v>
      </c>
      <c r="G388" s="2" t="s">
        <v>21164</v>
      </c>
      <c r="H388" s="2" t="s">
        <v>21165</v>
      </c>
      <c r="I388" s="2" t="s">
        <v>21166</v>
      </c>
      <c r="J388" s="2" t="s">
        <v>21167</v>
      </c>
      <c r="K388" s="2" t="s">
        <v>91</v>
      </c>
      <c r="L388" s="2" t="s">
        <v>21168</v>
      </c>
      <c r="M388" s="2" t="s">
        <v>21169</v>
      </c>
      <c r="N388" s="2" t="s">
        <v>21170</v>
      </c>
      <c r="O388" s="2" t="s">
        <v>21171</v>
      </c>
      <c r="P388" s="2" t="s">
        <v>21172</v>
      </c>
      <c r="Q388" s="2" t="s">
        <v>21173</v>
      </c>
      <c r="R388" s="2" t="s">
        <v>412</v>
      </c>
      <c r="S388" s="2" t="s">
        <v>5304</v>
      </c>
      <c r="T388" s="2" t="s">
        <v>21174</v>
      </c>
      <c r="U388" s="2" t="s">
        <v>56</v>
      </c>
      <c r="V388" s="2" t="n">
        <v>2</v>
      </c>
    </row>
    <row r="389">
      <c r="A389" s="2" t="n">
        <v>388</v>
      </c>
      <c r="B389" s="2" t="s">
        <v>21175</v>
      </c>
      <c r="C389" s="2" t="n">
        <v>348.0144205</v>
      </c>
      <c r="D389" s="2" t="n">
        <v>6.97996796966908</v>
      </c>
      <c r="E389" s="2" t="s">
        <v>21176</v>
      </c>
      <c r="F389" s="2" t="s">
        <v>17198</v>
      </c>
      <c r="G389" s="2" t="s">
        <v>21177</v>
      </c>
      <c r="H389" s="2" t="s">
        <v>21178</v>
      </c>
      <c r="I389" s="2" t="s">
        <v>21179</v>
      </c>
      <c r="J389" s="2" t="s">
        <v>29</v>
      </c>
      <c r="K389" s="2" t="s">
        <v>29</v>
      </c>
      <c r="L389" s="2" t="s">
        <v>29</v>
      </c>
      <c r="M389" s="2" t="s">
        <v>29</v>
      </c>
      <c r="N389" s="2" t="s">
        <v>21180</v>
      </c>
      <c r="O389" s="2" t="s">
        <v>29</v>
      </c>
      <c r="P389" s="2" t="s">
        <v>21181</v>
      </c>
      <c r="Q389" s="2" t="s">
        <v>21182</v>
      </c>
      <c r="R389" s="2" t="s">
        <v>114</v>
      </c>
      <c r="S389" s="2" t="s">
        <v>5014</v>
      </c>
      <c r="T389" s="2" t="s">
        <v>215</v>
      </c>
      <c r="U389" s="2" t="s">
        <v>29</v>
      </c>
      <c r="V389" s="2" t="n">
        <v>1</v>
      </c>
    </row>
    <row r="390">
      <c r="A390" s="2" t="n">
        <v>389</v>
      </c>
      <c r="B390" s="2" t="s">
        <v>21183</v>
      </c>
      <c r="C390" s="2" t="n">
        <v>348.048009839</v>
      </c>
      <c r="D390" s="2" t="n">
        <v>2.29775596751071</v>
      </c>
      <c r="E390" s="2" t="s">
        <v>21184</v>
      </c>
      <c r="F390" s="2" t="s">
        <v>17406</v>
      </c>
      <c r="G390" s="2" t="s">
        <v>21185</v>
      </c>
      <c r="H390" s="2" t="s">
        <v>21186</v>
      </c>
      <c r="I390" s="2" t="s">
        <v>21187</v>
      </c>
      <c r="J390" s="2" t="s">
        <v>21188</v>
      </c>
      <c r="K390" s="2" t="s">
        <v>29</v>
      </c>
      <c r="L390" s="2" t="s">
        <v>21189</v>
      </c>
      <c r="M390" s="2" t="s">
        <v>21190</v>
      </c>
      <c r="N390" s="2" t="s">
        <v>21191</v>
      </c>
      <c r="O390" s="2" t="s">
        <v>21192</v>
      </c>
      <c r="P390" s="2" t="s">
        <v>21193</v>
      </c>
      <c r="Q390" s="2" t="s">
        <v>21194</v>
      </c>
      <c r="R390" s="2" t="s">
        <v>129</v>
      </c>
      <c r="S390" s="2" t="s">
        <v>130</v>
      </c>
      <c r="T390" s="2" t="s">
        <v>1681</v>
      </c>
      <c r="U390" s="2" t="s">
        <v>56</v>
      </c>
      <c r="V390" s="2" t="n">
        <v>1</v>
      </c>
    </row>
    <row r="391">
      <c r="A391" s="2" t="n">
        <v>390</v>
      </c>
      <c r="B391" s="2" t="s">
        <v>21195</v>
      </c>
      <c r="C391" s="2" t="n">
        <v>348.995219659</v>
      </c>
      <c r="D391" s="2" t="n">
        <v>3.02701829405147</v>
      </c>
      <c r="E391" s="2" t="s">
        <v>21196</v>
      </c>
      <c r="F391" s="2" t="s">
        <v>17406</v>
      </c>
      <c r="G391" s="2" t="s">
        <v>21197</v>
      </c>
      <c r="H391" s="2" t="s">
        <v>21198</v>
      </c>
      <c r="I391" s="2" t="s">
        <v>21199</v>
      </c>
      <c r="J391" s="2" t="s">
        <v>21200</v>
      </c>
      <c r="K391" s="2" t="s">
        <v>29</v>
      </c>
      <c r="L391" s="2" t="s">
        <v>21201</v>
      </c>
      <c r="M391" s="2" t="s">
        <v>21202</v>
      </c>
      <c r="N391" s="2" t="s">
        <v>21203</v>
      </c>
      <c r="O391" s="2" t="s">
        <v>21204</v>
      </c>
      <c r="P391" s="2" t="s">
        <v>21205</v>
      </c>
      <c r="Q391" s="2" t="s">
        <v>21206</v>
      </c>
      <c r="R391" s="2" t="s">
        <v>186</v>
      </c>
      <c r="S391" s="2" t="s">
        <v>187</v>
      </c>
      <c r="T391" s="2" t="s">
        <v>2195</v>
      </c>
      <c r="U391" s="2" t="s">
        <v>101</v>
      </c>
      <c r="V391" s="2" t="n">
        <v>1</v>
      </c>
    </row>
    <row r="392">
      <c r="A392" s="2" t="n">
        <v>391</v>
      </c>
      <c r="B392" s="2" t="s">
        <v>21207</v>
      </c>
      <c r="C392" s="2" t="n">
        <v>351.195470698</v>
      </c>
      <c r="D392" s="2" t="n">
        <v>1.71629315488267</v>
      </c>
      <c r="E392" s="2" t="s">
        <v>21208</v>
      </c>
      <c r="F392" s="2" t="s">
        <v>17137</v>
      </c>
      <c r="G392" s="2" t="s">
        <v>21209</v>
      </c>
      <c r="H392" s="2" t="s">
        <v>21210</v>
      </c>
      <c r="I392" s="2" t="s">
        <v>21211</v>
      </c>
      <c r="J392" s="2" t="s">
        <v>21212</v>
      </c>
      <c r="K392" s="2" t="s">
        <v>29</v>
      </c>
      <c r="L392" s="2" t="s">
        <v>21213</v>
      </c>
      <c r="M392" s="2" t="s">
        <v>21214</v>
      </c>
      <c r="N392" s="2" t="s">
        <v>21215</v>
      </c>
      <c r="O392" s="2" t="s">
        <v>21216</v>
      </c>
      <c r="P392" s="2" t="s">
        <v>21217</v>
      </c>
      <c r="Q392" s="2" t="s">
        <v>21218</v>
      </c>
      <c r="R392" s="2" t="s">
        <v>794</v>
      </c>
      <c r="S392" s="2" t="s">
        <v>795</v>
      </c>
      <c r="T392" s="2" t="s">
        <v>1870</v>
      </c>
      <c r="U392" s="2" t="s">
        <v>101</v>
      </c>
      <c r="V392" s="2" t="n">
        <v>1</v>
      </c>
    </row>
    <row r="393">
      <c r="A393" s="2" t="n">
        <v>392</v>
      </c>
      <c r="B393" s="2" t="s">
        <v>21219</v>
      </c>
      <c r="C393" s="2" t="n">
        <v>351.239066842</v>
      </c>
      <c r="D393" s="2" t="n">
        <v>5.31382401524621</v>
      </c>
      <c r="E393" s="2" t="s">
        <v>21220</v>
      </c>
      <c r="F393" s="2" t="s">
        <v>17137</v>
      </c>
      <c r="G393" s="2" t="s">
        <v>21221</v>
      </c>
      <c r="H393" s="2" t="s">
        <v>21222</v>
      </c>
      <c r="I393" s="2" t="s">
        <v>21223</v>
      </c>
      <c r="J393" s="2" t="s">
        <v>29</v>
      </c>
      <c r="K393" s="2" t="s">
        <v>29</v>
      </c>
      <c r="L393" s="2" t="s">
        <v>29</v>
      </c>
      <c r="M393" s="2" t="s">
        <v>29</v>
      </c>
      <c r="N393" s="2" t="s">
        <v>21224</v>
      </c>
      <c r="O393" s="2" t="s">
        <v>29</v>
      </c>
      <c r="P393" s="2" t="s">
        <v>21225</v>
      </c>
      <c r="Q393" s="2" t="s">
        <v>21226</v>
      </c>
      <c r="R393" s="2" t="s">
        <v>36</v>
      </c>
      <c r="S393" s="2" t="s">
        <v>37</v>
      </c>
      <c r="T393" s="2" t="s">
        <v>69</v>
      </c>
      <c r="U393" s="2" t="s">
        <v>29</v>
      </c>
      <c r="V393" s="2" t="n">
        <v>1</v>
      </c>
    </row>
    <row r="394">
      <c r="A394" s="2" t="n">
        <v>393</v>
      </c>
      <c r="B394" s="2" t="s">
        <v>21227</v>
      </c>
      <c r="C394" s="2" t="n">
        <v>352.0559244</v>
      </c>
      <c r="D394" s="2" t="n">
        <v>0.93419044623247</v>
      </c>
      <c r="E394" s="2" t="s">
        <v>21228</v>
      </c>
      <c r="F394" s="2" t="s">
        <v>17520</v>
      </c>
      <c r="G394" s="2" t="s">
        <v>21229</v>
      </c>
      <c r="H394" s="2" t="s">
        <v>21230</v>
      </c>
      <c r="I394" s="2" t="s">
        <v>21231</v>
      </c>
      <c r="J394" s="2" t="s">
        <v>91</v>
      </c>
      <c r="K394" s="2" t="s">
        <v>21232</v>
      </c>
      <c r="L394" s="2" t="s">
        <v>91</v>
      </c>
      <c r="M394" s="2" t="s">
        <v>21233</v>
      </c>
      <c r="N394" s="2" t="s">
        <v>21234</v>
      </c>
      <c r="O394" s="2" t="s">
        <v>91</v>
      </c>
      <c r="P394" s="2" t="s">
        <v>21235</v>
      </c>
      <c r="Q394" s="2" t="s">
        <v>21236</v>
      </c>
      <c r="R394" s="2" t="s">
        <v>412</v>
      </c>
      <c r="S394" s="2" t="s">
        <v>413</v>
      </c>
      <c r="T394" s="2" t="s">
        <v>3680</v>
      </c>
      <c r="U394" s="2" t="s">
        <v>29</v>
      </c>
      <c r="V394" s="2" t="n">
        <v>2</v>
      </c>
    </row>
    <row r="395">
      <c r="A395" s="2" t="n">
        <v>394</v>
      </c>
      <c r="B395" s="2" t="s">
        <v>21237</v>
      </c>
      <c r="C395" s="2" t="n">
        <v>353.096027764</v>
      </c>
      <c r="D395" s="2" t="n">
        <v>1.12322797937589</v>
      </c>
      <c r="E395" s="2" t="s">
        <v>21238</v>
      </c>
      <c r="F395" s="2" t="s">
        <v>17039</v>
      </c>
      <c r="G395" s="2" t="s">
        <v>21239</v>
      </c>
      <c r="H395" s="2" t="s">
        <v>21240</v>
      </c>
      <c r="I395" s="2" t="s">
        <v>21241</v>
      </c>
      <c r="J395" s="2" t="s">
        <v>21242</v>
      </c>
      <c r="K395" s="2" t="s">
        <v>195</v>
      </c>
      <c r="L395" s="2" t="s">
        <v>195</v>
      </c>
      <c r="M395" s="2" t="s">
        <v>21243</v>
      </c>
      <c r="N395" s="2" t="s">
        <v>21244</v>
      </c>
      <c r="O395" s="2" t="s">
        <v>195</v>
      </c>
      <c r="P395" s="2" t="s">
        <v>21245</v>
      </c>
      <c r="Q395" s="2" t="s">
        <v>21246</v>
      </c>
      <c r="R395" s="2" t="s">
        <v>21247</v>
      </c>
      <c r="S395" s="2" t="s">
        <v>21248</v>
      </c>
      <c r="T395" s="2" t="s">
        <v>21249</v>
      </c>
      <c r="U395" s="2" t="s">
        <v>29</v>
      </c>
      <c r="V395" s="2" t="n">
        <v>3</v>
      </c>
    </row>
    <row r="396">
      <c r="A396" s="2" t="n">
        <v>395</v>
      </c>
      <c r="B396" s="2" t="s">
        <v>21250</v>
      </c>
      <c r="C396" s="2" t="n">
        <v>355.155234322</v>
      </c>
      <c r="D396" s="2" t="n">
        <v>17.0612823545923</v>
      </c>
      <c r="E396" s="2" t="s">
        <v>21251</v>
      </c>
      <c r="F396" s="2" t="s">
        <v>17117</v>
      </c>
      <c r="G396" s="2" t="s">
        <v>21252</v>
      </c>
      <c r="H396" s="2" t="s">
        <v>21253</v>
      </c>
      <c r="I396" s="2" t="s">
        <v>21254</v>
      </c>
      <c r="J396" s="2" t="s">
        <v>21255</v>
      </c>
      <c r="K396" s="2" t="s">
        <v>29</v>
      </c>
      <c r="L396" s="2" t="s">
        <v>21256</v>
      </c>
      <c r="M396" s="2" t="s">
        <v>21257</v>
      </c>
      <c r="N396" s="2" t="s">
        <v>21258</v>
      </c>
      <c r="O396" s="2" t="s">
        <v>21259</v>
      </c>
      <c r="P396" s="2" t="s">
        <v>21260</v>
      </c>
      <c r="Q396" s="2" t="s">
        <v>21261</v>
      </c>
      <c r="R396" s="2" t="s">
        <v>2416</v>
      </c>
      <c r="S396" s="2" t="s">
        <v>15524</v>
      </c>
      <c r="T396" s="2" t="s">
        <v>15525</v>
      </c>
      <c r="U396" s="2" t="s">
        <v>101</v>
      </c>
      <c r="V396" s="2" t="n">
        <v>1</v>
      </c>
    </row>
    <row r="397">
      <c r="A397" s="2" t="n">
        <v>396</v>
      </c>
      <c r="B397" s="2" t="s">
        <v>21262</v>
      </c>
      <c r="C397" s="2" t="n">
        <v>355.284874388</v>
      </c>
      <c r="D397" s="2" t="n">
        <v>1.34848821760995</v>
      </c>
      <c r="E397" s="2" t="s">
        <v>21263</v>
      </c>
      <c r="F397" s="2" t="s">
        <v>17039</v>
      </c>
      <c r="G397" s="2" t="s">
        <v>21264</v>
      </c>
      <c r="H397" s="2" t="s">
        <v>21265</v>
      </c>
      <c r="I397" s="2" t="s">
        <v>21266</v>
      </c>
      <c r="J397" s="2" t="s">
        <v>29</v>
      </c>
      <c r="K397" s="2" t="s">
        <v>29</v>
      </c>
      <c r="L397" s="2" t="s">
        <v>29</v>
      </c>
      <c r="M397" s="2" t="s">
        <v>29</v>
      </c>
      <c r="N397" s="2" t="s">
        <v>21267</v>
      </c>
      <c r="O397" s="2" t="s">
        <v>29</v>
      </c>
      <c r="P397" s="2" t="s">
        <v>21268</v>
      </c>
      <c r="Q397" s="2" t="s">
        <v>21269</v>
      </c>
      <c r="R397" s="2" t="s">
        <v>794</v>
      </c>
      <c r="S397" s="2" t="s">
        <v>2600</v>
      </c>
      <c r="T397" s="2" t="s">
        <v>8990</v>
      </c>
      <c r="U397" s="2" t="s">
        <v>56</v>
      </c>
      <c r="V397" s="2" t="n">
        <v>1</v>
      </c>
    </row>
    <row r="398">
      <c r="A398" s="2" t="n">
        <v>397</v>
      </c>
      <c r="B398" s="2" t="s">
        <v>21270</v>
      </c>
      <c r="C398" s="2" t="n">
        <v>357.1621724</v>
      </c>
      <c r="D398" s="2" t="n">
        <v>3.738761678058</v>
      </c>
      <c r="E398" s="2" t="s">
        <v>21271</v>
      </c>
      <c r="F398" s="2" t="s">
        <v>17039</v>
      </c>
      <c r="G398" s="2" t="s">
        <v>21272</v>
      </c>
      <c r="H398" s="2" t="s">
        <v>21273</v>
      </c>
      <c r="I398" s="2" t="s">
        <v>21274</v>
      </c>
      <c r="J398" s="2" t="s">
        <v>21275</v>
      </c>
      <c r="K398" s="2" t="s">
        <v>91</v>
      </c>
      <c r="L398" s="2" t="s">
        <v>91</v>
      </c>
      <c r="M398" s="2" t="s">
        <v>21276</v>
      </c>
      <c r="N398" s="2" t="s">
        <v>21277</v>
      </c>
      <c r="O398" s="2" t="s">
        <v>21278</v>
      </c>
      <c r="P398" s="2" t="s">
        <v>21279</v>
      </c>
      <c r="Q398" s="2" t="s">
        <v>21280</v>
      </c>
      <c r="R398" s="2" t="s">
        <v>412</v>
      </c>
      <c r="S398" s="2" t="s">
        <v>6265</v>
      </c>
      <c r="T398" s="2" t="s">
        <v>21281</v>
      </c>
      <c r="U398" s="2" t="s">
        <v>29</v>
      </c>
      <c r="V398" s="2" t="n">
        <v>2</v>
      </c>
    </row>
    <row r="399">
      <c r="A399" s="2" t="n">
        <v>398</v>
      </c>
      <c r="B399" s="2" t="s">
        <v>21282</v>
      </c>
      <c r="C399" s="2" t="n">
        <v>361.169924652</v>
      </c>
      <c r="D399" s="2" t="n">
        <v>1.33994930600824</v>
      </c>
      <c r="E399" s="2" t="s">
        <v>21283</v>
      </c>
      <c r="F399" s="2" t="s">
        <v>17137</v>
      </c>
      <c r="G399" s="2" t="s">
        <v>21284</v>
      </c>
      <c r="H399" s="2" t="s">
        <v>21285</v>
      </c>
      <c r="I399" s="2" t="s">
        <v>21286</v>
      </c>
      <c r="J399" s="2" t="s">
        <v>21287</v>
      </c>
      <c r="K399" s="2" t="s">
        <v>29</v>
      </c>
      <c r="L399" s="2" t="s">
        <v>29</v>
      </c>
      <c r="M399" s="2" t="s">
        <v>29</v>
      </c>
      <c r="N399" s="2" t="s">
        <v>21288</v>
      </c>
      <c r="O399" s="2" t="s">
        <v>29</v>
      </c>
      <c r="P399" s="2" t="s">
        <v>21289</v>
      </c>
      <c r="Q399" s="2" t="s">
        <v>21290</v>
      </c>
      <c r="R399" s="2" t="s">
        <v>114</v>
      </c>
      <c r="S399" s="2" t="s">
        <v>2057</v>
      </c>
      <c r="T399" s="2" t="s">
        <v>19614</v>
      </c>
      <c r="U399" s="2" t="s">
        <v>29</v>
      </c>
      <c r="V399" s="2" t="n">
        <v>1</v>
      </c>
    </row>
    <row r="400">
      <c r="A400" s="2" t="n">
        <v>399</v>
      </c>
      <c r="B400" s="2" t="s">
        <v>21291</v>
      </c>
      <c r="C400" s="2" t="n">
        <v>362.230176547</v>
      </c>
      <c r="D400" s="2" t="n">
        <v>14.748233640374</v>
      </c>
      <c r="E400" s="2" t="s">
        <v>21292</v>
      </c>
      <c r="F400" s="2" t="s">
        <v>17198</v>
      </c>
      <c r="G400" s="2" t="s">
        <v>21293</v>
      </c>
      <c r="H400" s="2" t="s">
        <v>21294</v>
      </c>
      <c r="I400" s="2" t="s">
        <v>21295</v>
      </c>
      <c r="J400" s="2" t="s">
        <v>195</v>
      </c>
      <c r="K400" s="2" t="s">
        <v>195</v>
      </c>
      <c r="L400" s="2" t="s">
        <v>195</v>
      </c>
      <c r="M400" s="2" t="s">
        <v>195</v>
      </c>
      <c r="N400" s="2" t="s">
        <v>195</v>
      </c>
      <c r="O400" s="2" t="s">
        <v>195</v>
      </c>
      <c r="P400" s="2" t="s">
        <v>21296</v>
      </c>
      <c r="Q400" s="2" t="s">
        <v>21297</v>
      </c>
      <c r="R400" s="2" t="s">
        <v>255</v>
      </c>
      <c r="S400" s="2" t="s">
        <v>256</v>
      </c>
      <c r="T400" s="2" t="s">
        <v>668</v>
      </c>
      <c r="U400" s="2" t="s">
        <v>29</v>
      </c>
      <c r="V400" s="2" t="n">
        <v>3</v>
      </c>
    </row>
    <row r="401">
      <c r="A401" s="2" t="n">
        <v>400</v>
      </c>
      <c r="B401" s="2" t="s">
        <v>21298</v>
      </c>
      <c r="C401" s="2" t="n">
        <v>363.12029175</v>
      </c>
      <c r="D401" s="2" t="n">
        <v>1.96119174784043</v>
      </c>
      <c r="E401" s="2" t="s">
        <v>21299</v>
      </c>
      <c r="F401" s="2" t="s">
        <v>17198</v>
      </c>
      <c r="G401" s="2" t="s">
        <v>21300</v>
      </c>
      <c r="H401" s="2" t="s">
        <v>21301</v>
      </c>
      <c r="I401" s="2" t="s">
        <v>21302</v>
      </c>
      <c r="J401" s="2" t="s">
        <v>21303</v>
      </c>
      <c r="K401" s="2" t="s">
        <v>29</v>
      </c>
      <c r="L401" s="2" t="s">
        <v>21304</v>
      </c>
      <c r="M401" s="2" t="s">
        <v>21305</v>
      </c>
      <c r="N401" s="2" t="s">
        <v>21306</v>
      </c>
      <c r="O401" s="2" t="s">
        <v>21307</v>
      </c>
      <c r="P401" s="2" t="s">
        <v>21308</v>
      </c>
      <c r="Q401" s="2" t="s">
        <v>21309</v>
      </c>
      <c r="R401" s="2" t="s">
        <v>1355</v>
      </c>
      <c r="S401" s="2" t="s">
        <v>9900</v>
      </c>
      <c r="T401" s="2" t="s">
        <v>9901</v>
      </c>
      <c r="U401" s="2" t="s">
        <v>56</v>
      </c>
      <c r="V401" s="2" t="n">
        <v>1</v>
      </c>
    </row>
    <row r="402">
      <c r="A402" s="2" t="n">
        <v>401</v>
      </c>
      <c r="B402" s="2" t="s">
        <v>21310</v>
      </c>
      <c r="C402" s="2" t="n">
        <v>363.17208814</v>
      </c>
      <c r="D402" s="2" t="n">
        <v>0.0344179409614218</v>
      </c>
      <c r="E402" s="2" t="s">
        <v>21311</v>
      </c>
      <c r="F402" s="2" t="s">
        <v>17406</v>
      </c>
      <c r="G402" s="2" t="s">
        <v>21312</v>
      </c>
      <c r="H402" s="2" t="s">
        <v>21313</v>
      </c>
      <c r="I402" s="2" t="s">
        <v>21314</v>
      </c>
      <c r="J402" s="2" t="s">
        <v>21315</v>
      </c>
      <c r="K402" s="2" t="s">
        <v>29</v>
      </c>
      <c r="L402" s="2" t="s">
        <v>29</v>
      </c>
      <c r="M402" s="2" t="s">
        <v>21316</v>
      </c>
      <c r="N402" s="2" t="s">
        <v>21317</v>
      </c>
      <c r="O402" s="2" t="s">
        <v>21318</v>
      </c>
      <c r="P402" s="2" t="s">
        <v>21319</v>
      </c>
      <c r="Q402" s="2" t="s">
        <v>21320</v>
      </c>
      <c r="R402" s="2" t="s">
        <v>794</v>
      </c>
      <c r="S402" s="2" t="s">
        <v>2971</v>
      </c>
      <c r="T402" s="2" t="s">
        <v>5934</v>
      </c>
      <c r="U402" s="2" t="s">
        <v>56</v>
      </c>
      <c r="V402" s="2" t="n">
        <v>1</v>
      </c>
    </row>
    <row r="403">
      <c r="A403" s="2" t="n">
        <v>402</v>
      </c>
      <c r="B403" s="2" t="s">
        <v>21321</v>
      </c>
      <c r="C403" s="2" t="n">
        <v>363.991884845</v>
      </c>
      <c r="D403" s="2" t="n">
        <v>0.507085262168828</v>
      </c>
      <c r="E403" s="2" t="s">
        <v>21322</v>
      </c>
      <c r="F403" s="2" t="s">
        <v>17520</v>
      </c>
      <c r="G403" s="2" t="s">
        <v>21323</v>
      </c>
      <c r="H403" s="2" t="s">
        <v>21324</v>
      </c>
      <c r="I403" s="2" t="s">
        <v>21325</v>
      </c>
      <c r="J403" s="2" t="s">
        <v>21326</v>
      </c>
      <c r="K403" s="2" t="s">
        <v>29</v>
      </c>
      <c r="L403" s="2" t="s">
        <v>21327</v>
      </c>
      <c r="M403" s="2" t="s">
        <v>21328</v>
      </c>
      <c r="N403" s="2" t="s">
        <v>21329</v>
      </c>
      <c r="O403" s="2" t="s">
        <v>21330</v>
      </c>
      <c r="P403" s="2" t="s">
        <v>21331</v>
      </c>
      <c r="Q403" s="2" t="s">
        <v>21332</v>
      </c>
      <c r="R403" s="2" t="s">
        <v>114</v>
      </c>
      <c r="S403" s="2" t="s">
        <v>172</v>
      </c>
      <c r="T403" s="2" t="s">
        <v>173</v>
      </c>
      <c r="U403" s="2" t="s">
        <v>101</v>
      </c>
      <c r="V403" s="2" t="n">
        <v>1</v>
      </c>
    </row>
    <row r="404">
      <c r="A404" s="2" t="n">
        <v>403</v>
      </c>
      <c r="B404" s="2" t="s">
        <v>21333</v>
      </c>
      <c r="C404" s="2" t="n">
        <v>364.966416456</v>
      </c>
      <c r="D404" s="2" t="n">
        <v>5.87903073554827</v>
      </c>
      <c r="E404" s="2" t="s">
        <v>21334</v>
      </c>
      <c r="F404" s="2" t="s">
        <v>17137</v>
      </c>
      <c r="G404" s="2" t="s">
        <v>21335</v>
      </c>
      <c r="H404" s="2" t="s">
        <v>21336</v>
      </c>
      <c r="I404" s="2" t="s">
        <v>21337</v>
      </c>
      <c r="J404" s="2" t="s">
        <v>21338</v>
      </c>
      <c r="K404" s="2" t="s">
        <v>29</v>
      </c>
      <c r="L404" s="2" t="s">
        <v>21339</v>
      </c>
      <c r="M404" s="2" t="s">
        <v>29</v>
      </c>
      <c r="N404" s="2" t="s">
        <v>21340</v>
      </c>
      <c r="O404" s="2" t="s">
        <v>21341</v>
      </c>
      <c r="P404" s="2" t="s">
        <v>21342</v>
      </c>
      <c r="Q404" s="2" t="s">
        <v>21343</v>
      </c>
      <c r="R404" s="2" t="s">
        <v>186</v>
      </c>
      <c r="S404" s="2" t="s">
        <v>187</v>
      </c>
      <c r="T404" s="2" t="s">
        <v>8537</v>
      </c>
      <c r="U404" s="2" t="s">
        <v>101</v>
      </c>
      <c r="V404" s="2" t="n">
        <v>1</v>
      </c>
    </row>
    <row r="405">
      <c r="A405" s="2" t="n">
        <v>404</v>
      </c>
      <c r="B405" s="2" t="s">
        <v>21344</v>
      </c>
      <c r="C405" s="2" t="n">
        <v>365.101964244</v>
      </c>
      <c r="D405" s="2" t="n">
        <v>3.54027740719357</v>
      </c>
      <c r="E405" s="2" t="s">
        <v>21345</v>
      </c>
      <c r="F405" s="2" t="s">
        <v>17137</v>
      </c>
      <c r="G405" s="2" t="s">
        <v>21346</v>
      </c>
      <c r="H405" s="2" t="s">
        <v>21347</v>
      </c>
      <c r="I405" s="2" t="s">
        <v>21348</v>
      </c>
      <c r="J405" s="2" t="s">
        <v>21349</v>
      </c>
      <c r="K405" s="2" t="s">
        <v>29</v>
      </c>
      <c r="L405" s="2" t="s">
        <v>29</v>
      </c>
      <c r="M405" s="2" t="s">
        <v>21350</v>
      </c>
      <c r="N405" s="2" t="s">
        <v>21351</v>
      </c>
      <c r="O405" s="2" t="s">
        <v>21352</v>
      </c>
      <c r="P405" s="2" t="s">
        <v>21353</v>
      </c>
      <c r="Q405" s="2" t="s">
        <v>21354</v>
      </c>
      <c r="R405" s="2" t="s">
        <v>1355</v>
      </c>
      <c r="S405" s="2" t="s">
        <v>3298</v>
      </c>
      <c r="T405" s="2" t="s">
        <v>15265</v>
      </c>
      <c r="U405" s="2" t="s">
        <v>56</v>
      </c>
      <c r="V405" s="2" t="n">
        <v>1</v>
      </c>
    </row>
    <row r="406">
      <c r="A406" s="2" t="n">
        <v>405</v>
      </c>
      <c r="B406" s="2" t="s">
        <v>21355</v>
      </c>
      <c r="C406" s="2" t="n">
        <v>365.157225936</v>
      </c>
      <c r="D406" s="2" t="n">
        <v>1.95924529808418</v>
      </c>
      <c r="E406" s="2" t="s">
        <v>21356</v>
      </c>
      <c r="F406" s="2" t="s">
        <v>17406</v>
      </c>
      <c r="G406" s="2" t="s">
        <v>21357</v>
      </c>
      <c r="H406" s="2" t="s">
        <v>21358</v>
      </c>
      <c r="I406" s="2" t="s">
        <v>21359</v>
      </c>
      <c r="J406" s="2" t="s">
        <v>29</v>
      </c>
      <c r="K406" s="2" t="s">
        <v>29</v>
      </c>
      <c r="L406" s="2" t="s">
        <v>29</v>
      </c>
      <c r="M406" s="2" t="s">
        <v>21360</v>
      </c>
      <c r="N406" s="2" t="s">
        <v>21361</v>
      </c>
      <c r="O406" s="2" t="s">
        <v>21362</v>
      </c>
      <c r="P406" s="2" t="s">
        <v>21363</v>
      </c>
      <c r="Q406" s="2" t="s">
        <v>21364</v>
      </c>
      <c r="R406" s="2" t="s">
        <v>129</v>
      </c>
      <c r="S406" s="2" t="s">
        <v>130</v>
      </c>
      <c r="T406" s="2" t="s">
        <v>4901</v>
      </c>
      <c r="U406" s="2" t="s">
        <v>56</v>
      </c>
      <c r="V406" s="2" t="n">
        <v>1</v>
      </c>
    </row>
    <row r="407">
      <c r="A407" s="2" t="n">
        <v>406</v>
      </c>
      <c r="B407" s="2" t="s">
        <v>21365</v>
      </c>
      <c r="C407" s="2" t="n">
        <v>366.161819743</v>
      </c>
      <c r="D407" s="2" t="n">
        <v>0.650317519442561</v>
      </c>
      <c r="E407" s="2" t="s">
        <v>21366</v>
      </c>
      <c r="F407" s="2" t="s">
        <v>17039</v>
      </c>
      <c r="G407" s="2" t="s">
        <v>21367</v>
      </c>
      <c r="H407" s="2" t="s">
        <v>21368</v>
      </c>
      <c r="I407" s="2" t="s">
        <v>21369</v>
      </c>
      <c r="J407" s="2" t="s">
        <v>29</v>
      </c>
      <c r="K407" s="2" t="s">
        <v>29</v>
      </c>
      <c r="L407" s="2" t="s">
        <v>29</v>
      </c>
      <c r="M407" s="2" t="s">
        <v>29</v>
      </c>
      <c r="N407" s="2" t="s">
        <v>21370</v>
      </c>
      <c r="O407" s="2" t="s">
        <v>29</v>
      </c>
      <c r="P407" s="2" t="s">
        <v>21371</v>
      </c>
      <c r="Q407" s="2" t="s">
        <v>21372</v>
      </c>
      <c r="R407" s="2" t="s">
        <v>36</v>
      </c>
      <c r="S407" s="2" t="s">
        <v>37</v>
      </c>
      <c r="T407" s="2" t="s">
        <v>69</v>
      </c>
      <c r="U407" s="2" t="s">
        <v>29</v>
      </c>
      <c r="V407" s="2" t="n">
        <v>1</v>
      </c>
    </row>
    <row r="408">
      <c r="A408" s="2" t="n">
        <v>407</v>
      </c>
      <c r="B408" s="2" t="s">
        <v>21373</v>
      </c>
      <c r="C408" s="2" t="n">
        <v>366.96697673</v>
      </c>
      <c r="D408" s="2" t="n">
        <v>0.186016771590383</v>
      </c>
      <c r="E408" s="2" t="s">
        <v>21374</v>
      </c>
      <c r="F408" s="2" t="s">
        <v>18382</v>
      </c>
      <c r="G408" s="2" t="s">
        <v>21375</v>
      </c>
      <c r="H408" s="2" t="s">
        <v>21376</v>
      </c>
      <c r="I408" s="2" t="s">
        <v>21377</v>
      </c>
      <c r="J408" s="2" t="s">
        <v>21378</v>
      </c>
      <c r="K408" s="2" t="s">
        <v>91</v>
      </c>
      <c r="L408" s="2" t="s">
        <v>21379</v>
      </c>
      <c r="M408" s="2" t="s">
        <v>21380</v>
      </c>
      <c r="N408" s="2" t="s">
        <v>21381</v>
      </c>
      <c r="O408" s="2" t="s">
        <v>21382</v>
      </c>
      <c r="P408" s="2" t="s">
        <v>21383</v>
      </c>
      <c r="Q408" s="2" t="s">
        <v>21384</v>
      </c>
      <c r="R408" s="2" t="s">
        <v>144</v>
      </c>
      <c r="S408" s="2" t="s">
        <v>145</v>
      </c>
      <c r="T408" s="2" t="s">
        <v>146</v>
      </c>
      <c r="U408" s="2" t="s">
        <v>101</v>
      </c>
      <c r="V408" s="2" t="n">
        <v>2</v>
      </c>
    </row>
    <row r="409">
      <c r="A409" s="2" t="n">
        <v>408</v>
      </c>
      <c r="B409" s="2" t="s">
        <v>21385</v>
      </c>
      <c r="C409" s="2" t="n">
        <v>367.1577558</v>
      </c>
      <c r="D409" s="2" t="n">
        <v>0.875581367588154</v>
      </c>
      <c r="E409" s="2" t="s">
        <v>21386</v>
      </c>
      <c r="F409" s="2" t="s">
        <v>17039</v>
      </c>
      <c r="G409" s="2" t="s">
        <v>21387</v>
      </c>
      <c r="H409" s="2" t="s">
        <v>21388</v>
      </c>
      <c r="I409" s="2" t="s">
        <v>21389</v>
      </c>
      <c r="J409" s="2" t="s">
        <v>29</v>
      </c>
      <c r="K409" s="2" t="s">
        <v>29</v>
      </c>
      <c r="L409" s="2" t="s">
        <v>29</v>
      </c>
      <c r="M409" s="2" t="s">
        <v>29</v>
      </c>
      <c r="N409" s="2" t="s">
        <v>21390</v>
      </c>
      <c r="O409" s="2" t="s">
        <v>29</v>
      </c>
      <c r="P409" s="2" t="s">
        <v>21391</v>
      </c>
      <c r="Q409" s="2" t="s">
        <v>21392</v>
      </c>
      <c r="R409" s="2" t="s">
        <v>186</v>
      </c>
      <c r="S409" s="2" t="s">
        <v>187</v>
      </c>
      <c r="T409" s="2" t="s">
        <v>11522</v>
      </c>
      <c r="U409" s="2" t="s">
        <v>29</v>
      </c>
      <c r="V409" s="2" t="n">
        <v>1</v>
      </c>
    </row>
    <row r="410">
      <c r="A410" s="2" t="n">
        <v>409</v>
      </c>
      <c r="B410" s="2" t="s">
        <v>21393</v>
      </c>
      <c r="C410" s="2" t="n">
        <v>367.22436289</v>
      </c>
      <c r="D410" s="2" t="n">
        <v>0.638505020879827</v>
      </c>
      <c r="E410" s="2" t="s">
        <v>21394</v>
      </c>
      <c r="F410" s="2" t="s">
        <v>17198</v>
      </c>
      <c r="G410" s="2" t="s">
        <v>21395</v>
      </c>
      <c r="H410" s="2" t="s">
        <v>21396</v>
      </c>
      <c r="I410" s="2" t="s">
        <v>21397</v>
      </c>
      <c r="J410" s="2" t="s">
        <v>195</v>
      </c>
      <c r="K410" s="2" t="s">
        <v>21398</v>
      </c>
      <c r="L410" s="2" t="s">
        <v>195</v>
      </c>
      <c r="M410" s="2" t="s">
        <v>21399</v>
      </c>
      <c r="N410" s="2" t="s">
        <v>21400</v>
      </c>
      <c r="O410" s="2" t="s">
        <v>21401</v>
      </c>
      <c r="P410" s="2" t="s">
        <v>21402</v>
      </c>
      <c r="Q410" s="2" t="s">
        <v>21403</v>
      </c>
      <c r="R410" s="2" t="s">
        <v>255</v>
      </c>
      <c r="S410" s="2" t="s">
        <v>256</v>
      </c>
      <c r="T410" s="2" t="s">
        <v>257</v>
      </c>
      <c r="U410" s="2" t="s">
        <v>56</v>
      </c>
      <c r="V410" s="2" t="n">
        <v>3</v>
      </c>
    </row>
    <row r="411">
      <c r="A411" s="2" t="n">
        <v>410</v>
      </c>
      <c r="B411" s="2" t="s">
        <v>21404</v>
      </c>
      <c r="C411" s="2" t="n">
        <v>368.222568831</v>
      </c>
      <c r="D411" s="2" t="n">
        <v>1.24584111678457</v>
      </c>
      <c r="E411" s="2" t="s">
        <v>21405</v>
      </c>
      <c r="F411" s="2" t="s">
        <v>17117</v>
      </c>
      <c r="G411" s="2" t="s">
        <v>21406</v>
      </c>
      <c r="H411" s="2" t="s">
        <v>21407</v>
      </c>
      <c r="I411" s="2" t="s">
        <v>21408</v>
      </c>
      <c r="J411" s="2" t="s">
        <v>21409</v>
      </c>
      <c r="K411" s="2" t="s">
        <v>29</v>
      </c>
      <c r="L411" s="2" t="s">
        <v>21410</v>
      </c>
      <c r="M411" s="2" t="s">
        <v>21411</v>
      </c>
      <c r="N411" s="2" t="s">
        <v>21412</v>
      </c>
      <c r="O411" s="2" t="s">
        <v>21413</v>
      </c>
      <c r="P411" s="2" t="s">
        <v>21414</v>
      </c>
      <c r="Q411" s="2" t="s">
        <v>21415</v>
      </c>
      <c r="R411" s="2" t="s">
        <v>114</v>
      </c>
      <c r="S411" s="2" t="s">
        <v>6312</v>
      </c>
      <c r="T411" s="2" t="s">
        <v>6313</v>
      </c>
      <c r="U411" s="2" t="s">
        <v>56</v>
      </c>
      <c r="V411" s="2" t="n">
        <v>1</v>
      </c>
    </row>
    <row r="412">
      <c r="A412" s="2" t="n">
        <v>411</v>
      </c>
      <c r="B412" s="2" t="s">
        <v>21416</v>
      </c>
      <c r="C412" s="2" t="n">
        <v>368.961854052</v>
      </c>
      <c r="D412" s="2" t="n">
        <v>4.29802000943075</v>
      </c>
      <c r="E412" s="2" t="s">
        <v>21417</v>
      </c>
      <c r="F412" s="2" t="s">
        <v>18382</v>
      </c>
      <c r="G412" s="2" t="s">
        <v>21418</v>
      </c>
      <c r="H412" s="2" t="s">
        <v>21419</v>
      </c>
      <c r="I412" s="2" t="s">
        <v>21420</v>
      </c>
      <c r="J412" s="2" t="s">
        <v>21421</v>
      </c>
      <c r="K412" s="2" t="s">
        <v>29</v>
      </c>
      <c r="L412" s="2" t="s">
        <v>21422</v>
      </c>
      <c r="M412" s="2" t="s">
        <v>21423</v>
      </c>
      <c r="N412" s="2" t="s">
        <v>21424</v>
      </c>
      <c r="O412" s="2" t="s">
        <v>21425</v>
      </c>
      <c r="P412" s="2" t="s">
        <v>21426</v>
      </c>
      <c r="Q412" s="2" t="s">
        <v>21427</v>
      </c>
      <c r="R412" s="2" t="s">
        <v>129</v>
      </c>
      <c r="S412" s="2" t="s">
        <v>130</v>
      </c>
      <c r="T412" s="2" t="s">
        <v>131</v>
      </c>
      <c r="U412" s="2" t="s">
        <v>56</v>
      </c>
      <c r="V412" s="2" t="n">
        <v>1</v>
      </c>
    </row>
    <row r="413">
      <c r="A413" s="2" t="n">
        <v>412</v>
      </c>
      <c r="B413" s="2" t="s">
        <v>21428</v>
      </c>
      <c r="C413" s="2" t="n">
        <v>369.029587705</v>
      </c>
      <c r="D413" s="2" t="n">
        <v>1.01418925537385</v>
      </c>
      <c r="E413" s="2" t="s">
        <v>21429</v>
      </c>
      <c r="F413" s="2" t="s">
        <v>17137</v>
      </c>
      <c r="G413" s="2" t="s">
        <v>21430</v>
      </c>
      <c r="H413" s="2" t="s">
        <v>21431</v>
      </c>
      <c r="I413" s="2" t="s">
        <v>21432</v>
      </c>
      <c r="J413" s="2" t="s">
        <v>29</v>
      </c>
      <c r="K413" s="2" t="s">
        <v>29</v>
      </c>
      <c r="L413" s="2" t="s">
        <v>21433</v>
      </c>
      <c r="M413" s="2" t="s">
        <v>21434</v>
      </c>
      <c r="N413" s="2" t="s">
        <v>21435</v>
      </c>
      <c r="O413" s="2" t="s">
        <v>29</v>
      </c>
      <c r="P413" s="2" t="s">
        <v>21436</v>
      </c>
      <c r="Q413" s="2" t="s">
        <v>21437</v>
      </c>
      <c r="R413" s="2" t="s">
        <v>186</v>
      </c>
      <c r="S413" s="2" t="s">
        <v>187</v>
      </c>
      <c r="T413" s="2" t="s">
        <v>215</v>
      </c>
      <c r="U413" s="2" t="s">
        <v>101</v>
      </c>
      <c r="V413" s="2" t="n">
        <v>1</v>
      </c>
    </row>
    <row r="414">
      <c r="A414" s="2" t="n">
        <v>413</v>
      </c>
      <c r="B414" s="2" t="s">
        <v>21438</v>
      </c>
      <c r="C414" s="2" t="n">
        <v>369.135744586</v>
      </c>
      <c r="D414" s="2" t="n">
        <v>2.65953221178175</v>
      </c>
      <c r="E414" s="2" t="s">
        <v>21439</v>
      </c>
      <c r="F414" s="2" t="s">
        <v>17137</v>
      </c>
      <c r="G414" s="2" t="s">
        <v>21440</v>
      </c>
      <c r="H414" s="2" t="s">
        <v>21441</v>
      </c>
      <c r="I414" s="2" t="s">
        <v>21442</v>
      </c>
      <c r="J414" s="2" t="s">
        <v>29</v>
      </c>
      <c r="K414" s="2" t="s">
        <v>29</v>
      </c>
      <c r="L414" s="2" t="s">
        <v>29</v>
      </c>
      <c r="M414" s="2" t="s">
        <v>29</v>
      </c>
      <c r="N414" s="2" t="s">
        <v>21443</v>
      </c>
      <c r="O414" s="2" t="s">
        <v>29</v>
      </c>
      <c r="P414" s="2" t="s">
        <v>21444</v>
      </c>
      <c r="Q414" s="2" t="s">
        <v>21445</v>
      </c>
      <c r="R414" s="2" t="s">
        <v>129</v>
      </c>
      <c r="S414" s="2" t="s">
        <v>130</v>
      </c>
      <c r="T414" s="2" t="s">
        <v>131</v>
      </c>
      <c r="U414" s="2" t="s">
        <v>29</v>
      </c>
      <c r="V414" s="2" t="n">
        <v>1</v>
      </c>
    </row>
    <row r="415">
      <c r="A415" s="2" t="n">
        <v>414</v>
      </c>
      <c r="B415" s="2" t="s">
        <v>21446</v>
      </c>
      <c r="C415" s="2" t="n">
        <v>369.233667725</v>
      </c>
      <c r="D415" s="2" t="n">
        <v>0.896213064973321</v>
      </c>
      <c r="E415" s="2" t="s">
        <v>21447</v>
      </c>
      <c r="F415" s="2" t="s">
        <v>17137</v>
      </c>
      <c r="G415" s="2" t="s">
        <v>21448</v>
      </c>
      <c r="H415" s="2" t="s">
        <v>21449</v>
      </c>
      <c r="I415" s="2" t="s">
        <v>21450</v>
      </c>
      <c r="J415" s="2" t="s">
        <v>29</v>
      </c>
      <c r="K415" s="2" t="s">
        <v>29</v>
      </c>
      <c r="L415" s="2" t="s">
        <v>29</v>
      </c>
      <c r="M415" s="2" t="s">
        <v>29</v>
      </c>
      <c r="N415" s="2" t="s">
        <v>21451</v>
      </c>
      <c r="O415" s="2" t="s">
        <v>29</v>
      </c>
      <c r="P415" s="2" t="s">
        <v>21452</v>
      </c>
      <c r="Q415" s="2" t="s">
        <v>21453</v>
      </c>
      <c r="R415" s="2" t="s">
        <v>114</v>
      </c>
      <c r="S415" s="2" t="s">
        <v>4121</v>
      </c>
      <c r="T415" s="2" t="s">
        <v>7629</v>
      </c>
      <c r="U415" s="2" t="s">
        <v>29</v>
      </c>
      <c r="V415" s="2" t="n">
        <v>1</v>
      </c>
    </row>
    <row r="416">
      <c r="A416" s="2" t="n">
        <v>415</v>
      </c>
      <c r="B416" s="2" t="s">
        <v>21454</v>
      </c>
      <c r="C416" s="2" t="n">
        <v>371.103596306</v>
      </c>
      <c r="D416" s="2" t="n">
        <v>0.103125239294674</v>
      </c>
      <c r="E416" s="2" t="s">
        <v>21455</v>
      </c>
      <c r="F416" s="2" t="s">
        <v>17198</v>
      </c>
      <c r="G416" s="2" t="s">
        <v>21456</v>
      </c>
      <c r="H416" s="2" t="s">
        <v>21457</v>
      </c>
      <c r="I416" s="2" t="s">
        <v>21458</v>
      </c>
      <c r="J416" s="2" t="s">
        <v>29</v>
      </c>
      <c r="K416" s="2" t="s">
        <v>29</v>
      </c>
      <c r="L416" s="2" t="s">
        <v>29</v>
      </c>
      <c r="M416" s="2" t="s">
        <v>29</v>
      </c>
      <c r="N416" s="2" t="s">
        <v>21459</v>
      </c>
      <c r="O416" s="2" t="s">
        <v>29</v>
      </c>
      <c r="P416" s="2" t="s">
        <v>21460</v>
      </c>
      <c r="Q416" s="2" t="s">
        <v>21461</v>
      </c>
      <c r="R416" s="2" t="s">
        <v>186</v>
      </c>
      <c r="S416" s="2" t="s">
        <v>4086</v>
      </c>
      <c r="T416" s="2" t="s">
        <v>4087</v>
      </c>
      <c r="U416" s="2" t="s">
        <v>29</v>
      </c>
      <c r="V416" s="2" t="n">
        <v>1</v>
      </c>
    </row>
    <row r="417">
      <c r="A417" s="2" t="n">
        <v>416</v>
      </c>
      <c r="B417" s="2" t="s">
        <v>21462</v>
      </c>
      <c r="C417" s="2" t="n">
        <v>371.14532683</v>
      </c>
      <c r="D417" s="2" t="n">
        <v>1.42643718272251</v>
      </c>
      <c r="E417" s="2" t="s">
        <v>21463</v>
      </c>
      <c r="F417" s="2" t="s">
        <v>17137</v>
      </c>
      <c r="G417" s="2" t="s">
        <v>21464</v>
      </c>
      <c r="H417" s="2" t="s">
        <v>21465</v>
      </c>
      <c r="I417" s="2" t="s">
        <v>21466</v>
      </c>
      <c r="J417" s="2" t="s">
        <v>29</v>
      </c>
      <c r="K417" s="2" t="s">
        <v>29</v>
      </c>
      <c r="L417" s="2" t="s">
        <v>29</v>
      </c>
      <c r="M417" s="2" t="s">
        <v>29</v>
      </c>
      <c r="N417" s="2" t="s">
        <v>29</v>
      </c>
      <c r="O417" s="2" t="s">
        <v>29</v>
      </c>
      <c r="P417" s="2" t="s">
        <v>21467</v>
      </c>
      <c r="Q417" s="2" t="s">
        <v>21468</v>
      </c>
      <c r="R417" s="2" t="s">
        <v>186</v>
      </c>
      <c r="S417" s="2" t="s">
        <v>187</v>
      </c>
      <c r="T417" s="2" t="s">
        <v>2791</v>
      </c>
      <c r="U417" s="2" t="s">
        <v>29</v>
      </c>
      <c r="V417" s="2" t="n">
        <v>1</v>
      </c>
    </row>
    <row r="418">
      <c r="A418" s="2" t="n">
        <v>417</v>
      </c>
      <c r="B418" s="2" t="s">
        <v>21469</v>
      </c>
      <c r="C418" s="2" t="n">
        <v>371.230510898</v>
      </c>
      <c r="D418" s="2" t="n">
        <v>1.81700808372411</v>
      </c>
      <c r="E418" s="2" t="s">
        <v>21470</v>
      </c>
      <c r="F418" s="2" t="s">
        <v>17198</v>
      </c>
      <c r="G418" s="2" t="s">
        <v>21471</v>
      </c>
      <c r="H418" s="2" t="s">
        <v>21472</v>
      </c>
      <c r="I418" s="2" t="s">
        <v>21473</v>
      </c>
      <c r="J418" s="2" t="s">
        <v>29</v>
      </c>
      <c r="K418" s="2" t="s">
        <v>29</v>
      </c>
      <c r="L418" s="2" t="s">
        <v>29</v>
      </c>
      <c r="M418" s="2" t="s">
        <v>29</v>
      </c>
      <c r="N418" s="2" t="s">
        <v>21474</v>
      </c>
      <c r="O418" s="2" t="s">
        <v>29</v>
      </c>
      <c r="P418" s="2" t="s">
        <v>21475</v>
      </c>
      <c r="Q418" s="2" t="s">
        <v>21476</v>
      </c>
      <c r="R418" s="2" t="s">
        <v>794</v>
      </c>
      <c r="S418" s="2" t="s">
        <v>795</v>
      </c>
      <c r="T418" s="2" t="s">
        <v>796</v>
      </c>
      <c r="U418" s="2" t="s">
        <v>29</v>
      </c>
      <c r="V418" s="2" t="n">
        <v>1</v>
      </c>
    </row>
    <row r="419">
      <c r="A419" s="2" t="n">
        <v>418</v>
      </c>
      <c r="B419" s="2" t="s">
        <v>21477</v>
      </c>
      <c r="C419" s="2" t="n">
        <v>371.313177896</v>
      </c>
      <c r="D419" s="2" t="n">
        <v>5.38798505086614</v>
      </c>
      <c r="E419" s="2" t="s">
        <v>21478</v>
      </c>
      <c r="F419" s="2" t="s">
        <v>17892</v>
      </c>
      <c r="G419" s="2" t="s">
        <v>21479</v>
      </c>
      <c r="H419" s="2" t="s">
        <v>21480</v>
      </c>
      <c r="I419" s="2" t="s">
        <v>21481</v>
      </c>
      <c r="J419" s="2" t="s">
        <v>21482</v>
      </c>
      <c r="K419" s="2" t="s">
        <v>21483</v>
      </c>
      <c r="L419" s="2" t="s">
        <v>91</v>
      </c>
      <c r="M419" s="2" t="s">
        <v>91</v>
      </c>
      <c r="N419" s="2" t="s">
        <v>21484</v>
      </c>
      <c r="O419" s="2" t="s">
        <v>21485</v>
      </c>
      <c r="P419" s="2" t="s">
        <v>21486</v>
      </c>
      <c r="Q419" s="2" t="s">
        <v>21487</v>
      </c>
      <c r="R419" s="2" t="s">
        <v>21488</v>
      </c>
      <c r="S419" s="2" t="s">
        <v>21489</v>
      </c>
      <c r="T419" s="2" t="s">
        <v>21490</v>
      </c>
      <c r="U419" s="2" t="s">
        <v>56</v>
      </c>
      <c r="V419" s="2" t="n">
        <v>2</v>
      </c>
    </row>
    <row r="420">
      <c r="A420" s="2" t="n">
        <v>419</v>
      </c>
      <c r="B420" s="2" t="s">
        <v>21491</v>
      </c>
      <c r="C420" s="2" t="n">
        <v>372.104010406</v>
      </c>
      <c r="D420" s="2" t="n">
        <v>0.168678648194222</v>
      </c>
      <c r="E420" s="2" t="s">
        <v>21492</v>
      </c>
      <c r="F420" s="2" t="s">
        <v>17198</v>
      </c>
      <c r="G420" s="2" t="s">
        <v>21493</v>
      </c>
      <c r="H420" s="2" t="s">
        <v>21494</v>
      </c>
      <c r="I420" s="2" t="s">
        <v>21495</v>
      </c>
      <c r="J420" s="2" t="s">
        <v>29</v>
      </c>
      <c r="K420" s="2" t="s">
        <v>29</v>
      </c>
      <c r="L420" s="2" t="s">
        <v>29</v>
      </c>
      <c r="M420" s="2" t="s">
        <v>29</v>
      </c>
      <c r="N420" s="2" t="s">
        <v>21496</v>
      </c>
      <c r="O420" s="2" t="s">
        <v>21497</v>
      </c>
      <c r="P420" s="2" t="s">
        <v>21498</v>
      </c>
      <c r="Q420" s="2" t="s">
        <v>21499</v>
      </c>
      <c r="R420" s="2" t="s">
        <v>186</v>
      </c>
      <c r="S420" s="2" t="s">
        <v>187</v>
      </c>
      <c r="T420" s="2" t="s">
        <v>2791</v>
      </c>
      <c r="U420" s="2" t="s">
        <v>56</v>
      </c>
      <c r="V420" s="2" t="n">
        <v>1</v>
      </c>
    </row>
    <row r="421">
      <c r="A421" s="2" t="n">
        <v>420</v>
      </c>
      <c r="B421" s="2" t="s">
        <v>21500</v>
      </c>
      <c r="C421" s="2" t="n">
        <v>375.171281944</v>
      </c>
      <c r="D421" s="2" t="n">
        <v>0.184952462985781</v>
      </c>
      <c r="E421" s="2" t="s">
        <v>21501</v>
      </c>
      <c r="F421" s="2" t="s">
        <v>17198</v>
      </c>
      <c r="G421" s="2" t="s">
        <v>21502</v>
      </c>
      <c r="H421" s="2" t="s">
        <v>21503</v>
      </c>
      <c r="I421" s="2" t="s">
        <v>21504</v>
      </c>
      <c r="J421" s="2" t="s">
        <v>91</v>
      </c>
      <c r="K421" s="2" t="s">
        <v>91</v>
      </c>
      <c r="L421" s="2" t="s">
        <v>91</v>
      </c>
      <c r="M421" s="2" t="s">
        <v>91</v>
      </c>
      <c r="N421" s="2" t="s">
        <v>21505</v>
      </c>
      <c r="O421" s="2" t="s">
        <v>91</v>
      </c>
      <c r="P421" s="2" t="s">
        <v>21506</v>
      </c>
      <c r="Q421" s="2" t="s">
        <v>21507</v>
      </c>
      <c r="R421" s="2" t="s">
        <v>770</v>
      </c>
      <c r="S421" s="2" t="s">
        <v>21508</v>
      </c>
      <c r="T421" s="2" t="s">
        <v>21509</v>
      </c>
      <c r="U421" s="2" t="s">
        <v>29</v>
      </c>
      <c r="V421" s="2" t="n">
        <v>2</v>
      </c>
    </row>
    <row r="422">
      <c r="A422" s="2" t="n">
        <v>421</v>
      </c>
      <c r="B422" s="2" t="s">
        <v>21510</v>
      </c>
      <c r="C422" s="2" t="n">
        <v>376.297623009</v>
      </c>
      <c r="D422" s="2" t="n">
        <v>17.2404228977875</v>
      </c>
      <c r="E422" s="2" t="s">
        <v>21511</v>
      </c>
      <c r="F422" s="2" t="s">
        <v>17406</v>
      </c>
      <c r="G422" s="2" t="s">
        <v>21512</v>
      </c>
      <c r="H422" s="2" t="s">
        <v>21513</v>
      </c>
      <c r="I422" s="2" t="s">
        <v>21514</v>
      </c>
      <c r="J422" s="2" t="s">
        <v>29</v>
      </c>
      <c r="K422" s="2" t="s">
        <v>29</v>
      </c>
      <c r="L422" s="2" t="s">
        <v>29</v>
      </c>
      <c r="M422" s="2" t="s">
        <v>29</v>
      </c>
      <c r="N422" s="2" t="s">
        <v>21515</v>
      </c>
      <c r="O422" s="2" t="s">
        <v>29</v>
      </c>
      <c r="P422" s="2" t="s">
        <v>21516</v>
      </c>
      <c r="Q422" s="2" t="s">
        <v>21517</v>
      </c>
      <c r="R422" s="2" t="s">
        <v>794</v>
      </c>
      <c r="S422" s="2" t="s">
        <v>795</v>
      </c>
      <c r="T422" s="2" t="s">
        <v>5115</v>
      </c>
      <c r="U422" s="2" t="s">
        <v>39</v>
      </c>
      <c r="V422" s="2" t="n">
        <v>1</v>
      </c>
    </row>
    <row r="423">
      <c r="A423" s="2" t="n">
        <v>422</v>
      </c>
      <c r="B423" s="2" t="s">
        <v>21518</v>
      </c>
      <c r="C423" s="2" t="n">
        <v>377.126045828</v>
      </c>
      <c r="D423" s="2" t="n">
        <v>3.58283994536602</v>
      </c>
      <c r="E423" s="2" t="s">
        <v>21519</v>
      </c>
      <c r="F423" s="2" t="s">
        <v>17198</v>
      </c>
      <c r="G423" s="2" t="s">
        <v>21520</v>
      </c>
      <c r="H423" s="2" t="s">
        <v>21521</v>
      </c>
      <c r="I423" s="2" t="s">
        <v>21522</v>
      </c>
      <c r="J423" s="2" t="s">
        <v>29</v>
      </c>
      <c r="K423" s="2" t="s">
        <v>29</v>
      </c>
      <c r="L423" s="2" t="s">
        <v>29</v>
      </c>
      <c r="M423" s="2" t="s">
        <v>29</v>
      </c>
      <c r="N423" s="2" t="s">
        <v>21523</v>
      </c>
      <c r="O423" s="2" t="s">
        <v>29</v>
      </c>
      <c r="P423" s="2" t="s">
        <v>21524</v>
      </c>
      <c r="Q423" s="2" t="s">
        <v>21525</v>
      </c>
      <c r="R423" s="2" t="s">
        <v>114</v>
      </c>
      <c r="S423" s="2" t="s">
        <v>172</v>
      </c>
      <c r="T423" s="2" t="s">
        <v>4451</v>
      </c>
      <c r="U423" s="2" t="s">
        <v>29</v>
      </c>
      <c r="V423" s="2" t="n">
        <v>1</v>
      </c>
    </row>
    <row r="424">
      <c r="A424" s="2" t="n">
        <v>423</v>
      </c>
      <c r="B424" s="2" t="s">
        <v>21526</v>
      </c>
      <c r="C424" s="2" t="n">
        <v>377.19995966</v>
      </c>
      <c r="D424" s="2" t="n">
        <v>4.38119601605238</v>
      </c>
      <c r="E424" s="2" t="s">
        <v>21527</v>
      </c>
      <c r="F424" s="2" t="s">
        <v>17198</v>
      </c>
      <c r="G424" s="2" t="s">
        <v>21528</v>
      </c>
      <c r="H424" s="2" t="s">
        <v>21529</v>
      </c>
      <c r="I424" s="2" t="s">
        <v>21530</v>
      </c>
      <c r="J424" s="2" t="s">
        <v>21531</v>
      </c>
      <c r="K424" s="2" t="s">
        <v>29</v>
      </c>
      <c r="L424" s="2" t="s">
        <v>29</v>
      </c>
      <c r="M424" s="2" t="s">
        <v>21532</v>
      </c>
      <c r="N424" s="2" t="s">
        <v>21533</v>
      </c>
      <c r="O424" s="2" t="s">
        <v>29</v>
      </c>
      <c r="P424" s="2" t="s">
        <v>21534</v>
      </c>
      <c r="Q424" s="2" t="s">
        <v>21535</v>
      </c>
      <c r="R424" s="2" t="s">
        <v>114</v>
      </c>
      <c r="S424" s="2" t="s">
        <v>4121</v>
      </c>
      <c r="T424" s="2" t="s">
        <v>7629</v>
      </c>
      <c r="U424" s="2" t="s">
        <v>29</v>
      </c>
      <c r="V424" s="2" t="n">
        <v>1</v>
      </c>
    </row>
    <row r="425">
      <c r="A425" s="2" t="n">
        <v>424</v>
      </c>
      <c r="B425" s="2" t="s">
        <v>21536</v>
      </c>
      <c r="C425" s="2" t="n">
        <v>377.264612887</v>
      </c>
      <c r="D425" s="2" t="n">
        <v>4.31111740875722</v>
      </c>
      <c r="E425" s="2" t="s">
        <v>21537</v>
      </c>
      <c r="F425" s="2" t="s">
        <v>17137</v>
      </c>
      <c r="G425" s="2" t="s">
        <v>21538</v>
      </c>
      <c r="H425" s="2" t="s">
        <v>21539</v>
      </c>
      <c r="I425" s="2" t="s">
        <v>21540</v>
      </c>
      <c r="J425" s="2" t="s">
        <v>21541</v>
      </c>
      <c r="K425" s="2" t="s">
        <v>29</v>
      </c>
      <c r="L425" s="2" t="s">
        <v>29</v>
      </c>
      <c r="M425" s="2" t="s">
        <v>29</v>
      </c>
      <c r="N425" s="2" t="s">
        <v>21542</v>
      </c>
      <c r="O425" s="2" t="s">
        <v>29</v>
      </c>
      <c r="P425" s="2" t="s">
        <v>21543</v>
      </c>
      <c r="Q425" s="2" t="s">
        <v>21544</v>
      </c>
      <c r="R425" s="2" t="s">
        <v>601</v>
      </c>
      <c r="S425" s="2" t="s">
        <v>602</v>
      </c>
      <c r="T425" s="2" t="s">
        <v>1800</v>
      </c>
      <c r="U425" s="2" t="s">
        <v>29</v>
      </c>
      <c r="V425" s="2" t="n">
        <v>1</v>
      </c>
    </row>
    <row r="426">
      <c r="A426" s="2" t="n">
        <v>425</v>
      </c>
      <c r="B426" s="2" t="s">
        <v>21545</v>
      </c>
      <c r="C426" s="2" t="n">
        <v>379.1459337</v>
      </c>
      <c r="D426" s="2" t="n">
        <v>0.364586753683934</v>
      </c>
      <c r="E426" s="2" t="s">
        <v>21546</v>
      </c>
      <c r="F426" s="2" t="s">
        <v>17137</v>
      </c>
      <c r="G426" s="2" t="s">
        <v>21547</v>
      </c>
      <c r="H426" s="2" t="s">
        <v>21548</v>
      </c>
      <c r="I426" s="2" t="s">
        <v>21549</v>
      </c>
      <c r="J426" s="2" t="s">
        <v>29</v>
      </c>
      <c r="K426" s="2" t="s">
        <v>29</v>
      </c>
      <c r="L426" s="2" t="s">
        <v>29</v>
      </c>
      <c r="M426" s="2" t="s">
        <v>29</v>
      </c>
      <c r="N426" s="2" t="s">
        <v>21550</v>
      </c>
      <c r="O426" s="2" t="s">
        <v>29</v>
      </c>
      <c r="P426" s="2" t="s">
        <v>21551</v>
      </c>
      <c r="Q426" s="2" t="s">
        <v>21552</v>
      </c>
      <c r="R426" s="2" t="s">
        <v>1355</v>
      </c>
      <c r="S426" s="2" t="s">
        <v>3249</v>
      </c>
      <c r="T426" s="2" t="s">
        <v>215</v>
      </c>
      <c r="U426" s="2" t="s">
        <v>29</v>
      </c>
      <c r="V426" s="2" t="n">
        <v>1</v>
      </c>
    </row>
    <row r="427">
      <c r="A427" s="2" t="n">
        <v>426</v>
      </c>
      <c r="B427" s="2" t="s">
        <v>21553</v>
      </c>
      <c r="C427" s="2" t="n">
        <v>379.281877768</v>
      </c>
      <c r="D427" s="2" t="n">
        <v>12.6487320550292</v>
      </c>
      <c r="E427" s="2" t="s">
        <v>21554</v>
      </c>
      <c r="F427" s="2" t="s">
        <v>17198</v>
      </c>
      <c r="G427" s="2" t="s">
        <v>21555</v>
      </c>
      <c r="H427" s="2" t="s">
        <v>21556</v>
      </c>
      <c r="I427" s="2" t="s">
        <v>21557</v>
      </c>
      <c r="J427" s="2" t="s">
        <v>21558</v>
      </c>
      <c r="K427" s="2" t="s">
        <v>21559</v>
      </c>
      <c r="L427" s="2" t="s">
        <v>91</v>
      </c>
      <c r="M427" s="2" t="s">
        <v>21560</v>
      </c>
      <c r="N427" s="2" t="s">
        <v>21561</v>
      </c>
      <c r="O427" s="2" t="s">
        <v>21562</v>
      </c>
      <c r="P427" s="2" t="s">
        <v>21563</v>
      </c>
      <c r="Q427" s="2" t="s">
        <v>21564</v>
      </c>
      <c r="R427" s="2" t="s">
        <v>412</v>
      </c>
      <c r="S427" s="2" t="s">
        <v>21565</v>
      </c>
      <c r="T427" s="2" t="s">
        <v>21566</v>
      </c>
      <c r="U427" s="2" t="s">
        <v>56</v>
      </c>
      <c r="V427" s="2" t="n">
        <v>2</v>
      </c>
    </row>
    <row r="428">
      <c r="A428" s="2" t="n">
        <v>427</v>
      </c>
      <c r="B428" s="2" t="s">
        <v>21567</v>
      </c>
      <c r="C428" s="2" t="n">
        <v>380.29238288</v>
      </c>
      <c r="D428" s="2" t="n">
        <v>13.3043464952503</v>
      </c>
      <c r="E428" s="2" t="s">
        <v>21568</v>
      </c>
      <c r="F428" s="2" t="s">
        <v>17198</v>
      </c>
      <c r="G428" s="2" t="s">
        <v>21569</v>
      </c>
      <c r="H428" s="2" t="s">
        <v>21570</v>
      </c>
      <c r="I428" s="2" t="s">
        <v>21571</v>
      </c>
      <c r="J428" s="2" t="s">
        <v>29</v>
      </c>
      <c r="K428" s="2" t="s">
        <v>29</v>
      </c>
      <c r="L428" s="2" t="s">
        <v>29</v>
      </c>
      <c r="M428" s="2" t="s">
        <v>29</v>
      </c>
      <c r="N428" s="2" t="s">
        <v>29</v>
      </c>
      <c r="O428" s="2" t="s">
        <v>29</v>
      </c>
      <c r="P428" s="2" t="s">
        <v>21572</v>
      </c>
      <c r="Q428" s="2" t="s">
        <v>21573</v>
      </c>
      <c r="R428" s="2" t="s">
        <v>186</v>
      </c>
      <c r="S428" s="2" t="s">
        <v>187</v>
      </c>
      <c r="T428" s="2" t="s">
        <v>4711</v>
      </c>
      <c r="U428" s="2" t="s">
        <v>29</v>
      </c>
      <c r="V428" s="2" t="n">
        <v>1</v>
      </c>
    </row>
    <row r="429">
      <c r="A429" s="2" t="n">
        <v>428</v>
      </c>
      <c r="B429" s="2" t="s">
        <v>21574</v>
      </c>
      <c r="C429" s="2" t="n">
        <v>381.079369546</v>
      </c>
      <c r="D429" s="2" t="n">
        <v>4.95685132612016</v>
      </c>
      <c r="E429" s="2" t="s">
        <v>21575</v>
      </c>
      <c r="F429" s="2" t="s">
        <v>17406</v>
      </c>
      <c r="G429" s="2" t="s">
        <v>21576</v>
      </c>
      <c r="H429" s="2" t="s">
        <v>21577</v>
      </c>
      <c r="I429" s="2" t="s">
        <v>21578</v>
      </c>
      <c r="J429" s="2" t="s">
        <v>21579</v>
      </c>
      <c r="K429" s="2" t="s">
        <v>91</v>
      </c>
      <c r="L429" s="2" t="s">
        <v>21580</v>
      </c>
      <c r="M429" s="2" t="s">
        <v>21581</v>
      </c>
      <c r="N429" s="2" t="s">
        <v>21582</v>
      </c>
      <c r="O429" s="2" t="s">
        <v>21583</v>
      </c>
      <c r="P429" s="2" t="s">
        <v>21584</v>
      </c>
      <c r="Q429" s="2" t="s">
        <v>21585</v>
      </c>
      <c r="R429" s="2" t="s">
        <v>427</v>
      </c>
      <c r="S429" s="2" t="s">
        <v>428</v>
      </c>
      <c r="T429" s="2" t="s">
        <v>6812</v>
      </c>
      <c r="U429" s="2" t="s">
        <v>39</v>
      </c>
      <c r="V429" s="2" t="n">
        <v>2</v>
      </c>
    </row>
    <row r="430">
      <c r="A430" s="2" t="n">
        <v>429</v>
      </c>
      <c r="B430" s="2" t="s">
        <v>21586</v>
      </c>
      <c r="C430" s="2" t="n">
        <v>381.158122902</v>
      </c>
      <c r="D430" s="2" t="n">
        <v>1.42851549779669</v>
      </c>
      <c r="E430" s="2" t="s">
        <v>21587</v>
      </c>
      <c r="F430" s="2" t="s">
        <v>17406</v>
      </c>
      <c r="G430" s="2" t="s">
        <v>21588</v>
      </c>
      <c r="H430" s="2" t="s">
        <v>21589</v>
      </c>
      <c r="I430" s="2" t="s">
        <v>21590</v>
      </c>
      <c r="J430" s="2" t="s">
        <v>91</v>
      </c>
      <c r="K430" s="2" t="s">
        <v>91</v>
      </c>
      <c r="L430" s="2" t="s">
        <v>91</v>
      </c>
      <c r="M430" s="2" t="s">
        <v>91</v>
      </c>
      <c r="N430" s="2" t="s">
        <v>21591</v>
      </c>
      <c r="O430" s="2" t="s">
        <v>91</v>
      </c>
      <c r="P430" s="2" t="s">
        <v>21592</v>
      </c>
      <c r="Q430" s="2" t="s">
        <v>21593</v>
      </c>
      <c r="R430" s="2" t="s">
        <v>144</v>
      </c>
      <c r="S430" s="2" t="s">
        <v>21594</v>
      </c>
      <c r="T430" s="2" t="s">
        <v>21595</v>
      </c>
      <c r="U430" s="2" t="s">
        <v>29</v>
      </c>
      <c r="V430" s="2" t="n">
        <v>2</v>
      </c>
    </row>
    <row r="431">
      <c r="A431" s="2" t="n">
        <v>430</v>
      </c>
      <c r="B431" s="2" t="s">
        <v>21596</v>
      </c>
      <c r="C431" s="2" t="n">
        <v>383.119007195</v>
      </c>
      <c r="D431" s="2" t="n">
        <v>1.28425208180665</v>
      </c>
      <c r="E431" s="2" t="s">
        <v>21597</v>
      </c>
      <c r="F431" s="2" t="s">
        <v>17406</v>
      </c>
      <c r="G431" s="2" t="s">
        <v>21598</v>
      </c>
      <c r="H431" s="2" t="s">
        <v>21599</v>
      </c>
      <c r="I431" s="2" t="s">
        <v>21600</v>
      </c>
      <c r="J431" s="2" t="s">
        <v>21601</v>
      </c>
      <c r="K431" s="2" t="s">
        <v>29</v>
      </c>
      <c r="L431" s="2" t="s">
        <v>29</v>
      </c>
      <c r="M431" s="2" t="s">
        <v>29</v>
      </c>
      <c r="N431" s="2" t="s">
        <v>21602</v>
      </c>
      <c r="O431" s="2" t="s">
        <v>21603</v>
      </c>
      <c r="P431" s="2" t="s">
        <v>21604</v>
      </c>
      <c r="Q431" s="2" t="s">
        <v>21605</v>
      </c>
      <c r="R431" s="2" t="s">
        <v>114</v>
      </c>
      <c r="S431" s="2" t="s">
        <v>5831</v>
      </c>
      <c r="T431" s="2" t="s">
        <v>5832</v>
      </c>
      <c r="U431" s="2" t="s">
        <v>29</v>
      </c>
      <c r="V431" s="2" t="n">
        <v>1</v>
      </c>
    </row>
    <row r="432">
      <c r="A432" s="2" t="n">
        <v>431</v>
      </c>
      <c r="B432" s="2" t="s">
        <v>21606</v>
      </c>
      <c r="C432" s="2" t="n">
        <v>384.003494909</v>
      </c>
      <c r="D432" s="2" t="n">
        <v>6.38709132233793</v>
      </c>
      <c r="E432" s="2" t="s">
        <v>21607</v>
      </c>
      <c r="F432" s="2" t="s">
        <v>17520</v>
      </c>
      <c r="G432" s="2" t="s">
        <v>21608</v>
      </c>
      <c r="H432" s="2" t="s">
        <v>21609</v>
      </c>
      <c r="I432" s="2" t="s">
        <v>21610</v>
      </c>
      <c r="J432" s="2" t="s">
        <v>21611</v>
      </c>
      <c r="K432" s="2" t="s">
        <v>29</v>
      </c>
      <c r="L432" s="2" t="s">
        <v>29</v>
      </c>
      <c r="M432" s="2" t="s">
        <v>21612</v>
      </c>
      <c r="N432" s="2" t="s">
        <v>21613</v>
      </c>
      <c r="O432" s="2" t="s">
        <v>21614</v>
      </c>
      <c r="P432" s="2" t="s">
        <v>21615</v>
      </c>
      <c r="Q432" s="2" t="s">
        <v>21616</v>
      </c>
      <c r="R432" s="2" t="s">
        <v>114</v>
      </c>
      <c r="S432" s="2" t="s">
        <v>2057</v>
      </c>
      <c r="T432" s="2" t="s">
        <v>3067</v>
      </c>
      <c r="U432" s="2" t="s">
        <v>56</v>
      </c>
      <c r="V432" s="2" t="n">
        <v>1</v>
      </c>
    </row>
    <row r="433">
      <c r="A433" s="2" t="n">
        <v>432</v>
      </c>
      <c r="B433" s="2" t="s">
        <v>21617</v>
      </c>
      <c r="C433" s="2" t="n">
        <v>384.994890976</v>
      </c>
      <c r="D433" s="2" t="n">
        <v>2.0459654682993</v>
      </c>
      <c r="E433" s="2" t="s">
        <v>21618</v>
      </c>
      <c r="F433" s="2" t="s">
        <v>17137</v>
      </c>
      <c r="G433" s="2" t="s">
        <v>21619</v>
      </c>
      <c r="H433" s="2" t="s">
        <v>21620</v>
      </c>
      <c r="I433" s="2" t="s">
        <v>21621</v>
      </c>
      <c r="J433" s="2" t="s">
        <v>21622</v>
      </c>
      <c r="K433" s="2" t="s">
        <v>29</v>
      </c>
      <c r="L433" s="2" t="s">
        <v>21623</v>
      </c>
      <c r="M433" s="2" t="s">
        <v>21624</v>
      </c>
      <c r="N433" s="2" t="s">
        <v>21625</v>
      </c>
      <c r="O433" s="2" t="s">
        <v>21626</v>
      </c>
      <c r="P433" s="2" t="s">
        <v>21627</v>
      </c>
      <c r="Q433" s="2" t="s">
        <v>21628</v>
      </c>
      <c r="R433" s="2" t="s">
        <v>36</v>
      </c>
      <c r="S433" s="2" t="s">
        <v>21629</v>
      </c>
      <c r="T433" s="2" t="s">
        <v>21630</v>
      </c>
      <c r="U433" s="2" t="s">
        <v>101</v>
      </c>
      <c r="V433" s="2" t="n">
        <v>1</v>
      </c>
    </row>
    <row r="434">
      <c r="A434" s="2" t="n">
        <v>433</v>
      </c>
      <c r="B434" s="2" t="s">
        <v>21631</v>
      </c>
      <c r="C434" s="2" t="n">
        <v>386.015481361</v>
      </c>
      <c r="D434" s="2" t="n">
        <v>5.25231913266162</v>
      </c>
      <c r="E434" s="2" t="s">
        <v>21632</v>
      </c>
      <c r="F434" s="2" t="s">
        <v>17039</v>
      </c>
      <c r="G434" s="2" t="s">
        <v>21633</v>
      </c>
      <c r="H434" s="2" t="s">
        <v>21634</v>
      </c>
      <c r="I434" s="2" t="s">
        <v>21635</v>
      </c>
      <c r="J434" s="2" t="s">
        <v>21636</v>
      </c>
      <c r="K434" s="2" t="s">
        <v>29</v>
      </c>
      <c r="L434" s="2" t="s">
        <v>21637</v>
      </c>
      <c r="M434" s="2" t="s">
        <v>21638</v>
      </c>
      <c r="N434" s="2" t="s">
        <v>21639</v>
      </c>
      <c r="O434" s="2" t="s">
        <v>21640</v>
      </c>
      <c r="P434" s="2" t="s">
        <v>21641</v>
      </c>
      <c r="Q434" s="2" t="s">
        <v>21642</v>
      </c>
      <c r="R434" s="2" t="s">
        <v>2416</v>
      </c>
      <c r="S434" s="2" t="s">
        <v>10012</v>
      </c>
      <c r="T434" s="2" t="s">
        <v>10013</v>
      </c>
      <c r="U434" s="2" t="s">
        <v>56</v>
      </c>
      <c r="V434" s="2" t="n">
        <v>1</v>
      </c>
    </row>
    <row r="435">
      <c r="A435" s="2" t="n">
        <v>434</v>
      </c>
      <c r="B435" s="2" t="s">
        <v>21643</v>
      </c>
      <c r="C435" s="2" t="n">
        <v>389.193179277</v>
      </c>
      <c r="D435" s="2" t="n">
        <v>8.08351917890045</v>
      </c>
      <c r="E435" s="2" t="s">
        <v>21644</v>
      </c>
      <c r="F435" s="2" t="s">
        <v>17137</v>
      </c>
      <c r="G435" s="2" t="s">
        <v>21645</v>
      </c>
      <c r="H435" s="2" t="s">
        <v>21646</v>
      </c>
      <c r="I435" s="2" t="s">
        <v>21647</v>
      </c>
      <c r="J435" s="2" t="s">
        <v>29</v>
      </c>
      <c r="K435" s="2" t="s">
        <v>29</v>
      </c>
      <c r="L435" s="2" t="s">
        <v>29</v>
      </c>
      <c r="M435" s="2" t="s">
        <v>29</v>
      </c>
      <c r="N435" s="2" t="s">
        <v>21648</v>
      </c>
      <c r="O435" s="2" t="s">
        <v>29</v>
      </c>
      <c r="P435" s="2" t="s">
        <v>21649</v>
      </c>
      <c r="Q435" s="2" t="s">
        <v>21650</v>
      </c>
      <c r="R435" s="2" t="s">
        <v>2416</v>
      </c>
      <c r="S435" s="2" t="s">
        <v>6560</v>
      </c>
      <c r="T435" s="2" t="s">
        <v>215</v>
      </c>
      <c r="U435" s="2" t="s">
        <v>29</v>
      </c>
      <c r="V435" s="2" t="n">
        <v>1</v>
      </c>
    </row>
    <row r="436">
      <c r="A436" s="2" t="n">
        <v>435</v>
      </c>
      <c r="B436" s="2" t="s">
        <v>21651</v>
      </c>
      <c r="C436" s="2" t="n">
        <v>391.219160476</v>
      </c>
      <c r="D436" s="2" t="n">
        <v>0.0163193221601118</v>
      </c>
      <c r="E436" s="2" t="s">
        <v>21652</v>
      </c>
      <c r="F436" s="2" t="s">
        <v>18382</v>
      </c>
      <c r="G436" s="2" t="s">
        <v>21653</v>
      </c>
      <c r="H436" s="2" t="s">
        <v>21654</v>
      </c>
      <c r="I436" s="2" t="s">
        <v>21655</v>
      </c>
      <c r="J436" s="2" t="s">
        <v>91</v>
      </c>
      <c r="K436" s="2" t="s">
        <v>91</v>
      </c>
      <c r="L436" s="2" t="s">
        <v>91</v>
      </c>
      <c r="M436" s="2" t="s">
        <v>91</v>
      </c>
      <c r="N436" s="2" t="s">
        <v>21656</v>
      </c>
      <c r="O436" s="2" t="s">
        <v>91</v>
      </c>
      <c r="P436" s="2" t="s">
        <v>21657</v>
      </c>
      <c r="Q436" s="2" t="s">
        <v>21658</v>
      </c>
      <c r="R436" s="2" t="s">
        <v>541</v>
      </c>
      <c r="S436" s="2" t="s">
        <v>21659</v>
      </c>
      <c r="T436" s="2" t="s">
        <v>21660</v>
      </c>
      <c r="U436" s="2" t="s">
        <v>29</v>
      </c>
      <c r="V436" s="2" t="n">
        <v>2</v>
      </c>
    </row>
    <row r="437">
      <c r="A437" s="2" t="n">
        <v>436</v>
      </c>
      <c r="B437" s="2" t="s">
        <v>21661</v>
      </c>
      <c r="C437" s="2" t="n">
        <v>393.169649878</v>
      </c>
      <c r="D437" s="2" t="n">
        <v>2.08885545025283</v>
      </c>
      <c r="E437" s="2" t="s">
        <v>21662</v>
      </c>
      <c r="F437" s="2" t="s">
        <v>17137</v>
      </c>
      <c r="G437" s="2" t="s">
        <v>21663</v>
      </c>
      <c r="H437" s="2" t="s">
        <v>21664</v>
      </c>
      <c r="I437" s="2" t="s">
        <v>21665</v>
      </c>
      <c r="J437" s="2" t="s">
        <v>21666</v>
      </c>
      <c r="K437" s="2" t="s">
        <v>29</v>
      </c>
      <c r="L437" s="2" t="s">
        <v>29</v>
      </c>
      <c r="M437" s="2" t="s">
        <v>29</v>
      </c>
      <c r="N437" s="2" t="s">
        <v>21667</v>
      </c>
      <c r="O437" s="2" t="s">
        <v>21668</v>
      </c>
      <c r="P437" s="2" t="s">
        <v>21669</v>
      </c>
      <c r="Q437" s="2" t="s">
        <v>21670</v>
      </c>
      <c r="R437" s="2" t="s">
        <v>114</v>
      </c>
      <c r="S437" s="2" t="s">
        <v>6312</v>
      </c>
      <c r="T437" s="2" t="s">
        <v>6313</v>
      </c>
      <c r="U437" s="2" t="s">
        <v>56</v>
      </c>
      <c r="V437" s="2" t="n">
        <v>1</v>
      </c>
    </row>
    <row r="438">
      <c r="A438" s="2" t="n">
        <v>437</v>
      </c>
      <c r="B438" s="2" t="s">
        <v>21671</v>
      </c>
      <c r="C438" s="2" t="n">
        <v>393.240012954</v>
      </c>
      <c r="D438" s="2" t="n">
        <v>2.03305440419281</v>
      </c>
      <c r="E438" s="2" t="s">
        <v>21672</v>
      </c>
      <c r="F438" s="2" t="s">
        <v>17198</v>
      </c>
      <c r="G438" s="2" t="s">
        <v>21673</v>
      </c>
      <c r="H438" s="2" t="s">
        <v>21674</v>
      </c>
      <c r="I438" s="2" t="s">
        <v>21675</v>
      </c>
      <c r="J438" s="2" t="s">
        <v>21676</v>
      </c>
      <c r="K438" s="2" t="s">
        <v>21677</v>
      </c>
      <c r="L438" s="2" t="s">
        <v>29</v>
      </c>
      <c r="M438" s="2" t="s">
        <v>21678</v>
      </c>
      <c r="N438" s="2" t="s">
        <v>21679</v>
      </c>
      <c r="O438" s="2" t="s">
        <v>21680</v>
      </c>
      <c r="P438" s="2" t="s">
        <v>21681</v>
      </c>
      <c r="Q438" s="2" t="s">
        <v>21682</v>
      </c>
      <c r="R438" s="2" t="s">
        <v>794</v>
      </c>
      <c r="S438" s="2" t="s">
        <v>2971</v>
      </c>
      <c r="T438" s="2" t="s">
        <v>6499</v>
      </c>
      <c r="U438" s="2" t="s">
        <v>56</v>
      </c>
      <c r="V438" s="2" t="n">
        <v>1</v>
      </c>
    </row>
    <row r="439">
      <c r="A439" s="2" t="n">
        <v>438</v>
      </c>
      <c r="B439" s="2" t="s">
        <v>21683</v>
      </c>
      <c r="C439" s="2" t="n">
        <v>395.255701492</v>
      </c>
      <c r="D439" s="2" t="n">
        <v>8.01848895289524</v>
      </c>
      <c r="E439" s="2" t="s">
        <v>21684</v>
      </c>
      <c r="F439" s="2" t="s">
        <v>17137</v>
      </c>
      <c r="G439" s="2" t="s">
        <v>21685</v>
      </c>
      <c r="H439" s="2" t="s">
        <v>21686</v>
      </c>
      <c r="I439" s="2" t="s">
        <v>21687</v>
      </c>
      <c r="J439" s="2" t="s">
        <v>21688</v>
      </c>
      <c r="K439" s="2" t="s">
        <v>21689</v>
      </c>
      <c r="L439" s="2" t="s">
        <v>21690</v>
      </c>
      <c r="M439" s="2" t="s">
        <v>29</v>
      </c>
      <c r="N439" s="2" t="s">
        <v>21691</v>
      </c>
      <c r="O439" s="2" t="s">
        <v>29</v>
      </c>
      <c r="P439" s="2" t="s">
        <v>21692</v>
      </c>
      <c r="Q439" s="2" t="s">
        <v>21693</v>
      </c>
      <c r="R439" s="2" t="s">
        <v>794</v>
      </c>
      <c r="S439" s="2" t="s">
        <v>7122</v>
      </c>
      <c r="T439" s="2" t="s">
        <v>7123</v>
      </c>
      <c r="U439" s="2" t="s">
        <v>101</v>
      </c>
      <c r="V439" s="2" t="n">
        <v>1</v>
      </c>
    </row>
    <row r="440">
      <c r="A440" s="2" t="n">
        <v>439</v>
      </c>
      <c r="B440" s="2" t="s">
        <v>21694</v>
      </c>
      <c r="C440" s="2" t="n">
        <v>396.253908613</v>
      </c>
      <c r="D440" s="2" t="n">
        <v>9.61116853426121</v>
      </c>
      <c r="E440" s="2" t="s">
        <v>21695</v>
      </c>
      <c r="F440" s="2" t="s">
        <v>17039</v>
      </c>
      <c r="G440" s="2" t="s">
        <v>21696</v>
      </c>
      <c r="H440" s="2" t="s">
        <v>21697</v>
      </c>
      <c r="I440" s="2" t="s">
        <v>21698</v>
      </c>
      <c r="J440" s="2" t="s">
        <v>21699</v>
      </c>
      <c r="K440" s="2" t="s">
        <v>29</v>
      </c>
      <c r="L440" s="2" t="s">
        <v>29</v>
      </c>
      <c r="M440" s="2" t="s">
        <v>29</v>
      </c>
      <c r="N440" s="2" t="s">
        <v>21700</v>
      </c>
      <c r="O440" s="2" t="s">
        <v>21701</v>
      </c>
      <c r="P440" s="2" t="s">
        <v>21702</v>
      </c>
      <c r="Q440" s="2" t="s">
        <v>21703</v>
      </c>
      <c r="R440" s="2" t="s">
        <v>186</v>
      </c>
      <c r="S440" s="2" t="s">
        <v>3770</v>
      </c>
      <c r="T440" s="2" t="s">
        <v>215</v>
      </c>
      <c r="U440" s="2" t="s">
        <v>56</v>
      </c>
      <c r="V440" s="2" t="n">
        <v>1</v>
      </c>
    </row>
    <row r="441">
      <c r="A441" s="2" t="n">
        <v>440</v>
      </c>
      <c r="B441" s="2" t="s">
        <v>21704</v>
      </c>
      <c r="C441" s="2" t="n">
        <v>397.264413723</v>
      </c>
      <c r="D441" s="2" t="n">
        <v>0.647326856422128</v>
      </c>
      <c r="E441" s="2" t="s">
        <v>21705</v>
      </c>
      <c r="F441" s="2" t="s">
        <v>17039</v>
      </c>
      <c r="G441" s="2" t="s">
        <v>21706</v>
      </c>
      <c r="H441" s="2" t="s">
        <v>21707</v>
      </c>
      <c r="I441" s="2" t="s">
        <v>21708</v>
      </c>
      <c r="J441" s="2" t="s">
        <v>29</v>
      </c>
      <c r="K441" s="2" t="s">
        <v>29</v>
      </c>
      <c r="L441" s="2" t="s">
        <v>29</v>
      </c>
      <c r="M441" s="2" t="s">
        <v>21709</v>
      </c>
      <c r="N441" s="2" t="s">
        <v>21710</v>
      </c>
      <c r="O441" s="2" t="s">
        <v>29</v>
      </c>
      <c r="P441" s="2" t="s">
        <v>21711</v>
      </c>
      <c r="Q441" s="2" t="s">
        <v>21712</v>
      </c>
      <c r="R441" s="2" t="s">
        <v>186</v>
      </c>
      <c r="S441" s="2" t="s">
        <v>187</v>
      </c>
      <c r="T441" s="2" t="s">
        <v>8537</v>
      </c>
      <c r="U441" s="2" t="s">
        <v>29</v>
      </c>
      <c r="V441" s="2" t="n">
        <v>1</v>
      </c>
    </row>
    <row r="442">
      <c r="A442" s="2" t="n">
        <v>441</v>
      </c>
      <c r="B442" s="2" t="s">
        <v>21713</v>
      </c>
      <c r="C442" s="2" t="n">
        <v>398.772525156</v>
      </c>
      <c r="D442" s="2" t="n">
        <v>7.42835082003672</v>
      </c>
      <c r="E442" s="2" t="s">
        <v>21714</v>
      </c>
      <c r="F442" s="2" t="s">
        <v>17892</v>
      </c>
      <c r="G442" s="2" t="s">
        <v>21715</v>
      </c>
      <c r="H442" s="2" t="s">
        <v>21716</v>
      </c>
      <c r="I442" s="2" t="s">
        <v>21717</v>
      </c>
      <c r="J442" s="2" t="s">
        <v>21718</v>
      </c>
      <c r="K442" s="2" t="s">
        <v>29</v>
      </c>
      <c r="L442" s="2" t="s">
        <v>21719</v>
      </c>
      <c r="M442" s="2" t="s">
        <v>1169</v>
      </c>
      <c r="N442" s="2" t="s">
        <v>21720</v>
      </c>
      <c r="O442" s="2" t="s">
        <v>21721</v>
      </c>
      <c r="P442" s="2" t="s">
        <v>21722</v>
      </c>
      <c r="Q442" s="2" t="s">
        <v>21723</v>
      </c>
      <c r="R442" s="2" t="s">
        <v>644</v>
      </c>
      <c r="S442" s="2" t="s">
        <v>21724</v>
      </c>
      <c r="T442" s="2" t="s">
        <v>215</v>
      </c>
      <c r="U442" s="2" t="s">
        <v>101</v>
      </c>
      <c r="V442" s="2" t="n">
        <v>1</v>
      </c>
    </row>
    <row r="443">
      <c r="A443" s="2" t="n">
        <v>442</v>
      </c>
      <c r="B443" s="2" t="s">
        <v>21725</v>
      </c>
      <c r="C443" s="2" t="n">
        <v>399.09269484</v>
      </c>
      <c r="D443" s="2" t="n">
        <v>1.75288484405744</v>
      </c>
      <c r="E443" s="2" t="s">
        <v>21726</v>
      </c>
      <c r="F443" s="2" t="s">
        <v>17198</v>
      </c>
      <c r="G443" s="2" t="s">
        <v>21727</v>
      </c>
      <c r="H443" s="2" t="s">
        <v>21728</v>
      </c>
      <c r="I443" s="2" t="s">
        <v>21729</v>
      </c>
      <c r="J443" s="2" t="s">
        <v>91</v>
      </c>
      <c r="K443" s="2" t="s">
        <v>91</v>
      </c>
      <c r="L443" s="2" t="s">
        <v>91</v>
      </c>
      <c r="M443" s="2" t="s">
        <v>91</v>
      </c>
      <c r="N443" s="2" t="s">
        <v>21730</v>
      </c>
      <c r="O443" s="2" t="s">
        <v>91</v>
      </c>
      <c r="P443" s="2" t="s">
        <v>21731</v>
      </c>
      <c r="Q443" s="2" t="s">
        <v>21732</v>
      </c>
      <c r="R443" s="2" t="s">
        <v>4649</v>
      </c>
      <c r="S443" s="2" t="s">
        <v>21733</v>
      </c>
      <c r="T443" s="2" t="s">
        <v>21734</v>
      </c>
      <c r="U443" s="2" t="s">
        <v>29</v>
      </c>
      <c r="V443" s="2" t="n">
        <v>2</v>
      </c>
    </row>
    <row r="444">
      <c r="A444" s="2" t="n">
        <v>443</v>
      </c>
      <c r="B444" s="2" t="s">
        <v>21735</v>
      </c>
      <c r="C444" s="2" t="n">
        <v>399.181551964</v>
      </c>
      <c r="D444" s="2" t="n">
        <v>2.4305346844537</v>
      </c>
      <c r="E444" s="2" t="s">
        <v>21736</v>
      </c>
      <c r="F444" s="2" t="s">
        <v>17137</v>
      </c>
      <c r="G444" s="2" t="s">
        <v>21737</v>
      </c>
      <c r="H444" s="2" t="s">
        <v>21738</v>
      </c>
      <c r="I444" s="2" t="s">
        <v>21739</v>
      </c>
      <c r="J444" s="2" t="s">
        <v>21740</v>
      </c>
      <c r="K444" s="2" t="s">
        <v>91</v>
      </c>
      <c r="L444" s="2" t="s">
        <v>91</v>
      </c>
      <c r="M444" s="2" t="s">
        <v>91</v>
      </c>
      <c r="N444" s="2" t="s">
        <v>21741</v>
      </c>
      <c r="O444" s="2" t="s">
        <v>21742</v>
      </c>
      <c r="P444" s="2" t="s">
        <v>21743</v>
      </c>
      <c r="Q444" s="2" t="s">
        <v>21744</v>
      </c>
      <c r="R444" s="2" t="s">
        <v>541</v>
      </c>
      <c r="S444" s="2" t="s">
        <v>21745</v>
      </c>
      <c r="T444" s="2" t="s">
        <v>21746</v>
      </c>
      <c r="U444" s="2" t="s">
        <v>29</v>
      </c>
      <c r="V444" s="2" t="n">
        <v>2</v>
      </c>
    </row>
    <row r="445">
      <c r="A445" s="2" t="n">
        <v>444</v>
      </c>
      <c r="B445" s="2" t="s">
        <v>21747</v>
      </c>
      <c r="C445" s="2" t="n">
        <v>399.265833774</v>
      </c>
      <c r="D445" s="2" t="n">
        <v>14.4461584337677</v>
      </c>
      <c r="E445" s="2" t="s">
        <v>21748</v>
      </c>
      <c r="F445" s="2" t="s">
        <v>17198</v>
      </c>
      <c r="G445" s="2" t="s">
        <v>21749</v>
      </c>
      <c r="H445" s="2" t="s">
        <v>21750</v>
      </c>
      <c r="I445" s="2" t="s">
        <v>21751</v>
      </c>
      <c r="J445" s="2" t="s">
        <v>21752</v>
      </c>
      <c r="K445" s="2" t="s">
        <v>29</v>
      </c>
      <c r="L445" s="2" t="s">
        <v>29</v>
      </c>
      <c r="M445" s="2" t="s">
        <v>21753</v>
      </c>
      <c r="N445" s="2" t="s">
        <v>21754</v>
      </c>
      <c r="O445" s="2" t="s">
        <v>21755</v>
      </c>
      <c r="P445" s="2" t="s">
        <v>21756</v>
      </c>
      <c r="Q445" s="2" t="s">
        <v>21757</v>
      </c>
      <c r="R445" s="2" t="s">
        <v>794</v>
      </c>
      <c r="S445" s="2" t="s">
        <v>1098</v>
      </c>
      <c r="T445" s="2" t="s">
        <v>15288</v>
      </c>
      <c r="U445" s="2" t="s">
        <v>29</v>
      </c>
      <c r="V445" s="2" t="n">
        <v>1</v>
      </c>
    </row>
    <row r="446">
      <c r="A446" s="2" t="n">
        <v>445</v>
      </c>
      <c r="B446" s="2" t="s">
        <v>21758</v>
      </c>
      <c r="C446" s="2" t="n">
        <v>401.162586085</v>
      </c>
      <c r="D446" s="2" t="n">
        <v>2.21388333280827</v>
      </c>
      <c r="E446" s="2" t="s">
        <v>21759</v>
      </c>
      <c r="F446" s="2" t="s">
        <v>17406</v>
      </c>
      <c r="G446" s="2" t="s">
        <v>21760</v>
      </c>
      <c r="H446" s="2" t="s">
        <v>21761</v>
      </c>
      <c r="I446" s="2" t="s">
        <v>21762</v>
      </c>
      <c r="J446" s="2" t="s">
        <v>21763</v>
      </c>
      <c r="K446" s="2" t="s">
        <v>29</v>
      </c>
      <c r="L446" s="2" t="s">
        <v>29</v>
      </c>
      <c r="M446" s="2" t="s">
        <v>29</v>
      </c>
      <c r="N446" s="2" t="s">
        <v>21764</v>
      </c>
      <c r="O446" s="2" t="s">
        <v>29</v>
      </c>
      <c r="P446" s="2" t="s">
        <v>21765</v>
      </c>
      <c r="Q446" s="2" t="s">
        <v>21766</v>
      </c>
      <c r="R446" s="2" t="s">
        <v>114</v>
      </c>
      <c r="S446" s="2" t="s">
        <v>4121</v>
      </c>
      <c r="T446" s="2" t="s">
        <v>7480</v>
      </c>
      <c r="U446" s="2" t="s">
        <v>29</v>
      </c>
      <c r="V446" s="2" t="n">
        <v>1</v>
      </c>
    </row>
    <row r="447">
      <c r="A447" s="2" t="n">
        <v>446</v>
      </c>
      <c r="B447" s="2" t="s">
        <v>21767</v>
      </c>
      <c r="C447" s="2" t="n">
        <v>401.266382452</v>
      </c>
      <c r="D447" s="2" t="n">
        <v>1.54320333517813</v>
      </c>
      <c r="E447" s="2" t="s">
        <v>21768</v>
      </c>
      <c r="F447" s="2" t="s">
        <v>17406</v>
      </c>
      <c r="G447" s="2" t="s">
        <v>21769</v>
      </c>
      <c r="H447" s="2" t="s">
        <v>21770</v>
      </c>
      <c r="I447" s="2" t="s">
        <v>21771</v>
      </c>
      <c r="J447" s="2" t="s">
        <v>21772</v>
      </c>
      <c r="K447" s="2" t="s">
        <v>29</v>
      </c>
      <c r="L447" s="2" t="s">
        <v>29</v>
      </c>
      <c r="M447" s="2" t="s">
        <v>29</v>
      </c>
      <c r="N447" s="2" t="s">
        <v>21773</v>
      </c>
      <c r="O447" s="2" t="s">
        <v>29</v>
      </c>
      <c r="P447" s="2" t="s">
        <v>21774</v>
      </c>
      <c r="Q447" s="2" t="s">
        <v>21775</v>
      </c>
      <c r="R447" s="2" t="s">
        <v>129</v>
      </c>
      <c r="S447" s="2" t="s">
        <v>130</v>
      </c>
      <c r="T447" s="2" t="s">
        <v>4901</v>
      </c>
      <c r="U447" s="2" t="s">
        <v>29</v>
      </c>
      <c r="V447" s="2" t="n">
        <v>1</v>
      </c>
    </row>
    <row r="448">
      <c r="A448" s="2" t="n">
        <v>447</v>
      </c>
      <c r="B448" s="2" t="s">
        <v>21776</v>
      </c>
      <c r="C448" s="2" t="n">
        <v>405.161123743</v>
      </c>
      <c r="D448" s="2" t="n">
        <v>7.39532222811606</v>
      </c>
      <c r="E448" s="2" t="s">
        <v>21777</v>
      </c>
      <c r="F448" s="2" t="s">
        <v>17406</v>
      </c>
      <c r="G448" s="2" t="s">
        <v>21778</v>
      </c>
      <c r="H448" s="2" t="s">
        <v>21779</v>
      </c>
      <c r="I448" s="2" t="s">
        <v>21780</v>
      </c>
      <c r="J448" s="2" t="s">
        <v>29</v>
      </c>
      <c r="K448" s="2" t="s">
        <v>29</v>
      </c>
      <c r="L448" s="2" t="s">
        <v>29</v>
      </c>
      <c r="M448" s="2" t="s">
        <v>29</v>
      </c>
      <c r="N448" s="2" t="s">
        <v>21781</v>
      </c>
      <c r="O448" s="2" t="s">
        <v>29</v>
      </c>
      <c r="P448" s="2" t="s">
        <v>21782</v>
      </c>
      <c r="Q448" s="2" t="s">
        <v>21783</v>
      </c>
      <c r="R448" s="2" t="s">
        <v>36</v>
      </c>
      <c r="S448" s="2" t="s">
        <v>37</v>
      </c>
      <c r="T448" s="2" t="s">
        <v>69</v>
      </c>
      <c r="U448" s="2" t="s">
        <v>29</v>
      </c>
      <c r="V448" s="2" t="n">
        <v>1</v>
      </c>
    </row>
    <row r="449">
      <c r="A449" s="2" t="n">
        <v>448</v>
      </c>
      <c r="B449" s="2" t="s">
        <v>21784</v>
      </c>
      <c r="C449" s="2" t="n">
        <v>405.219038335</v>
      </c>
      <c r="D449" s="2" t="n">
        <v>6.3751364849265</v>
      </c>
      <c r="E449" s="2" t="s">
        <v>21785</v>
      </c>
      <c r="F449" s="2" t="s">
        <v>17406</v>
      </c>
      <c r="G449" s="2" t="s">
        <v>21786</v>
      </c>
      <c r="H449" s="2" t="s">
        <v>21787</v>
      </c>
      <c r="I449" s="2" t="s">
        <v>21788</v>
      </c>
      <c r="J449" s="2" t="s">
        <v>91</v>
      </c>
      <c r="K449" s="2" t="s">
        <v>91</v>
      </c>
      <c r="L449" s="2" t="s">
        <v>91</v>
      </c>
      <c r="M449" s="2" t="s">
        <v>21789</v>
      </c>
      <c r="N449" s="2" t="s">
        <v>21790</v>
      </c>
      <c r="O449" s="2" t="s">
        <v>91</v>
      </c>
      <c r="P449" s="2" t="s">
        <v>21791</v>
      </c>
      <c r="Q449" s="2" t="s">
        <v>21792</v>
      </c>
      <c r="R449" s="2" t="s">
        <v>412</v>
      </c>
      <c r="S449" s="2" t="s">
        <v>5561</v>
      </c>
      <c r="T449" s="2" t="s">
        <v>21793</v>
      </c>
      <c r="U449" s="2" t="s">
        <v>29</v>
      </c>
      <c r="V449" s="2" t="n">
        <v>2</v>
      </c>
    </row>
    <row r="450">
      <c r="A450" s="2" t="n">
        <v>449</v>
      </c>
      <c r="B450" s="2" t="s">
        <v>21794</v>
      </c>
      <c r="C450" s="2" t="n">
        <v>405.9864085</v>
      </c>
      <c r="D450" s="2" t="n">
        <v>0.489346106495837</v>
      </c>
      <c r="E450" s="2" t="s">
        <v>21795</v>
      </c>
      <c r="F450" s="2" t="s">
        <v>17406</v>
      </c>
      <c r="G450" s="2" t="s">
        <v>21796</v>
      </c>
      <c r="H450" s="2" t="s">
        <v>21797</v>
      </c>
      <c r="I450" s="2" t="s">
        <v>21798</v>
      </c>
      <c r="J450" s="2" t="s">
        <v>21799</v>
      </c>
      <c r="K450" s="2" t="s">
        <v>29</v>
      </c>
      <c r="L450" s="2" t="s">
        <v>21800</v>
      </c>
      <c r="M450" s="2" t="s">
        <v>29</v>
      </c>
      <c r="N450" s="2" t="s">
        <v>21801</v>
      </c>
      <c r="O450" s="2" t="s">
        <v>21802</v>
      </c>
      <c r="P450" s="2" t="s">
        <v>21803</v>
      </c>
      <c r="Q450" s="2" t="s">
        <v>21804</v>
      </c>
      <c r="R450" s="2" t="s">
        <v>186</v>
      </c>
      <c r="S450" s="2" t="s">
        <v>187</v>
      </c>
      <c r="T450" s="2" t="s">
        <v>4711</v>
      </c>
      <c r="U450" s="2" t="s">
        <v>101</v>
      </c>
      <c r="V450" s="2" t="n">
        <v>1</v>
      </c>
    </row>
    <row r="451">
      <c r="A451" s="2" t="n">
        <v>450</v>
      </c>
      <c r="B451" s="2" t="s">
        <v>21805</v>
      </c>
      <c r="C451" s="2" t="n">
        <v>407.172996021</v>
      </c>
      <c r="D451" s="2" t="n">
        <v>0.432790740842624</v>
      </c>
      <c r="E451" s="2" t="s">
        <v>21806</v>
      </c>
      <c r="F451" s="2" t="s">
        <v>17198</v>
      </c>
      <c r="G451" s="2" t="s">
        <v>21807</v>
      </c>
      <c r="H451" s="2" t="s">
        <v>21808</v>
      </c>
      <c r="I451" s="2" t="s">
        <v>21809</v>
      </c>
      <c r="J451" s="2" t="s">
        <v>21810</v>
      </c>
      <c r="K451" s="2" t="s">
        <v>29</v>
      </c>
      <c r="L451" s="2" t="s">
        <v>29</v>
      </c>
      <c r="M451" s="2" t="s">
        <v>29</v>
      </c>
      <c r="N451" s="2" t="s">
        <v>21811</v>
      </c>
      <c r="O451" s="2" t="s">
        <v>21812</v>
      </c>
      <c r="P451" s="2" t="s">
        <v>21813</v>
      </c>
      <c r="Q451" s="2" t="s">
        <v>21814</v>
      </c>
      <c r="R451" s="2" t="s">
        <v>114</v>
      </c>
      <c r="S451" s="2" t="s">
        <v>994</v>
      </c>
      <c r="T451" s="2" t="s">
        <v>21815</v>
      </c>
      <c r="U451" s="2" t="s">
        <v>29</v>
      </c>
      <c r="V451" s="2" t="n">
        <v>1</v>
      </c>
    </row>
    <row r="452">
      <c r="A452" s="2" t="n">
        <v>451</v>
      </c>
      <c r="B452" s="2" t="s">
        <v>21816</v>
      </c>
      <c r="C452" s="2" t="n">
        <v>407.212752832</v>
      </c>
      <c r="D452" s="2" t="n">
        <v>3.08111810015412</v>
      </c>
      <c r="E452" s="2" t="s">
        <v>21817</v>
      </c>
      <c r="F452" s="2" t="s">
        <v>17198</v>
      </c>
      <c r="G452" s="2" t="s">
        <v>21818</v>
      </c>
      <c r="H452" s="2" t="s">
        <v>21819</v>
      </c>
      <c r="I452" s="2" t="s">
        <v>21820</v>
      </c>
      <c r="J452" s="2" t="s">
        <v>21821</v>
      </c>
      <c r="K452" s="2" t="s">
        <v>29</v>
      </c>
      <c r="L452" s="2" t="s">
        <v>21822</v>
      </c>
      <c r="M452" s="2" t="s">
        <v>21823</v>
      </c>
      <c r="N452" s="2" t="s">
        <v>21824</v>
      </c>
      <c r="O452" s="2" t="s">
        <v>21825</v>
      </c>
      <c r="P452" s="2" t="s">
        <v>21826</v>
      </c>
      <c r="Q452" s="2" t="s">
        <v>21827</v>
      </c>
      <c r="R452" s="2" t="s">
        <v>186</v>
      </c>
      <c r="S452" s="2" t="s">
        <v>187</v>
      </c>
      <c r="T452" s="2" t="s">
        <v>6895</v>
      </c>
      <c r="U452" s="2" t="s">
        <v>101</v>
      </c>
      <c r="V452" s="2" t="n">
        <v>1</v>
      </c>
    </row>
    <row r="453">
      <c r="A453" s="2" t="n">
        <v>452</v>
      </c>
      <c r="B453" s="2" t="s">
        <v>21828</v>
      </c>
      <c r="C453" s="2" t="n">
        <v>409.1789651</v>
      </c>
      <c r="D453" s="2" t="n">
        <v>0.218454275263421</v>
      </c>
      <c r="E453" s="2" t="s">
        <v>21829</v>
      </c>
      <c r="F453" s="2" t="s">
        <v>17137</v>
      </c>
      <c r="G453" s="2" t="s">
        <v>21830</v>
      </c>
      <c r="H453" s="2" t="s">
        <v>21831</v>
      </c>
      <c r="I453" s="2" t="s">
        <v>21832</v>
      </c>
      <c r="J453" s="2" t="s">
        <v>29</v>
      </c>
      <c r="K453" s="2" t="s">
        <v>29</v>
      </c>
      <c r="L453" s="2" t="s">
        <v>29</v>
      </c>
      <c r="M453" s="2" t="s">
        <v>29</v>
      </c>
      <c r="N453" s="2" t="s">
        <v>21833</v>
      </c>
      <c r="O453" s="2" t="s">
        <v>29</v>
      </c>
      <c r="P453" s="2" t="s">
        <v>21834</v>
      </c>
      <c r="Q453" s="2" t="s">
        <v>21835</v>
      </c>
      <c r="R453" s="2" t="s">
        <v>114</v>
      </c>
      <c r="S453" s="2" t="s">
        <v>1038</v>
      </c>
      <c r="T453" s="2" t="s">
        <v>1039</v>
      </c>
      <c r="U453" s="2" t="s">
        <v>29</v>
      </c>
      <c r="V453" s="2" t="n">
        <v>1</v>
      </c>
    </row>
    <row r="454">
      <c r="A454" s="2" t="n">
        <v>453</v>
      </c>
      <c r="B454" s="2" t="s">
        <v>21836</v>
      </c>
      <c r="C454" s="2" t="n">
        <v>409.268906146</v>
      </c>
      <c r="D454" s="2" t="n">
        <v>5.74301821131259</v>
      </c>
      <c r="E454" s="2" t="s">
        <v>21837</v>
      </c>
      <c r="F454" s="2" t="s">
        <v>17970</v>
      </c>
      <c r="G454" s="2" t="s">
        <v>21838</v>
      </c>
      <c r="H454" s="2" t="s">
        <v>21839</v>
      </c>
      <c r="I454" s="2" t="s">
        <v>21840</v>
      </c>
      <c r="J454" s="2" t="s">
        <v>21841</v>
      </c>
      <c r="K454" s="2" t="s">
        <v>21842</v>
      </c>
      <c r="L454" s="2" t="s">
        <v>195</v>
      </c>
      <c r="M454" s="2" t="s">
        <v>21843</v>
      </c>
      <c r="N454" s="2" t="s">
        <v>21844</v>
      </c>
      <c r="O454" s="2" t="s">
        <v>21845</v>
      </c>
      <c r="P454" s="2" t="s">
        <v>21846</v>
      </c>
      <c r="Q454" s="2" t="s">
        <v>21847</v>
      </c>
      <c r="R454" s="2" t="s">
        <v>1670</v>
      </c>
      <c r="S454" s="2" t="s">
        <v>21848</v>
      </c>
      <c r="T454" s="2" t="s">
        <v>21849</v>
      </c>
      <c r="U454" s="2" t="s">
        <v>56</v>
      </c>
      <c r="V454" s="2" t="n">
        <v>3</v>
      </c>
    </row>
    <row r="455">
      <c r="A455" s="2" t="n">
        <v>454</v>
      </c>
      <c r="B455" s="2" t="s">
        <v>21850</v>
      </c>
      <c r="C455" s="2" t="n">
        <v>410.179872313</v>
      </c>
      <c r="D455" s="2" t="n">
        <v>2.73664156307552</v>
      </c>
      <c r="E455" s="2" t="s">
        <v>21851</v>
      </c>
      <c r="F455" s="2" t="s">
        <v>17198</v>
      </c>
      <c r="G455" s="2" t="s">
        <v>21852</v>
      </c>
      <c r="H455" s="2" t="s">
        <v>21853</v>
      </c>
      <c r="I455" s="2" t="s">
        <v>21854</v>
      </c>
      <c r="J455" s="2" t="s">
        <v>21855</v>
      </c>
      <c r="K455" s="2" t="s">
        <v>29</v>
      </c>
      <c r="L455" s="2" t="s">
        <v>21856</v>
      </c>
      <c r="M455" s="2" t="s">
        <v>21857</v>
      </c>
      <c r="N455" s="2" t="s">
        <v>21858</v>
      </c>
      <c r="O455" s="2" t="s">
        <v>21859</v>
      </c>
      <c r="P455" s="2" t="s">
        <v>21860</v>
      </c>
      <c r="Q455" s="2" t="s">
        <v>21861</v>
      </c>
      <c r="R455" s="2" t="s">
        <v>114</v>
      </c>
      <c r="S455" s="2" t="s">
        <v>1038</v>
      </c>
      <c r="T455" s="2" t="s">
        <v>1039</v>
      </c>
      <c r="U455" s="2" t="s">
        <v>56</v>
      </c>
      <c r="V455" s="2" t="n">
        <v>1</v>
      </c>
    </row>
    <row r="456">
      <c r="A456" s="2" t="n">
        <v>455</v>
      </c>
      <c r="B456" s="2" t="s">
        <v>21862</v>
      </c>
      <c r="C456" s="2" t="n">
        <v>410.268969991</v>
      </c>
      <c r="D456" s="2" t="n">
        <v>0.0851055302988265</v>
      </c>
      <c r="E456" s="2" t="s">
        <v>21863</v>
      </c>
      <c r="F456" s="2" t="s">
        <v>17137</v>
      </c>
      <c r="G456" s="2" t="s">
        <v>21864</v>
      </c>
      <c r="H456" s="2" t="s">
        <v>21865</v>
      </c>
      <c r="I456" s="2" t="s">
        <v>21866</v>
      </c>
      <c r="J456" s="2" t="s">
        <v>29</v>
      </c>
      <c r="K456" s="2" t="s">
        <v>29</v>
      </c>
      <c r="L456" s="2" t="s">
        <v>29</v>
      </c>
      <c r="M456" s="2" t="s">
        <v>29</v>
      </c>
      <c r="N456" s="2" t="s">
        <v>21867</v>
      </c>
      <c r="O456" s="2" t="s">
        <v>29</v>
      </c>
      <c r="P456" s="2" t="s">
        <v>21868</v>
      </c>
      <c r="Q456" s="2" t="s">
        <v>21869</v>
      </c>
      <c r="R456" s="2" t="s">
        <v>794</v>
      </c>
      <c r="S456" s="2" t="s">
        <v>2971</v>
      </c>
      <c r="T456" s="2" t="s">
        <v>5393</v>
      </c>
      <c r="U456" s="2" t="s">
        <v>29</v>
      </c>
      <c r="V456" s="2" t="n">
        <v>1</v>
      </c>
    </row>
    <row r="457">
      <c r="A457" s="2" t="n">
        <v>456</v>
      </c>
      <c r="B457" s="2" t="s">
        <v>21870</v>
      </c>
      <c r="C457" s="2" t="n">
        <v>410.7666932</v>
      </c>
      <c r="D457" s="2" t="n">
        <v>1.59301844093222</v>
      </c>
      <c r="E457" s="2" t="s">
        <v>21871</v>
      </c>
      <c r="F457" s="2" t="s">
        <v>17227</v>
      </c>
      <c r="G457" s="2" t="s">
        <v>21872</v>
      </c>
      <c r="H457" s="2" t="s">
        <v>21873</v>
      </c>
      <c r="I457" s="2" t="s">
        <v>21874</v>
      </c>
      <c r="J457" s="2" t="s">
        <v>29</v>
      </c>
      <c r="K457" s="2" t="s">
        <v>29</v>
      </c>
      <c r="L457" s="2" t="s">
        <v>29</v>
      </c>
      <c r="M457" s="2" t="s">
        <v>29</v>
      </c>
      <c r="N457" s="2" t="s">
        <v>21875</v>
      </c>
      <c r="O457" s="2" t="s">
        <v>29</v>
      </c>
      <c r="P457" s="2" t="s">
        <v>21876</v>
      </c>
      <c r="Q457" s="2" t="s">
        <v>21877</v>
      </c>
      <c r="R457" s="2" t="s">
        <v>213</v>
      </c>
      <c r="S457" s="2" t="s">
        <v>3744</v>
      </c>
      <c r="T457" s="2" t="s">
        <v>21878</v>
      </c>
      <c r="U457" s="2" t="s">
        <v>29</v>
      </c>
      <c r="V457" s="2" t="n">
        <v>1</v>
      </c>
    </row>
    <row r="458">
      <c r="A458" s="2" t="n">
        <v>457</v>
      </c>
      <c r="B458" s="2" t="s">
        <v>21879</v>
      </c>
      <c r="C458" s="2" t="n">
        <v>411.265988524</v>
      </c>
      <c r="D458" s="2" t="n">
        <v>0.0827229634718245</v>
      </c>
      <c r="E458" s="2" t="s">
        <v>21880</v>
      </c>
      <c r="F458" s="2" t="s">
        <v>17406</v>
      </c>
      <c r="G458" s="2" t="s">
        <v>21881</v>
      </c>
      <c r="H458" s="2" t="s">
        <v>21882</v>
      </c>
      <c r="I458" s="2" t="s">
        <v>21883</v>
      </c>
      <c r="J458" s="2" t="s">
        <v>21884</v>
      </c>
      <c r="K458" s="2" t="s">
        <v>91</v>
      </c>
      <c r="L458" s="2" t="s">
        <v>91</v>
      </c>
      <c r="M458" s="2" t="s">
        <v>91</v>
      </c>
      <c r="N458" s="2" t="s">
        <v>21885</v>
      </c>
      <c r="O458" s="2" t="s">
        <v>21886</v>
      </c>
      <c r="P458" s="2" t="s">
        <v>21887</v>
      </c>
      <c r="Q458" s="2" t="s">
        <v>21888</v>
      </c>
      <c r="R458" s="2" t="s">
        <v>18601</v>
      </c>
      <c r="S458" s="2" t="s">
        <v>21889</v>
      </c>
      <c r="T458" s="2" t="s">
        <v>21890</v>
      </c>
      <c r="U458" s="2" t="s">
        <v>56</v>
      </c>
      <c r="V458" s="2" t="n">
        <v>2</v>
      </c>
    </row>
    <row r="459">
      <c r="A459" s="2" t="n">
        <v>458</v>
      </c>
      <c r="B459" s="2" t="s">
        <v>21891</v>
      </c>
      <c r="C459" s="2" t="n">
        <v>415.040221114</v>
      </c>
      <c r="D459" s="2" t="n">
        <v>3.43988802781162</v>
      </c>
      <c r="E459" s="2" t="s">
        <v>21892</v>
      </c>
      <c r="F459" s="2" t="s">
        <v>17406</v>
      </c>
      <c r="G459" s="2" t="s">
        <v>21893</v>
      </c>
      <c r="H459" s="2" t="s">
        <v>21894</v>
      </c>
      <c r="I459" s="2" t="s">
        <v>21895</v>
      </c>
      <c r="J459" s="2" t="s">
        <v>29</v>
      </c>
      <c r="K459" s="2" t="s">
        <v>29</v>
      </c>
      <c r="L459" s="2" t="s">
        <v>29</v>
      </c>
      <c r="M459" s="2" t="s">
        <v>29</v>
      </c>
      <c r="N459" s="2" t="s">
        <v>21896</v>
      </c>
      <c r="O459" s="2" t="s">
        <v>29</v>
      </c>
      <c r="P459" s="2" t="s">
        <v>21897</v>
      </c>
      <c r="Q459" s="2" t="s">
        <v>21898</v>
      </c>
      <c r="R459" s="2" t="s">
        <v>794</v>
      </c>
      <c r="S459" s="2" t="s">
        <v>7122</v>
      </c>
      <c r="T459" s="2" t="s">
        <v>9394</v>
      </c>
      <c r="U459" s="2" t="s">
        <v>29</v>
      </c>
      <c r="V459" s="2" t="n">
        <v>1</v>
      </c>
    </row>
    <row r="460">
      <c r="A460" s="2" t="n">
        <v>459</v>
      </c>
      <c r="B460" s="2" t="s">
        <v>21899</v>
      </c>
      <c r="C460" s="2" t="n">
        <v>415.273903101</v>
      </c>
      <c r="D460" s="2" t="n">
        <v>0.0570104927422705</v>
      </c>
      <c r="E460" s="2" t="s">
        <v>21900</v>
      </c>
      <c r="F460" s="2" t="s">
        <v>17520</v>
      </c>
      <c r="G460" s="2" t="s">
        <v>21901</v>
      </c>
      <c r="H460" s="2" t="s">
        <v>21902</v>
      </c>
      <c r="I460" s="2" t="s">
        <v>21903</v>
      </c>
      <c r="J460" s="2" t="s">
        <v>29</v>
      </c>
      <c r="K460" s="2" t="s">
        <v>29</v>
      </c>
      <c r="L460" s="2" t="s">
        <v>29</v>
      </c>
      <c r="M460" s="2" t="s">
        <v>29</v>
      </c>
      <c r="N460" s="2" t="s">
        <v>29</v>
      </c>
      <c r="O460" s="2" t="s">
        <v>29</v>
      </c>
      <c r="P460" s="2" t="s">
        <v>21904</v>
      </c>
      <c r="Q460" s="2" t="s">
        <v>21905</v>
      </c>
      <c r="R460" s="2" t="s">
        <v>794</v>
      </c>
      <c r="S460" s="2" t="s">
        <v>795</v>
      </c>
      <c r="T460" s="2" t="s">
        <v>21906</v>
      </c>
      <c r="U460" s="2" t="s">
        <v>29</v>
      </c>
      <c r="V460" s="2" t="n">
        <v>1</v>
      </c>
    </row>
    <row r="461">
      <c r="A461" s="2" t="n">
        <v>460</v>
      </c>
      <c r="B461" s="2" t="s">
        <v>21907</v>
      </c>
      <c r="C461" s="2" t="n">
        <v>417.245608774</v>
      </c>
      <c r="D461" s="2" t="n">
        <v>2.12283504966265</v>
      </c>
      <c r="E461" s="2" t="s">
        <v>21908</v>
      </c>
      <c r="F461" s="2" t="s">
        <v>17137</v>
      </c>
      <c r="G461" s="2" t="s">
        <v>21909</v>
      </c>
      <c r="H461" s="2" t="s">
        <v>21910</v>
      </c>
      <c r="I461" s="2" t="s">
        <v>21911</v>
      </c>
      <c r="J461" s="2" t="s">
        <v>29</v>
      </c>
      <c r="K461" s="2" t="s">
        <v>29</v>
      </c>
      <c r="L461" s="2" t="s">
        <v>29</v>
      </c>
      <c r="M461" s="2" t="s">
        <v>29</v>
      </c>
      <c r="N461" s="2" t="s">
        <v>21912</v>
      </c>
      <c r="O461" s="2" t="s">
        <v>29</v>
      </c>
      <c r="P461" s="2" t="s">
        <v>21913</v>
      </c>
      <c r="Q461" s="2" t="s">
        <v>21914</v>
      </c>
      <c r="R461" s="2" t="s">
        <v>36</v>
      </c>
      <c r="S461" s="2" t="s">
        <v>37</v>
      </c>
      <c r="T461" s="2" t="s">
        <v>69</v>
      </c>
      <c r="U461" s="2" t="s">
        <v>29</v>
      </c>
      <c r="V461" s="2" t="n">
        <v>1</v>
      </c>
    </row>
    <row r="462">
      <c r="A462" s="2" t="n">
        <v>461</v>
      </c>
      <c r="B462" s="2" t="s">
        <v>21915</v>
      </c>
      <c r="C462" s="2" t="n">
        <v>418.238258549</v>
      </c>
      <c r="D462" s="2" t="n">
        <v>9.78121434478556</v>
      </c>
      <c r="E462" s="2" t="s">
        <v>21916</v>
      </c>
      <c r="F462" s="2" t="s">
        <v>17039</v>
      </c>
      <c r="G462" s="2" t="s">
        <v>21917</v>
      </c>
      <c r="H462" s="2" t="s">
        <v>21918</v>
      </c>
      <c r="I462" s="2" t="s">
        <v>21919</v>
      </c>
      <c r="J462" s="2" t="s">
        <v>21920</v>
      </c>
      <c r="K462" s="2" t="s">
        <v>29</v>
      </c>
      <c r="L462" s="2" t="s">
        <v>21921</v>
      </c>
      <c r="M462" s="2" t="s">
        <v>29</v>
      </c>
      <c r="N462" s="2" t="s">
        <v>21922</v>
      </c>
      <c r="O462" s="2" t="s">
        <v>21923</v>
      </c>
      <c r="P462" s="2" t="s">
        <v>21924</v>
      </c>
      <c r="Q462" s="2" t="s">
        <v>21925</v>
      </c>
      <c r="R462" s="2" t="s">
        <v>114</v>
      </c>
      <c r="S462" s="2" t="s">
        <v>8755</v>
      </c>
      <c r="T462" s="2" t="s">
        <v>215</v>
      </c>
      <c r="U462" s="2" t="s">
        <v>56</v>
      </c>
      <c r="V462" s="2" t="n">
        <v>1</v>
      </c>
    </row>
    <row r="463">
      <c r="A463" s="2" t="n">
        <v>462</v>
      </c>
      <c r="B463" s="2" t="s">
        <v>21926</v>
      </c>
      <c r="C463" s="2" t="n">
        <v>419.244152222</v>
      </c>
      <c r="D463" s="2" t="n">
        <v>5.31031750227277</v>
      </c>
      <c r="E463" s="2" t="s">
        <v>21927</v>
      </c>
      <c r="F463" s="2" t="s">
        <v>17137</v>
      </c>
      <c r="G463" s="2" t="s">
        <v>21928</v>
      </c>
      <c r="H463" s="2" t="s">
        <v>21929</v>
      </c>
      <c r="I463" s="2" t="s">
        <v>21930</v>
      </c>
      <c r="J463" s="2" t="s">
        <v>29</v>
      </c>
      <c r="K463" s="2" t="s">
        <v>29</v>
      </c>
      <c r="L463" s="2" t="s">
        <v>29</v>
      </c>
      <c r="M463" s="2" t="s">
        <v>29</v>
      </c>
      <c r="N463" s="2" t="s">
        <v>29</v>
      </c>
      <c r="O463" s="2" t="s">
        <v>29</v>
      </c>
      <c r="P463" s="2" t="s">
        <v>21931</v>
      </c>
      <c r="Q463" s="2" t="s">
        <v>21932</v>
      </c>
      <c r="R463" s="2" t="s">
        <v>114</v>
      </c>
      <c r="S463" s="2" t="s">
        <v>4121</v>
      </c>
      <c r="T463" s="2" t="s">
        <v>7480</v>
      </c>
      <c r="U463" s="2" t="s">
        <v>29</v>
      </c>
      <c r="V463" s="2" t="n">
        <v>1</v>
      </c>
    </row>
    <row r="464">
      <c r="A464" s="2" t="n">
        <v>463</v>
      </c>
      <c r="B464" s="2" t="s">
        <v>21933</v>
      </c>
      <c r="C464" s="2" t="n">
        <v>419.316174518</v>
      </c>
      <c r="D464" s="2" t="n">
        <v>6.6366603166513</v>
      </c>
      <c r="E464" s="2" t="s">
        <v>21934</v>
      </c>
      <c r="F464" s="2" t="s">
        <v>17039</v>
      </c>
      <c r="G464" s="2" t="s">
        <v>21935</v>
      </c>
      <c r="H464" s="2" t="s">
        <v>21936</v>
      </c>
      <c r="I464" s="2" t="s">
        <v>21937</v>
      </c>
      <c r="J464" s="2" t="s">
        <v>21938</v>
      </c>
      <c r="K464" s="2" t="s">
        <v>29</v>
      </c>
      <c r="L464" s="2" t="s">
        <v>29</v>
      </c>
      <c r="M464" s="2" t="s">
        <v>29</v>
      </c>
      <c r="N464" s="2" t="s">
        <v>21939</v>
      </c>
      <c r="O464" s="2" t="s">
        <v>21940</v>
      </c>
      <c r="P464" s="2" t="s">
        <v>21941</v>
      </c>
      <c r="Q464" s="2" t="s">
        <v>21942</v>
      </c>
      <c r="R464" s="2" t="s">
        <v>794</v>
      </c>
      <c r="S464" s="2" t="s">
        <v>2971</v>
      </c>
      <c r="T464" s="2" t="s">
        <v>6499</v>
      </c>
      <c r="U464" s="2" t="s">
        <v>56</v>
      </c>
      <c r="V464" s="2" t="n">
        <v>1</v>
      </c>
    </row>
    <row r="465">
      <c r="A465" s="2" t="n">
        <v>464</v>
      </c>
      <c r="B465" s="2" t="s">
        <v>21943</v>
      </c>
      <c r="C465" s="2" t="n">
        <v>423.21660007</v>
      </c>
      <c r="D465" s="2" t="n">
        <v>0.857166246396182</v>
      </c>
      <c r="E465" s="2" t="s">
        <v>21944</v>
      </c>
      <c r="F465" s="2" t="s">
        <v>17137</v>
      </c>
      <c r="G465" s="2" t="s">
        <v>21945</v>
      </c>
      <c r="H465" s="2" t="s">
        <v>21946</v>
      </c>
      <c r="I465" s="2" t="s">
        <v>21947</v>
      </c>
      <c r="J465" s="2" t="s">
        <v>21948</v>
      </c>
      <c r="K465" s="2" t="s">
        <v>21949</v>
      </c>
      <c r="L465" s="2" t="s">
        <v>195</v>
      </c>
      <c r="M465" s="2" t="s">
        <v>195</v>
      </c>
      <c r="N465" s="2" t="s">
        <v>21950</v>
      </c>
      <c r="O465" s="2" t="s">
        <v>21951</v>
      </c>
      <c r="P465" s="2" t="s">
        <v>21952</v>
      </c>
      <c r="Q465" s="2" t="s">
        <v>21953</v>
      </c>
      <c r="R465" s="2" t="s">
        <v>5817</v>
      </c>
      <c r="S465" s="2" t="s">
        <v>21954</v>
      </c>
      <c r="T465" s="2" t="s">
        <v>21955</v>
      </c>
      <c r="U465" s="2" t="s">
        <v>56</v>
      </c>
      <c r="V465" s="2" t="n">
        <v>3</v>
      </c>
    </row>
    <row r="466">
      <c r="A466" s="2" t="n">
        <v>465</v>
      </c>
      <c r="B466" s="2" t="s">
        <v>21956</v>
      </c>
      <c r="C466" s="2" t="n">
        <v>423.265988524</v>
      </c>
      <c r="D466" s="2" t="n">
        <v>3.5748755208266</v>
      </c>
      <c r="E466" s="2" t="s">
        <v>21957</v>
      </c>
      <c r="F466" s="2" t="s">
        <v>17227</v>
      </c>
      <c r="G466" s="2" t="s">
        <v>21958</v>
      </c>
      <c r="H466" s="2" t="s">
        <v>21959</v>
      </c>
      <c r="I466" s="2" t="s">
        <v>21960</v>
      </c>
      <c r="J466" s="2" t="s">
        <v>21961</v>
      </c>
      <c r="K466" s="2" t="s">
        <v>91</v>
      </c>
      <c r="L466" s="2" t="s">
        <v>21962</v>
      </c>
      <c r="M466" s="2" t="s">
        <v>21963</v>
      </c>
      <c r="N466" s="2" t="s">
        <v>21964</v>
      </c>
      <c r="O466" s="2" t="s">
        <v>21965</v>
      </c>
      <c r="P466" s="2" t="s">
        <v>21966</v>
      </c>
      <c r="Q466" s="2" t="s">
        <v>21967</v>
      </c>
      <c r="R466" s="2" t="s">
        <v>412</v>
      </c>
      <c r="S466" s="2" t="s">
        <v>5304</v>
      </c>
      <c r="T466" s="2" t="s">
        <v>20712</v>
      </c>
      <c r="U466" s="2" t="s">
        <v>56</v>
      </c>
      <c r="V466" s="2" t="n">
        <v>2</v>
      </c>
    </row>
    <row r="467">
      <c r="A467" s="2" t="n">
        <v>466</v>
      </c>
      <c r="B467" s="2" t="s">
        <v>21968</v>
      </c>
      <c r="C467" s="2" t="n">
        <v>423.991781131</v>
      </c>
      <c r="D467" s="2" t="n">
        <v>8.51392364329073</v>
      </c>
      <c r="E467" s="2" t="s">
        <v>21969</v>
      </c>
      <c r="F467" s="2" t="s">
        <v>17198</v>
      </c>
      <c r="G467" s="2" t="s">
        <v>21970</v>
      </c>
      <c r="H467" s="2" t="s">
        <v>21971</v>
      </c>
      <c r="I467" s="2" t="s">
        <v>21972</v>
      </c>
      <c r="J467" s="2" t="s">
        <v>29</v>
      </c>
      <c r="K467" s="2" t="s">
        <v>29</v>
      </c>
      <c r="L467" s="2" t="s">
        <v>29</v>
      </c>
      <c r="M467" s="2" t="s">
        <v>29</v>
      </c>
      <c r="N467" s="2" t="s">
        <v>21973</v>
      </c>
      <c r="O467" s="2" t="s">
        <v>29</v>
      </c>
      <c r="P467" s="2" t="s">
        <v>21974</v>
      </c>
      <c r="Q467" s="2" t="s">
        <v>21975</v>
      </c>
      <c r="R467" s="2" t="s">
        <v>186</v>
      </c>
      <c r="S467" s="2" t="s">
        <v>3046</v>
      </c>
      <c r="T467" s="2" t="s">
        <v>3047</v>
      </c>
      <c r="U467" s="2" t="s">
        <v>29</v>
      </c>
      <c r="V467" s="2" t="n">
        <v>1</v>
      </c>
    </row>
    <row r="468">
      <c r="A468" s="2" t="n">
        <v>467</v>
      </c>
      <c r="B468" s="2" t="s">
        <v>21976</v>
      </c>
      <c r="C468" s="2" t="n">
        <v>424.282212119</v>
      </c>
      <c r="D468" s="2" t="n">
        <v>5.46629035150729</v>
      </c>
      <c r="E468" s="2" t="s">
        <v>21977</v>
      </c>
      <c r="F468" s="2" t="s">
        <v>17198</v>
      </c>
      <c r="G468" s="2" t="s">
        <v>21978</v>
      </c>
      <c r="H468" s="2" t="s">
        <v>21979</v>
      </c>
      <c r="I468" s="2" t="s">
        <v>21980</v>
      </c>
      <c r="J468" s="2" t="s">
        <v>29</v>
      </c>
      <c r="K468" s="2" t="s">
        <v>29</v>
      </c>
      <c r="L468" s="2" t="s">
        <v>29</v>
      </c>
      <c r="M468" s="2" t="s">
        <v>29</v>
      </c>
      <c r="N468" s="2" t="s">
        <v>29</v>
      </c>
      <c r="O468" s="2" t="s">
        <v>29</v>
      </c>
      <c r="P468" s="2" t="s">
        <v>21981</v>
      </c>
      <c r="Q468" s="2" t="s">
        <v>21982</v>
      </c>
      <c r="R468" s="2" t="s">
        <v>114</v>
      </c>
      <c r="S468" s="2" t="s">
        <v>3933</v>
      </c>
      <c r="T468" s="2" t="s">
        <v>215</v>
      </c>
      <c r="U468" s="2" t="s">
        <v>29</v>
      </c>
      <c r="V468" s="2" t="n">
        <v>1</v>
      </c>
    </row>
    <row r="469">
      <c r="A469" s="2" t="n">
        <v>468</v>
      </c>
      <c r="B469" s="2" t="s">
        <v>21983</v>
      </c>
      <c r="C469" s="2" t="n">
        <v>424.779166731</v>
      </c>
      <c r="D469" s="2" t="n">
        <v>6.94224052007593</v>
      </c>
      <c r="E469" s="2" t="s">
        <v>21984</v>
      </c>
      <c r="F469" s="2" t="s">
        <v>17406</v>
      </c>
      <c r="G469" s="2" t="s">
        <v>21985</v>
      </c>
      <c r="H469" s="2" t="s">
        <v>21986</v>
      </c>
      <c r="I469" s="2" t="s">
        <v>21987</v>
      </c>
      <c r="J469" s="2" t="s">
        <v>21988</v>
      </c>
      <c r="K469" s="2" t="s">
        <v>29</v>
      </c>
      <c r="L469" s="2" t="s">
        <v>21989</v>
      </c>
      <c r="M469" s="2" t="s">
        <v>29</v>
      </c>
      <c r="N469" s="2" t="s">
        <v>21990</v>
      </c>
      <c r="O469" s="2" t="s">
        <v>21991</v>
      </c>
      <c r="P469" s="2" t="s">
        <v>21992</v>
      </c>
      <c r="Q469" s="2" t="s">
        <v>21993</v>
      </c>
      <c r="R469" s="2" t="s">
        <v>114</v>
      </c>
      <c r="S469" s="2" t="s">
        <v>21994</v>
      </c>
      <c r="T469" s="2" t="s">
        <v>215</v>
      </c>
      <c r="U469" s="2" t="s">
        <v>101</v>
      </c>
      <c r="V469" s="2" t="n">
        <v>1</v>
      </c>
    </row>
    <row r="470">
      <c r="A470" s="2" t="n">
        <v>469</v>
      </c>
      <c r="B470" s="2" t="s">
        <v>21995</v>
      </c>
      <c r="C470" s="2" t="n">
        <v>425.183715458</v>
      </c>
      <c r="D470" s="2" t="n">
        <v>3.46344439673843</v>
      </c>
      <c r="E470" s="2" t="s">
        <v>21996</v>
      </c>
      <c r="F470" s="2" t="s">
        <v>17227</v>
      </c>
      <c r="G470" s="2" t="s">
        <v>21997</v>
      </c>
      <c r="H470" s="2" t="s">
        <v>21998</v>
      </c>
      <c r="I470" s="2" t="s">
        <v>21999</v>
      </c>
      <c r="J470" s="2" t="s">
        <v>29</v>
      </c>
      <c r="K470" s="2" t="s">
        <v>29</v>
      </c>
      <c r="L470" s="2" t="s">
        <v>22000</v>
      </c>
      <c r="M470" s="2" t="s">
        <v>22001</v>
      </c>
      <c r="N470" s="2" t="s">
        <v>22002</v>
      </c>
      <c r="O470" s="2" t="s">
        <v>22003</v>
      </c>
      <c r="P470" s="2" t="s">
        <v>22004</v>
      </c>
      <c r="Q470" s="2" t="s">
        <v>22005</v>
      </c>
      <c r="R470" s="2" t="s">
        <v>114</v>
      </c>
      <c r="S470" s="2" t="s">
        <v>6078</v>
      </c>
      <c r="T470" s="2" t="s">
        <v>215</v>
      </c>
      <c r="U470" s="2" t="s">
        <v>56</v>
      </c>
      <c r="V470" s="2" t="n">
        <v>1</v>
      </c>
    </row>
    <row r="471">
      <c r="A471" s="2" t="n">
        <v>470</v>
      </c>
      <c r="B471" s="2" t="s">
        <v>22006</v>
      </c>
      <c r="C471" s="2" t="n">
        <v>425.279869027</v>
      </c>
      <c r="D471" s="2" t="n">
        <v>1.72719668296118</v>
      </c>
      <c r="E471" s="2" t="s">
        <v>22007</v>
      </c>
      <c r="F471" s="2" t="s">
        <v>17137</v>
      </c>
      <c r="G471" s="2" t="s">
        <v>22008</v>
      </c>
      <c r="H471" s="2" t="s">
        <v>22009</v>
      </c>
      <c r="I471" s="2" t="s">
        <v>22010</v>
      </c>
      <c r="J471" s="2" t="s">
        <v>22011</v>
      </c>
      <c r="K471" s="2" t="s">
        <v>29</v>
      </c>
      <c r="L471" s="2" t="s">
        <v>22012</v>
      </c>
      <c r="M471" s="2" t="s">
        <v>22013</v>
      </c>
      <c r="N471" s="2" t="s">
        <v>22014</v>
      </c>
      <c r="O471" s="2" t="s">
        <v>22015</v>
      </c>
      <c r="P471" s="2" t="s">
        <v>22016</v>
      </c>
      <c r="Q471" s="2" t="s">
        <v>22017</v>
      </c>
      <c r="R471" s="2" t="s">
        <v>186</v>
      </c>
      <c r="S471" s="2" t="s">
        <v>187</v>
      </c>
      <c r="T471" s="2" t="s">
        <v>22018</v>
      </c>
      <c r="U471" s="2" t="s">
        <v>101</v>
      </c>
      <c r="V471" s="2" t="n">
        <v>1</v>
      </c>
    </row>
    <row r="472">
      <c r="A472" s="2" t="n">
        <v>471</v>
      </c>
      <c r="B472" s="2" t="s">
        <v>22019</v>
      </c>
      <c r="C472" s="2" t="n">
        <v>426.276887561</v>
      </c>
      <c r="D472" s="2" t="n">
        <v>2.70498378253702</v>
      </c>
      <c r="E472" s="2" t="s">
        <v>22020</v>
      </c>
      <c r="F472" s="2" t="s">
        <v>17406</v>
      </c>
      <c r="G472" s="2" t="s">
        <v>22021</v>
      </c>
      <c r="H472" s="2" t="s">
        <v>22022</v>
      </c>
      <c r="I472" s="2" t="s">
        <v>22023</v>
      </c>
      <c r="J472" s="2" t="s">
        <v>22024</v>
      </c>
      <c r="K472" s="2" t="s">
        <v>29</v>
      </c>
      <c r="L472" s="2" t="s">
        <v>29</v>
      </c>
      <c r="M472" s="2" t="s">
        <v>29</v>
      </c>
      <c r="N472" s="2" t="s">
        <v>22025</v>
      </c>
      <c r="O472" s="2" t="s">
        <v>22026</v>
      </c>
      <c r="P472" s="2" t="s">
        <v>22027</v>
      </c>
      <c r="Q472" s="2" t="s">
        <v>22028</v>
      </c>
      <c r="R472" s="2" t="s">
        <v>129</v>
      </c>
      <c r="S472" s="2" t="s">
        <v>130</v>
      </c>
      <c r="T472" s="2" t="s">
        <v>131</v>
      </c>
      <c r="U472" s="2" t="s">
        <v>56</v>
      </c>
      <c r="V472" s="2" t="n">
        <v>1</v>
      </c>
    </row>
    <row r="473">
      <c r="A473" s="2" t="n">
        <v>472</v>
      </c>
      <c r="B473" s="2" t="s">
        <v>22029</v>
      </c>
      <c r="C473" s="2" t="n">
        <v>427.272136536</v>
      </c>
      <c r="D473" s="2" t="n">
        <v>1.14382229523809</v>
      </c>
      <c r="E473" s="2" t="s">
        <v>22030</v>
      </c>
      <c r="F473" s="2" t="s">
        <v>17406</v>
      </c>
      <c r="G473" s="2" t="s">
        <v>22031</v>
      </c>
      <c r="H473" s="2" t="s">
        <v>22032</v>
      </c>
      <c r="I473" s="2" t="s">
        <v>22033</v>
      </c>
      <c r="J473" s="2" t="s">
        <v>29</v>
      </c>
      <c r="K473" s="2" t="s">
        <v>29</v>
      </c>
      <c r="L473" s="2" t="s">
        <v>29</v>
      </c>
      <c r="M473" s="2" t="s">
        <v>29</v>
      </c>
      <c r="N473" s="2" t="s">
        <v>22034</v>
      </c>
      <c r="O473" s="2" t="s">
        <v>29</v>
      </c>
      <c r="P473" s="2" t="s">
        <v>22035</v>
      </c>
      <c r="Q473" s="2" t="s">
        <v>22036</v>
      </c>
      <c r="R473" s="2" t="s">
        <v>794</v>
      </c>
      <c r="S473" s="2" t="s">
        <v>2971</v>
      </c>
      <c r="T473" s="2" t="s">
        <v>3921</v>
      </c>
      <c r="U473" s="2" t="s">
        <v>29</v>
      </c>
      <c r="V473" s="2" t="n">
        <v>1</v>
      </c>
    </row>
    <row r="474">
      <c r="A474" s="2" t="n">
        <v>473</v>
      </c>
      <c r="B474" s="2" t="s">
        <v>22037</v>
      </c>
      <c r="C474" s="2" t="n">
        <v>429.239735548</v>
      </c>
      <c r="D474" s="2" t="n">
        <v>0.37126178740063</v>
      </c>
      <c r="E474" s="2" t="s">
        <v>22038</v>
      </c>
      <c r="F474" s="2" t="s">
        <v>17137</v>
      </c>
      <c r="G474" s="2" t="s">
        <v>22039</v>
      </c>
      <c r="H474" s="2" t="s">
        <v>22040</v>
      </c>
      <c r="I474" s="2" t="s">
        <v>22041</v>
      </c>
      <c r="J474" s="2" t="s">
        <v>22042</v>
      </c>
      <c r="K474" s="2" t="s">
        <v>29</v>
      </c>
      <c r="L474" s="2" t="s">
        <v>22043</v>
      </c>
      <c r="M474" s="2" t="s">
        <v>22044</v>
      </c>
      <c r="N474" s="2" t="s">
        <v>22045</v>
      </c>
      <c r="O474" s="2" t="s">
        <v>22046</v>
      </c>
      <c r="P474" s="2" t="s">
        <v>22047</v>
      </c>
      <c r="Q474" s="2" t="s">
        <v>22048</v>
      </c>
      <c r="R474" s="2" t="s">
        <v>186</v>
      </c>
      <c r="S474" s="2" t="s">
        <v>187</v>
      </c>
      <c r="T474" s="2" t="s">
        <v>6379</v>
      </c>
      <c r="U474" s="2" t="s">
        <v>101</v>
      </c>
      <c r="V474" s="2" t="n">
        <v>1</v>
      </c>
    </row>
    <row r="475">
      <c r="A475" s="2" t="n">
        <v>474</v>
      </c>
      <c r="B475" s="2" t="s">
        <v>22049</v>
      </c>
      <c r="C475" s="2" t="n">
        <v>430.244880498</v>
      </c>
      <c r="D475" s="2" t="n">
        <v>0.176251064626925</v>
      </c>
      <c r="E475" s="2" t="s">
        <v>22050</v>
      </c>
      <c r="F475" s="2" t="s">
        <v>17137</v>
      </c>
      <c r="G475" s="2" t="s">
        <v>22051</v>
      </c>
      <c r="H475" s="2" t="s">
        <v>22052</v>
      </c>
      <c r="I475" s="2" t="s">
        <v>22053</v>
      </c>
      <c r="J475" s="2" t="s">
        <v>29</v>
      </c>
      <c r="K475" s="2" t="s">
        <v>29</v>
      </c>
      <c r="L475" s="2" t="s">
        <v>29</v>
      </c>
      <c r="M475" s="2" t="s">
        <v>29</v>
      </c>
      <c r="N475" s="2" t="s">
        <v>22054</v>
      </c>
      <c r="O475" s="2" t="s">
        <v>29</v>
      </c>
      <c r="P475" s="2" t="s">
        <v>22055</v>
      </c>
      <c r="Q475" s="2" t="s">
        <v>22056</v>
      </c>
      <c r="R475" s="2" t="s">
        <v>36</v>
      </c>
      <c r="S475" s="2" t="s">
        <v>37</v>
      </c>
      <c r="T475" s="2" t="s">
        <v>69</v>
      </c>
      <c r="U475" s="2" t="s">
        <v>29</v>
      </c>
      <c r="V475" s="2" t="n">
        <v>1</v>
      </c>
    </row>
    <row r="476">
      <c r="A476" s="2" t="n">
        <v>475</v>
      </c>
      <c r="B476" s="2" t="s">
        <v>22057</v>
      </c>
      <c r="C476" s="2" t="n">
        <v>431.239380747</v>
      </c>
      <c r="D476" s="2" t="n">
        <v>1.10272994689434</v>
      </c>
      <c r="E476" s="2" t="s">
        <v>22058</v>
      </c>
      <c r="F476" s="2" t="s">
        <v>17039</v>
      </c>
      <c r="G476" s="2" t="s">
        <v>22059</v>
      </c>
      <c r="H476" s="2" t="s">
        <v>22060</v>
      </c>
      <c r="I476" s="2" t="s">
        <v>22061</v>
      </c>
      <c r="J476" s="2" t="s">
        <v>29</v>
      </c>
      <c r="K476" s="2" t="s">
        <v>29</v>
      </c>
      <c r="L476" s="2" t="s">
        <v>29</v>
      </c>
      <c r="M476" s="2" t="s">
        <v>29</v>
      </c>
      <c r="N476" s="2" t="s">
        <v>22062</v>
      </c>
      <c r="O476" s="2" t="s">
        <v>29</v>
      </c>
      <c r="P476" s="2" t="s">
        <v>22063</v>
      </c>
      <c r="Q476" s="2" t="s">
        <v>22064</v>
      </c>
      <c r="R476" s="2" t="s">
        <v>36</v>
      </c>
      <c r="S476" s="2" t="s">
        <v>271</v>
      </c>
      <c r="T476" s="2" t="s">
        <v>2534</v>
      </c>
      <c r="U476" s="2" t="s">
        <v>29</v>
      </c>
      <c r="V476" s="2" t="n">
        <v>1</v>
      </c>
    </row>
    <row r="477">
      <c r="A477" s="2" t="n">
        <v>476</v>
      </c>
      <c r="B477" s="2" t="s">
        <v>22065</v>
      </c>
      <c r="C477" s="2" t="n">
        <v>435.243678278</v>
      </c>
      <c r="D477" s="2" t="n">
        <v>1.99040672122677</v>
      </c>
      <c r="E477" s="2" t="s">
        <v>22066</v>
      </c>
      <c r="F477" s="2" t="s">
        <v>17039</v>
      </c>
      <c r="G477" s="2" t="s">
        <v>22067</v>
      </c>
      <c r="H477" s="2" t="s">
        <v>22068</v>
      </c>
      <c r="I477" s="2" t="s">
        <v>22069</v>
      </c>
      <c r="J477" s="2" t="s">
        <v>22070</v>
      </c>
      <c r="K477" s="2" t="s">
        <v>29</v>
      </c>
      <c r="L477" s="2" t="s">
        <v>22071</v>
      </c>
      <c r="M477" s="2" t="s">
        <v>22072</v>
      </c>
      <c r="N477" s="2" t="s">
        <v>22073</v>
      </c>
      <c r="O477" s="2" t="s">
        <v>22074</v>
      </c>
      <c r="P477" s="2" t="s">
        <v>22075</v>
      </c>
      <c r="Q477" s="2" t="s">
        <v>22076</v>
      </c>
      <c r="R477" s="2" t="s">
        <v>186</v>
      </c>
      <c r="S477" s="2" t="s">
        <v>187</v>
      </c>
      <c r="T477" s="2" t="s">
        <v>22077</v>
      </c>
      <c r="U477" s="2" t="s">
        <v>101</v>
      </c>
      <c r="V477" s="2" t="n">
        <v>1</v>
      </c>
    </row>
    <row r="478">
      <c r="A478" s="2" t="n">
        <v>477</v>
      </c>
      <c r="B478" s="2" t="s">
        <v>22078</v>
      </c>
      <c r="C478" s="2" t="n">
        <v>436.776605045</v>
      </c>
      <c r="D478" s="2" t="n">
        <v>5.69801908228691</v>
      </c>
      <c r="E478" s="2" t="s">
        <v>22079</v>
      </c>
      <c r="F478" s="2" t="s">
        <v>17970</v>
      </c>
      <c r="G478" s="2" t="s">
        <v>22080</v>
      </c>
      <c r="H478" s="2" t="s">
        <v>22081</v>
      </c>
      <c r="I478" s="2" t="s">
        <v>22082</v>
      </c>
      <c r="J478" s="2" t="s">
        <v>22083</v>
      </c>
      <c r="K478" s="2" t="s">
        <v>29</v>
      </c>
      <c r="L478" s="2" t="s">
        <v>22084</v>
      </c>
      <c r="M478" s="2" t="s">
        <v>29</v>
      </c>
      <c r="N478" s="2" t="s">
        <v>22085</v>
      </c>
      <c r="O478" s="2" t="s">
        <v>22086</v>
      </c>
      <c r="P478" s="2" t="s">
        <v>22087</v>
      </c>
      <c r="Q478" s="2" t="s">
        <v>22088</v>
      </c>
      <c r="R478" s="2" t="s">
        <v>186</v>
      </c>
      <c r="S478" s="2" t="s">
        <v>187</v>
      </c>
      <c r="T478" s="2" t="s">
        <v>6379</v>
      </c>
      <c r="U478" s="2" t="s">
        <v>101</v>
      </c>
      <c r="V478" s="2" t="n">
        <v>1</v>
      </c>
    </row>
    <row r="479">
      <c r="A479" s="2" t="n">
        <v>478</v>
      </c>
      <c r="B479" s="2" t="s">
        <v>22089</v>
      </c>
      <c r="C479" s="2" t="n">
        <v>437.195864628</v>
      </c>
      <c r="D479" s="2" t="n">
        <v>2.83143038557636</v>
      </c>
      <c r="E479" s="2" t="s">
        <v>22090</v>
      </c>
      <c r="F479" s="2" t="s">
        <v>17137</v>
      </c>
      <c r="G479" s="2" t="s">
        <v>22091</v>
      </c>
      <c r="H479" s="2" t="s">
        <v>22092</v>
      </c>
      <c r="I479" s="2" t="s">
        <v>22093</v>
      </c>
      <c r="J479" s="2" t="s">
        <v>22094</v>
      </c>
      <c r="K479" s="2" t="s">
        <v>22095</v>
      </c>
      <c r="L479" s="2" t="s">
        <v>195</v>
      </c>
      <c r="M479" s="2" t="s">
        <v>22096</v>
      </c>
      <c r="N479" s="2" t="s">
        <v>22097</v>
      </c>
      <c r="O479" s="2" t="s">
        <v>22098</v>
      </c>
      <c r="P479" s="2" t="s">
        <v>22099</v>
      </c>
      <c r="Q479" s="2" t="s">
        <v>22100</v>
      </c>
      <c r="R479" s="2" t="s">
        <v>5817</v>
      </c>
      <c r="S479" s="2" t="s">
        <v>22101</v>
      </c>
      <c r="T479" s="2" t="s">
        <v>22102</v>
      </c>
      <c r="U479" s="2" t="s">
        <v>29</v>
      </c>
      <c r="V479" s="2" t="n">
        <v>3</v>
      </c>
    </row>
    <row r="480">
      <c r="A480" s="2" t="n">
        <v>479</v>
      </c>
      <c r="B480" s="2" t="s">
        <v>22103</v>
      </c>
      <c r="C480" s="2" t="n">
        <v>441.19077925</v>
      </c>
      <c r="D480" s="2" t="n">
        <v>1.9277352586278</v>
      </c>
      <c r="E480" s="2" t="s">
        <v>22104</v>
      </c>
      <c r="F480" s="2" t="s">
        <v>17137</v>
      </c>
      <c r="G480" s="2" t="s">
        <v>22105</v>
      </c>
      <c r="H480" s="2" t="s">
        <v>22106</v>
      </c>
      <c r="I480" s="2" t="s">
        <v>22107</v>
      </c>
      <c r="J480" s="2" t="s">
        <v>22108</v>
      </c>
      <c r="K480" s="2" t="s">
        <v>195</v>
      </c>
      <c r="L480" s="2" t="s">
        <v>195</v>
      </c>
      <c r="M480" s="2" t="s">
        <v>195</v>
      </c>
      <c r="N480" s="2" t="s">
        <v>22109</v>
      </c>
      <c r="O480" s="2" t="s">
        <v>195</v>
      </c>
      <c r="P480" s="2" t="s">
        <v>22110</v>
      </c>
      <c r="Q480" s="2" t="s">
        <v>22111</v>
      </c>
      <c r="R480" s="2" t="s">
        <v>490</v>
      </c>
      <c r="S480" s="2" t="s">
        <v>6579</v>
      </c>
      <c r="T480" s="2" t="s">
        <v>6580</v>
      </c>
      <c r="U480" s="2" t="s">
        <v>29</v>
      </c>
      <c r="V480" s="2" t="n">
        <v>3</v>
      </c>
    </row>
    <row r="481">
      <c r="A481" s="2" t="n">
        <v>480</v>
      </c>
      <c r="B481" s="2" t="s">
        <v>22112</v>
      </c>
      <c r="C481" s="2" t="n">
        <v>441.245489839</v>
      </c>
      <c r="D481" s="2" t="n">
        <v>0.209912537124638</v>
      </c>
      <c r="E481" s="2" t="s">
        <v>22113</v>
      </c>
      <c r="F481" s="2" t="s">
        <v>17039</v>
      </c>
      <c r="G481" s="2" t="s">
        <v>22114</v>
      </c>
      <c r="H481" s="2" t="s">
        <v>22115</v>
      </c>
      <c r="I481" s="2" t="s">
        <v>22116</v>
      </c>
      <c r="J481" s="2" t="s">
        <v>22117</v>
      </c>
      <c r="K481" s="2" t="s">
        <v>29</v>
      </c>
      <c r="L481" s="2" t="s">
        <v>22118</v>
      </c>
      <c r="M481" s="2" t="s">
        <v>22119</v>
      </c>
      <c r="N481" s="2" t="s">
        <v>22120</v>
      </c>
      <c r="O481" s="2" t="s">
        <v>22121</v>
      </c>
      <c r="P481" s="2" t="s">
        <v>22122</v>
      </c>
      <c r="Q481" s="2" t="s">
        <v>22123</v>
      </c>
      <c r="R481" s="2" t="s">
        <v>114</v>
      </c>
      <c r="S481" s="2" t="s">
        <v>2325</v>
      </c>
      <c r="T481" s="2" t="s">
        <v>215</v>
      </c>
      <c r="U481" s="2" t="s">
        <v>101</v>
      </c>
      <c r="V481" s="2" t="n">
        <v>1</v>
      </c>
    </row>
    <row r="482">
      <c r="A482" s="2" t="n">
        <v>481</v>
      </c>
      <c r="B482" s="2" t="s">
        <v>22124</v>
      </c>
      <c r="C482" s="2" t="n">
        <v>442.245469183</v>
      </c>
      <c r="D482" s="2" t="n">
        <v>0.577876273374605</v>
      </c>
      <c r="E482" s="2" t="s">
        <v>22125</v>
      </c>
      <c r="F482" s="2" t="s">
        <v>17039</v>
      </c>
      <c r="G482" s="2" t="s">
        <v>22126</v>
      </c>
      <c r="H482" s="2" t="s">
        <v>22127</v>
      </c>
      <c r="I482" s="2" t="s">
        <v>22128</v>
      </c>
      <c r="J482" s="2" t="s">
        <v>29</v>
      </c>
      <c r="K482" s="2" t="s">
        <v>29</v>
      </c>
      <c r="L482" s="2" t="s">
        <v>29</v>
      </c>
      <c r="M482" s="2" t="s">
        <v>29</v>
      </c>
      <c r="N482" s="2" t="s">
        <v>22129</v>
      </c>
      <c r="O482" s="2" t="s">
        <v>29</v>
      </c>
      <c r="P482" s="2" t="s">
        <v>22130</v>
      </c>
      <c r="Q482" s="2" t="s">
        <v>22131</v>
      </c>
      <c r="R482" s="2" t="s">
        <v>36</v>
      </c>
      <c r="S482" s="2" t="s">
        <v>7927</v>
      </c>
      <c r="T482" s="2" t="s">
        <v>7928</v>
      </c>
      <c r="U482" s="2" t="s">
        <v>29</v>
      </c>
      <c r="V482" s="2" t="n">
        <v>1</v>
      </c>
    </row>
    <row r="483">
      <c r="A483" s="2" t="n">
        <v>482</v>
      </c>
      <c r="B483" s="2" t="s">
        <v>22132</v>
      </c>
      <c r="C483" s="2" t="n">
        <v>443.253293556</v>
      </c>
      <c r="D483" s="2" t="n">
        <v>0.0959508844599272</v>
      </c>
      <c r="E483" s="2" t="s">
        <v>22133</v>
      </c>
      <c r="F483" s="2" t="s">
        <v>17198</v>
      </c>
      <c r="G483" s="2" t="s">
        <v>22134</v>
      </c>
      <c r="H483" s="2" t="s">
        <v>22135</v>
      </c>
      <c r="I483" s="2" t="s">
        <v>22136</v>
      </c>
      <c r="J483" s="2" t="s">
        <v>22137</v>
      </c>
      <c r="K483" s="2" t="s">
        <v>29</v>
      </c>
      <c r="L483" s="2" t="s">
        <v>29</v>
      </c>
      <c r="M483" s="2" t="s">
        <v>29</v>
      </c>
      <c r="N483" s="2" t="s">
        <v>22138</v>
      </c>
      <c r="O483" s="2" t="s">
        <v>29</v>
      </c>
      <c r="P483" s="2" t="s">
        <v>22139</v>
      </c>
      <c r="Q483" s="2" t="s">
        <v>22140</v>
      </c>
      <c r="R483" s="2" t="s">
        <v>794</v>
      </c>
      <c r="S483" s="2" t="s">
        <v>7122</v>
      </c>
      <c r="T483" s="2" t="s">
        <v>7123</v>
      </c>
      <c r="U483" s="2" t="s">
        <v>56</v>
      </c>
      <c r="V483" s="2" t="n">
        <v>1</v>
      </c>
    </row>
    <row r="484">
      <c r="A484" s="2" t="n">
        <v>483</v>
      </c>
      <c r="B484" s="2" t="s">
        <v>22141</v>
      </c>
      <c r="C484" s="2" t="n">
        <v>445.127108456</v>
      </c>
      <c r="D484" s="2" t="n">
        <v>4.04160549666431</v>
      </c>
      <c r="E484" s="2" t="s">
        <v>22142</v>
      </c>
      <c r="F484" s="2" t="s">
        <v>17198</v>
      </c>
      <c r="G484" s="2" t="s">
        <v>22143</v>
      </c>
      <c r="H484" s="2" t="s">
        <v>22144</v>
      </c>
      <c r="I484" s="2" t="s">
        <v>22145</v>
      </c>
      <c r="J484" s="2" t="s">
        <v>29</v>
      </c>
      <c r="K484" s="2" t="s">
        <v>29</v>
      </c>
      <c r="L484" s="2" t="s">
        <v>29</v>
      </c>
      <c r="M484" s="2" t="s">
        <v>29</v>
      </c>
      <c r="N484" s="2" t="s">
        <v>22146</v>
      </c>
      <c r="O484" s="2" t="s">
        <v>29</v>
      </c>
      <c r="P484" s="2" t="s">
        <v>22147</v>
      </c>
      <c r="Q484" s="2" t="s">
        <v>22148</v>
      </c>
      <c r="R484" s="2" t="s">
        <v>114</v>
      </c>
      <c r="S484" s="2" t="s">
        <v>1254</v>
      </c>
      <c r="T484" s="2" t="s">
        <v>5401</v>
      </c>
      <c r="U484" s="2" t="s">
        <v>29</v>
      </c>
      <c r="V484" s="2" t="n">
        <v>1</v>
      </c>
    </row>
    <row r="485">
      <c r="A485" s="2" t="n">
        <v>484</v>
      </c>
      <c r="B485" s="2" t="s">
        <v>22149</v>
      </c>
      <c r="C485" s="2" t="n">
        <v>445.271940723</v>
      </c>
      <c r="D485" s="2" t="n">
        <v>2.23215320187396</v>
      </c>
      <c r="E485" s="2" t="s">
        <v>22150</v>
      </c>
      <c r="F485" s="2" t="s">
        <v>17039</v>
      </c>
      <c r="G485" s="2" t="s">
        <v>22151</v>
      </c>
      <c r="H485" s="2" t="s">
        <v>22152</v>
      </c>
      <c r="I485" s="2" t="s">
        <v>22153</v>
      </c>
      <c r="J485" s="2" t="s">
        <v>91</v>
      </c>
      <c r="K485" s="2" t="s">
        <v>91</v>
      </c>
      <c r="L485" s="2" t="s">
        <v>91</v>
      </c>
      <c r="M485" s="2" t="s">
        <v>91</v>
      </c>
      <c r="N485" s="2" t="s">
        <v>22154</v>
      </c>
      <c r="O485" s="2" t="s">
        <v>91</v>
      </c>
      <c r="P485" s="2" t="s">
        <v>22155</v>
      </c>
      <c r="Q485" s="2" t="s">
        <v>22156</v>
      </c>
      <c r="R485" s="2" t="s">
        <v>412</v>
      </c>
      <c r="S485" s="2" t="s">
        <v>10037</v>
      </c>
      <c r="T485" s="2" t="s">
        <v>22157</v>
      </c>
      <c r="U485" s="2" t="s">
        <v>56</v>
      </c>
      <c r="V485" s="2" t="n">
        <v>2</v>
      </c>
    </row>
    <row r="486">
      <c r="A486" s="2" t="n">
        <v>485</v>
      </c>
      <c r="B486" s="2" t="s">
        <v>22158</v>
      </c>
      <c r="C486" s="2" t="n">
        <v>446.121174769</v>
      </c>
      <c r="D486" s="2" t="n">
        <v>0.573496729810467</v>
      </c>
      <c r="E486" s="2" t="s">
        <v>22159</v>
      </c>
      <c r="F486" s="2" t="s">
        <v>17406</v>
      </c>
      <c r="G486" s="2" t="s">
        <v>22160</v>
      </c>
      <c r="H486" s="2" t="s">
        <v>22161</v>
      </c>
      <c r="I486" s="2" t="s">
        <v>22162</v>
      </c>
      <c r="J486" s="2" t="s">
        <v>29</v>
      </c>
      <c r="K486" s="2" t="s">
        <v>29</v>
      </c>
      <c r="L486" s="2" t="s">
        <v>29</v>
      </c>
      <c r="M486" s="2" t="s">
        <v>29</v>
      </c>
      <c r="N486" s="2" t="s">
        <v>22163</v>
      </c>
      <c r="O486" s="2" t="s">
        <v>29</v>
      </c>
      <c r="P486" s="2" t="s">
        <v>22164</v>
      </c>
      <c r="Q486" s="2" t="s">
        <v>22165</v>
      </c>
      <c r="R486" s="2" t="s">
        <v>1355</v>
      </c>
      <c r="S486" s="2" t="s">
        <v>3298</v>
      </c>
      <c r="T486" s="2" t="s">
        <v>22166</v>
      </c>
      <c r="U486" s="2" t="s">
        <v>29</v>
      </c>
      <c r="V486" s="2" t="n">
        <v>1</v>
      </c>
    </row>
    <row r="487">
      <c r="A487" s="2" t="n">
        <v>486</v>
      </c>
      <c r="B487" s="2" t="s">
        <v>22167</v>
      </c>
      <c r="C487" s="2" t="n">
        <v>447.118676928</v>
      </c>
      <c r="D487" s="2" t="n">
        <v>0.750700443209901</v>
      </c>
      <c r="E487" s="2" t="s">
        <v>22168</v>
      </c>
      <c r="F487" s="2" t="s">
        <v>17137</v>
      </c>
      <c r="G487" s="2" t="s">
        <v>22169</v>
      </c>
      <c r="H487" s="2" t="s">
        <v>22170</v>
      </c>
      <c r="I487" s="2" t="s">
        <v>22171</v>
      </c>
      <c r="J487" s="2" t="s">
        <v>22172</v>
      </c>
      <c r="K487" s="2" t="s">
        <v>91</v>
      </c>
      <c r="L487" s="2" t="s">
        <v>91</v>
      </c>
      <c r="M487" s="2" t="s">
        <v>91</v>
      </c>
      <c r="N487" s="2" t="s">
        <v>22173</v>
      </c>
      <c r="O487" s="2" t="s">
        <v>22174</v>
      </c>
      <c r="P487" s="2" t="s">
        <v>22175</v>
      </c>
      <c r="Q487" s="2" t="s">
        <v>22176</v>
      </c>
      <c r="R487" s="2" t="s">
        <v>541</v>
      </c>
      <c r="S487" s="2" t="s">
        <v>22177</v>
      </c>
      <c r="T487" s="2" t="s">
        <v>22178</v>
      </c>
      <c r="U487" s="2" t="s">
        <v>29</v>
      </c>
      <c r="V487" s="2" t="n">
        <v>2</v>
      </c>
    </row>
    <row r="488">
      <c r="A488" s="2" t="n">
        <v>487</v>
      </c>
      <c r="B488" s="2" t="s">
        <v>22179</v>
      </c>
      <c r="C488" s="2" t="n">
        <v>453.211908622</v>
      </c>
      <c r="D488" s="2" t="n">
        <v>3.42822572268772</v>
      </c>
      <c r="E488" s="2" t="s">
        <v>22180</v>
      </c>
      <c r="F488" s="2" t="s">
        <v>17137</v>
      </c>
      <c r="G488" s="2" t="s">
        <v>22181</v>
      </c>
      <c r="H488" s="2" t="s">
        <v>22182</v>
      </c>
      <c r="I488" s="2" t="s">
        <v>22183</v>
      </c>
      <c r="J488" s="2" t="s">
        <v>22184</v>
      </c>
      <c r="K488" s="2" t="s">
        <v>91</v>
      </c>
      <c r="L488" s="2" t="s">
        <v>91</v>
      </c>
      <c r="M488" s="2" t="s">
        <v>91</v>
      </c>
      <c r="N488" s="2" t="s">
        <v>22185</v>
      </c>
      <c r="O488" s="2" t="s">
        <v>22186</v>
      </c>
      <c r="P488" s="2" t="s">
        <v>22187</v>
      </c>
      <c r="Q488" s="2" t="s">
        <v>22188</v>
      </c>
      <c r="R488" s="2" t="s">
        <v>412</v>
      </c>
      <c r="S488" s="2" t="s">
        <v>5304</v>
      </c>
      <c r="T488" s="2" t="s">
        <v>20712</v>
      </c>
      <c r="U488" s="2" t="s">
        <v>56</v>
      </c>
      <c r="V488" s="2" t="n">
        <v>2</v>
      </c>
    </row>
    <row r="489">
      <c r="A489" s="2" t="n">
        <v>488</v>
      </c>
      <c r="B489" s="2" t="s">
        <v>22189</v>
      </c>
      <c r="C489" s="2" t="n">
        <v>456.7898334</v>
      </c>
      <c r="D489" s="2" t="n">
        <v>4.98271753998438</v>
      </c>
      <c r="E489" s="2" t="s">
        <v>22190</v>
      </c>
      <c r="F489" s="2" t="s">
        <v>18382</v>
      </c>
      <c r="G489" s="2" t="s">
        <v>22191</v>
      </c>
      <c r="H489" s="2" t="s">
        <v>22192</v>
      </c>
      <c r="I489" s="2" t="s">
        <v>22193</v>
      </c>
      <c r="J489" s="2" t="s">
        <v>22194</v>
      </c>
      <c r="K489" s="2" t="s">
        <v>29</v>
      </c>
      <c r="L489" s="2" t="s">
        <v>22195</v>
      </c>
      <c r="M489" s="2" t="s">
        <v>29</v>
      </c>
      <c r="N489" s="2" t="s">
        <v>22196</v>
      </c>
      <c r="O489" s="2" t="s">
        <v>22197</v>
      </c>
      <c r="P489" s="2" t="s">
        <v>22198</v>
      </c>
      <c r="Q489" s="2" t="s">
        <v>22199</v>
      </c>
      <c r="R489" s="2" t="s">
        <v>36</v>
      </c>
      <c r="S489" s="2" t="s">
        <v>2572</v>
      </c>
      <c r="T489" s="2" t="s">
        <v>2637</v>
      </c>
      <c r="U489" s="2" t="s">
        <v>101</v>
      </c>
      <c r="V489" s="2" t="n">
        <v>1</v>
      </c>
    </row>
    <row r="490">
      <c r="A490" s="2" t="n">
        <v>489</v>
      </c>
      <c r="B490" s="2" t="s">
        <v>22200</v>
      </c>
      <c r="C490" s="2" t="n">
        <v>457.275452519</v>
      </c>
      <c r="D490" s="2" t="n">
        <v>0.396877902632432</v>
      </c>
      <c r="E490" s="2" t="s">
        <v>22201</v>
      </c>
      <c r="F490" s="2" t="s">
        <v>17039</v>
      </c>
      <c r="G490" s="2" t="s">
        <v>22202</v>
      </c>
      <c r="H490" s="2" t="s">
        <v>22203</v>
      </c>
      <c r="I490" s="2" t="s">
        <v>22204</v>
      </c>
      <c r="J490" s="2" t="s">
        <v>29</v>
      </c>
      <c r="K490" s="2" t="s">
        <v>29</v>
      </c>
      <c r="L490" s="2" t="s">
        <v>29</v>
      </c>
      <c r="M490" s="2" t="s">
        <v>29</v>
      </c>
      <c r="N490" s="2" t="s">
        <v>22205</v>
      </c>
      <c r="O490" s="2" t="s">
        <v>29</v>
      </c>
      <c r="P490" s="2" t="s">
        <v>22206</v>
      </c>
      <c r="Q490" s="2" t="s">
        <v>22207</v>
      </c>
      <c r="R490" s="2" t="s">
        <v>794</v>
      </c>
      <c r="S490" s="2" t="s">
        <v>2971</v>
      </c>
      <c r="T490" s="2" t="s">
        <v>5393</v>
      </c>
      <c r="U490" s="2" t="s">
        <v>29</v>
      </c>
      <c r="V490" s="2" t="n">
        <v>1</v>
      </c>
    </row>
    <row r="491">
      <c r="A491" s="2" t="n">
        <v>490</v>
      </c>
      <c r="B491" s="2" t="s">
        <v>22208</v>
      </c>
      <c r="C491" s="2" t="n">
        <v>458.266716805</v>
      </c>
      <c r="D491" s="2" t="n">
        <v>0.256028392634732</v>
      </c>
      <c r="E491" s="2" t="s">
        <v>22209</v>
      </c>
      <c r="F491" s="2" t="s">
        <v>17406</v>
      </c>
      <c r="G491" s="2" t="s">
        <v>22210</v>
      </c>
      <c r="H491" s="2" t="s">
        <v>22211</v>
      </c>
      <c r="I491" s="2" t="s">
        <v>22212</v>
      </c>
      <c r="J491" s="2" t="s">
        <v>22213</v>
      </c>
      <c r="K491" s="2" t="s">
        <v>22214</v>
      </c>
      <c r="L491" s="2" t="s">
        <v>29</v>
      </c>
      <c r="M491" s="2" t="s">
        <v>29</v>
      </c>
      <c r="N491" s="2" t="s">
        <v>22215</v>
      </c>
      <c r="O491" s="2" t="s">
        <v>29</v>
      </c>
      <c r="P491" s="2" t="s">
        <v>22216</v>
      </c>
      <c r="Q491" s="2" t="s">
        <v>22217</v>
      </c>
      <c r="R491" s="2" t="s">
        <v>794</v>
      </c>
      <c r="S491" s="2" t="s">
        <v>795</v>
      </c>
      <c r="T491" s="2" t="s">
        <v>1870</v>
      </c>
      <c r="U491" s="2" t="s">
        <v>56</v>
      </c>
      <c r="V491" s="2" t="n">
        <v>1</v>
      </c>
    </row>
    <row r="492">
      <c r="A492" s="2" t="n">
        <v>491</v>
      </c>
      <c r="B492" s="2" t="s">
        <v>22218</v>
      </c>
      <c r="C492" s="2" t="n">
        <v>459.287117897</v>
      </c>
      <c r="D492" s="2" t="n">
        <v>4.50974634431163</v>
      </c>
      <c r="E492" s="2" t="s">
        <v>22219</v>
      </c>
      <c r="F492" s="2" t="s">
        <v>17406</v>
      </c>
      <c r="G492" s="2" t="s">
        <v>22220</v>
      </c>
      <c r="H492" s="2" t="s">
        <v>22221</v>
      </c>
      <c r="I492" s="2" t="s">
        <v>22222</v>
      </c>
      <c r="J492" s="2" t="s">
        <v>29</v>
      </c>
      <c r="K492" s="2" t="s">
        <v>29</v>
      </c>
      <c r="L492" s="2" t="s">
        <v>29</v>
      </c>
      <c r="M492" s="2" t="s">
        <v>29</v>
      </c>
      <c r="N492" s="2" t="s">
        <v>22223</v>
      </c>
      <c r="O492" s="2" t="s">
        <v>29</v>
      </c>
      <c r="P492" s="2" t="s">
        <v>22224</v>
      </c>
      <c r="Q492" s="2" t="s">
        <v>22225</v>
      </c>
      <c r="R492" s="2" t="s">
        <v>794</v>
      </c>
      <c r="S492" s="2" t="s">
        <v>2971</v>
      </c>
      <c r="T492" s="2" t="s">
        <v>6499</v>
      </c>
      <c r="U492" s="2" t="s">
        <v>29</v>
      </c>
      <c r="V492" s="2" t="n">
        <v>1</v>
      </c>
    </row>
    <row r="493">
      <c r="A493" s="2" t="n">
        <v>492</v>
      </c>
      <c r="B493" s="2" t="s">
        <v>22226</v>
      </c>
      <c r="C493" s="2" t="n">
        <v>462.144180183</v>
      </c>
      <c r="D493" s="2" t="n">
        <v>2.33072177299783</v>
      </c>
      <c r="E493" s="2" t="s">
        <v>22227</v>
      </c>
      <c r="F493" s="2" t="s">
        <v>17137</v>
      </c>
      <c r="G493" s="2" t="s">
        <v>22228</v>
      </c>
      <c r="H493" s="2" t="s">
        <v>22229</v>
      </c>
      <c r="I493" s="2" t="s">
        <v>22230</v>
      </c>
      <c r="J493" s="2" t="s">
        <v>22231</v>
      </c>
      <c r="K493" s="2" t="s">
        <v>29</v>
      </c>
      <c r="L493" s="2" t="s">
        <v>22232</v>
      </c>
      <c r="M493" s="2" t="s">
        <v>22233</v>
      </c>
      <c r="N493" s="2" t="s">
        <v>22234</v>
      </c>
      <c r="O493" s="2" t="s">
        <v>22235</v>
      </c>
      <c r="P493" s="2" t="s">
        <v>22236</v>
      </c>
      <c r="Q493" s="2" t="s">
        <v>22237</v>
      </c>
      <c r="R493" s="2" t="s">
        <v>36</v>
      </c>
      <c r="S493" s="2" t="s">
        <v>37</v>
      </c>
      <c r="T493" s="2" t="s">
        <v>69</v>
      </c>
      <c r="U493" s="2" t="s">
        <v>101</v>
      </c>
      <c r="V493" s="2" t="n">
        <v>1</v>
      </c>
    </row>
    <row r="494">
      <c r="A494" s="2" t="n">
        <v>493</v>
      </c>
      <c r="B494" s="2" t="s">
        <v>22238</v>
      </c>
      <c r="C494" s="2" t="n">
        <v>463.141044443</v>
      </c>
      <c r="D494" s="2" t="n">
        <v>0.774117352659107</v>
      </c>
      <c r="E494" s="2" t="s">
        <v>22239</v>
      </c>
      <c r="F494" s="2" t="s">
        <v>17198</v>
      </c>
      <c r="G494" s="2" t="s">
        <v>22240</v>
      </c>
      <c r="H494" s="2" t="s">
        <v>22241</v>
      </c>
      <c r="I494" s="2" t="s">
        <v>22242</v>
      </c>
      <c r="J494" s="2" t="s">
        <v>29</v>
      </c>
      <c r="K494" s="2" t="s">
        <v>29</v>
      </c>
      <c r="L494" s="2" t="s">
        <v>29</v>
      </c>
      <c r="M494" s="2" t="s">
        <v>29</v>
      </c>
      <c r="N494" s="2" t="s">
        <v>22243</v>
      </c>
      <c r="O494" s="2" t="s">
        <v>29</v>
      </c>
      <c r="P494" s="2" t="s">
        <v>22244</v>
      </c>
      <c r="Q494" s="2" t="s">
        <v>22245</v>
      </c>
      <c r="R494" s="2" t="s">
        <v>186</v>
      </c>
      <c r="S494" s="2" t="s">
        <v>187</v>
      </c>
      <c r="T494" s="2" t="s">
        <v>1950</v>
      </c>
      <c r="U494" s="2" t="s">
        <v>29</v>
      </c>
      <c r="V494" s="2" t="n">
        <v>1</v>
      </c>
    </row>
    <row r="495">
      <c r="A495" s="2" t="n">
        <v>494</v>
      </c>
      <c r="B495" s="2" t="s">
        <v>22246</v>
      </c>
      <c r="C495" s="2" t="n">
        <v>467.097272796</v>
      </c>
      <c r="D495" s="2" t="n">
        <v>2.02470319848716</v>
      </c>
      <c r="E495" s="2" t="s">
        <v>22247</v>
      </c>
      <c r="F495" s="2" t="s">
        <v>17137</v>
      </c>
      <c r="G495" s="2" t="s">
        <v>22248</v>
      </c>
      <c r="H495" s="2" t="s">
        <v>22249</v>
      </c>
      <c r="I495" s="2" t="s">
        <v>22250</v>
      </c>
      <c r="J495" s="2" t="s">
        <v>29</v>
      </c>
      <c r="K495" s="2" t="s">
        <v>29</v>
      </c>
      <c r="L495" s="2" t="s">
        <v>29</v>
      </c>
      <c r="M495" s="2" t="s">
        <v>29</v>
      </c>
      <c r="N495" s="2" t="s">
        <v>22251</v>
      </c>
      <c r="O495" s="2" t="s">
        <v>22252</v>
      </c>
      <c r="P495" s="2" t="s">
        <v>22253</v>
      </c>
      <c r="Q495" s="2" t="s">
        <v>22254</v>
      </c>
      <c r="R495" s="2" t="s">
        <v>114</v>
      </c>
      <c r="S495" s="2" t="s">
        <v>5343</v>
      </c>
      <c r="T495" s="2" t="s">
        <v>22255</v>
      </c>
      <c r="U495" s="2" t="s">
        <v>29</v>
      </c>
      <c r="V495" s="2" t="n">
        <v>1</v>
      </c>
    </row>
    <row r="496">
      <c r="A496" s="2" t="n">
        <v>495</v>
      </c>
      <c r="B496" s="2" t="s">
        <v>22256</v>
      </c>
      <c r="C496" s="2" t="n">
        <v>469.311197752</v>
      </c>
      <c r="D496" s="2" t="n">
        <v>1.8846464141193</v>
      </c>
      <c r="E496" s="2" t="s">
        <v>22257</v>
      </c>
      <c r="F496" s="2" t="s">
        <v>17039</v>
      </c>
      <c r="G496" s="2" t="s">
        <v>22258</v>
      </c>
      <c r="H496" s="2" t="s">
        <v>22259</v>
      </c>
      <c r="I496" s="2" t="s">
        <v>22260</v>
      </c>
      <c r="J496" s="2" t="s">
        <v>29</v>
      </c>
      <c r="K496" s="2" t="s">
        <v>29</v>
      </c>
      <c r="L496" s="2" t="s">
        <v>29</v>
      </c>
      <c r="M496" s="2" t="s">
        <v>29</v>
      </c>
      <c r="N496" s="2" t="s">
        <v>22261</v>
      </c>
      <c r="O496" s="2" t="s">
        <v>29</v>
      </c>
      <c r="P496" s="2" t="s">
        <v>22262</v>
      </c>
      <c r="Q496" s="2" t="s">
        <v>22263</v>
      </c>
      <c r="R496" s="2" t="s">
        <v>36</v>
      </c>
      <c r="S496" s="2" t="s">
        <v>37</v>
      </c>
      <c r="T496" s="2" t="s">
        <v>69</v>
      </c>
      <c r="U496" s="2" t="s">
        <v>29</v>
      </c>
      <c r="V496" s="2" t="n">
        <v>1</v>
      </c>
    </row>
    <row r="497">
      <c r="A497" s="2" t="n">
        <v>496</v>
      </c>
      <c r="B497" s="2" t="s">
        <v>22264</v>
      </c>
      <c r="C497" s="2" t="n">
        <v>470.809065412</v>
      </c>
      <c r="D497" s="2" t="n">
        <v>1.95004321082205</v>
      </c>
      <c r="E497" s="2" t="s">
        <v>22265</v>
      </c>
      <c r="F497" s="2" t="s">
        <v>17227</v>
      </c>
      <c r="G497" s="2" t="s">
        <v>22266</v>
      </c>
      <c r="H497" s="2" t="s">
        <v>22267</v>
      </c>
      <c r="I497" s="2" t="s">
        <v>22268</v>
      </c>
      <c r="J497" s="2" t="s">
        <v>22269</v>
      </c>
      <c r="K497" s="2" t="s">
        <v>29</v>
      </c>
      <c r="L497" s="2" t="s">
        <v>29</v>
      </c>
      <c r="M497" s="2" t="s">
        <v>29</v>
      </c>
      <c r="N497" s="2" t="s">
        <v>22270</v>
      </c>
      <c r="O497" s="2" t="s">
        <v>22271</v>
      </c>
      <c r="P497" s="2" t="s">
        <v>22272</v>
      </c>
      <c r="Q497" s="2" t="s">
        <v>22273</v>
      </c>
      <c r="R497" s="2" t="s">
        <v>644</v>
      </c>
      <c r="S497" s="2" t="s">
        <v>1241</v>
      </c>
      <c r="T497" s="2" t="s">
        <v>215</v>
      </c>
      <c r="U497" s="2" t="s">
        <v>29</v>
      </c>
      <c r="V497" s="2" t="n">
        <v>1</v>
      </c>
    </row>
    <row r="498">
      <c r="A498" s="2" t="n">
        <v>497</v>
      </c>
      <c r="B498" s="2" t="s">
        <v>22274</v>
      </c>
      <c r="C498" s="2" t="n">
        <v>471.296581724</v>
      </c>
      <c r="D498" s="2" t="n">
        <v>4.20714304132757</v>
      </c>
      <c r="E498" s="2" t="s">
        <v>22275</v>
      </c>
      <c r="F498" s="2" t="s">
        <v>17137</v>
      </c>
      <c r="G498" s="2" t="s">
        <v>22276</v>
      </c>
      <c r="H498" s="2" t="s">
        <v>22277</v>
      </c>
      <c r="I498" s="2" t="s">
        <v>22278</v>
      </c>
      <c r="J498" s="2" t="s">
        <v>29</v>
      </c>
      <c r="K498" s="2" t="s">
        <v>29</v>
      </c>
      <c r="L498" s="2" t="s">
        <v>29</v>
      </c>
      <c r="M498" s="2" t="s">
        <v>22279</v>
      </c>
      <c r="N498" s="2" t="s">
        <v>22280</v>
      </c>
      <c r="O498" s="2" t="s">
        <v>22281</v>
      </c>
      <c r="P498" s="2" t="s">
        <v>22282</v>
      </c>
      <c r="Q498" s="2" t="s">
        <v>22283</v>
      </c>
      <c r="R498" s="2" t="s">
        <v>36</v>
      </c>
      <c r="S498" s="2" t="s">
        <v>37</v>
      </c>
      <c r="T498" s="2" t="s">
        <v>69</v>
      </c>
      <c r="U498" s="2" t="s">
        <v>56</v>
      </c>
      <c r="V498" s="2" t="n">
        <v>1</v>
      </c>
    </row>
    <row r="499">
      <c r="A499" s="2" t="n">
        <v>498</v>
      </c>
      <c r="B499" s="2" t="s">
        <v>22284</v>
      </c>
      <c r="C499" s="2" t="n">
        <v>478.337443477</v>
      </c>
      <c r="D499" s="2" t="n">
        <v>6.6660126851809</v>
      </c>
      <c r="E499" s="2" t="s">
        <v>22285</v>
      </c>
      <c r="F499" s="2" t="s">
        <v>17137</v>
      </c>
      <c r="G499" s="2" t="s">
        <v>22286</v>
      </c>
      <c r="H499" s="2" t="s">
        <v>22287</v>
      </c>
      <c r="I499" s="2" t="s">
        <v>22288</v>
      </c>
      <c r="J499" s="2" t="s">
        <v>29</v>
      </c>
      <c r="K499" s="2" t="s">
        <v>29</v>
      </c>
      <c r="L499" s="2" t="s">
        <v>29</v>
      </c>
      <c r="M499" s="2" t="s">
        <v>29</v>
      </c>
      <c r="N499" s="2" t="s">
        <v>29</v>
      </c>
      <c r="O499" s="2" t="s">
        <v>29</v>
      </c>
      <c r="P499" s="2" t="s">
        <v>22289</v>
      </c>
      <c r="Q499" s="2" t="s">
        <v>22290</v>
      </c>
      <c r="R499" s="2" t="s">
        <v>794</v>
      </c>
      <c r="S499" s="2" t="s">
        <v>7781</v>
      </c>
      <c r="T499" s="2" t="s">
        <v>11458</v>
      </c>
      <c r="U499" s="2" t="s">
        <v>29</v>
      </c>
      <c r="V499" s="2" t="n">
        <v>1</v>
      </c>
    </row>
    <row r="500">
      <c r="A500" s="2" t="n">
        <v>499</v>
      </c>
      <c r="B500" s="2" t="s">
        <v>22291</v>
      </c>
      <c r="C500" s="2" t="n">
        <v>479.336715204</v>
      </c>
      <c r="D500" s="2" t="n">
        <v>3.14283432006356</v>
      </c>
      <c r="E500" s="2" t="s">
        <v>22292</v>
      </c>
      <c r="F500" s="2" t="s">
        <v>17137</v>
      </c>
      <c r="G500" s="2" t="s">
        <v>22293</v>
      </c>
      <c r="H500" s="2" t="s">
        <v>22294</v>
      </c>
      <c r="I500" s="2" t="s">
        <v>22295</v>
      </c>
      <c r="J500" s="2" t="s">
        <v>91</v>
      </c>
      <c r="K500" s="2" t="s">
        <v>91</v>
      </c>
      <c r="L500" s="2" t="s">
        <v>91</v>
      </c>
      <c r="M500" s="2" t="s">
        <v>91</v>
      </c>
      <c r="N500" s="2" t="s">
        <v>22296</v>
      </c>
      <c r="O500" s="2" t="s">
        <v>22297</v>
      </c>
      <c r="P500" s="2" t="s">
        <v>22298</v>
      </c>
      <c r="Q500" s="2" t="s">
        <v>22299</v>
      </c>
      <c r="R500" s="2" t="s">
        <v>412</v>
      </c>
      <c r="S500" s="2" t="s">
        <v>6265</v>
      </c>
      <c r="T500" s="2" t="s">
        <v>22300</v>
      </c>
      <c r="U500" s="2" t="s">
        <v>56</v>
      </c>
      <c r="V500" s="2" t="n">
        <v>2</v>
      </c>
    </row>
    <row r="501">
      <c r="A501" s="2" t="n">
        <v>500</v>
      </c>
      <c r="B501" s="2" t="s">
        <v>22301</v>
      </c>
      <c r="C501" s="2" t="n">
        <v>481.14705518</v>
      </c>
      <c r="D501" s="2" t="n">
        <v>0.808286530196591</v>
      </c>
      <c r="E501" s="2" t="s">
        <v>22302</v>
      </c>
      <c r="F501" s="2" t="s">
        <v>17406</v>
      </c>
      <c r="G501" s="2" t="s">
        <v>22303</v>
      </c>
      <c r="H501" s="2" t="s">
        <v>22304</v>
      </c>
      <c r="I501" s="2" t="s">
        <v>22305</v>
      </c>
      <c r="J501" s="2" t="s">
        <v>29</v>
      </c>
      <c r="K501" s="2" t="s">
        <v>29</v>
      </c>
      <c r="L501" s="2" t="s">
        <v>22306</v>
      </c>
      <c r="M501" s="2" t="s">
        <v>29</v>
      </c>
      <c r="N501" s="2" t="s">
        <v>22307</v>
      </c>
      <c r="O501" s="2" t="s">
        <v>29</v>
      </c>
      <c r="P501" s="2" t="s">
        <v>22308</v>
      </c>
      <c r="Q501" s="2" t="s">
        <v>22309</v>
      </c>
      <c r="R501" s="2" t="s">
        <v>129</v>
      </c>
      <c r="S501" s="2" t="s">
        <v>130</v>
      </c>
      <c r="T501" s="2" t="s">
        <v>1681</v>
      </c>
      <c r="U501" s="2" t="s">
        <v>56</v>
      </c>
      <c r="V501" s="2" t="n">
        <v>1</v>
      </c>
    </row>
    <row r="502">
      <c r="A502" s="2" t="n">
        <v>501</v>
      </c>
      <c r="B502" s="2" t="s">
        <v>22310</v>
      </c>
      <c r="C502" s="2" t="n">
        <v>483.080038248</v>
      </c>
      <c r="D502" s="2" t="n">
        <v>6.31901176691953</v>
      </c>
      <c r="E502" s="2" t="s">
        <v>22311</v>
      </c>
      <c r="F502" s="2" t="s">
        <v>17406</v>
      </c>
      <c r="G502" s="2" t="s">
        <v>22312</v>
      </c>
      <c r="H502" s="2" t="s">
        <v>22313</v>
      </c>
      <c r="I502" s="2" t="s">
        <v>22314</v>
      </c>
      <c r="J502" s="2" t="s">
        <v>22315</v>
      </c>
      <c r="K502" s="2" t="s">
        <v>29</v>
      </c>
      <c r="L502" s="2" t="s">
        <v>29</v>
      </c>
      <c r="M502" s="2" t="s">
        <v>29</v>
      </c>
      <c r="N502" s="2" t="s">
        <v>22316</v>
      </c>
      <c r="O502" s="2" t="s">
        <v>22317</v>
      </c>
      <c r="P502" s="2" t="s">
        <v>22318</v>
      </c>
      <c r="Q502" s="2" t="s">
        <v>22319</v>
      </c>
      <c r="R502" s="2" t="s">
        <v>129</v>
      </c>
      <c r="S502" s="2" t="s">
        <v>130</v>
      </c>
      <c r="T502" s="2" t="s">
        <v>1681</v>
      </c>
      <c r="U502" s="2" t="s">
        <v>29</v>
      </c>
      <c r="V502" s="2" t="n">
        <v>1</v>
      </c>
    </row>
    <row r="503">
      <c r="A503" s="2" t="n">
        <v>502</v>
      </c>
      <c r="B503" s="2" t="s">
        <v>22320</v>
      </c>
      <c r="C503" s="2" t="n">
        <v>484.0801296</v>
      </c>
      <c r="D503" s="2" t="n">
        <v>5.91191343002086</v>
      </c>
      <c r="E503" s="2" t="s">
        <v>22321</v>
      </c>
      <c r="F503" s="2" t="s">
        <v>17198</v>
      </c>
      <c r="G503" s="2" t="s">
        <v>22322</v>
      </c>
      <c r="H503" s="2" t="s">
        <v>22323</v>
      </c>
      <c r="I503" s="2" t="s">
        <v>22324</v>
      </c>
      <c r="J503" s="2" t="s">
        <v>29</v>
      </c>
      <c r="K503" s="2" t="s">
        <v>29</v>
      </c>
      <c r="L503" s="2" t="s">
        <v>29</v>
      </c>
      <c r="M503" s="2" t="s">
        <v>29</v>
      </c>
      <c r="N503" s="2" t="s">
        <v>29</v>
      </c>
      <c r="O503" s="2" t="s">
        <v>29</v>
      </c>
      <c r="P503" s="2" t="s">
        <v>22325</v>
      </c>
      <c r="Q503" s="2" t="s">
        <v>22326</v>
      </c>
      <c r="R503" s="2" t="s">
        <v>186</v>
      </c>
      <c r="S503" s="2" t="s">
        <v>187</v>
      </c>
      <c r="T503" s="2" t="s">
        <v>8537</v>
      </c>
      <c r="U503" s="2" t="s">
        <v>29</v>
      </c>
      <c r="V503" s="2" t="n">
        <v>1</v>
      </c>
    </row>
    <row r="504">
      <c r="A504" s="2" t="n">
        <v>503</v>
      </c>
      <c r="B504" s="2" t="s">
        <v>22327</v>
      </c>
      <c r="C504" s="2" t="n">
        <v>485.072211301</v>
      </c>
      <c r="D504" s="2" t="n">
        <v>2.78109444631832</v>
      </c>
      <c r="E504" s="2" t="s">
        <v>22328</v>
      </c>
      <c r="F504" s="2" t="s">
        <v>17198</v>
      </c>
      <c r="G504" s="2" t="s">
        <v>22329</v>
      </c>
      <c r="H504" s="2" t="s">
        <v>22330</v>
      </c>
      <c r="I504" s="2" t="s">
        <v>22331</v>
      </c>
      <c r="J504" s="2" t="s">
        <v>22332</v>
      </c>
      <c r="K504" s="2" t="s">
        <v>29</v>
      </c>
      <c r="L504" s="2" t="s">
        <v>29</v>
      </c>
      <c r="M504" s="2" t="s">
        <v>22333</v>
      </c>
      <c r="N504" s="2" t="s">
        <v>22334</v>
      </c>
      <c r="O504" s="2" t="s">
        <v>22335</v>
      </c>
      <c r="P504" s="2" t="s">
        <v>22336</v>
      </c>
      <c r="Q504" s="2" t="s">
        <v>22337</v>
      </c>
      <c r="R504" s="2" t="s">
        <v>129</v>
      </c>
      <c r="S504" s="2" t="s">
        <v>130</v>
      </c>
      <c r="T504" s="2" t="s">
        <v>1681</v>
      </c>
      <c r="U504" s="2" t="s">
        <v>29</v>
      </c>
      <c r="V504" s="2" t="n">
        <v>1</v>
      </c>
    </row>
    <row r="505">
      <c r="A505" s="2" t="n">
        <v>504</v>
      </c>
      <c r="B505" s="2" t="s">
        <v>22338</v>
      </c>
      <c r="C505" s="2" t="n">
        <v>485.291102416</v>
      </c>
      <c r="D505" s="2" t="n">
        <v>6.40443894927253</v>
      </c>
      <c r="E505" s="2" t="s">
        <v>22339</v>
      </c>
      <c r="F505" s="2" t="s">
        <v>18382</v>
      </c>
      <c r="G505" s="2" t="s">
        <v>22340</v>
      </c>
      <c r="H505" s="2" t="s">
        <v>22341</v>
      </c>
      <c r="I505" s="2" t="s">
        <v>22342</v>
      </c>
      <c r="J505" s="2" t="s">
        <v>29</v>
      </c>
      <c r="K505" s="2" t="s">
        <v>29</v>
      </c>
      <c r="L505" s="2" t="s">
        <v>29</v>
      </c>
      <c r="M505" s="2" t="s">
        <v>29</v>
      </c>
      <c r="N505" s="2" t="s">
        <v>22343</v>
      </c>
      <c r="O505" s="2" t="s">
        <v>29</v>
      </c>
      <c r="P505" s="2" t="s">
        <v>22344</v>
      </c>
      <c r="Q505" s="2" t="s">
        <v>22345</v>
      </c>
      <c r="R505" s="2" t="s">
        <v>114</v>
      </c>
      <c r="S505" s="2" t="s">
        <v>2057</v>
      </c>
      <c r="T505" s="2" t="s">
        <v>5603</v>
      </c>
      <c r="U505" s="2" t="s">
        <v>29</v>
      </c>
      <c r="V505" s="2" t="n">
        <v>1</v>
      </c>
    </row>
    <row r="506">
      <c r="A506" s="2" t="n">
        <v>505</v>
      </c>
      <c r="B506" s="2" t="s">
        <v>22346</v>
      </c>
      <c r="C506" s="2" t="n">
        <v>486.073179202</v>
      </c>
      <c r="D506" s="2" t="n">
        <v>3.17446678058292</v>
      </c>
      <c r="E506" s="2" t="s">
        <v>22347</v>
      </c>
      <c r="F506" s="2" t="s">
        <v>17406</v>
      </c>
      <c r="G506" s="2" t="s">
        <v>22348</v>
      </c>
      <c r="H506" s="2" t="s">
        <v>22349</v>
      </c>
      <c r="I506" s="2" t="s">
        <v>22350</v>
      </c>
      <c r="J506" s="2" t="s">
        <v>22351</v>
      </c>
      <c r="K506" s="2" t="s">
        <v>29</v>
      </c>
      <c r="L506" s="2" t="s">
        <v>29</v>
      </c>
      <c r="M506" s="2" t="s">
        <v>22352</v>
      </c>
      <c r="N506" s="2" t="s">
        <v>22353</v>
      </c>
      <c r="O506" s="2" t="s">
        <v>29</v>
      </c>
      <c r="P506" s="2" t="s">
        <v>22354</v>
      </c>
      <c r="Q506" s="2" t="s">
        <v>22355</v>
      </c>
      <c r="R506" s="2" t="s">
        <v>114</v>
      </c>
      <c r="S506" s="2" t="s">
        <v>5831</v>
      </c>
      <c r="T506" s="2" t="s">
        <v>215</v>
      </c>
      <c r="U506" s="2" t="s">
        <v>29</v>
      </c>
      <c r="V506" s="2" t="n">
        <v>1</v>
      </c>
    </row>
    <row r="507">
      <c r="A507" s="2" t="n">
        <v>506</v>
      </c>
      <c r="B507" s="2" t="s">
        <v>22356</v>
      </c>
      <c r="C507" s="2" t="n">
        <v>486.295493203</v>
      </c>
      <c r="D507" s="2" t="n">
        <v>1.25941656999827</v>
      </c>
      <c r="E507" s="2" t="s">
        <v>22357</v>
      </c>
      <c r="F507" s="2" t="s">
        <v>17198</v>
      </c>
      <c r="G507" s="2" t="s">
        <v>22358</v>
      </c>
      <c r="H507" s="2" t="s">
        <v>22359</v>
      </c>
      <c r="I507" s="2" t="s">
        <v>22360</v>
      </c>
      <c r="J507" s="2" t="s">
        <v>29</v>
      </c>
      <c r="K507" s="2" t="s">
        <v>29</v>
      </c>
      <c r="L507" s="2" t="s">
        <v>29</v>
      </c>
      <c r="M507" s="2" t="s">
        <v>29</v>
      </c>
      <c r="N507" s="2" t="s">
        <v>29</v>
      </c>
      <c r="O507" s="2" t="s">
        <v>22361</v>
      </c>
      <c r="P507" s="2" t="s">
        <v>22362</v>
      </c>
      <c r="Q507" s="2" t="s">
        <v>22363</v>
      </c>
      <c r="R507" s="2" t="s">
        <v>794</v>
      </c>
      <c r="S507" s="2" t="s">
        <v>7122</v>
      </c>
      <c r="T507" s="2" t="s">
        <v>8042</v>
      </c>
      <c r="U507" s="2" t="s">
        <v>39</v>
      </c>
      <c r="V507" s="2" t="n">
        <v>1</v>
      </c>
    </row>
    <row r="508">
      <c r="A508" s="2" t="n">
        <v>507</v>
      </c>
      <c r="B508" s="2" t="s">
        <v>22364</v>
      </c>
      <c r="C508" s="2" t="n">
        <v>489.318657201</v>
      </c>
      <c r="D508" s="2" t="n">
        <v>0.704613962634628</v>
      </c>
      <c r="E508" s="2" t="s">
        <v>22365</v>
      </c>
      <c r="F508" s="2" t="s">
        <v>17198</v>
      </c>
      <c r="G508" s="2" t="s">
        <v>22366</v>
      </c>
      <c r="H508" s="2" t="s">
        <v>22367</v>
      </c>
      <c r="I508" s="2" t="s">
        <v>22368</v>
      </c>
      <c r="J508" s="2" t="s">
        <v>29</v>
      </c>
      <c r="K508" s="2" t="s">
        <v>29</v>
      </c>
      <c r="L508" s="2" t="s">
        <v>29</v>
      </c>
      <c r="M508" s="2" t="s">
        <v>29</v>
      </c>
      <c r="N508" s="2" t="s">
        <v>22369</v>
      </c>
      <c r="O508" s="2" t="s">
        <v>29</v>
      </c>
      <c r="P508" s="2" t="s">
        <v>22370</v>
      </c>
      <c r="Q508" s="2" t="s">
        <v>22371</v>
      </c>
      <c r="R508" s="2" t="s">
        <v>794</v>
      </c>
      <c r="S508" s="2" t="s">
        <v>2971</v>
      </c>
      <c r="T508" s="2" t="s">
        <v>6499</v>
      </c>
      <c r="U508" s="2" t="s">
        <v>56</v>
      </c>
      <c r="V508" s="2" t="n">
        <v>1</v>
      </c>
    </row>
    <row r="509">
      <c r="A509" s="2" t="n">
        <v>508</v>
      </c>
      <c r="B509" s="2" t="s">
        <v>22372</v>
      </c>
      <c r="C509" s="2" t="n">
        <v>496.339726997</v>
      </c>
      <c r="D509" s="2" t="n">
        <v>6.11074695923487</v>
      </c>
      <c r="E509" s="2" t="s">
        <v>22373</v>
      </c>
      <c r="F509" s="2" t="s">
        <v>17198</v>
      </c>
      <c r="G509" s="2" t="s">
        <v>22374</v>
      </c>
      <c r="H509" s="2" t="s">
        <v>22375</v>
      </c>
      <c r="I509" s="2" t="s">
        <v>22376</v>
      </c>
      <c r="J509" s="2" t="s">
        <v>22377</v>
      </c>
      <c r="K509" s="2" t="s">
        <v>22378</v>
      </c>
      <c r="L509" s="2" t="s">
        <v>195</v>
      </c>
      <c r="M509" s="2" t="s">
        <v>22379</v>
      </c>
      <c r="N509" s="2" t="s">
        <v>22380</v>
      </c>
      <c r="O509" s="2" t="s">
        <v>22381</v>
      </c>
      <c r="P509" s="2" t="s">
        <v>22382</v>
      </c>
      <c r="Q509" s="2" t="s">
        <v>22383</v>
      </c>
      <c r="R509" s="2" t="s">
        <v>255</v>
      </c>
      <c r="S509" s="2" t="s">
        <v>8630</v>
      </c>
      <c r="T509" s="2" t="s">
        <v>22384</v>
      </c>
      <c r="U509" s="2" t="s">
        <v>56</v>
      </c>
      <c r="V509" s="2" t="n">
        <v>3</v>
      </c>
    </row>
    <row r="510">
      <c r="A510" s="2" t="n">
        <v>509</v>
      </c>
      <c r="B510" s="2" t="s">
        <v>22385</v>
      </c>
      <c r="C510" s="2" t="n">
        <v>497.238390238</v>
      </c>
      <c r="D510" s="2" t="n">
        <v>3.10580794283254</v>
      </c>
      <c r="E510" s="2" t="s">
        <v>22386</v>
      </c>
      <c r="F510" s="2" t="s">
        <v>17198</v>
      </c>
      <c r="G510" s="2" t="s">
        <v>22387</v>
      </c>
      <c r="H510" s="2" t="s">
        <v>22388</v>
      </c>
      <c r="I510" s="2" t="s">
        <v>22389</v>
      </c>
      <c r="J510" s="2" t="s">
        <v>29</v>
      </c>
      <c r="K510" s="2" t="s">
        <v>29</v>
      </c>
      <c r="L510" s="2" t="s">
        <v>29</v>
      </c>
      <c r="M510" s="2" t="s">
        <v>29</v>
      </c>
      <c r="N510" s="2" t="s">
        <v>22390</v>
      </c>
      <c r="O510" s="2" t="s">
        <v>29</v>
      </c>
      <c r="P510" s="2" t="s">
        <v>22391</v>
      </c>
      <c r="Q510" s="2" t="s">
        <v>22392</v>
      </c>
      <c r="R510" s="2" t="s">
        <v>114</v>
      </c>
      <c r="S510" s="2" t="s">
        <v>22393</v>
      </c>
      <c r="T510" s="2" t="s">
        <v>215</v>
      </c>
      <c r="U510" s="2" t="s">
        <v>29</v>
      </c>
      <c r="V510" s="2" t="n">
        <v>1</v>
      </c>
    </row>
    <row r="511">
      <c r="A511" s="2" t="n">
        <v>510</v>
      </c>
      <c r="B511" s="2" t="s">
        <v>22394</v>
      </c>
      <c r="C511" s="2" t="n">
        <v>497.34786857</v>
      </c>
      <c r="D511" s="2" t="n">
        <v>6.24404285443697</v>
      </c>
      <c r="E511" s="2" t="s">
        <v>22395</v>
      </c>
      <c r="F511" s="2" t="s">
        <v>17039</v>
      </c>
      <c r="G511" s="2" t="s">
        <v>22396</v>
      </c>
      <c r="H511" s="2" t="s">
        <v>22397</v>
      </c>
      <c r="I511" s="2" t="s">
        <v>22398</v>
      </c>
      <c r="J511" s="2" t="s">
        <v>22399</v>
      </c>
      <c r="K511" s="2" t="s">
        <v>29</v>
      </c>
      <c r="L511" s="2" t="s">
        <v>29</v>
      </c>
      <c r="M511" s="2" t="s">
        <v>29</v>
      </c>
      <c r="N511" s="2" t="s">
        <v>22400</v>
      </c>
      <c r="O511" s="2" t="s">
        <v>29</v>
      </c>
      <c r="P511" s="2" t="s">
        <v>22401</v>
      </c>
      <c r="Q511" s="2" t="s">
        <v>22402</v>
      </c>
      <c r="R511" s="2" t="s">
        <v>36</v>
      </c>
      <c r="S511" s="2" t="s">
        <v>37</v>
      </c>
      <c r="T511" s="2" t="s">
        <v>7272</v>
      </c>
      <c r="U511" s="2" t="s">
        <v>29</v>
      </c>
      <c r="V511" s="2" t="n">
        <v>1</v>
      </c>
    </row>
    <row r="512">
      <c r="A512" s="2" t="n">
        <v>511</v>
      </c>
      <c r="B512" s="2" t="s">
        <v>22403</v>
      </c>
      <c r="C512" s="2" t="n">
        <v>503.107122358</v>
      </c>
      <c r="D512" s="2" t="n">
        <v>1.72598360297184</v>
      </c>
      <c r="E512" s="2" t="s">
        <v>22404</v>
      </c>
      <c r="F512" s="2" t="s">
        <v>17406</v>
      </c>
      <c r="G512" s="2" t="s">
        <v>22405</v>
      </c>
      <c r="H512" s="2" t="s">
        <v>22406</v>
      </c>
      <c r="I512" s="2" t="s">
        <v>22407</v>
      </c>
      <c r="J512" s="2" t="s">
        <v>22408</v>
      </c>
      <c r="K512" s="2" t="s">
        <v>29</v>
      </c>
      <c r="L512" s="2" t="s">
        <v>29</v>
      </c>
      <c r="M512" s="2" t="s">
        <v>29</v>
      </c>
      <c r="N512" s="2" t="s">
        <v>22409</v>
      </c>
      <c r="O512" s="2" t="s">
        <v>29</v>
      </c>
      <c r="P512" s="2" t="s">
        <v>22410</v>
      </c>
      <c r="Q512" s="2" t="s">
        <v>22411</v>
      </c>
      <c r="R512" s="2" t="s">
        <v>114</v>
      </c>
      <c r="S512" s="2" t="s">
        <v>4262</v>
      </c>
      <c r="T512" s="2" t="s">
        <v>215</v>
      </c>
      <c r="U512" s="2" t="s">
        <v>29</v>
      </c>
      <c r="V512" s="2" t="n">
        <v>1</v>
      </c>
    </row>
    <row r="513">
      <c r="A513" s="2" t="n">
        <v>512</v>
      </c>
      <c r="B513" s="2" t="s">
        <v>22412</v>
      </c>
      <c r="C513" s="2" t="n">
        <v>503.32858878</v>
      </c>
      <c r="D513" s="2" t="n">
        <v>8.16354481769501</v>
      </c>
      <c r="E513" s="2" t="s">
        <v>22413</v>
      </c>
      <c r="F513" s="2" t="s">
        <v>17227</v>
      </c>
      <c r="G513" s="2" t="s">
        <v>22414</v>
      </c>
      <c r="H513" s="2" t="s">
        <v>22415</v>
      </c>
      <c r="I513" s="2" t="s">
        <v>22416</v>
      </c>
      <c r="J513" s="2" t="s">
        <v>22417</v>
      </c>
      <c r="K513" s="2" t="s">
        <v>29</v>
      </c>
      <c r="L513" s="2" t="s">
        <v>29</v>
      </c>
      <c r="M513" s="2" t="s">
        <v>29</v>
      </c>
      <c r="N513" s="2" t="s">
        <v>22418</v>
      </c>
      <c r="O513" s="2" t="s">
        <v>22419</v>
      </c>
      <c r="P513" s="2" t="s">
        <v>22420</v>
      </c>
      <c r="Q513" s="2" t="s">
        <v>22421</v>
      </c>
      <c r="R513" s="2" t="s">
        <v>794</v>
      </c>
      <c r="S513" s="2" t="s">
        <v>1098</v>
      </c>
      <c r="T513" s="2" t="s">
        <v>3079</v>
      </c>
      <c r="U513" s="2" t="s">
        <v>56</v>
      </c>
      <c r="V513" s="2" t="n">
        <v>1</v>
      </c>
    </row>
    <row r="514">
      <c r="A514" s="2" t="n">
        <v>513</v>
      </c>
      <c r="B514" s="2" t="s">
        <v>22422</v>
      </c>
      <c r="C514" s="2" t="n">
        <v>506.360617191</v>
      </c>
      <c r="D514" s="2" t="n">
        <v>6.23127363529784</v>
      </c>
      <c r="E514" s="2" t="s">
        <v>22423</v>
      </c>
      <c r="F514" s="2" t="s">
        <v>17406</v>
      </c>
      <c r="G514" s="2" t="s">
        <v>22424</v>
      </c>
      <c r="H514" s="2" t="s">
        <v>22425</v>
      </c>
      <c r="I514" s="2" t="s">
        <v>22426</v>
      </c>
      <c r="J514" s="2" t="s">
        <v>29</v>
      </c>
      <c r="K514" s="2" t="s">
        <v>29</v>
      </c>
      <c r="L514" s="2" t="s">
        <v>29</v>
      </c>
      <c r="M514" s="2" t="s">
        <v>29</v>
      </c>
      <c r="N514" s="2" t="s">
        <v>22427</v>
      </c>
      <c r="O514" s="2" t="s">
        <v>29</v>
      </c>
      <c r="P514" s="2" t="s">
        <v>22428</v>
      </c>
      <c r="Q514" s="2" t="s">
        <v>22429</v>
      </c>
      <c r="R514" s="2" t="s">
        <v>36</v>
      </c>
      <c r="S514" s="2" t="s">
        <v>37</v>
      </c>
      <c r="T514" s="2" t="s">
        <v>69</v>
      </c>
      <c r="U514" s="2" t="s">
        <v>29</v>
      </c>
      <c r="V514" s="2" t="n">
        <v>1</v>
      </c>
    </row>
    <row r="515">
      <c r="A515" s="2" t="n">
        <v>514</v>
      </c>
      <c r="B515" s="2" t="s">
        <v>22430</v>
      </c>
      <c r="C515" s="2" t="n">
        <v>507.368015332</v>
      </c>
      <c r="D515" s="2" t="n">
        <v>5.50825021531436</v>
      </c>
      <c r="E515" s="2" t="s">
        <v>22431</v>
      </c>
      <c r="F515" s="2" t="s">
        <v>17137</v>
      </c>
      <c r="G515" s="2" t="s">
        <v>22432</v>
      </c>
      <c r="H515" s="2" t="s">
        <v>13236</v>
      </c>
      <c r="I515" s="2" t="s">
        <v>22433</v>
      </c>
      <c r="J515" s="2" t="s">
        <v>22434</v>
      </c>
      <c r="K515" s="2" t="s">
        <v>29</v>
      </c>
      <c r="L515" s="2" t="s">
        <v>29</v>
      </c>
      <c r="M515" s="2" t="s">
        <v>22435</v>
      </c>
      <c r="N515" s="2" t="s">
        <v>22436</v>
      </c>
      <c r="O515" s="2" t="s">
        <v>22437</v>
      </c>
      <c r="P515" s="2" t="s">
        <v>22438</v>
      </c>
      <c r="Q515" s="2" t="s">
        <v>22439</v>
      </c>
      <c r="R515" s="2" t="s">
        <v>794</v>
      </c>
      <c r="S515" s="2" t="s">
        <v>1098</v>
      </c>
      <c r="T515" s="2" t="s">
        <v>7646</v>
      </c>
      <c r="U515" s="2" t="s">
        <v>56</v>
      </c>
      <c r="V515" s="2" t="n">
        <v>1</v>
      </c>
    </row>
    <row r="516">
      <c r="A516" s="2" t="n">
        <v>515</v>
      </c>
      <c r="B516" s="2" t="s">
        <v>22440</v>
      </c>
      <c r="C516" s="2" t="n">
        <v>517.32898271</v>
      </c>
      <c r="D516" s="2" t="n">
        <v>2.86543113673071</v>
      </c>
      <c r="E516" s="2" t="s">
        <v>22441</v>
      </c>
      <c r="F516" s="2" t="s">
        <v>17406</v>
      </c>
      <c r="G516" s="2" t="s">
        <v>22442</v>
      </c>
      <c r="H516" s="2" t="s">
        <v>22443</v>
      </c>
      <c r="I516" s="2" t="s">
        <v>22444</v>
      </c>
      <c r="J516" s="2" t="s">
        <v>195</v>
      </c>
      <c r="K516" s="2" t="s">
        <v>195</v>
      </c>
      <c r="L516" s="2" t="s">
        <v>195</v>
      </c>
      <c r="M516" s="2" t="s">
        <v>195</v>
      </c>
      <c r="N516" s="2" t="s">
        <v>22445</v>
      </c>
      <c r="O516" s="2" t="s">
        <v>195</v>
      </c>
      <c r="P516" s="2" t="s">
        <v>22446</v>
      </c>
      <c r="Q516" s="2" t="s">
        <v>22447</v>
      </c>
      <c r="R516" s="2" t="s">
        <v>255</v>
      </c>
      <c r="S516" s="2" t="s">
        <v>6877</v>
      </c>
      <c r="T516" s="2" t="s">
        <v>22448</v>
      </c>
      <c r="U516" s="2" t="s">
        <v>29</v>
      </c>
      <c r="V516" s="2" t="n">
        <v>3</v>
      </c>
    </row>
    <row r="517">
      <c r="A517" s="2" t="n">
        <v>516</v>
      </c>
      <c r="B517" s="2" t="s">
        <v>22449</v>
      </c>
      <c r="C517" s="2" t="n">
        <v>518.324115407</v>
      </c>
      <c r="D517" s="2" t="n">
        <v>0.545053387677597</v>
      </c>
      <c r="E517" s="2" t="s">
        <v>22450</v>
      </c>
      <c r="F517" s="2" t="s">
        <v>17137</v>
      </c>
      <c r="G517" s="2" t="s">
        <v>22451</v>
      </c>
      <c r="H517" s="2" t="s">
        <v>22452</v>
      </c>
      <c r="I517" s="2" t="s">
        <v>22453</v>
      </c>
      <c r="J517" s="2" t="s">
        <v>22454</v>
      </c>
      <c r="K517" s="2" t="s">
        <v>22455</v>
      </c>
      <c r="L517" s="2" t="s">
        <v>8454</v>
      </c>
      <c r="M517" s="2" t="s">
        <v>22456</v>
      </c>
      <c r="N517" s="2" t="s">
        <v>22457</v>
      </c>
      <c r="O517" s="2" t="s">
        <v>29</v>
      </c>
      <c r="P517" s="2" t="s">
        <v>22458</v>
      </c>
      <c r="Q517" s="2" t="s">
        <v>22459</v>
      </c>
      <c r="R517" s="2" t="s">
        <v>794</v>
      </c>
      <c r="S517" s="2" t="s">
        <v>7122</v>
      </c>
      <c r="T517" s="2" t="s">
        <v>8460</v>
      </c>
      <c r="U517" s="2" t="s">
        <v>39</v>
      </c>
      <c r="V517" s="2" t="n">
        <v>1</v>
      </c>
    </row>
    <row r="518">
      <c r="A518" s="2" t="n">
        <v>517</v>
      </c>
      <c r="B518" s="2" t="s">
        <v>22460</v>
      </c>
      <c r="C518" s="2" t="n">
        <v>520.138162249</v>
      </c>
      <c r="D518" s="2" t="n">
        <v>5.76688040926388</v>
      </c>
      <c r="E518" s="2" t="s">
        <v>22461</v>
      </c>
      <c r="F518" s="2" t="s">
        <v>17406</v>
      </c>
      <c r="G518" s="2" t="s">
        <v>22462</v>
      </c>
      <c r="H518" s="2" t="s">
        <v>22463</v>
      </c>
      <c r="I518" s="2" t="s">
        <v>22464</v>
      </c>
      <c r="J518" s="2" t="s">
        <v>29</v>
      </c>
      <c r="K518" s="2" t="s">
        <v>29</v>
      </c>
      <c r="L518" s="2" t="s">
        <v>29</v>
      </c>
      <c r="M518" s="2" t="s">
        <v>22465</v>
      </c>
      <c r="N518" s="2" t="s">
        <v>22466</v>
      </c>
      <c r="O518" s="2" t="s">
        <v>22467</v>
      </c>
      <c r="P518" s="2" t="s">
        <v>22468</v>
      </c>
      <c r="Q518" s="2" t="s">
        <v>22469</v>
      </c>
      <c r="R518" s="2" t="s">
        <v>114</v>
      </c>
      <c r="S518" s="2" t="s">
        <v>6312</v>
      </c>
      <c r="T518" s="2" t="s">
        <v>6313</v>
      </c>
      <c r="U518" s="2" t="s">
        <v>56</v>
      </c>
      <c r="V518" s="2" t="n">
        <v>1</v>
      </c>
    </row>
    <row r="519">
      <c r="A519" s="2" t="n">
        <v>518</v>
      </c>
      <c r="B519" s="2" t="s">
        <v>22470</v>
      </c>
      <c r="C519" s="2" t="n">
        <v>521.135177778</v>
      </c>
      <c r="D519" s="2" t="n">
        <v>0.0882274590966821</v>
      </c>
      <c r="E519" s="2" t="s">
        <v>22471</v>
      </c>
      <c r="F519" s="2" t="s">
        <v>17520</v>
      </c>
      <c r="G519" s="2" t="s">
        <v>22472</v>
      </c>
      <c r="H519" s="2" t="s">
        <v>22473</v>
      </c>
      <c r="I519" s="2" t="s">
        <v>22474</v>
      </c>
      <c r="J519" s="2" t="s">
        <v>29</v>
      </c>
      <c r="K519" s="2" t="s">
        <v>29</v>
      </c>
      <c r="L519" s="2" t="s">
        <v>29</v>
      </c>
      <c r="M519" s="2" t="s">
        <v>29</v>
      </c>
      <c r="N519" s="2" t="s">
        <v>22475</v>
      </c>
      <c r="O519" s="2" t="s">
        <v>29</v>
      </c>
      <c r="P519" s="2" t="s">
        <v>22476</v>
      </c>
      <c r="Q519" s="2" t="s">
        <v>22477</v>
      </c>
      <c r="R519" s="2" t="s">
        <v>114</v>
      </c>
      <c r="S519" s="2" t="s">
        <v>1289</v>
      </c>
      <c r="T519" s="2" t="s">
        <v>215</v>
      </c>
      <c r="U519" s="2" t="s">
        <v>29</v>
      </c>
      <c r="V519" s="2" t="n">
        <v>1</v>
      </c>
    </row>
    <row r="520">
      <c r="A520" s="2" t="n">
        <v>519</v>
      </c>
      <c r="B520" s="2" t="s">
        <v>22478</v>
      </c>
      <c r="C520" s="2" t="n">
        <v>522.358373682</v>
      </c>
      <c r="D520" s="2" t="n">
        <v>2.50533278514495</v>
      </c>
      <c r="E520" s="2" t="s">
        <v>22479</v>
      </c>
      <c r="F520" s="2" t="s">
        <v>17039</v>
      </c>
      <c r="G520" s="2" t="s">
        <v>22480</v>
      </c>
      <c r="H520" s="2" t="s">
        <v>22481</v>
      </c>
      <c r="I520" s="2" t="s">
        <v>22482</v>
      </c>
      <c r="J520" s="2" t="s">
        <v>91</v>
      </c>
      <c r="K520" s="2" t="s">
        <v>91</v>
      </c>
      <c r="L520" s="2" t="s">
        <v>91</v>
      </c>
      <c r="M520" s="2" t="s">
        <v>91</v>
      </c>
      <c r="N520" s="2" t="s">
        <v>22483</v>
      </c>
      <c r="O520" s="2" t="s">
        <v>91</v>
      </c>
      <c r="P520" s="2" t="s">
        <v>22484</v>
      </c>
      <c r="Q520" s="2" t="s">
        <v>22485</v>
      </c>
      <c r="R520" s="2" t="s">
        <v>412</v>
      </c>
      <c r="S520" s="2" t="s">
        <v>6265</v>
      </c>
      <c r="T520" s="2" t="s">
        <v>8313</v>
      </c>
      <c r="U520" s="2" t="s">
        <v>29</v>
      </c>
      <c r="V520" s="2" t="n">
        <v>2</v>
      </c>
    </row>
    <row r="521">
      <c r="A521" s="2" t="n">
        <v>520</v>
      </c>
      <c r="B521" s="2" t="s">
        <v>22486</v>
      </c>
      <c r="C521" s="2" t="n">
        <v>524.371027126</v>
      </c>
      <c r="D521" s="2" t="n">
        <v>9.45379365114513</v>
      </c>
      <c r="E521" s="2" t="s">
        <v>22487</v>
      </c>
      <c r="F521" s="2" t="s">
        <v>17198</v>
      </c>
      <c r="G521" s="2" t="s">
        <v>22488</v>
      </c>
      <c r="H521" s="2" t="s">
        <v>22489</v>
      </c>
      <c r="I521" s="2" t="s">
        <v>22490</v>
      </c>
      <c r="J521" s="2" t="s">
        <v>29</v>
      </c>
      <c r="K521" s="2" t="s">
        <v>29</v>
      </c>
      <c r="L521" s="2" t="s">
        <v>29</v>
      </c>
      <c r="M521" s="2" t="s">
        <v>29</v>
      </c>
      <c r="N521" s="2" t="s">
        <v>29</v>
      </c>
      <c r="O521" s="2" t="s">
        <v>29</v>
      </c>
      <c r="P521" s="2" t="s">
        <v>22491</v>
      </c>
      <c r="Q521" s="2" t="s">
        <v>22492</v>
      </c>
      <c r="R521" s="2" t="s">
        <v>794</v>
      </c>
      <c r="S521" s="2" t="s">
        <v>795</v>
      </c>
      <c r="T521" s="2" t="s">
        <v>1870</v>
      </c>
      <c r="U521" s="2" t="s">
        <v>29</v>
      </c>
      <c r="V521" s="2" t="n">
        <v>1</v>
      </c>
    </row>
    <row r="522">
      <c r="A522" s="2" t="n">
        <v>521</v>
      </c>
      <c r="B522" s="2" t="s">
        <v>22493</v>
      </c>
      <c r="C522" s="2" t="n">
        <v>533.345026699</v>
      </c>
      <c r="D522" s="2" t="n">
        <v>5.91626572798426</v>
      </c>
      <c r="E522" s="2" t="s">
        <v>22494</v>
      </c>
      <c r="F522" s="2" t="s">
        <v>17406</v>
      </c>
      <c r="G522" s="2" t="s">
        <v>22495</v>
      </c>
      <c r="H522" s="2" t="s">
        <v>22496</v>
      </c>
      <c r="I522" s="2" t="s">
        <v>22497</v>
      </c>
      <c r="J522" s="2" t="s">
        <v>22498</v>
      </c>
      <c r="K522" s="2" t="s">
        <v>29</v>
      </c>
      <c r="L522" s="2" t="s">
        <v>29</v>
      </c>
      <c r="M522" s="2" t="s">
        <v>29</v>
      </c>
      <c r="N522" s="2" t="s">
        <v>22499</v>
      </c>
      <c r="O522" s="2" t="s">
        <v>29</v>
      </c>
      <c r="P522" s="2" t="s">
        <v>22500</v>
      </c>
      <c r="Q522" s="2" t="s">
        <v>22501</v>
      </c>
      <c r="R522" s="2" t="s">
        <v>129</v>
      </c>
      <c r="S522" s="2" t="s">
        <v>130</v>
      </c>
      <c r="T522" s="2" t="s">
        <v>4901</v>
      </c>
      <c r="U522" s="2" t="s">
        <v>29</v>
      </c>
      <c r="V522" s="2" t="n">
        <v>1</v>
      </c>
    </row>
    <row r="523">
      <c r="A523" s="2" t="n">
        <v>522</v>
      </c>
      <c r="B523" s="2" t="s">
        <v>22502</v>
      </c>
      <c r="C523" s="2" t="n">
        <v>535.300637678</v>
      </c>
      <c r="D523" s="2" t="n">
        <v>0.766451492910337</v>
      </c>
      <c r="E523" s="2" t="s">
        <v>22503</v>
      </c>
      <c r="F523" s="2" t="s">
        <v>17198</v>
      </c>
      <c r="G523" s="2" t="s">
        <v>22504</v>
      </c>
      <c r="H523" s="2" t="s">
        <v>22505</v>
      </c>
      <c r="I523" s="2" t="s">
        <v>22506</v>
      </c>
      <c r="J523" s="2" t="s">
        <v>29</v>
      </c>
      <c r="K523" s="2" t="s">
        <v>29</v>
      </c>
      <c r="L523" s="2" t="s">
        <v>29</v>
      </c>
      <c r="M523" s="2" t="s">
        <v>29</v>
      </c>
      <c r="N523" s="2" t="s">
        <v>22507</v>
      </c>
      <c r="O523" s="2" t="s">
        <v>29</v>
      </c>
      <c r="P523" s="2" t="s">
        <v>22508</v>
      </c>
      <c r="Q523" s="2" t="s">
        <v>22509</v>
      </c>
      <c r="R523" s="2" t="s">
        <v>794</v>
      </c>
      <c r="S523" s="2" t="s">
        <v>7122</v>
      </c>
      <c r="T523" s="2" t="s">
        <v>9951</v>
      </c>
      <c r="U523" s="2" t="s">
        <v>39</v>
      </c>
      <c r="V523" s="2" t="n">
        <v>1</v>
      </c>
    </row>
    <row r="524">
      <c r="A524" s="2" t="n">
        <v>523</v>
      </c>
      <c r="B524" s="2" t="s">
        <v>22510</v>
      </c>
      <c r="C524" s="2" t="n">
        <v>536.170271988</v>
      </c>
      <c r="D524" s="2" t="n">
        <v>1.55497292598393</v>
      </c>
      <c r="E524" s="2" t="s">
        <v>22511</v>
      </c>
      <c r="F524" s="2" t="s">
        <v>17970</v>
      </c>
      <c r="G524" s="2" t="s">
        <v>22512</v>
      </c>
      <c r="H524" s="2" t="s">
        <v>22513</v>
      </c>
      <c r="I524" s="2" t="s">
        <v>22514</v>
      </c>
      <c r="J524" s="2" t="s">
        <v>29</v>
      </c>
      <c r="K524" s="2" t="s">
        <v>29</v>
      </c>
      <c r="L524" s="2" t="s">
        <v>29</v>
      </c>
      <c r="M524" s="2" t="s">
        <v>29</v>
      </c>
      <c r="N524" s="2" t="s">
        <v>29</v>
      </c>
      <c r="O524" s="2" t="s">
        <v>29</v>
      </c>
      <c r="P524" s="2" t="s">
        <v>22515</v>
      </c>
      <c r="Q524" s="2" t="s">
        <v>22516</v>
      </c>
      <c r="R524" s="2" t="s">
        <v>114</v>
      </c>
      <c r="S524" s="2" t="s">
        <v>172</v>
      </c>
      <c r="T524" s="2" t="s">
        <v>173</v>
      </c>
      <c r="U524" s="2" t="s">
        <v>29</v>
      </c>
      <c r="V524" s="2" t="n">
        <v>1</v>
      </c>
    </row>
    <row r="525">
      <c r="A525" s="2" t="n">
        <v>524</v>
      </c>
      <c r="B525" s="2" t="s">
        <v>22517</v>
      </c>
      <c r="C525" s="2" t="n">
        <v>536.298410857</v>
      </c>
      <c r="D525" s="2" t="n">
        <v>0.579973528558251</v>
      </c>
      <c r="E525" s="2" t="s">
        <v>22518</v>
      </c>
      <c r="F525" s="2" t="s">
        <v>17406</v>
      </c>
      <c r="G525" s="2" t="s">
        <v>22519</v>
      </c>
      <c r="H525" s="2" t="s">
        <v>22520</v>
      </c>
      <c r="I525" s="2" t="s">
        <v>22521</v>
      </c>
      <c r="J525" s="2" t="s">
        <v>195</v>
      </c>
      <c r="K525" s="2" t="s">
        <v>195</v>
      </c>
      <c r="L525" s="2" t="s">
        <v>195</v>
      </c>
      <c r="M525" s="2" t="s">
        <v>195</v>
      </c>
      <c r="N525" s="2" t="s">
        <v>195</v>
      </c>
      <c r="O525" s="2" t="s">
        <v>195</v>
      </c>
      <c r="P525" s="2" t="s">
        <v>22522</v>
      </c>
      <c r="Q525" s="2" t="s">
        <v>22523</v>
      </c>
      <c r="R525" s="2" t="s">
        <v>255</v>
      </c>
      <c r="S525" s="2" t="s">
        <v>256</v>
      </c>
      <c r="T525" s="2" t="s">
        <v>22524</v>
      </c>
      <c r="U525" s="2" t="s">
        <v>29</v>
      </c>
      <c r="V525" s="2" t="n">
        <v>3</v>
      </c>
    </row>
    <row r="526">
      <c r="A526" s="2" t="n">
        <v>525</v>
      </c>
      <c r="B526" s="2" t="s">
        <v>22525</v>
      </c>
      <c r="C526" s="2" t="n">
        <v>540.248697279</v>
      </c>
      <c r="D526" s="2" t="n">
        <v>0.215201924256434</v>
      </c>
      <c r="E526" s="2" t="s">
        <v>22526</v>
      </c>
      <c r="F526" s="2" t="s">
        <v>17406</v>
      </c>
      <c r="G526" s="2" t="s">
        <v>22527</v>
      </c>
      <c r="H526" s="2" t="s">
        <v>22528</v>
      </c>
      <c r="I526" s="2" t="s">
        <v>22529</v>
      </c>
      <c r="J526" s="2" t="s">
        <v>22530</v>
      </c>
      <c r="K526" s="2" t="s">
        <v>22531</v>
      </c>
      <c r="L526" s="2" t="s">
        <v>29</v>
      </c>
      <c r="M526" s="2" t="s">
        <v>22532</v>
      </c>
      <c r="N526" s="2" t="s">
        <v>22533</v>
      </c>
      <c r="O526" s="2" t="s">
        <v>29</v>
      </c>
      <c r="P526" s="2" t="s">
        <v>22534</v>
      </c>
      <c r="Q526" s="2" t="s">
        <v>22535</v>
      </c>
      <c r="R526" s="2" t="s">
        <v>794</v>
      </c>
      <c r="S526" s="2" t="s">
        <v>7122</v>
      </c>
      <c r="T526" s="2" t="s">
        <v>8042</v>
      </c>
      <c r="U526" s="2" t="s">
        <v>39</v>
      </c>
      <c r="V526" s="2" t="n">
        <v>1</v>
      </c>
    </row>
    <row r="527">
      <c r="A527" s="2" t="n">
        <v>526</v>
      </c>
      <c r="B527" s="2" t="s">
        <v>22536</v>
      </c>
      <c r="C527" s="2" t="n">
        <v>541.261930186</v>
      </c>
      <c r="D527" s="2" t="n">
        <v>4.44000125969721</v>
      </c>
      <c r="E527" s="2" t="s">
        <v>22537</v>
      </c>
      <c r="F527" s="2" t="s">
        <v>17198</v>
      </c>
      <c r="G527" s="2" t="s">
        <v>22538</v>
      </c>
      <c r="H527" s="2" t="s">
        <v>22539</v>
      </c>
      <c r="I527" s="2" t="s">
        <v>22540</v>
      </c>
      <c r="J527" s="2" t="s">
        <v>22541</v>
      </c>
      <c r="K527" s="2" t="s">
        <v>29</v>
      </c>
      <c r="L527" s="2" t="s">
        <v>29</v>
      </c>
      <c r="M527" s="2" t="s">
        <v>22542</v>
      </c>
      <c r="N527" s="2" t="s">
        <v>22543</v>
      </c>
      <c r="O527" s="2" t="s">
        <v>22544</v>
      </c>
      <c r="P527" s="2" t="s">
        <v>22545</v>
      </c>
      <c r="Q527" s="2" t="s">
        <v>22546</v>
      </c>
      <c r="R527" s="2" t="s">
        <v>794</v>
      </c>
      <c r="S527" s="2" t="s">
        <v>795</v>
      </c>
      <c r="T527" s="2" t="s">
        <v>8424</v>
      </c>
      <c r="U527" s="2" t="s">
        <v>56</v>
      </c>
      <c r="V527" s="2" t="n">
        <v>1</v>
      </c>
    </row>
    <row r="528">
      <c r="A528" s="2" t="n">
        <v>527</v>
      </c>
      <c r="B528" s="2" t="s">
        <v>22547</v>
      </c>
      <c r="C528" s="2" t="n">
        <v>542.324115407</v>
      </c>
      <c r="D528" s="2" t="n">
        <v>4.17430518996263</v>
      </c>
      <c r="E528" s="2" t="s">
        <v>22548</v>
      </c>
      <c r="F528" s="2" t="s">
        <v>17137</v>
      </c>
      <c r="G528" s="2" t="s">
        <v>22549</v>
      </c>
      <c r="H528" s="2" t="s">
        <v>22550</v>
      </c>
      <c r="I528" s="2" t="s">
        <v>22551</v>
      </c>
      <c r="J528" s="2" t="s">
        <v>22552</v>
      </c>
      <c r="K528" s="2" t="s">
        <v>22553</v>
      </c>
      <c r="L528" s="2" t="s">
        <v>8454</v>
      </c>
      <c r="M528" s="2" t="s">
        <v>29</v>
      </c>
      <c r="N528" s="2" t="s">
        <v>22554</v>
      </c>
      <c r="O528" s="2" t="s">
        <v>29</v>
      </c>
      <c r="P528" s="2" t="s">
        <v>22555</v>
      </c>
      <c r="Q528" s="2" t="s">
        <v>22556</v>
      </c>
      <c r="R528" s="2" t="s">
        <v>794</v>
      </c>
      <c r="S528" s="2" t="s">
        <v>7122</v>
      </c>
      <c r="T528" s="2" t="s">
        <v>8460</v>
      </c>
      <c r="U528" s="2" t="s">
        <v>39</v>
      </c>
      <c r="V528" s="2" t="n">
        <v>1</v>
      </c>
    </row>
    <row r="529">
      <c r="A529" s="2" t="n">
        <v>528</v>
      </c>
      <c r="B529" s="2" t="s">
        <v>22557</v>
      </c>
      <c r="C529" s="2" t="n">
        <v>543.125146</v>
      </c>
      <c r="D529" s="2" t="n">
        <v>0.533352258488493</v>
      </c>
      <c r="E529" s="2" t="s">
        <v>22558</v>
      </c>
      <c r="F529" s="2" t="s">
        <v>17137</v>
      </c>
      <c r="G529" s="2" t="s">
        <v>22559</v>
      </c>
      <c r="H529" s="2" t="s">
        <v>22560</v>
      </c>
      <c r="I529" s="2" t="s">
        <v>22561</v>
      </c>
      <c r="J529" s="2" t="s">
        <v>22562</v>
      </c>
      <c r="K529" s="2" t="s">
        <v>29</v>
      </c>
      <c r="L529" s="2" t="s">
        <v>29</v>
      </c>
      <c r="M529" s="2" t="s">
        <v>29</v>
      </c>
      <c r="N529" s="2" t="s">
        <v>22563</v>
      </c>
      <c r="O529" s="2" t="s">
        <v>29</v>
      </c>
      <c r="P529" s="2" t="s">
        <v>22564</v>
      </c>
      <c r="Q529" s="2" t="s">
        <v>22565</v>
      </c>
      <c r="R529" s="2" t="s">
        <v>114</v>
      </c>
      <c r="S529" s="2" t="s">
        <v>1038</v>
      </c>
      <c r="T529" s="2" t="s">
        <v>1039</v>
      </c>
      <c r="U529" s="2" t="s">
        <v>29</v>
      </c>
      <c r="V529" s="2" t="n">
        <v>1</v>
      </c>
    </row>
    <row r="530">
      <c r="A530" s="2" t="n">
        <v>529</v>
      </c>
      <c r="B530" s="2" t="s">
        <v>22566</v>
      </c>
      <c r="C530" s="2" t="n">
        <v>544.337357535</v>
      </c>
      <c r="D530" s="2" t="n">
        <v>7.21459909764251</v>
      </c>
      <c r="E530" s="2" t="s">
        <v>22567</v>
      </c>
      <c r="F530" s="2" t="s">
        <v>17198</v>
      </c>
      <c r="G530" s="2" t="s">
        <v>22568</v>
      </c>
      <c r="H530" s="2" t="s">
        <v>22569</v>
      </c>
      <c r="I530" s="2" t="s">
        <v>22570</v>
      </c>
      <c r="J530" s="2" t="s">
        <v>22571</v>
      </c>
      <c r="K530" s="2" t="s">
        <v>22572</v>
      </c>
      <c r="L530" s="2" t="s">
        <v>29</v>
      </c>
      <c r="M530" s="2" t="s">
        <v>22573</v>
      </c>
      <c r="N530" s="2" t="s">
        <v>22574</v>
      </c>
      <c r="O530" s="2" t="s">
        <v>22575</v>
      </c>
      <c r="P530" s="2" t="s">
        <v>22576</v>
      </c>
      <c r="Q530" s="2" t="s">
        <v>22577</v>
      </c>
      <c r="R530" s="2" t="s">
        <v>794</v>
      </c>
      <c r="S530" s="2" t="s">
        <v>7122</v>
      </c>
      <c r="T530" s="2" t="s">
        <v>8460</v>
      </c>
      <c r="U530" s="2" t="s">
        <v>39</v>
      </c>
      <c r="V530" s="2" t="n">
        <v>1</v>
      </c>
    </row>
    <row r="531">
      <c r="A531" s="2" t="n">
        <v>530</v>
      </c>
      <c r="B531" s="2" t="s">
        <v>22578</v>
      </c>
      <c r="C531" s="2" t="n">
        <v>545.335287244</v>
      </c>
      <c r="D531" s="2" t="n">
        <v>1.07583145762468</v>
      </c>
      <c r="E531" s="2" t="s">
        <v>22579</v>
      </c>
      <c r="F531" s="2" t="s">
        <v>17039</v>
      </c>
      <c r="G531" s="2" t="s">
        <v>22580</v>
      </c>
      <c r="H531" s="2" t="s">
        <v>22581</v>
      </c>
      <c r="I531" s="2" t="s">
        <v>22582</v>
      </c>
      <c r="J531" s="2" t="s">
        <v>29</v>
      </c>
      <c r="K531" s="2" t="s">
        <v>29</v>
      </c>
      <c r="L531" s="2" t="s">
        <v>29</v>
      </c>
      <c r="M531" s="2" t="s">
        <v>29</v>
      </c>
      <c r="N531" s="2" t="s">
        <v>22583</v>
      </c>
      <c r="O531" s="2" t="s">
        <v>29</v>
      </c>
      <c r="P531" s="2" t="s">
        <v>22584</v>
      </c>
      <c r="Q531" s="2" t="s">
        <v>22585</v>
      </c>
      <c r="R531" s="2" t="s">
        <v>2416</v>
      </c>
      <c r="S531" s="2" t="s">
        <v>15524</v>
      </c>
      <c r="T531" s="2" t="s">
        <v>215</v>
      </c>
      <c r="U531" s="2" t="s">
        <v>29</v>
      </c>
      <c r="V531" s="2" t="n">
        <v>1</v>
      </c>
    </row>
    <row r="532">
      <c r="A532" s="2" t="n">
        <v>531</v>
      </c>
      <c r="B532" s="2" t="s">
        <v>22586</v>
      </c>
      <c r="C532" s="2" t="n">
        <v>546.353007599</v>
      </c>
      <c r="D532" s="2" t="n">
        <v>2.1408973310863</v>
      </c>
      <c r="E532" s="2" t="s">
        <v>22587</v>
      </c>
      <c r="F532" s="2" t="s">
        <v>17198</v>
      </c>
      <c r="G532" s="2" t="s">
        <v>22588</v>
      </c>
      <c r="H532" s="2" t="s">
        <v>22589</v>
      </c>
      <c r="I532" s="2" t="s">
        <v>22590</v>
      </c>
      <c r="J532" s="2" t="s">
        <v>22591</v>
      </c>
      <c r="K532" s="2" t="s">
        <v>22592</v>
      </c>
      <c r="L532" s="2" t="s">
        <v>8454</v>
      </c>
      <c r="M532" s="2" t="s">
        <v>22593</v>
      </c>
      <c r="N532" s="2" t="s">
        <v>22594</v>
      </c>
      <c r="O532" s="2" t="s">
        <v>22595</v>
      </c>
      <c r="P532" s="2" t="s">
        <v>22596</v>
      </c>
      <c r="Q532" s="2" t="s">
        <v>22597</v>
      </c>
      <c r="R532" s="2" t="s">
        <v>794</v>
      </c>
      <c r="S532" s="2" t="s">
        <v>7122</v>
      </c>
      <c r="T532" s="2" t="s">
        <v>8460</v>
      </c>
      <c r="U532" s="2" t="s">
        <v>39</v>
      </c>
      <c r="V532" s="2" t="n">
        <v>1</v>
      </c>
    </row>
    <row r="533">
      <c r="A533" s="2" t="n">
        <v>532</v>
      </c>
      <c r="B533" s="2" t="s">
        <v>22598</v>
      </c>
      <c r="C533" s="2" t="n">
        <v>547.356657007</v>
      </c>
      <c r="D533" s="2" t="n">
        <v>0.262396687840277</v>
      </c>
      <c r="E533" s="2" t="s">
        <v>22599</v>
      </c>
      <c r="F533" s="2" t="s">
        <v>17137</v>
      </c>
      <c r="G533" s="2" t="s">
        <v>22600</v>
      </c>
      <c r="H533" s="2" t="s">
        <v>22601</v>
      </c>
      <c r="I533" s="2" t="s">
        <v>22602</v>
      </c>
      <c r="J533" s="2" t="s">
        <v>29</v>
      </c>
      <c r="K533" s="2" t="s">
        <v>29</v>
      </c>
      <c r="L533" s="2" t="s">
        <v>29</v>
      </c>
      <c r="M533" s="2" t="s">
        <v>29</v>
      </c>
      <c r="N533" s="2" t="s">
        <v>29</v>
      </c>
      <c r="O533" s="2" t="s">
        <v>29</v>
      </c>
      <c r="P533" s="2" t="s">
        <v>22603</v>
      </c>
      <c r="Q533" s="2" t="s">
        <v>22604</v>
      </c>
      <c r="R533" s="2" t="s">
        <v>114</v>
      </c>
      <c r="S533" s="2" t="s">
        <v>1254</v>
      </c>
      <c r="T533" s="2" t="s">
        <v>1255</v>
      </c>
      <c r="U533" s="2" t="s">
        <v>29</v>
      </c>
      <c r="V533" s="2" t="n">
        <v>1</v>
      </c>
    </row>
    <row r="534">
      <c r="A534" s="2" t="n">
        <v>533</v>
      </c>
      <c r="B534" s="2" t="s">
        <v>22605</v>
      </c>
      <c r="C534" s="2" t="n">
        <v>551.214668</v>
      </c>
      <c r="D534" s="2" t="n">
        <v>0.517838866730713</v>
      </c>
      <c r="E534" s="2" t="s">
        <v>22606</v>
      </c>
      <c r="F534" s="2" t="s">
        <v>17406</v>
      </c>
      <c r="G534" s="2" t="s">
        <v>22607</v>
      </c>
      <c r="H534" s="2" t="s">
        <v>22608</v>
      </c>
      <c r="I534" s="2" t="s">
        <v>22609</v>
      </c>
      <c r="J534" s="2" t="s">
        <v>195</v>
      </c>
      <c r="K534" s="2" t="s">
        <v>195</v>
      </c>
      <c r="L534" s="2" t="s">
        <v>195</v>
      </c>
      <c r="M534" s="2" t="s">
        <v>195</v>
      </c>
      <c r="N534" s="2" t="s">
        <v>22610</v>
      </c>
      <c r="O534" s="2" t="s">
        <v>195</v>
      </c>
      <c r="P534" s="2" t="s">
        <v>22611</v>
      </c>
      <c r="Q534" s="2" t="s">
        <v>22612</v>
      </c>
      <c r="R534" s="2" t="s">
        <v>255</v>
      </c>
      <c r="S534" s="2" t="s">
        <v>6877</v>
      </c>
      <c r="T534" s="2" t="s">
        <v>22613</v>
      </c>
      <c r="U534" s="2" t="s">
        <v>29</v>
      </c>
      <c r="V534" s="2" t="n">
        <v>3</v>
      </c>
    </row>
    <row r="535">
      <c r="A535" s="2" t="n">
        <v>534</v>
      </c>
      <c r="B535" s="2" t="s">
        <v>22614</v>
      </c>
      <c r="C535" s="2" t="n">
        <v>552.212260217</v>
      </c>
      <c r="D535" s="2" t="n">
        <v>0.0902399939685446</v>
      </c>
      <c r="E535" s="2" t="s">
        <v>22615</v>
      </c>
      <c r="F535" s="2" t="s">
        <v>17137</v>
      </c>
      <c r="G535" s="2" t="s">
        <v>22616</v>
      </c>
      <c r="H535" s="2" t="s">
        <v>22617</v>
      </c>
      <c r="I535" s="2" t="s">
        <v>22618</v>
      </c>
      <c r="J535" s="2" t="s">
        <v>29</v>
      </c>
      <c r="K535" s="2" t="s">
        <v>29</v>
      </c>
      <c r="L535" s="2" t="s">
        <v>29</v>
      </c>
      <c r="M535" s="2" t="s">
        <v>29</v>
      </c>
      <c r="N535" s="2" t="s">
        <v>29</v>
      </c>
      <c r="O535" s="2" t="s">
        <v>29</v>
      </c>
      <c r="P535" s="2" t="s">
        <v>22619</v>
      </c>
      <c r="Q535" s="2" t="s">
        <v>22620</v>
      </c>
      <c r="R535" s="2" t="s">
        <v>36</v>
      </c>
      <c r="S535" s="2" t="s">
        <v>37</v>
      </c>
      <c r="T535" s="2" t="s">
        <v>7272</v>
      </c>
      <c r="U535" s="2" t="s">
        <v>29</v>
      </c>
      <c r="V535" s="2" t="n">
        <v>1</v>
      </c>
    </row>
    <row r="536">
      <c r="A536" s="2" t="n">
        <v>535</v>
      </c>
      <c r="B536" s="2" t="s">
        <v>22621</v>
      </c>
      <c r="C536" s="2" t="n">
        <v>556.28244778</v>
      </c>
      <c r="D536" s="2" t="n">
        <v>3.60931060545426</v>
      </c>
      <c r="E536" s="2" t="s">
        <v>22622</v>
      </c>
      <c r="F536" s="2" t="s">
        <v>17137</v>
      </c>
      <c r="G536" s="2" t="s">
        <v>22623</v>
      </c>
      <c r="H536" s="2" t="s">
        <v>22624</v>
      </c>
      <c r="I536" s="2" t="s">
        <v>22625</v>
      </c>
      <c r="J536" s="2" t="s">
        <v>29</v>
      </c>
      <c r="K536" s="2" t="s">
        <v>29</v>
      </c>
      <c r="L536" s="2" t="s">
        <v>29</v>
      </c>
      <c r="M536" s="2" t="s">
        <v>29</v>
      </c>
      <c r="N536" s="2" t="s">
        <v>22626</v>
      </c>
      <c r="O536" s="2" t="s">
        <v>29</v>
      </c>
      <c r="P536" s="2" t="s">
        <v>22627</v>
      </c>
      <c r="Q536" s="2" t="s">
        <v>22628</v>
      </c>
      <c r="R536" s="2" t="s">
        <v>129</v>
      </c>
      <c r="S536" s="2" t="s">
        <v>130</v>
      </c>
      <c r="T536" s="2" t="s">
        <v>1681</v>
      </c>
      <c r="U536" s="2" t="s">
        <v>29</v>
      </c>
      <c r="V536" s="2" t="n">
        <v>1</v>
      </c>
    </row>
    <row r="537">
      <c r="A537" s="2" t="n">
        <v>536</v>
      </c>
      <c r="B537" s="2" t="s">
        <v>22629</v>
      </c>
      <c r="C537" s="2" t="n">
        <v>557.099590808</v>
      </c>
      <c r="D537" s="2" t="n">
        <v>1.7895186556053</v>
      </c>
      <c r="E537" s="2" t="s">
        <v>22630</v>
      </c>
      <c r="F537" s="2" t="s">
        <v>17198</v>
      </c>
      <c r="G537" s="2" t="s">
        <v>22631</v>
      </c>
      <c r="H537" s="2" t="s">
        <v>22632</v>
      </c>
      <c r="I537" s="2" t="s">
        <v>22633</v>
      </c>
      <c r="J537" s="2" t="s">
        <v>29</v>
      </c>
      <c r="K537" s="2" t="s">
        <v>29</v>
      </c>
      <c r="L537" s="2" t="s">
        <v>29</v>
      </c>
      <c r="M537" s="2" t="s">
        <v>29</v>
      </c>
      <c r="N537" s="2" t="s">
        <v>22634</v>
      </c>
      <c r="O537" s="2" t="s">
        <v>29</v>
      </c>
      <c r="P537" s="2" t="s">
        <v>22635</v>
      </c>
      <c r="Q537" s="2" t="s">
        <v>22636</v>
      </c>
      <c r="R537" s="2" t="s">
        <v>114</v>
      </c>
      <c r="S537" s="2" t="s">
        <v>5441</v>
      </c>
      <c r="T537" s="2" t="s">
        <v>5442</v>
      </c>
      <c r="U537" s="2" t="s">
        <v>29</v>
      </c>
      <c r="V537" s="2" t="n">
        <v>1</v>
      </c>
    </row>
    <row r="538">
      <c r="A538" s="2" t="n">
        <v>537</v>
      </c>
      <c r="B538" s="2" t="s">
        <v>22637</v>
      </c>
      <c r="C538" s="2" t="n">
        <v>558.103086436</v>
      </c>
      <c r="D538" s="2" t="n">
        <v>6.44198936913902</v>
      </c>
      <c r="E538" s="2" t="s">
        <v>22638</v>
      </c>
      <c r="F538" s="2" t="s">
        <v>17137</v>
      </c>
      <c r="G538" s="2" t="s">
        <v>22639</v>
      </c>
      <c r="H538" s="2" t="s">
        <v>22640</v>
      </c>
      <c r="I538" s="2" t="s">
        <v>22641</v>
      </c>
      <c r="J538" s="2" t="s">
        <v>29</v>
      </c>
      <c r="K538" s="2" t="s">
        <v>29</v>
      </c>
      <c r="L538" s="2" t="s">
        <v>29</v>
      </c>
      <c r="M538" s="2" t="s">
        <v>29</v>
      </c>
      <c r="N538" s="2" t="s">
        <v>22642</v>
      </c>
      <c r="O538" s="2" t="s">
        <v>29</v>
      </c>
      <c r="P538" s="2" t="s">
        <v>22643</v>
      </c>
      <c r="Q538" s="2" t="s">
        <v>22644</v>
      </c>
      <c r="R538" s="2" t="s">
        <v>114</v>
      </c>
      <c r="S538" s="2" t="s">
        <v>6312</v>
      </c>
      <c r="T538" s="2" t="s">
        <v>6313</v>
      </c>
      <c r="U538" s="2" t="s">
        <v>29</v>
      </c>
      <c r="V538" s="2" t="n">
        <v>1</v>
      </c>
    </row>
    <row r="539">
      <c r="A539" s="2" t="n">
        <v>538</v>
      </c>
      <c r="B539" s="2" t="s">
        <v>22645</v>
      </c>
      <c r="C539" s="2" t="n">
        <v>559.096081638</v>
      </c>
      <c r="D539" s="2" t="n">
        <v>1.38496730910562</v>
      </c>
      <c r="E539" s="2" t="s">
        <v>22646</v>
      </c>
      <c r="F539" s="2" t="s">
        <v>17892</v>
      </c>
      <c r="G539" s="2" t="s">
        <v>22647</v>
      </c>
      <c r="H539" s="2" t="s">
        <v>22648</v>
      </c>
      <c r="I539" s="2" t="s">
        <v>22649</v>
      </c>
      <c r="J539" s="2" t="s">
        <v>22650</v>
      </c>
      <c r="K539" s="2" t="s">
        <v>29</v>
      </c>
      <c r="L539" s="2" t="s">
        <v>29</v>
      </c>
      <c r="M539" s="2" t="s">
        <v>29</v>
      </c>
      <c r="N539" s="2" t="s">
        <v>22651</v>
      </c>
      <c r="O539" s="2" t="s">
        <v>29</v>
      </c>
      <c r="P539" s="2" t="s">
        <v>22652</v>
      </c>
      <c r="Q539" s="2" t="s">
        <v>22653</v>
      </c>
      <c r="R539" s="2" t="s">
        <v>36</v>
      </c>
      <c r="S539" s="2" t="s">
        <v>19943</v>
      </c>
      <c r="T539" s="2" t="s">
        <v>19944</v>
      </c>
      <c r="U539" s="2" t="s">
        <v>29</v>
      </c>
      <c r="V539" s="2" t="n">
        <v>1</v>
      </c>
    </row>
    <row r="540">
      <c r="A540" s="2" t="n">
        <v>539</v>
      </c>
      <c r="B540" s="2" t="s">
        <v>22654</v>
      </c>
      <c r="C540" s="2" t="n">
        <v>559.29629904</v>
      </c>
      <c r="D540" s="2" t="n">
        <v>0.807215106030885</v>
      </c>
      <c r="E540" s="2" t="s">
        <v>22655</v>
      </c>
      <c r="F540" s="2" t="s">
        <v>17892</v>
      </c>
      <c r="G540" s="2" t="s">
        <v>22656</v>
      </c>
      <c r="H540" s="2" t="s">
        <v>22657</v>
      </c>
      <c r="I540" s="2" t="s">
        <v>22658</v>
      </c>
      <c r="J540" s="2" t="s">
        <v>22659</v>
      </c>
      <c r="K540" s="2" t="s">
        <v>29</v>
      </c>
      <c r="L540" s="2" t="s">
        <v>22660</v>
      </c>
      <c r="M540" s="2" t="s">
        <v>22661</v>
      </c>
      <c r="N540" s="2" t="s">
        <v>22662</v>
      </c>
      <c r="O540" s="2" t="s">
        <v>22663</v>
      </c>
      <c r="P540" s="2" t="s">
        <v>22664</v>
      </c>
      <c r="Q540" s="2" t="s">
        <v>22665</v>
      </c>
      <c r="R540" s="2" t="s">
        <v>36</v>
      </c>
      <c r="S540" s="2" t="s">
        <v>37</v>
      </c>
      <c r="T540" s="2" t="s">
        <v>69</v>
      </c>
      <c r="U540" s="2" t="s">
        <v>56</v>
      </c>
      <c r="V540" s="2" t="n">
        <v>1</v>
      </c>
    </row>
    <row r="541">
      <c r="A541" s="2" t="n">
        <v>540</v>
      </c>
      <c r="B541" s="2" t="s">
        <v>22666</v>
      </c>
      <c r="C541" s="2" t="n">
        <v>560.096013134</v>
      </c>
      <c r="D541" s="2" t="n">
        <v>0.129731484376757</v>
      </c>
      <c r="E541" s="2" t="s">
        <v>22667</v>
      </c>
      <c r="F541" s="2" t="s">
        <v>17520</v>
      </c>
      <c r="G541" s="2" t="s">
        <v>22668</v>
      </c>
      <c r="H541" s="2" t="s">
        <v>22669</v>
      </c>
      <c r="I541" s="2" t="s">
        <v>22670</v>
      </c>
      <c r="J541" s="2" t="s">
        <v>29</v>
      </c>
      <c r="K541" s="2" t="s">
        <v>29</v>
      </c>
      <c r="L541" s="2" t="s">
        <v>29</v>
      </c>
      <c r="M541" s="2" t="s">
        <v>29</v>
      </c>
      <c r="N541" s="2" t="s">
        <v>22671</v>
      </c>
      <c r="O541" s="2" t="s">
        <v>29</v>
      </c>
      <c r="P541" s="2" t="s">
        <v>22672</v>
      </c>
      <c r="Q541" s="2" t="s">
        <v>22673</v>
      </c>
      <c r="R541" s="2" t="s">
        <v>114</v>
      </c>
      <c r="S541" s="2" t="s">
        <v>22674</v>
      </c>
      <c r="T541" s="2" t="s">
        <v>22675</v>
      </c>
      <c r="U541" s="2" t="s">
        <v>29</v>
      </c>
      <c r="V541" s="2" t="n">
        <v>1</v>
      </c>
    </row>
    <row r="542">
      <c r="A542" s="2" t="n">
        <v>541</v>
      </c>
      <c r="B542" s="2" t="s">
        <v>22676</v>
      </c>
      <c r="C542" s="2" t="n">
        <v>560.312486117</v>
      </c>
      <c r="D542" s="2" t="n">
        <v>3.6873270638391</v>
      </c>
      <c r="E542" s="2" t="s">
        <v>22677</v>
      </c>
      <c r="F542" s="2" t="s">
        <v>17039</v>
      </c>
      <c r="G542" s="2" t="s">
        <v>22678</v>
      </c>
      <c r="H542" s="2" t="s">
        <v>22679</v>
      </c>
      <c r="I542" s="2" t="s">
        <v>22680</v>
      </c>
      <c r="J542" s="2" t="s">
        <v>29</v>
      </c>
      <c r="K542" s="2" t="s">
        <v>29</v>
      </c>
      <c r="L542" s="2" t="s">
        <v>29</v>
      </c>
      <c r="M542" s="2" t="s">
        <v>29</v>
      </c>
      <c r="N542" s="2" t="s">
        <v>22681</v>
      </c>
      <c r="O542" s="2" t="s">
        <v>29</v>
      </c>
      <c r="P542" s="2" t="s">
        <v>22682</v>
      </c>
      <c r="Q542" s="2" t="s">
        <v>22683</v>
      </c>
      <c r="R542" s="2" t="s">
        <v>114</v>
      </c>
      <c r="S542" s="2" t="s">
        <v>4121</v>
      </c>
      <c r="T542" s="2" t="s">
        <v>7480</v>
      </c>
      <c r="U542" s="2" t="s">
        <v>29</v>
      </c>
      <c r="V542" s="2" t="n">
        <v>1</v>
      </c>
    </row>
    <row r="543">
      <c r="A543" s="2" t="n">
        <v>542</v>
      </c>
      <c r="B543" s="2" t="s">
        <v>22684</v>
      </c>
      <c r="C543" s="2" t="n">
        <v>561.100344148</v>
      </c>
      <c r="D543" s="2" t="n">
        <v>9.97599814401108</v>
      </c>
      <c r="E543" s="2" t="s">
        <v>22685</v>
      </c>
      <c r="F543" s="2" t="s">
        <v>17198</v>
      </c>
      <c r="G543" s="2" t="s">
        <v>22686</v>
      </c>
      <c r="H543" s="2" t="s">
        <v>22687</v>
      </c>
      <c r="I543" s="2" t="s">
        <v>22688</v>
      </c>
      <c r="J543" s="2" t="s">
        <v>22689</v>
      </c>
      <c r="K543" s="2" t="s">
        <v>195</v>
      </c>
      <c r="L543" s="2" t="s">
        <v>195</v>
      </c>
      <c r="M543" s="2" t="s">
        <v>195</v>
      </c>
      <c r="N543" s="2" t="s">
        <v>22690</v>
      </c>
      <c r="O543" s="2" t="s">
        <v>22691</v>
      </c>
      <c r="P543" s="2" t="s">
        <v>22692</v>
      </c>
      <c r="Q543" s="2" t="s">
        <v>22693</v>
      </c>
      <c r="R543" s="2" t="s">
        <v>3885</v>
      </c>
      <c r="S543" s="2" t="s">
        <v>22694</v>
      </c>
      <c r="T543" s="2" t="s">
        <v>22695</v>
      </c>
      <c r="U543" s="2" t="s">
        <v>29</v>
      </c>
      <c r="V543" s="2" t="n">
        <v>3</v>
      </c>
    </row>
    <row r="544">
      <c r="A544" s="2" t="n">
        <v>543</v>
      </c>
      <c r="B544" s="2" t="s">
        <v>22696</v>
      </c>
      <c r="C544" s="2" t="n">
        <v>561.31435704</v>
      </c>
      <c r="D544" s="2" t="n">
        <v>2.35833416521866</v>
      </c>
      <c r="E544" s="2" t="s">
        <v>22697</v>
      </c>
      <c r="F544" s="2" t="s">
        <v>18382</v>
      </c>
      <c r="G544" s="2" t="s">
        <v>22698</v>
      </c>
      <c r="H544" s="2" t="s">
        <v>22699</v>
      </c>
      <c r="I544" s="2" t="s">
        <v>22700</v>
      </c>
      <c r="J544" s="2" t="s">
        <v>22701</v>
      </c>
      <c r="K544" s="2" t="s">
        <v>91</v>
      </c>
      <c r="L544" s="2" t="s">
        <v>91</v>
      </c>
      <c r="M544" s="2" t="s">
        <v>22702</v>
      </c>
      <c r="N544" s="2" t="s">
        <v>22703</v>
      </c>
      <c r="O544" s="2" t="s">
        <v>91</v>
      </c>
      <c r="P544" s="2" t="s">
        <v>22704</v>
      </c>
      <c r="Q544" s="2" t="s">
        <v>22705</v>
      </c>
      <c r="R544" s="2" t="s">
        <v>541</v>
      </c>
      <c r="S544" s="2" t="s">
        <v>6196</v>
      </c>
      <c r="T544" s="2" t="s">
        <v>6197</v>
      </c>
      <c r="U544" s="2" t="s">
        <v>29</v>
      </c>
      <c r="V544" s="2" t="n">
        <v>2</v>
      </c>
    </row>
    <row r="545">
      <c r="A545" s="2" t="n">
        <v>544</v>
      </c>
      <c r="B545" s="2" t="s">
        <v>22706</v>
      </c>
      <c r="C545" s="2" t="n">
        <v>562.096370066</v>
      </c>
      <c r="D545" s="2" t="n">
        <v>5.70319526177475</v>
      </c>
      <c r="E545" s="2" t="s">
        <v>22707</v>
      </c>
      <c r="F545" s="2" t="s">
        <v>17406</v>
      </c>
      <c r="G545" s="2" t="s">
        <v>22708</v>
      </c>
      <c r="H545" s="2" t="s">
        <v>22709</v>
      </c>
      <c r="I545" s="2" t="s">
        <v>22710</v>
      </c>
      <c r="J545" s="2" t="s">
        <v>29</v>
      </c>
      <c r="K545" s="2" t="s">
        <v>29</v>
      </c>
      <c r="L545" s="2" t="s">
        <v>29</v>
      </c>
      <c r="M545" s="2" t="s">
        <v>29</v>
      </c>
      <c r="N545" s="2" t="s">
        <v>22711</v>
      </c>
      <c r="O545" s="2" t="s">
        <v>29</v>
      </c>
      <c r="P545" s="2" t="s">
        <v>22712</v>
      </c>
      <c r="Q545" s="2" t="s">
        <v>22713</v>
      </c>
      <c r="R545" s="2" t="s">
        <v>129</v>
      </c>
      <c r="S545" s="2" t="s">
        <v>130</v>
      </c>
      <c r="T545" s="2" t="s">
        <v>1681</v>
      </c>
      <c r="U545" s="2" t="s">
        <v>29</v>
      </c>
      <c r="V545" s="2" t="n">
        <v>1</v>
      </c>
    </row>
    <row r="546">
      <c r="A546" s="2" t="n">
        <v>545</v>
      </c>
      <c r="B546" s="2" t="s">
        <v>22714</v>
      </c>
      <c r="C546" s="2" t="n">
        <v>563.334307266</v>
      </c>
      <c r="D546" s="2" t="n">
        <v>3.80911408351264</v>
      </c>
      <c r="E546" s="2" t="s">
        <v>22715</v>
      </c>
      <c r="F546" s="2" t="s">
        <v>17198</v>
      </c>
      <c r="G546" s="2" t="s">
        <v>22716</v>
      </c>
      <c r="H546" s="2" t="s">
        <v>22717</v>
      </c>
      <c r="I546" s="2" t="s">
        <v>22718</v>
      </c>
      <c r="J546" s="2" t="s">
        <v>29</v>
      </c>
      <c r="K546" s="2" t="s">
        <v>29</v>
      </c>
      <c r="L546" s="2" t="s">
        <v>29</v>
      </c>
      <c r="M546" s="2" t="s">
        <v>29</v>
      </c>
      <c r="N546" s="2" t="s">
        <v>22719</v>
      </c>
      <c r="O546" s="2" t="s">
        <v>29</v>
      </c>
      <c r="P546" s="2" t="s">
        <v>22720</v>
      </c>
      <c r="Q546" s="2" t="s">
        <v>22721</v>
      </c>
      <c r="R546" s="2" t="s">
        <v>794</v>
      </c>
      <c r="S546" s="2" t="s">
        <v>795</v>
      </c>
      <c r="T546" s="2" t="s">
        <v>796</v>
      </c>
      <c r="U546" s="2" t="s">
        <v>29</v>
      </c>
      <c r="V546" s="2" t="n">
        <v>1</v>
      </c>
    </row>
    <row r="547">
      <c r="A547" s="2" t="n">
        <v>546</v>
      </c>
      <c r="B547" s="2" t="s">
        <v>22722</v>
      </c>
      <c r="C547" s="2" t="n">
        <v>564.336766873</v>
      </c>
      <c r="D547" s="2" t="n">
        <v>2.36349771754938</v>
      </c>
      <c r="E547" s="2" t="s">
        <v>22723</v>
      </c>
      <c r="F547" s="2" t="s">
        <v>17198</v>
      </c>
      <c r="G547" s="2" t="s">
        <v>22724</v>
      </c>
      <c r="H547" s="2" t="s">
        <v>22725</v>
      </c>
      <c r="I547" s="2" t="s">
        <v>22726</v>
      </c>
      <c r="J547" s="2" t="s">
        <v>29</v>
      </c>
      <c r="K547" s="2" t="s">
        <v>29</v>
      </c>
      <c r="L547" s="2" t="s">
        <v>29</v>
      </c>
      <c r="M547" s="2" t="s">
        <v>29</v>
      </c>
      <c r="N547" s="2" t="s">
        <v>29</v>
      </c>
      <c r="O547" s="2" t="s">
        <v>29</v>
      </c>
      <c r="P547" s="2" t="s">
        <v>22727</v>
      </c>
      <c r="Q547" s="2" t="s">
        <v>22728</v>
      </c>
      <c r="R547" s="2" t="s">
        <v>36</v>
      </c>
      <c r="S547" s="2" t="s">
        <v>37</v>
      </c>
      <c r="T547" s="2" t="s">
        <v>69</v>
      </c>
      <c r="U547" s="2" t="s">
        <v>29</v>
      </c>
      <c r="V547" s="2" t="n">
        <v>1</v>
      </c>
    </row>
    <row r="548">
      <c r="A548" s="2" t="n">
        <v>547</v>
      </c>
      <c r="B548" s="2" t="s">
        <v>22729</v>
      </c>
      <c r="C548" s="2" t="n">
        <v>566.324231683</v>
      </c>
      <c r="D548" s="2" t="n">
        <v>0.12913958927456</v>
      </c>
      <c r="E548" s="2" t="s">
        <v>22730</v>
      </c>
      <c r="F548" s="2" t="s">
        <v>17406</v>
      </c>
      <c r="G548" s="2" t="s">
        <v>22731</v>
      </c>
      <c r="H548" s="2" t="s">
        <v>22732</v>
      </c>
      <c r="I548" s="2" t="s">
        <v>22733</v>
      </c>
      <c r="J548" s="2" t="s">
        <v>29</v>
      </c>
      <c r="K548" s="2" t="s">
        <v>29</v>
      </c>
      <c r="L548" s="2" t="s">
        <v>29</v>
      </c>
      <c r="M548" s="2" t="s">
        <v>29</v>
      </c>
      <c r="N548" s="2" t="s">
        <v>22734</v>
      </c>
      <c r="O548" s="2" t="s">
        <v>22735</v>
      </c>
      <c r="P548" s="2" t="s">
        <v>22736</v>
      </c>
      <c r="Q548" s="2" t="s">
        <v>22737</v>
      </c>
      <c r="R548" s="2" t="s">
        <v>3003</v>
      </c>
      <c r="S548" s="2" t="s">
        <v>22738</v>
      </c>
      <c r="T548" s="2" t="s">
        <v>215</v>
      </c>
      <c r="U548" s="2" t="s">
        <v>56</v>
      </c>
      <c r="V548" s="2" t="n">
        <v>1</v>
      </c>
    </row>
    <row r="549">
      <c r="A549" s="2" t="n">
        <v>548</v>
      </c>
      <c r="B549" s="2" t="s">
        <v>22739</v>
      </c>
      <c r="C549" s="2" t="n">
        <v>567.32922189</v>
      </c>
      <c r="D549" s="2" t="n">
        <v>6.51608017554989</v>
      </c>
      <c r="E549" s="2" t="s">
        <v>22740</v>
      </c>
      <c r="F549" s="2" t="s">
        <v>17198</v>
      </c>
      <c r="G549" s="2" t="s">
        <v>22741</v>
      </c>
      <c r="H549" s="2" t="s">
        <v>22742</v>
      </c>
      <c r="I549" s="2" t="s">
        <v>22743</v>
      </c>
      <c r="J549" s="2" t="s">
        <v>22744</v>
      </c>
      <c r="K549" s="2" t="s">
        <v>29</v>
      </c>
      <c r="L549" s="2" t="s">
        <v>29</v>
      </c>
      <c r="M549" s="2" t="s">
        <v>22745</v>
      </c>
      <c r="N549" s="2" t="s">
        <v>22746</v>
      </c>
      <c r="O549" s="2" t="s">
        <v>22747</v>
      </c>
      <c r="P549" s="2" t="s">
        <v>22748</v>
      </c>
      <c r="Q549" s="2" t="s">
        <v>22749</v>
      </c>
      <c r="R549" s="2" t="s">
        <v>794</v>
      </c>
      <c r="S549" s="2" t="s">
        <v>1098</v>
      </c>
      <c r="T549" s="2" t="s">
        <v>3308</v>
      </c>
      <c r="U549" s="2" t="s">
        <v>56</v>
      </c>
      <c r="V549" s="2" t="n">
        <v>1</v>
      </c>
    </row>
    <row r="550">
      <c r="A550" s="2" t="n">
        <v>549</v>
      </c>
      <c r="B550" s="2" t="s">
        <v>22750</v>
      </c>
      <c r="C550" s="2" t="n">
        <v>568.339881746</v>
      </c>
      <c r="D550" s="2" t="n">
        <v>6.52706445927757</v>
      </c>
      <c r="E550" s="2" t="s">
        <v>22751</v>
      </c>
      <c r="F550" s="2" t="s">
        <v>17406</v>
      </c>
      <c r="G550" s="2" t="s">
        <v>22752</v>
      </c>
      <c r="H550" s="2" t="s">
        <v>22753</v>
      </c>
      <c r="I550" s="2" t="s">
        <v>22754</v>
      </c>
      <c r="J550" s="2" t="s">
        <v>29</v>
      </c>
      <c r="K550" s="2" t="s">
        <v>29</v>
      </c>
      <c r="L550" s="2" t="s">
        <v>29</v>
      </c>
      <c r="M550" s="2" t="s">
        <v>29</v>
      </c>
      <c r="N550" s="2" t="s">
        <v>29</v>
      </c>
      <c r="O550" s="2" t="s">
        <v>29</v>
      </c>
      <c r="P550" s="2" t="s">
        <v>22755</v>
      </c>
      <c r="Q550" s="2" t="s">
        <v>22756</v>
      </c>
      <c r="R550" s="2" t="s">
        <v>794</v>
      </c>
      <c r="S550" s="2" t="s">
        <v>2971</v>
      </c>
      <c r="T550" s="2" t="s">
        <v>7371</v>
      </c>
      <c r="U550" s="2" t="s">
        <v>29</v>
      </c>
      <c r="V550" s="2" t="n">
        <v>1</v>
      </c>
    </row>
    <row r="551">
      <c r="A551" s="2" t="n">
        <v>550</v>
      </c>
      <c r="B551" s="2" t="s">
        <v>22757</v>
      </c>
      <c r="C551" s="2" t="n">
        <v>569.348554528</v>
      </c>
      <c r="D551" s="2" t="n">
        <v>0.0561721917235338</v>
      </c>
      <c r="E551" s="2" t="s">
        <v>22758</v>
      </c>
      <c r="F551" s="2" t="s">
        <v>17039</v>
      </c>
      <c r="G551" s="2" t="s">
        <v>22759</v>
      </c>
      <c r="H551" s="2" t="s">
        <v>22760</v>
      </c>
      <c r="I551" s="2" t="s">
        <v>22761</v>
      </c>
      <c r="J551" s="2" t="s">
        <v>29</v>
      </c>
      <c r="K551" s="2" t="s">
        <v>29</v>
      </c>
      <c r="L551" s="2" t="s">
        <v>29</v>
      </c>
      <c r="M551" s="2" t="s">
        <v>29</v>
      </c>
      <c r="N551" s="2" t="s">
        <v>22762</v>
      </c>
      <c r="O551" s="2" t="s">
        <v>29</v>
      </c>
      <c r="P551" s="2" t="s">
        <v>22763</v>
      </c>
      <c r="Q551" s="2" t="s">
        <v>22764</v>
      </c>
      <c r="R551" s="2" t="s">
        <v>36</v>
      </c>
      <c r="S551" s="2" t="s">
        <v>37</v>
      </c>
      <c r="T551" s="2" t="s">
        <v>69</v>
      </c>
      <c r="U551" s="2" t="s">
        <v>29</v>
      </c>
      <c r="V551" s="2" t="n">
        <v>1</v>
      </c>
    </row>
    <row r="552">
      <c r="A552" s="2" t="n">
        <v>551</v>
      </c>
      <c r="B552" s="2" t="s">
        <v>22765</v>
      </c>
      <c r="C552" s="2" t="n">
        <v>571.14808219</v>
      </c>
      <c r="D552" s="2" t="n">
        <v>0.300929345173588</v>
      </c>
      <c r="E552" s="2" t="s">
        <v>22766</v>
      </c>
      <c r="F552" s="2" t="s">
        <v>17198</v>
      </c>
      <c r="G552" s="2" t="s">
        <v>22767</v>
      </c>
      <c r="H552" s="2" t="s">
        <v>22768</v>
      </c>
      <c r="I552" s="2" t="s">
        <v>22769</v>
      </c>
      <c r="J552" s="2" t="s">
        <v>29</v>
      </c>
      <c r="K552" s="2" t="s">
        <v>29</v>
      </c>
      <c r="L552" s="2" t="s">
        <v>29</v>
      </c>
      <c r="M552" s="2" t="s">
        <v>29</v>
      </c>
      <c r="N552" s="2" t="s">
        <v>29</v>
      </c>
      <c r="O552" s="2" t="s">
        <v>29</v>
      </c>
      <c r="P552" s="2" t="s">
        <v>22770</v>
      </c>
      <c r="Q552" s="2" t="s">
        <v>22771</v>
      </c>
      <c r="R552" s="2" t="s">
        <v>794</v>
      </c>
      <c r="S552" s="2" t="s">
        <v>795</v>
      </c>
      <c r="T552" s="2" t="s">
        <v>8424</v>
      </c>
      <c r="U552" s="2" t="s">
        <v>29</v>
      </c>
      <c r="V552" s="2" t="n">
        <v>1</v>
      </c>
    </row>
    <row r="553">
      <c r="A553" s="2" t="n">
        <v>552</v>
      </c>
      <c r="B553" s="2" t="s">
        <v>22772</v>
      </c>
      <c r="C553" s="2" t="n">
        <v>572.152062624</v>
      </c>
      <c r="D553" s="2" t="n">
        <v>3.93926613690771</v>
      </c>
      <c r="E553" s="2" t="s">
        <v>22773</v>
      </c>
      <c r="F553" s="2" t="s">
        <v>17198</v>
      </c>
      <c r="G553" s="2" t="s">
        <v>22774</v>
      </c>
      <c r="H553" s="2" t="s">
        <v>22775</v>
      </c>
      <c r="I553" s="2" t="s">
        <v>22776</v>
      </c>
      <c r="J553" s="2" t="s">
        <v>29</v>
      </c>
      <c r="K553" s="2" t="s">
        <v>29</v>
      </c>
      <c r="L553" s="2" t="s">
        <v>29</v>
      </c>
      <c r="M553" s="2" t="s">
        <v>29</v>
      </c>
      <c r="N553" s="2" t="s">
        <v>22777</v>
      </c>
      <c r="O553" s="2" t="s">
        <v>29</v>
      </c>
      <c r="P553" s="2" t="s">
        <v>22778</v>
      </c>
      <c r="Q553" s="2" t="s">
        <v>22779</v>
      </c>
      <c r="R553" s="2" t="s">
        <v>129</v>
      </c>
      <c r="S553" s="2" t="s">
        <v>130</v>
      </c>
      <c r="T553" s="2" t="s">
        <v>1681</v>
      </c>
      <c r="U553" s="2" t="s">
        <v>29</v>
      </c>
      <c r="V553" s="2" t="n">
        <v>1</v>
      </c>
    </row>
    <row r="554">
      <c r="A554" s="2" t="n">
        <v>553</v>
      </c>
      <c r="B554" s="2" t="s">
        <v>22780</v>
      </c>
      <c r="C554" s="2" t="n">
        <v>573.142244566</v>
      </c>
      <c r="D554" s="2" t="n">
        <v>1.27536004886471</v>
      </c>
      <c r="E554" s="2" t="s">
        <v>22781</v>
      </c>
      <c r="F554" s="2" t="s">
        <v>17227</v>
      </c>
      <c r="G554" s="2" t="s">
        <v>22782</v>
      </c>
      <c r="H554" s="2" t="s">
        <v>22783</v>
      </c>
      <c r="I554" s="2" t="s">
        <v>22784</v>
      </c>
      <c r="J554" s="2" t="s">
        <v>22785</v>
      </c>
      <c r="K554" s="2" t="s">
        <v>29</v>
      </c>
      <c r="L554" s="2" t="s">
        <v>29</v>
      </c>
      <c r="M554" s="2" t="s">
        <v>22786</v>
      </c>
      <c r="N554" s="2" t="s">
        <v>22787</v>
      </c>
      <c r="O554" s="2" t="s">
        <v>22788</v>
      </c>
      <c r="P554" s="2" t="s">
        <v>22789</v>
      </c>
      <c r="Q554" s="2" t="s">
        <v>22790</v>
      </c>
      <c r="R554" s="2" t="s">
        <v>1355</v>
      </c>
      <c r="S554" s="2" t="s">
        <v>5199</v>
      </c>
      <c r="T554" s="2" t="s">
        <v>22791</v>
      </c>
      <c r="U554" s="2" t="s">
        <v>29</v>
      </c>
      <c r="V554" s="2" t="n">
        <v>1</v>
      </c>
    </row>
    <row r="555">
      <c r="A555" s="2" t="n">
        <v>554</v>
      </c>
      <c r="B555" s="2" t="s">
        <v>22792</v>
      </c>
      <c r="C555" s="2" t="n">
        <v>575.248688044</v>
      </c>
      <c r="D555" s="2" t="n">
        <v>1.79982085010171</v>
      </c>
      <c r="E555" s="2" t="s">
        <v>22793</v>
      </c>
      <c r="F555" s="2" t="s">
        <v>17137</v>
      </c>
      <c r="G555" s="2" t="s">
        <v>22794</v>
      </c>
      <c r="H555" s="2" t="s">
        <v>22795</v>
      </c>
      <c r="I555" s="2" t="s">
        <v>22796</v>
      </c>
      <c r="J555" s="2" t="s">
        <v>91</v>
      </c>
      <c r="K555" s="2" t="s">
        <v>91</v>
      </c>
      <c r="L555" s="2" t="s">
        <v>91</v>
      </c>
      <c r="M555" s="2" t="s">
        <v>91</v>
      </c>
      <c r="N555" s="2" t="s">
        <v>22797</v>
      </c>
      <c r="O555" s="2" t="s">
        <v>22798</v>
      </c>
      <c r="P555" s="2" t="s">
        <v>22799</v>
      </c>
      <c r="Q555" s="2" t="s">
        <v>22800</v>
      </c>
      <c r="R555" s="2" t="s">
        <v>2813</v>
      </c>
      <c r="S555" s="2" t="s">
        <v>22801</v>
      </c>
      <c r="T555" s="2" t="s">
        <v>22802</v>
      </c>
      <c r="U555" s="2" t="s">
        <v>29</v>
      </c>
      <c r="V555" s="2" t="n">
        <v>2</v>
      </c>
    </row>
    <row r="556">
      <c r="A556" s="2" t="n">
        <v>555</v>
      </c>
      <c r="B556" s="2" t="s">
        <v>22803</v>
      </c>
      <c r="C556" s="2" t="n">
        <v>577.368210088</v>
      </c>
      <c r="D556" s="2" t="n">
        <v>1.985713320271</v>
      </c>
      <c r="E556" s="2" t="s">
        <v>22804</v>
      </c>
      <c r="F556" s="2" t="s">
        <v>17039</v>
      </c>
      <c r="G556" s="2" t="s">
        <v>22805</v>
      </c>
      <c r="H556" s="2" t="s">
        <v>22806</v>
      </c>
      <c r="I556" s="2" t="s">
        <v>22807</v>
      </c>
      <c r="J556" s="2" t="s">
        <v>22808</v>
      </c>
      <c r="K556" s="2" t="s">
        <v>29</v>
      </c>
      <c r="L556" s="2" t="s">
        <v>29</v>
      </c>
      <c r="M556" s="2" t="s">
        <v>22809</v>
      </c>
      <c r="N556" s="2" t="s">
        <v>22810</v>
      </c>
      <c r="O556" s="2" t="s">
        <v>22811</v>
      </c>
      <c r="P556" s="2" t="s">
        <v>22812</v>
      </c>
      <c r="Q556" s="2" t="s">
        <v>22813</v>
      </c>
      <c r="R556" s="2" t="s">
        <v>794</v>
      </c>
      <c r="S556" s="2" t="s">
        <v>1098</v>
      </c>
      <c r="T556" s="2" t="s">
        <v>7646</v>
      </c>
      <c r="U556" s="2" t="s">
        <v>56</v>
      </c>
      <c r="V556" s="2" t="n">
        <v>1</v>
      </c>
    </row>
    <row r="557">
      <c r="A557" s="2" t="n">
        <v>556</v>
      </c>
      <c r="B557" s="2" t="s">
        <v>22814</v>
      </c>
      <c r="C557" s="2" t="n">
        <v>582.295647471</v>
      </c>
      <c r="D557" s="2" t="n">
        <v>5.58633910202006</v>
      </c>
      <c r="E557" s="2" t="s">
        <v>22815</v>
      </c>
      <c r="F557" s="2" t="s">
        <v>17406</v>
      </c>
      <c r="G557" s="2" t="s">
        <v>22816</v>
      </c>
      <c r="H557" s="2" t="s">
        <v>22817</v>
      </c>
      <c r="I557" s="2" t="s">
        <v>22818</v>
      </c>
      <c r="J557" s="2" t="s">
        <v>22819</v>
      </c>
      <c r="K557" s="2" t="s">
        <v>22820</v>
      </c>
      <c r="L557" s="2" t="s">
        <v>8454</v>
      </c>
      <c r="M557" s="2" t="s">
        <v>22821</v>
      </c>
      <c r="N557" s="2" t="s">
        <v>22822</v>
      </c>
      <c r="O557" s="2" t="s">
        <v>22823</v>
      </c>
      <c r="P557" s="2" t="s">
        <v>22824</v>
      </c>
      <c r="Q557" s="2" t="s">
        <v>22825</v>
      </c>
      <c r="R557" s="2" t="s">
        <v>794</v>
      </c>
      <c r="S557" s="2" t="s">
        <v>7122</v>
      </c>
      <c r="T557" s="2" t="s">
        <v>8460</v>
      </c>
      <c r="U557" s="2" t="s">
        <v>39</v>
      </c>
      <c r="V557" s="2" t="n">
        <v>1</v>
      </c>
    </row>
    <row r="558">
      <c r="A558" s="2" t="n">
        <v>557</v>
      </c>
      <c r="B558" s="2" t="s">
        <v>22826</v>
      </c>
      <c r="C558" s="2" t="n">
        <v>583.299479079</v>
      </c>
      <c r="D558" s="2" t="n">
        <v>0.163612223779232</v>
      </c>
      <c r="E558" s="2" t="s">
        <v>22827</v>
      </c>
      <c r="F558" s="2" t="s">
        <v>17039</v>
      </c>
      <c r="G558" s="2" t="s">
        <v>22828</v>
      </c>
      <c r="H558" s="2" t="s">
        <v>22829</v>
      </c>
      <c r="I558" s="2" t="s">
        <v>22830</v>
      </c>
      <c r="J558" s="2" t="s">
        <v>29</v>
      </c>
      <c r="K558" s="2" t="s">
        <v>29</v>
      </c>
      <c r="L558" s="2" t="s">
        <v>29</v>
      </c>
      <c r="M558" s="2" t="s">
        <v>29</v>
      </c>
      <c r="N558" s="2" t="s">
        <v>22831</v>
      </c>
      <c r="O558" s="2" t="s">
        <v>29</v>
      </c>
      <c r="P558" s="2" t="s">
        <v>22832</v>
      </c>
      <c r="Q558" s="2" t="s">
        <v>22833</v>
      </c>
      <c r="R558" s="2" t="s">
        <v>186</v>
      </c>
      <c r="S558" s="2" t="s">
        <v>187</v>
      </c>
      <c r="T558" s="2" t="s">
        <v>22018</v>
      </c>
      <c r="U558" s="2" t="s">
        <v>29</v>
      </c>
      <c r="V558" s="2" t="n">
        <v>1</v>
      </c>
    </row>
    <row r="559">
      <c r="A559" s="2" t="n">
        <v>558</v>
      </c>
      <c r="B559" s="2" t="s">
        <v>22834</v>
      </c>
      <c r="C559" s="2" t="n">
        <v>584.299220476</v>
      </c>
      <c r="D559" s="2" t="n">
        <v>4.64417160195191</v>
      </c>
      <c r="E559" s="2" t="s">
        <v>22835</v>
      </c>
      <c r="F559" s="2" t="s">
        <v>17970</v>
      </c>
      <c r="G559" s="2" t="s">
        <v>22836</v>
      </c>
      <c r="H559" s="2" t="s">
        <v>22837</v>
      </c>
      <c r="I559" s="2" t="s">
        <v>22838</v>
      </c>
      <c r="J559" s="2" t="s">
        <v>29</v>
      </c>
      <c r="K559" s="2" t="s">
        <v>29</v>
      </c>
      <c r="L559" s="2" t="s">
        <v>29</v>
      </c>
      <c r="M559" s="2" t="s">
        <v>29</v>
      </c>
      <c r="N559" s="2" t="s">
        <v>22839</v>
      </c>
      <c r="O559" s="2" t="s">
        <v>29</v>
      </c>
      <c r="P559" s="2" t="s">
        <v>22840</v>
      </c>
      <c r="Q559" s="2" t="s">
        <v>22841</v>
      </c>
      <c r="R559" s="2" t="s">
        <v>794</v>
      </c>
      <c r="S559" s="2" t="s">
        <v>2971</v>
      </c>
      <c r="T559" s="2" t="s">
        <v>6499</v>
      </c>
      <c r="U559" s="2" t="s">
        <v>29</v>
      </c>
      <c r="V559" s="2" t="n">
        <v>1</v>
      </c>
    </row>
    <row r="560">
      <c r="A560" s="2" t="n">
        <v>559</v>
      </c>
      <c r="B560" s="2" t="s">
        <v>22842</v>
      </c>
      <c r="C560" s="2" t="n">
        <v>585.294997236</v>
      </c>
      <c r="D560" s="2" t="n">
        <v>1.26040713136869</v>
      </c>
      <c r="E560" s="2" t="s">
        <v>22843</v>
      </c>
      <c r="F560" s="2" t="s">
        <v>17406</v>
      </c>
      <c r="G560" s="2" t="s">
        <v>22844</v>
      </c>
      <c r="H560" s="2" t="s">
        <v>22845</v>
      </c>
      <c r="I560" s="2" t="s">
        <v>22846</v>
      </c>
      <c r="J560" s="2" t="s">
        <v>29</v>
      </c>
      <c r="K560" s="2" t="s">
        <v>29</v>
      </c>
      <c r="L560" s="2" t="s">
        <v>29</v>
      </c>
      <c r="M560" s="2" t="s">
        <v>29</v>
      </c>
      <c r="N560" s="2" t="s">
        <v>22847</v>
      </c>
      <c r="O560" s="2" t="s">
        <v>29</v>
      </c>
      <c r="P560" s="2" t="s">
        <v>22848</v>
      </c>
      <c r="Q560" s="2" t="s">
        <v>22849</v>
      </c>
      <c r="R560" s="2" t="s">
        <v>36</v>
      </c>
      <c r="S560" s="2" t="s">
        <v>37</v>
      </c>
      <c r="T560" s="2" t="s">
        <v>69</v>
      </c>
      <c r="U560" s="2" t="s">
        <v>29</v>
      </c>
      <c r="V560" s="2" t="n">
        <v>1</v>
      </c>
    </row>
    <row r="561">
      <c r="A561" s="2" t="n">
        <v>560</v>
      </c>
      <c r="B561" s="2" t="s">
        <v>22850</v>
      </c>
      <c r="C561" s="2" t="n">
        <v>590.321707471</v>
      </c>
      <c r="D561" s="2" t="n">
        <v>1.0651444857233</v>
      </c>
      <c r="E561" s="2" t="s">
        <v>22851</v>
      </c>
      <c r="F561" s="2" t="s">
        <v>17198</v>
      </c>
      <c r="G561" s="2" t="s">
        <v>22852</v>
      </c>
      <c r="H561" s="2" t="s">
        <v>22853</v>
      </c>
      <c r="I561" s="2" t="s">
        <v>22854</v>
      </c>
      <c r="J561" s="2" t="s">
        <v>22855</v>
      </c>
      <c r="K561" s="2" t="s">
        <v>22856</v>
      </c>
      <c r="L561" s="2" t="s">
        <v>8454</v>
      </c>
      <c r="M561" s="2" t="s">
        <v>22857</v>
      </c>
      <c r="N561" s="2" t="s">
        <v>22858</v>
      </c>
      <c r="O561" s="2" t="s">
        <v>22859</v>
      </c>
      <c r="P561" s="2" t="s">
        <v>22860</v>
      </c>
      <c r="Q561" s="2" t="s">
        <v>22861</v>
      </c>
      <c r="R561" s="2" t="s">
        <v>794</v>
      </c>
      <c r="S561" s="2" t="s">
        <v>7122</v>
      </c>
      <c r="T561" s="2" t="s">
        <v>8460</v>
      </c>
      <c r="U561" s="2" t="s">
        <v>39</v>
      </c>
      <c r="V561" s="2" t="n">
        <v>1</v>
      </c>
    </row>
    <row r="562">
      <c r="A562" s="2" t="n">
        <v>561</v>
      </c>
      <c r="B562" s="2" t="s">
        <v>22862</v>
      </c>
      <c r="C562" s="2" t="n">
        <v>591.389144699</v>
      </c>
      <c r="D562" s="2" t="n">
        <v>2.92735483389982</v>
      </c>
      <c r="E562" s="2" t="s">
        <v>22863</v>
      </c>
      <c r="F562" s="2" t="s">
        <v>17137</v>
      </c>
      <c r="G562" s="2" t="s">
        <v>22864</v>
      </c>
      <c r="H562" s="2" t="s">
        <v>22865</v>
      </c>
      <c r="I562" s="2" t="s">
        <v>22866</v>
      </c>
      <c r="J562" s="2" t="s">
        <v>22867</v>
      </c>
      <c r="K562" s="2" t="s">
        <v>91</v>
      </c>
      <c r="L562" s="2" t="s">
        <v>91</v>
      </c>
      <c r="M562" s="2" t="s">
        <v>91</v>
      </c>
      <c r="N562" s="2" t="s">
        <v>22868</v>
      </c>
      <c r="O562" s="2" t="s">
        <v>22869</v>
      </c>
      <c r="P562" s="2" t="s">
        <v>22870</v>
      </c>
      <c r="Q562" s="2" t="s">
        <v>22871</v>
      </c>
      <c r="R562" s="2" t="s">
        <v>412</v>
      </c>
      <c r="S562" s="2" t="s">
        <v>5561</v>
      </c>
      <c r="T562" s="2" t="s">
        <v>22872</v>
      </c>
      <c r="U562" s="2" t="s">
        <v>29</v>
      </c>
      <c r="V562" s="2" t="n">
        <v>2</v>
      </c>
    </row>
    <row r="563">
      <c r="A563" s="2" t="n">
        <v>562</v>
      </c>
      <c r="B563" s="2" t="s">
        <v>22873</v>
      </c>
      <c r="C563" s="2" t="n">
        <v>592.218149159</v>
      </c>
      <c r="D563" s="2" t="n">
        <v>4.98829379332703</v>
      </c>
      <c r="E563" s="2" t="s">
        <v>22874</v>
      </c>
      <c r="F563" s="2" t="s">
        <v>17406</v>
      </c>
      <c r="G563" s="2" t="s">
        <v>22875</v>
      </c>
      <c r="H563" s="2" t="s">
        <v>22876</v>
      </c>
      <c r="I563" s="2" t="s">
        <v>22877</v>
      </c>
      <c r="J563" s="2" t="s">
        <v>29</v>
      </c>
      <c r="K563" s="2" t="s">
        <v>29</v>
      </c>
      <c r="L563" s="2" t="s">
        <v>29</v>
      </c>
      <c r="M563" s="2" t="s">
        <v>29</v>
      </c>
      <c r="N563" s="2" t="s">
        <v>22878</v>
      </c>
      <c r="O563" s="2" t="s">
        <v>29</v>
      </c>
      <c r="P563" s="2" t="s">
        <v>22879</v>
      </c>
      <c r="Q563" s="2" t="s">
        <v>22880</v>
      </c>
      <c r="R563" s="2" t="s">
        <v>14232</v>
      </c>
      <c r="S563" s="2" t="s">
        <v>22881</v>
      </c>
      <c r="T563" s="2" t="s">
        <v>215</v>
      </c>
      <c r="U563" s="2" t="s">
        <v>29</v>
      </c>
      <c r="V563" s="2" t="n">
        <v>1</v>
      </c>
    </row>
    <row r="564">
      <c r="A564" s="2" t="n">
        <v>563</v>
      </c>
      <c r="B564" s="2" t="s">
        <v>22882</v>
      </c>
      <c r="C564" s="2" t="n">
        <v>596.238639793</v>
      </c>
      <c r="D564" s="2" t="n">
        <v>0.43343959892854</v>
      </c>
      <c r="E564" s="2" t="s">
        <v>22883</v>
      </c>
      <c r="F564" s="2" t="s">
        <v>17520</v>
      </c>
      <c r="G564" s="2" t="s">
        <v>22884</v>
      </c>
      <c r="H564" s="2" t="s">
        <v>22885</v>
      </c>
      <c r="I564" s="2" t="s">
        <v>22886</v>
      </c>
      <c r="J564" s="2" t="s">
        <v>195</v>
      </c>
      <c r="K564" s="2" t="s">
        <v>195</v>
      </c>
      <c r="L564" s="2" t="s">
        <v>195</v>
      </c>
      <c r="M564" s="2" t="s">
        <v>195</v>
      </c>
      <c r="N564" s="2" t="s">
        <v>195</v>
      </c>
      <c r="O564" s="2" t="s">
        <v>195</v>
      </c>
      <c r="P564" s="2" t="s">
        <v>22887</v>
      </c>
      <c r="Q564" s="2" t="s">
        <v>22888</v>
      </c>
      <c r="R564" s="2" t="s">
        <v>255</v>
      </c>
      <c r="S564" s="2" t="s">
        <v>256</v>
      </c>
      <c r="T564" s="2" t="s">
        <v>668</v>
      </c>
      <c r="U564" s="2" t="s">
        <v>29</v>
      </c>
      <c r="V564" s="2" t="n">
        <v>3</v>
      </c>
    </row>
    <row r="565">
      <c r="A565" s="2" t="n">
        <v>564</v>
      </c>
      <c r="B565" s="2" t="s">
        <v>22889</v>
      </c>
      <c r="C565" s="2" t="n">
        <v>597.237133067</v>
      </c>
      <c r="D565" s="2" t="n">
        <v>5.87787169691703</v>
      </c>
      <c r="E565" s="2" t="s">
        <v>22890</v>
      </c>
      <c r="F565" s="2" t="s">
        <v>17198</v>
      </c>
      <c r="G565" s="2" t="s">
        <v>22891</v>
      </c>
      <c r="H565" s="2" t="s">
        <v>22892</v>
      </c>
      <c r="I565" s="2" t="s">
        <v>22893</v>
      </c>
      <c r="J565" s="2" t="s">
        <v>91</v>
      </c>
      <c r="K565" s="2" t="s">
        <v>91</v>
      </c>
      <c r="L565" s="2" t="s">
        <v>91</v>
      </c>
      <c r="M565" s="2" t="s">
        <v>22894</v>
      </c>
      <c r="N565" s="2" t="s">
        <v>22895</v>
      </c>
      <c r="O565" s="2" t="s">
        <v>91</v>
      </c>
      <c r="P565" s="2" t="s">
        <v>22896</v>
      </c>
      <c r="Q565" s="2" t="s">
        <v>22897</v>
      </c>
      <c r="R565" s="2" t="s">
        <v>541</v>
      </c>
      <c r="S565" s="2" t="s">
        <v>22898</v>
      </c>
      <c r="T565" s="2" t="s">
        <v>22899</v>
      </c>
      <c r="U565" s="2" t="s">
        <v>56</v>
      </c>
      <c r="V565" s="2" t="n">
        <v>2</v>
      </c>
    </row>
    <row r="566">
      <c r="A566" s="2" t="n">
        <v>565</v>
      </c>
      <c r="B566" s="2" t="s">
        <v>22900</v>
      </c>
      <c r="C566" s="2" t="n">
        <v>598.238136529</v>
      </c>
      <c r="D566" s="2" t="n">
        <v>8.06004230704499</v>
      </c>
      <c r="E566" s="2" t="s">
        <v>22901</v>
      </c>
      <c r="F566" s="2" t="s">
        <v>17406</v>
      </c>
      <c r="G566" s="2" t="s">
        <v>22902</v>
      </c>
      <c r="H566" s="2" t="s">
        <v>22903</v>
      </c>
      <c r="I566" s="2" t="s">
        <v>22904</v>
      </c>
      <c r="J566" s="2" t="s">
        <v>29</v>
      </c>
      <c r="K566" s="2" t="s">
        <v>29</v>
      </c>
      <c r="L566" s="2" t="s">
        <v>29</v>
      </c>
      <c r="M566" s="2" t="s">
        <v>29</v>
      </c>
      <c r="N566" s="2" t="s">
        <v>22905</v>
      </c>
      <c r="O566" s="2" t="s">
        <v>29</v>
      </c>
      <c r="P566" s="2" t="s">
        <v>22906</v>
      </c>
      <c r="Q566" s="2" t="s">
        <v>22907</v>
      </c>
      <c r="R566" s="2" t="s">
        <v>36</v>
      </c>
      <c r="S566" s="2" t="s">
        <v>37</v>
      </c>
      <c r="T566" s="2" t="s">
        <v>69</v>
      </c>
      <c r="U566" s="2" t="s">
        <v>29</v>
      </c>
      <c r="V566" s="2" t="n">
        <v>1</v>
      </c>
    </row>
    <row r="567">
      <c r="A567" s="2" t="n">
        <v>566</v>
      </c>
      <c r="B567" s="2" t="s">
        <v>22908</v>
      </c>
      <c r="C567" s="2" t="n">
        <v>603.440786344</v>
      </c>
      <c r="D567" s="2" t="n">
        <v>1.29992523059832</v>
      </c>
      <c r="E567" s="2" t="s">
        <v>22909</v>
      </c>
      <c r="F567" s="2" t="s">
        <v>17137</v>
      </c>
      <c r="G567" s="2" t="s">
        <v>22910</v>
      </c>
      <c r="H567" s="2" t="s">
        <v>22911</v>
      </c>
      <c r="I567" s="2" t="s">
        <v>22912</v>
      </c>
      <c r="J567" s="2" t="s">
        <v>22913</v>
      </c>
      <c r="K567" s="2" t="s">
        <v>29</v>
      </c>
      <c r="L567" s="2" t="s">
        <v>22914</v>
      </c>
      <c r="M567" s="2" t="s">
        <v>29</v>
      </c>
      <c r="N567" s="2" t="s">
        <v>22915</v>
      </c>
      <c r="O567" s="2" t="s">
        <v>29</v>
      </c>
      <c r="P567" s="2" t="s">
        <v>22916</v>
      </c>
      <c r="Q567" s="2" t="s">
        <v>22917</v>
      </c>
      <c r="R567" s="2" t="s">
        <v>794</v>
      </c>
      <c r="S567" s="2" t="s">
        <v>2971</v>
      </c>
      <c r="T567" s="2" t="s">
        <v>8104</v>
      </c>
      <c r="U567" s="2" t="s">
        <v>101</v>
      </c>
      <c r="V567" s="2" t="n">
        <v>1</v>
      </c>
    </row>
    <row r="568">
      <c r="A568" s="2" t="n">
        <v>567</v>
      </c>
      <c r="B568" s="2" t="s">
        <v>22918</v>
      </c>
      <c r="C568" s="2" t="n">
        <v>604.216806499</v>
      </c>
      <c r="D568" s="2" t="n">
        <v>7.7657902042739</v>
      </c>
      <c r="E568" s="2" t="s">
        <v>22919</v>
      </c>
      <c r="F568" s="2" t="s">
        <v>17406</v>
      </c>
      <c r="G568" s="2" t="s">
        <v>22920</v>
      </c>
      <c r="H568" s="2" t="s">
        <v>22921</v>
      </c>
      <c r="I568" s="2" t="s">
        <v>22922</v>
      </c>
      <c r="J568" s="2" t="s">
        <v>29</v>
      </c>
      <c r="K568" s="2" t="s">
        <v>29</v>
      </c>
      <c r="L568" s="2" t="s">
        <v>29</v>
      </c>
      <c r="M568" s="2" t="s">
        <v>29</v>
      </c>
      <c r="N568" s="2" t="s">
        <v>22923</v>
      </c>
      <c r="O568" s="2" t="s">
        <v>29</v>
      </c>
      <c r="P568" s="2" t="s">
        <v>22924</v>
      </c>
      <c r="Q568" s="2" t="s">
        <v>22925</v>
      </c>
      <c r="R568" s="2" t="s">
        <v>36</v>
      </c>
      <c r="S568" s="2" t="s">
        <v>37</v>
      </c>
      <c r="T568" s="2" t="s">
        <v>69</v>
      </c>
      <c r="U568" s="2" t="s">
        <v>29</v>
      </c>
      <c r="V568" s="2" t="n">
        <v>1</v>
      </c>
    </row>
    <row r="569">
      <c r="A569" s="2" t="n">
        <v>568</v>
      </c>
      <c r="B569" s="2" t="s">
        <v>22926</v>
      </c>
      <c r="C569" s="2" t="n">
        <v>605.220459302</v>
      </c>
      <c r="D569" s="2" t="n">
        <v>4.73269152719098</v>
      </c>
      <c r="E569" s="2" t="s">
        <v>22927</v>
      </c>
      <c r="F569" s="2" t="s">
        <v>17198</v>
      </c>
      <c r="G569" s="2" t="s">
        <v>22928</v>
      </c>
      <c r="H569" s="2" t="s">
        <v>22929</v>
      </c>
      <c r="I569" s="2" t="s">
        <v>22930</v>
      </c>
      <c r="J569" s="2" t="s">
        <v>22931</v>
      </c>
      <c r="K569" s="2" t="s">
        <v>91</v>
      </c>
      <c r="L569" s="2" t="s">
        <v>91</v>
      </c>
      <c r="M569" s="2" t="s">
        <v>91</v>
      </c>
      <c r="N569" s="2" t="s">
        <v>22932</v>
      </c>
      <c r="O569" s="2" t="s">
        <v>22933</v>
      </c>
      <c r="P569" s="2" t="s">
        <v>22934</v>
      </c>
      <c r="Q569" s="2" t="s">
        <v>22935</v>
      </c>
      <c r="R569" s="2" t="s">
        <v>22936</v>
      </c>
      <c r="S569" s="2" t="s">
        <v>22937</v>
      </c>
      <c r="T569" s="2" t="s">
        <v>543</v>
      </c>
      <c r="U569" s="2" t="s">
        <v>29</v>
      </c>
      <c r="V569" s="2" t="n">
        <v>2</v>
      </c>
    </row>
    <row r="570">
      <c r="A570" s="2" t="n">
        <v>569</v>
      </c>
      <c r="B570" s="2" t="s">
        <v>22938</v>
      </c>
      <c r="C570" s="2" t="n">
        <v>605.454183222</v>
      </c>
      <c r="D570" s="2" t="n">
        <v>2.44628532003552</v>
      </c>
      <c r="E570" s="2" t="s">
        <v>22939</v>
      </c>
      <c r="F570" s="2" t="s">
        <v>17406</v>
      </c>
      <c r="G570" s="2" t="s">
        <v>22940</v>
      </c>
      <c r="H570" s="2" t="s">
        <v>22941</v>
      </c>
      <c r="I570" s="2" t="s">
        <v>22942</v>
      </c>
      <c r="J570" s="2" t="s">
        <v>22943</v>
      </c>
      <c r="K570" s="2" t="s">
        <v>29</v>
      </c>
      <c r="L570" s="2" t="s">
        <v>29</v>
      </c>
      <c r="M570" s="2" t="s">
        <v>29</v>
      </c>
      <c r="N570" s="2" t="s">
        <v>22944</v>
      </c>
      <c r="O570" s="2" t="s">
        <v>29</v>
      </c>
      <c r="P570" s="2" t="s">
        <v>22945</v>
      </c>
      <c r="Q570" s="2" t="s">
        <v>22946</v>
      </c>
      <c r="R570" s="2" t="s">
        <v>794</v>
      </c>
      <c r="S570" s="2" t="s">
        <v>2600</v>
      </c>
      <c r="T570" s="2" t="s">
        <v>8990</v>
      </c>
      <c r="U570" s="2" t="s">
        <v>29</v>
      </c>
      <c r="V570" s="2" t="n">
        <v>1</v>
      </c>
    </row>
    <row r="571">
      <c r="A571" s="2" t="n">
        <v>570</v>
      </c>
      <c r="B571" s="2" t="s">
        <v>22947</v>
      </c>
      <c r="C571" s="2" t="n">
        <v>606.297210735</v>
      </c>
      <c r="D571" s="2" t="n">
        <v>2.76519169662014</v>
      </c>
      <c r="E571" s="2" t="s">
        <v>22948</v>
      </c>
      <c r="F571" s="2" t="s">
        <v>17198</v>
      </c>
      <c r="G571" s="2" t="s">
        <v>22949</v>
      </c>
      <c r="H571" s="2" t="s">
        <v>22950</v>
      </c>
      <c r="I571" s="2" t="s">
        <v>22951</v>
      </c>
      <c r="J571" s="2" t="s">
        <v>29</v>
      </c>
      <c r="K571" s="2" t="s">
        <v>29</v>
      </c>
      <c r="L571" s="2" t="s">
        <v>29</v>
      </c>
      <c r="M571" s="2" t="s">
        <v>29</v>
      </c>
      <c r="N571" s="2" t="s">
        <v>22952</v>
      </c>
      <c r="O571" s="2" t="s">
        <v>29</v>
      </c>
      <c r="P571" s="2" t="s">
        <v>22953</v>
      </c>
      <c r="Q571" s="2" t="s">
        <v>22954</v>
      </c>
      <c r="R571" s="2" t="s">
        <v>36</v>
      </c>
      <c r="S571" s="2" t="s">
        <v>37</v>
      </c>
      <c r="T571" s="2" t="s">
        <v>69</v>
      </c>
      <c r="U571" s="2" t="s">
        <v>29</v>
      </c>
      <c r="V571" s="2" t="n">
        <v>1</v>
      </c>
    </row>
    <row r="572">
      <c r="A572" s="2" t="n">
        <v>571</v>
      </c>
      <c r="B572" s="2" t="s">
        <v>22955</v>
      </c>
      <c r="C572" s="2" t="n">
        <v>607.30316189</v>
      </c>
      <c r="D572" s="2" t="n">
        <v>6.41958244426206</v>
      </c>
      <c r="E572" s="2" t="s">
        <v>22956</v>
      </c>
      <c r="F572" s="2" t="s">
        <v>17406</v>
      </c>
      <c r="G572" s="2" t="s">
        <v>22957</v>
      </c>
      <c r="H572" s="2" t="s">
        <v>22958</v>
      </c>
      <c r="I572" s="2" t="s">
        <v>22959</v>
      </c>
      <c r="J572" s="2" t="s">
        <v>22960</v>
      </c>
      <c r="K572" s="2" t="s">
        <v>29</v>
      </c>
      <c r="L572" s="2" t="s">
        <v>29</v>
      </c>
      <c r="M572" s="2" t="s">
        <v>29</v>
      </c>
      <c r="N572" s="2" t="s">
        <v>22961</v>
      </c>
      <c r="O572" s="2" t="s">
        <v>22962</v>
      </c>
      <c r="P572" s="2" t="s">
        <v>22963</v>
      </c>
      <c r="Q572" s="2" t="s">
        <v>22964</v>
      </c>
      <c r="R572" s="2" t="s">
        <v>794</v>
      </c>
      <c r="S572" s="2" t="s">
        <v>1098</v>
      </c>
      <c r="T572" s="2" t="s">
        <v>7646</v>
      </c>
      <c r="U572" s="2" t="s">
        <v>29</v>
      </c>
      <c r="V572" s="2" t="n">
        <v>1</v>
      </c>
    </row>
    <row r="573">
      <c r="A573" s="2" t="n">
        <v>572</v>
      </c>
      <c r="B573" s="2" t="s">
        <v>22965</v>
      </c>
      <c r="C573" s="2" t="n">
        <v>608.311297535</v>
      </c>
      <c r="D573" s="2" t="n">
        <v>2.04655318877637</v>
      </c>
      <c r="E573" s="2" t="s">
        <v>22966</v>
      </c>
      <c r="F573" s="2" t="s">
        <v>17406</v>
      </c>
      <c r="G573" s="2" t="s">
        <v>22967</v>
      </c>
      <c r="H573" s="2" t="s">
        <v>22968</v>
      </c>
      <c r="I573" s="2" t="s">
        <v>22969</v>
      </c>
      <c r="J573" s="2" t="s">
        <v>22970</v>
      </c>
      <c r="K573" s="2" t="s">
        <v>22971</v>
      </c>
      <c r="L573" s="2" t="s">
        <v>8454</v>
      </c>
      <c r="M573" s="2" t="s">
        <v>22972</v>
      </c>
      <c r="N573" s="2" t="s">
        <v>22973</v>
      </c>
      <c r="O573" s="2" t="s">
        <v>29</v>
      </c>
      <c r="P573" s="2" t="s">
        <v>22974</v>
      </c>
      <c r="Q573" s="2" t="s">
        <v>22975</v>
      </c>
      <c r="R573" s="2" t="s">
        <v>794</v>
      </c>
      <c r="S573" s="2" t="s">
        <v>7122</v>
      </c>
      <c r="T573" s="2" t="s">
        <v>8460</v>
      </c>
      <c r="U573" s="2" t="s">
        <v>39</v>
      </c>
      <c r="V573" s="2" t="n">
        <v>1</v>
      </c>
    </row>
    <row r="574">
      <c r="A574" s="2" t="n">
        <v>573</v>
      </c>
      <c r="B574" s="2" t="s">
        <v>22976</v>
      </c>
      <c r="C574" s="2" t="n">
        <v>610.1877519</v>
      </c>
      <c r="D574" s="2" t="n">
        <v>1.8403027742901</v>
      </c>
      <c r="E574" s="2" t="s">
        <v>22977</v>
      </c>
      <c r="F574" s="2" t="s">
        <v>17970</v>
      </c>
      <c r="G574" s="2" t="s">
        <v>22978</v>
      </c>
      <c r="H574" s="2" t="s">
        <v>22979</v>
      </c>
      <c r="I574" s="2" t="s">
        <v>22980</v>
      </c>
      <c r="J574" s="2" t="s">
        <v>29</v>
      </c>
      <c r="K574" s="2" t="s">
        <v>29</v>
      </c>
      <c r="L574" s="2" t="s">
        <v>29</v>
      </c>
      <c r="M574" s="2" t="s">
        <v>29</v>
      </c>
      <c r="N574" s="2" t="s">
        <v>22981</v>
      </c>
      <c r="O574" s="2" t="s">
        <v>29</v>
      </c>
      <c r="P574" s="2" t="s">
        <v>22982</v>
      </c>
      <c r="Q574" s="2" t="s">
        <v>22983</v>
      </c>
      <c r="R574" s="2" t="s">
        <v>186</v>
      </c>
      <c r="S574" s="2" t="s">
        <v>187</v>
      </c>
      <c r="T574" s="2" t="s">
        <v>18011</v>
      </c>
      <c r="U574" s="2" t="s">
        <v>29</v>
      </c>
      <c r="V574" s="2" t="n">
        <v>1</v>
      </c>
    </row>
    <row r="575">
      <c r="A575" s="2" t="n">
        <v>574</v>
      </c>
      <c r="B575" s="2" t="s">
        <v>22984</v>
      </c>
      <c r="C575" s="2" t="n">
        <v>611.188919994</v>
      </c>
      <c r="D575" s="2" t="n">
        <v>0.649242782945985</v>
      </c>
      <c r="E575" s="2" t="s">
        <v>22985</v>
      </c>
      <c r="F575" s="2" t="s">
        <v>17406</v>
      </c>
      <c r="G575" s="2" t="s">
        <v>22986</v>
      </c>
      <c r="H575" s="2" t="s">
        <v>22987</v>
      </c>
      <c r="I575" s="2" t="s">
        <v>22988</v>
      </c>
      <c r="J575" s="2" t="s">
        <v>22989</v>
      </c>
      <c r="K575" s="2" t="s">
        <v>29</v>
      </c>
      <c r="L575" s="2" t="s">
        <v>29</v>
      </c>
      <c r="M575" s="2" t="s">
        <v>29</v>
      </c>
      <c r="N575" s="2" t="s">
        <v>22990</v>
      </c>
      <c r="O575" s="2" t="s">
        <v>29</v>
      </c>
      <c r="P575" s="2" t="s">
        <v>22991</v>
      </c>
      <c r="Q575" s="2" t="s">
        <v>22992</v>
      </c>
      <c r="R575" s="2" t="s">
        <v>794</v>
      </c>
      <c r="S575" s="2" t="s">
        <v>2971</v>
      </c>
      <c r="T575" s="2" t="s">
        <v>22993</v>
      </c>
      <c r="U575" s="2" t="s">
        <v>29</v>
      </c>
      <c r="V575" s="2" t="n">
        <v>1</v>
      </c>
    </row>
    <row r="576">
      <c r="A576" s="2" t="n">
        <v>575</v>
      </c>
      <c r="B576" s="2" t="s">
        <v>22994</v>
      </c>
      <c r="C576" s="2" t="n">
        <v>612.18952911</v>
      </c>
      <c r="D576" s="2" t="n">
        <v>4.50276572796571</v>
      </c>
      <c r="E576" s="2" t="s">
        <v>22995</v>
      </c>
      <c r="F576" s="2" t="s">
        <v>17406</v>
      </c>
      <c r="G576" s="2" t="s">
        <v>22996</v>
      </c>
      <c r="H576" s="2" t="s">
        <v>22997</v>
      </c>
      <c r="I576" s="2" t="s">
        <v>22998</v>
      </c>
      <c r="J576" s="2" t="s">
        <v>29</v>
      </c>
      <c r="K576" s="2" t="s">
        <v>29</v>
      </c>
      <c r="L576" s="2" t="s">
        <v>29</v>
      </c>
      <c r="M576" s="2" t="s">
        <v>29</v>
      </c>
      <c r="N576" s="2" t="s">
        <v>22999</v>
      </c>
      <c r="O576" s="2" t="s">
        <v>29</v>
      </c>
      <c r="P576" s="2" t="s">
        <v>23000</v>
      </c>
      <c r="Q576" s="2" t="s">
        <v>23001</v>
      </c>
      <c r="R576" s="2" t="s">
        <v>114</v>
      </c>
      <c r="S576" s="2" t="s">
        <v>994</v>
      </c>
      <c r="T576" s="2" t="s">
        <v>1611</v>
      </c>
      <c r="U576" s="2" t="s">
        <v>29</v>
      </c>
      <c r="V576" s="2" t="n">
        <v>1</v>
      </c>
    </row>
    <row r="577">
      <c r="A577" s="2" t="n">
        <v>576</v>
      </c>
      <c r="B577" s="2" t="s">
        <v>23002</v>
      </c>
      <c r="C577" s="2" t="n">
        <v>613.480243222</v>
      </c>
      <c r="D577" s="2" t="n">
        <v>4.71968874430989</v>
      </c>
      <c r="E577" s="2" t="s">
        <v>23003</v>
      </c>
      <c r="F577" s="2" t="s">
        <v>17198</v>
      </c>
      <c r="G577" s="2" t="s">
        <v>23004</v>
      </c>
      <c r="H577" s="2" t="s">
        <v>23005</v>
      </c>
      <c r="I577" s="2" t="s">
        <v>23006</v>
      </c>
      <c r="J577" s="2" t="s">
        <v>23007</v>
      </c>
      <c r="K577" s="2" t="s">
        <v>29</v>
      </c>
      <c r="L577" s="2" t="s">
        <v>29</v>
      </c>
      <c r="M577" s="2" t="s">
        <v>23008</v>
      </c>
      <c r="N577" s="2" t="s">
        <v>23009</v>
      </c>
      <c r="O577" s="2" t="s">
        <v>29</v>
      </c>
      <c r="P577" s="2" t="s">
        <v>23010</v>
      </c>
      <c r="Q577" s="2" t="s">
        <v>23011</v>
      </c>
      <c r="R577" s="2" t="s">
        <v>794</v>
      </c>
      <c r="S577" s="2" t="s">
        <v>2600</v>
      </c>
      <c r="T577" s="2" t="s">
        <v>8990</v>
      </c>
      <c r="U577" s="2" t="s">
        <v>56</v>
      </c>
      <c r="V577" s="2" t="n">
        <v>1</v>
      </c>
    </row>
    <row r="578">
      <c r="A578" s="2" t="n">
        <v>577</v>
      </c>
      <c r="B578" s="2" t="s">
        <v>23012</v>
      </c>
      <c r="C578" s="2" t="n">
        <v>615.14744911</v>
      </c>
      <c r="D578" s="2" t="n">
        <v>6.56195931350853</v>
      </c>
      <c r="E578" s="2" t="s">
        <v>23013</v>
      </c>
      <c r="F578" s="2" t="s">
        <v>17406</v>
      </c>
      <c r="G578" s="2" t="s">
        <v>23014</v>
      </c>
      <c r="H578" s="2" t="s">
        <v>23015</v>
      </c>
      <c r="I578" s="2" t="s">
        <v>23016</v>
      </c>
      <c r="J578" s="2" t="s">
        <v>29</v>
      </c>
      <c r="K578" s="2" t="s">
        <v>29</v>
      </c>
      <c r="L578" s="2" t="s">
        <v>23017</v>
      </c>
      <c r="M578" s="2" t="s">
        <v>23018</v>
      </c>
      <c r="N578" s="2" t="s">
        <v>23019</v>
      </c>
      <c r="O578" s="2" t="s">
        <v>23020</v>
      </c>
      <c r="P578" s="2" t="s">
        <v>23021</v>
      </c>
      <c r="Q578" s="2" t="s">
        <v>23022</v>
      </c>
      <c r="R578" s="2" t="s">
        <v>1355</v>
      </c>
      <c r="S578" s="2" t="s">
        <v>5199</v>
      </c>
      <c r="T578" s="2" t="s">
        <v>7308</v>
      </c>
      <c r="U578" s="2" t="s">
        <v>56</v>
      </c>
      <c r="V578" s="2" t="n">
        <v>1</v>
      </c>
    </row>
    <row r="579">
      <c r="A579" s="2" t="n">
        <v>578</v>
      </c>
      <c r="B579" s="2" t="s">
        <v>23023</v>
      </c>
      <c r="C579" s="2" t="n">
        <v>615.498301222</v>
      </c>
      <c r="D579" s="2" t="n">
        <v>2.00370821239117</v>
      </c>
      <c r="E579" s="2" t="s">
        <v>23024</v>
      </c>
      <c r="F579" s="2" t="s">
        <v>17137</v>
      </c>
      <c r="G579" s="2" t="s">
        <v>23025</v>
      </c>
      <c r="H579" s="2" t="s">
        <v>23026</v>
      </c>
      <c r="I579" s="2" t="s">
        <v>23027</v>
      </c>
      <c r="J579" s="2" t="s">
        <v>23028</v>
      </c>
      <c r="K579" s="2" t="s">
        <v>29</v>
      </c>
      <c r="L579" s="2" t="s">
        <v>29</v>
      </c>
      <c r="M579" s="2" t="s">
        <v>29</v>
      </c>
      <c r="N579" s="2" t="s">
        <v>23029</v>
      </c>
      <c r="O579" s="2" t="s">
        <v>29</v>
      </c>
      <c r="P579" s="2" t="s">
        <v>23030</v>
      </c>
      <c r="Q579" s="2" t="s">
        <v>23031</v>
      </c>
      <c r="R579" s="2" t="s">
        <v>794</v>
      </c>
      <c r="S579" s="2" t="s">
        <v>2600</v>
      </c>
      <c r="T579" s="2" t="s">
        <v>8990</v>
      </c>
      <c r="U579" s="2" t="s">
        <v>56</v>
      </c>
      <c r="V579" s="2" t="n">
        <v>1</v>
      </c>
    </row>
    <row r="580">
      <c r="A580" s="2" t="n">
        <v>579</v>
      </c>
      <c r="B580" s="2" t="s">
        <v>23032</v>
      </c>
      <c r="C580" s="2" t="n">
        <v>617.218111632</v>
      </c>
      <c r="D580" s="2" t="n">
        <v>4.47769092791024</v>
      </c>
      <c r="E580" s="2" t="s">
        <v>23033</v>
      </c>
      <c r="F580" s="2" t="s">
        <v>17406</v>
      </c>
      <c r="G580" s="2" t="s">
        <v>23034</v>
      </c>
      <c r="H580" s="2" t="s">
        <v>23035</v>
      </c>
      <c r="I580" s="2" t="s">
        <v>23036</v>
      </c>
      <c r="J580" s="2" t="s">
        <v>29</v>
      </c>
      <c r="K580" s="2" t="s">
        <v>29</v>
      </c>
      <c r="L580" s="2" t="s">
        <v>29</v>
      </c>
      <c r="M580" s="2" t="s">
        <v>29</v>
      </c>
      <c r="N580" s="2" t="s">
        <v>23037</v>
      </c>
      <c r="O580" s="2" t="s">
        <v>29</v>
      </c>
      <c r="P580" s="2" t="s">
        <v>23038</v>
      </c>
      <c r="Q580" s="2" t="s">
        <v>23039</v>
      </c>
      <c r="R580" s="2" t="s">
        <v>794</v>
      </c>
      <c r="S580" s="2" t="s">
        <v>2971</v>
      </c>
      <c r="T580" s="2" t="s">
        <v>6693</v>
      </c>
      <c r="U580" s="2" t="s">
        <v>56</v>
      </c>
      <c r="V580" s="2" t="n">
        <v>1</v>
      </c>
    </row>
    <row r="581">
      <c r="A581" s="2" t="n">
        <v>580</v>
      </c>
      <c r="B581" s="2" t="s">
        <v>23040</v>
      </c>
      <c r="C581" s="2" t="n">
        <v>617.513951286</v>
      </c>
      <c r="D581" s="2" t="n">
        <v>4.3499288648716</v>
      </c>
      <c r="E581" s="2" t="s">
        <v>23041</v>
      </c>
      <c r="F581" s="2" t="s">
        <v>17137</v>
      </c>
      <c r="G581" s="2" t="s">
        <v>23042</v>
      </c>
      <c r="H581" s="2" t="s">
        <v>23043</v>
      </c>
      <c r="I581" s="2" t="s">
        <v>23044</v>
      </c>
      <c r="J581" s="2" t="s">
        <v>23045</v>
      </c>
      <c r="K581" s="2" t="s">
        <v>23046</v>
      </c>
      <c r="L581" s="2" t="s">
        <v>29</v>
      </c>
      <c r="M581" s="2" t="s">
        <v>23047</v>
      </c>
      <c r="N581" s="2" t="s">
        <v>23048</v>
      </c>
      <c r="O581" s="2" t="s">
        <v>29</v>
      </c>
      <c r="P581" s="2" t="s">
        <v>23049</v>
      </c>
      <c r="Q581" s="2" t="s">
        <v>23050</v>
      </c>
      <c r="R581" s="2" t="s">
        <v>794</v>
      </c>
      <c r="S581" s="2" t="s">
        <v>2600</v>
      </c>
      <c r="T581" s="2" t="s">
        <v>8990</v>
      </c>
      <c r="U581" s="2" t="s">
        <v>29</v>
      </c>
      <c r="V581" s="2" t="n">
        <v>1</v>
      </c>
    </row>
    <row r="582">
      <c r="A582" s="2" t="n">
        <v>581</v>
      </c>
      <c r="B582" s="2" t="s">
        <v>23051</v>
      </c>
      <c r="C582" s="2" t="n">
        <v>618.216731423</v>
      </c>
      <c r="D582" s="2" t="n">
        <v>5.47192028113251</v>
      </c>
      <c r="E582" s="2" t="s">
        <v>23052</v>
      </c>
      <c r="F582" s="2" t="s">
        <v>17406</v>
      </c>
      <c r="G582" s="2" t="s">
        <v>23053</v>
      </c>
      <c r="H582" s="2" t="s">
        <v>23054</v>
      </c>
      <c r="I582" s="2" t="s">
        <v>23055</v>
      </c>
      <c r="J582" s="2" t="s">
        <v>23056</v>
      </c>
      <c r="K582" s="2" t="s">
        <v>23057</v>
      </c>
      <c r="L582" s="2" t="s">
        <v>91</v>
      </c>
      <c r="M582" s="2" t="s">
        <v>91</v>
      </c>
      <c r="N582" s="2" t="s">
        <v>23058</v>
      </c>
      <c r="O582" s="2" t="s">
        <v>23059</v>
      </c>
      <c r="P582" s="2" t="s">
        <v>23060</v>
      </c>
      <c r="Q582" s="2" t="s">
        <v>23061</v>
      </c>
      <c r="R582" s="2" t="s">
        <v>412</v>
      </c>
      <c r="S582" s="2" t="s">
        <v>6265</v>
      </c>
      <c r="T582" s="2" t="s">
        <v>8313</v>
      </c>
      <c r="U582" s="2" t="s">
        <v>56</v>
      </c>
      <c r="V582" s="2" t="n">
        <v>2</v>
      </c>
    </row>
    <row r="583">
      <c r="A583" s="2" t="n">
        <v>582</v>
      </c>
      <c r="B583" s="2" t="s">
        <v>23062</v>
      </c>
      <c r="C583" s="2" t="n">
        <v>621.397456204</v>
      </c>
      <c r="D583" s="2" t="n">
        <v>1.21857714104887</v>
      </c>
      <c r="E583" s="2" t="s">
        <v>23063</v>
      </c>
      <c r="F583" s="2" t="s">
        <v>17406</v>
      </c>
      <c r="G583" s="2" t="s">
        <v>23064</v>
      </c>
      <c r="H583" s="2" t="s">
        <v>23065</v>
      </c>
      <c r="I583" s="2" t="s">
        <v>23066</v>
      </c>
      <c r="J583" s="2" t="s">
        <v>23067</v>
      </c>
      <c r="K583" s="2" t="s">
        <v>29</v>
      </c>
      <c r="L583" s="2" t="s">
        <v>23068</v>
      </c>
      <c r="M583" s="2" t="s">
        <v>23069</v>
      </c>
      <c r="N583" s="2" t="s">
        <v>23070</v>
      </c>
      <c r="O583" s="2" t="s">
        <v>23071</v>
      </c>
      <c r="P583" s="2" t="s">
        <v>23072</v>
      </c>
      <c r="Q583" s="2" t="s">
        <v>23073</v>
      </c>
      <c r="R583" s="2" t="s">
        <v>129</v>
      </c>
      <c r="S583" s="2" t="s">
        <v>130</v>
      </c>
      <c r="T583" s="2" t="s">
        <v>4901</v>
      </c>
      <c r="U583" s="2" t="s">
        <v>101</v>
      </c>
      <c r="V583" s="2" t="n">
        <v>1</v>
      </c>
    </row>
    <row r="584">
      <c r="A584" s="2" t="n">
        <v>583</v>
      </c>
      <c r="B584" s="2" t="s">
        <v>23074</v>
      </c>
      <c r="C584" s="2" t="n">
        <v>625.232396979</v>
      </c>
      <c r="D584" s="2" t="n">
        <v>1.33923141577396</v>
      </c>
      <c r="E584" s="2" t="s">
        <v>23075</v>
      </c>
      <c r="F584" s="2" t="s">
        <v>17406</v>
      </c>
      <c r="G584" s="2" t="s">
        <v>23076</v>
      </c>
      <c r="H584" s="2" t="s">
        <v>23077</v>
      </c>
      <c r="I584" s="2" t="s">
        <v>23078</v>
      </c>
      <c r="J584" s="2" t="s">
        <v>23079</v>
      </c>
      <c r="K584" s="2" t="s">
        <v>29</v>
      </c>
      <c r="L584" s="2" t="s">
        <v>29</v>
      </c>
      <c r="M584" s="2" t="s">
        <v>29</v>
      </c>
      <c r="N584" s="2" t="s">
        <v>23080</v>
      </c>
      <c r="O584" s="2" t="s">
        <v>23081</v>
      </c>
      <c r="P584" s="2" t="s">
        <v>23082</v>
      </c>
      <c r="Q584" s="2" t="s">
        <v>23083</v>
      </c>
      <c r="R584" s="2" t="s">
        <v>186</v>
      </c>
      <c r="S584" s="2" t="s">
        <v>187</v>
      </c>
      <c r="T584" s="2" t="s">
        <v>3552</v>
      </c>
      <c r="U584" s="2" t="s">
        <v>29</v>
      </c>
      <c r="V584" s="2" t="n">
        <v>1</v>
      </c>
    </row>
    <row r="585">
      <c r="A585" s="2" t="n">
        <v>584</v>
      </c>
      <c r="B585" s="2" t="s">
        <v>23084</v>
      </c>
      <c r="C585" s="2" t="n">
        <v>626.229496427</v>
      </c>
      <c r="D585" s="2" t="n">
        <v>4.34423062160421</v>
      </c>
      <c r="E585" s="2" t="s">
        <v>23085</v>
      </c>
      <c r="F585" s="2" t="s">
        <v>17406</v>
      </c>
      <c r="G585" s="2" t="s">
        <v>23086</v>
      </c>
      <c r="H585" s="2" t="s">
        <v>23087</v>
      </c>
      <c r="I585" s="2" t="s">
        <v>23088</v>
      </c>
      <c r="J585" s="2" t="s">
        <v>29</v>
      </c>
      <c r="K585" s="2" t="s">
        <v>29</v>
      </c>
      <c r="L585" s="2" t="s">
        <v>29</v>
      </c>
      <c r="M585" s="2" t="s">
        <v>29</v>
      </c>
      <c r="N585" s="2" t="s">
        <v>23089</v>
      </c>
      <c r="O585" s="2" t="s">
        <v>29</v>
      </c>
      <c r="P585" s="2" t="s">
        <v>23090</v>
      </c>
      <c r="Q585" s="2" t="s">
        <v>23091</v>
      </c>
      <c r="R585" s="2" t="s">
        <v>36</v>
      </c>
      <c r="S585" s="2" t="s">
        <v>37</v>
      </c>
      <c r="T585" s="2" t="s">
        <v>69</v>
      </c>
      <c r="U585" s="2" t="s">
        <v>29</v>
      </c>
      <c r="V585" s="2" t="n">
        <v>1</v>
      </c>
    </row>
    <row r="586">
      <c r="A586" s="2" t="n">
        <v>585</v>
      </c>
      <c r="B586" s="2" t="s">
        <v>23092</v>
      </c>
      <c r="C586" s="2" t="n">
        <v>629.319874586</v>
      </c>
      <c r="D586" s="2" t="n">
        <v>1.46642614633771</v>
      </c>
      <c r="E586" s="2" t="s">
        <v>23093</v>
      </c>
      <c r="F586" s="2" t="s">
        <v>17227</v>
      </c>
      <c r="G586" s="2" t="s">
        <v>23094</v>
      </c>
      <c r="H586" s="2" t="s">
        <v>23095</v>
      </c>
      <c r="I586" s="2" t="s">
        <v>23096</v>
      </c>
      <c r="J586" s="2" t="s">
        <v>23097</v>
      </c>
      <c r="K586" s="2" t="s">
        <v>29</v>
      </c>
      <c r="L586" s="2" t="s">
        <v>23098</v>
      </c>
      <c r="M586" s="2" t="s">
        <v>23099</v>
      </c>
      <c r="N586" s="2" t="s">
        <v>23100</v>
      </c>
      <c r="O586" s="2" t="s">
        <v>23101</v>
      </c>
      <c r="P586" s="2" t="s">
        <v>23102</v>
      </c>
      <c r="Q586" s="2" t="s">
        <v>23103</v>
      </c>
      <c r="R586" s="2" t="s">
        <v>186</v>
      </c>
      <c r="S586" s="2" t="s">
        <v>911</v>
      </c>
      <c r="T586" s="2" t="s">
        <v>215</v>
      </c>
      <c r="U586" s="2" t="s">
        <v>56</v>
      </c>
      <c r="V586" s="2" t="n">
        <v>1</v>
      </c>
    </row>
    <row r="587">
      <c r="A587" s="2" t="n">
        <v>586</v>
      </c>
      <c r="B587" s="2" t="s">
        <v>23104</v>
      </c>
      <c r="C587" s="2" t="n">
        <v>629.454028476</v>
      </c>
      <c r="D587" s="2" t="n">
        <v>0.801617394716613</v>
      </c>
      <c r="E587" s="2" t="s">
        <v>23105</v>
      </c>
      <c r="F587" s="2" t="s">
        <v>17198</v>
      </c>
      <c r="G587" s="2" t="s">
        <v>23106</v>
      </c>
      <c r="H587" s="2" t="s">
        <v>23107</v>
      </c>
      <c r="I587" s="2" t="s">
        <v>23108</v>
      </c>
      <c r="J587" s="2" t="s">
        <v>29</v>
      </c>
      <c r="K587" s="2" t="s">
        <v>23109</v>
      </c>
      <c r="L587" s="2" t="s">
        <v>29</v>
      </c>
      <c r="M587" s="2" t="s">
        <v>29</v>
      </c>
      <c r="N587" s="2" t="s">
        <v>23110</v>
      </c>
      <c r="O587" s="2" t="s">
        <v>29</v>
      </c>
      <c r="P587" s="2" t="s">
        <v>23111</v>
      </c>
      <c r="Q587" s="2" t="s">
        <v>23112</v>
      </c>
      <c r="R587" s="2" t="s">
        <v>794</v>
      </c>
      <c r="S587" s="2" t="s">
        <v>795</v>
      </c>
      <c r="T587" s="2" t="s">
        <v>2391</v>
      </c>
      <c r="U587" s="2" t="s">
        <v>29</v>
      </c>
      <c r="V587" s="2" t="n">
        <v>1</v>
      </c>
    </row>
    <row r="588">
      <c r="A588" s="2" t="n">
        <v>587</v>
      </c>
      <c r="B588" s="2" t="s">
        <v>23113</v>
      </c>
      <c r="C588" s="2" t="n">
        <v>631.12123436</v>
      </c>
      <c r="D588" s="2" t="n">
        <v>5.46118451573939</v>
      </c>
      <c r="E588" s="2" t="s">
        <v>23114</v>
      </c>
      <c r="F588" s="2" t="s">
        <v>17406</v>
      </c>
      <c r="G588" s="2" t="s">
        <v>23115</v>
      </c>
      <c r="H588" s="2" t="s">
        <v>23116</v>
      </c>
      <c r="I588" s="2" t="s">
        <v>23117</v>
      </c>
      <c r="J588" s="2" t="s">
        <v>23118</v>
      </c>
      <c r="K588" s="2" t="s">
        <v>29</v>
      </c>
      <c r="L588" s="2" t="s">
        <v>29</v>
      </c>
      <c r="M588" s="2" t="s">
        <v>23119</v>
      </c>
      <c r="N588" s="2" t="s">
        <v>23120</v>
      </c>
      <c r="O588" s="2" t="s">
        <v>23121</v>
      </c>
      <c r="P588" s="2" t="s">
        <v>23122</v>
      </c>
      <c r="Q588" s="2" t="s">
        <v>23123</v>
      </c>
      <c r="R588" s="2" t="s">
        <v>114</v>
      </c>
      <c r="S588" s="2" t="s">
        <v>8755</v>
      </c>
      <c r="T588" s="2" t="s">
        <v>9513</v>
      </c>
      <c r="U588" s="2" t="s">
        <v>56</v>
      </c>
      <c r="V588" s="2" t="n">
        <v>1</v>
      </c>
    </row>
    <row r="589">
      <c r="A589" s="2" t="n">
        <v>588</v>
      </c>
      <c r="B589" s="2" t="s">
        <v>23124</v>
      </c>
      <c r="C589" s="2" t="n">
        <v>631.469401132</v>
      </c>
      <c r="D589" s="2" t="n">
        <v>5.23266206541442</v>
      </c>
      <c r="E589" s="2" t="s">
        <v>23125</v>
      </c>
      <c r="F589" s="2" t="s">
        <v>17137</v>
      </c>
      <c r="G589" s="2" t="s">
        <v>23126</v>
      </c>
      <c r="H589" s="2" t="s">
        <v>23127</v>
      </c>
      <c r="I589" s="2" t="s">
        <v>23128</v>
      </c>
      <c r="J589" s="2" t="s">
        <v>29</v>
      </c>
      <c r="K589" s="2" t="s">
        <v>29</v>
      </c>
      <c r="L589" s="2" t="s">
        <v>29</v>
      </c>
      <c r="M589" s="2" t="s">
        <v>29</v>
      </c>
      <c r="N589" s="2" t="s">
        <v>23129</v>
      </c>
      <c r="O589" s="2" t="s">
        <v>29</v>
      </c>
      <c r="P589" s="2" t="s">
        <v>23130</v>
      </c>
      <c r="Q589" s="2" t="s">
        <v>23131</v>
      </c>
      <c r="R589" s="2" t="s">
        <v>186</v>
      </c>
      <c r="S589" s="2" t="s">
        <v>187</v>
      </c>
      <c r="T589" s="2" t="s">
        <v>2195</v>
      </c>
      <c r="U589" s="2" t="s">
        <v>29</v>
      </c>
      <c r="V589" s="2" t="n">
        <v>1</v>
      </c>
    </row>
    <row r="590">
      <c r="A590" s="2" t="n">
        <v>589</v>
      </c>
      <c r="B590" s="2" t="s">
        <v>23132</v>
      </c>
      <c r="C590" s="2" t="n">
        <v>632.115096503</v>
      </c>
      <c r="D590" s="2" t="n">
        <v>1.62857916734337</v>
      </c>
      <c r="E590" s="2" t="s">
        <v>23133</v>
      </c>
      <c r="F590" s="2" t="s">
        <v>17520</v>
      </c>
      <c r="G590" s="2" t="s">
        <v>23134</v>
      </c>
      <c r="H590" s="2" t="s">
        <v>23135</v>
      </c>
      <c r="I590" s="2" t="s">
        <v>23136</v>
      </c>
      <c r="J590" s="2" t="s">
        <v>23137</v>
      </c>
      <c r="K590" s="2" t="s">
        <v>29</v>
      </c>
      <c r="L590" s="2" t="s">
        <v>23138</v>
      </c>
      <c r="M590" s="2" t="s">
        <v>29</v>
      </c>
      <c r="N590" s="2" t="s">
        <v>23139</v>
      </c>
      <c r="O590" s="2" t="s">
        <v>23140</v>
      </c>
      <c r="P590" s="2" t="s">
        <v>23141</v>
      </c>
      <c r="Q590" s="2" t="s">
        <v>23142</v>
      </c>
      <c r="R590" s="2" t="s">
        <v>186</v>
      </c>
      <c r="S590" s="2" t="s">
        <v>187</v>
      </c>
      <c r="T590" s="2" t="s">
        <v>22018</v>
      </c>
      <c r="U590" s="2" t="s">
        <v>101</v>
      </c>
      <c r="V590" s="2" t="n">
        <v>1</v>
      </c>
    </row>
    <row r="591">
      <c r="A591" s="2" t="n">
        <v>590</v>
      </c>
      <c r="B591" s="2" t="s">
        <v>23143</v>
      </c>
      <c r="C591" s="2" t="n">
        <v>632.18807345</v>
      </c>
      <c r="D591" s="2" t="n">
        <v>5.88981058476724</v>
      </c>
      <c r="E591" s="2" t="s">
        <v>23144</v>
      </c>
      <c r="F591" s="2" t="s">
        <v>17039</v>
      </c>
      <c r="G591" s="2" t="s">
        <v>23145</v>
      </c>
      <c r="H591" s="2" t="s">
        <v>23146</v>
      </c>
      <c r="I591" s="2" t="s">
        <v>23147</v>
      </c>
      <c r="J591" s="2" t="s">
        <v>29</v>
      </c>
      <c r="K591" s="2" t="s">
        <v>29</v>
      </c>
      <c r="L591" s="2" t="s">
        <v>29</v>
      </c>
      <c r="M591" s="2" t="s">
        <v>23148</v>
      </c>
      <c r="N591" s="2" t="s">
        <v>23149</v>
      </c>
      <c r="O591" s="2" t="s">
        <v>29</v>
      </c>
      <c r="P591" s="2" t="s">
        <v>23150</v>
      </c>
      <c r="Q591" s="2" t="s">
        <v>23151</v>
      </c>
      <c r="R591" s="2" t="s">
        <v>36</v>
      </c>
      <c r="S591" s="2" t="s">
        <v>37</v>
      </c>
      <c r="T591" s="2" t="s">
        <v>9649</v>
      </c>
      <c r="U591" s="2" t="s">
        <v>29</v>
      </c>
      <c r="V591" s="2" t="n">
        <v>1</v>
      </c>
    </row>
    <row r="592">
      <c r="A592" s="2" t="n">
        <v>591</v>
      </c>
      <c r="B592" s="2" t="s">
        <v>23152</v>
      </c>
      <c r="C592" s="2" t="n">
        <v>632.332427385</v>
      </c>
      <c r="D592" s="2" t="n">
        <v>1.73136219128203</v>
      </c>
      <c r="E592" s="2" t="s">
        <v>23153</v>
      </c>
      <c r="F592" s="2" t="s">
        <v>17406</v>
      </c>
      <c r="G592" s="2" t="s">
        <v>23154</v>
      </c>
      <c r="H592" s="2" t="s">
        <v>23155</v>
      </c>
      <c r="I592" s="2" t="s">
        <v>23156</v>
      </c>
      <c r="J592" s="2" t="s">
        <v>29</v>
      </c>
      <c r="K592" s="2" t="s">
        <v>29</v>
      </c>
      <c r="L592" s="2" t="s">
        <v>29</v>
      </c>
      <c r="M592" s="2" t="s">
        <v>29</v>
      </c>
      <c r="N592" s="2" t="s">
        <v>23157</v>
      </c>
      <c r="O592" s="2" t="s">
        <v>29</v>
      </c>
      <c r="P592" s="2" t="s">
        <v>23158</v>
      </c>
      <c r="Q592" s="2" t="s">
        <v>23159</v>
      </c>
      <c r="R592" s="2" t="s">
        <v>794</v>
      </c>
      <c r="S592" s="2" t="s">
        <v>7122</v>
      </c>
      <c r="T592" s="2" t="s">
        <v>8460</v>
      </c>
      <c r="U592" s="2" t="s">
        <v>29</v>
      </c>
      <c r="V592" s="2" t="n">
        <v>1</v>
      </c>
    </row>
    <row r="593">
      <c r="A593" s="2" t="n">
        <v>592</v>
      </c>
      <c r="B593" s="2" t="s">
        <v>23160</v>
      </c>
      <c r="C593" s="2" t="n">
        <v>633.115755052</v>
      </c>
      <c r="D593" s="2" t="n">
        <v>1.37256226802331</v>
      </c>
      <c r="E593" s="2" t="s">
        <v>23161</v>
      </c>
      <c r="F593" s="2" t="s">
        <v>17406</v>
      </c>
      <c r="G593" s="2" t="s">
        <v>23162</v>
      </c>
      <c r="H593" s="2" t="s">
        <v>23163</v>
      </c>
      <c r="I593" s="2" t="s">
        <v>23164</v>
      </c>
      <c r="J593" s="2" t="s">
        <v>29</v>
      </c>
      <c r="K593" s="2" t="s">
        <v>29</v>
      </c>
      <c r="L593" s="2" t="s">
        <v>29</v>
      </c>
      <c r="M593" s="2" t="s">
        <v>29</v>
      </c>
      <c r="N593" s="2" t="s">
        <v>23165</v>
      </c>
      <c r="O593" s="2" t="s">
        <v>23166</v>
      </c>
      <c r="P593" s="2" t="s">
        <v>23167</v>
      </c>
      <c r="Q593" s="2" t="s">
        <v>23168</v>
      </c>
      <c r="R593" s="2" t="s">
        <v>1355</v>
      </c>
      <c r="S593" s="2" t="s">
        <v>5199</v>
      </c>
      <c r="T593" s="2" t="s">
        <v>5200</v>
      </c>
      <c r="U593" s="2" t="s">
        <v>29</v>
      </c>
      <c r="V593" s="2" t="n">
        <v>1</v>
      </c>
    </row>
    <row r="594">
      <c r="A594" s="2" t="n">
        <v>593</v>
      </c>
      <c r="B594" s="2" t="s">
        <v>23169</v>
      </c>
      <c r="C594" s="2" t="n">
        <v>635.110154542</v>
      </c>
      <c r="D594" s="2" t="n">
        <v>2.94863257127416</v>
      </c>
      <c r="E594" s="2" t="s">
        <v>23170</v>
      </c>
      <c r="F594" s="2" t="s">
        <v>17198</v>
      </c>
      <c r="G594" s="2" t="s">
        <v>23171</v>
      </c>
      <c r="H594" s="2" t="s">
        <v>23172</v>
      </c>
      <c r="I594" s="2" t="s">
        <v>23173</v>
      </c>
      <c r="J594" s="2" t="s">
        <v>23174</v>
      </c>
      <c r="K594" s="2" t="s">
        <v>29</v>
      </c>
      <c r="L594" s="2" t="s">
        <v>23175</v>
      </c>
      <c r="M594" s="2" t="s">
        <v>23176</v>
      </c>
      <c r="N594" s="2" t="s">
        <v>23177</v>
      </c>
      <c r="O594" s="2" t="s">
        <v>23178</v>
      </c>
      <c r="P594" s="2" t="s">
        <v>23179</v>
      </c>
      <c r="Q594" s="2" t="s">
        <v>23180</v>
      </c>
      <c r="R594" s="2" t="s">
        <v>36</v>
      </c>
      <c r="S594" s="2" t="s">
        <v>37</v>
      </c>
      <c r="T594" s="2" t="s">
        <v>69</v>
      </c>
      <c r="U594" s="2" t="s">
        <v>101</v>
      </c>
      <c r="V594" s="2" t="n">
        <v>1</v>
      </c>
    </row>
    <row r="595">
      <c r="A595" s="2" t="n">
        <v>594</v>
      </c>
      <c r="B595" s="2" t="s">
        <v>23181</v>
      </c>
      <c r="C595" s="2" t="n">
        <v>635.194638459</v>
      </c>
      <c r="D595" s="2" t="n">
        <v>1.89185656654884</v>
      </c>
      <c r="E595" s="2" t="s">
        <v>23182</v>
      </c>
      <c r="F595" s="2" t="s">
        <v>17198</v>
      </c>
      <c r="G595" s="2" t="s">
        <v>23183</v>
      </c>
      <c r="H595" s="2" t="s">
        <v>23184</v>
      </c>
      <c r="I595" s="2" t="s">
        <v>23185</v>
      </c>
      <c r="J595" s="2" t="s">
        <v>91</v>
      </c>
      <c r="K595" s="2" t="s">
        <v>91</v>
      </c>
      <c r="L595" s="2" t="s">
        <v>91</v>
      </c>
      <c r="M595" s="2" t="s">
        <v>91</v>
      </c>
      <c r="N595" s="2" t="s">
        <v>23186</v>
      </c>
      <c r="O595" s="2" t="s">
        <v>23187</v>
      </c>
      <c r="P595" s="2" t="s">
        <v>23188</v>
      </c>
      <c r="Q595" s="2" t="s">
        <v>23189</v>
      </c>
      <c r="R595" s="2" t="s">
        <v>7198</v>
      </c>
      <c r="S595" s="2" t="s">
        <v>8937</v>
      </c>
      <c r="T595" s="2" t="s">
        <v>23190</v>
      </c>
      <c r="U595" s="2" t="s">
        <v>29</v>
      </c>
      <c r="V595" s="2" t="n">
        <v>2</v>
      </c>
    </row>
    <row r="596">
      <c r="A596" s="2" t="n">
        <v>595</v>
      </c>
      <c r="B596" s="2" t="s">
        <v>23191</v>
      </c>
      <c r="C596" s="2" t="n">
        <v>635.40841569</v>
      </c>
      <c r="D596" s="2" t="n">
        <v>1.43903148338803</v>
      </c>
      <c r="E596" s="2" t="s">
        <v>23192</v>
      </c>
      <c r="F596" s="2" t="s">
        <v>17892</v>
      </c>
      <c r="G596" s="2" t="s">
        <v>23193</v>
      </c>
      <c r="H596" s="2" t="s">
        <v>23194</v>
      </c>
      <c r="I596" s="2" t="s">
        <v>23195</v>
      </c>
      <c r="J596" s="2" t="s">
        <v>29</v>
      </c>
      <c r="K596" s="2" t="s">
        <v>29</v>
      </c>
      <c r="L596" s="2" t="s">
        <v>29</v>
      </c>
      <c r="M596" s="2" t="s">
        <v>29</v>
      </c>
      <c r="N596" s="2" t="s">
        <v>29</v>
      </c>
      <c r="O596" s="2" t="s">
        <v>29</v>
      </c>
      <c r="P596" s="2" t="s">
        <v>23196</v>
      </c>
      <c r="Q596" s="2" t="s">
        <v>23197</v>
      </c>
      <c r="R596" s="2" t="s">
        <v>186</v>
      </c>
      <c r="S596" s="2" t="s">
        <v>187</v>
      </c>
      <c r="T596" s="2" t="s">
        <v>5455</v>
      </c>
      <c r="U596" s="2" t="s">
        <v>29</v>
      </c>
      <c r="V596" s="2" t="n">
        <v>1</v>
      </c>
    </row>
    <row r="597">
      <c r="A597" s="2" t="n">
        <v>596</v>
      </c>
      <c r="B597" s="2" t="s">
        <v>23198</v>
      </c>
      <c r="C597" s="2" t="n">
        <v>639.498301222</v>
      </c>
      <c r="D597" s="2" t="n">
        <v>1.48060649347089</v>
      </c>
      <c r="E597" s="2" t="s">
        <v>23199</v>
      </c>
      <c r="F597" s="2" t="s">
        <v>17137</v>
      </c>
      <c r="G597" s="2" t="s">
        <v>23200</v>
      </c>
      <c r="H597" s="2" t="s">
        <v>23201</v>
      </c>
      <c r="I597" s="2" t="s">
        <v>23202</v>
      </c>
      <c r="J597" s="2" t="s">
        <v>23203</v>
      </c>
      <c r="K597" s="2" t="s">
        <v>23204</v>
      </c>
      <c r="L597" s="2" t="s">
        <v>29</v>
      </c>
      <c r="M597" s="2" t="s">
        <v>29</v>
      </c>
      <c r="N597" s="2" t="s">
        <v>23205</v>
      </c>
      <c r="O597" s="2" t="s">
        <v>29</v>
      </c>
      <c r="P597" s="2" t="s">
        <v>23206</v>
      </c>
      <c r="Q597" s="2" t="s">
        <v>23207</v>
      </c>
      <c r="R597" s="2" t="s">
        <v>794</v>
      </c>
      <c r="S597" s="2" t="s">
        <v>2600</v>
      </c>
      <c r="T597" s="2" t="s">
        <v>8990</v>
      </c>
      <c r="U597" s="2" t="s">
        <v>39</v>
      </c>
      <c r="V597" s="2" t="n">
        <v>1</v>
      </c>
    </row>
    <row r="598">
      <c r="A598" s="2" t="n">
        <v>597</v>
      </c>
      <c r="B598" s="2" t="s">
        <v>23208</v>
      </c>
      <c r="C598" s="2" t="n">
        <v>641.513951286</v>
      </c>
      <c r="D598" s="2" t="n">
        <v>0.495652242855359</v>
      </c>
      <c r="E598" s="2" t="s">
        <v>23209</v>
      </c>
      <c r="F598" s="2" t="s">
        <v>17137</v>
      </c>
      <c r="G598" s="2" t="s">
        <v>23210</v>
      </c>
      <c r="H598" s="2" t="s">
        <v>23211</v>
      </c>
      <c r="I598" s="2" t="s">
        <v>23212</v>
      </c>
      <c r="J598" s="2" t="s">
        <v>23213</v>
      </c>
      <c r="K598" s="2" t="s">
        <v>23214</v>
      </c>
      <c r="L598" s="2" t="s">
        <v>29</v>
      </c>
      <c r="M598" s="2" t="s">
        <v>23215</v>
      </c>
      <c r="N598" s="2" t="s">
        <v>23216</v>
      </c>
      <c r="O598" s="2" t="s">
        <v>29</v>
      </c>
      <c r="P598" s="2" t="s">
        <v>23217</v>
      </c>
      <c r="Q598" s="2" t="s">
        <v>23218</v>
      </c>
      <c r="R598" s="2" t="s">
        <v>794</v>
      </c>
      <c r="S598" s="2" t="s">
        <v>2600</v>
      </c>
      <c r="T598" s="2" t="s">
        <v>8990</v>
      </c>
      <c r="U598" s="2" t="s">
        <v>56</v>
      </c>
      <c r="V598" s="2" t="n">
        <v>1</v>
      </c>
    </row>
    <row r="599">
      <c r="A599" s="2" t="n">
        <v>598</v>
      </c>
      <c r="B599" s="2" t="s">
        <v>23219</v>
      </c>
      <c r="C599" s="2" t="n">
        <v>643.52960135</v>
      </c>
      <c r="D599" s="2" t="n">
        <v>0.713259981573698</v>
      </c>
      <c r="E599" s="2" t="s">
        <v>23220</v>
      </c>
      <c r="F599" s="2" t="s">
        <v>17137</v>
      </c>
      <c r="G599" s="2" t="s">
        <v>23221</v>
      </c>
      <c r="H599" s="2" t="s">
        <v>23222</v>
      </c>
      <c r="I599" s="2" t="s">
        <v>23223</v>
      </c>
      <c r="J599" s="2" t="s">
        <v>23224</v>
      </c>
      <c r="K599" s="2" t="s">
        <v>29</v>
      </c>
      <c r="L599" s="2" t="s">
        <v>29</v>
      </c>
      <c r="M599" s="2" t="s">
        <v>23225</v>
      </c>
      <c r="N599" s="2" t="s">
        <v>23226</v>
      </c>
      <c r="O599" s="2" t="s">
        <v>29</v>
      </c>
      <c r="P599" s="2" t="s">
        <v>23227</v>
      </c>
      <c r="Q599" s="2" t="s">
        <v>23228</v>
      </c>
      <c r="R599" s="2" t="s">
        <v>794</v>
      </c>
      <c r="S599" s="2" t="s">
        <v>2600</v>
      </c>
      <c r="T599" s="2" t="s">
        <v>8990</v>
      </c>
      <c r="U599" s="2" t="s">
        <v>56</v>
      </c>
      <c r="V599" s="2" t="n">
        <v>1</v>
      </c>
    </row>
    <row r="600">
      <c r="A600" s="2" t="n">
        <v>599</v>
      </c>
      <c r="B600" s="2" t="s">
        <v>23229</v>
      </c>
      <c r="C600" s="2" t="n">
        <v>645.166997068</v>
      </c>
      <c r="D600" s="2" t="n">
        <v>0.609964154417114</v>
      </c>
      <c r="E600" s="2" t="s">
        <v>23230</v>
      </c>
      <c r="F600" s="2" t="s">
        <v>17227</v>
      </c>
      <c r="G600" s="2" t="s">
        <v>23231</v>
      </c>
      <c r="H600" s="2" t="s">
        <v>23232</v>
      </c>
      <c r="I600" s="2" t="s">
        <v>23233</v>
      </c>
      <c r="J600" s="2" t="s">
        <v>23234</v>
      </c>
      <c r="K600" s="2" t="s">
        <v>29</v>
      </c>
      <c r="L600" s="2" t="s">
        <v>23235</v>
      </c>
      <c r="M600" s="2" t="s">
        <v>23236</v>
      </c>
      <c r="N600" s="2" t="s">
        <v>23237</v>
      </c>
      <c r="O600" s="2" t="s">
        <v>23238</v>
      </c>
      <c r="P600" s="2" t="s">
        <v>23239</v>
      </c>
      <c r="Q600" s="2" t="s">
        <v>23240</v>
      </c>
      <c r="R600" s="2" t="s">
        <v>114</v>
      </c>
      <c r="S600" s="2" t="s">
        <v>4523</v>
      </c>
      <c r="T600" s="2" t="s">
        <v>4524</v>
      </c>
      <c r="U600" s="2" t="s">
        <v>56</v>
      </c>
      <c r="V600" s="2" t="n">
        <v>1</v>
      </c>
    </row>
    <row r="601">
      <c r="A601" s="2" t="n">
        <v>600</v>
      </c>
      <c r="B601" s="2" t="s">
        <v>23241</v>
      </c>
      <c r="C601" s="2" t="n">
        <v>646.165462497</v>
      </c>
      <c r="D601" s="2" t="n">
        <v>0.847801991447423</v>
      </c>
      <c r="E601" s="2" t="s">
        <v>23242</v>
      </c>
      <c r="F601" s="2" t="s">
        <v>17198</v>
      </c>
      <c r="G601" s="2" t="s">
        <v>23243</v>
      </c>
      <c r="H601" s="2" t="s">
        <v>23244</v>
      </c>
      <c r="I601" s="2" t="s">
        <v>23245</v>
      </c>
      <c r="J601" s="2" t="s">
        <v>29</v>
      </c>
      <c r="K601" s="2" t="s">
        <v>29</v>
      </c>
      <c r="L601" s="2" t="s">
        <v>29</v>
      </c>
      <c r="M601" s="2" t="s">
        <v>29</v>
      </c>
      <c r="N601" s="2" t="s">
        <v>29</v>
      </c>
      <c r="O601" s="2" t="s">
        <v>29</v>
      </c>
      <c r="P601" s="2" t="s">
        <v>23246</v>
      </c>
      <c r="Q601" s="2" t="s">
        <v>23247</v>
      </c>
      <c r="R601" s="2" t="s">
        <v>186</v>
      </c>
      <c r="S601" s="2" t="s">
        <v>187</v>
      </c>
      <c r="T601" s="2" t="s">
        <v>2195</v>
      </c>
      <c r="U601" s="2" t="s">
        <v>29</v>
      </c>
      <c r="V601" s="2" t="n">
        <v>1</v>
      </c>
    </row>
    <row r="602">
      <c r="A602" s="2" t="n">
        <v>601</v>
      </c>
      <c r="B602" s="2" t="s">
        <v>23248</v>
      </c>
      <c r="C602" s="2" t="n">
        <v>647.1652575</v>
      </c>
      <c r="D602" s="2" t="n">
        <v>0.139330710491335</v>
      </c>
      <c r="E602" s="2" t="s">
        <v>23249</v>
      </c>
      <c r="F602" s="2" t="s">
        <v>17227</v>
      </c>
      <c r="G602" s="2" t="s">
        <v>23250</v>
      </c>
      <c r="H602" s="2" t="s">
        <v>23251</v>
      </c>
      <c r="I602" s="2" t="s">
        <v>23252</v>
      </c>
      <c r="J602" s="2" t="s">
        <v>23253</v>
      </c>
      <c r="K602" s="2" t="s">
        <v>29</v>
      </c>
      <c r="L602" s="2" t="s">
        <v>23254</v>
      </c>
      <c r="M602" s="2" t="s">
        <v>23255</v>
      </c>
      <c r="N602" s="2" t="s">
        <v>7512</v>
      </c>
      <c r="O602" s="2" t="s">
        <v>23256</v>
      </c>
      <c r="P602" s="2" t="s">
        <v>23257</v>
      </c>
      <c r="Q602" s="2" t="s">
        <v>23258</v>
      </c>
      <c r="R602" s="2" t="s">
        <v>36</v>
      </c>
      <c r="S602" s="2" t="s">
        <v>19943</v>
      </c>
      <c r="T602" s="2" t="s">
        <v>19944</v>
      </c>
      <c r="U602" s="2" t="s">
        <v>101</v>
      </c>
      <c r="V602" s="2" t="n">
        <v>1</v>
      </c>
    </row>
    <row r="603">
      <c r="A603" s="2" t="n">
        <v>602</v>
      </c>
      <c r="B603" s="2" t="s">
        <v>23259</v>
      </c>
      <c r="C603" s="2" t="n">
        <v>648.169098</v>
      </c>
      <c r="D603" s="2" t="n">
        <v>3.70447107669722</v>
      </c>
      <c r="E603" s="2" t="s">
        <v>23260</v>
      </c>
      <c r="F603" s="2" t="s">
        <v>17970</v>
      </c>
      <c r="G603" s="2" t="s">
        <v>23261</v>
      </c>
      <c r="H603" s="2" t="s">
        <v>23262</v>
      </c>
      <c r="I603" s="2" t="s">
        <v>23263</v>
      </c>
      <c r="J603" s="2" t="s">
        <v>29</v>
      </c>
      <c r="K603" s="2" t="s">
        <v>29</v>
      </c>
      <c r="L603" s="2" t="s">
        <v>29</v>
      </c>
      <c r="M603" s="2" t="s">
        <v>29</v>
      </c>
      <c r="N603" s="2" t="s">
        <v>23264</v>
      </c>
      <c r="O603" s="2" t="s">
        <v>29</v>
      </c>
      <c r="P603" s="2" t="s">
        <v>23265</v>
      </c>
      <c r="Q603" s="2" t="s">
        <v>23266</v>
      </c>
      <c r="R603" s="2" t="s">
        <v>186</v>
      </c>
      <c r="S603" s="2" t="s">
        <v>187</v>
      </c>
      <c r="T603" s="2" t="s">
        <v>8537</v>
      </c>
      <c r="U603" s="2" t="s">
        <v>29</v>
      </c>
      <c r="V603" s="2" t="n">
        <v>1</v>
      </c>
    </row>
    <row r="604">
      <c r="A604" s="2" t="n">
        <v>603</v>
      </c>
      <c r="B604" s="2" t="s">
        <v>23267</v>
      </c>
      <c r="C604" s="2" t="n">
        <v>650.156641498</v>
      </c>
      <c r="D604" s="2" t="n">
        <v>2.76576337323175</v>
      </c>
      <c r="E604" s="2" t="s">
        <v>23268</v>
      </c>
      <c r="F604" s="2" t="s">
        <v>17520</v>
      </c>
      <c r="G604" s="2" t="s">
        <v>23269</v>
      </c>
      <c r="H604" s="2" t="s">
        <v>23270</v>
      </c>
      <c r="I604" s="2" t="s">
        <v>23271</v>
      </c>
      <c r="J604" s="2" t="s">
        <v>29</v>
      </c>
      <c r="K604" s="2" t="s">
        <v>29</v>
      </c>
      <c r="L604" s="2" t="s">
        <v>29</v>
      </c>
      <c r="M604" s="2" t="s">
        <v>29</v>
      </c>
      <c r="N604" s="2" t="s">
        <v>23272</v>
      </c>
      <c r="O604" s="2" t="s">
        <v>29</v>
      </c>
      <c r="P604" s="2" t="s">
        <v>23273</v>
      </c>
      <c r="Q604" s="2" t="s">
        <v>23274</v>
      </c>
      <c r="R604" s="2" t="s">
        <v>114</v>
      </c>
      <c r="S604" s="2" t="s">
        <v>994</v>
      </c>
      <c r="T604" s="2" t="s">
        <v>1611</v>
      </c>
      <c r="U604" s="2" t="s">
        <v>29</v>
      </c>
      <c r="V604" s="2" t="n">
        <v>1</v>
      </c>
    </row>
    <row r="605">
      <c r="A605" s="2" t="n">
        <v>604</v>
      </c>
      <c r="B605" s="2" t="s">
        <v>23275</v>
      </c>
      <c r="C605" s="2" t="n">
        <v>655.469678536</v>
      </c>
      <c r="D605" s="2" t="n">
        <v>4.38241269276637</v>
      </c>
      <c r="E605" s="2" t="s">
        <v>23276</v>
      </c>
      <c r="F605" s="2" t="s">
        <v>17892</v>
      </c>
      <c r="G605" s="2" t="s">
        <v>23277</v>
      </c>
      <c r="H605" s="2" t="s">
        <v>23278</v>
      </c>
      <c r="I605" s="2" t="s">
        <v>23279</v>
      </c>
      <c r="J605" s="2" t="s">
        <v>23280</v>
      </c>
      <c r="K605" s="2" t="s">
        <v>23281</v>
      </c>
      <c r="L605" s="2" t="s">
        <v>23282</v>
      </c>
      <c r="M605" s="2" t="s">
        <v>23283</v>
      </c>
      <c r="N605" s="2" t="s">
        <v>23284</v>
      </c>
      <c r="O605" s="2" t="s">
        <v>23285</v>
      </c>
      <c r="P605" s="2" t="s">
        <v>23286</v>
      </c>
      <c r="Q605" s="2" t="s">
        <v>23287</v>
      </c>
      <c r="R605" s="2" t="s">
        <v>412</v>
      </c>
      <c r="S605" s="2" t="s">
        <v>6265</v>
      </c>
      <c r="T605" s="2" t="s">
        <v>23288</v>
      </c>
      <c r="U605" s="2" t="s">
        <v>56</v>
      </c>
      <c r="V605" s="2" t="n">
        <v>2</v>
      </c>
    </row>
    <row r="606">
      <c r="A606" s="2" t="n">
        <v>605</v>
      </c>
      <c r="B606" s="2" t="s">
        <v>23289</v>
      </c>
      <c r="C606" s="2" t="n">
        <v>657.485367074</v>
      </c>
      <c r="D606" s="2" t="n">
        <v>1.6960676612734</v>
      </c>
      <c r="E606" s="2" t="s">
        <v>23290</v>
      </c>
      <c r="F606" s="2" t="s">
        <v>17137</v>
      </c>
      <c r="G606" s="2" t="s">
        <v>23291</v>
      </c>
      <c r="H606" s="2" t="s">
        <v>23292</v>
      </c>
      <c r="I606" s="2" t="s">
        <v>23293</v>
      </c>
      <c r="J606" s="2" t="s">
        <v>23294</v>
      </c>
      <c r="K606" s="2" t="s">
        <v>23295</v>
      </c>
      <c r="L606" s="2" t="s">
        <v>23296</v>
      </c>
      <c r="M606" s="2" t="s">
        <v>29</v>
      </c>
      <c r="N606" s="2" t="s">
        <v>23297</v>
      </c>
      <c r="O606" s="2" t="s">
        <v>23298</v>
      </c>
      <c r="P606" s="2" t="s">
        <v>23299</v>
      </c>
      <c r="Q606" s="2" t="s">
        <v>23300</v>
      </c>
      <c r="R606" s="2" t="s">
        <v>794</v>
      </c>
      <c r="S606" s="2" t="s">
        <v>7122</v>
      </c>
      <c r="T606" s="2" t="s">
        <v>7123</v>
      </c>
      <c r="U606" s="2" t="s">
        <v>101</v>
      </c>
      <c r="V606" s="2" t="n">
        <v>1</v>
      </c>
    </row>
    <row r="607">
      <c r="A607" s="2" t="n">
        <v>606</v>
      </c>
      <c r="B607" s="2" t="s">
        <v>23301</v>
      </c>
      <c r="C607" s="2" t="n">
        <v>660.366722695</v>
      </c>
      <c r="D607" s="2" t="n">
        <v>4.64886769960663</v>
      </c>
      <c r="E607" s="2" t="s">
        <v>23302</v>
      </c>
      <c r="F607" s="2" t="s">
        <v>17970</v>
      </c>
      <c r="G607" s="2" t="s">
        <v>23303</v>
      </c>
      <c r="H607" s="2" t="s">
        <v>23304</v>
      </c>
      <c r="I607" s="2" t="s">
        <v>23305</v>
      </c>
      <c r="J607" s="2" t="s">
        <v>29</v>
      </c>
      <c r="K607" s="2" t="s">
        <v>29</v>
      </c>
      <c r="L607" s="2" t="s">
        <v>29</v>
      </c>
      <c r="M607" s="2" t="s">
        <v>29</v>
      </c>
      <c r="N607" s="2" t="s">
        <v>23306</v>
      </c>
      <c r="O607" s="2" t="s">
        <v>29</v>
      </c>
      <c r="P607" s="2" t="s">
        <v>23307</v>
      </c>
      <c r="Q607" s="2" t="s">
        <v>23308</v>
      </c>
      <c r="R607" s="2" t="s">
        <v>36</v>
      </c>
      <c r="S607" s="2" t="s">
        <v>37</v>
      </c>
      <c r="T607" s="2" t="s">
        <v>69</v>
      </c>
      <c r="U607" s="2" t="s">
        <v>29</v>
      </c>
      <c r="V607" s="2" t="n">
        <v>1</v>
      </c>
    </row>
    <row r="608">
      <c r="A608" s="2" t="n">
        <v>607</v>
      </c>
      <c r="B608" s="2" t="s">
        <v>23309</v>
      </c>
      <c r="C608" s="2" t="n">
        <v>661.51394339</v>
      </c>
      <c r="D608" s="2" t="n">
        <v>5.93695542713369</v>
      </c>
      <c r="E608" s="2" t="s">
        <v>23310</v>
      </c>
      <c r="F608" s="2" t="s">
        <v>17892</v>
      </c>
      <c r="G608" s="2" t="s">
        <v>23311</v>
      </c>
      <c r="H608" s="2" t="s">
        <v>23312</v>
      </c>
      <c r="I608" s="2" t="s">
        <v>23313</v>
      </c>
      <c r="J608" s="2" t="s">
        <v>29</v>
      </c>
      <c r="K608" s="2" t="s">
        <v>29</v>
      </c>
      <c r="L608" s="2" t="s">
        <v>29</v>
      </c>
      <c r="M608" s="2" t="s">
        <v>29</v>
      </c>
      <c r="N608" s="2" t="s">
        <v>23314</v>
      </c>
      <c r="O608" s="2" t="s">
        <v>29</v>
      </c>
      <c r="P608" s="2" t="s">
        <v>23315</v>
      </c>
      <c r="Q608" s="2" t="s">
        <v>23316</v>
      </c>
      <c r="R608" s="2" t="s">
        <v>601</v>
      </c>
      <c r="S608" s="2" t="s">
        <v>602</v>
      </c>
      <c r="T608" s="2" t="s">
        <v>1800</v>
      </c>
      <c r="U608" s="2" t="s">
        <v>29</v>
      </c>
      <c r="V608" s="2" t="n">
        <v>1</v>
      </c>
    </row>
    <row r="609">
      <c r="A609" s="2" t="n">
        <v>608</v>
      </c>
      <c r="B609" s="2" t="s">
        <v>23317</v>
      </c>
      <c r="C609" s="2" t="n">
        <v>662.511916175</v>
      </c>
      <c r="D609" s="2" t="n">
        <v>6.29210951966791</v>
      </c>
      <c r="E609" s="2" t="s">
        <v>23318</v>
      </c>
      <c r="F609" s="2" t="s">
        <v>17137</v>
      </c>
      <c r="G609" s="2" t="s">
        <v>23319</v>
      </c>
      <c r="H609" s="2" t="s">
        <v>23320</v>
      </c>
      <c r="I609" s="2" t="s">
        <v>23321</v>
      </c>
      <c r="J609" s="2" t="s">
        <v>23322</v>
      </c>
      <c r="K609" s="2" t="s">
        <v>29</v>
      </c>
      <c r="L609" s="2" t="s">
        <v>9434</v>
      </c>
      <c r="M609" s="2" t="s">
        <v>29</v>
      </c>
      <c r="N609" s="2" t="s">
        <v>23323</v>
      </c>
      <c r="O609" s="2" t="s">
        <v>29</v>
      </c>
      <c r="P609" s="2" t="s">
        <v>23324</v>
      </c>
      <c r="Q609" s="2" t="s">
        <v>23325</v>
      </c>
      <c r="R609" s="2" t="s">
        <v>794</v>
      </c>
      <c r="S609" s="2" t="s">
        <v>7122</v>
      </c>
      <c r="T609" s="2" t="s">
        <v>8042</v>
      </c>
      <c r="U609" s="2" t="s">
        <v>101</v>
      </c>
      <c r="V609" s="2" t="n">
        <v>1</v>
      </c>
    </row>
    <row r="610">
      <c r="A610" s="2" t="n">
        <v>609</v>
      </c>
      <c r="B610" s="2" t="s">
        <v>23326</v>
      </c>
      <c r="C610" s="2" t="n">
        <v>663.46013542</v>
      </c>
      <c r="D610" s="2" t="n">
        <v>1.2123810038431</v>
      </c>
      <c r="E610" s="2" t="s">
        <v>23327</v>
      </c>
      <c r="F610" s="2" t="s">
        <v>17039</v>
      </c>
      <c r="G610" s="2" t="s">
        <v>23328</v>
      </c>
      <c r="H610" s="2" t="s">
        <v>23329</v>
      </c>
      <c r="I610" s="2" t="s">
        <v>23330</v>
      </c>
      <c r="J610" s="2" t="s">
        <v>29</v>
      </c>
      <c r="K610" s="2" t="s">
        <v>29</v>
      </c>
      <c r="L610" s="2" t="s">
        <v>29</v>
      </c>
      <c r="M610" s="2" t="s">
        <v>29</v>
      </c>
      <c r="N610" s="2" t="s">
        <v>23331</v>
      </c>
      <c r="O610" s="2" t="s">
        <v>29</v>
      </c>
      <c r="P610" s="2" t="s">
        <v>23332</v>
      </c>
      <c r="Q610" s="2" t="s">
        <v>23333</v>
      </c>
      <c r="R610" s="2" t="s">
        <v>794</v>
      </c>
      <c r="S610" s="2" t="s">
        <v>7122</v>
      </c>
      <c r="T610" s="2" t="s">
        <v>9951</v>
      </c>
      <c r="U610" s="2" t="s">
        <v>29</v>
      </c>
      <c r="V610" s="2" t="n">
        <v>1</v>
      </c>
    </row>
    <row r="611">
      <c r="A611" s="2" t="n">
        <v>610</v>
      </c>
      <c r="B611" s="2" t="s">
        <v>23334</v>
      </c>
      <c r="C611" s="2" t="n">
        <v>664.453730621</v>
      </c>
      <c r="D611" s="2" t="n">
        <v>7.3168580109901</v>
      </c>
      <c r="E611" s="2" t="s">
        <v>23335</v>
      </c>
      <c r="F611" s="2" t="s">
        <v>17039</v>
      </c>
      <c r="G611" s="2" t="s">
        <v>23336</v>
      </c>
      <c r="H611" s="2" t="s">
        <v>23337</v>
      </c>
      <c r="I611" s="2" t="s">
        <v>23338</v>
      </c>
      <c r="J611" s="2" t="s">
        <v>91</v>
      </c>
      <c r="K611" s="2" t="s">
        <v>91</v>
      </c>
      <c r="L611" s="2" t="s">
        <v>91</v>
      </c>
      <c r="M611" s="2" t="s">
        <v>91</v>
      </c>
      <c r="N611" s="2" t="s">
        <v>23339</v>
      </c>
      <c r="O611" s="2" t="s">
        <v>91</v>
      </c>
      <c r="P611" s="2" t="s">
        <v>23340</v>
      </c>
      <c r="Q611" s="2" t="s">
        <v>23341</v>
      </c>
      <c r="R611" s="2" t="s">
        <v>144</v>
      </c>
      <c r="S611" s="2" t="s">
        <v>23342</v>
      </c>
      <c r="T611" s="2" t="s">
        <v>23343</v>
      </c>
      <c r="U611" s="2" t="s">
        <v>29</v>
      </c>
      <c r="V611" s="2" t="n">
        <v>2</v>
      </c>
    </row>
    <row r="612">
      <c r="A612" s="2" t="n">
        <v>611</v>
      </c>
      <c r="B612" s="2" t="s">
        <v>23344</v>
      </c>
      <c r="C612" s="2" t="n">
        <v>665.443660494</v>
      </c>
      <c r="D612" s="2" t="n">
        <v>0.603492110365492</v>
      </c>
      <c r="E612" s="2" t="s">
        <v>23345</v>
      </c>
      <c r="F612" s="2" t="s">
        <v>17137</v>
      </c>
      <c r="G612" s="2" t="s">
        <v>23346</v>
      </c>
      <c r="H612" s="2" t="s">
        <v>23347</v>
      </c>
      <c r="I612" s="2" t="s">
        <v>23348</v>
      </c>
      <c r="J612" s="2" t="s">
        <v>29</v>
      </c>
      <c r="K612" s="2" t="s">
        <v>29</v>
      </c>
      <c r="L612" s="2" t="s">
        <v>29</v>
      </c>
      <c r="M612" s="2" t="s">
        <v>23349</v>
      </c>
      <c r="N612" s="2" t="s">
        <v>29</v>
      </c>
      <c r="O612" s="2" t="s">
        <v>29</v>
      </c>
      <c r="P612" s="2" t="s">
        <v>23350</v>
      </c>
      <c r="Q612" s="2" t="s">
        <v>23351</v>
      </c>
      <c r="R612" s="2" t="s">
        <v>114</v>
      </c>
      <c r="S612" s="2" t="s">
        <v>22393</v>
      </c>
      <c r="T612" s="2" t="s">
        <v>215</v>
      </c>
      <c r="U612" s="2" t="s">
        <v>29</v>
      </c>
      <c r="V612" s="2" t="n">
        <v>1</v>
      </c>
    </row>
    <row r="613">
      <c r="A613" s="2" t="n">
        <v>612</v>
      </c>
      <c r="B613" s="2" t="s">
        <v>23352</v>
      </c>
      <c r="C613" s="2" t="n">
        <v>670.151493209</v>
      </c>
      <c r="D613" s="2" t="n">
        <v>2.2080763007033</v>
      </c>
      <c r="E613" s="2" t="s">
        <v>23353</v>
      </c>
      <c r="F613" s="2" t="s">
        <v>17137</v>
      </c>
      <c r="G613" s="2" t="s">
        <v>23354</v>
      </c>
      <c r="H613" s="2" t="s">
        <v>23355</v>
      </c>
      <c r="I613" s="2" t="s">
        <v>23356</v>
      </c>
      <c r="J613" s="2" t="s">
        <v>23357</v>
      </c>
      <c r="K613" s="2" t="s">
        <v>29</v>
      </c>
      <c r="L613" s="2" t="s">
        <v>23358</v>
      </c>
      <c r="M613" s="2" t="s">
        <v>23359</v>
      </c>
      <c r="N613" s="2" t="s">
        <v>23360</v>
      </c>
      <c r="O613" s="2" t="s">
        <v>23361</v>
      </c>
      <c r="P613" s="2" t="s">
        <v>23362</v>
      </c>
      <c r="Q613" s="2" t="s">
        <v>23363</v>
      </c>
      <c r="R613" s="2" t="s">
        <v>36</v>
      </c>
      <c r="S613" s="2" t="s">
        <v>7927</v>
      </c>
      <c r="T613" s="2" t="s">
        <v>8926</v>
      </c>
      <c r="U613" s="2" t="s">
        <v>101</v>
      </c>
      <c r="V613" s="2" t="n">
        <v>1</v>
      </c>
    </row>
    <row r="614">
      <c r="A614" s="2" t="n">
        <v>613</v>
      </c>
      <c r="B614" s="2" t="s">
        <v>23364</v>
      </c>
      <c r="C614" s="2" t="n">
        <v>673.35583057</v>
      </c>
      <c r="D614" s="2" t="n">
        <v>3.28182991430832</v>
      </c>
      <c r="E614" s="2" t="s">
        <v>23365</v>
      </c>
      <c r="F614" s="2" t="s">
        <v>17198</v>
      </c>
      <c r="G614" s="2" t="s">
        <v>23366</v>
      </c>
      <c r="H614" s="2" t="s">
        <v>23367</v>
      </c>
      <c r="I614" s="2" t="s">
        <v>23368</v>
      </c>
      <c r="J614" s="2" t="s">
        <v>23369</v>
      </c>
      <c r="K614" s="2" t="s">
        <v>91</v>
      </c>
      <c r="L614" s="2" t="s">
        <v>91</v>
      </c>
      <c r="M614" s="2" t="s">
        <v>91</v>
      </c>
      <c r="N614" s="2" t="s">
        <v>23370</v>
      </c>
      <c r="O614" s="2" t="s">
        <v>23371</v>
      </c>
      <c r="P614" s="2" t="s">
        <v>23372</v>
      </c>
      <c r="Q614" s="2" t="s">
        <v>23373</v>
      </c>
      <c r="R614" s="2" t="s">
        <v>412</v>
      </c>
      <c r="S614" s="2" t="s">
        <v>7462</v>
      </c>
      <c r="T614" s="2" t="s">
        <v>23374</v>
      </c>
      <c r="U614" s="2" t="s">
        <v>56</v>
      </c>
      <c r="V614" s="2" t="n">
        <v>2</v>
      </c>
    </row>
    <row r="615">
      <c r="A615" s="2" t="n">
        <v>614</v>
      </c>
      <c r="B615" s="2" t="s">
        <v>23375</v>
      </c>
      <c r="C615" s="2" t="n">
        <v>674.353487466</v>
      </c>
      <c r="D615" s="2" t="n">
        <v>3.22310376391873</v>
      </c>
      <c r="E615" s="2" t="s">
        <v>23376</v>
      </c>
      <c r="F615" s="2" t="s">
        <v>17137</v>
      </c>
      <c r="G615" s="2" t="s">
        <v>23377</v>
      </c>
      <c r="H615" s="2" t="s">
        <v>23378</v>
      </c>
      <c r="I615" s="2" t="s">
        <v>23379</v>
      </c>
      <c r="J615" s="2" t="s">
        <v>29</v>
      </c>
      <c r="K615" s="2" t="s">
        <v>29</v>
      </c>
      <c r="L615" s="2" t="s">
        <v>29</v>
      </c>
      <c r="M615" s="2" t="s">
        <v>29</v>
      </c>
      <c r="N615" s="2" t="s">
        <v>23380</v>
      </c>
      <c r="O615" s="2" t="s">
        <v>29</v>
      </c>
      <c r="P615" s="2" t="s">
        <v>23381</v>
      </c>
      <c r="Q615" s="2" t="s">
        <v>23382</v>
      </c>
      <c r="R615" s="2" t="s">
        <v>794</v>
      </c>
      <c r="S615" s="2" t="s">
        <v>2971</v>
      </c>
      <c r="T615" s="2" t="s">
        <v>7382</v>
      </c>
      <c r="U615" s="2" t="s">
        <v>29</v>
      </c>
      <c r="V615" s="2" t="n">
        <v>1</v>
      </c>
    </row>
    <row r="616">
      <c r="A616" s="2" t="n">
        <v>615</v>
      </c>
      <c r="B616" s="2" t="s">
        <v>23383</v>
      </c>
      <c r="C616" s="2" t="n">
        <v>677.438927088</v>
      </c>
      <c r="D616" s="2" t="n">
        <v>9.22990913844529</v>
      </c>
      <c r="E616" s="2" t="s">
        <v>23384</v>
      </c>
      <c r="F616" s="2" t="s">
        <v>17406</v>
      </c>
      <c r="G616" s="2" t="s">
        <v>23385</v>
      </c>
      <c r="H616" s="2" t="s">
        <v>23386</v>
      </c>
      <c r="I616" s="2" t="s">
        <v>23387</v>
      </c>
      <c r="J616" s="2" t="s">
        <v>23388</v>
      </c>
      <c r="K616" s="2" t="s">
        <v>29</v>
      </c>
      <c r="L616" s="2" t="s">
        <v>23389</v>
      </c>
      <c r="M616" s="2" t="s">
        <v>23390</v>
      </c>
      <c r="N616" s="2" t="s">
        <v>23391</v>
      </c>
      <c r="O616" s="2" t="s">
        <v>23392</v>
      </c>
      <c r="P616" s="2" t="s">
        <v>23393</v>
      </c>
      <c r="Q616" s="2" t="s">
        <v>23394</v>
      </c>
      <c r="R616" s="2" t="s">
        <v>794</v>
      </c>
      <c r="S616" s="2" t="s">
        <v>795</v>
      </c>
      <c r="T616" s="2" t="s">
        <v>3273</v>
      </c>
      <c r="U616" s="2" t="s">
        <v>56</v>
      </c>
      <c r="V616" s="2" t="n">
        <v>1</v>
      </c>
    </row>
    <row r="617">
      <c r="A617" s="2" t="n">
        <v>616</v>
      </c>
      <c r="B617" s="2" t="s">
        <v>23395</v>
      </c>
      <c r="C617" s="2" t="n">
        <v>683.501605824</v>
      </c>
      <c r="D617" s="2" t="n">
        <v>1.3082210763858</v>
      </c>
      <c r="E617" s="2" t="s">
        <v>23396</v>
      </c>
      <c r="F617" s="2" t="s">
        <v>17039</v>
      </c>
      <c r="G617" s="2" t="s">
        <v>23397</v>
      </c>
      <c r="H617" s="2" t="s">
        <v>23398</v>
      </c>
      <c r="I617" s="2" t="s">
        <v>23399</v>
      </c>
      <c r="J617" s="2" t="s">
        <v>23400</v>
      </c>
      <c r="K617" s="2" t="s">
        <v>23401</v>
      </c>
      <c r="L617" s="2" t="s">
        <v>9490</v>
      </c>
      <c r="M617" s="2" t="s">
        <v>23402</v>
      </c>
      <c r="N617" s="2" t="s">
        <v>23403</v>
      </c>
      <c r="O617" s="2" t="s">
        <v>29</v>
      </c>
      <c r="P617" s="2" t="s">
        <v>23404</v>
      </c>
      <c r="Q617" s="2" t="s">
        <v>23405</v>
      </c>
      <c r="R617" s="2" t="s">
        <v>794</v>
      </c>
      <c r="S617" s="2" t="s">
        <v>7122</v>
      </c>
      <c r="T617" s="2" t="s">
        <v>7123</v>
      </c>
      <c r="U617" s="2" t="s">
        <v>39</v>
      </c>
      <c r="V617" s="2" t="n">
        <v>1</v>
      </c>
    </row>
    <row r="618">
      <c r="A618" s="2" t="n">
        <v>617</v>
      </c>
      <c r="B618" s="2" t="s">
        <v>23406</v>
      </c>
      <c r="C618" s="2" t="n">
        <v>684.211171577</v>
      </c>
      <c r="D618" s="2" t="n">
        <v>6.26732969391308</v>
      </c>
      <c r="E618" s="2" t="s">
        <v>23407</v>
      </c>
      <c r="F618" s="2" t="s">
        <v>17406</v>
      </c>
      <c r="G618" s="2" t="s">
        <v>23408</v>
      </c>
      <c r="H618" s="2" t="s">
        <v>23409</v>
      </c>
      <c r="I618" s="2" t="s">
        <v>23410</v>
      </c>
      <c r="J618" s="2" t="s">
        <v>29</v>
      </c>
      <c r="K618" s="2" t="s">
        <v>29</v>
      </c>
      <c r="L618" s="2" t="s">
        <v>23411</v>
      </c>
      <c r="M618" s="2" t="s">
        <v>23412</v>
      </c>
      <c r="N618" s="2" t="s">
        <v>23413</v>
      </c>
      <c r="O618" s="2" t="s">
        <v>23414</v>
      </c>
      <c r="P618" s="2" t="s">
        <v>23415</v>
      </c>
      <c r="Q618" s="2" t="s">
        <v>23416</v>
      </c>
      <c r="R618" s="2" t="s">
        <v>129</v>
      </c>
      <c r="S618" s="2" t="s">
        <v>130</v>
      </c>
      <c r="T618" s="2" t="s">
        <v>1681</v>
      </c>
      <c r="U618" s="2" t="s">
        <v>56</v>
      </c>
      <c r="V618" s="2" t="n">
        <v>1</v>
      </c>
    </row>
    <row r="619">
      <c r="A619" s="2" t="n">
        <v>618</v>
      </c>
      <c r="B619" s="2" t="s">
        <v>23417</v>
      </c>
      <c r="C619" s="2" t="n">
        <v>686.283221005</v>
      </c>
      <c r="D619" s="2" t="n">
        <v>8.76099529660828</v>
      </c>
      <c r="E619" s="2" t="s">
        <v>23418</v>
      </c>
      <c r="F619" s="2" t="s">
        <v>17520</v>
      </c>
      <c r="G619" s="2" t="s">
        <v>23419</v>
      </c>
      <c r="H619" s="2" t="s">
        <v>23420</v>
      </c>
      <c r="I619" s="2" t="s">
        <v>23421</v>
      </c>
      <c r="J619" s="2" t="s">
        <v>29</v>
      </c>
      <c r="K619" s="2" t="s">
        <v>29</v>
      </c>
      <c r="L619" s="2" t="s">
        <v>29</v>
      </c>
      <c r="M619" s="2" t="s">
        <v>29</v>
      </c>
      <c r="N619" s="2" t="s">
        <v>23422</v>
      </c>
      <c r="O619" s="2" t="s">
        <v>29</v>
      </c>
      <c r="P619" s="2" t="s">
        <v>23423</v>
      </c>
      <c r="Q619" s="2" t="s">
        <v>23424</v>
      </c>
      <c r="R619" s="2" t="s">
        <v>794</v>
      </c>
      <c r="S619" s="2" t="s">
        <v>7122</v>
      </c>
      <c r="T619" s="2" t="s">
        <v>8460</v>
      </c>
      <c r="U619" s="2" t="s">
        <v>29</v>
      </c>
      <c r="V619" s="2" t="n">
        <v>1</v>
      </c>
    </row>
    <row r="620">
      <c r="A620" s="2" t="n">
        <v>619</v>
      </c>
      <c r="B620" s="2" t="s">
        <v>23425</v>
      </c>
      <c r="C620" s="2" t="n">
        <v>687.208948654</v>
      </c>
      <c r="D620" s="2" t="n">
        <v>0.0515593713738915</v>
      </c>
      <c r="E620" s="2" t="s">
        <v>23426</v>
      </c>
      <c r="F620" s="2" t="s">
        <v>17039</v>
      </c>
      <c r="G620" s="2" t="s">
        <v>23427</v>
      </c>
      <c r="H620" s="2" t="s">
        <v>23428</v>
      </c>
      <c r="I620" s="2" t="s">
        <v>23429</v>
      </c>
      <c r="J620" s="2" t="s">
        <v>29</v>
      </c>
      <c r="K620" s="2" t="s">
        <v>29</v>
      </c>
      <c r="L620" s="2" t="s">
        <v>29</v>
      </c>
      <c r="M620" s="2" t="s">
        <v>29</v>
      </c>
      <c r="N620" s="2" t="s">
        <v>23430</v>
      </c>
      <c r="O620" s="2" t="s">
        <v>29</v>
      </c>
      <c r="P620" s="2" t="s">
        <v>23431</v>
      </c>
      <c r="Q620" s="2" t="s">
        <v>23432</v>
      </c>
      <c r="R620" s="2" t="s">
        <v>1355</v>
      </c>
      <c r="S620" s="2" t="s">
        <v>9411</v>
      </c>
      <c r="T620" s="2" t="s">
        <v>215</v>
      </c>
      <c r="U620" s="2" t="s">
        <v>29</v>
      </c>
      <c r="V620" s="2" t="n">
        <v>1</v>
      </c>
    </row>
    <row r="621">
      <c r="A621" s="2" t="n">
        <v>620</v>
      </c>
      <c r="B621" s="2" t="s">
        <v>23433</v>
      </c>
      <c r="C621" s="2" t="n">
        <v>687.532906437</v>
      </c>
      <c r="D621" s="2" t="n">
        <v>3.25986393622187</v>
      </c>
      <c r="E621" s="2" t="s">
        <v>23434</v>
      </c>
      <c r="F621" s="2" t="s">
        <v>17039</v>
      </c>
      <c r="G621" s="2" t="s">
        <v>23435</v>
      </c>
      <c r="H621" s="2" t="s">
        <v>23436</v>
      </c>
      <c r="I621" s="2" t="s">
        <v>23437</v>
      </c>
      <c r="J621" s="2" t="s">
        <v>23438</v>
      </c>
      <c r="K621" s="2" t="s">
        <v>23439</v>
      </c>
      <c r="L621" s="2" t="s">
        <v>29</v>
      </c>
      <c r="M621" s="2" t="s">
        <v>29</v>
      </c>
      <c r="N621" s="2" t="s">
        <v>23440</v>
      </c>
      <c r="O621" s="2" t="s">
        <v>29</v>
      </c>
      <c r="P621" s="2" t="s">
        <v>23441</v>
      </c>
      <c r="Q621" s="2" t="s">
        <v>23442</v>
      </c>
      <c r="R621" s="2" t="s">
        <v>794</v>
      </c>
      <c r="S621" s="2" t="s">
        <v>7122</v>
      </c>
      <c r="T621" s="2" t="s">
        <v>7123</v>
      </c>
      <c r="U621" s="2" t="s">
        <v>29</v>
      </c>
      <c r="V621" s="2" t="n">
        <v>1</v>
      </c>
    </row>
    <row r="622">
      <c r="A622" s="2" t="n">
        <v>621</v>
      </c>
      <c r="B622" s="2" t="s">
        <v>23443</v>
      </c>
      <c r="C622" s="2" t="n">
        <v>688.390855601</v>
      </c>
      <c r="D622" s="2" t="n">
        <v>2.83995793097271</v>
      </c>
      <c r="E622" s="2" t="s">
        <v>23444</v>
      </c>
      <c r="F622" s="2" t="s">
        <v>17039</v>
      </c>
      <c r="G622" s="2" t="s">
        <v>23445</v>
      </c>
      <c r="H622" s="2" t="s">
        <v>23446</v>
      </c>
      <c r="I622" s="2" t="s">
        <v>23447</v>
      </c>
      <c r="J622" s="2" t="s">
        <v>91</v>
      </c>
      <c r="K622" s="2" t="s">
        <v>91</v>
      </c>
      <c r="L622" s="2" t="s">
        <v>91</v>
      </c>
      <c r="M622" s="2" t="s">
        <v>23448</v>
      </c>
      <c r="N622" s="2" t="s">
        <v>23449</v>
      </c>
      <c r="O622" s="2" t="s">
        <v>23450</v>
      </c>
      <c r="P622" s="2" t="s">
        <v>23451</v>
      </c>
      <c r="Q622" s="2" t="s">
        <v>23452</v>
      </c>
      <c r="R622" s="2" t="s">
        <v>144</v>
      </c>
      <c r="S622" s="2" t="s">
        <v>145</v>
      </c>
      <c r="T622" s="2" t="s">
        <v>23453</v>
      </c>
      <c r="U622" s="2" t="s">
        <v>29</v>
      </c>
      <c r="V622" s="2" t="n">
        <v>2</v>
      </c>
    </row>
    <row r="623">
      <c r="A623" s="2" t="n">
        <v>622</v>
      </c>
      <c r="B623" s="2" t="s">
        <v>23454</v>
      </c>
      <c r="C623" s="2" t="n">
        <v>689.404794763</v>
      </c>
      <c r="D623" s="2" t="n">
        <v>8.96874841192392</v>
      </c>
      <c r="E623" s="2" t="s">
        <v>23455</v>
      </c>
      <c r="F623" s="2" t="s">
        <v>17137</v>
      </c>
      <c r="G623" s="2" t="s">
        <v>23456</v>
      </c>
      <c r="H623" s="2" t="s">
        <v>23457</v>
      </c>
      <c r="I623" s="2" t="s">
        <v>23458</v>
      </c>
      <c r="J623" s="2" t="s">
        <v>29</v>
      </c>
      <c r="K623" s="2" t="s">
        <v>29</v>
      </c>
      <c r="L623" s="2" t="s">
        <v>29</v>
      </c>
      <c r="M623" s="2" t="s">
        <v>29</v>
      </c>
      <c r="N623" s="2" t="s">
        <v>23459</v>
      </c>
      <c r="O623" s="2" t="s">
        <v>29</v>
      </c>
      <c r="P623" s="2" t="s">
        <v>23460</v>
      </c>
      <c r="Q623" s="2" t="s">
        <v>23461</v>
      </c>
      <c r="R623" s="2" t="s">
        <v>794</v>
      </c>
      <c r="S623" s="2" t="s">
        <v>1098</v>
      </c>
      <c r="T623" s="2" t="s">
        <v>4662</v>
      </c>
      <c r="U623" s="2" t="s">
        <v>29</v>
      </c>
      <c r="V623" s="2" t="n">
        <v>1</v>
      </c>
    </row>
    <row r="624">
      <c r="A624" s="2" t="n">
        <v>623</v>
      </c>
      <c r="B624" s="2" t="s">
        <v>23462</v>
      </c>
      <c r="C624" s="2" t="n">
        <v>689.511582309</v>
      </c>
      <c r="D624" s="2" t="n">
        <v>1.42925289471098</v>
      </c>
      <c r="E624" s="2" t="s">
        <v>23463</v>
      </c>
      <c r="F624" s="2" t="s">
        <v>17137</v>
      </c>
      <c r="G624" s="2" t="s">
        <v>23464</v>
      </c>
      <c r="H624" s="2" t="s">
        <v>23465</v>
      </c>
      <c r="I624" s="2" t="s">
        <v>23466</v>
      </c>
      <c r="J624" s="2" t="s">
        <v>23467</v>
      </c>
      <c r="K624" s="2" t="s">
        <v>23468</v>
      </c>
      <c r="L624" s="2" t="s">
        <v>29</v>
      </c>
      <c r="M624" s="2" t="s">
        <v>29</v>
      </c>
      <c r="N624" s="2" t="s">
        <v>23469</v>
      </c>
      <c r="O624" s="2" t="s">
        <v>29</v>
      </c>
      <c r="P624" s="2" t="s">
        <v>23470</v>
      </c>
      <c r="Q624" s="2" t="s">
        <v>23471</v>
      </c>
      <c r="R624" s="2" t="s">
        <v>794</v>
      </c>
      <c r="S624" s="2" t="s">
        <v>7122</v>
      </c>
      <c r="T624" s="2" t="s">
        <v>7123</v>
      </c>
      <c r="U624" s="2" t="s">
        <v>56</v>
      </c>
      <c r="V624" s="2" t="n">
        <v>1</v>
      </c>
    </row>
    <row r="625">
      <c r="A625" s="2" t="n">
        <v>624</v>
      </c>
      <c r="B625" s="2" t="s">
        <v>23472</v>
      </c>
      <c r="C625" s="2" t="n">
        <v>690.150218723</v>
      </c>
      <c r="D625" s="2" t="n">
        <v>2.70682270850724</v>
      </c>
      <c r="E625" s="2" t="s">
        <v>23473</v>
      </c>
      <c r="F625" s="2" t="s">
        <v>17520</v>
      </c>
      <c r="G625" s="2" t="s">
        <v>23474</v>
      </c>
      <c r="H625" s="2" t="s">
        <v>23475</v>
      </c>
      <c r="I625" s="2" t="s">
        <v>23476</v>
      </c>
      <c r="J625" s="2" t="s">
        <v>23477</v>
      </c>
      <c r="K625" s="2" t="s">
        <v>29</v>
      </c>
      <c r="L625" s="2" t="s">
        <v>29</v>
      </c>
      <c r="M625" s="2" t="s">
        <v>29</v>
      </c>
      <c r="N625" s="2" t="s">
        <v>23478</v>
      </c>
      <c r="O625" s="2" t="s">
        <v>23479</v>
      </c>
      <c r="P625" s="2" t="s">
        <v>23480</v>
      </c>
      <c r="Q625" s="2" t="s">
        <v>23481</v>
      </c>
      <c r="R625" s="2" t="s">
        <v>114</v>
      </c>
      <c r="S625" s="2" t="s">
        <v>2057</v>
      </c>
      <c r="T625" s="2" t="s">
        <v>3067</v>
      </c>
      <c r="U625" s="2" t="s">
        <v>29</v>
      </c>
      <c r="V625" s="2" t="n">
        <v>1</v>
      </c>
    </row>
    <row r="626">
      <c r="A626" s="2" t="n">
        <v>625</v>
      </c>
      <c r="B626" s="2" t="s">
        <v>23482</v>
      </c>
      <c r="C626" s="2" t="n">
        <v>690.688674046</v>
      </c>
      <c r="D626" s="2" t="n">
        <v>3.95227681091822</v>
      </c>
      <c r="E626" s="2" t="s">
        <v>23483</v>
      </c>
      <c r="F626" s="2" t="s">
        <v>17520</v>
      </c>
      <c r="G626" s="2" t="s">
        <v>23484</v>
      </c>
      <c r="H626" s="2" t="s">
        <v>23485</v>
      </c>
      <c r="I626" s="2" t="s">
        <v>23486</v>
      </c>
      <c r="J626" s="2" t="s">
        <v>23487</v>
      </c>
      <c r="K626" s="2" t="s">
        <v>29</v>
      </c>
      <c r="L626" s="2" t="s">
        <v>23488</v>
      </c>
      <c r="M626" s="2" t="s">
        <v>23489</v>
      </c>
      <c r="N626" s="2" t="s">
        <v>23490</v>
      </c>
      <c r="O626" s="2" t="s">
        <v>23491</v>
      </c>
      <c r="P626" s="2" t="s">
        <v>23492</v>
      </c>
      <c r="Q626" s="2" t="s">
        <v>23493</v>
      </c>
      <c r="R626" s="2" t="s">
        <v>186</v>
      </c>
      <c r="S626" s="2" t="s">
        <v>187</v>
      </c>
      <c r="T626" s="2" t="s">
        <v>3454</v>
      </c>
      <c r="U626" s="2" t="s">
        <v>56</v>
      </c>
      <c r="V626" s="2" t="n">
        <v>1</v>
      </c>
    </row>
    <row r="627">
      <c r="A627" s="2" t="n">
        <v>626</v>
      </c>
      <c r="B627" s="2" t="s">
        <v>23494</v>
      </c>
      <c r="C627" s="2" t="n">
        <v>691.018665672</v>
      </c>
      <c r="D627" s="2" t="n">
        <v>9.71392651507366</v>
      </c>
      <c r="E627" s="2" t="s">
        <v>23495</v>
      </c>
      <c r="F627" s="2" t="s">
        <v>17892</v>
      </c>
      <c r="G627" s="2" t="s">
        <v>23496</v>
      </c>
      <c r="H627" s="2" t="s">
        <v>23497</v>
      </c>
      <c r="I627" s="2" t="s">
        <v>23498</v>
      </c>
      <c r="J627" s="2" t="s">
        <v>29</v>
      </c>
      <c r="K627" s="2" t="s">
        <v>29</v>
      </c>
      <c r="L627" s="2" t="s">
        <v>29</v>
      </c>
      <c r="M627" s="2" t="s">
        <v>29</v>
      </c>
      <c r="N627" s="2" t="s">
        <v>23499</v>
      </c>
      <c r="O627" s="2" t="s">
        <v>29</v>
      </c>
      <c r="P627" s="2" t="s">
        <v>23500</v>
      </c>
      <c r="Q627" s="2" t="s">
        <v>23501</v>
      </c>
      <c r="R627" s="2" t="s">
        <v>1355</v>
      </c>
      <c r="S627" s="2" t="s">
        <v>3653</v>
      </c>
      <c r="T627" s="2" t="s">
        <v>3654</v>
      </c>
      <c r="U627" s="2" t="s">
        <v>29</v>
      </c>
      <c r="V627" s="2" t="n">
        <v>1</v>
      </c>
    </row>
    <row r="628">
      <c r="A628" s="2" t="n">
        <v>627</v>
      </c>
      <c r="B628" s="2" t="s">
        <v>23502</v>
      </c>
      <c r="C628" s="2" t="n">
        <v>698.247796233</v>
      </c>
      <c r="D628" s="2" t="n">
        <v>1.3995926282052</v>
      </c>
      <c r="E628" s="2" t="s">
        <v>23503</v>
      </c>
      <c r="F628" s="2" t="s">
        <v>17198</v>
      </c>
      <c r="G628" s="2" t="s">
        <v>23504</v>
      </c>
      <c r="H628" s="2" t="s">
        <v>23505</v>
      </c>
      <c r="I628" s="2" t="s">
        <v>23506</v>
      </c>
      <c r="J628" s="2" t="s">
        <v>91</v>
      </c>
      <c r="K628" s="2" t="s">
        <v>91</v>
      </c>
      <c r="L628" s="2" t="s">
        <v>91</v>
      </c>
      <c r="M628" s="2" t="s">
        <v>91</v>
      </c>
      <c r="N628" s="2" t="s">
        <v>23507</v>
      </c>
      <c r="O628" s="2" t="s">
        <v>91</v>
      </c>
      <c r="P628" s="2" t="s">
        <v>23508</v>
      </c>
      <c r="Q628" s="2" t="s">
        <v>23509</v>
      </c>
      <c r="R628" s="2" t="s">
        <v>427</v>
      </c>
      <c r="S628" s="2" t="s">
        <v>428</v>
      </c>
      <c r="T628" s="2" t="s">
        <v>6812</v>
      </c>
      <c r="U628" s="2" t="s">
        <v>29</v>
      </c>
      <c r="V628" s="2" t="n">
        <v>2</v>
      </c>
    </row>
    <row r="629">
      <c r="A629" s="2" t="n">
        <v>628</v>
      </c>
      <c r="B629" s="2" t="s">
        <v>23510</v>
      </c>
      <c r="C629" s="2" t="n">
        <v>699.25030023</v>
      </c>
      <c r="D629" s="2" t="n">
        <v>0.89539640269987</v>
      </c>
      <c r="E629" s="2" t="s">
        <v>23511</v>
      </c>
      <c r="F629" s="2" t="s">
        <v>18382</v>
      </c>
      <c r="G629" s="2" t="s">
        <v>23512</v>
      </c>
      <c r="H629" s="2" t="s">
        <v>23513</v>
      </c>
      <c r="I629" s="2" t="s">
        <v>23514</v>
      </c>
      <c r="J629" s="2" t="s">
        <v>29</v>
      </c>
      <c r="K629" s="2" t="s">
        <v>29</v>
      </c>
      <c r="L629" s="2" t="s">
        <v>29</v>
      </c>
      <c r="M629" s="2" t="s">
        <v>23515</v>
      </c>
      <c r="N629" s="2" t="s">
        <v>29</v>
      </c>
      <c r="O629" s="2" t="s">
        <v>29</v>
      </c>
      <c r="P629" s="2" t="s">
        <v>23516</v>
      </c>
      <c r="Q629" s="2" t="s">
        <v>23517</v>
      </c>
      <c r="R629" s="2" t="s">
        <v>114</v>
      </c>
      <c r="S629" s="2" t="s">
        <v>936</v>
      </c>
      <c r="T629" s="2" t="s">
        <v>23518</v>
      </c>
      <c r="U629" s="2" t="s">
        <v>29</v>
      </c>
      <c r="V629" s="2" t="n">
        <v>1</v>
      </c>
    </row>
    <row r="630">
      <c r="A630" s="2" t="n">
        <v>629</v>
      </c>
      <c r="B630" s="2" t="s">
        <v>23519</v>
      </c>
      <c r="C630" s="2" t="n">
        <v>701.412867051</v>
      </c>
      <c r="D630" s="2" t="n">
        <v>0.449437093450583</v>
      </c>
      <c r="E630" s="2" t="s">
        <v>23520</v>
      </c>
      <c r="F630" s="2" t="s">
        <v>17970</v>
      </c>
      <c r="G630" s="2" t="s">
        <v>23521</v>
      </c>
      <c r="H630" s="2" t="s">
        <v>23522</v>
      </c>
      <c r="I630" s="2" t="s">
        <v>23523</v>
      </c>
      <c r="J630" s="2" t="s">
        <v>23524</v>
      </c>
      <c r="K630" s="2" t="s">
        <v>23525</v>
      </c>
      <c r="L630" s="2" t="s">
        <v>29</v>
      </c>
      <c r="M630" s="2" t="s">
        <v>29</v>
      </c>
      <c r="N630" s="2" t="s">
        <v>23526</v>
      </c>
      <c r="O630" s="2" t="s">
        <v>29</v>
      </c>
      <c r="P630" s="2" t="s">
        <v>23527</v>
      </c>
      <c r="Q630" s="2" t="s">
        <v>23528</v>
      </c>
      <c r="R630" s="2" t="s">
        <v>794</v>
      </c>
      <c r="S630" s="2" t="s">
        <v>7122</v>
      </c>
      <c r="T630" s="2" t="s">
        <v>7123</v>
      </c>
      <c r="U630" s="2" t="s">
        <v>29</v>
      </c>
      <c r="V630" s="2" t="n">
        <v>1</v>
      </c>
    </row>
    <row r="631">
      <c r="A631" s="2" t="n">
        <v>630</v>
      </c>
      <c r="B631" s="2" t="s">
        <v>23529</v>
      </c>
      <c r="C631" s="2" t="n">
        <v>702.920891347</v>
      </c>
      <c r="D631" s="2" t="n">
        <v>9.26548062468559</v>
      </c>
      <c r="E631" s="2" t="s">
        <v>23530</v>
      </c>
      <c r="F631" s="2" t="s">
        <v>17406</v>
      </c>
      <c r="G631" s="2" t="s">
        <v>23531</v>
      </c>
      <c r="H631" s="2" t="s">
        <v>23532</v>
      </c>
      <c r="I631" s="2" t="s">
        <v>23533</v>
      </c>
      <c r="J631" s="2" t="s">
        <v>29</v>
      </c>
      <c r="K631" s="2" t="s">
        <v>29</v>
      </c>
      <c r="L631" s="2" t="s">
        <v>29</v>
      </c>
      <c r="M631" s="2" t="s">
        <v>29</v>
      </c>
      <c r="N631" s="2" t="s">
        <v>29</v>
      </c>
      <c r="O631" s="2" t="s">
        <v>29</v>
      </c>
      <c r="P631" s="2" t="s">
        <v>23534</v>
      </c>
      <c r="Q631" s="2" t="s">
        <v>23535</v>
      </c>
      <c r="R631" s="2" t="s">
        <v>794</v>
      </c>
      <c r="S631" s="2" t="s">
        <v>795</v>
      </c>
      <c r="T631" s="2" t="s">
        <v>796</v>
      </c>
      <c r="U631" s="2" t="s">
        <v>29</v>
      </c>
      <c r="V631" s="2" t="n">
        <v>1</v>
      </c>
    </row>
    <row r="632">
      <c r="A632" s="2" t="n">
        <v>631</v>
      </c>
      <c r="B632" s="2" t="s">
        <v>23536</v>
      </c>
      <c r="C632" s="2" t="n">
        <v>703.574850782</v>
      </c>
      <c r="D632" s="2" t="n">
        <v>2.52338727229653</v>
      </c>
      <c r="E632" s="2" t="s">
        <v>23537</v>
      </c>
      <c r="F632" s="2" t="s">
        <v>17137</v>
      </c>
      <c r="G632" s="2" t="s">
        <v>23538</v>
      </c>
      <c r="H632" s="2" t="s">
        <v>23539</v>
      </c>
      <c r="I632" s="2" t="s">
        <v>23540</v>
      </c>
      <c r="J632" s="2" t="s">
        <v>23541</v>
      </c>
      <c r="K632" s="2" t="s">
        <v>23542</v>
      </c>
      <c r="L632" s="2" t="s">
        <v>29</v>
      </c>
      <c r="M632" s="2" t="s">
        <v>23543</v>
      </c>
      <c r="N632" s="2" t="s">
        <v>23544</v>
      </c>
      <c r="O632" s="2" t="s">
        <v>23545</v>
      </c>
      <c r="P632" s="2" t="s">
        <v>23546</v>
      </c>
      <c r="Q632" s="2" t="s">
        <v>23547</v>
      </c>
      <c r="R632" s="2" t="s">
        <v>794</v>
      </c>
      <c r="S632" s="2" t="s">
        <v>7781</v>
      </c>
      <c r="T632" s="2" t="s">
        <v>7782</v>
      </c>
      <c r="U632" s="2" t="s">
        <v>39</v>
      </c>
      <c r="V632" s="2" t="n">
        <v>1</v>
      </c>
    </row>
    <row r="633">
      <c r="A633" s="2" t="n">
        <v>632</v>
      </c>
      <c r="B633" s="2" t="s">
        <v>23548</v>
      </c>
      <c r="C633" s="2" t="n">
        <v>704.401775067</v>
      </c>
      <c r="D633" s="2" t="n">
        <v>3.65814917682873</v>
      </c>
      <c r="E633" s="2" t="s">
        <v>23549</v>
      </c>
      <c r="F633" s="2" t="s">
        <v>17137</v>
      </c>
      <c r="G633" s="2" t="s">
        <v>23550</v>
      </c>
      <c r="H633" s="2" t="s">
        <v>23551</v>
      </c>
      <c r="I633" s="2" t="s">
        <v>23552</v>
      </c>
      <c r="J633" s="2" t="s">
        <v>29</v>
      </c>
      <c r="K633" s="2" t="s">
        <v>29</v>
      </c>
      <c r="L633" s="2" t="s">
        <v>29</v>
      </c>
      <c r="M633" s="2" t="s">
        <v>29</v>
      </c>
      <c r="N633" s="2" t="s">
        <v>23553</v>
      </c>
      <c r="O633" s="2" t="s">
        <v>29</v>
      </c>
      <c r="P633" s="2" t="s">
        <v>23554</v>
      </c>
      <c r="Q633" s="2" t="s">
        <v>23555</v>
      </c>
      <c r="R633" s="2" t="s">
        <v>186</v>
      </c>
      <c r="S633" s="2" t="s">
        <v>187</v>
      </c>
      <c r="T633" s="2" t="s">
        <v>6379</v>
      </c>
      <c r="U633" s="2" t="s">
        <v>29</v>
      </c>
      <c r="V633" s="2" t="n">
        <v>1</v>
      </c>
    </row>
    <row r="634">
      <c r="A634" s="2" t="n">
        <v>633</v>
      </c>
      <c r="B634" s="2" t="s">
        <v>23556</v>
      </c>
      <c r="C634" s="2" t="n">
        <v>705.138256322</v>
      </c>
      <c r="D634" s="2" t="n">
        <v>1.77615170939001</v>
      </c>
      <c r="E634" s="2" t="s">
        <v>23557</v>
      </c>
      <c r="F634" s="2" t="s">
        <v>17406</v>
      </c>
      <c r="G634" s="2" t="s">
        <v>23558</v>
      </c>
      <c r="H634" s="2" t="s">
        <v>23559</v>
      </c>
      <c r="I634" s="2" t="s">
        <v>23560</v>
      </c>
      <c r="J634" s="2" t="s">
        <v>29</v>
      </c>
      <c r="K634" s="2" t="s">
        <v>29</v>
      </c>
      <c r="L634" s="2" t="s">
        <v>29</v>
      </c>
      <c r="M634" s="2" t="s">
        <v>29</v>
      </c>
      <c r="N634" s="2" t="s">
        <v>23561</v>
      </c>
      <c r="O634" s="2" t="s">
        <v>29</v>
      </c>
      <c r="P634" s="2" t="s">
        <v>23562</v>
      </c>
      <c r="Q634" s="2" t="s">
        <v>23563</v>
      </c>
      <c r="R634" s="2" t="s">
        <v>36</v>
      </c>
      <c r="S634" s="2" t="s">
        <v>37</v>
      </c>
      <c r="T634" s="2" t="s">
        <v>69</v>
      </c>
      <c r="U634" s="2" t="s">
        <v>29</v>
      </c>
      <c r="V634" s="2" t="n">
        <v>1</v>
      </c>
    </row>
    <row r="635">
      <c r="A635" s="2" t="n">
        <v>634</v>
      </c>
      <c r="B635" s="2" t="s">
        <v>23564</v>
      </c>
      <c r="C635" s="2" t="n">
        <v>705.48548335</v>
      </c>
      <c r="D635" s="2" t="n">
        <v>0.844669967317266</v>
      </c>
      <c r="E635" s="2" t="s">
        <v>23565</v>
      </c>
      <c r="F635" s="2" t="s">
        <v>17406</v>
      </c>
      <c r="G635" s="2" t="s">
        <v>23566</v>
      </c>
      <c r="H635" s="2" t="s">
        <v>23567</v>
      </c>
      <c r="I635" s="2" t="s">
        <v>23568</v>
      </c>
      <c r="J635" s="2" t="s">
        <v>23569</v>
      </c>
      <c r="K635" s="2" t="s">
        <v>29</v>
      </c>
      <c r="L635" s="2" t="s">
        <v>29</v>
      </c>
      <c r="M635" s="2" t="s">
        <v>23570</v>
      </c>
      <c r="N635" s="2" t="s">
        <v>23571</v>
      </c>
      <c r="O635" s="2" t="s">
        <v>29</v>
      </c>
      <c r="P635" s="2" t="s">
        <v>23572</v>
      </c>
      <c r="Q635" s="2" t="s">
        <v>23573</v>
      </c>
      <c r="R635" s="2" t="s">
        <v>794</v>
      </c>
      <c r="S635" s="2" t="s">
        <v>2600</v>
      </c>
      <c r="T635" s="2" t="s">
        <v>8990</v>
      </c>
      <c r="U635" s="2" t="s">
        <v>39</v>
      </c>
      <c r="V635" s="2" t="n">
        <v>1</v>
      </c>
    </row>
    <row r="636">
      <c r="A636" s="2" t="n">
        <v>635</v>
      </c>
      <c r="B636" s="2" t="s">
        <v>23574</v>
      </c>
      <c r="C636" s="2" t="n">
        <v>707.131405116</v>
      </c>
      <c r="D636" s="2" t="n">
        <v>0.195690904153658</v>
      </c>
      <c r="E636" s="2" t="s">
        <v>23575</v>
      </c>
      <c r="F636" s="2" t="s">
        <v>17227</v>
      </c>
      <c r="G636" s="2" t="s">
        <v>23576</v>
      </c>
      <c r="H636" s="2" t="s">
        <v>23577</v>
      </c>
      <c r="I636" s="2" t="s">
        <v>23578</v>
      </c>
      <c r="J636" s="2" t="s">
        <v>29</v>
      </c>
      <c r="K636" s="2" t="s">
        <v>29</v>
      </c>
      <c r="L636" s="2" t="s">
        <v>29</v>
      </c>
      <c r="M636" s="2" t="s">
        <v>23579</v>
      </c>
      <c r="N636" s="2" t="s">
        <v>29</v>
      </c>
      <c r="O636" s="2" t="s">
        <v>29</v>
      </c>
      <c r="P636" s="2" t="s">
        <v>23580</v>
      </c>
      <c r="Q636" s="2" t="s">
        <v>23581</v>
      </c>
      <c r="R636" s="2" t="s">
        <v>114</v>
      </c>
      <c r="S636" s="2" t="s">
        <v>6312</v>
      </c>
      <c r="T636" s="2" t="s">
        <v>6313</v>
      </c>
      <c r="U636" s="2" t="s">
        <v>29</v>
      </c>
      <c r="V636" s="2" t="n">
        <v>1</v>
      </c>
    </row>
    <row r="637">
      <c r="A637" s="2" t="n">
        <v>636</v>
      </c>
      <c r="B637" s="2" t="s">
        <v>23582</v>
      </c>
      <c r="C637" s="2" t="n">
        <v>708.129598893</v>
      </c>
      <c r="D637" s="2" t="n">
        <v>0.179876098847486</v>
      </c>
      <c r="E637" s="2" t="s">
        <v>23583</v>
      </c>
      <c r="F637" s="2" t="s">
        <v>17520</v>
      </c>
      <c r="G637" s="2" t="s">
        <v>23584</v>
      </c>
      <c r="H637" s="2" t="s">
        <v>23585</v>
      </c>
      <c r="I637" s="2" t="s">
        <v>23586</v>
      </c>
      <c r="J637" s="2" t="s">
        <v>91</v>
      </c>
      <c r="K637" s="2" t="s">
        <v>91</v>
      </c>
      <c r="L637" s="2" t="s">
        <v>91</v>
      </c>
      <c r="M637" s="2" t="s">
        <v>91</v>
      </c>
      <c r="N637" s="2" t="s">
        <v>23587</v>
      </c>
      <c r="O637" s="2" t="s">
        <v>91</v>
      </c>
      <c r="P637" s="2" t="s">
        <v>23588</v>
      </c>
      <c r="Q637" s="2" t="s">
        <v>23589</v>
      </c>
      <c r="R637" s="2" t="s">
        <v>5099</v>
      </c>
      <c r="S637" s="2" t="s">
        <v>23590</v>
      </c>
      <c r="T637" s="2" t="s">
        <v>23591</v>
      </c>
      <c r="U637" s="2" t="s">
        <v>29</v>
      </c>
      <c r="V637" s="2" t="n">
        <v>2</v>
      </c>
    </row>
    <row r="638">
      <c r="A638" s="2" t="n">
        <v>637</v>
      </c>
      <c r="B638" s="2" t="s">
        <v>23592</v>
      </c>
      <c r="C638" s="2" t="n">
        <v>708.502100875</v>
      </c>
      <c r="D638" s="2" t="n">
        <v>7.66139627182035</v>
      </c>
      <c r="E638" s="2" t="s">
        <v>23593</v>
      </c>
      <c r="F638" s="2" t="s">
        <v>17198</v>
      </c>
      <c r="G638" s="2" t="s">
        <v>23594</v>
      </c>
      <c r="H638" s="2" t="s">
        <v>23595</v>
      </c>
      <c r="I638" s="2" t="s">
        <v>23596</v>
      </c>
      <c r="J638" s="2" t="s">
        <v>23597</v>
      </c>
      <c r="K638" s="2" t="s">
        <v>29</v>
      </c>
      <c r="L638" s="2" t="s">
        <v>29</v>
      </c>
      <c r="M638" s="2" t="s">
        <v>23598</v>
      </c>
      <c r="N638" s="2" t="s">
        <v>23599</v>
      </c>
      <c r="O638" s="2" t="s">
        <v>29</v>
      </c>
      <c r="P638" s="2" t="s">
        <v>23600</v>
      </c>
      <c r="Q638" s="2" t="s">
        <v>23601</v>
      </c>
      <c r="R638" s="2" t="s">
        <v>794</v>
      </c>
      <c r="S638" s="2" t="s">
        <v>7781</v>
      </c>
      <c r="T638" s="2" t="s">
        <v>11458</v>
      </c>
      <c r="U638" s="2" t="s">
        <v>29</v>
      </c>
      <c r="V638" s="2" t="n">
        <v>1</v>
      </c>
    </row>
    <row r="639">
      <c r="A639" s="2" t="n">
        <v>638</v>
      </c>
      <c r="B639" s="2" t="s">
        <v>23602</v>
      </c>
      <c r="C639" s="2" t="n">
        <v>709.517256373</v>
      </c>
      <c r="D639" s="2" t="n">
        <v>1.17445756356862</v>
      </c>
      <c r="E639" s="2" t="s">
        <v>23603</v>
      </c>
      <c r="F639" s="2" t="s">
        <v>17039</v>
      </c>
      <c r="G639" s="2" t="s">
        <v>23604</v>
      </c>
      <c r="H639" s="2" t="s">
        <v>23605</v>
      </c>
      <c r="I639" s="2" t="s">
        <v>23606</v>
      </c>
      <c r="J639" s="2" t="s">
        <v>23607</v>
      </c>
      <c r="K639" s="2" t="s">
        <v>23608</v>
      </c>
      <c r="L639" s="2" t="s">
        <v>91</v>
      </c>
      <c r="M639" s="2" t="s">
        <v>91</v>
      </c>
      <c r="N639" s="2" t="s">
        <v>23609</v>
      </c>
      <c r="O639" s="2" t="s">
        <v>91</v>
      </c>
      <c r="P639" s="2" t="s">
        <v>23610</v>
      </c>
      <c r="Q639" s="2" t="s">
        <v>23611</v>
      </c>
      <c r="R639" s="2" t="s">
        <v>412</v>
      </c>
      <c r="S639" s="2" t="s">
        <v>10037</v>
      </c>
      <c r="T639" s="2" t="s">
        <v>22157</v>
      </c>
      <c r="U639" s="2" t="s">
        <v>56</v>
      </c>
      <c r="V639" s="2" t="n">
        <v>2</v>
      </c>
    </row>
    <row r="640">
      <c r="A640" s="2" t="n">
        <v>639</v>
      </c>
      <c r="B640" s="2" t="s">
        <v>23612</v>
      </c>
      <c r="C640" s="2" t="n">
        <v>710.512504861</v>
      </c>
      <c r="D640" s="2" t="n">
        <v>9.33112939089288</v>
      </c>
      <c r="E640" s="2" t="s">
        <v>23613</v>
      </c>
      <c r="F640" s="2" t="s">
        <v>17039</v>
      </c>
      <c r="G640" s="2" t="s">
        <v>23614</v>
      </c>
      <c r="H640" s="2" t="s">
        <v>23615</v>
      </c>
      <c r="I640" s="2" t="s">
        <v>23616</v>
      </c>
      <c r="J640" s="2" t="s">
        <v>23617</v>
      </c>
      <c r="K640" s="2" t="s">
        <v>23618</v>
      </c>
      <c r="L640" s="2" t="s">
        <v>10033</v>
      </c>
      <c r="M640" s="2" t="s">
        <v>23619</v>
      </c>
      <c r="N640" s="2" t="s">
        <v>23620</v>
      </c>
      <c r="O640" s="2" t="s">
        <v>91</v>
      </c>
      <c r="P640" s="2" t="s">
        <v>23621</v>
      </c>
      <c r="Q640" s="2" t="s">
        <v>23622</v>
      </c>
      <c r="R640" s="2" t="s">
        <v>412</v>
      </c>
      <c r="S640" s="2" t="s">
        <v>10037</v>
      </c>
      <c r="T640" s="2" t="s">
        <v>10038</v>
      </c>
      <c r="U640" s="2" t="s">
        <v>56</v>
      </c>
      <c r="V640" s="2" t="n">
        <v>2</v>
      </c>
    </row>
    <row r="641">
      <c r="A641" s="2" t="n">
        <v>640</v>
      </c>
      <c r="B641" s="2" t="s">
        <v>23623</v>
      </c>
      <c r="C641" s="2" t="n">
        <v>711.313965756</v>
      </c>
      <c r="D641" s="2" t="n">
        <v>0.848241030455829</v>
      </c>
      <c r="E641" s="2" t="s">
        <v>23624</v>
      </c>
      <c r="F641" s="2" t="s">
        <v>17892</v>
      </c>
      <c r="G641" s="2" t="s">
        <v>23625</v>
      </c>
      <c r="H641" s="2" t="s">
        <v>23626</v>
      </c>
      <c r="I641" s="2" t="s">
        <v>23627</v>
      </c>
      <c r="J641" s="2" t="s">
        <v>23628</v>
      </c>
      <c r="K641" s="2" t="s">
        <v>91</v>
      </c>
      <c r="L641" s="2" t="s">
        <v>91</v>
      </c>
      <c r="M641" s="2" t="s">
        <v>23629</v>
      </c>
      <c r="N641" s="2" t="s">
        <v>23630</v>
      </c>
      <c r="O641" s="2" t="s">
        <v>23631</v>
      </c>
      <c r="P641" s="2" t="s">
        <v>23632</v>
      </c>
      <c r="Q641" s="2" t="s">
        <v>23633</v>
      </c>
      <c r="R641" s="2" t="s">
        <v>23634</v>
      </c>
      <c r="S641" s="2" t="s">
        <v>23635</v>
      </c>
      <c r="T641" s="2" t="s">
        <v>23636</v>
      </c>
      <c r="U641" s="2" t="s">
        <v>56</v>
      </c>
      <c r="V641" s="2" t="n">
        <v>2</v>
      </c>
    </row>
    <row r="642">
      <c r="A642" s="2" t="n">
        <v>641</v>
      </c>
      <c r="B642" s="2" t="s">
        <v>23637</v>
      </c>
      <c r="C642" s="2" t="n">
        <v>714.194727</v>
      </c>
      <c r="D642" s="2" t="n">
        <v>1.73429190551363</v>
      </c>
      <c r="E642" s="2" t="s">
        <v>23638</v>
      </c>
      <c r="F642" s="2" t="s">
        <v>17520</v>
      </c>
      <c r="G642" s="2" t="s">
        <v>23639</v>
      </c>
      <c r="H642" s="2" t="s">
        <v>23640</v>
      </c>
      <c r="I642" s="2" t="s">
        <v>23641</v>
      </c>
      <c r="J642" s="2" t="s">
        <v>29</v>
      </c>
      <c r="K642" s="2" t="s">
        <v>29</v>
      </c>
      <c r="L642" s="2" t="s">
        <v>29</v>
      </c>
      <c r="M642" s="2" t="s">
        <v>29</v>
      </c>
      <c r="N642" s="2" t="s">
        <v>29</v>
      </c>
      <c r="O642" s="2" t="s">
        <v>29</v>
      </c>
      <c r="P642" s="2" t="s">
        <v>23642</v>
      </c>
      <c r="Q642" s="2" t="s">
        <v>23643</v>
      </c>
      <c r="R642" s="2" t="s">
        <v>601</v>
      </c>
      <c r="S642" s="2" t="s">
        <v>602</v>
      </c>
      <c r="T642" s="2" t="s">
        <v>8583</v>
      </c>
      <c r="U642" s="2" t="s">
        <v>29</v>
      </c>
      <c r="V642" s="2" t="n">
        <v>1</v>
      </c>
    </row>
    <row r="643">
      <c r="A643" s="2" t="n">
        <v>642</v>
      </c>
      <c r="B643" s="2" t="s">
        <v>23644</v>
      </c>
      <c r="C643" s="2" t="n">
        <v>719.179382348</v>
      </c>
      <c r="D643" s="2" t="n">
        <v>1.07210386495263</v>
      </c>
      <c r="E643" s="2" t="s">
        <v>23645</v>
      </c>
      <c r="F643" s="2" t="s">
        <v>17198</v>
      </c>
      <c r="G643" s="2" t="s">
        <v>23646</v>
      </c>
      <c r="H643" s="2" t="s">
        <v>23647</v>
      </c>
      <c r="I643" s="2" t="s">
        <v>23648</v>
      </c>
      <c r="J643" s="2" t="s">
        <v>29</v>
      </c>
      <c r="K643" s="2" t="s">
        <v>29</v>
      </c>
      <c r="L643" s="2" t="s">
        <v>29</v>
      </c>
      <c r="M643" s="2" t="s">
        <v>29</v>
      </c>
      <c r="N643" s="2" t="s">
        <v>29</v>
      </c>
      <c r="O643" s="2" t="s">
        <v>29</v>
      </c>
      <c r="P643" s="2" t="s">
        <v>23649</v>
      </c>
      <c r="Q643" s="2" t="s">
        <v>23650</v>
      </c>
      <c r="R643" s="2" t="s">
        <v>1355</v>
      </c>
      <c r="S643" s="2" t="s">
        <v>5199</v>
      </c>
      <c r="T643" s="2" t="s">
        <v>7308</v>
      </c>
      <c r="U643" s="2" t="s">
        <v>29</v>
      </c>
      <c r="V643" s="2" t="n">
        <v>1</v>
      </c>
    </row>
    <row r="644">
      <c r="A644" s="2" t="n">
        <v>643</v>
      </c>
      <c r="B644" s="2" t="s">
        <v>23651</v>
      </c>
      <c r="C644" s="2" t="n">
        <v>720.19576066</v>
      </c>
      <c r="D644" s="2" t="n">
        <v>9.25214033276172</v>
      </c>
      <c r="E644" s="2" t="s">
        <v>23652</v>
      </c>
      <c r="F644" s="2" t="s">
        <v>17198</v>
      </c>
      <c r="G644" s="2" t="s">
        <v>23653</v>
      </c>
      <c r="H644" s="2" t="s">
        <v>23654</v>
      </c>
      <c r="I644" s="2" t="s">
        <v>23655</v>
      </c>
      <c r="J644" s="2" t="s">
        <v>29</v>
      </c>
      <c r="K644" s="2" t="s">
        <v>29</v>
      </c>
      <c r="L644" s="2" t="s">
        <v>29</v>
      </c>
      <c r="M644" s="2" t="s">
        <v>29</v>
      </c>
      <c r="N644" s="2" t="s">
        <v>29</v>
      </c>
      <c r="O644" s="2" t="s">
        <v>29</v>
      </c>
      <c r="P644" s="2" t="s">
        <v>23656</v>
      </c>
      <c r="Q644" s="2" t="s">
        <v>23657</v>
      </c>
      <c r="R644" s="2" t="s">
        <v>129</v>
      </c>
      <c r="S644" s="2" t="s">
        <v>130</v>
      </c>
      <c r="T644" s="2" t="s">
        <v>1681</v>
      </c>
      <c r="U644" s="2" t="s">
        <v>29</v>
      </c>
      <c r="V644" s="2" t="n">
        <v>1</v>
      </c>
    </row>
    <row r="645">
      <c r="A645" s="2" t="n">
        <v>644</v>
      </c>
      <c r="B645" s="2" t="s">
        <v>23658</v>
      </c>
      <c r="C645" s="2" t="n">
        <v>721.176860008</v>
      </c>
      <c r="D645" s="2" t="n">
        <v>9.7785220689623</v>
      </c>
      <c r="E645" s="2" t="s">
        <v>23659</v>
      </c>
      <c r="F645" s="2" t="s">
        <v>17117</v>
      </c>
      <c r="G645" s="2" t="s">
        <v>23660</v>
      </c>
      <c r="H645" s="2" t="s">
        <v>23661</v>
      </c>
      <c r="I645" s="2" t="s">
        <v>23662</v>
      </c>
      <c r="J645" s="2" t="s">
        <v>29</v>
      </c>
      <c r="K645" s="2" t="s">
        <v>29</v>
      </c>
      <c r="L645" s="2" t="s">
        <v>29</v>
      </c>
      <c r="M645" s="2" t="s">
        <v>29</v>
      </c>
      <c r="N645" s="2" t="s">
        <v>23663</v>
      </c>
      <c r="O645" s="2" t="s">
        <v>29</v>
      </c>
      <c r="P645" s="2" t="s">
        <v>23664</v>
      </c>
      <c r="Q645" s="2" t="s">
        <v>23665</v>
      </c>
      <c r="R645" s="2" t="s">
        <v>1355</v>
      </c>
      <c r="S645" s="2" t="s">
        <v>5199</v>
      </c>
      <c r="T645" s="2" t="s">
        <v>23666</v>
      </c>
      <c r="U645" s="2" t="s">
        <v>29</v>
      </c>
      <c r="V645" s="2" t="n">
        <v>1</v>
      </c>
    </row>
    <row r="646">
      <c r="A646" s="2" t="n">
        <v>645</v>
      </c>
      <c r="B646" s="2" t="s">
        <v>23667</v>
      </c>
      <c r="C646" s="2" t="n">
        <v>723.466873166</v>
      </c>
      <c r="D646" s="2" t="n">
        <v>2.00444534809727</v>
      </c>
      <c r="E646" s="2" t="s">
        <v>23668</v>
      </c>
      <c r="F646" s="2" t="s">
        <v>17227</v>
      </c>
      <c r="G646" s="2" t="s">
        <v>23669</v>
      </c>
      <c r="H646" s="2" t="s">
        <v>23670</v>
      </c>
      <c r="I646" s="2" t="s">
        <v>23671</v>
      </c>
      <c r="J646" s="2" t="s">
        <v>29</v>
      </c>
      <c r="K646" s="2" t="s">
        <v>29</v>
      </c>
      <c r="L646" s="2" t="s">
        <v>29</v>
      </c>
      <c r="M646" s="2" t="s">
        <v>29</v>
      </c>
      <c r="N646" s="2" t="s">
        <v>23672</v>
      </c>
      <c r="O646" s="2" t="s">
        <v>29</v>
      </c>
      <c r="P646" s="2" t="s">
        <v>23673</v>
      </c>
      <c r="Q646" s="2" t="s">
        <v>23674</v>
      </c>
      <c r="R646" s="2" t="s">
        <v>36</v>
      </c>
      <c r="S646" s="2" t="s">
        <v>37</v>
      </c>
      <c r="T646" s="2" t="s">
        <v>69</v>
      </c>
      <c r="U646" s="2" t="s">
        <v>29</v>
      </c>
      <c r="V646" s="2" t="n">
        <v>1</v>
      </c>
    </row>
    <row r="647">
      <c r="A647" s="2" t="n">
        <v>646</v>
      </c>
      <c r="B647" s="2" t="s">
        <v>23675</v>
      </c>
      <c r="C647" s="2" t="n">
        <v>730.526581657</v>
      </c>
      <c r="D647" s="2" t="n">
        <v>4.01037848706478</v>
      </c>
      <c r="E647" s="2" t="s">
        <v>23676</v>
      </c>
      <c r="F647" s="2" t="s">
        <v>17137</v>
      </c>
      <c r="G647" s="2" t="s">
        <v>23677</v>
      </c>
      <c r="H647" s="2" t="s">
        <v>23678</v>
      </c>
      <c r="I647" s="2" t="s">
        <v>23679</v>
      </c>
      <c r="J647" s="2" t="s">
        <v>91</v>
      </c>
      <c r="K647" s="2" t="s">
        <v>91</v>
      </c>
      <c r="L647" s="2" t="s">
        <v>91</v>
      </c>
      <c r="M647" s="2" t="s">
        <v>91</v>
      </c>
      <c r="N647" s="2" t="s">
        <v>23680</v>
      </c>
      <c r="O647" s="2" t="s">
        <v>91</v>
      </c>
      <c r="P647" s="2" t="s">
        <v>23681</v>
      </c>
      <c r="Q647" s="2" t="s">
        <v>23682</v>
      </c>
      <c r="R647" s="2" t="s">
        <v>412</v>
      </c>
      <c r="S647" s="2" t="s">
        <v>6265</v>
      </c>
      <c r="T647" s="2" t="s">
        <v>6266</v>
      </c>
      <c r="U647" s="2" t="s">
        <v>29</v>
      </c>
      <c r="V647" s="2" t="n">
        <v>2</v>
      </c>
    </row>
    <row r="648">
      <c r="A648" s="2" t="n">
        <v>647</v>
      </c>
      <c r="B648" s="2" t="s">
        <v>23683</v>
      </c>
      <c r="C648" s="2" t="n">
        <v>731.522735196</v>
      </c>
      <c r="D648" s="2" t="n">
        <v>1.37040844701717</v>
      </c>
      <c r="E648" s="2" t="s">
        <v>23684</v>
      </c>
      <c r="F648" s="2" t="s">
        <v>17039</v>
      </c>
      <c r="G648" s="2" t="s">
        <v>23685</v>
      </c>
      <c r="H648" s="2" t="s">
        <v>23686</v>
      </c>
      <c r="I648" s="2" t="s">
        <v>23687</v>
      </c>
      <c r="J648" s="2" t="s">
        <v>29</v>
      </c>
      <c r="K648" s="2" t="s">
        <v>23688</v>
      </c>
      <c r="L648" s="2" t="s">
        <v>29</v>
      </c>
      <c r="M648" s="2" t="s">
        <v>23689</v>
      </c>
      <c r="N648" s="2" t="s">
        <v>23690</v>
      </c>
      <c r="O648" s="2" t="s">
        <v>23691</v>
      </c>
      <c r="P648" s="2" t="s">
        <v>23692</v>
      </c>
      <c r="Q648" s="2" t="s">
        <v>23693</v>
      </c>
      <c r="R648" s="2" t="s">
        <v>794</v>
      </c>
      <c r="S648" s="2" t="s">
        <v>7122</v>
      </c>
      <c r="T648" s="2" t="s">
        <v>9951</v>
      </c>
      <c r="U648" s="2" t="s">
        <v>39</v>
      </c>
      <c r="V648" s="2" t="n">
        <v>1</v>
      </c>
    </row>
    <row r="649">
      <c r="A649" s="2" t="n">
        <v>648</v>
      </c>
      <c r="B649" s="2" t="s">
        <v>23694</v>
      </c>
      <c r="C649" s="2" t="n">
        <v>733.550607307</v>
      </c>
      <c r="D649" s="2" t="n">
        <v>3.64545464838178</v>
      </c>
      <c r="E649" s="2" t="s">
        <v>23695</v>
      </c>
      <c r="F649" s="2" t="s">
        <v>17970</v>
      </c>
      <c r="G649" s="2" t="s">
        <v>23696</v>
      </c>
      <c r="H649" s="2" t="s">
        <v>23697</v>
      </c>
      <c r="I649" s="2" t="s">
        <v>23698</v>
      </c>
      <c r="J649" s="2" t="s">
        <v>91</v>
      </c>
      <c r="K649" s="2" t="s">
        <v>91</v>
      </c>
      <c r="L649" s="2" t="s">
        <v>91</v>
      </c>
      <c r="M649" s="2" t="s">
        <v>91</v>
      </c>
      <c r="N649" s="2" t="s">
        <v>23699</v>
      </c>
      <c r="O649" s="2" t="s">
        <v>91</v>
      </c>
      <c r="P649" s="2" t="s">
        <v>23700</v>
      </c>
      <c r="Q649" s="2" t="s">
        <v>23701</v>
      </c>
      <c r="R649" s="2" t="s">
        <v>412</v>
      </c>
      <c r="S649" s="2" t="s">
        <v>6265</v>
      </c>
      <c r="T649" s="2" t="s">
        <v>9186</v>
      </c>
      <c r="U649" s="2" t="s">
        <v>29</v>
      </c>
      <c r="V649" s="2" t="n">
        <v>2</v>
      </c>
    </row>
    <row r="650">
      <c r="A650" s="2" t="n">
        <v>649</v>
      </c>
      <c r="B650" s="2" t="s">
        <v>23702</v>
      </c>
      <c r="C650" s="2" t="n">
        <v>735.566257362</v>
      </c>
      <c r="D650" s="2" t="n">
        <v>6.67144416658834</v>
      </c>
      <c r="E650" s="2" t="s">
        <v>23703</v>
      </c>
      <c r="F650" s="2" t="s">
        <v>17970</v>
      </c>
      <c r="G650" s="2" t="s">
        <v>23704</v>
      </c>
      <c r="H650" s="2" t="s">
        <v>23705</v>
      </c>
      <c r="I650" s="2" t="s">
        <v>23706</v>
      </c>
      <c r="J650" s="2" t="s">
        <v>195</v>
      </c>
      <c r="K650" s="2" t="s">
        <v>195</v>
      </c>
      <c r="L650" s="2" t="s">
        <v>195</v>
      </c>
      <c r="M650" s="2" t="s">
        <v>195</v>
      </c>
      <c r="N650" s="2" t="s">
        <v>23707</v>
      </c>
      <c r="O650" s="2" t="s">
        <v>195</v>
      </c>
      <c r="P650" s="2" t="s">
        <v>23708</v>
      </c>
      <c r="Q650" s="2" t="s">
        <v>23709</v>
      </c>
      <c r="R650" s="2" t="s">
        <v>255</v>
      </c>
      <c r="S650" s="2" t="s">
        <v>6877</v>
      </c>
      <c r="T650" s="2" t="s">
        <v>9420</v>
      </c>
      <c r="U650" s="2" t="s">
        <v>29</v>
      </c>
      <c r="V650" s="2" t="n">
        <v>3</v>
      </c>
    </row>
    <row r="651">
      <c r="A651" s="2" t="n">
        <v>650</v>
      </c>
      <c r="B651" s="2" t="s">
        <v>23710</v>
      </c>
      <c r="C651" s="2" t="n">
        <v>737.451814244</v>
      </c>
      <c r="D651" s="2" t="n">
        <v>3.45903008941568</v>
      </c>
      <c r="E651" s="2" t="s">
        <v>23711</v>
      </c>
      <c r="F651" s="2" t="s">
        <v>17406</v>
      </c>
      <c r="G651" s="2" t="s">
        <v>23712</v>
      </c>
      <c r="H651" s="2" t="s">
        <v>23713</v>
      </c>
      <c r="I651" s="2" t="s">
        <v>23714</v>
      </c>
      <c r="J651" s="2" t="s">
        <v>23715</v>
      </c>
      <c r="K651" s="2" t="s">
        <v>23716</v>
      </c>
      <c r="L651" s="2" t="s">
        <v>91</v>
      </c>
      <c r="M651" s="2" t="s">
        <v>91</v>
      </c>
      <c r="N651" s="2" t="s">
        <v>23717</v>
      </c>
      <c r="O651" s="2" t="s">
        <v>91</v>
      </c>
      <c r="P651" s="2" t="s">
        <v>23718</v>
      </c>
      <c r="Q651" s="2" t="s">
        <v>23719</v>
      </c>
      <c r="R651" s="2" t="s">
        <v>412</v>
      </c>
      <c r="S651" s="2" t="s">
        <v>10037</v>
      </c>
      <c r="T651" s="2" t="s">
        <v>22157</v>
      </c>
      <c r="U651" s="2" t="s">
        <v>56</v>
      </c>
      <c r="V651" s="2" t="n">
        <v>2</v>
      </c>
    </row>
    <row r="652">
      <c r="A652" s="2" t="n">
        <v>651</v>
      </c>
      <c r="B652" s="2" t="s">
        <v>23720</v>
      </c>
      <c r="C652" s="2" t="n">
        <v>741.232122212</v>
      </c>
      <c r="D652" s="2" t="n">
        <v>3.82170709655438</v>
      </c>
      <c r="E652" s="2" t="s">
        <v>23721</v>
      </c>
      <c r="F652" s="2" t="s">
        <v>17406</v>
      </c>
      <c r="G652" s="2" t="s">
        <v>23722</v>
      </c>
      <c r="H652" s="2" t="s">
        <v>23723</v>
      </c>
      <c r="I652" s="2" t="s">
        <v>23724</v>
      </c>
      <c r="J652" s="2" t="s">
        <v>23725</v>
      </c>
      <c r="K652" s="2" t="s">
        <v>29</v>
      </c>
      <c r="L652" s="2" t="s">
        <v>29</v>
      </c>
      <c r="M652" s="2" t="s">
        <v>29</v>
      </c>
      <c r="N652" s="2" t="s">
        <v>23726</v>
      </c>
      <c r="O652" s="2" t="s">
        <v>23727</v>
      </c>
      <c r="P652" s="2" t="s">
        <v>23728</v>
      </c>
      <c r="Q652" s="2" t="s">
        <v>23729</v>
      </c>
      <c r="R652" s="2" t="s">
        <v>114</v>
      </c>
      <c r="S652" s="2" t="s">
        <v>994</v>
      </c>
      <c r="T652" s="2" t="s">
        <v>2649</v>
      </c>
      <c r="U652" s="2" t="s">
        <v>29</v>
      </c>
      <c r="V652" s="2" t="n">
        <v>1</v>
      </c>
    </row>
    <row r="653">
      <c r="A653" s="2" t="n">
        <v>652</v>
      </c>
      <c r="B653" s="2" t="s">
        <v>23730</v>
      </c>
      <c r="C653" s="2" t="n">
        <v>741.523564598</v>
      </c>
      <c r="D653" s="2" t="n">
        <v>8.35945511841002</v>
      </c>
      <c r="E653" s="2" t="s">
        <v>23731</v>
      </c>
      <c r="F653" s="2" t="s">
        <v>17892</v>
      </c>
      <c r="G653" s="2" t="s">
        <v>23732</v>
      </c>
      <c r="H653" s="2" t="s">
        <v>23733</v>
      </c>
      <c r="I653" s="2" t="s">
        <v>23734</v>
      </c>
      <c r="J653" s="2" t="s">
        <v>91</v>
      </c>
      <c r="K653" s="2" t="s">
        <v>23735</v>
      </c>
      <c r="L653" s="2" t="s">
        <v>91</v>
      </c>
      <c r="M653" s="2" t="s">
        <v>23736</v>
      </c>
      <c r="N653" s="2" t="s">
        <v>23737</v>
      </c>
      <c r="O653" s="2" t="s">
        <v>91</v>
      </c>
      <c r="P653" s="2" t="s">
        <v>23738</v>
      </c>
      <c r="Q653" s="2" t="s">
        <v>23739</v>
      </c>
      <c r="R653" s="2" t="s">
        <v>412</v>
      </c>
      <c r="S653" s="2" t="s">
        <v>413</v>
      </c>
      <c r="T653" s="2" t="s">
        <v>3680</v>
      </c>
      <c r="U653" s="2" t="s">
        <v>56</v>
      </c>
      <c r="V653" s="2" t="n">
        <v>2</v>
      </c>
    </row>
    <row r="654">
      <c r="A654" s="2" t="n">
        <v>653</v>
      </c>
      <c r="B654" s="2" t="s">
        <v>23740</v>
      </c>
      <c r="C654" s="2" t="n">
        <v>742.535722989</v>
      </c>
      <c r="D654" s="2" t="n">
        <v>0.577660769037673</v>
      </c>
      <c r="E654" s="2" t="s">
        <v>23741</v>
      </c>
      <c r="F654" s="2" t="s">
        <v>17198</v>
      </c>
      <c r="G654" s="2" t="s">
        <v>23742</v>
      </c>
      <c r="H654" s="2" t="s">
        <v>23743</v>
      </c>
      <c r="I654" s="2" t="s">
        <v>23744</v>
      </c>
      <c r="J654" s="2" t="s">
        <v>23745</v>
      </c>
      <c r="K654" s="2" t="s">
        <v>23746</v>
      </c>
      <c r="L654" s="2" t="s">
        <v>9831</v>
      </c>
      <c r="M654" s="2" t="s">
        <v>23747</v>
      </c>
      <c r="N654" s="2" t="s">
        <v>23748</v>
      </c>
      <c r="O654" s="2" t="s">
        <v>29</v>
      </c>
      <c r="P654" s="2" t="s">
        <v>23749</v>
      </c>
      <c r="Q654" s="2" t="s">
        <v>23750</v>
      </c>
      <c r="R654" s="2" t="s">
        <v>794</v>
      </c>
      <c r="S654" s="2" t="s">
        <v>7122</v>
      </c>
      <c r="T654" s="2" t="s">
        <v>8460</v>
      </c>
      <c r="U654" s="2" t="s">
        <v>56</v>
      </c>
      <c r="V654" s="2" t="n">
        <v>1</v>
      </c>
    </row>
    <row r="655">
      <c r="A655" s="2" t="n">
        <v>654</v>
      </c>
      <c r="B655" s="2" t="s">
        <v>23751</v>
      </c>
      <c r="C655" s="2" t="n">
        <v>752.13358993</v>
      </c>
      <c r="D655" s="2" t="n">
        <v>6.57950946528063</v>
      </c>
      <c r="E655" s="2" t="s">
        <v>23752</v>
      </c>
      <c r="F655" s="2" t="s">
        <v>17406</v>
      </c>
      <c r="G655" s="2" t="s">
        <v>23753</v>
      </c>
      <c r="H655" s="2" t="s">
        <v>23754</v>
      </c>
      <c r="I655" s="2" t="s">
        <v>23755</v>
      </c>
      <c r="J655" s="2" t="s">
        <v>29</v>
      </c>
      <c r="K655" s="2" t="s">
        <v>29</v>
      </c>
      <c r="L655" s="2" t="s">
        <v>29</v>
      </c>
      <c r="M655" s="2" t="s">
        <v>29</v>
      </c>
      <c r="N655" s="2" t="s">
        <v>23756</v>
      </c>
      <c r="O655" s="2" t="s">
        <v>29</v>
      </c>
      <c r="P655" s="2" t="s">
        <v>23757</v>
      </c>
      <c r="Q655" s="2" t="s">
        <v>23758</v>
      </c>
      <c r="R655" s="2" t="s">
        <v>36</v>
      </c>
      <c r="S655" s="2" t="s">
        <v>37</v>
      </c>
      <c r="T655" s="2" t="s">
        <v>10514</v>
      </c>
      <c r="U655" s="2" t="s">
        <v>29</v>
      </c>
      <c r="V655" s="2" t="n">
        <v>1</v>
      </c>
    </row>
    <row r="656">
      <c r="A656" s="2" t="n">
        <v>655</v>
      </c>
      <c r="B656" s="2" t="s">
        <v>23759</v>
      </c>
      <c r="C656" s="2" t="n">
        <v>752.507341003</v>
      </c>
      <c r="D656" s="2" t="n">
        <v>0.411205741734829</v>
      </c>
      <c r="E656" s="2" t="s">
        <v>23760</v>
      </c>
      <c r="F656" s="2" t="s">
        <v>17406</v>
      </c>
      <c r="G656" s="2" t="s">
        <v>23761</v>
      </c>
      <c r="H656" s="2" t="s">
        <v>23762</v>
      </c>
      <c r="I656" s="2" t="s">
        <v>23763</v>
      </c>
      <c r="J656" s="2" t="s">
        <v>29</v>
      </c>
      <c r="K656" s="2" t="s">
        <v>29</v>
      </c>
      <c r="L656" s="2" t="s">
        <v>29</v>
      </c>
      <c r="M656" s="2" t="s">
        <v>29</v>
      </c>
      <c r="N656" s="2" t="s">
        <v>23764</v>
      </c>
      <c r="O656" s="2" t="s">
        <v>23765</v>
      </c>
      <c r="P656" s="2" t="s">
        <v>23766</v>
      </c>
      <c r="Q656" s="2" t="s">
        <v>23767</v>
      </c>
      <c r="R656" s="2" t="s">
        <v>794</v>
      </c>
      <c r="S656" s="2" t="s">
        <v>7781</v>
      </c>
      <c r="T656" s="2" t="s">
        <v>11458</v>
      </c>
      <c r="U656" s="2" t="s">
        <v>29</v>
      </c>
      <c r="V656" s="2" t="n">
        <v>1</v>
      </c>
    </row>
    <row r="657">
      <c r="A657" s="2" t="n">
        <v>656</v>
      </c>
      <c r="B657" s="2" t="s">
        <v>23768</v>
      </c>
      <c r="C657" s="2" t="n">
        <v>753.51961267</v>
      </c>
      <c r="D657" s="2" t="n">
        <v>7.54282217165144</v>
      </c>
      <c r="E657" s="2" t="s">
        <v>23769</v>
      </c>
      <c r="F657" s="2" t="s">
        <v>17520</v>
      </c>
      <c r="G657" s="2" t="s">
        <v>23770</v>
      </c>
      <c r="H657" s="2" t="s">
        <v>23771</v>
      </c>
      <c r="I657" s="2" t="s">
        <v>23772</v>
      </c>
      <c r="J657" s="2" t="s">
        <v>23773</v>
      </c>
      <c r="K657" s="2" t="s">
        <v>29</v>
      </c>
      <c r="L657" s="2" t="s">
        <v>29</v>
      </c>
      <c r="M657" s="2" t="s">
        <v>29</v>
      </c>
      <c r="N657" s="2" t="s">
        <v>23774</v>
      </c>
      <c r="O657" s="2" t="s">
        <v>29</v>
      </c>
      <c r="P657" s="2" t="s">
        <v>23775</v>
      </c>
      <c r="Q657" s="2" t="s">
        <v>23776</v>
      </c>
      <c r="R657" s="2" t="s">
        <v>794</v>
      </c>
      <c r="S657" s="2" t="s">
        <v>2600</v>
      </c>
      <c r="T657" s="2" t="s">
        <v>8990</v>
      </c>
      <c r="U657" s="2" t="s">
        <v>29</v>
      </c>
      <c r="V657" s="2" t="n">
        <v>1</v>
      </c>
    </row>
    <row r="658">
      <c r="A658" s="2" t="n">
        <v>657</v>
      </c>
      <c r="B658" s="2" t="s">
        <v>23777</v>
      </c>
      <c r="C658" s="2" t="n">
        <v>755.50999734</v>
      </c>
      <c r="D658" s="2" t="n">
        <v>0.650043300452162</v>
      </c>
      <c r="E658" s="2" t="s">
        <v>23778</v>
      </c>
      <c r="F658" s="2" t="s">
        <v>17406</v>
      </c>
      <c r="G658" s="2" t="s">
        <v>23779</v>
      </c>
      <c r="H658" s="2" t="s">
        <v>23780</v>
      </c>
      <c r="I658" s="2" t="s">
        <v>23781</v>
      </c>
      <c r="J658" s="2" t="s">
        <v>29</v>
      </c>
      <c r="K658" s="2" t="s">
        <v>29</v>
      </c>
      <c r="L658" s="2" t="s">
        <v>9017</v>
      </c>
      <c r="M658" s="2" t="s">
        <v>23782</v>
      </c>
      <c r="N658" s="2" t="s">
        <v>23783</v>
      </c>
      <c r="O658" s="2" t="s">
        <v>29</v>
      </c>
      <c r="P658" s="2" t="s">
        <v>23784</v>
      </c>
      <c r="Q658" s="2" t="s">
        <v>23785</v>
      </c>
      <c r="R658" s="2" t="s">
        <v>794</v>
      </c>
      <c r="S658" s="2" t="s">
        <v>7781</v>
      </c>
      <c r="T658" s="2" t="s">
        <v>7782</v>
      </c>
      <c r="U658" s="2" t="s">
        <v>39</v>
      </c>
      <c r="V658" s="2" t="n">
        <v>1</v>
      </c>
    </row>
    <row r="659">
      <c r="A659" s="2" t="n">
        <v>658</v>
      </c>
      <c r="B659" s="2" t="s">
        <v>23786</v>
      </c>
      <c r="C659" s="2" t="n">
        <v>756.553780989</v>
      </c>
      <c r="D659" s="2" t="n">
        <v>4.08987933333202</v>
      </c>
      <c r="E659" s="2" t="s">
        <v>23787</v>
      </c>
      <c r="F659" s="2" t="s">
        <v>17137</v>
      </c>
      <c r="G659" s="2" t="s">
        <v>23788</v>
      </c>
      <c r="H659" s="2" t="s">
        <v>23789</v>
      </c>
      <c r="I659" s="2" t="s">
        <v>23790</v>
      </c>
      <c r="J659" s="2" t="s">
        <v>23791</v>
      </c>
      <c r="K659" s="2" t="s">
        <v>23792</v>
      </c>
      <c r="L659" s="2" t="s">
        <v>9831</v>
      </c>
      <c r="M659" s="2" t="s">
        <v>23793</v>
      </c>
      <c r="N659" s="2" t="s">
        <v>23794</v>
      </c>
      <c r="O659" s="2" t="s">
        <v>29</v>
      </c>
      <c r="P659" s="2" t="s">
        <v>23795</v>
      </c>
      <c r="Q659" s="2" t="s">
        <v>23796</v>
      </c>
      <c r="R659" s="2" t="s">
        <v>794</v>
      </c>
      <c r="S659" s="2" t="s">
        <v>7122</v>
      </c>
      <c r="T659" s="2" t="s">
        <v>8460</v>
      </c>
      <c r="U659" s="2" t="s">
        <v>56</v>
      </c>
      <c r="V659" s="2" t="n">
        <v>1</v>
      </c>
    </row>
    <row r="660">
      <c r="A660" s="2" t="n">
        <v>659</v>
      </c>
      <c r="B660" s="2" t="s">
        <v>23797</v>
      </c>
      <c r="C660" s="2" t="n">
        <v>757.19798938</v>
      </c>
      <c r="D660" s="2" t="n">
        <v>8.27107382589501</v>
      </c>
      <c r="E660" s="2" t="s">
        <v>23798</v>
      </c>
      <c r="F660" s="2" t="s">
        <v>17117</v>
      </c>
      <c r="G660" s="2" t="s">
        <v>23799</v>
      </c>
      <c r="H660" s="2" t="s">
        <v>23800</v>
      </c>
      <c r="I660" s="2" t="s">
        <v>23801</v>
      </c>
      <c r="J660" s="2" t="s">
        <v>29</v>
      </c>
      <c r="K660" s="2" t="s">
        <v>29</v>
      </c>
      <c r="L660" s="2" t="s">
        <v>29</v>
      </c>
      <c r="M660" s="2" t="s">
        <v>29</v>
      </c>
      <c r="N660" s="2" t="s">
        <v>23802</v>
      </c>
      <c r="O660" s="2" t="s">
        <v>23803</v>
      </c>
      <c r="P660" s="2" t="s">
        <v>23804</v>
      </c>
      <c r="Q660" s="2" t="s">
        <v>23805</v>
      </c>
      <c r="R660" s="2" t="s">
        <v>1355</v>
      </c>
      <c r="S660" s="2" t="s">
        <v>5199</v>
      </c>
      <c r="T660" s="2" t="s">
        <v>7308</v>
      </c>
      <c r="U660" s="2" t="s">
        <v>29</v>
      </c>
      <c r="V660" s="2" t="n">
        <v>1</v>
      </c>
    </row>
    <row r="661">
      <c r="A661" s="2" t="n">
        <v>660</v>
      </c>
      <c r="B661" s="2" t="s">
        <v>23806</v>
      </c>
      <c r="C661" s="2" t="n">
        <v>757.561295408</v>
      </c>
      <c r="D661" s="2" t="n">
        <v>2.71224337242573</v>
      </c>
      <c r="E661" s="2" t="s">
        <v>23807</v>
      </c>
      <c r="F661" s="2" t="s">
        <v>18382</v>
      </c>
      <c r="G661" s="2" t="s">
        <v>23808</v>
      </c>
      <c r="H661" s="2" t="s">
        <v>23809</v>
      </c>
      <c r="I661" s="2" t="s">
        <v>23810</v>
      </c>
      <c r="J661" s="2" t="s">
        <v>23811</v>
      </c>
      <c r="K661" s="2" t="s">
        <v>23812</v>
      </c>
      <c r="L661" s="2" t="s">
        <v>23813</v>
      </c>
      <c r="M661" s="2" t="s">
        <v>23814</v>
      </c>
      <c r="N661" s="2" t="s">
        <v>23815</v>
      </c>
      <c r="O661" s="2" t="s">
        <v>23816</v>
      </c>
      <c r="P661" s="2" t="s">
        <v>23817</v>
      </c>
      <c r="Q661" s="2" t="s">
        <v>23818</v>
      </c>
      <c r="R661" s="2" t="s">
        <v>794</v>
      </c>
      <c r="S661" s="2" t="s">
        <v>15107</v>
      </c>
      <c r="T661" s="2" t="s">
        <v>215</v>
      </c>
      <c r="U661" s="2" t="s">
        <v>56</v>
      </c>
      <c r="V661" s="2" t="n">
        <v>1</v>
      </c>
    </row>
    <row r="662">
      <c r="A662" s="2" t="n">
        <v>661</v>
      </c>
      <c r="B662" s="2" t="s">
        <v>23819</v>
      </c>
      <c r="C662" s="2" t="n">
        <v>758.569431053</v>
      </c>
      <c r="D662" s="2" t="n">
        <v>5.1396216075256</v>
      </c>
      <c r="E662" s="2" t="s">
        <v>23820</v>
      </c>
      <c r="F662" s="2" t="s">
        <v>17137</v>
      </c>
      <c r="G662" s="2" t="s">
        <v>23821</v>
      </c>
      <c r="H662" s="2" t="s">
        <v>23822</v>
      </c>
      <c r="I662" s="2" t="s">
        <v>23823</v>
      </c>
      <c r="J662" s="2" t="s">
        <v>23824</v>
      </c>
      <c r="K662" s="2" t="s">
        <v>23825</v>
      </c>
      <c r="L662" s="2" t="s">
        <v>9831</v>
      </c>
      <c r="M662" s="2" t="s">
        <v>23826</v>
      </c>
      <c r="N662" s="2" t="s">
        <v>23827</v>
      </c>
      <c r="O662" s="2" t="s">
        <v>29</v>
      </c>
      <c r="P662" s="2" t="s">
        <v>23828</v>
      </c>
      <c r="Q662" s="2" t="s">
        <v>23829</v>
      </c>
      <c r="R662" s="2" t="s">
        <v>794</v>
      </c>
      <c r="S662" s="2" t="s">
        <v>7122</v>
      </c>
      <c r="T662" s="2" t="s">
        <v>8460</v>
      </c>
      <c r="U662" s="2" t="s">
        <v>56</v>
      </c>
      <c r="V662" s="2" t="n">
        <v>1</v>
      </c>
    </row>
    <row r="663">
      <c r="A663" s="2" t="n">
        <v>662</v>
      </c>
      <c r="B663" s="2" t="s">
        <v>23830</v>
      </c>
      <c r="C663" s="2" t="n">
        <v>759.217146706</v>
      </c>
      <c r="D663" s="2" t="n">
        <v>0.757814288234459</v>
      </c>
      <c r="E663" s="2" t="s">
        <v>23831</v>
      </c>
      <c r="F663" s="2" t="s">
        <v>18382</v>
      </c>
      <c r="G663" s="2" t="s">
        <v>23832</v>
      </c>
      <c r="H663" s="2" t="s">
        <v>23833</v>
      </c>
      <c r="I663" s="2" t="s">
        <v>23834</v>
      </c>
      <c r="J663" s="2" t="s">
        <v>23835</v>
      </c>
      <c r="K663" s="2" t="s">
        <v>29</v>
      </c>
      <c r="L663" s="2" t="s">
        <v>23836</v>
      </c>
      <c r="M663" s="2" t="s">
        <v>23837</v>
      </c>
      <c r="N663" s="2" t="s">
        <v>23838</v>
      </c>
      <c r="O663" s="2" t="s">
        <v>23839</v>
      </c>
      <c r="P663" s="2" t="s">
        <v>23840</v>
      </c>
      <c r="Q663" s="2" t="s">
        <v>23841</v>
      </c>
      <c r="R663" s="2" t="s">
        <v>36</v>
      </c>
      <c r="S663" s="2" t="s">
        <v>37</v>
      </c>
      <c r="T663" s="2" t="s">
        <v>69</v>
      </c>
      <c r="U663" s="2" t="s">
        <v>56</v>
      </c>
      <c r="V663" s="2" t="n">
        <v>1</v>
      </c>
    </row>
    <row r="664">
      <c r="A664" s="2" t="n">
        <v>663</v>
      </c>
      <c r="B664" s="2" t="s">
        <v>23842</v>
      </c>
      <c r="C664" s="2" t="n">
        <v>760.585081117</v>
      </c>
      <c r="D664" s="2" t="n">
        <v>4.34165364460815</v>
      </c>
      <c r="E664" s="2" t="s">
        <v>23843</v>
      </c>
      <c r="F664" s="2" t="s">
        <v>17137</v>
      </c>
      <c r="G664" s="2" t="s">
        <v>23844</v>
      </c>
      <c r="H664" s="2" t="s">
        <v>23845</v>
      </c>
      <c r="I664" s="2" t="s">
        <v>23846</v>
      </c>
      <c r="J664" s="2" t="s">
        <v>23847</v>
      </c>
      <c r="K664" s="2" t="s">
        <v>23848</v>
      </c>
      <c r="L664" s="2" t="s">
        <v>10743</v>
      </c>
      <c r="M664" s="2" t="s">
        <v>23849</v>
      </c>
      <c r="N664" s="2" t="s">
        <v>23850</v>
      </c>
      <c r="O664" s="2" t="s">
        <v>91</v>
      </c>
      <c r="P664" s="2" t="s">
        <v>23851</v>
      </c>
      <c r="Q664" s="2" t="s">
        <v>23852</v>
      </c>
      <c r="R664" s="2" t="s">
        <v>412</v>
      </c>
      <c r="S664" s="2" t="s">
        <v>10037</v>
      </c>
      <c r="T664" s="2" t="s">
        <v>10748</v>
      </c>
      <c r="U664" s="2" t="s">
        <v>101</v>
      </c>
      <c r="V664" s="2" t="n">
        <v>2</v>
      </c>
    </row>
    <row r="665">
      <c r="A665" s="2" t="n">
        <v>664</v>
      </c>
      <c r="B665" s="2" t="s">
        <v>23853</v>
      </c>
      <c r="C665" s="2" t="n">
        <v>761.451814244</v>
      </c>
      <c r="D665" s="2" t="n">
        <v>6.04238203498542</v>
      </c>
      <c r="E665" s="2" t="s">
        <v>23854</v>
      </c>
      <c r="F665" s="2" t="s">
        <v>17406</v>
      </c>
      <c r="G665" s="2" t="s">
        <v>23855</v>
      </c>
      <c r="H665" s="2" t="s">
        <v>23856</v>
      </c>
      <c r="I665" s="2" t="s">
        <v>23857</v>
      </c>
      <c r="J665" s="2" t="s">
        <v>23858</v>
      </c>
      <c r="K665" s="2" t="s">
        <v>23859</v>
      </c>
      <c r="L665" s="2" t="s">
        <v>29</v>
      </c>
      <c r="M665" s="2" t="s">
        <v>29</v>
      </c>
      <c r="N665" s="2" t="s">
        <v>23860</v>
      </c>
      <c r="O665" s="2" t="s">
        <v>29</v>
      </c>
      <c r="P665" s="2" t="s">
        <v>23861</v>
      </c>
      <c r="Q665" s="2" t="s">
        <v>23862</v>
      </c>
      <c r="R665" s="2" t="s">
        <v>794</v>
      </c>
      <c r="S665" s="2" t="s">
        <v>7122</v>
      </c>
      <c r="T665" s="2" t="s">
        <v>7123</v>
      </c>
      <c r="U665" s="2" t="s">
        <v>56</v>
      </c>
      <c r="V665" s="2" t="n">
        <v>1</v>
      </c>
    </row>
    <row r="666">
      <c r="A666" s="2" t="n">
        <v>665</v>
      </c>
      <c r="B666" s="2" t="s">
        <v>23863</v>
      </c>
      <c r="C666" s="2" t="n">
        <v>762.600731181</v>
      </c>
      <c r="D666" s="2" t="n">
        <v>5.50039200223201</v>
      </c>
      <c r="E666" s="2" t="s">
        <v>23864</v>
      </c>
      <c r="F666" s="2" t="s">
        <v>17137</v>
      </c>
      <c r="G666" s="2" t="s">
        <v>23865</v>
      </c>
      <c r="H666" s="2" t="s">
        <v>23866</v>
      </c>
      <c r="I666" s="2" t="s">
        <v>23867</v>
      </c>
      <c r="J666" s="2" t="s">
        <v>23868</v>
      </c>
      <c r="K666" s="2" t="s">
        <v>23869</v>
      </c>
      <c r="L666" s="2" t="s">
        <v>10743</v>
      </c>
      <c r="M666" s="2" t="s">
        <v>23870</v>
      </c>
      <c r="N666" s="2" t="s">
        <v>23871</v>
      </c>
      <c r="O666" s="2" t="s">
        <v>91</v>
      </c>
      <c r="P666" s="2" t="s">
        <v>23872</v>
      </c>
      <c r="Q666" s="2" t="s">
        <v>23873</v>
      </c>
      <c r="R666" s="2" t="s">
        <v>412</v>
      </c>
      <c r="S666" s="2" t="s">
        <v>10037</v>
      </c>
      <c r="T666" s="2" t="s">
        <v>10748</v>
      </c>
      <c r="U666" s="2" t="s">
        <v>101</v>
      </c>
      <c r="V666" s="2" t="n">
        <v>2</v>
      </c>
    </row>
    <row r="667">
      <c r="A667" s="2" t="n">
        <v>666</v>
      </c>
      <c r="B667" s="2" t="s">
        <v>23874</v>
      </c>
      <c r="C667" s="2" t="n">
        <v>765.51784611</v>
      </c>
      <c r="D667" s="2" t="n">
        <v>1.41428924555007</v>
      </c>
      <c r="E667" s="2" t="s">
        <v>23875</v>
      </c>
      <c r="F667" s="2" t="s">
        <v>17227</v>
      </c>
      <c r="G667" s="2" t="s">
        <v>23876</v>
      </c>
      <c r="H667" s="2" t="s">
        <v>23877</v>
      </c>
      <c r="I667" s="2" t="s">
        <v>23878</v>
      </c>
      <c r="J667" s="2" t="s">
        <v>23879</v>
      </c>
      <c r="K667" s="2" t="s">
        <v>23880</v>
      </c>
      <c r="L667" s="2" t="s">
        <v>29</v>
      </c>
      <c r="M667" s="2" t="s">
        <v>23881</v>
      </c>
      <c r="N667" s="2" t="s">
        <v>23882</v>
      </c>
      <c r="O667" s="2" t="s">
        <v>23883</v>
      </c>
      <c r="P667" s="2" t="s">
        <v>23884</v>
      </c>
      <c r="Q667" s="2" t="s">
        <v>23885</v>
      </c>
      <c r="R667" s="2" t="s">
        <v>601</v>
      </c>
      <c r="S667" s="2" t="s">
        <v>602</v>
      </c>
      <c r="T667" s="2" t="s">
        <v>1800</v>
      </c>
      <c r="U667" s="2" t="s">
        <v>56</v>
      </c>
      <c r="V667" s="2" t="n">
        <v>1</v>
      </c>
    </row>
    <row r="668">
      <c r="A668" s="2" t="n">
        <v>667</v>
      </c>
      <c r="B668" s="2" t="s">
        <v>23886</v>
      </c>
      <c r="C668" s="2" t="n">
        <v>766.522991067</v>
      </c>
      <c r="D668" s="2" t="n">
        <v>0.99576772259072</v>
      </c>
      <c r="E668" s="2" t="s">
        <v>23887</v>
      </c>
      <c r="F668" s="2" t="s">
        <v>17406</v>
      </c>
      <c r="G668" s="2" t="s">
        <v>23888</v>
      </c>
      <c r="H668" s="2" t="s">
        <v>23889</v>
      </c>
      <c r="I668" s="2" t="s">
        <v>23890</v>
      </c>
      <c r="J668" s="2" t="s">
        <v>23891</v>
      </c>
      <c r="K668" s="2" t="s">
        <v>29</v>
      </c>
      <c r="L668" s="2" t="s">
        <v>29</v>
      </c>
      <c r="M668" s="2" t="s">
        <v>29</v>
      </c>
      <c r="N668" s="2" t="s">
        <v>23892</v>
      </c>
      <c r="O668" s="2" t="s">
        <v>23893</v>
      </c>
      <c r="P668" s="2" t="s">
        <v>23894</v>
      </c>
      <c r="Q668" s="2" t="s">
        <v>23895</v>
      </c>
      <c r="R668" s="2" t="s">
        <v>794</v>
      </c>
      <c r="S668" s="2" t="s">
        <v>7781</v>
      </c>
      <c r="T668" s="2" t="s">
        <v>11458</v>
      </c>
      <c r="U668" s="2" t="s">
        <v>29</v>
      </c>
      <c r="V668" s="2" t="n">
        <v>1</v>
      </c>
    </row>
    <row r="669">
      <c r="A669" s="2" t="n">
        <v>668</v>
      </c>
      <c r="B669" s="2" t="s">
        <v>23896</v>
      </c>
      <c r="C669" s="2" t="n">
        <v>767.519739057</v>
      </c>
      <c r="D669" s="2" t="n">
        <v>0.509629546446874</v>
      </c>
      <c r="E669" s="2" t="s">
        <v>23897</v>
      </c>
      <c r="F669" s="2" t="s">
        <v>17198</v>
      </c>
      <c r="G669" s="2" t="s">
        <v>23898</v>
      </c>
      <c r="H669" s="2" t="s">
        <v>23899</v>
      </c>
      <c r="I669" s="2" t="s">
        <v>23900</v>
      </c>
      <c r="J669" s="2" t="s">
        <v>29</v>
      </c>
      <c r="K669" s="2" t="s">
        <v>29</v>
      </c>
      <c r="L669" s="2" t="s">
        <v>29</v>
      </c>
      <c r="M669" s="2" t="s">
        <v>29</v>
      </c>
      <c r="N669" s="2" t="s">
        <v>23901</v>
      </c>
      <c r="O669" s="2" t="s">
        <v>29</v>
      </c>
      <c r="P669" s="2" t="s">
        <v>23902</v>
      </c>
      <c r="Q669" s="2" t="s">
        <v>23903</v>
      </c>
      <c r="R669" s="2" t="s">
        <v>794</v>
      </c>
      <c r="S669" s="2" t="s">
        <v>7122</v>
      </c>
      <c r="T669" s="2" t="s">
        <v>215</v>
      </c>
      <c r="U669" s="2" t="s">
        <v>29</v>
      </c>
      <c r="V669" s="2" t="n">
        <v>1</v>
      </c>
    </row>
    <row r="670">
      <c r="A670" s="2" t="n">
        <v>669</v>
      </c>
      <c r="B670" s="2" t="s">
        <v>23904</v>
      </c>
      <c r="C670" s="2" t="n">
        <v>768.503438277</v>
      </c>
      <c r="D670" s="2" t="n">
        <v>5.4631910929917</v>
      </c>
      <c r="E670" s="2" t="s">
        <v>23905</v>
      </c>
      <c r="F670" s="2" t="s">
        <v>17198</v>
      </c>
      <c r="G670" s="2" t="s">
        <v>23906</v>
      </c>
      <c r="H670" s="2" t="s">
        <v>23907</v>
      </c>
      <c r="I670" s="2" t="s">
        <v>23908</v>
      </c>
      <c r="J670" s="2" t="s">
        <v>29</v>
      </c>
      <c r="K670" s="2" t="s">
        <v>29</v>
      </c>
      <c r="L670" s="2" t="s">
        <v>29</v>
      </c>
      <c r="M670" s="2" t="s">
        <v>29</v>
      </c>
      <c r="N670" s="2" t="s">
        <v>29</v>
      </c>
      <c r="O670" s="2" t="s">
        <v>29</v>
      </c>
      <c r="P670" s="2" t="s">
        <v>23909</v>
      </c>
      <c r="Q670" s="2" t="s">
        <v>23910</v>
      </c>
      <c r="R670" s="2" t="s">
        <v>794</v>
      </c>
      <c r="S670" s="2" t="s">
        <v>795</v>
      </c>
      <c r="T670" s="2" t="s">
        <v>2391</v>
      </c>
      <c r="U670" s="2" t="s">
        <v>29</v>
      </c>
      <c r="V670" s="2" t="n">
        <v>1</v>
      </c>
    </row>
    <row r="671">
      <c r="A671" s="2" t="n">
        <v>670</v>
      </c>
      <c r="B671" s="2" t="s">
        <v>23911</v>
      </c>
      <c r="C671" s="2" t="n">
        <v>768.566783937</v>
      </c>
      <c r="D671" s="2" t="n">
        <v>8.89913267689079</v>
      </c>
      <c r="E671" s="2" t="s">
        <v>23912</v>
      </c>
      <c r="F671" s="2" t="s">
        <v>17406</v>
      </c>
      <c r="G671" s="2" t="s">
        <v>23913</v>
      </c>
      <c r="H671" s="2" t="s">
        <v>23914</v>
      </c>
      <c r="I671" s="2" t="s">
        <v>23915</v>
      </c>
      <c r="J671" s="2" t="s">
        <v>23916</v>
      </c>
      <c r="K671" s="2" t="s">
        <v>23917</v>
      </c>
      <c r="L671" s="2" t="s">
        <v>29</v>
      </c>
      <c r="M671" s="2" t="s">
        <v>23918</v>
      </c>
      <c r="N671" s="2" t="s">
        <v>23919</v>
      </c>
      <c r="O671" s="2" t="s">
        <v>29</v>
      </c>
      <c r="P671" s="2" t="s">
        <v>23920</v>
      </c>
      <c r="Q671" s="2" t="s">
        <v>23921</v>
      </c>
      <c r="R671" s="2" t="s">
        <v>794</v>
      </c>
      <c r="S671" s="2" t="s">
        <v>7781</v>
      </c>
      <c r="T671" s="2" t="s">
        <v>7782</v>
      </c>
      <c r="U671" s="2" t="s">
        <v>29</v>
      </c>
      <c r="V671" s="2" t="n">
        <v>1</v>
      </c>
    </row>
    <row r="672">
      <c r="A672" s="2" t="n">
        <v>671</v>
      </c>
      <c r="B672" s="2" t="s">
        <v>23922</v>
      </c>
      <c r="C672" s="2" t="n">
        <v>769.4898618</v>
      </c>
      <c r="D672" s="2" t="n">
        <v>1.99511009536201</v>
      </c>
      <c r="E672" s="2" t="s">
        <v>23923</v>
      </c>
      <c r="F672" s="2" t="s">
        <v>18382</v>
      </c>
      <c r="G672" s="2" t="s">
        <v>23924</v>
      </c>
      <c r="H672" s="2" t="s">
        <v>23925</v>
      </c>
      <c r="I672" s="2" t="s">
        <v>23926</v>
      </c>
      <c r="J672" s="2" t="s">
        <v>23927</v>
      </c>
      <c r="K672" s="2" t="s">
        <v>29</v>
      </c>
      <c r="L672" s="2" t="s">
        <v>29</v>
      </c>
      <c r="M672" s="2" t="s">
        <v>29</v>
      </c>
      <c r="N672" s="2" t="s">
        <v>23928</v>
      </c>
      <c r="O672" s="2" t="s">
        <v>29</v>
      </c>
      <c r="P672" s="2" t="s">
        <v>23929</v>
      </c>
      <c r="Q672" s="2" t="s">
        <v>23930</v>
      </c>
      <c r="R672" s="2" t="s">
        <v>3003</v>
      </c>
      <c r="S672" s="2" t="s">
        <v>23931</v>
      </c>
      <c r="T672" s="2" t="s">
        <v>215</v>
      </c>
      <c r="U672" s="2" t="s">
        <v>56</v>
      </c>
      <c r="V672" s="2" t="n">
        <v>1</v>
      </c>
    </row>
    <row r="673">
      <c r="A673" s="2" t="n">
        <v>672</v>
      </c>
      <c r="B673" s="2" t="s">
        <v>23932</v>
      </c>
      <c r="C673" s="2" t="n">
        <v>770.509508239</v>
      </c>
      <c r="D673" s="2" t="n">
        <v>0.641657742015288</v>
      </c>
      <c r="E673" s="2" t="s">
        <v>23933</v>
      </c>
      <c r="F673" s="2" t="s">
        <v>17198</v>
      </c>
      <c r="G673" s="2" t="s">
        <v>23934</v>
      </c>
      <c r="H673" s="2" t="s">
        <v>23935</v>
      </c>
      <c r="I673" s="2" t="s">
        <v>23936</v>
      </c>
      <c r="J673" s="2" t="s">
        <v>23937</v>
      </c>
      <c r="K673" s="2" t="s">
        <v>23938</v>
      </c>
      <c r="L673" s="2" t="s">
        <v>23939</v>
      </c>
      <c r="M673" s="2" t="s">
        <v>23940</v>
      </c>
      <c r="N673" s="2" t="s">
        <v>23941</v>
      </c>
      <c r="O673" s="2" t="s">
        <v>23942</v>
      </c>
      <c r="P673" s="2" t="s">
        <v>23943</v>
      </c>
      <c r="Q673" s="2" t="s">
        <v>23944</v>
      </c>
      <c r="R673" s="2" t="s">
        <v>412</v>
      </c>
      <c r="S673" s="2" t="s">
        <v>10037</v>
      </c>
      <c r="T673" s="2" t="s">
        <v>23945</v>
      </c>
      <c r="U673" s="2" t="s">
        <v>56</v>
      </c>
      <c r="V673" s="2" t="n">
        <v>2</v>
      </c>
    </row>
    <row r="674">
      <c r="A674" s="2" t="n">
        <v>673</v>
      </c>
      <c r="B674" s="2" t="s">
        <v>23946</v>
      </c>
      <c r="C674" s="2" t="n">
        <v>771.517061132</v>
      </c>
      <c r="D674" s="2" t="n">
        <v>0.455380916417949</v>
      </c>
      <c r="E674" s="2" t="s">
        <v>23947</v>
      </c>
      <c r="F674" s="2" t="s">
        <v>17137</v>
      </c>
      <c r="G674" s="2" t="s">
        <v>23948</v>
      </c>
      <c r="H674" s="2" t="s">
        <v>23949</v>
      </c>
      <c r="I674" s="2" t="s">
        <v>23950</v>
      </c>
      <c r="J674" s="2" t="s">
        <v>23951</v>
      </c>
      <c r="K674" s="2" t="s">
        <v>23952</v>
      </c>
      <c r="L674" s="2" t="s">
        <v>29</v>
      </c>
      <c r="M674" s="2" t="s">
        <v>23953</v>
      </c>
      <c r="N674" s="2" t="s">
        <v>23954</v>
      </c>
      <c r="O674" s="2" t="s">
        <v>29</v>
      </c>
      <c r="P674" s="2" t="s">
        <v>23955</v>
      </c>
      <c r="Q674" s="2" t="s">
        <v>23956</v>
      </c>
      <c r="R674" s="2" t="s">
        <v>794</v>
      </c>
      <c r="S674" s="2" t="s">
        <v>7122</v>
      </c>
      <c r="T674" s="2" t="s">
        <v>9951</v>
      </c>
      <c r="U674" s="2" t="s">
        <v>39</v>
      </c>
      <c r="V674" s="2" t="n">
        <v>1</v>
      </c>
    </row>
    <row r="675">
      <c r="A675" s="2" t="n">
        <v>674</v>
      </c>
      <c r="B675" s="2" t="s">
        <v>23957</v>
      </c>
      <c r="C675" s="2" t="n">
        <v>772.525313053</v>
      </c>
      <c r="D675" s="2" t="n">
        <v>0.965771463818383</v>
      </c>
      <c r="E675" s="2" t="s">
        <v>23958</v>
      </c>
      <c r="F675" s="2" t="s">
        <v>17406</v>
      </c>
      <c r="G675" s="2" t="s">
        <v>23959</v>
      </c>
      <c r="H675" s="2" t="s">
        <v>23960</v>
      </c>
      <c r="I675" s="2" t="s">
        <v>23961</v>
      </c>
      <c r="J675" s="2" t="s">
        <v>23962</v>
      </c>
      <c r="K675" s="2" t="s">
        <v>23963</v>
      </c>
      <c r="L675" s="2" t="s">
        <v>9831</v>
      </c>
      <c r="M675" s="2" t="s">
        <v>23964</v>
      </c>
      <c r="N675" s="2" t="s">
        <v>23965</v>
      </c>
      <c r="O675" s="2" t="s">
        <v>23966</v>
      </c>
      <c r="P675" s="2" t="s">
        <v>23967</v>
      </c>
      <c r="Q675" s="2" t="s">
        <v>23968</v>
      </c>
      <c r="R675" s="2" t="s">
        <v>794</v>
      </c>
      <c r="S675" s="2" t="s">
        <v>7122</v>
      </c>
      <c r="T675" s="2" t="s">
        <v>8460</v>
      </c>
      <c r="U675" s="2" t="s">
        <v>39</v>
      </c>
      <c r="V675" s="2" t="n">
        <v>1</v>
      </c>
    </row>
    <row r="676">
      <c r="A676" s="2" t="n">
        <v>675</v>
      </c>
      <c r="B676" s="2" t="s">
        <v>23969</v>
      </c>
      <c r="C676" s="2" t="n">
        <v>774.527960649</v>
      </c>
      <c r="D676" s="2" t="n">
        <v>7.04833461933348</v>
      </c>
      <c r="E676" s="2" t="s">
        <v>23970</v>
      </c>
      <c r="F676" s="2" t="s">
        <v>17137</v>
      </c>
      <c r="G676" s="2" t="s">
        <v>23971</v>
      </c>
      <c r="H676" s="2" t="s">
        <v>23972</v>
      </c>
      <c r="I676" s="2" t="s">
        <v>23973</v>
      </c>
      <c r="J676" s="2" t="s">
        <v>23974</v>
      </c>
      <c r="K676" s="2" t="s">
        <v>23975</v>
      </c>
      <c r="L676" s="2" t="s">
        <v>29</v>
      </c>
      <c r="M676" s="2" t="s">
        <v>29</v>
      </c>
      <c r="N676" s="2" t="s">
        <v>23976</v>
      </c>
      <c r="O676" s="2" t="s">
        <v>29</v>
      </c>
      <c r="P676" s="2" t="s">
        <v>23977</v>
      </c>
      <c r="Q676" s="2" t="s">
        <v>23978</v>
      </c>
      <c r="R676" s="2" t="s">
        <v>794</v>
      </c>
      <c r="S676" s="2" t="s">
        <v>7122</v>
      </c>
      <c r="T676" s="2" t="s">
        <v>8876</v>
      </c>
      <c r="U676" s="2" t="s">
        <v>29</v>
      </c>
      <c r="V676" s="2" t="n">
        <v>1</v>
      </c>
    </row>
    <row r="677">
      <c r="A677" s="2" t="n">
        <v>676</v>
      </c>
      <c r="B677" s="2" t="s">
        <v>23979</v>
      </c>
      <c r="C677" s="2" t="n">
        <v>775.29286619</v>
      </c>
      <c r="D677" s="2" t="n">
        <v>2.67879816072386</v>
      </c>
      <c r="E677" s="2" t="s">
        <v>23980</v>
      </c>
      <c r="F677" s="2" t="s">
        <v>17227</v>
      </c>
      <c r="G677" s="2" t="s">
        <v>23981</v>
      </c>
      <c r="H677" s="2" t="s">
        <v>23982</v>
      </c>
      <c r="I677" s="2" t="s">
        <v>23983</v>
      </c>
      <c r="J677" s="2" t="s">
        <v>91</v>
      </c>
      <c r="K677" s="2" t="s">
        <v>91</v>
      </c>
      <c r="L677" s="2" t="s">
        <v>91</v>
      </c>
      <c r="M677" s="2" t="s">
        <v>91</v>
      </c>
      <c r="N677" s="2" t="s">
        <v>23984</v>
      </c>
      <c r="O677" s="2" t="s">
        <v>91</v>
      </c>
      <c r="P677" s="2" t="s">
        <v>23985</v>
      </c>
      <c r="Q677" s="2" t="s">
        <v>23986</v>
      </c>
      <c r="R677" s="2" t="s">
        <v>2242</v>
      </c>
      <c r="S677" s="2" t="s">
        <v>23987</v>
      </c>
      <c r="T677" s="2" t="s">
        <v>23988</v>
      </c>
      <c r="U677" s="2" t="s">
        <v>29</v>
      </c>
      <c r="V677" s="2" t="n">
        <v>2</v>
      </c>
    </row>
    <row r="678">
      <c r="A678" s="2" t="n">
        <v>677</v>
      </c>
      <c r="B678" s="2" t="s">
        <v>23989</v>
      </c>
      <c r="C678" s="2" t="n">
        <v>776.525908689</v>
      </c>
      <c r="D678" s="2" t="n">
        <v>6.01544072100981</v>
      </c>
      <c r="E678" s="2" t="s">
        <v>23990</v>
      </c>
      <c r="F678" s="2" t="s">
        <v>17970</v>
      </c>
      <c r="G678" s="2" t="s">
        <v>23991</v>
      </c>
      <c r="H678" s="2" t="s">
        <v>23992</v>
      </c>
      <c r="I678" s="2" t="s">
        <v>23993</v>
      </c>
      <c r="J678" s="2" t="s">
        <v>23994</v>
      </c>
      <c r="K678" s="2" t="s">
        <v>29</v>
      </c>
      <c r="L678" s="2" t="s">
        <v>29</v>
      </c>
      <c r="M678" s="2" t="s">
        <v>29</v>
      </c>
      <c r="N678" s="2" t="s">
        <v>23995</v>
      </c>
      <c r="O678" s="2" t="s">
        <v>29</v>
      </c>
      <c r="P678" s="2" t="s">
        <v>23996</v>
      </c>
      <c r="Q678" s="2" t="s">
        <v>23997</v>
      </c>
      <c r="R678" s="2" t="s">
        <v>794</v>
      </c>
      <c r="S678" s="2" t="s">
        <v>7781</v>
      </c>
      <c r="T678" s="2" t="s">
        <v>11458</v>
      </c>
      <c r="U678" s="2" t="s">
        <v>29</v>
      </c>
      <c r="V678" s="2" t="n">
        <v>1</v>
      </c>
    </row>
    <row r="679">
      <c r="A679" s="2" t="n">
        <v>678</v>
      </c>
      <c r="B679" s="2" t="s">
        <v>23998</v>
      </c>
      <c r="C679" s="2" t="n">
        <v>777.534868816</v>
      </c>
      <c r="D679" s="2" t="n">
        <v>2.90247536966007</v>
      </c>
      <c r="E679" s="2" t="s">
        <v>23999</v>
      </c>
      <c r="F679" s="2" t="s">
        <v>17520</v>
      </c>
      <c r="G679" s="2" t="s">
        <v>24000</v>
      </c>
      <c r="H679" s="2" t="s">
        <v>24001</v>
      </c>
      <c r="I679" s="2" t="s">
        <v>24002</v>
      </c>
      <c r="J679" s="2" t="s">
        <v>29</v>
      </c>
      <c r="K679" s="2" t="s">
        <v>29</v>
      </c>
      <c r="L679" s="2" t="s">
        <v>8884</v>
      </c>
      <c r="M679" s="2" t="s">
        <v>29</v>
      </c>
      <c r="N679" s="2" t="s">
        <v>24003</v>
      </c>
      <c r="O679" s="2" t="s">
        <v>24004</v>
      </c>
      <c r="P679" s="2" t="s">
        <v>24005</v>
      </c>
      <c r="Q679" s="2" t="s">
        <v>24006</v>
      </c>
      <c r="R679" s="2" t="s">
        <v>794</v>
      </c>
      <c r="S679" s="2" t="s">
        <v>2971</v>
      </c>
      <c r="T679" s="2" t="s">
        <v>6290</v>
      </c>
      <c r="U679" s="2" t="s">
        <v>39</v>
      </c>
      <c r="V679" s="2" t="n">
        <v>1</v>
      </c>
    </row>
    <row r="680">
      <c r="A680" s="2" t="n">
        <v>679</v>
      </c>
      <c r="B680" s="2" t="s">
        <v>24007</v>
      </c>
      <c r="C680" s="2" t="n">
        <v>778.491362809</v>
      </c>
      <c r="D680" s="2" t="n">
        <v>9.1780259120722</v>
      </c>
      <c r="E680" s="2" t="s">
        <v>24008</v>
      </c>
      <c r="F680" s="2" t="s">
        <v>17520</v>
      </c>
      <c r="G680" s="2" t="s">
        <v>24009</v>
      </c>
      <c r="H680" s="2" t="s">
        <v>24010</v>
      </c>
      <c r="I680" s="2" t="s">
        <v>24011</v>
      </c>
      <c r="J680" s="2" t="s">
        <v>24012</v>
      </c>
      <c r="K680" s="2" t="s">
        <v>24013</v>
      </c>
      <c r="L680" s="2" t="s">
        <v>91</v>
      </c>
      <c r="M680" s="2" t="s">
        <v>24014</v>
      </c>
      <c r="N680" s="2" t="s">
        <v>24015</v>
      </c>
      <c r="O680" s="2" t="s">
        <v>91</v>
      </c>
      <c r="P680" s="2" t="s">
        <v>24016</v>
      </c>
      <c r="Q680" s="2" t="s">
        <v>24017</v>
      </c>
      <c r="R680" s="2" t="s">
        <v>412</v>
      </c>
      <c r="S680" s="2" t="s">
        <v>24018</v>
      </c>
      <c r="T680" s="2" t="s">
        <v>24019</v>
      </c>
      <c r="U680" s="2" t="s">
        <v>56</v>
      </c>
      <c r="V680" s="2" t="n">
        <v>2</v>
      </c>
    </row>
    <row r="681">
      <c r="A681" s="2" t="n">
        <v>680</v>
      </c>
      <c r="B681" s="2" t="s">
        <v>24020</v>
      </c>
      <c r="C681" s="2" t="n">
        <v>778.538130925</v>
      </c>
      <c r="D681" s="2" t="n">
        <v>9.65287423673294</v>
      </c>
      <c r="E681" s="2" t="s">
        <v>24021</v>
      </c>
      <c r="F681" s="2" t="s">
        <v>17137</v>
      </c>
      <c r="G681" s="2" t="s">
        <v>24022</v>
      </c>
      <c r="H681" s="2" t="s">
        <v>24023</v>
      </c>
      <c r="I681" s="2" t="s">
        <v>24024</v>
      </c>
      <c r="J681" s="2" t="s">
        <v>24025</v>
      </c>
      <c r="K681" s="2" t="s">
        <v>24026</v>
      </c>
      <c r="L681" s="2" t="s">
        <v>9831</v>
      </c>
      <c r="M681" s="2" t="s">
        <v>24027</v>
      </c>
      <c r="N681" s="2" t="s">
        <v>24028</v>
      </c>
      <c r="O681" s="2" t="s">
        <v>29</v>
      </c>
      <c r="P681" s="2" t="s">
        <v>24029</v>
      </c>
      <c r="Q681" s="2" t="s">
        <v>24030</v>
      </c>
      <c r="R681" s="2" t="s">
        <v>794</v>
      </c>
      <c r="S681" s="2" t="s">
        <v>7122</v>
      </c>
      <c r="T681" s="2" t="s">
        <v>8460</v>
      </c>
      <c r="U681" s="2" t="s">
        <v>56</v>
      </c>
      <c r="V681" s="2" t="n">
        <v>1</v>
      </c>
    </row>
    <row r="682">
      <c r="A682" s="2" t="n">
        <v>681</v>
      </c>
      <c r="B682" s="2" t="s">
        <v>24031</v>
      </c>
      <c r="C682" s="2" t="n">
        <v>779.158407726</v>
      </c>
      <c r="D682" s="2" t="n">
        <v>3.77111500613445</v>
      </c>
      <c r="E682" s="2" t="s">
        <v>24032</v>
      </c>
      <c r="F682" s="2" t="s">
        <v>17406</v>
      </c>
      <c r="G682" s="2" t="s">
        <v>24033</v>
      </c>
      <c r="H682" s="2" t="s">
        <v>24034</v>
      </c>
      <c r="I682" s="2" t="s">
        <v>24035</v>
      </c>
      <c r="J682" s="2" t="s">
        <v>24036</v>
      </c>
      <c r="K682" s="2" t="s">
        <v>24037</v>
      </c>
      <c r="L682" s="2" t="s">
        <v>195</v>
      </c>
      <c r="M682" s="2" t="s">
        <v>195</v>
      </c>
      <c r="N682" s="2" t="s">
        <v>24038</v>
      </c>
      <c r="O682" s="2" t="s">
        <v>24039</v>
      </c>
      <c r="P682" s="2" t="s">
        <v>24040</v>
      </c>
      <c r="Q682" s="2" t="s">
        <v>24041</v>
      </c>
      <c r="R682" s="2" t="s">
        <v>5817</v>
      </c>
      <c r="S682" s="2" t="s">
        <v>24042</v>
      </c>
      <c r="T682" s="2" t="s">
        <v>24043</v>
      </c>
      <c r="U682" s="2" t="s">
        <v>29</v>
      </c>
      <c r="V682" s="2" t="n">
        <v>3</v>
      </c>
    </row>
    <row r="683">
      <c r="A683" s="2" t="n">
        <v>682</v>
      </c>
      <c r="B683" s="2" t="s">
        <v>24044</v>
      </c>
      <c r="C683" s="2" t="n">
        <v>779.470466396</v>
      </c>
      <c r="D683" s="2" t="n">
        <v>5.65313678869069</v>
      </c>
      <c r="E683" s="2" t="s">
        <v>24045</v>
      </c>
      <c r="F683" s="2" t="s">
        <v>17892</v>
      </c>
      <c r="G683" s="2" t="s">
        <v>24046</v>
      </c>
      <c r="H683" s="2" t="s">
        <v>24047</v>
      </c>
      <c r="I683" s="2" t="s">
        <v>24048</v>
      </c>
      <c r="J683" s="2" t="s">
        <v>29</v>
      </c>
      <c r="K683" s="2" t="s">
        <v>29</v>
      </c>
      <c r="L683" s="2" t="s">
        <v>29</v>
      </c>
      <c r="M683" s="2" t="s">
        <v>29</v>
      </c>
      <c r="N683" s="2" t="s">
        <v>24049</v>
      </c>
      <c r="O683" s="2" t="s">
        <v>24050</v>
      </c>
      <c r="P683" s="2" t="s">
        <v>24051</v>
      </c>
      <c r="Q683" s="2" t="s">
        <v>24052</v>
      </c>
      <c r="R683" s="2" t="s">
        <v>794</v>
      </c>
      <c r="S683" s="2" t="s">
        <v>1098</v>
      </c>
      <c r="T683" s="2" t="s">
        <v>4662</v>
      </c>
      <c r="U683" s="2" t="s">
        <v>56</v>
      </c>
      <c r="V683" s="2" t="n">
        <v>1</v>
      </c>
    </row>
    <row r="684">
      <c r="A684" s="2" t="n">
        <v>683</v>
      </c>
      <c r="B684" s="2" t="s">
        <v>24053</v>
      </c>
      <c r="C684" s="2" t="n">
        <v>779.545645344</v>
      </c>
      <c r="D684" s="2" t="n">
        <v>2.17418710182628</v>
      </c>
      <c r="E684" s="2" t="s">
        <v>24054</v>
      </c>
      <c r="F684" s="2" t="s">
        <v>17137</v>
      </c>
      <c r="G684" s="2" t="s">
        <v>24055</v>
      </c>
      <c r="H684" s="2" t="s">
        <v>24056</v>
      </c>
      <c r="I684" s="2" t="s">
        <v>24057</v>
      </c>
      <c r="J684" s="2" t="s">
        <v>24058</v>
      </c>
      <c r="K684" s="2" t="s">
        <v>29</v>
      </c>
      <c r="L684" s="2" t="s">
        <v>29</v>
      </c>
      <c r="M684" s="2" t="s">
        <v>24059</v>
      </c>
      <c r="N684" s="2" t="s">
        <v>24060</v>
      </c>
      <c r="O684" s="2" t="s">
        <v>29</v>
      </c>
      <c r="P684" s="2" t="s">
        <v>24061</v>
      </c>
      <c r="Q684" s="2" t="s">
        <v>24062</v>
      </c>
      <c r="R684" s="2" t="s">
        <v>1355</v>
      </c>
      <c r="S684" s="2" t="s">
        <v>6741</v>
      </c>
      <c r="T684" s="2" t="s">
        <v>6742</v>
      </c>
      <c r="U684" s="2" t="s">
        <v>29</v>
      </c>
      <c r="V684" s="2" t="n">
        <v>1</v>
      </c>
    </row>
    <row r="685">
      <c r="A685" s="2" t="n">
        <v>684</v>
      </c>
      <c r="B685" s="2" t="s">
        <v>24063</v>
      </c>
      <c r="C685" s="2" t="n">
        <v>780.158098051</v>
      </c>
      <c r="D685" s="2" t="n">
        <v>3.13864915706912</v>
      </c>
      <c r="E685" s="2" t="s">
        <v>24064</v>
      </c>
      <c r="F685" s="2" t="s">
        <v>17520</v>
      </c>
      <c r="G685" s="2" t="s">
        <v>24065</v>
      </c>
      <c r="H685" s="2" t="s">
        <v>24066</v>
      </c>
      <c r="I685" s="2" t="s">
        <v>24067</v>
      </c>
      <c r="J685" s="2" t="s">
        <v>29</v>
      </c>
      <c r="K685" s="2" t="s">
        <v>29</v>
      </c>
      <c r="L685" s="2" t="s">
        <v>29</v>
      </c>
      <c r="M685" s="2" t="s">
        <v>29</v>
      </c>
      <c r="N685" s="2" t="s">
        <v>24068</v>
      </c>
      <c r="O685" s="2" t="s">
        <v>29</v>
      </c>
      <c r="P685" s="2" t="s">
        <v>24069</v>
      </c>
      <c r="Q685" s="2" t="s">
        <v>24070</v>
      </c>
      <c r="R685" s="2" t="s">
        <v>114</v>
      </c>
      <c r="S685" s="2" t="s">
        <v>994</v>
      </c>
      <c r="T685" s="2" t="s">
        <v>20473</v>
      </c>
      <c r="U685" s="2" t="s">
        <v>29</v>
      </c>
      <c r="V685" s="2" t="n">
        <v>1</v>
      </c>
    </row>
    <row r="686">
      <c r="A686" s="2" t="n">
        <v>685</v>
      </c>
      <c r="B686" s="2" t="s">
        <v>24071</v>
      </c>
      <c r="C686" s="2" t="n">
        <v>780.553781474</v>
      </c>
      <c r="D686" s="2" t="n">
        <v>2.24896606228562</v>
      </c>
      <c r="E686" s="2" t="s">
        <v>24072</v>
      </c>
      <c r="F686" s="2" t="s">
        <v>17137</v>
      </c>
      <c r="G686" s="2" t="s">
        <v>24073</v>
      </c>
      <c r="H686" s="2" t="s">
        <v>24074</v>
      </c>
      <c r="I686" s="2" t="s">
        <v>24075</v>
      </c>
      <c r="J686" s="2" t="s">
        <v>91</v>
      </c>
      <c r="K686" s="2" t="s">
        <v>91</v>
      </c>
      <c r="L686" s="2" t="s">
        <v>91</v>
      </c>
      <c r="M686" s="2" t="s">
        <v>91</v>
      </c>
      <c r="N686" s="2" t="s">
        <v>24076</v>
      </c>
      <c r="O686" s="2" t="s">
        <v>91</v>
      </c>
      <c r="P686" s="2" t="s">
        <v>24077</v>
      </c>
      <c r="Q686" s="2" t="s">
        <v>24078</v>
      </c>
      <c r="R686" s="2" t="s">
        <v>412</v>
      </c>
      <c r="S686" s="2" t="s">
        <v>10037</v>
      </c>
      <c r="T686" s="2" t="s">
        <v>23945</v>
      </c>
      <c r="U686" s="2" t="s">
        <v>29</v>
      </c>
      <c r="V686" s="2" t="n">
        <v>2</v>
      </c>
    </row>
    <row r="687">
      <c r="A687" s="2" t="n">
        <v>686</v>
      </c>
      <c r="B687" s="2" t="s">
        <v>24079</v>
      </c>
      <c r="C687" s="2" t="n">
        <v>781.158801656</v>
      </c>
      <c r="D687" s="2" t="n">
        <v>4.67757734493955</v>
      </c>
      <c r="E687" s="2" t="s">
        <v>24080</v>
      </c>
      <c r="F687" s="2" t="s">
        <v>17406</v>
      </c>
      <c r="G687" s="2" t="s">
        <v>24081</v>
      </c>
      <c r="H687" s="2" t="s">
        <v>24082</v>
      </c>
      <c r="I687" s="2" t="s">
        <v>24083</v>
      </c>
      <c r="J687" s="2" t="s">
        <v>91</v>
      </c>
      <c r="K687" s="2" t="s">
        <v>91</v>
      </c>
      <c r="L687" s="2" t="s">
        <v>91</v>
      </c>
      <c r="M687" s="2" t="s">
        <v>91</v>
      </c>
      <c r="N687" s="2" t="s">
        <v>24084</v>
      </c>
      <c r="O687" s="2" t="s">
        <v>24085</v>
      </c>
      <c r="P687" s="2" t="s">
        <v>24086</v>
      </c>
      <c r="Q687" s="2" t="s">
        <v>24087</v>
      </c>
      <c r="R687" s="2" t="s">
        <v>7198</v>
      </c>
      <c r="S687" s="2" t="s">
        <v>8937</v>
      </c>
      <c r="T687" s="2" t="s">
        <v>23190</v>
      </c>
      <c r="U687" s="2" t="s">
        <v>29</v>
      </c>
      <c r="V687" s="2" t="n">
        <v>2</v>
      </c>
    </row>
    <row r="688">
      <c r="A688" s="2" t="n">
        <v>687</v>
      </c>
      <c r="B688" s="2" t="s">
        <v>24088</v>
      </c>
      <c r="C688" s="2" t="n">
        <v>782.569431053</v>
      </c>
      <c r="D688" s="2" t="n">
        <v>3.67629049956987</v>
      </c>
      <c r="E688" s="2" t="s">
        <v>24089</v>
      </c>
      <c r="F688" s="2" t="s">
        <v>17137</v>
      </c>
      <c r="G688" s="2" t="s">
        <v>24090</v>
      </c>
      <c r="H688" s="2" t="s">
        <v>24091</v>
      </c>
      <c r="I688" s="2" t="s">
        <v>24092</v>
      </c>
      <c r="J688" s="2" t="s">
        <v>24093</v>
      </c>
      <c r="K688" s="2" t="s">
        <v>24094</v>
      </c>
      <c r="L688" s="2" t="s">
        <v>9831</v>
      </c>
      <c r="M688" s="2" t="s">
        <v>24095</v>
      </c>
      <c r="N688" s="2" t="s">
        <v>24096</v>
      </c>
      <c r="O688" s="2" t="s">
        <v>29</v>
      </c>
      <c r="P688" s="2" t="s">
        <v>24097</v>
      </c>
      <c r="Q688" s="2" t="s">
        <v>24098</v>
      </c>
      <c r="R688" s="2" t="s">
        <v>794</v>
      </c>
      <c r="S688" s="2" t="s">
        <v>7122</v>
      </c>
      <c r="T688" s="2" t="s">
        <v>8460</v>
      </c>
      <c r="U688" s="2" t="s">
        <v>56</v>
      </c>
      <c r="V688" s="2" t="n">
        <v>1</v>
      </c>
    </row>
    <row r="689">
      <c r="A689" s="2" t="n">
        <v>688</v>
      </c>
      <c r="B689" s="2" t="s">
        <v>24099</v>
      </c>
      <c r="C689" s="2" t="n">
        <v>785.46818287</v>
      </c>
      <c r="D689" s="2" t="n">
        <v>6.5242685846395</v>
      </c>
      <c r="E689" s="2" t="s">
        <v>24100</v>
      </c>
      <c r="F689" s="2" t="s">
        <v>17137</v>
      </c>
      <c r="G689" s="2" t="s">
        <v>24101</v>
      </c>
      <c r="H689" s="2" t="s">
        <v>24102</v>
      </c>
      <c r="I689" s="2" t="s">
        <v>24103</v>
      </c>
      <c r="J689" s="2" t="s">
        <v>24104</v>
      </c>
      <c r="K689" s="2" t="s">
        <v>195</v>
      </c>
      <c r="L689" s="2" t="s">
        <v>195</v>
      </c>
      <c r="M689" s="2" t="s">
        <v>195</v>
      </c>
      <c r="N689" s="2" t="s">
        <v>24105</v>
      </c>
      <c r="O689" s="2" t="s">
        <v>24106</v>
      </c>
      <c r="P689" s="2" t="s">
        <v>24107</v>
      </c>
      <c r="Q689" s="2" t="s">
        <v>24108</v>
      </c>
      <c r="R689" s="2" t="s">
        <v>255</v>
      </c>
      <c r="S689" s="2" t="s">
        <v>24109</v>
      </c>
      <c r="T689" s="2" t="s">
        <v>24110</v>
      </c>
      <c r="U689" s="2" t="s">
        <v>29</v>
      </c>
      <c r="V689" s="2" t="n">
        <v>3</v>
      </c>
    </row>
    <row r="690">
      <c r="A690" s="2" t="n">
        <v>689</v>
      </c>
      <c r="B690" s="2" t="s">
        <v>24111</v>
      </c>
      <c r="C690" s="2" t="n">
        <v>785.582212926</v>
      </c>
      <c r="D690" s="2" t="n">
        <v>0.33285983818291</v>
      </c>
      <c r="E690" s="2" t="s">
        <v>24112</v>
      </c>
      <c r="F690" s="2" t="s">
        <v>17520</v>
      </c>
      <c r="G690" s="2" t="s">
        <v>24113</v>
      </c>
      <c r="H690" s="2" t="s">
        <v>24114</v>
      </c>
      <c r="I690" s="2" t="s">
        <v>24115</v>
      </c>
      <c r="J690" s="2" t="s">
        <v>24116</v>
      </c>
      <c r="K690" s="2" t="s">
        <v>29</v>
      </c>
      <c r="L690" s="2" t="s">
        <v>29</v>
      </c>
      <c r="M690" s="2" t="s">
        <v>29</v>
      </c>
      <c r="N690" s="2" t="s">
        <v>24117</v>
      </c>
      <c r="O690" s="2" t="s">
        <v>29</v>
      </c>
      <c r="P690" s="2" t="s">
        <v>24118</v>
      </c>
      <c r="Q690" s="2" t="s">
        <v>24119</v>
      </c>
      <c r="R690" s="2" t="s">
        <v>794</v>
      </c>
      <c r="S690" s="2" t="s">
        <v>2600</v>
      </c>
      <c r="T690" s="2" t="s">
        <v>8990</v>
      </c>
      <c r="U690" s="2" t="s">
        <v>29</v>
      </c>
      <c r="V690" s="2" t="n">
        <v>1</v>
      </c>
    </row>
    <row r="691">
      <c r="A691" s="2" t="n">
        <v>690</v>
      </c>
      <c r="B691" s="2" t="s">
        <v>24120</v>
      </c>
      <c r="C691" s="2" t="n">
        <v>786.506830797</v>
      </c>
      <c r="D691" s="2" t="n">
        <v>3.94360705842723</v>
      </c>
      <c r="E691" s="2" t="s">
        <v>24121</v>
      </c>
      <c r="F691" s="2" t="s">
        <v>17137</v>
      </c>
      <c r="G691" s="2" t="s">
        <v>24122</v>
      </c>
      <c r="H691" s="2" t="s">
        <v>24123</v>
      </c>
      <c r="I691" s="2" t="s">
        <v>24124</v>
      </c>
      <c r="J691" s="2" t="s">
        <v>24125</v>
      </c>
      <c r="K691" s="2" t="s">
        <v>24126</v>
      </c>
      <c r="L691" s="2" t="s">
        <v>9434</v>
      </c>
      <c r="M691" s="2" t="s">
        <v>29</v>
      </c>
      <c r="N691" s="2" t="s">
        <v>24127</v>
      </c>
      <c r="O691" s="2" t="s">
        <v>29</v>
      </c>
      <c r="P691" s="2" t="s">
        <v>24128</v>
      </c>
      <c r="Q691" s="2" t="s">
        <v>24129</v>
      </c>
      <c r="R691" s="2" t="s">
        <v>794</v>
      </c>
      <c r="S691" s="2" t="s">
        <v>7122</v>
      </c>
      <c r="T691" s="2" t="s">
        <v>8042</v>
      </c>
      <c r="U691" s="2" t="s">
        <v>56</v>
      </c>
      <c r="V691" s="2" t="n">
        <v>1</v>
      </c>
    </row>
    <row r="692">
      <c r="A692" s="2" t="n">
        <v>691</v>
      </c>
      <c r="B692" s="2" t="s">
        <v>24130</v>
      </c>
      <c r="C692" s="2" t="n">
        <v>787.496681146</v>
      </c>
      <c r="D692" s="2" t="n">
        <v>9.35749485865647</v>
      </c>
      <c r="E692" s="2" t="s">
        <v>24131</v>
      </c>
      <c r="F692" s="2" t="s">
        <v>17198</v>
      </c>
      <c r="G692" s="2" t="s">
        <v>24132</v>
      </c>
      <c r="H692" s="2" t="s">
        <v>24133</v>
      </c>
      <c r="I692" s="2" t="s">
        <v>24134</v>
      </c>
      <c r="J692" s="2" t="s">
        <v>29</v>
      </c>
      <c r="K692" s="2" t="s">
        <v>29</v>
      </c>
      <c r="L692" s="2" t="s">
        <v>29</v>
      </c>
      <c r="M692" s="2" t="s">
        <v>24135</v>
      </c>
      <c r="N692" s="2" t="s">
        <v>24136</v>
      </c>
      <c r="O692" s="2" t="s">
        <v>24137</v>
      </c>
      <c r="P692" s="2" t="s">
        <v>24138</v>
      </c>
      <c r="Q692" s="2" t="s">
        <v>24139</v>
      </c>
      <c r="R692" s="2" t="s">
        <v>794</v>
      </c>
      <c r="S692" s="2" t="s">
        <v>1098</v>
      </c>
      <c r="T692" s="2" t="s">
        <v>7878</v>
      </c>
      <c r="U692" s="2" t="s">
        <v>29</v>
      </c>
      <c r="V692" s="2" t="n">
        <v>1</v>
      </c>
    </row>
    <row r="693">
      <c r="A693" s="2" t="n">
        <v>692</v>
      </c>
      <c r="B693" s="2" t="s">
        <v>24140</v>
      </c>
      <c r="C693" s="2" t="n">
        <v>788.616381245</v>
      </c>
      <c r="D693" s="2" t="n">
        <v>1.23427312997238</v>
      </c>
      <c r="E693" s="2" t="s">
        <v>24141</v>
      </c>
      <c r="F693" s="2" t="s">
        <v>17137</v>
      </c>
      <c r="G693" s="2" t="s">
        <v>24142</v>
      </c>
      <c r="H693" s="2" t="s">
        <v>24143</v>
      </c>
      <c r="I693" s="2" t="s">
        <v>24144</v>
      </c>
      <c r="J693" s="2" t="s">
        <v>24145</v>
      </c>
      <c r="K693" s="2" t="s">
        <v>29</v>
      </c>
      <c r="L693" s="2" t="s">
        <v>9434</v>
      </c>
      <c r="M693" s="2" t="s">
        <v>29</v>
      </c>
      <c r="N693" s="2" t="s">
        <v>24146</v>
      </c>
      <c r="O693" s="2" t="s">
        <v>29</v>
      </c>
      <c r="P693" s="2" t="s">
        <v>24147</v>
      </c>
      <c r="Q693" s="2" t="s">
        <v>24148</v>
      </c>
      <c r="R693" s="2" t="s">
        <v>794</v>
      </c>
      <c r="S693" s="2" t="s">
        <v>7122</v>
      </c>
      <c r="T693" s="2" t="s">
        <v>8042</v>
      </c>
      <c r="U693" s="2" t="s">
        <v>56</v>
      </c>
      <c r="V693" s="2" t="n">
        <v>1</v>
      </c>
    </row>
    <row r="694">
      <c r="A694" s="2" t="n">
        <v>693</v>
      </c>
      <c r="B694" s="2" t="s">
        <v>24149</v>
      </c>
      <c r="C694" s="2" t="n">
        <v>789.539132006</v>
      </c>
      <c r="D694" s="2" t="n">
        <v>0.225027870800157</v>
      </c>
      <c r="E694" s="2" t="s">
        <v>24150</v>
      </c>
      <c r="F694" s="2" t="s">
        <v>17039</v>
      </c>
      <c r="G694" s="2" t="s">
        <v>24151</v>
      </c>
      <c r="H694" s="2" t="s">
        <v>24152</v>
      </c>
      <c r="I694" s="2" t="s">
        <v>24153</v>
      </c>
      <c r="J694" s="2" t="s">
        <v>29</v>
      </c>
      <c r="K694" s="2" t="s">
        <v>29</v>
      </c>
      <c r="L694" s="2" t="s">
        <v>29</v>
      </c>
      <c r="M694" s="2" t="s">
        <v>29</v>
      </c>
      <c r="N694" s="2" t="s">
        <v>29</v>
      </c>
      <c r="O694" s="2" t="s">
        <v>29</v>
      </c>
      <c r="P694" s="2" t="s">
        <v>24154</v>
      </c>
      <c r="Q694" s="2" t="s">
        <v>24155</v>
      </c>
      <c r="R694" s="2" t="s">
        <v>114</v>
      </c>
      <c r="S694" s="2" t="s">
        <v>936</v>
      </c>
      <c r="T694" s="2" t="s">
        <v>215</v>
      </c>
      <c r="U694" s="2" t="s">
        <v>29</v>
      </c>
      <c r="V694" s="2" t="n">
        <v>1</v>
      </c>
    </row>
    <row r="695">
      <c r="A695" s="2" t="n">
        <v>694</v>
      </c>
      <c r="B695" s="2" t="s">
        <v>24156</v>
      </c>
      <c r="C695" s="2" t="n">
        <v>789.623895664</v>
      </c>
      <c r="D695" s="2" t="n">
        <v>2.90766808472324</v>
      </c>
      <c r="E695" s="2" t="s">
        <v>24157</v>
      </c>
      <c r="F695" s="2" t="s">
        <v>18382</v>
      </c>
      <c r="G695" s="2" t="s">
        <v>24158</v>
      </c>
      <c r="H695" s="2" t="s">
        <v>24159</v>
      </c>
      <c r="I695" s="2" t="s">
        <v>24160</v>
      </c>
      <c r="J695" s="2" t="s">
        <v>29</v>
      </c>
      <c r="K695" s="2" t="s">
        <v>29</v>
      </c>
      <c r="L695" s="2" t="s">
        <v>29</v>
      </c>
      <c r="M695" s="2" t="s">
        <v>29</v>
      </c>
      <c r="N695" s="2" t="s">
        <v>24161</v>
      </c>
      <c r="O695" s="2" t="s">
        <v>29</v>
      </c>
      <c r="P695" s="2" t="s">
        <v>24162</v>
      </c>
      <c r="Q695" s="2" t="s">
        <v>24163</v>
      </c>
      <c r="R695" s="2" t="s">
        <v>794</v>
      </c>
      <c r="S695" s="2" t="s">
        <v>795</v>
      </c>
      <c r="T695" s="2" t="s">
        <v>3273</v>
      </c>
      <c r="U695" s="2" t="s">
        <v>29</v>
      </c>
      <c r="V695" s="2" t="n">
        <v>1</v>
      </c>
    </row>
    <row r="696">
      <c r="A696" s="2" t="n">
        <v>695</v>
      </c>
      <c r="B696" s="2" t="s">
        <v>24164</v>
      </c>
      <c r="C696" s="2" t="n">
        <v>791.530389203</v>
      </c>
      <c r="D696" s="2" t="n">
        <v>0.253081790462583</v>
      </c>
      <c r="E696" s="2" t="s">
        <v>24165</v>
      </c>
      <c r="F696" s="2" t="s">
        <v>17137</v>
      </c>
      <c r="G696" s="2" t="s">
        <v>24166</v>
      </c>
      <c r="H696" s="2" t="s">
        <v>24167</v>
      </c>
      <c r="I696" s="2" t="s">
        <v>24168</v>
      </c>
      <c r="J696" s="2" t="s">
        <v>29</v>
      </c>
      <c r="K696" s="2" t="s">
        <v>29</v>
      </c>
      <c r="L696" s="2" t="s">
        <v>29</v>
      </c>
      <c r="M696" s="2" t="s">
        <v>29</v>
      </c>
      <c r="N696" s="2" t="s">
        <v>24169</v>
      </c>
      <c r="O696" s="2" t="s">
        <v>29</v>
      </c>
      <c r="P696" s="2" t="s">
        <v>24170</v>
      </c>
      <c r="Q696" s="2" t="s">
        <v>24171</v>
      </c>
      <c r="R696" s="2" t="s">
        <v>1355</v>
      </c>
      <c r="S696" s="2" t="s">
        <v>6478</v>
      </c>
      <c r="T696" s="2" t="s">
        <v>215</v>
      </c>
      <c r="U696" s="2" t="s">
        <v>29</v>
      </c>
      <c r="V696" s="2" t="n">
        <v>1</v>
      </c>
    </row>
    <row r="697">
      <c r="A697" s="2" t="n">
        <v>696</v>
      </c>
      <c r="B697" s="2" t="s">
        <v>24172</v>
      </c>
      <c r="C697" s="2" t="n">
        <v>792.497800723</v>
      </c>
      <c r="D697" s="2" t="n">
        <v>2.43980855411425</v>
      </c>
      <c r="E697" s="2" t="s">
        <v>24173</v>
      </c>
      <c r="F697" s="2" t="s">
        <v>17137</v>
      </c>
      <c r="G697" s="2" t="s">
        <v>24174</v>
      </c>
      <c r="H697" s="2" t="s">
        <v>24175</v>
      </c>
      <c r="I697" s="2" t="s">
        <v>24176</v>
      </c>
      <c r="J697" s="2" t="s">
        <v>29</v>
      </c>
      <c r="K697" s="2" t="s">
        <v>29</v>
      </c>
      <c r="L697" s="2" t="s">
        <v>29</v>
      </c>
      <c r="M697" s="2" t="s">
        <v>29</v>
      </c>
      <c r="N697" s="2" t="s">
        <v>24177</v>
      </c>
      <c r="O697" s="2" t="s">
        <v>29</v>
      </c>
      <c r="P697" s="2" t="s">
        <v>24178</v>
      </c>
      <c r="Q697" s="2" t="s">
        <v>24179</v>
      </c>
      <c r="R697" s="2" t="s">
        <v>36</v>
      </c>
      <c r="S697" s="2" t="s">
        <v>7927</v>
      </c>
      <c r="T697" s="2" t="s">
        <v>8926</v>
      </c>
      <c r="U697" s="2" t="s">
        <v>29</v>
      </c>
      <c r="V697" s="2" t="n">
        <v>1</v>
      </c>
    </row>
    <row r="698">
      <c r="A698" s="2" t="n">
        <v>697</v>
      </c>
      <c r="B698" s="2" t="s">
        <v>24180</v>
      </c>
      <c r="C698" s="2" t="n">
        <v>793.501411068</v>
      </c>
      <c r="D698" s="2" t="n">
        <v>0.548566594806267</v>
      </c>
      <c r="E698" s="2" t="s">
        <v>24181</v>
      </c>
      <c r="F698" s="2" t="s">
        <v>17137</v>
      </c>
      <c r="G698" s="2" t="s">
        <v>24182</v>
      </c>
      <c r="H698" s="2" t="s">
        <v>24183</v>
      </c>
      <c r="I698" s="2" t="s">
        <v>24184</v>
      </c>
      <c r="J698" s="2" t="s">
        <v>24185</v>
      </c>
      <c r="K698" s="2" t="s">
        <v>24186</v>
      </c>
      <c r="L698" s="2" t="s">
        <v>29</v>
      </c>
      <c r="M698" s="2" t="s">
        <v>29</v>
      </c>
      <c r="N698" s="2" t="s">
        <v>24187</v>
      </c>
      <c r="O698" s="2" t="s">
        <v>29</v>
      </c>
      <c r="P698" s="2" t="s">
        <v>24188</v>
      </c>
      <c r="Q698" s="2" t="s">
        <v>24189</v>
      </c>
      <c r="R698" s="2" t="s">
        <v>794</v>
      </c>
      <c r="S698" s="2" t="s">
        <v>7122</v>
      </c>
      <c r="T698" s="2" t="s">
        <v>9951</v>
      </c>
      <c r="U698" s="2" t="s">
        <v>29</v>
      </c>
      <c r="V698" s="2" t="n">
        <v>1</v>
      </c>
    </row>
    <row r="699">
      <c r="A699" s="2" t="n">
        <v>698</v>
      </c>
      <c r="B699" s="2" t="s">
        <v>24190</v>
      </c>
      <c r="C699" s="2" t="n">
        <v>794.512504861</v>
      </c>
      <c r="D699" s="2" t="n">
        <v>2.42690618852075</v>
      </c>
      <c r="E699" s="2" t="s">
        <v>24191</v>
      </c>
      <c r="F699" s="2" t="s">
        <v>17039</v>
      </c>
      <c r="G699" s="2" t="s">
        <v>24192</v>
      </c>
      <c r="H699" s="2" t="s">
        <v>24193</v>
      </c>
      <c r="I699" s="2" t="s">
        <v>24194</v>
      </c>
      <c r="J699" s="2" t="s">
        <v>24195</v>
      </c>
      <c r="K699" s="2" t="s">
        <v>24196</v>
      </c>
      <c r="L699" s="2" t="s">
        <v>9434</v>
      </c>
      <c r="M699" s="2" t="s">
        <v>29</v>
      </c>
      <c r="N699" s="2" t="s">
        <v>24197</v>
      </c>
      <c r="O699" s="2" t="s">
        <v>29</v>
      </c>
      <c r="P699" s="2" t="s">
        <v>24198</v>
      </c>
      <c r="Q699" s="2" t="s">
        <v>24199</v>
      </c>
      <c r="R699" s="2" t="s">
        <v>794</v>
      </c>
      <c r="S699" s="2" t="s">
        <v>7122</v>
      </c>
      <c r="T699" s="2" t="s">
        <v>8042</v>
      </c>
      <c r="U699" s="2" t="s">
        <v>101</v>
      </c>
      <c r="V699" s="2" t="n">
        <v>1</v>
      </c>
    </row>
    <row r="700">
      <c r="A700" s="2" t="n">
        <v>699</v>
      </c>
      <c r="B700" s="2" t="s">
        <v>24200</v>
      </c>
      <c r="C700" s="2" t="n">
        <v>795.514653196</v>
      </c>
      <c r="D700" s="2" t="n">
        <v>3.36257525947682</v>
      </c>
      <c r="E700" s="2" t="s">
        <v>24201</v>
      </c>
      <c r="F700" s="2" t="s">
        <v>17198</v>
      </c>
      <c r="G700" s="2" t="s">
        <v>24202</v>
      </c>
      <c r="H700" s="2" t="s">
        <v>24203</v>
      </c>
      <c r="I700" s="2" t="s">
        <v>24204</v>
      </c>
      <c r="J700" s="2" t="s">
        <v>24205</v>
      </c>
      <c r="K700" s="2" t="s">
        <v>29</v>
      </c>
      <c r="L700" s="2" t="s">
        <v>29</v>
      </c>
      <c r="M700" s="2" t="s">
        <v>24206</v>
      </c>
      <c r="N700" s="2" t="s">
        <v>24207</v>
      </c>
      <c r="O700" s="2" t="s">
        <v>29</v>
      </c>
      <c r="P700" s="2" t="s">
        <v>24208</v>
      </c>
      <c r="Q700" s="2" t="s">
        <v>24209</v>
      </c>
      <c r="R700" s="2" t="s">
        <v>794</v>
      </c>
      <c r="S700" s="2" t="s">
        <v>7122</v>
      </c>
      <c r="T700" s="2" t="s">
        <v>9951</v>
      </c>
      <c r="U700" s="2" t="s">
        <v>29</v>
      </c>
      <c r="V700" s="2" t="n">
        <v>1</v>
      </c>
    </row>
    <row r="701">
      <c r="A701" s="2" t="n">
        <v>700</v>
      </c>
      <c r="B701" s="2" t="s">
        <v>24210</v>
      </c>
      <c r="C701" s="2" t="n">
        <v>796.525158303</v>
      </c>
      <c r="D701" s="2" t="n">
        <v>8.7867870534751</v>
      </c>
      <c r="E701" s="2" t="s">
        <v>24211</v>
      </c>
      <c r="F701" s="2" t="s">
        <v>17198</v>
      </c>
      <c r="G701" s="2" t="s">
        <v>24212</v>
      </c>
      <c r="H701" s="2" t="s">
        <v>24213</v>
      </c>
      <c r="I701" s="2" t="s">
        <v>24214</v>
      </c>
      <c r="J701" s="2" t="s">
        <v>24215</v>
      </c>
      <c r="K701" s="2" t="s">
        <v>29</v>
      </c>
      <c r="L701" s="2" t="s">
        <v>9434</v>
      </c>
      <c r="M701" s="2" t="s">
        <v>29</v>
      </c>
      <c r="N701" s="2" t="s">
        <v>24216</v>
      </c>
      <c r="O701" s="2" t="s">
        <v>29</v>
      </c>
      <c r="P701" s="2" t="s">
        <v>24217</v>
      </c>
      <c r="Q701" s="2" t="s">
        <v>24218</v>
      </c>
      <c r="R701" s="2" t="s">
        <v>794</v>
      </c>
      <c r="S701" s="2" t="s">
        <v>7122</v>
      </c>
      <c r="T701" s="2" t="s">
        <v>8042</v>
      </c>
      <c r="U701" s="2" t="s">
        <v>56</v>
      </c>
      <c r="V701" s="2" t="n">
        <v>1</v>
      </c>
    </row>
    <row r="702">
      <c r="A702" s="2" t="n">
        <v>701</v>
      </c>
      <c r="B702" s="2" t="s">
        <v>24219</v>
      </c>
      <c r="C702" s="2" t="n">
        <v>801.043368204</v>
      </c>
      <c r="D702" s="2" t="n">
        <v>1.81769601708094</v>
      </c>
      <c r="E702" s="2" t="s">
        <v>24220</v>
      </c>
      <c r="F702" s="2" t="s">
        <v>17892</v>
      </c>
      <c r="G702" s="2" t="s">
        <v>24221</v>
      </c>
      <c r="H702" s="2" t="s">
        <v>24222</v>
      </c>
      <c r="I702" s="2" t="s">
        <v>24223</v>
      </c>
      <c r="J702" s="2" t="s">
        <v>24224</v>
      </c>
      <c r="K702" s="2" t="s">
        <v>29</v>
      </c>
      <c r="L702" s="2" t="s">
        <v>24225</v>
      </c>
      <c r="M702" s="2" t="s">
        <v>24226</v>
      </c>
      <c r="N702" s="2" t="s">
        <v>1874</v>
      </c>
      <c r="O702" s="2" t="s">
        <v>24227</v>
      </c>
      <c r="P702" s="2" t="s">
        <v>24228</v>
      </c>
      <c r="Q702" s="2" t="s">
        <v>24229</v>
      </c>
      <c r="R702" s="2" t="s">
        <v>114</v>
      </c>
      <c r="S702" s="2" t="s">
        <v>24230</v>
      </c>
      <c r="T702" s="2" t="s">
        <v>24231</v>
      </c>
      <c r="U702" s="2" t="s">
        <v>101</v>
      </c>
      <c r="V702" s="2" t="n">
        <v>1</v>
      </c>
    </row>
    <row r="703">
      <c r="A703" s="2" t="n">
        <v>702</v>
      </c>
      <c r="B703" s="2" t="s">
        <v>24232</v>
      </c>
      <c r="C703" s="2" t="n">
        <v>802.478362861</v>
      </c>
      <c r="D703" s="2" t="n">
        <v>4.96753214973207</v>
      </c>
      <c r="E703" s="2" t="s">
        <v>24233</v>
      </c>
      <c r="F703" s="2" t="s">
        <v>17406</v>
      </c>
      <c r="G703" s="2" t="s">
        <v>24234</v>
      </c>
      <c r="H703" s="2" t="s">
        <v>24235</v>
      </c>
      <c r="I703" s="2" t="s">
        <v>24236</v>
      </c>
      <c r="J703" s="2" t="s">
        <v>24237</v>
      </c>
      <c r="K703" s="2" t="s">
        <v>24238</v>
      </c>
      <c r="L703" s="2" t="s">
        <v>29</v>
      </c>
      <c r="M703" s="2" t="s">
        <v>24239</v>
      </c>
      <c r="N703" s="2" t="s">
        <v>24240</v>
      </c>
      <c r="O703" s="2" t="s">
        <v>29</v>
      </c>
      <c r="P703" s="2" t="s">
        <v>24241</v>
      </c>
      <c r="Q703" s="2" t="s">
        <v>24242</v>
      </c>
      <c r="R703" s="2" t="s">
        <v>794</v>
      </c>
      <c r="S703" s="2" t="s">
        <v>7122</v>
      </c>
      <c r="T703" s="2" t="s">
        <v>8042</v>
      </c>
      <c r="U703" s="2" t="s">
        <v>39</v>
      </c>
      <c r="V703" s="2" t="n">
        <v>1</v>
      </c>
    </row>
    <row r="704">
      <c r="A704" s="2" t="n">
        <v>703</v>
      </c>
      <c r="B704" s="2" t="s">
        <v>24243</v>
      </c>
      <c r="C704" s="2" t="n">
        <v>803.054243912</v>
      </c>
      <c r="D704" s="2" t="n">
        <v>0.671888580741676</v>
      </c>
      <c r="E704" s="2" t="s">
        <v>24244</v>
      </c>
      <c r="F704" s="2" t="s">
        <v>17892</v>
      </c>
      <c r="G704" s="2" t="s">
        <v>24245</v>
      </c>
      <c r="H704" s="2" t="s">
        <v>24246</v>
      </c>
      <c r="I704" s="2" t="s">
        <v>24247</v>
      </c>
      <c r="J704" s="2" t="s">
        <v>29</v>
      </c>
      <c r="K704" s="2" t="s">
        <v>29</v>
      </c>
      <c r="L704" s="2" t="s">
        <v>29</v>
      </c>
      <c r="M704" s="2" t="s">
        <v>29</v>
      </c>
      <c r="N704" s="2" t="s">
        <v>24248</v>
      </c>
      <c r="O704" s="2" t="s">
        <v>29</v>
      </c>
      <c r="P704" s="2" t="s">
        <v>24249</v>
      </c>
      <c r="Q704" s="2" t="s">
        <v>24250</v>
      </c>
      <c r="R704" s="2" t="s">
        <v>2416</v>
      </c>
      <c r="S704" s="2" t="s">
        <v>7795</v>
      </c>
      <c r="T704" s="2" t="s">
        <v>11540</v>
      </c>
      <c r="U704" s="2" t="s">
        <v>29</v>
      </c>
      <c r="V704" s="2" t="n">
        <v>1</v>
      </c>
    </row>
    <row r="705">
      <c r="A705" s="2" t="n">
        <v>704</v>
      </c>
      <c r="B705" s="2" t="s">
        <v>24251</v>
      </c>
      <c r="C705" s="2" t="n">
        <v>803.483392503</v>
      </c>
      <c r="D705" s="2" t="n">
        <v>4.09459551283959</v>
      </c>
      <c r="E705" s="2" t="s">
        <v>24252</v>
      </c>
      <c r="F705" s="2" t="s">
        <v>17137</v>
      </c>
      <c r="G705" s="2" t="s">
        <v>24253</v>
      </c>
      <c r="H705" s="2" t="s">
        <v>24254</v>
      </c>
      <c r="I705" s="2" t="s">
        <v>24255</v>
      </c>
      <c r="J705" s="2" t="s">
        <v>29</v>
      </c>
      <c r="K705" s="2" t="s">
        <v>29</v>
      </c>
      <c r="L705" s="2" t="s">
        <v>29</v>
      </c>
      <c r="M705" s="2" t="s">
        <v>24256</v>
      </c>
      <c r="N705" s="2" t="s">
        <v>24257</v>
      </c>
      <c r="O705" s="2" t="s">
        <v>29</v>
      </c>
      <c r="P705" s="2" t="s">
        <v>24258</v>
      </c>
      <c r="Q705" s="2" t="s">
        <v>24259</v>
      </c>
      <c r="R705" s="2" t="s">
        <v>794</v>
      </c>
      <c r="S705" s="2" t="s">
        <v>7122</v>
      </c>
      <c r="T705" s="2" t="s">
        <v>10968</v>
      </c>
      <c r="U705" s="2" t="s">
        <v>29</v>
      </c>
      <c r="V705" s="2" t="n">
        <v>1</v>
      </c>
    </row>
    <row r="706">
      <c r="A706" s="2" t="n">
        <v>705</v>
      </c>
      <c r="B706" s="2" t="s">
        <v>24260</v>
      </c>
      <c r="C706" s="2" t="n">
        <v>805.049490388</v>
      </c>
      <c r="D706" s="2" t="n">
        <v>5.47341293850578</v>
      </c>
      <c r="E706" s="2" t="s">
        <v>24261</v>
      </c>
      <c r="F706" s="2" t="s">
        <v>17198</v>
      </c>
      <c r="G706" s="2" t="s">
        <v>24262</v>
      </c>
      <c r="H706" s="2" t="s">
        <v>24263</v>
      </c>
      <c r="I706" s="2" t="s">
        <v>24264</v>
      </c>
      <c r="J706" s="2" t="s">
        <v>24265</v>
      </c>
      <c r="K706" s="2" t="s">
        <v>29</v>
      </c>
      <c r="L706" s="2" t="s">
        <v>29</v>
      </c>
      <c r="M706" s="2" t="s">
        <v>29</v>
      </c>
      <c r="N706" s="2" t="s">
        <v>24266</v>
      </c>
      <c r="O706" s="2" t="s">
        <v>24267</v>
      </c>
      <c r="P706" s="2" t="s">
        <v>24268</v>
      </c>
      <c r="Q706" s="2" t="s">
        <v>24269</v>
      </c>
      <c r="R706" s="2" t="s">
        <v>1355</v>
      </c>
      <c r="S706" s="2" t="s">
        <v>9660</v>
      </c>
      <c r="T706" s="2" t="s">
        <v>24270</v>
      </c>
      <c r="U706" s="2" t="s">
        <v>56</v>
      </c>
      <c r="V706" s="2" t="n">
        <v>1</v>
      </c>
    </row>
    <row r="707">
      <c r="A707" s="2" t="n">
        <v>706</v>
      </c>
      <c r="B707" s="2" t="s">
        <v>24271</v>
      </c>
      <c r="C707" s="2" t="n">
        <v>807.065140452</v>
      </c>
      <c r="D707" s="2" t="n">
        <v>0.288635935869116</v>
      </c>
      <c r="E707" s="2" t="s">
        <v>24272</v>
      </c>
      <c r="F707" s="2" t="s">
        <v>17198</v>
      </c>
      <c r="G707" s="2" t="s">
        <v>24273</v>
      </c>
      <c r="H707" s="2" t="s">
        <v>24274</v>
      </c>
      <c r="I707" s="2" t="s">
        <v>24275</v>
      </c>
      <c r="J707" s="2" t="s">
        <v>24276</v>
      </c>
      <c r="K707" s="2" t="s">
        <v>195</v>
      </c>
      <c r="L707" s="2" t="s">
        <v>195</v>
      </c>
      <c r="M707" s="2" t="s">
        <v>195</v>
      </c>
      <c r="N707" s="2" t="s">
        <v>24277</v>
      </c>
      <c r="O707" s="2" t="s">
        <v>24278</v>
      </c>
      <c r="P707" s="2" t="s">
        <v>24279</v>
      </c>
      <c r="Q707" s="2" t="s">
        <v>24280</v>
      </c>
      <c r="R707" s="2" t="s">
        <v>5817</v>
      </c>
      <c r="S707" s="2" t="s">
        <v>24281</v>
      </c>
      <c r="T707" s="2" t="s">
        <v>24282</v>
      </c>
      <c r="U707" s="2" t="s">
        <v>29</v>
      </c>
      <c r="V707" s="2" t="n">
        <v>3</v>
      </c>
    </row>
    <row r="708">
      <c r="A708" s="2" t="n">
        <v>707</v>
      </c>
      <c r="B708" s="2" t="s">
        <v>24283</v>
      </c>
      <c r="C708" s="2" t="n">
        <v>809.593333527</v>
      </c>
      <c r="D708" s="2" t="n">
        <v>1.47539874793102</v>
      </c>
      <c r="E708" s="2" t="s">
        <v>24284</v>
      </c>
      <c r="F708" s="2" t="s">
        <v>17406</v>
      </c>
      <c r="G708" s="2" t="s">
        <v>24285</v>
      </c>
      <c r="H708" s="2" t="s">
        <v>24286</v>
      </c>
      <c r="I708" s="2" t="s">
        <v>24287</v>
      </c>
      <c r="J708" s="2" t="s">
        <v>29</v>
      </c>
      <c r="K708" s="2" t="s">
        <v>29</v>
      </c>
      <c r="L708" s="2" t="s">
        <v>29</v>
      </c>
      <c r="M708" s="2" t="s">
        <v>29</v>
      </c>
      <c r="N708" s="2" t="s">
        <v>29</v>
      </c>
      <c r="O708" s="2" t="s">
        <v>29</v>
      </c>
      <c r="P708" s="2" t="s">
        <v>24288</v>
      </c>
      <c r="Q708" s="2" t="s">
        <v>24289</v>
      </c>
      <c r="R708" s="2" t="s">
        <v>601</v>
      </c>
      <c r="S708" s="2" t="s">
        <v>602</v>
      </c>
      <c r="T708" s="2" t="s">
        <v>8583</v>
      </c>
      <c r="U708" s="2" t="s">
        <v>29</v>
      </c>
      <c r="V708" s="2" t="n">
        <v>1</v>
      </c>
    </row>
    <row r="709">
      <c r="A709" s="2" t="n">
        <v>708</v>
      </c>
      <c r="B709" s="2" t="s">
        <v>24290</v>
      </c>
      <c r="C709" s="2" t="n">
        <v>810.403663777</v>
      </c>
      <c r="D709" s="2" t="n">
        <v>4.81753761014179</v>
      </c>
      <c r="E709" s="2" t="s">
        <v>24291</v>
      </c>
      <c r="F709" s="2" t="s">
        <v>17406</v>
      </c>
      <c r="G709" s="2" t="s">
        <v>24292</v>
      </c>
      <c r="H709" s="2" t="s">
        <v>24293</v>
      </c>
      <c r="I709" s="2" t="s">
        <v>24294</v>
      </c>
      <c r="J709" s="2" t="s">
        <v>29</v>
      </c>
      <c r="K709" s="2" t="s">
        <v>29</v>
      </c>
      <c r="L709" s="2" t="s">
        <v>29</v>
      </c>
      <c r="M709" s="2" t="s">
        <v>29</v>
      </c>
      <c r="N709" s="2" t="s">
        <v>24295</v>
      </c>
      <c r="O709" s="2" t="s">
        <v>29</v>
      </c>
      <c r="P709" s="2" t="s">
        <v>24296</v>
      </c>
      <c r="Q709" s="2" t="s">
        <v>24297</v>
      </c>
      <c r="R709" s="2" t="s">
        <v>129</v>
      </c>
      <c r="S709" s="2" t="s">
        <v>130</v>
      </c>
      <c r="T709" s="2" t="s">
        <v>1681</v>
      </c>
      <c r="U709" s="2" t="s">
        <v>29</v>
      </c>
      <c r="V709" s="2" t="n">
        <v>1</v>
      </c>
    </row>
    <row r="710">
      <c r="A710" s="2" t="n">
        <v>709</v>
      </c>
      <c r="B710" s="2" t="s">
        <v>24298</v>
      </c>
      <c r="C710" s="2" t="n">
        <v>811.608983592</v>
      </c>
      <c r="D710" s="2" t="n">
        <v>2.24526200415974</v>
      </c>
      <c r="E710" s="2" t="s">
        <v>24299</v>
      </c>
      <c r="F710" s="2" t="s">
        <v>17406</v>
      </c>
      <c r="G710" s="2" t="s">
        <v>24300</v>
      </c>
      <c r="H710" s="2" t="s">
        <v>24301</v>
      </c>
      <c r="I710" s="2" t="s">
        <v>24302</v>
      </c>
      <c r="J710" s="2" t="s">
        <v>24303</v>
      </c>
      <c r="K710" s="2" t="s">
        <v>24304</v>
      </c>
      <c r="L710" s="2" t="s">
        <v>91</v>
      </c>
      <c r="M710" s="2" t="s">
        <v>24305</v>
      </c>
      <c r="N710" s="2" t="s">
        <v>24306</v>
      </c>
      <c r="O710" s="2" t="s">
        <v>24307</v>
      </c>
      <c r="P710" s="2" t="s">
        <v>24308</v>
      </c>
      <c r="Q710" s="2" t="s">
        <v>24309</v>
      </c>
      <c r="R710" s="2" t="s">
        <v>24310</v>
      </c>
      <c r="S710" s="2" t="s">
        <v>24311</v>
      </c>
      <c r="T710" s="2" t="s">
        <v>24312</v>
      </c>
      <c r="U710" s="2" t="s">
        <v>29</v>
      </c>
      <c r="V710" s="2" t="n">
        <v>2</v>
      </c>
    </row>
    <row r="711">
      <c r="A711" s="2" t="n">
        <v>710</v>
      </c>
      <c r="B711" s="2" t="s">
        <v>24313</v>
      </c>
      <c r="C711" s="2" t="n">
        <v>813.044400974</v>
      </c>
      <c r="D711" s="2" t="n">
        <v>1.56464767225905</v>
      </c>
      <c r="E711" s="2" t="s">
        <v>24314</v>
      </c>
      <c r="F711" s="2" t="s">
        <v>17227</v>
      </c>
      <c r="G711" s="2" t="s">
        <v>24315</v>
      </c>
      <c r="H711" s="2" t="s">
        <v>24316</v>
      </c>
      <c r="I711" s="2" t="s">
        <v>24317</v>
      </c>
      <c r="J711" s="2" t="s">
        <v>29</v>
      </c>
      <c r="K711" s="2" t="s">
        <v>29</v>
      </c>
      <c r="L711" s="2" t="s">
        <v>29</v>
      </c>
      <c r="M711" s="2" t="s">
        <v>29</v>
      </c>
      <c r="N711" s="2" t="s">
        <v>24318</v>
      </c>
      <c r="O711" s="2" t="s">
        <v>29</v>
      </c>
      <c r="P711" s="2" t="s">
        <v>24319</v>
      </c>
      <c r="Q711" s="2" t="s">
        <v>24320</v>
      </c>
      <c r="R711" s="2" t="s">
        <v>36</v>
      </c>
      <c r="S711" s="2" t="s">
        <v>37</v>
      </c>
      <c r="T711" s="2" t="s">
        <v>69</v>
      </c>
      <c r="U711" s="2" t="s">
        <v>39</v>
      </c>
      <c r="V711" s="2" t="n">
        <v>1</v>
      </c>
    </row>
    <row r="712">
      <c r="A712" s="2" t="n">
        <v>711</v>
      </c>
      <c r="B712" s="2" t="s">
        <v>24321</v>
      </c>
      <c r="C712" s="2" t="n">
        <v>813.534868816</v>
      </c>
      <c r="D712" s="2" t="n">
        <v>0.579186987239172</v>
      </c>
      <c r="E712" s="2" t="s">
        <v>24322</v>
      </c>
      <c r="F712" s="2" t="s">
        <v>17520</v>
      </c>
      <c r="G712" s="2" t="s">
        <v>24323</v>
      </c>
      <c r="H712" s="2" t="s">
        <v>24324</v>
      </c>
      <c r="I712" s="2" t="s">
        <v>24325</v>
      </c>
      <c r="J712" s="2" t="s">
        <v>24326</v>
      </c>
      <c r="K712" s="2" t="s">
        <v>29</v>
      </c>
      <c r="L712" s="2" t="s">
        <v>24327</v>
      </c>
      <c r="M712" s="2" t="s">
        <v>24328</v>
      </c>
      <c r="N712" s="2" t="s">
        <v>24329</v>
      </c>
      <c r="O712" s="2" t="s">
        <v>29</v>
      </c>
      <c r="P712" s="2" t="s">
        <v>24330</v>
      </c>
      <c r="Q712" s="2" t="s">
        <v>24331</v>
      </c>
      <c r="R712" s="2" t="s">
        <v>794</v>
      </c>
      <c r="S712" s="2" t="s">
        <v>1098</v>
      </c>
      <c r="T712" s="2" t="s">
        <v>9336</v>
      </c>
      <c r="U712" s="2" t="s">
        <v>101</v>
      </c>
      <c r="V712" s="2" t="n">
        <v>1</v>
      </c>
    </row>
    <row r="713">
      <c r="A713" s="2" t="n">
        <v>712</v>
      </c>
      <c r="B713" s="2" t="s">
        <v>24332</v>
      </c>
      <c r="C713" s="2" t="n">
        <v>813.626847878</v>
      </c>
      <c r="D713" s="2" t="n">
        <v>1.17830047679155</v>
      </c>
      <c r="E713" s="2" t="s">
        <v>24333</v>
      </c>
      <c r="F713" s="2" t="s">
        <v>17892</v>
      </c>
      <c r="G713" s="2" t="s">
        <v>24334</v>
      </c>
      <c r="H713" s="2" t="s">
        <v>24335</v>
      </c>
      <c r="I713" s="2" t="s">
        <v>24336</v>
      </c>
      <c r="J713" s="2" t="s">
        <v>29</v>
      </c>
      <c r="K713" s="2" t="s">
        <v>29</v>
      </c>
      <c r="L713" s="2" t="s">
        <v>29</v>
      </c>
      <c r="M713" s="2" t="s">
        <v>29</v>
      </c>
      <c r="N713" s="2" t="s">
        <v>24337</v>
      </c>
      <c r="O713" s="2" t="s">
        <v>29</v>
      </c>
      <c r="P713" s="2" t="s">
        <v>24338</v>
      </c>
      <c r="Q713" s="2" t="s">
        <v>24339</v>
      </c>
      <c r="R713" s="2" t="s">
        <v>794</v>
      </c>
      <c r="S713" s="2" t="s">
        <v>2971</v>
      </c>
      <c r="T713" s="2" t="s">
        <v>7382</v>
      </c>
      <c r="U713" s="2" t="s">
        <v>29</v>
      </c>
      <c r="V713" s="2" t="n">
        <v>1</v>
      </c>
    </row>
    <row r="714">
      <c r="A714" s="2" t="n">
        <v>713</v>
      </c>
      <c r="B714" s="2" t="s">
        <v>24340</v>
      </c>
      <c r="C714" s="2" t="n">
        <v>814.538130925</v>
      </c>
      <c r="D714" s="2" t="n">
        <v>2.38271174407974</v>
      </c>
      <c r="E714" s="2" t="s">
        <v>24341</v>
      </c>
      <c r="F714" s="2" t="s">
        <v>17137</v>
      </c>
      <c r="G714" s="2" t="s">
        <v>24342</v>
      </c>
      <c r="H714" s="2" t="s">
        <v>24343</v>
      </c>
      <c r="I714" s="2" t="s">
        <v>24344</v>
      </c>
      <c r="J714" s="2" t="s">
        <v>24345</v>
      </c>
      <c r="K714" s="2" t="s">
        <v>29</v>
      </c>
      <c r="L714" s="2" t="s">
        <v>9434</v>
      </c>
      <c r="M714" s="2" t="s">
        <v>29</v>
      </c>
      <c r="N714" s="2" t="s">
        <v>24346</v>
      </c>
      <c r="O714" s="2" t="s">
        <v>29</v>
      </c>
      <c r="P714" s="2" t="s">
        <v>24347</v>
      </c>
      <c r="Q714" s="2" t="s">
        <v>24348</v>
      </c>
      <c r="R714" s="2" t="s">
        <v>794</v>
      </c>
      <c r="S714" s="2" t="s">
        <v>7122</v>
      </c>
      <c r="T714" s="2" t="s">
        <v>8042</v>
      </c>
      <c r="U714" s="2" t="s">
        <v>56</v>
      </c>
      <c r="V714" s="2" t="n">
        <v>1</v>
      </c>
    </row>
    <row r="715">
      <c r="A715" s="2" t="n">
        <v>714</v>
      </c>
      <c r="B715" s="2" t="s">
        <v>24349</v>
      </c>
      <c r="C715" s="2" t="n">
        <v>814.632031309</v>
      </c>
      <c r="D715" s="2" t="n">
        <v>5.11604654697497</v>
      </c>
      <c r="E715" s="2" t="s">
        <v>24350</v>
      </c>
      <c r="F715" s="2" t="s">
        <v>17137</v>
      </c>
      <c r="G715" s="2" t="s">
        <v>24351</v>
      </c>
      <c r="H715" s="2" t="s">
        <v>24352</v>
      </c>
      <c r="I715" s="2" t="s">
        <v>24353</v>
      </c>
      <c r="J715" s="2" t="s">
        <v>24354</v>
      </c>
      <c r="K715" s="2" t="s">
        <v>29</v>
      </c>
      <c r="L715" s="2" t="s">
        <v>9831</v>
      </c>
      <c r="M715" s="2" t="s">
        <v>29</v>
      </c>
      <c r="N715" s="2" t="s">
        <v>24355</v>
      </c>
      <c r="O715" s="2" t="s">
        <v>29</v>
      </c>
      <c r="P715" s="2" t="s">
        <v>24356</v>
      </c>
      <c r="Q715" s="2" t="s">
        <v>24357</v>
      </c>
      <c r="R715" s="2" t="s">
        <v>794</v>
      </c>
      <c r="S715" s="2" t="s">
        <v>7122</v>
      </c>
      <c r="T715" s="2" t="s">
        <v>8460</v>
      </c>
      <c r="U715" s="2" t="s">
        <v>56</v>
      </c>
      <c r="V715" s="2" t="n">
        <v>1</v>
      </c>
    </row>
    <row r="716">
      <c r="A716" s="2" t="n">
        <v>715</v>
      </c>
      <c r="B716" s="2" t="s">
        <v>24358</v>
      </c>
      <c r="C716" s="2" t="n">
        <v>815.062251156</v>
      </c>
      <c r="D716" s="2" t="n">
        <v>8.61888014113972</v>
      </c>
      <c r="E716" s="2" t="s">
        <v>24359</v>
      </c>
      <c r="F716" s="2" t="s">
        <v>17520</v>
      </c>
      <c r="G716" s="2" t="s">
        <v>24360</v>
      </c>
      <c r="H716" s="2" t="s">
        <v>24361</v>
      </c>
      <c r="I716" s="2" t="s">
        <v>24362</v>
      </c>
      <c r="J716" s="2" t="s">
        <v>24363</v>
      </c>
      <c r="K716" s="2" t="s">
        <v>29</v>
      </c>
      <c r="L716" s="2" t="s">
        <v>29</v>
      </c>
      <c r="M716" s="2" t="s">
        <v>29</v>
      </c>
      <c r="N716" s="2" t="s">
        <v>24364</v>
      </c>
      <c r="O716" s="2" t="s">
        <v>29</v>
      </c>
      <c r="P716" s="2" t="s">
        <v>24365</v>
      </c>
      <c r="Q716" s="2" t="s">
        <v>24366</v>
      </c>
      <c r="R716" s="2" t="s">
        <v>1355</v>
      </c>
      <c r="S716" s="2" t="s">
        <v>5199</v>
      </c>
      <c r="T716" s="2" t="s">
        <v>7308</v>
      </c>
      <c r="U716" s="2" t="s">
        <v>29</v>
      </c>
      <c r="V716" s="2" t="n">
        <v>1</v>
      </c>
    </row>
    <row r="717">
      <c r="A717" s="2" t="n">
        <v>716</v>
      </c>
      <c r="B717" s="2" t="s">
        <v>24367</v>
      </c>
      <c r="C717" s="2" t="n">
        <v>815.5479572</v>
      </c>
      <c r="D717" s="2" t="n">
        <v>6.940717883056</v>
      </c>
      <c r="E717" s="2" t="s">
        <v>24368</v>
      </c>
      <c r="F717" s="2" t="s">
        <v>18382</v>
      </c>
      <c r="G717" s="2" t="s">
        <v>24369</v>
      </c>
      <c r="H717" s="2" t="s">
        <v>24370</v>
      </c>
      <c r="I717" s="2" t="s">
        <v>24371</v>
      </c>
      <c r="J717" s="2" t="s">
        <v>29</v>
      </c>
      <c r="K717" s="2" t="s">
        <v>29</v>
      </c>
      <c r="L717" s="2" t="s">
        <v>29</v>
      </c>
      <c r="M717" s="2" t="s">
        <v>29</v>
      </c>
      <c r="N717" s="2" t="s">
        <v>24372</v>
      </c>
      <c r="O717" s="2" t="s">
        <v>29</v>
      </c>
      <c r="P717" s="2" t="s">
        <v>24373</v>
      </c>
      <c r="Q717" s="2" t="s">
        <v>24374</v>
      </c>
      <c r="R717" s="2" t="s">
        <v>186</v>
      </c>
      <c r="S717" s="2" t="s">
        <v>187</v>
      </c>
      <c r="T717" s="2" t="s">
        <v>7013</v>
      </c>
      <c r="U717" s="2" t="s">
        <v>29</v>
      </c>
      <c r="V717" s="2" t="n">
        <v>1</v>
      </c>
    </row>
    <row r="718">
      <c r="A718" s="2" t="n">
        <v>717</v>
      </c>
      <c r="B718" s="2" t="s">
        <v>24375</v>
      </c>
      <c r="C718" s="2" t="n">
        <v>816.574910842</v>
      </c>
      <c r="D718" s="2" t="n">
        <v>5.37918626995366</v>
      </c>
      <c r="E718" s="2" t="s">
        <v>24376</v>
      </c>
      <c r="F718" s="2" t="s">
        <v>17137</v>
      </c>
      <c r="G718" s="2" t="s">
        <v>24377</v>
      </c>
      <c r="H718" s="2" t="s">
        <v>24378</v>
      </c>
      <c r="I718" s="2" t="s">
        <v>24379</v>
      </c>
      <c r="J718" s="2" t="s">
        <v>29</v>
      </c>
      <c r="K718" s="2" t="s">
        <v>29</v>
      </c>
      <c r="L718" s="2" t="s">
        <v>29</v>
      </c>
      <c r="M718" s="2" t="s">
        <v>29</v>
      </c>
      <c r="N718" s="2" t="s">
        <v>24380</v>
      </c>
      <c r="O718" s="2" t="s">
        <v>29</v>
      </c>
      <c r="P718" s="2" t="s">
        <v>24381</v>
      </c>
      <c r="Q718" s="2" t="s">
        <v>24382</v>
      </c>
      <c r="R718" s="2" t="s">
        <v>794</v>
      </c>
      <c r="S718" s="2" t="s">
        <v>7122</v>
      </c>
      <c r="T718" s="2" t="s">
        <v>8876</v>
      </c>
      <c r="U718" s="2" t="s">
        <v>29</v>
      </c>
      <c r="V718" s="2" t="n">
        <v>1</v>
      </c>
    </row>
    <row r="719">
      <c r="A719" s="2" t="n">
        <v>718</v>
      </c>
      <c r="B719" s="2" t="s">
        <v>24383</v>
      </c>
      <c r="C719" s="2" t="n">
        <v>817.053232426</v>
      </c>
      <c r="D719" s="2" t="n">
        <v>1.41125139590806</v>
      </c>
      <c r="E719" s="2" t="s">
        <v>24384</v>
      </c>
      <c r="F719" s="2" t="s">
        <v>17227</v>
      </c>
      <c r="G719" s="2" t="s">
        <v>24385</v>
      </c>
      <c r="H719" s="2" t="s">
        <v>24386</v>
      </c>
      <c r="I719" s="2" t="s">
        <v>24387</v>
      </c>
      <c r="J719" s="2" t="s">
        <v>29</v>
      </c>
      <c r="K719" s="2" t="s">
        <v>29</v>
      </c>
      <c r="L719" s="2" t="s">
        <v>24388</v>
      </c>
      <c r="M719" s="2" t="s">
        <v>24389</v>
      </c>
      <c r="N719" s="2" t="s">
        <v>24390</v>
      </c>
      <c r="O719" s="2" t="s">
        <v>24391</v>
      </c>
      <c r="P719" s="2" t="s">
        <v>24392</v>
      </c>
      <c r="Q719" s="2" t="s">
        <v>24393</v>
      </c>
      <c r="R719" s="2" t="s">
        <v>129</v>
      </c>
      <c r="S719" s="2" t="s">
        <v>130</v>
      </c>
      <c r="T719" s="2" t="s">
        <v>1681</v>
      </c>
      <c r="U719" s="2" t="s">
        <v>101</v>
      </c>
      <c r="V719" s="2" t="n">
        <v>1</v>
      </c>
    </row>
    <row r="720">
      <c r="A720" s="2" t="n">
        <v>719</v>
      </c>
      <c r="B720" s="2" t="s">
        <v>24394</v>
      </c>
      <c r="C720" s="2" t="n">
        <v>817.483117828</v>
      </c>
      <c r="D720" s="2" t="n">
        <v>2.30167462841464</v>
      </c>
      <c r="E720" s="2" t="s">
        <v>24395</v>
      </c>
      <c r="F720" s="2" t="s">
        <v>17227</v>
      </c>
      <c r="G720" s="2" t="s">
        <v>24396</v>
      </c>
      <c r="H720" s="2" t="s">
        <v>24397</v>
      </c>
      <c r="I720" s="2" t="s">
        <v>24398</v>
      </c>
      <c r="J720" s="2" t="s">
        <v>24399</v>
      </c>
      <c r="K720" s="2" t="s">
        <v>24400</v>
      </c>
      <c r="L720" s="2" t="s">
        <v>29</v>
      </c>
      <c r="M720" s="2" t="s">
        <v>24401</v>
      </c>
      <c r="N720" s="2" t="s">
        <v>24402</v>
      </c>
      <c r="O720" s="2" t="s">
        <v>24403</v>
      </c>
      <c r="P720" s="2" t="s">
        <v>24404</v>
      </c>
      <c r="Q720" s="2" t="s">
        <v>24405</v>
      </c>
      <c r="R720" s="2" t="s">
        <v>794</v>
      </c>
      <c r="S720" s="2" t="s">
        <v>795</v>
      </c>
      <c r="T720" s="2" t="s">
        <v>5115</v>
      </c>
      <c r="U720" s="2" t="s">
        <v>29</v>
      </c>
      <c r="V720" s="2" t="n">
        <v>1</v>
      </c>
    </row>
    <row r="721">
      <c r="A721" s="2" t="n">
        <v>720</v>
      </c>
      <c r="B721" s="2" t="s">
        <v>24406</v>
      </c>
      <c r="C721" s="2" t="n">
        <v>820.522751367</v>
      </c>
      <c r="D721" s="2" t="n">
        <v>9.19476943104541</v>
      </c>
      <c r="E721" s="2" t="s">
        <v>24407</v>
      </c>
      <c r="F721" s="2" t="s">
        <v>17970</v>
      </c>
      <c r="G721" s="2" t="s">
        <v>24408</v>
      </c>
      <c r="H721" s="2" t="s">
        <v>24409</v>
      </c>
      <c r="I721" s="2" t="s">
        <v>24410</v>
      </c>
      <c r="J721" s="2" t="s">
        <v>24411</v>
      </c>
      <c r="K721" s="2" t="s">
        <v>29</v>
      </c>
      <c r="L721" s="2" t="s">
        <v>9434</v>
      </c>
      <c r="M721" s="2" t="s">
        <v>29</v>
      </c>
      <c r="N721" s="2" t="s">
        <v>24412</v>
      </c>
      <c r="O721" s="2" t="s">
        <v>29</v>
      </c>
      <c r="P721" s="2" t="s">
        <v>24413</v>
      </c>
      <c r="Q721" s="2" t="s">
        <v>24414</v>
      </c>
      <c r="R721" s="2" t="s">
        <v>794</v>
      </c>
      <c r="S721" s="2" t="s">
        <v>7122</v>
      </c>
      <c r="T721" s="2" t="s">
        <v>8042</v>
      </c>
      <c r="U721" s="2" t="s">
        <v>101</v>
      </c>
      <c r="V721" s="2" t="n">
        <v>1</v>
      </c>
    </row>
    <row r="722">
      <c r="A722" s="2" t="n">
        <v>721</v>
      </c>
      <c r="B722" s="2" t="s">
        <v>24415</v>
      </c>
      <c r="C722" s="2" t="n">
        <v>822.540963117</v>
      </c>
      <c r="D722" s="2" t="n">
        <v>4.20827992113967</v>
      </c>
      <c r="E722" s="2" t="s">
        <v>24416</v>
      </c>
      <c r="F722" s="2" t="s">
        <v>17406</v>
      </c>
      <c r="G722" s="2" t="s">
        <v>24417</v>
      </c>
      <c r="H722" s="2" t="s">
        <v>24418</v>
      </c>
      <c r="I722" s="2" t="s">
        <v>24419</v>
      </c>
      <c r="J722" s="2" t="s">
        <v>24420</v>
      </c>
      <c r="K722" s="2" t="s">
        <v>24421</v>
      </c>
      <c r="L722" s="2" t="s">
        <v>9831</v>
      </c>
      <c r="M722" s="2" t="s">
        <v>29</v>
      </c>
      <c r="N722" s="2" t="s">
        <v>24422</v>
      </c>
      <c r="O722" s="2" t="s">
        <v>29</v>
      </c>
      <c r="P722" s="2" t="s">
        <v>24423</v>
      </c>
      <c r="Q722" s="2" t="s">
        <v>24424</v>
      </c>
      <c r="R722" s="2" t="s">
        <v>794</v>
      </c>
      <c r="S722" s="2" t="s">
        <v>7122</v>
      </c>
      <c r="T722" s="2" t="s">
        <v>8460</v>
      </c>
      <c r="U722" s="2" t="s">
        <v>56</v>
      </c>
      <c r="V722" s="2" t="n">
        <v>1</v>
      </c>
    </row>
    <row r="723">
      <c r="A723" s="2" t="n">
        <v>722</v>
      </c>
      <c r="B723" s="2" t="s">
        <v>24425</v>
      </c>
      <c r="C723" s="2" t="n">
        <v>824.556613181</v>
      </c>
      <c r="D723" s="2" t="n">
        <v>4.7225793002991</v>
      </c>
      <c r="E723" s="2" t="s">
        <v>24426</v>
      </c>
      <c r="F723" s="2" t="s">
        <v>17406</v>
      </c>
      <c r="G723" s="2" t="s">
        <v>24427</v>
      </c>
      <c r="H723" s="2" t="s">
        <v>24428</v>
      </c>
      <c r="I723" s="2" t="s">
        <v>24429</v>
      </c>
      <c r="J723" s="2" t="s">
        <v>24430</v>
      </c>
      <c r="K723" s="2" t="s">
        <v>24431</v>
      </c>
      <c r="L723" s="2" t="s">
        <v>29</v>
      </c>
      <c r="M723" s="2" t="s">
        <v>24432</v>
      </c>
      <c r="N723" s="2" t="s">
        <v>24433</v>
      </c>
      <c r="O723" s="2" t="s">
        <v>24434</v>
      </c>
      <c r="P723" s="2" t="s">
        <v>24435</v>
      </c>
      <c r="Q723" s="2" t="s">
        <v>24436</v>
      </c>
      <c r="R723" s="2" t="s">
        <v>794</v>
      </c>
      <c r="S723" s="2" t="s">
        <v>7122</v>
      </c>
      <c r="T723" s="2" t="s">
        <v>8460</v>
      </c>
      <c r="U723" s="2" t="s">
        <v>56</v>
      </c>
      <c r="V723" s="2" t="n">
        <v>1</v>
      </c>
    </row>
    <row r="724">
      <c r="A724" s="2" t="n">
        <v>723</v>
      </c>
      <c r="B724" s="2" t="s">
        <v>24437</v>
      </c>
      <c r="C724" s="2" t="n">
        <v>825.031738</v>
      </c>
      <c r="D724" s="2" t="n">
        <v>3.70759181352381</v>
      </c>
      <c r="E724" s="2" t="s">
        <v>24438</v>
      </c>
      <c r="F724" s="2" t="s">
        <v>17892</v>
      </c>
      <c r="G724" s="2" t="s">
        <v>24439</v>
      </c>
      <c r="H724" s="2" t="s">
        <v>24440</v>
      </c>
      <c r="I724" s="2" t="s">
        <v>24441</v>
      </c>
      <c r="J724" s="2" t="s">
        <v>29</v>
      </c>
      <c r="K724" s="2" t="s">
        <v>29</v>
      </c>
      <c r="L724" s="2" t="s">
        <v>29</v>
      </c>
      <c r="M724" s="2" t="s">
        <v>29</v>
      </c>
      <c r="N724" s="2" t="s">
        <v>24442</v>
      </c>
      <c r="O724" s="2" t="s">
        <v>29</v>
      </c>
      <c r="P724" s="2" t="s">
        <v>24443</v>
      </c>
      <c r="Q724" s="2" t="s">
        <v>24444</v>
      </c>
      <c r="R724" s="2" t="s">
        <v>114</v>
      </c>
      <c r="S724" s="2" t="s">
        <v>172</v>
      </c>
      <c r="T724" s="2" t="s">
        <v>4451</v>
      </c>
      <c r="U724" s="2" t="s">
        <v>29</v>
      </c>
      <c r="V724" s="2" t="n">
        <v>1</v>
      </c>
    </row>
    <row r="725">
      <c r="A725" s="2" t="n">
        <v>724</v>
      </c>
      <c r="B725" s="2" t="s">
        <v>24445</v>
      </c>
      <c r="C725" s="2" t="n">
        <v>826.556852842</v>
      </c>
      <c r="D725" s="2" t="n">
        <v>9.33097278080926</v>
      </c>
      <c r="E725" s="2" t="s">
        <v>24446</v>
      </c>
      <c r="F725" s="2" t="s">
        <v>17198</v>
      </c>
      <c r="G725" s="2" t="s">
        <v>24447</v>
      </c>
      <c r="H725" s="2" t="s">
        <v>24448</v>
      </c>
      <c r="I725" s="2" t="s">
        <v>24449</v>
      </c>
      <c r="J725" s="2" t="s">
        <v>29</v>
      </c>
      <c r="K725" s="2" t="s">
        <v>29</v>
      </c>
      <c r="L725" s="2" t="s">
        <v>29</v>
      </c>
      <c r="M725" s="2" t="s">
        <v>29</v>
      </c>
      <c r="N725" s="2" t="s">
        <v>24450</v>
      </c>
      <c r="O725" s="2" t="s">
        <v>29</v>
      </c>
      <c r="P725" s="2" t="s">
        <v>24451</v>
      </c>
      <c r="Q725" s="2" t="s">
        <v>24452</v>
      </c>
      <c r="R725" s="2" t="s">
        <v>794</v>
      </c>
      <c r="S725" s="2" t="s">
        <v>7122</v>
      </c>
      <c r="T725" s="2" t="s">
        <v>8876</v>
      </c>
      <c r="U725" s="2" t="s">
        <v>56</v>
      </c>
      <c r="V725" s="2" t="n">
        <v>1</v>
      </c>
    </row>
    <row r="726">
      <c r="A726" s="2" t="n">
        <v>725</v>
      </c>
      <c r="B726" s="2" t="s">
        <v>24453</v>
      </c>
      <c r="C726" s="2" t="n">
        <v>827.034921646</v>
      </c>
      <c r="D726" s="2" t="n">
        <v>4.21521752750128</v>
      </c>
      <c r="E726" s="2" t="s">
        <v>24454</v>
      </c>
      <c r="F726" s="2" t="s">
        <v>17406</v>
      </c>
      <c r="G726" s="2" t="s">
        <v>24455</v>
      </c>
      <c r="H726" s="2" t="s">
        <v>24456</v>
      </c>
      <c r="I726" s="2" t="s">
        <v>24457</v>
      </c>
      <c r="J726" s="2" t="s">
        <v>24458</v>
      </c>
      <c r="K726" s="2" t="s">
        <v>29</v>
      </c>
      <c r="L726" s="2" t="s">
        <v>29</v>
      </c>
      <c r="M726" s="2" t="s">
        <v>29</v>
      </c>
      <c r="N726" s="2" t="s">
        <v>24459</v>
      </c>
      <c r="O726" s="2" t="s">
        <v>24460</v>
      </c>
      <c r="P726" s="2" t="s">
        <v>24461</v>
      </c>
      <c r="Q726" s="2" t="s">
        <v>24462</v>
      </c>
      <c r="R726" s="2" t="s">
        <v>2416</v>
      </c>
      <c r="S726" s="2" t="s">
        <v>16231</v>
      </c>
      <c r="T726" s="2" t="s">
        <v>215</v>
      </c>
      <c r="U726" s="2" t="s">
        <v>29</v>
      </c>
      <c r="V726" s="2" t="n">
        <v>1</v>
      </c>
    </row>
    <row r="727">
      <c r="A727" s="2" t="n">
        <v>726</v>
      </c>
      <c r="B727" s="2" t="s">
        <v>24463</v>
      </c>
      <c r="C727" s="2" t="n">
        <v>828.044203562</v>
      </c>
      <c r="D727" s="2" t="n">
        <v>9.30536885718986</v>
      </c>
      <c r="E727" s="2" t="s">
        <v>24464</v>
      </c>
      <c r="F727" s="2" t="s">
        <v>17520</v>
      </c>
      <c r="G727" s="2" t="s">
        <v>24465</v>
      </c>
      <c r="H727" s="2" t="s">
        <v>24466</v>
      </c>
      <c r="I727" s="2" t="s">
        <v>24467</v>
      </c>
      <c r="J727" s="2" t="s">
        <v>29</v>
      </c>
      <c r="K727" s="2" t="s">
        <v>29</v>
      </c>
      <c r="L727" s="2" t="s">
        <v>29</v>
      </c>
      <c r="M727" s="2" t="s">
        <v>29</v>
      </c>
      <c r="N727" s="2" t="s">
        <v>29</v>
      </c>
      <c r="O727" s="2" t="s">
        <v>29</v>
      </c>
      <c r="P727" s="2" t="s">
        <v>24468</v>
      </c>
      <c r="Q727" s="2" t="s">
        <v>24469</v>
      </c>
      <c r="R727" s="2" t="s">
        <v>2416</v>
      </c>
      <c r="S727" s="2" t="s">
        <v>7795</v>
      </c>
      <c r="T727" s="2" t="s">
        <v>24470</v>
      </c>
      <c r="U727" s="2" t="s">
        <v>29</v>
      </c>
      <c r="V727" s="2" t="n">
        <v>1</v>
      </c>
    </row>
    <row r="728">
      <c r="A728" s="2" t="n">
        <v>727</v>
      </c>
      <c r="B728" s="2" t="s">
        <v>24471</v>
      </c>
      <c r="C728" s="2" t="n">
        <v>829.550912798</v>
      </c>
      <c r="D728" s="2" t="n">
        <v>3.93060414386479</v>
      </c>
      <c r="E728" s="2" t="s">
        <v>24472</v>
      </c>
      <c r="F728" s="2" t="s">
        <v>17520</v>
      </c>
      <c r="G728" s="2" t="s">
        <v>24473</v>
      </c>
      <c r="H728" s="2" t="s">
        <v>24474</v>
      </c>
      <c r="I728" s="2" t="s">
        <v>24475</v>
      </c>
      <c r="J728" s="2" t="s">
        <v>24476</v>
      </c>
      <c r="K728" s="2" t="s">
        <v>29</v>
      </c>
      <c r="L728" s="2" t="s">
        <v>29</v>
      </c>
      <c r="M728" s="2" t="s">
        <v>29</v>
      </c>
      <c r="N728" s="2" t="s">
        <v>24477</v>
      </c>
      <c r="O728" s="2" t="s">
        <v>29</v>
      </c>
      <c r="P728" s="2" t="s">
        <v>24478</v>
      </c>
      <c r="Q728" s="2" t="s">
        <v>24479</v>
      </c>
      <c r="R728" s="2" t="s">
        <v>794</v>
      </c>
      <c r="S728" s="2" t="s">
        <v>2600</v>
      </c>
      <c r="T728" s="2" t="s">
        <v>8990</v>
      </c>
      <c r="U728" s="2" t="s">
        <v>29</v>
      </c>
      <c r="V728" s="2" t="n">
        <v>1</v>
      </c>
    </row>
    <row r="729">
      <c r="A729" s="2" t="n">
        <v>728</v>
      </c>
      <c r="B729" s="2" t="s">
        <v>24480</v>
      </c>
      <c r="C729" s="2" t="n">
        <v>831.551193935</v>
      </c>
      <c r="D729" s="2" t="n">
        <v>6.4922554800177</v>
      </c>
      <c r="E729" s="2" t="s">
        <v>24481</v>
      </c>
      <c r="F729" s="2" t="s">
        <v>17406</v>
      </c>
      <c r="G729" s="2" t="s">
        <v>24482</v>
      </c>
      <c r="H729" s="2" t="s">
        <v>24483</v>
      </c>
      <c r="I729" s="2" t="s">
        <v>24484</v>
      </c>
      <c r="J729" s="2" t="s">
        <v>29</v>
      </c>
      <c r="K729" s="2" t="s">
        <v>29</v>
      </c>
      <c r="L729" s="2" t="s">
        <v>29</v>
      </c>
      <c r="M729" s="2" t="s">
        <v>29</v>
      </c>
      <c r="N729" s="2" t="s">
        <v>24485</v>
      </c>
      <c r="O729" s="2" t="s">
        <v>29</v>
      </c>
      <c r="P729" s="2" t="s">
        <v>24486</v>
      </c>
      <c r="Q729" s="2" t="s">
        <v>24487</v>
      </c>
      <c r="R729" s="2" t="s">
        <v>794</v>
      </c>
      <c r="S729" s="2" t="s">
        <v>7122</v>
      </c>
      <c r="T729" s="2" t="s">
        <v>9951</v>
      </c>
      <c r="U729" s="2" t="s">
        <v>29</v>
      </c>
      <c r="V729" s="2" t="n">
        <v>1</v>
      </c>
    </row>
    <row r="730">
      <c r="A730" s="2" t="n">
        <v>729</v>
      </c>
      <c r="B730" s="2" t="s">
        <v>24488</v>
      </c>
      <c r="C730" s="2" t="n">
        <v>833.584469112</v>
      </c>
      <c r="D730" s="2" t="n">
        <v>2.0260554926226</v>
      </c>
      <c r="E730" s="2" t="s">
        <v>24489</v>
      </c>
      <c r="F730" s="2" t="s">
        <v>17406</v>
      </c>
      <c r="G730" s="2" t="s">
        <v>24490</v>
      </c>
      <c r="H730" s="2" t="s">
        <v>24491</v>
      </c>
      <c r="I730" s="2" t="s">
        <v>24492</v>
      </c>
      <c r="J730" s="2" t="s">
        <v>24493</v>
      </c>
      <c r="K730" s="2" t="s">
        <v>24494</v>
      </c>
      <c r="L730" s="2" t="s">
        <v>24495</v>
      </c>
      <c r="M730" s="2" t="s">
        <v>24496</v>
      </c>
      <c r="N730" s="2" t="s">
        <v>24497</v>
      </c>
      <c r="O730" s="2" t="s">
        <v>24498</v>
      </c>
      <c r="P730" s="2" t="s">
        <v>24499</v>
      </c>
      <c r="Q730" s="2" t="s">
        <v>24500</v>
      </c>
      <c r="R730" s="2" t="s">
        <v>794</v>
      </c>
      <c r="S730" s="2" t="s">
        <v>1098</v>
      </c>
      <c r="T730" s="2" t="s">
        <v>9336</v>
      </c>
      <c r="U730" s="2" t="s">
        <v>39</v>
      </c>
      <c r="V730" s="2" t="n">
        <v>1</v>
      </c>
    </row>
    <row r="731">
      <c r="A731" s="2" t="n">
        <v>730</v>
      </c>
      <c r="B731" s="2" t="s">
        <v>24501</v>
      </c>
      <c r="C731" s="2" t="n">
        <v>834.598323245</v>
      </c>
      <c r="D731" s="2" t="n">
        <v>7.15262286751769</v>
      </c>
      <c r="E731" s="2" t="s">
        <v>24502</v>
      </c>
      <c r="F731" s="2" t="s">
        <v>17198</v>
      </c>
      <c r="G731" s="2" t="s">
        <v>24503</v>
      </c>
      <c r="H731" s="2" t="s">
        <v>24504</v>
      </c>
      <c r="I731" s="2" t="s">
        <v>24505</v>
      </c>
      <c r="J731" s="2" t="s">
        <v>24506</v>
      </c>
      <c r="K731" s="2" t="s">
        <v>24507</v>
      </c>
      <c r="L731" s="2" t="s">
        <v>9831</v>
      </c>
      <c r="M731" s="2" t="s">
        <v>24508</v>
      </c>
      <c r="N731" s="2" t="s">
        <v>24509</v>
      </c>
      <c r="O731" s="2" t="s">
        <v>29</v>
      </c>
      <c r="P731" s="2" t="s">
        <v>24510</v>
      </c>
      <c r="Q731" s="2" t="s">
        <v>24511</v>
      </c>
      <c r="R731" s="2" t="s">
        <v>794</v>
      </c>
      <c r="S731" s="2" t="s">
        <v>7122</v>
      </c>
      <c r="T731" s="2" t="s">
        <v>8460</v>
      </c>
      <c r="U731" s="2" t="s">
        <v>56</v>
      </c>
      <c r="V731" s="2" t="n">
        <v>1</v>
      </c>
    </row>
    <row r="732">
      <c r="A732" s="2" t="n">
        <v>731</v>
      </c>
      <c r="B732" s="2" t="s">
        <v>24512</v>
      </c>
      <c r="C732" s="2" t="n">
        <v>836.522480861</v>
      </c>
      <c r="D732" s="2" t="n">
        <v>9.96499593636852</v>
      </c>
      <c r="E732" s="2" t="s">
        <v>24513</v>
      </c>
      <c r="F732" s="2" t="s">
        <v>17137</v>
      </c>
      <c r="G732" s="2" t="s">
        <v>24514</v>
      </c>
      <c r="H732" s="2" t="s">
        <v>24515</v>
      </c>
      <c r="I732" s="2" t="s">
        <v>24516</v>
      </c>
      <c r="J732" s="2" t="s">
        <v>24517</v>
      </c>
      <c r="K732" s="2" t="s">
        <v>24518</v>
      </c>
      <c r="L732" s="2" t="s">
        <v>29</v>
      </c>
      <c r="M732" s="2" t="s">
        <v>24519</v>
      </c>
      <c r="N732" s="2" t="s">
        <v>24520</v>
      </c>
      <c r="O732" s="2" t="s">
        <v>29</v>
      </c>
      <c r="P732" s="2" t="s">
        <v>24521</v>
      </c>
      <c r="Q732" s="2" t="s">
        <v>24522</v>
      </c>
      <c r="R732" s="2" t="s">
        <v>794</v>
      </c>
      <c r="S732" s="2" t="s">
        <v>7122</v>
      </c>
      <c r="T732" s="2" t="s">
        <v>8042</v>
      </c>
      <c r="U732" s="2" t="s">
        <v>29</v>
      </c>
      <c r="V732" s="2" t="n">
        <v>1</v>
      </c>
    </row>
    <row r="733">
      <c r="A733" s="2" t="n">
        <v>732</v>
      </c>
      <c r="B733" s="2" t="s">
        <v>24523</v>
      </c>
      <c r="C733" s="2" t="n">
        <v>836.616381731</v>
      </c>
      <c r="D733" s="2" t="n">
        <v>2.00838780077341</v>
      </c>
      <c r="E733" s="2" t="s">
        <v>24524</v>
      </c>
      <c r="F733" s="2" t="s">
        <v>17137</v>
      </c>
      <c r="G733" s="2" t="s">
        <v>24525</v>
      </c>
      <c r="H733" s="2" t="s">
        <v>24526</v>
      </c>
      <c r="I733" s="2" t="s">
        <v>24527</v>
      </c>
      <c r="J733" s="2" t="s">
        <v>29</v>
      </c>
      <c r="K733" s="2" t="s">
        <v>29</v>
      </c>
      <c r="L733" s="2" t="s">
        <v>29</v>
      </c>
      <c r="M733" s="2" t="s">
        <v>29</v>
      </c>
      <c r="N733" s="2" t="s">
        <v>24528</v>
      </c>
      <c r="O733" s="2" t="s">
        <v>29</v>
      </c>
      <c r="P733" s="2" t="s">
        <v>24529</v>
      </c>
      <c r="Q733" s="2" t="s">
        <v>24530</v>
      </c>
      <c r="R733" s="2" t="s">
        <v>794</v>
      </c>
      <c r="S733" s="2" t="s">
        <v>7122</v>
      </c>
      <c r="T733" s="2" t="s">
        <v>8042</v>
      </c>
      <c r="U733" s="2" t="s">
        <v>29</v>
      </c>
      <c r="V733" s="2" t="n">
        <v>1</v>
      </c>
    </row>
    <row r="734">
      <c r="A734" s="2" t="n">
        <v>733</v>
      </c>
      <c r="B734" s="2" t="s">
        <v>24531</v>
      </c>
      <c r="C734" s="2" t="n">
        <v>837.531845772</v>
      </c>
      <c r="D734" s="2" t="n">
        <v>0.63112678316014</v>
      </c>
      <c r="E734" s="2" t="s">
        <v>24532</v>
      </c>
      <c r="F734" s="2" t="s">
        <v>17137</v>
      </c>
      <c r="G734" s="2" t="s">
        <v>24533</v>
      </c>
      <c r="H734" s="2" t="s">
        <v>24534</v>
      </c>
      <c r="I734" s="2" t="s">
        <v>24535</v>
      </c>
      <c r="J734" s="2" t="s">
        <v>29</v>
      </c>
      <c r="K734" s="2" t="s">
        <v>29</v>
      </c>
      <c r="L734" s="2" t="s">
        <v>24536</v>
      </c>
      <c r="M734" s="2" t="s">
        <v>24537</v>
      </c>
      <c r="N734" s="2" t="s">
        <v>24538</v>
      </c>
      <c r="O734" s="2" t="s">
        <v>24539</v>
      </c>
      <c r="P734" s="2" t="s">
        <v>24540</v>
      </c>
      <c r="Q734" s="2" t="s">
        <v>24541</v>
      </c>
      <c r="R734" s="2" t="s">
        <v>129</v>
      </c>
      <c r="S734" s="2" t="s">
        <v>130</v>
      </c>
      <c r="T734" s="2" t="s">
        <v>1681</v>
      </c>
      <c r="U734" s="2" t="s">
        <v>101</v>
      </c>
      <c r="V734" s="2" t="n">
        <v>1</v>
      </c>
    </row>
    <row r="735">
      <c r="A735" s="2" t="n">
        <v>734</v>
      </c>
      <c r="B735" s="2" t="s">
        <v>24542</v>
      </c>
      <c r="C735" s="2" t="n">
        <v>837.622109926</v>
      </c>
      <c r="D735" s="2" t="n">
        <v>0.835344425248482</v>
      </c>
      <c r="E735" s="2" t="s">
        <v>24543</v>
      </c>
      <c r="F735" s="2" t="s">
        <v>17892</v>
      </c>
      <c r="G735" s="2" t="s">
        <v>24544</v>
      </c>
      <c r="H735" s="2" t="s">
        <v>24545</v>
      </c>
      <c r="I735" s="2" t="s">
        <v>24546</v>
      </c>
      <c r="J735" s="2" t="s">
        <v>24547</v>
      </c>
      <c r="K735" s="2" t="s">
        <v>29</v>
      </c>
      <c r="L735" s="2" t="s">
        <v>29</v>
      </c>
      <c r="M735" s="2" t="s">
        <v>24548</v>
      </c>
      <c r="N735" s="2" t="s">
        <v>24549</v>
      </c>
      <c r="O735" s="2" t="s">
        <v>24550</v>
      </c>
      <c r="P735" s="2" t="s">
        <v>24551</v>
      </c>
      <c r="Q735" s="2" t="s">
        <v>24552</v>
      </c>
      <c r="R735" s="2" t="s">
        <v>601</v>
      </c>
      <c r="S735" s="2" t="s">
        <v>602</v>
      </c>
      <c r="T735" s="2" t="s">
        <v>8583</v>
      </c>
      <c r="U735" s="2" t="s">
        <v>29</v>
      </c>
      <c r="V735" s="2" t="n">
        <v>1</v>
      </c>
    </row>
    <row r="736">
      <c r="A736" s="2" t="n">
        <v>735</v>
      </c>
      <c r="B736" s="2" t="s">
        <v>24553</v>
      </c>
      <c r="C736" s="2" t="n">
        <v>838.538130925</v>
      </c>
      <c r="D736" s="2" t="n">
        <v>8.68750791320011</v>
      </c>
      <c r="E736" s="2" t="s">
        <v>24554</v>
      </c>
      <c r="F736" s="2" t="s">
        <v>17137</v>
      </c>
      <c r="G736" s="2" t="s">
        <v>24555</v>
      </c>
      <c r="H736" s="2" t="s">
        <v>24556</v>
      </c>
      <c r="I736" s="2" t="s">
        <v>24557</v>
      </c>
      <c r="J736" s="2" t="s">
        <v>24558</v>
      </c>
      <c r="K736" s="2" t="s">
        <v>29</v>
      </c>
      <c r="L736" s="2" t="s">
        <v>9434</v>
      </c>
      <c r="M736" s="2" t="s">
        <v>29</v>
      </c>
      <c r="N736" s="2" t="s">
        <v>24559</v>
      </c>
      <c r="O736" s="2" t="s">
        <v>29</v>
      </c>
      <c r="P736" s="2" t="s">
        <v>24560</v>
      </c>
      <c r="Q736" s="2" t="s">
        <v>24561</v>
      </c>
      <c r="R736" s="2" t="s">
        <v>794</v>
      </c>
      <c r="S736" s="2" t="s">
        <v>7122</v>
      </c>
      <c r="T736" s="2" t="s">
        <v>8042</v>
      </c>
      <c r="U736" s="2" t="s">
        <v>56</v>
      </c>
      <c r="V736" s="2" t="n">
        <v>1</v>
      </c>
    </row>
    <row r="737">
      <c r="A737" s="2" t="n">
        <v>736</v>
      </c>
      <c r="B737" s="2" t="s">
        <v>24562</v>
      </c>
      <c r="C737" s="2" t="n">
        <v>838.632031309</v>
      </c>
      <c r="D737" s="2" t="n">
        <v>2.11762533552699</v>
      </c>
      <c r="E737" s="2" t="s">
        <v>24563</v>
      </c>
      <c r="F737" s="2" t="s">
        <v>17137</v>
      </c>
      <c r="G737" s="2" t="s">
        <v>24564</v>
      </c>
      <c r="H737" s="2" t="s">
        <v>24565</v>
      </c>
      <c r="I737" s="2" t="s">
        <v>24566</v>
      </c>
      <c r="J737" s="2" t="s">
        <v>24567</v>
      </c>
      <c r="K737" s="2" t="s">
        <v>24568</v>
      </c>
      <c r="L737" s="2" t="s">
        <v>9831</v>
      </c>
      <c r="M737" s="2" t="s">
        <v>24569</v>
      </c>
      <c r="N737" s="2" t="s">
        <v>24570</v>
      </c>
      <c r="O737" s="2" t="s">
        <v>29</v>
      </c>
      <c r="P737" s="2" t="s">
        <v>24571</v>
      </c>
      <c r="Q737" s="2" t="s">
        <v>24572</v>
      </c>
      <c r="R737" s="2" t="s">
        <v>794</v>
      </c>
      <c r="S737" s="2" t="s">
        <v>7122</v>
      </c>
      <c r="T737" s="2" t="s">
        <v>8460</v>
      </c>
      <c r="U737" s="2" t="s">
        <v>39</v>
      </c>
      <c r="V737" s="2" t="n">
        <v>1</v>
      </c>
    </row>
    <row r="738">
      <c r="A738" s="2" t="n">
        <v>737</v>
      </c>
      <c r="B738" s="2" t="s">
        <v>24573</v>
      </c>
      <c r="C738" s="2" t="n">
        <v>839.042398</v>
      </c>
      <c r="D738" s="2" t="n">
        <v>4.44753350284042</v>
      </c>
      <c r="E738" s="2" t="s">
        <v>24574</v>
      </c>
      <c r="F738" s="2" t="s">
        <v>17227</v>
      </c>
      <c r="G738" s="2" t="s">
        <v>24575</v>
      </c>
      <c r="H738" s="2" t="s">
        <v>24576</v>
      </c>
      <c r="I738" s="2" t="s">
        <v>24577</v>
      </c>
      <c r="J738" s="2" t="s">
        <v>29</v>
      </c>
      <c r="K738" s="2" t="s">
        <v>29</v>
      </c>
      <c r="L738" s="2" t="s">
        <v>29</v>
      </c>
      <c r="M738" s="2" t="s">
        <v>29</v>
      </c>
      <c r="N738" s="2" t="s">
        <v>24578</v>
      </c>
      <c r="O738" s="2" t="s">
        <v>29</v>
      </c>
      <c r="P738" s="2" t="s">
        <v>24579</v>
      </c>
      <c r="Q738" s="2" t="s">
        <v>24580</v>
      </c>
      <c r="R738" s="2" t="s">
        <v>129</v>
      </c>
      <c r="S738" s="2" t="s">
        <v>130</v>
      </c>
      <c r="T738" s="2" t="s">
        <v>4901</v>
      </c>
      <c r="U738" s="2" t="s">
        <v>29</v>
      </c>
      <c r="V738" s="2" t="n">
        <v>1</v>
      </c>
    </row>
    <row r="739">
      <c r="A739" s="2" t="n">
        <v>738</v>
      </c>
      <c r="B739" s="2" t="s">
        <v>24581</v>
      </c>
      <c r="C739" s="2" t="n">
        <v>839.54162259</v>
      </c>
      <c r="D739" s="2" t="n">
        <v>8.2625027269649</v>
      </c>
      <c r="E739" s="2" t="s">
        <v>24582</v>
      </c>
      <c r="F739" s="2" t="s">
        <v>18382</v>
      </c>
      <c r="G739" s="2" t="s">
        <v>24583</v>
      </c>
      <c r="H739" s="2" t="s">
        <v>24584</v>
      </c>
      <c r="I739" s="2" t="s">
        <v>24585</v>
      </c>
      <c r="J739" s="2" t="s">
        <v>29</v>
      </c>
      <c r="K739" s="2" t="s">
        <v>29</v>
      </c>
      <c r="L739" s="2" t="s">
        <v>29</v>
      </c>
      <c r="M739" s="2" t="s">
        <v>29</v>
      </c>
      <c r="N739" s="2" t="s">
        <v>24586</v>
      </c>
      <c r="O739" s="2" t="s">
        <v>29</v>
      </c>
      <c r="P739" s="2" t="s">
        <v>24587</v>
      </c>
      <c r="Q739" s="2" t="s">
        <v>24588</v>
      </c>
      <c r="R739" s="2" t="s">
        <v>36</v>
      </c>
      <c r="S739" s="2" t="s">
        <v>37</v>
      </c>
      <c r="T739" s="2" t="s">
        <v>69</v>
      </c>
      <c r="U739" s="2" t="s">
        <v>29</v>
      </c>
      <c r="V739" s="2" t="n">
        <v>1</v>
      </c>
    </row>
    <row r="740">
      <c r="A740" s="2" t="n">
        <v>739</v>
      </c>
      <c r="B740" s="2" t="s">
        <v>24589</v>
      </c>
      <c r="C740" s="2" t="n">
        <v>839.640796081</v>
      </c>
      <c r="D740" s="2" t="n">
        <v>1.6294254949696</v>
      </c>
      <c r="E740" s="2" t="s">
        <v>24590</v>
      </c>
      <c r="F740" s="2" t="s">
        <v>17039</v>
      </c>
      <c r="G740" s="2" t="s">
        <v>24591</v>
      </c>
      <c r="H740" s="2" t="s">
        <v>24592</v>
      </c>
      <c r="I740" s="2" t="s">
        <v>24593</v>
      </c>
      <c r="J740" s="2" t="s">
        <v>24594</v>
      </c>
      <c r="K740" s="2" t="s">
        <v>29</v>
      </c>
      <c r="L740" s="2" t="s">
        <v>29</v>
      </c>
      <c r="M740" s="2" t="s">
        <v>29</v>
      </c>
      <c r="N740" s="2" t="s">
        <v>24595</v>
      </c>
      <c r="O740" s="2" t="s">
        <v>24596</v>
      </c>
      <c r="P740" s="2" t="s">
        <v>24597</v>
      </c>
      <c r="Q740" s="2" t="s">
        <v>24598</v>
      </c>
      <c r="R740" s="2" t="s">
        <v>36</v>
      </c>
      <c r="S740" s="2" t="s">
        <v>37</v>
      </c>
      <c r="T740" s="2" t="s">
        <v>69</v>
      </c>
      <c r="U740" s="2" t="s">
        <v>29</v>
      </c>
      <c r="V740" s="2" t="n">
        <v>1</v>
      </c>
    </row>
    <row r="741">
      <c r="A741" s="2" t="n">
        <v>740</v>
      </c>
      <c r="B741" s="2" t="s">
        <v>24599</v>
      </c>
      <c r="C741" s="2" t="n">
        <v>840.572502907</v>
      </c>
      <c r="D741" s="2" t="n">
        <v>8.63520143694574</v>
      </c>
      <c r="E741" s="2" t="s">
        <v>24600</v>
      </c>
      <c r="F741" s="2" t="s">
        <v>17198</v>
      </c>
      <c r="G741" s="2" t="s">
        <v>24601</v>
      </c>
      <c r="H741" s="2" t="s">
        <v>24602</v>
      </c>
      <c r="I741" s="2" t="s">
        <v>24603</v>
      </c>
      <c r="J741" s="2" t="s">
        <v>29</v>
      </c>
      <c r="K741" s="2" t="s">
        <v>29</v>
      </c>
      <c r="L741" s="2" t="s">
        <v>29</v>
      </c>
      <c r="M741" s="2" t="s">
        <v>29</v>
      </c>
      <c r="N741" s="2" t="s">
        <v>24604</v>
      </c>
      <c r="O741" s="2" t="s">
        <v>29</v>
      </c>
      <c r="P741" s="2" t="s">
        <v>24605</v>
      </c>
      <c r="Q741" s="2" t="s">
        <v>24606</v>
      </c>
      <c r="R741" s="2" t="s">
        <v>794</v>
      </c>
      <c r="S741" s="2" t="s">
        <v>7122</v>
      </c>
      <c r="T741" s="2" t="s">
        <v>8876</v>
      </c>
      <c r="U741" s="2" t="s">
        <v>29</v>
      </c>
      <c r="V741" s="2" t="n">
        <v>1</v>
      </c>
    </row>
    <row r="742">
      <c r="A742" s="2" t="n">
        <v>741</v>
      </c>
      <c r="B742" s="2" t="s">
        <v>24607</v>
      </c>
      <c r="C742" s="2" t="n">
        <v>841.55486472</v>
      </c>
      <c r="D742" s="2" t="n">
        <v>0.369032115245266</v>
      </c>
      <c r="E742" s="2" t="s">
        <v>24608</v>
      </c>
      <c r="F742" s="2" t="s">
        <v>17892</v>
      </c>
      <c r="G742" s="2" t="s">
        <v>24609</v>
      </c>
      <c r="H742" s="2" t="s">
        <v>24610</v>
      </c>
      <c r="I742" s="2" t="s">
        <v>24611</v>
      </c>
      <c r="J742" s="2" t="s">
        <v>195</v>
      </c>
      <c r="K742" s="2" t="s">
        <v>195</v>
      </c>
      <c r="L742" s="2" t="s">
        <v>195</v>
      </c>
      <c r="M742" s="2" t="s">
        <v>195</v>
      </c>
      <c r="N742" s="2" t="s">
        <v>195</v>
      </c>
      <c r="O742" s="2" t="s">
        <v>195</v>
      </c>
      <c r="P742" s="2" t="s">
        <v>24612</v>
      </c>
      <c r="Q742" s="2" t="s">
        <v>24613</v>
      </c>
      <c r="R742" s="2" t="s">
        <v>255</v>
      </c>
      <c r="S742" s="2" t="s">
        <v>256</v>
      </c>
      <c r="T742" s="2" t="s">
        <v>668</v>
      </c>
      <c r="U742" s="2" t="s">
        <v>29</v>
      </c>
      <c r="V742" s="2" t="n">
        <v>3</v>
      </c>
    </row>
    <row r="743">
      <c r="A743" s="2" t="n">
        <v>742</v>
      </c>
      <c r="B743" s="2" t="s">
        <v>24614</v>
      </c>
      <c r="C743" s="2" t="n">
        <v>842.527369506</v>
      </c>
      <c r="D743" s="2" t="n">
        <v>9.02229252907242</v>
      </c>
      <c r="E743" s="2" t="s">
        <v>24615</v>
      </c>
      <c r="F743" s="2" t="s">
        <v>17137</v>
      </c>
      <c r="G743" s="2" t="s">
        <v>24616</v>
      </c>
      <c r="H743" s="2" t="s">
        <v>24617</v>
      </c>
      <c r="I743" s="2" t="s">
        <v>24618</v>
      </c>
      <c r="J743" s="2" t="s">
        <v>29</v>
      </c>
      <c r="K743" s="2" t="s">
        <v>29</v>
      </c>
      <c r="L743" s="2" t="s">
        <v>29</v>
      </c>
      <c r="M743" s="2" t="s">
        <v>29</v>
      </c>
      <c r="N743" s="2" t="s">
        <v>29</v>
      </c>
      <c r="O743" s="2" t="s">
        <v>29</v>
      </c>
      <c r="P743" s="2" t="s">
        <v>24619</v>
      </c>
      <c r="Q743" s="2" t="s">
        <v>24620</v>
      </c>
      <c r="R743" s="2" t="s">
        <v>36</v>
      </c>
      <c r="S743" s="2" t="s">
        <v>7927</v>
      </c>
      <c r="T743" s="2" t="s">
        <v>8926</v>
      </c>
      <c r="U743" s="2" t="s">
        <v>29</v>
      </c>
      <c r="V743" s="2" t="n">
        <v>1</v>
      </c>
    </row>
    <row r="744">
      <c r="A744" s="2" t="n">
        <v>743</v>
      </c>
      <c r="B744" s="2" t="s">
        <v>24621</v>
      </c>
      <c r="C744" s="2" t="n">
        <v>843.510047698</v>
      </c>
      <c r="D744" s="2" t="n">
        <v>4.00952527673745</v>
      </c>
      <c r="E744" s="2" t="s">
        <v>24622</v>
      </c>
      <c r="F744" s="2" t="s">
        <v>17137</v>
      </c>
      <c r="G744" s="2" t="s">
        <v>24623</v>
      </c>
      <c r="H744" s="2" t="s">
        <v>24624</v>
      </c>
      <c r="I744" s="2" t="s">
        <v>24625</v>
      </c>
      <c r="J744" s="2" t="s">
        <v>24626</v>
      </c>
      <c r="K744" s="2" t="s">
        <v>29</v>
      </c>
      <c r="L744" s="2" t="s">
        <v>29</v>
      </c>
      <c r="M744" s="2" t="s">
        <v>29</v>
      </c>
      <c r="N744" s="2" t="s">
        <v>24627</v>
      </c>
      <c r="O744" s="2" t="s">
        <v>24628</v>
      </c>
      <c r="P744" s="2" t="s">
        <v>24629</v>
      </c>
      <c r="Q744" s="2" t="s">
        <v>24630</v>
      </c>
      <c r="R744" s="2" t="s">
        <v>794</v>
      </c>
      <c r="S744" s="2" t="s">
        <v>1098</v>
      </c>
      <c r="T744" s="2" t="s">
        <v>7878</v>
      </c>
      <c r="U744" s="2" t="s">
        <v>29</v>
      </c>
      <c r="V744" s="2" t="n">
        <v>1</v>
      </c>
    </row>
    <row r="745">
      <c r="A745" s="2" t="n">
        <v>744</v>
      </c>
      <c r="B745" s="2" t="s">
        <v>24631</v>
      </c>
      <c r="C745" s="2" t="n">
        <v>844.529532996</v>
      </c>
      <c r="D745" s="2" t="n">
        <v>1.04459913656858</v>
      </c>
      <c r="E745" s="2" t="s">
        <v>24632</v>
      </c>
      <c r="F745" s="2" t="s">
        <v>17406</v>
      </c>
      <c r="G745" s="2" t="s">
        <v>24633</v>
      </c>
      <c r="H745" s="2" t="s">
        <v>24634</v>
      </c>
      <c r="I745" s="2" t="s">
        <v>24635</v>
      </c>
      <c r="J745" s="2" t="s">
        <v>29</v>
      </c>
      <c r="K745" s="2" t="s">
        <v>29</v>
      </c>
      <c r="L745" s="2" t="s">
        <v>29</v>
      </c>
      <c r="M745" s="2" t="s">
        <v>29</v>
      </c>
      <c r="N745" s="2" t="s">
        <v>24636</v>
      </c>
      <c r="O745" s="2" t="s">
        <v>29</v>
      </c>
      <c r="P745" s="2" t="s">
        <v>24637</v>
      </c>
      <c r="Q745" s="2" t="s">
        <v>24638</v>
      </c>
      <c r="R745" s="2" t="s">
        <v>129</v>
      </c>
      <c r="S745" s="2" t="s">
        <v>130</v>
      </c>
      <c r="T745" s="2" t="s">
        <v>1681</v>
      </c>
      <c r="U745" s="2" t="s">
        <v>29</v>
      </c>
      <c r="V745" s="2" t="n">
        <v>1</v>
      </c>
    </row>
    <row r="746">
      <c r="A746" s="2" t="n">
        <v>745</v>
      </c>
      <c r="B746" s="2" t="s">
        <v>24639</v>
      </c>
      <c r="C746" s="2" t="n">
        <v>846.540963117</v>
      </c>
      <c r="D746" s="2" t="n">
        <v>2.53927221113472</v>
      </c>
      <c r="E746" s="2" t="s">
        <v>24640</v>
      </c>
      <c r="F746" s="2" t="s">
        <v>17406</v>
      </c>
      <c r="G746" s="2" t="s">
        <v>24641</v>
      </c>
      <c r="H746" s="2" t="s">
        <v>24642</v>
      </c>
      <c r="I746" s="2" t="s">
        <v>24643</v>
      </c>
      <c r="J746" s="2" t="s">
        <v>24644</v>
      </c>
      <c r="K746" s="2" t="s">
        <v>24645</v>
      </c>
      <c r="L746" s="2" t="s">
        <v>9831</v>
      </c>
      <c r="M746" s="2" t="s">
        <v>24646</v>
      </c>
      <c r="N746" s="2" t="s">
        <v>24647</v>
      </c>
      <c r="O746" s="2" t="s">
        <v>29</v>
      </c>
      <c r="P746" s="2" t="s">
        <v>24648</v>
      </c>
      <c r="Q746" s="2" t="s">
        <v>24649</v>
      </c>
      <c r="R746" s="2" t="s">
        <v>794</v>
      </c>
      <c r="S746" s="2" t="s">
        <v>7122</v>
      </c>
      <c r="T746" s="2" t="s">
        <v>8460</v>
      </c>
      <c r="U746" s="2" t="s">
        <v>56</v>
      </c>
      <c r="V746" s="2" t="n">
        <v>1</v>
      </c>
    </row>
    <row r="747">
      <c r="A747" s="2" t="n">
        <v>746</v>
      </c>
      <c r="B747" s="2" t="s">
        <v>24650</v>
      </c>
      <c r="C747" s="2" t="n">
        <v>848.556613181</v>
      </c>
      <c r="D747" s="2" t="n">
        <v>3.86785503540596</v>
      </c>
      <c r="E747" s="2" t="s">
        <v>24651</v>
      </c>
      <c r="F747" s="2" t="s">
        <v>17406</v>
      </c>
      <c r="G747" s="2" t="s">
        <v>24652</v>
      </c>
      <c r="H747" s="2" t="s">
        <v>24653</v>
      </c>
      <c r="I747" s="2" t="s">
        <v>24654</v>
      </c>
      <c r="J747" s="2" t="s">
        <v>24655</v>
      </c>
      <c r="K747" s="2" t="s">
        <v>24656</v>
      </c>
      <c r="L747" s="2" t="s">
        <v>9831</v>
      </c>
      <c r="M747" s="2" t="s">
        <v>24657</v>
      </c>
      <c r="N747" s="2" t="s">
        <v>24658</v>
      </c>
      <c r="O747" s="2" t="s">
        <v>29</v>
      </c>
      <c r="P747" s="2" t="s">
        <v>24659</v>
      </c>
      <c r="Q747" s="2" t="s">
        <v>24660</v>
      </c>
      <c r="R747" s="2" t="s">
        <v>794</v>
      </c>
      <c r="S747" s="2" t="s">
        <v>7122</v>
      </c>
      <c r="T747" s="2" t="s">
        <v>8460</v>
      </c>
      <c r="U747" s="2" t="s">
        <v>56</v>
      </c>
      <c r="V747" s="2" t="n">
        <v>1</v>
      </c>
    </row>
    <row r="748">
      <c r="A748" s="2" t="n">
        <v>747</v>
      </c>
      <c r="B748" s="2" t="s">
        <v>24661</v>
      </c>
      <c r="C748" s="2" t="n">
        <v>852.553780989</v>
      </c>
      <c r="D748" s="2" t="n">
        <v>1.86550886167083</v>
      </c>
      <c r="E748" s="2" t="s">
        <v>24662</v>
      </c>
      <c r="F748" s="2" t="s">
        <v>17137</v>
      </c>
      <c r="G748" s="2" t="s">
        <v>24663</v>
      </c>
      <c r="H748" s="2" t="s">
        <v>24664</v>
      </c>
      <c r="I748" s="2" t="s">
        <v>24665</v>
      </c>
      <c r="J748" s="2" t="s">
        <v>24666</v>
      </c>
      <c r="K748" s="2" t="s">
        <v>24667</v>
      </c>
      <c r="L748" s="2" t="s">
        <v>9831</v>
      </c>
      <c r="M748" s="2" t="s">
        <v>29</v>
      </c>
      <c r="N748" s="2" t="s">
        <v>24668</v>
      </c>
      <c r="O748" s="2" t="s">
        <v>29</v>
      </c>
      <c r="P748" s="2" t="s">
        <v>24669</v>
      </c>
      <c r="Q748" s="2" t="s">
        <v>24670</v>
      </c>
      <c r="R748" s="2" t="s">
        <v>794</v>
      </c>
      <c r="S748" s="2" t="s">
        <v>7122</v>
      </c>
      <c r="T748" s="2" t="s">
        <v>8460</v>
      </c>
      <c r="U748" s="2" t="s">
        <v>56</v>
      </c>
      <c r="V748" s="2" t="n">
        <v>1</v>
      </c>
    </row>
    <row r="749">
      <c r="A749" s="2" t="n">
        <v>748</v>
      </c>
      <c r="B749" s="2" t="s">
        <v>24671</v>
      </c>
      <c r="C749" s="2" t="n">
        <v>853.548156622</v>
      </c>
      <c r="D749" s="2" t="n">
        <v>4.4386100624873</v>
      </c>
      <c r="E749" s="2" t="s">
        <v>24672</v>
      </c>
      <c r="F749" s="2" t="s">
        <v>17892</v>
      </c>
      <c r="G749" s="2" t="s">
        <v>24673</v>
      </c>
      <c r="H749" s="2" t="s">
        <v>24674</v>
      </c>
      <c r="I749" s="2" t="s">
        <v>24675</v>
      </c>
      <c r="J749" s="2" t="s">
        <v>29</v>
      </c>
      <c r="K749" s="2" t="s">
        <v>29</v>
      </c>
      <c r="L749" s="2" t="s">
        <v>29</v>
      </c>
      <c r="M749" s="2" t="s">
        <v>29</v>
      </c>
      <c r="N749" s="2" t="s">
        <v>29</v>
      </c>
      <c r="O749" s="2" t="s">
        <v>29</v>
      </c>
      <c r="P749" s="2" t="s">
        <v>24676</v>
      </c>
      <c r="Q749" s="2" t="s">
        <v>24677</v>
      </c>
      <c r="R749" s="2" t="s">
        <v>36</v>
      </c>
      <c r="S749" s="2" t="s">
        <v>37</v>
      </c>
      <c r="T749" s="2" t="s">
        <v>69</v>
      </c>
      <c r="U749" s="2" t="s">
        <v>29</v>
      </c>
      <c r="V749" s="2" t="n">
        <v>1</v>
      </c>
    </row>
    <row r="750">
      <c r="A750" s="2" t="n">
        <v>749</v>
      </c>
      <c r="B750" s="2" t="s">
        <v>24678</v>
      </c>
      <c r="C750" s="2" t="n">
        <v>854.546048495</v>
      </c>
      <c r="D750" s="2" t="n">
        <v>5.77956098353336</v>
      </c>
      <c r="E750" s="2" t="s">
        <v>24679</v>
      </c>
      <c r="F750" s="2" t="s">
        <v>17406</v>
      </c>
      <c r="G750" s="2" t="s">
        <v>24680</v>
      </c>
      <c r="H750" s="2" t="s">
        <v>24681</v>
      </c>
      <c r="I750" s="2" t="s">
        <v>24682</v>
      </c>
      <c r="J750" s="2" t="s">
        <v>24683</v>
      </c>
      <c r="K750" s="2" t="s">
        <v>29</v>
      </c>
      <c r="L750" s="2" t="s">
        <v>9831</v>
      </c>
      <c r="M750" s="2" t="s">
        <v>29</v>
      </c>
      <c r="N750" s="2" t="s">
        <v>24684</v>
      </c>
      <c r="O750" s="2" t="s">
        <v>29</v>
      </c>
      <c r="P750" s="2" t="s">
        <v>24685</v>
      </c>
      <c r="Q750" s="2" t="s">
        <v>24686</v>
      </c>
      <c r="R750" s="2" t="s">
        <v>794</v>
      </c>
      <c r="S750" s="2" t="s">
        <v>7122</v>
      </c>
      <c r="T750" s="2" t="s">
        <v>8460</v>
      </c>
      <c r="U750" s="2" t="s">
        <v>101</v>
      </c>
      <c r="V750" s="2" t="n">
        <v>1</v>
      </c>
    </row>
    <row r="751">
      <c r="A751" s="2" t="n">
        <v>750</v>
      </c>
      <c r="B751" s="2" t="s">
        <v>24687</v>
      </c>
      <c r="C751" s="2" t="n">
        <v>855.551666825</v>
      </c>
      <c r="D751" s="2" t="n">
        <v>0.0801911896832066</v>
      </c>
      <c r="E751" s="2" t="s">
        <v>24688</v>
      </c>
      <c r="F751" s="2" t="s">
        <v>17039</v>
      </c>
      <c r="G751" s="2" t="s">
        <v>24689</v>
      </c>
      <c r="H751" s="2" t="s">
        <v>24690</v>
      </c>
      <c r="I751" s="2" t="s">
        <v>24691</v>
      </c>
      <c r="J751" s="2" t="s">
        <v>29</v>
      </c>
      <c r="K751" s="2" t="s">
        <v>29</v>
      </c>
      <c r="L751" s="2" t="s">
        <v>29</v>
      </c>
      <c r="M751" s="2" t="s">
        <v>29</v>
      </c>
      <c r="N751" s="2" t="s">
        <v>24692</v>
      </c>
      <c r="O751" s="2" t="s">
        <v>29</v>
      </c>
      <c r="P751" s="2" t="s">
        <v>24693</v>
      </c>
      <c r="Q751" s="2" t="s">
        <v>24694</v>
      </c>
      <c r="R751" s="2" t="s">
        <v>794</v>
      </c>
      <c r="S751" s="2" t="s">
        <v>7122</v>
      </c>
      <c r="T751" s="2" t="s">
        <v>10968</v>
      </c>
      <c r="U751" s="2" t="s">
        <v>29</v>
      </c>
      <c r="V751" s="2" t="n">
        <v>1</v>
      </c>
    </row>
    <row r="752">
      <c r="A752" s="2" t="n">
        <v>751</v>
      </c>
      <c r="B752" s="2" t="s">
        <v>24695</v>
      </c>
      <c r="C752" s="2" t="n">
        <v>858.573551257</v>
      </c>
      <c r="D752" s="2" t="n">
        <v>1.57651064938238</v>
      </c>
      <c r="E752" s="2" t="s">
        <v>24696</v>
      </c>
      <c r="F752" s="2" t="s">
        <v>17198</v>
      </c>
      <c r="G752" s="2" t="s">
        <v>24697</v>
      </c>
      <c r="H752" s="2" t="s">
        <v>24698</v>
      </c>
      <c r="I752" s="2" t="s">
        <v>24699</v>
      </c>
      <c r="J752" s="2" t="s">
        <v>24700</v>
      </c>
      <c r="K752" s="2" t="s">
        <v>29</v>
      </c>
      <c r="L752" s="2" t="s">
        <v>11453</v>
      </c>
      <c r="M752" s="2" t="s">
        <v>29</v>
      </c>
      <c r="N752" s="2" t="s">
        <v>24701</v>
      </c>
      <c r="O752" s="2" t="s">
        <v>24702</v>
      </c>
      <c r="P752" s="2" t="s">
        <v>24703</v>
      </c>
      <c r="Q752" s="2" t="s">
        <v>24704</v>
      </c>
      <c r="R752" s="2" t="s">
        <v>794</v>
      </c>
      <c r="S752" s="2" t="s">
        <v>7781</v>
      </c>
      <c r="T752" s="2" t="s">
        <v>11458</v>
      </c>
      <c r="U752" s="2" t="s">
        <v>101</v>
      </c>
      <c r="V752" s="2" t="n">
        <v>1</v>
      </c>
    </row>
    <row r="753">
      <c r="A753" s="2" t="n">
        <v>752</v>
      </c>
      <c r="B753" s="2" t="s">
        <v>24705</v>
      </c>
      <c r="C753" s="2" t="n">
        <v>859.569606904</v>
      </c>
      <c r="D753" s="2" t="n">
        <v>2.53999849245454</v>
      </c>
      <c r="E753" s="2" t="s">
        <v>24706</v>
      </c>
      <c r="F753" s="2" t="s">
        <v>17227</v>
      </c>
      <c r="G753" s="2" t="s">
        <v>24707</v>
      </c>
      <c r="H753" s="2" t="s">
        <v>24708</v>
      </c>
      <c r="I753" s="2" t="s">
        <v>24709</v>
      </c>
      <c r="J753" s="2" t="s">
        <v>29</v>
      </c>
      <c r="K753" s="2" t="s">
        <v>29</v>
      </c>
      <c r="L753" s="2" t="s">
        <v>29</v>
      </c>
      <c r="M753" s="2" t="s">
        <v>29</v>
      </c>
      <c r="N753" s="2" t="s">
        <v>24710</v>
      </c>
      <c r="O753" s="2" t="s">
        <v>29</v>
      </c>
      <c r="P753" s="2" t="s">
        <v>24711</v>
      </c>
      <c r="Q753" s="2" t="s">
        <v>24712</v>
      </c>
      <c r="R753" s="2" t="s">
        <v>114</v>
      </c>
      <c r="S753" s="2" t="s">
        <v>24713</v>
      </c>
      <c r="T753" s="2" t="s">
        <v>24714</v>
      </c>
      <c r="U753" s="2" t="s">
        <v>29</v>
      </c>
      <c r="V753" s="2" t="n">
        <v>1</v>
      </c>
    </row>
    <row r="754">
      <c r="A754" s="2" t="n">
        <v>753</v>
      </c>
      <c r="B754" s="2" t="s">
        <v>24715</v>
      </c>
      <c r="C754" s="2" t="n">
        <v>860.559455053</v>
      </c>
      <c r="D754" s="2" t="n">
        <v>8.61044894358439</v>
      </c>
      <c r="E754" s="2" t="s">
        <v>24716</v>
      </c>
      <c r="F754" s="2" t="s">
        <v>17039</v>
      </c>
      <c r="G754" s="2" t="s">
        <v>24717</v>
      </c>
      <c r="H754" s="2" t="s">
        <v>24718</v>
      </c>
      <c r="I754" s="2" t="s">
        <v>24719</v>
      </c>
      <c r="J754" s="2" t="s">
        <v>24720</v>
      </c>
      <c r="K754" s="2" t="s">
        <v>24721</v>
      </c>
      <c r="L754" s="2" t="s">
        <v>9831</v>
      </c>
      <c r="M754" s="2" t="s">
        <v>29</v>
      </c>
      <c r="N754" s="2" t="s">
        <v>24722</v>
      </c>
      <c r="O754" s="2" t="s">
        <v>29</v>
      </c>
      <c r="P754" s="2" t="s">
        <v>24723</v>
      </c>
      <c r="Q754" s="2" t="s">
        <v>24724</v>
      </c>
      <c r="R754" s="2" t="s">
        <v>794</v>
      </c>
      <c r="S754" s="2" t="s">
        <v>7122</v>
      </c>
      <c r="T754" s="2" t="s">
        <v>8460</v>
      </c>
      <c r="U754" s="2" t="s">
        <v>39</v>
      </c>
      <c r="V754" s="2" t="n">
        <v>1</v>
      </c>
    </row>
    <row r="755">
      <c r="A755" s="2" t="n">
        <v>754</v>
      </c>
      <c r="B755" s="2" t="s">
        <v>24725</v>
      </c>
      <c r="C755" s="2" t="n">
        <v>861.54875519</v>
      </c>
      <c r="D755" s="2" t="n">
        <v>4.65559751248768</v>
      </c>
      <c r="E755" s="2" t="s">
        <v>24726</v>
      </c>
      <c r="F755" s="2" t="s">
        <v>17137</v>
      </c>
      <c r="G755" s="2" t="s">
        <v>24727</v>
      </c>
      <c r="H755" s="2" t="s">
        <v>24728</v>
      </c>
      <c r="I755" s="2" t="s">
        <v>24729</v>
      </c>
      <c r="J755" s="2" t="s">
        <v>29</v>
      </c>
      <c r="K755" s="2" t="s">
        <v>29</v>
      </c>
      <c r="L755" s="2" t="s">
        <v>29</v>
      </c>
      <c r="M755" s="2" t="s">
        <v>24730</v>
      </c>
      <c r="N755" s="2" t="s">
        <v>29</v>
      </c>
      <c r="O755" s="2" t="s">
        <v>29</v>
      </c>
      <c r="P755" s="2" t="s">
        <v>24731</v>
      </c>
      <c r="Q755" s="2" t="s">
        <v>24732</v>
      </c>
      <c r="R755" s="2" t="s">
        <v>794</v>
      </c>
      <c r="S755" s="2" t="s">
        <v>7122</v>
      </c>
      <c r="T755" s="2" t="s">
        <v>9394</v>
      </c>
      <c r="U755" s="2" t="s">
        <v>29</v>
      </c>
      <c r="V755" s="2" t="n">
        <v>1</v>
      </c>
    </row>
    <row r="756">
      <c r="A756" s="2" t="n">
        <v>755</v>
      </c>
      <c r="B756" s="2" t="s">
        <v>24733</v>
      </c>
      <c r="C756" s="2" t="n">
        <v>862.559260778</v>
      </c>
      <c r="D756" s="2" t="n">
        <v>0.560714714055763</v>
      </c>
      <c r="E756" s="2" t="s">
        <v>24734</v>
      </c>
      <c r="F756" s="2" t="s">
        <v>17137</v>
      </c>
      <c r="G756" s="2" t="s">
        <v>24735</v>
      </c>
      <c r="H756" s="2" t="s">
        <v>24736</v>
      </c>
      <c r="I756" s="2" t="s">
        <v>24737</v>
      </c>
      <c r="J756" s="2" t="s">
        <v>24738</v>
      </c>
      <c r="K756" s="2" t="s">
        <v>24739</v>
      </c>
      <c r="L756" s="2" t="s">
        <v>29</v>
      </c>
      <c r="M756" s="2" t="s">
        <v>29</v>
      </c>
      <c r="N756" s="2" t="s">
        <v>24740</v>
      </c>
      <c r="O756" s="2" t="s">
        <v>29</v>
      </c>
      <c r="P756" s="2" t="s">
        <v>24741</v>
      </c>
      <c r="Q756" s="2" t="s">
        <v>24742</v>
      </c>
      <c r="R756" s="2" t="s">
        <v>794</v>
      </c>
      <c r="S756" s="2" t="s">
        <v>7122</v>
      </c>
      <c r="T756" s="2" t="s">
        <v>8876</v>
      </c>
      <c r="U756" s="2" t="s">
        <v>56</v>
      </c>
      <c r="V756" s="2" t="n">
        <v>1</v>
      </c>
    </row>
    <row r="757">
      <c r="A757" s="2" t="n">
        <v>756</v>
      </c>
      <c r="B757" s="2" t="s">
        <v>24743</v>
      </c>
      <c r="C757" s="2" t="n">
        <v>863.541622598</v>
      </c>
      <c r="D757" s="2" t="n">
        <v>9.52196227076415</v>
      </c>
      <c r="E757" s="2" t="s">
        <v>24744</v>
      </c>
      <c r="F757" s="2" t="s">
        <v>18382</v>
      </c>
      <c r="G757" s="2" t="s">
        <v>24745</v>
      </c>
      <c r="H757" s="2" t="s">
        <v>24746</v>
      </c>
      <c r="I757" s="2" t="s">
        <v>24747</v>
      </c>
      <c r="J757" s="2" t="s">
        <v>29</v>
      </c>
      <c r="K757" s="2" t="s">
        <v>29</v>
      </c>
      <c r="L757" s="2" t="s">
        <v>29</v>
      </c>
      <c r="M757" s="2" t="s">
        <v>29</v>
      </c>
      <c r="N757" s="2" t="s">
        <v>24748</v>
      </c>
      <c r="O757" s="2" t="s">
        <v>29</v>
      </c>
      <c r="P757" s="2" t="s">
        <v>24749</v>
      </c>
      <c r="Q757" s="2" t="s">
        <v>24750</v>
      </c>
      <c r="R757" s="2" t="s">
        <v>186</v>
      </c>
      <c r="S757" s="2" t="s">
        <v>187</v>
      </c>
      <c r="T757" s="2" t="s">
        <v>24751</v>
      </c>
      <c r="U757" s="2" t="s">
        <v>56</v>
      </c>
      <c r="V757" s="2" t="n">
        <v>1</v>
      </c>
    </row>
    <row r="758">
      <c r="A758" s="2" t="n">
        <v>757</v>
      </c>
      <c r="B758" s="2" t="s">
        <v>24752</v>
      </c>
      <c r="C758" s="2" t="n">
        <v>866.526032099</v>
      </c>
      <c r="D758" s="2" t="n">
        <v>0.653369967881353</v>
      </c>
      <c r="E758" s="2" t="s">
        <v>24753</v>
      </c>
      <c r="F758" s="2" t="s">
        <v>17137</v>
      </c>
      <c r="G758" s="2" t="s">
        <v>24754</v>
      </c>
      <c r="H758" s="2" t="s">
        <v>24755</v>
      </c>
      <c r="I758" s="2" t="s">
        <v>24756</v>
      </c>
      <c r="J758" s="2" t="s">
        <v>29</v>
      </c>
      <c r="K758" s="2" t="s">
        <v>29</v>
      </c>
      <c r="L758" s="2" t="s">
        <v>29</v>
      </c>
      <c r="M758" s="2" t="s">
        <v>29</v>
      </c>
      <c r="N758" s="2" t="s">
        <v>24757</v>
      </c>
      <c r="O758" s="2" t="s">
        <v>29</v>
      </c>
      <c r="P758" s="2" t="s">
        <v>24758</v>
      </c>
      <c r="Q758" s="2" t="s">
        <v>24759</v>
      </c>
      <c r="R758" s="2" t="s">
        <v>1355</v>
      </c>
      <c r="S758" s="2" t="s">
        <v>6478</v>
      </c>
      <c r="T758" s="2" t="s">
        <v>215</v>
      </c>
      <c r="U758" s="2" t="s">
        <v>29</v>
      </c>
      <c r="V758" s="2" t="n">
        <v>1</v>
      </c>
    </row>
    <row r="759">
      <c r="A759" s="2" t="n">
        <v>758</v>
      </c>
      <c r="B759" s="2" t="s">
        <v>24760</v>
      </c>
      <c r="C759" s="2" t="n">
        <v>868.525313053</v>
      </c>
      <c r="D759" s="2" t="n">
        <v>1.10642483055184</v>
      </c>
      <c r="E759" s="2" t="s">
        <v>24761</v>
      </c>
      <c r="F759" s="2" t="s">
        <v>17406</v>
      </c>
      <c r="G759" s="2" t="s">
        <v>24762</v>
      </c>
      <c r="H759" s="2" t="s">
        <v>24763</v>
      </c>
      <c r="I759" s="2" t="s">
        <v>24764</v>
      </c>
      <c r="J759" s="2" t="s">
        <v>24765</v>
      </c>
      <c r="K759" s="2" t="s">
        <v>24766</v>
      </c>
      <c r="L759" s="2" t="s">
        <v>9831</v>
      </c>
      <c r="M759" s="2" t="s">
        <v>29</v>
      </c>
      <c r="N759" s="2" t="s">
        <v>24767</v>
      </c>
      <c r="O759" s="2" t="s">
        <v>29</v>
      </c>
      <c r="P759" s="2" t="s">
        <v>24768</v>
      </c>
      <c r="Q759" s="2" t="s">
        <v>24769</v>
      </c>
      <c r="R759" s="2" t="s">
        <v>794</v>
      </c>
      <c r="S759" s="2" t="s">
        <v>7122</v>
      </c>
      <c r="T759" s="2" t="s">
        <v>8460</v>
      </c>
      <c r="U759" s="2" t="s">
        <v>39</v>
      </c>
      <c r="V759" s="2" t="n">
        <v>1</v>
      </c>
    </row>
    <row r="760">
      <c r="A760" s="2" t="n">
        <v>759</v>
      </c>
      <c r="B760" s="2" t="s">
        <v>24770</v>
      </c>
      <c r="C760" s="2" t="n">
        <v>869.525697762</v>
      </c>
      <c r="D760" s="2" t="n">
        <v>0.672656751338917</v>
      </c>
      <c r="E760" s="2" t="s">
        <v>24771</v>
      </c>
      <c r="F760" s="2" t="s">
        <v>17137</v>
      </c>
      <c r="G760" s="2" t="s">
        <v>24772</v>
      </c>
      <c r="H760" s="2" t="s">
        <v>24773</v>
      </c>
      <c r="I760" s="2" t="s">
        <v>24774</v>
      </c>
      <c r="J760" s="2" t="s">
        <v>24775</v>
      </c>
      <c r="K760" s="2" t="s">
        <v>29</v>
      </c>
      <c r="L760" s="2" t="s">
        <v>29</v>
      </c>
      <c r="M760" s="2" t="s">
        <v>29</v>
      </c>
      <c r="N760" s="2" t="s">
        <v>24776</v>
      </c>
      <c r="O760" s="2" t="s">
        <v>24777</v>
      </c>
      <c r="P760" s="2" t="s">
        <v>24778</v>
      </c>
      <c r="Q760" s="2" t="s">
        <v>24779</v>
      </c>
      <c r="R760" s="2" t="s">
        <v>794</v>
      </c>
      <c r="S760" s="2" t="s">
        <v>1098</v>
      </c>
      <c r="T760" s="2" t="s">
        <v>7646</v>
      </c>
      <c r="U760" s="2" t="s">
        <v>29</v>
      </c>
      <c r="V760" s="2" t="n">
        <v>1</v>
      </c>
    </row>
    <row r="761">
      <c r="A761" s="2" t="n">
        <v>760</v>
      </c>
      <c r="B761" s="2" t="s">
        <v>24780</v>
      </c>
      <c r="C761" s="2" t="n">
        <v>869.699383081</v>
      </c>
      <c r="D761" s="2" t="n">
        <v>0.754924094135117</v>
      </c>
      <c r="E761" s="2" t="s">
        <v>24781</v>
      </c>
      <c r="F761" s="2" t="s">
        <v>17137</v>
      </c>
      <c r="G761" s="2" t="s">
        <v>24782</v>
      </c>
      <c r="H761" s="2" t="s">
        <v>24783</v>
      </c>
      <c r="I761" s="2" t="s">
        <v>24784</v>
      </c>
      <c r="J761" s="2" t="s">
        <v>29</v>
      </c>
      <c r="K761" s="2" t="s">
        <v>29</v>
      </c>
      <c r="L761" s="2" t="s">
        <v>29</v>
      </c>
      <c r="M761" s="2" t="s">
        <v>29</v>
      </c>
      <c r="N761" s="2" t="s">
        <v>24785</v>
      </c>
      <c r="O761" s="2" t="s">
        <v>29</v>
      </c>
      <c r="P761" s="2" t="s">
        <v>24786</v>
      </c>
      <c r="Q761" s="2" t="s">
        <v>24787</v>
      </c>
      <c r="R761" s="2" t="s">
        <v>794</v>
      </c>
      <c r="S761" s="2" t="s">
        <v>7122</v>
      </c>
      <c r="T761" s="2" t="s">
        <v>7123</v>
      </c>
      <c r="U761" s="2" t="s">
        <v>29</v>
      </c>
      <c r="V761" s="2" t="n">
        <v>1</v>
      </c>
    </row>
    <row r="762">
      <c r="A762" s="2" t="n">
        <v>761</v>
      </c>
      <c r="B762" s="2" t="s">
        <v>24788</v>
      </c>
      <c r="C762" s="2" t="n">
        <v>870.540963117</v>
      </c>
      <c r="D762" s="2" t="n">
        <v>0.917383496168833</v>
      </c>
      <c r="E762" s="2" t="s">
        <v>24789</v>
      </c>
      <c r="F762" s="2" t="s">
        <v>17406</v>
      </c>
      <c r="G762" s="2" t="s">
        <v>24790</v>
      </c>
      <c r="H762" s="2" t="s">
        <v>24791</v>
      </c>
      <c r="I762" s="2" t="s">
        <v>24792</v>
      </c>
      <c r="J762" s="2" t="s">
        <v>24793</v>
      </c>
      <c r="K762" s="2" t="s">
        <v>24794</v>
      </c>
      <c r="L762" s="2" t="s">
        <v>9831</v>
      </c>
      <c r="M762" s="2" t="s">
        <v>24795</v>
      </c>
      <c r="N762" s="2" t="s">
        <v>24796</v>
      </c>
      <c r="O762" s="2" t="s">
        <v>29</v>
      </c>
      <c r="P762" s="2" t="s">
        <v>24797</v>
      </c>
      <c r="Q762" s="2" t="s">
        <v>24798</v>
      </c>
      <c r="R762" s="2" t="s">
        <v>794</v>
      </c>
      <c r="S762" s="2" t="s">
        <v>7122</v>
      </c>
      <c r="T762" s="2" t="s">
        <v>8460</v>
      </c>
      <c r="U762" s="2" t="s">
        <v>39</v>
      </c>
      <c r="V762" s="2" t="n">
        <v>1</v>
      </c>
    </row>
    <row r="763">
      <c r="A763" s="2" t="n">
        <v>762</v>
      </c>
      <c r="B763" s="2" t="s">
        <v>24799</v>
      </c>
      <c r="C763" s="2" t="n">
        <v>872.556613181</v>
      </c>
      <c r="D763" s="2" t="n">
        <v>5.38222581136741</v>
      </c>
      <c r="E763" s="2" t="s">
        <v>24800</v>
      </c>
      <c r="F763" s="2" t="s">
        <v>17406</v>
      </c>
      <c r="G763" s="2" t="s">
        <v>24801</v>
      </c>
      <c r="H763" s="2" t="s">
        <v>24802</v>
      </c>
      <c r="I763" s="2" t="s">
        <v>24803</v>
      </c>
      <c r="J763" s="2" t="s">
        <v>24804</v>
      </c>
      <c r="K763" s="2" t="s">
        <v>24805</v>
      </c>
      <c r="L763" s="2" t="s">
        <v>9831</v>
      </c>
      <c r="M763" s="2" t="s">
        <v>24806</v>
      </c>
      <c r="N763" s="2" t="s">
        <v>24807</v>
      </c>
      <c r="O763" s="2" t="s">
        <v>29</v>
      </c>
      <c r="P763" s="2" t="s">
        <v>24808</v>
      </c>
      <c r="Q763" s="2" t="s">
        <v>24809</v>
      </c>
      <c r="R763" s="2" t="s">
        <v>794</v>
      </c>
      <c r="S763" s="2" t="s">
        <v>7122</v>
      </c>
      <c r="T763" s="2" t="s">
        <v>8460</v>
      </c>
      <c r="U763" s="2" t="s">
        <v>39</v>
      </c>
      <c r="V763" s="2" t="n">
        <v>1</v>
      </c>
    </row>
    <row r="764">
      <c r="A764" s="2" t="n">
        <v>763</v>
      </c>
      <c r="B764" s="2" t="s">
        <v>24810</v>
      </c>
      <c r="C764" s="2" t="n">
        <v>875.579777664</v>
      </c>
      <c r="D764" s="2" t="n">
        <v>9.30373607531591</v>
      </c>
      <c r="E764" s="2" t="s">
        <v>24811</v>
      </c>
      <c r="F764" s="2" t="s">
        <v>17227</v>
      </c>
      <c r="G764" s="2" t="s">
        <v>24812</v>
      </c>
      <c r="H764" s="2" t="s">
        <v>24813</v>
      </c>
      <c r="I764" s="2" t="s">
        <v>24814</v>
      </c>
      <c r="J764" s="2" t="s">
        <v>29</v>
      </c>
      <c r="K764" s="2" t="s">
        <v>29</v>
      </c>
      <c r="L764" s="2" t="s">
        <v>29</v>
      </c>
      <c r="M764" s="2" t="s">
        <v>24815</v>
      </c>
      <c r="N764" s="2" t="s">
        <v>24816</v>
      </c>
      <c r="O764" s="2" t="s">
        <v>29</v>
      </c>
      <c r="P764" s="2" t="s">
        <v>24817</v>
      </c>
      <c r="Q764" s="2" t="s">
        <v>24818</v>
      </c>
      <c r="R764" s="2" t="s">
        <v>794</v>
      </c>
      <c r="S764" s="2" t="s">
        <v>1098</v>
      </c>
      <c r="T764" s="2" t="s">
        <v>3079</v>
      </c>
      <c r="U764" s="2" t="s">
        <v>56</v>
      </c>
      <c r="V764" s="2" t="n">
        <v>1</v>
      </c>
    </row>
    <row r="765">
      <c r="A765" s="2" t="n">
        <v>764</v>
      </c>
      <c r="B765" s="2" t="s">
        <v>24819</v>
      </c>
      <c r="C765" s="2" t="n">
        <v>876.564527751</v>
      </c>
      <c r="D765" s="2" t="n">
        <v>2.99200437241393</v>
      </c>
      <c r="E765" s="2" t="s">
        <v>24820</v>
      </c>
      <c r="F765" s="2" t="s">
        <v>17520</v>
      </c>
      <c r="G765" s="2" t="s">
        <v>24821</v>
      </c>
      <c r="H765" s="2" t="s">
        <v>24822</v>
      </c>
      <c r="I765" s="2" t="s">
        <v>24823</v>
      </c>
      <c r="J765" s="2" t="s">
        <v>24824</v>
      </c>
      <c r="K765" s="2" t="s">
        <v>29</v>
      </c>
      <c r="L765" s="2" t="s">
        <v>9831</v>
      </c>
      <c r="M765" s="2" t="s">
        <v>29</v>
      </c>
      <c r="N765" s="2" t="s">
        <v>24825</v>
      </c>
      <c r="O765" s="2" t="s">
        <v>29</v>
      </c>
      <c r="P765" s="2" t="s">
        <v>24826</v>
      </c>
      <c r="Q765" s="2" t="s">
        <v>24827</v>
      </c>
      <c r="R765" s="2" t="s">
        <v>794</v>
      </c>
      <c r="S765" s="2" t="s">
        <v>7122</v>
      </c>
      <c r="T765" s="2" t="s">
        <v>8460</v>
      </c>
      <c r="U765" s="2" t="s">
        <v>56</v>
      </c>
      <c r="V765" s="2" t="n">
        <v>1</v>
      </c>
    </row>
    <row r="766">
      <c r="A766" s="2" t="n">
        <v>765</v>
      </c>
      <c r="B766" s="2" t="s">
        <v>24828</v>
      </c>
      <c r="C766" s="2" t="n">
        <v>877.556556484</v>
      </c>
      <c r="D766" s="2" t="n">
        <v>1.27195049984461</v>
      </c>
      <c r="E766" s="2" t="s">
        <v>24829</v>
      </c>
      <c r="F766" s="2" t="s">
        <v>18382</v>
      </c>
      <c r="G766" s="2" t="s">
        <v>24830</v>
      </c>
      <c r="H766" s="2" t="s">
        <v>24831</v>
      </c>
      <c r="I766" s="2" t="s">
        <v>24832</v>
      </c>
      <c r="J766" s="2" t="s">
        <v>29</v>
      </c>
      <c r="K766" s="2" t="s">
        <v>29</v>
      </c>
      <c r="L766" s="2" t="s">
        <v>29</v>
      </c>
      <c r="M766" s="2" t="s">
        <v>29</v>
      </c>
      <c r="N766" s="2" t="s">
        <v>24833</v>
      </c>
      <c r="O766" s="2" t="s">
        <v>29</v>
      </c>
      <c r="P766" s="2" t="s">
        <v>24834</v>
      </c>
      <c r="Q766" s="2" t="s">
        <v>24835</v>
      </c>
      <c r="R766" s="2" t="s">
        <v>794</v>
      </c>
      <c r="S766" s="2" t="s">
        <v>7122</v>
      </c>
      <c r="T766" s="2" t="s">
        <v>7123</v>
      </c>
      <c r="U766" s="2" t="s">
        <v>56</v>
      </c>
      <c r="V766" s="2" t="n">
        <v>1</v>
      </c>
    </row>
    <row r="767">
      <c r="A767" s="2" t="n">
        <v>766</v>
      </c>
      <c r="B767" s="2" t="s">
        <v>24836</v>
      </c>
      <c r="C767" s="2" t="n">
        <v>878.530792842</v>
      </c>
      <c r="D767" s="2" t="n">
        <v>7.83736760781148</v>
      </c>
      <c r="E767" s="2" t="s">
        <v>24837</v>
      </c>
      <c r="F767" s="2" t="s">
        <v>17406</v>
      </c>
      <c r="G767" s="2" t="s">
        <v>24838</v>
      </c>
      <c r="H767" s="2" t="s">
        <v>24839</v>
      </c>
      <c r="I767" s="2" t="s">
        <v>24840</v>
      </c>
      <c r="J767" s="2" t="s">
        <v>24841</v>
      </c>
      <c r="K767" s="2" t="s">
        <v>24842</v>
      </c>
      <c r="L767" s="2" t="s">
        <v>29</v>
      </c>
      <c r="M767" s="2" t="s">
        <v>24843</v>
      </c>
      <c r="N767" s="2" t="s">
        <v>24844</v>
      </c>
      <c r="O767" s="2" t="s">
        <v>29</v>
      </c>
      <c r="P767" s="2" t="s">
        <v>24845</v>
      </c>
      <c r="Q767" s="2" t="s">
        <v>24846</v>
      </c>
      <c r="R767" s="2" t="s">
        <v>794</v>
      </c>
      <c r="S767" s="2" t="s">
        <v>7122</v>
      </c>
      <c r="T767" s="2" t="s">
        <v>8876</v>
      </c>
      <c r="U767" s="2" t="s">
        <v>39</v>
      </c>
      <c r="V767" s="2" t="n">
        <v>1</v>
      </c>
    </row>
    <row r="768">
      <c r="A768" s="2" t="n">
        <v>767</v>
      </c>
      <c r="B768" s="2" t="s">
        <v>24847</v>
      </c>
      <c r="C768" s="2" t="n">
        <v>879.538928974</v>
      </c>
      <c r="D768" s="2" t="n">
        <v>6.96028810046924</v>
      </c>
      <c r="E768" s="2" t="s">
        <v>24848</v>
      </c>
      <c r="F768" s="2" t="s">
        <v>17227</v>
      </c>
      <c r="G768" s="2" t="s">
        <v>24849</v>
      </c>
      <c r="H768" s="2" t="s">
        <v>24850</v>
      </c>
      <c r="I768" s="2" t="s">
        <v>24851</v>
      </c>
      <c r="J768" s="2" t="s">
        <v>24852</v>
      </c>
      <c r="K768" s="2" t="s">
        <v>29</v>
      </c>
      <c r="L768" s="2" t="s">
        <v>29</v>
      </c>
      <c r="M768" s="2" t="s">
        <v>29</v>
      </c>
      <c r="N768" s="2" t="s">
        <v>24853</v>
      </c>
      <c r="O768" s="2" t="s">
        <v>29</v>
      </c>
      <c r="P768" s="2" t="s">
        <v>24854</v>
      </c>
      <c r="Q768" s="2" t="s">
        <v>24855</v>
      </c>
      <c r="R768" s="2" t="s">
        <v>36</v>
      </c>
      <c r="S768" s="2" t="s">
        <v>2572</v>
      </c>
      <c r="T768" s="2" t="s">
        <v>2637</v>
      </c>
      <c r="U768" s="2" t="s">
        <v>29</v>
      </c>
      <c r="V768" s="2" t="n">
        <v>1</v>
      </c>
    </row>
    <row r="769">
      <c r="A769" s="2" t="n">
        <v>768</v>
      </c>
      <c r="B769" s="2" t="s">
        <v>24856</v>
      </c>
      <c r="C769" s="2" t="n">
        <v>881.5422913</v>
      </c>
      <c r="D769" s="2" t="n">
        <v>0.324736213134681</v>
      </c>
      <c r="E769" s="2" t="s">
        <v>24857</v>
      </c>
      <c r="F769" s="2" t="s">
        <v>18382</v>
      </c>
      <c r="G769" s="2" t="s">
        <v>24858</v>
      </c>
      <c r="H769" s="2" t="s">
        <v>24859</v>
      </c>
      <c r="I769" s="2" t="s">
        <v>24860</v>
      </c>
      <c r="J769" s="2" t="s">
        <v>24861</v>
      </c>
      <c r="K769" s="2" t="s">
        <v>195</v>
      </c>
      <c r="L769" s="2" t="s">
        <v>195</v>
      </c>
      <c r="M769" s="2" t="s">
        <v>24862</v>
      </c>
      <c r="N769" s="2" t="s">
        <v>24863</v>
      </c>
      <c r="O769" s="2" t="s">
        <v>24864</v>
      </c>
      <c r="P769" s="2" t="s">
        <v>24865</v>
      </c>
      <c r="Q769" s="2" t="s">
        <v>24866</v>
      </c>
      <c r="R769" s="2" t="s">
        <v>2520</v>
      </c>
      <c r="S769" s="2" t="s">
        <v>2521</v>
      </c>
      <c r="T769" s="2" t="s">
        <v>24867</v>
      </c>
      <c r="U769" s="2" t="s">
        <v>56</v>
      </c>
      <c r="V769" s="2" t="n">
        <v>3</v>
      </c>
    </row>
    <row r="770">
      <c r="A770" s="2" t="n">
        <v>769</v>
      </c>
      <c r="B770" s="2" t="s">
        <v>24868</v>
      </c>
      <c r="C770" s="2" t="n">
        <v>882.549090018</v>
      </c>
      <c r="D770" s="2" t="n">
        <v>5.37815963711239</v>
      </c>
      <c r="E770" s="2" t="s">
        <v>24869</v>
      </c>
      <c r="F770" s="2" t="s">
        <v>17137</v>
      </c>
      <c r="G770" s="2" t="s">
        <v>24870</v>
      </c>
      <c r="H770" s="2" t="s">
        <v>24871</v>
      </c>
      <c r="I770" s="2" t="s">
        <v>24872</v>
      </c>
      <c r="J770" s="2" t="s">
        <v>195</v>
      </c>
      <c r="K770" s="2" t="s">
        <v>195</v>
      </c>
      <c r="L770" s="2" t="s">
        <v>195</v>
      </c>
      <c r="M770" s="2" t="s">
        <v>195</v>
      </c>
      <c r="N770" s="2" t="s">
        <v>195</v>
      </c>
      <c r="O770" s="2" t="s">
        <v>195</v>
      </c>
      <c r="P770" s="2" t="s">
        <v>24873</v>
      </c>
      <c r="Q770" s="2" t="s">
        <v>24874</v>
      </c>
      <c r="R770" s="2" t="s">
        <v>255</v>
      </c>
      <c r="S770" s="2" t="s">
        <v>11047</v>
      </c>
      <c r="T770" s="2" t="s">
        <v>11048</v>
      </c>
      <c r="U770" s="2" t="s">
        <v>56</v>
      </c>
      <c r="V770" s="2" t="n">
        <v>3</v>
      </c>
    </row>
    <row r="771">
      <c r="A771" s="2" t="n">
        <v>770</v>
      </c>
      <c r="B771" s="2" t="s">
        <v>24875</v>
      </c>
      <c r="C771" s="2" t="n">
        <v>884.500211293</v>
      </c>
      <c r="D771" s="2" t="n">
        <v>1.81310816611354</v>
      </c>
      <c r="E771" s="2" t="s">
        <v>24876</v>
      </c>
      <c r="F771" s="2" t="s">
        <v>17137</v>
      </c>
      <c r="G771" s="2" t="s">
        <v>24877</v>
      </c>
      <c r="H771" s="2" t="s">
        <v>24878</v>
      </c>
      <c r="I771" s="2" t="s">
        <v>24879</v>
      </c>
      <c r="J771" s="2" t="s">
        <v>29</v>
      </c>
      <c r="K771" s="2" t="s">
        <v>29</v>
      </c>
      <c r="L771" s="2" t="s">
        <v>29</v>
      </c>
      <c r="M771" s="2" t="s">
        <v>29</v>
      </c>
      <c r="N771" s="2" t="s">
        <v>24880</v>
      </c>
      <c r="O771" s="2" t="s">
        <v>24881</v>
      </c>
      <c r="P771" s="2" t="s">
        <v>24882</v>
      </c>
      <c r="Q771" s="2" t="s">
        <v>24883</v>
      </c>
      <c r="R771" s="2" t="s">
        <v>794</v>
      </c>
      <c r="S771" s="2" t="s">
        <v>2971</v>
      </c>
      <c r="T771" s="2" t="s">
        <v>11733</v>
      </c>
      <c r="U771" s="2" t="s">
        <v>56</v>
      </c>
      <c r="V771" s="2" t="n">
        <v>1</v>
      </c>
    </row>
    <row r="772">
      <c r="A772" s="2" t="n">
        <v>771</v>
      </c>
      <c r="B772" s="2" t="s">
        <v>24884</v>
      </c>
      <c r="C772" s="2" t="n">
        <v>888.551373538</v>
      </c>
      <c r="D772" s="2" t="n">
        <v>9.76749433534017</v>
      </c>
      <c r="E772" s="2" t="s">
        <v>24885</v>
      </c>
      <c r="F772" s="2" t="s">
        <v>17198</v>
      </c>
      <c r="G772" s="2" t="s">
        <v>24886</v>
      </c>
      <c r="H772" s="2" t="s">
        <v>24887</v>
      </c>
      <c r="I772" s="2" t="s">
        <v>24888</v>
      </c>
      <c r="J772" s="2" t="s">
        <v>29</v>
      </c>
      <c r="K772" s="2" t="s">
        <v>29</v>
      </c>
      <c r="L772" s="2" t="s">
        <v>29</v>
      </c>
      <c r="M772" s="2" t="s">
        <v>29</v>
      </c>
      <c r="N772" s="2" t="s">
        <v>24889</v>
      </c>
      <c r="O772" s="2" t="s">
        <v>29</v>
      </c>
      <c r="P772" s="2" t="s">
        <v>24890</v>
      </c>
      <c r="Q772" s="2" t="s">
        <v>24891</v>
      </c>
      <c r="R772" s="2" t="s">
        <v>794</v>
      </c>
      <c r="S772" s="2" t="s">
        <v>7122</v>
      </c>
      <c r="T772" s="2" t="s">
        <v>8042</v>
      </c>
      <c r="U772" s="2" t="s">
        <v>29</v>
      </c>
      <c r="V772" s="2" t="n">
        <v>1</v>
      </c>
    </row>
    <row r="773">
      <c r="A773" s="2" t="n">
        <v>772</v>
      </c>
      <c r="B773" s="2" t="s">
        <v>24892</v>
      </c>
      <c r="C773" s="2" t="n">
        <v>892.51695167</v>
      </c>
      <c r="D773" s="2" t="n">
        <v>1.68939301297771</v>
      </c>
      <c r="E773" s="2" t="s">
        <v>24893</v>
      </c>
      <c r="F773" s="2" t="s">
        <v>17406</v>
      </c>
      <c r="G773" s="2" t="s">
        <v>24894</v>
      </c>
      <c r="H773" s="2" t="s">
        <v>24895</v>
      </c>
      <c r="I773" s="2" t="s">
        <v>24896</v>
      </c>
      <c r="J773" s="2" t="s">
        <v>29</v>
      </c>
      <c r="K773" s="2" t="s">
        <v>29</v>
      </c>
      <c r="L773" s="2" t="s">
        <v>29</v>
      </c>
      <c r="M773" s="2" t="s">
        <v>29</v>
      </c>
      <c r="N773" s="2" t="s">
        <v>24897</v>
      </c>
      <c r="O773" s="2" t="s">
        <v>29</v>
      </c>
      <c r="P773" s="2" t="s">
        <v>24898</v>
      </c>
      <c r="Q773" s="2" t="s">
        <v>24899</v>
      </c>
      <c r="R773" s="2" t="s">
        <v>36</v>
      </c>
      <c r="S773" s="2" t="s">
        <v>37</v>
      </c>
      <c r="T773" s="2" t="s">
        <v>69</v>
      </c>
      <c r="U773" s="2" t="s">
        <v>29</v>
      </c>
      <c r="V773" s="2" t="n">
        <v>1</v>
      </c>
    </row>
    <row r="774">
      <c r="A774" s="2" t="n">
        <v>773</v>
      </c>
      <c r="B774" s="2" t="s">
        <v>24900</v>
      </c>
      <c r="C774" s="2" t="n">
        <v>893.515791236</v>
      </c>
      <c r="D774" s="2" t="n">
        <v>0.075284695662599</v>
      </c>
      <c r="E774" s="2" t="s">
        <v>24901</v>
      </c>
      <c r="F774" s="2" t="s">
        <v>18382</v>
      </c>
      <c r="G774" s="2" t="s">
        <v>24902</v>
      </c>
      <c r="H774" s="2" t="s">
        <v>24903</v>
      </c>
      <c r="I774" s="2" t="s">
        <v>24904</v>
      </c>
      <c r="J774" s="2" t="s">
        <v>29</v>
      </c>
      <c r="K774" s="2" t="s">
        <v>29</v>
      </c>
      <c r="L774" s="2" t="s">
        <v>29</v>
      </c>
      <c r="M774" s="2" t="s">
        <v>29</v>
      </c>
      <c r="N774" s="2" t="s">
        <v>29</v>
      </c>
      <c r="O774" s="2" t="s">
        <v>29</v>
      </c>
      <c r="P774" s="2" t="s">
        <v>24905</v>
      </c>
      <c r="Q774" s="2" t="s">
        <v>24906</v>
      </c>
      <c r="R774" s="2" t="s">
        <v>114</v>
      </c>
      <c r="S774" s="2" t="s">
        <v>1038</v>
      </c>
      <c r="T774" s="2" t="s">
        <v>1039</v>
      </c>
      <c r="U774" s="2" t="s">
        <v>29</v>
      </c>
      <c r="V774" s="2" t="n">
        <v>1</v>
      </c>
    </row>
    <row r="775">
      <c r="A775" s="2" t="n">
        <v>774</v>
      </c>
      <c r="B775" s="2" t="s">
        <v>24907</v>
      </c>
      <c r="C775" s="2" t="n">
        <v>893.699498868</v>
      </c>
      <c r="D775" s="2" t="n">
        <v>1.20037866411102</v>
      </c>
      <c r="E775" s="2" t="s">
        <v>24908</v>
      </c>
      <c r="F775" s="2" t="s">
        <v>17406</v>
      </c>
      <c r="G775" s="2" t="s">
        <v>24909</v>
      </c>
      <c r="H775" s="2" t="s">
        <v>24910</v>
      </c>
      <c r="I775" s="2" t="s">
        <v>24911</v>
      </c>
      <c r="J775" s="2" t="s">
        <v>24912</v>
      </c>
      <c r="K775" s="2" t="s">
        <v>91</v>
      </c>
      <c r="L775" s="2" t="s">
        <v>91</v>
      </c>
      <c r="M775" s="2" t="s">
        <v>91</v>
      </c>
      <c r="N775" s="2" t="s">
        <v>24913</v>
      </c>
      <c r="O775" s="2" t="s">
        <v>24914</v>
      </c>
      <c r="P775" s="2" t="s">
        <v>24915</v>
      </c>
      <c r="Q775" s="2" t="s">
        <v>24916</v>
      </c>
      <c r="R775" s="2" t="s">
        <v>412</v>
      </c>
      <c r="S775" s="2" t="s">
        <v>8907</v>
      </c>
      <c r="T775" s="2" t="s">
        <v>8908</v>
      </c>
      <c r="U775" s="2" t="s">
        <v>56</v>
      </c>
      <c r="V775" s="2" t="n">
        <v>2</v>
      </c>
    </row>
    <row r="776">
      <c r="A776" s="2" t="n">
        <v>775</v>
      </c>
      <c r="B776" s="2" t="s">
        <v>24917</v>
      </c>
      <c r="C776" s="2" t="n">
        <v>894.512388145</v>
      </c>
      <c r="D776" s="2" t="n">
        <v>9.62981246399902</v>
      </c>
      <c r="E776" s="2" t="s">
        <v>24918</v>
      </c>
      <c r="F776" s="2" t="s">
        <v>17137</v>
      </c>
      <c r="G776" s="2" t="s">
        <v>24919</v>
      </c>
      <c r="H776" s="2" t="s">
        <v>24920</v>
      </c>
      <c r="I776" s="2" t="s">
        <v>24921</v>
      </c>
      <c r="J776" s="2" t="s">
        <v>29</v>
      </c>
      <c r="K776" s="2" t="s">
        <v>29</v>
      </c>
      <c r="L776" s="2" t="s">
        <v>29</v>
      </c>
      <c r="M776" s="2" t="s">
        <v>29</v>
      </c>
      <c r="N776" s="2" t="s">
        <v>24922</v>
      </c>
      <c r="O776" s="2" t="s">
        <v>29</v>
      </c>
      <c r="P776" s="2" t="s">
        <v>24923</v>
      </c>
      <c r="Q776" s="2" t="s">
        <v>24924</v>
      </c>
      <c r="R776" s="2" t="s">
        <v>36</v>
      </c>
      <c r="S776" s="2" t="s">
        <v>37</v>
      </c>
      <c r="T776" s="2" t="s">
        <v>69</v>
      </c>
      <c r="U776" s="2" t="s">
        <v>29</v>
      </c>
      <c r="V776" s="2" t="n">
        <v>1</v>
      </c>
    </row>
    <row r="777">
      <c r="A777" s="2" t="n">
        <v>776</v>
      </c>
      <c r="B777" s="2" t="s">
        <v>24925</v>
      </c>
      <c r="C777" s="2" t="n">
        <v>894.694631565</v>
      </c>
      <c r="D777" s="2" t="n">
        <v>7.39319423070482</v>
      </c>
      <c r="E777" s="2" t="s">
        <v>24926</v>
      </c>
      <c r="F777" s="2" t="s">
        <v>17137</v>
      </c>
      <c r="G777" s="2" t="s">
        <v>24927</v>
      </c>
      <c r="H777" s="2" t="s">
        <v>24928</v>
      </c>
      <c r="I777" s="2" t="s">
        <v>24929</v>
      </c>
      <c r="J777" s="2" t="s">
        <v>24930</v>
      </c>
      <c r="K777" s="2" t="s">
        <v>29</v>
      </c>
      <c r="L777" s="2" t="s">
        <v>9831</v>
      </c>
      <c r="M777" s="2" t="s">
        <v>29</v>
      </c>
      <c r="N777" s="2" t="s">
        <v>24931</v>
      </c>
      <c r="O777" s="2" t="s">
        <v>29</v>
      </c>
      <c r="P777" s="2" t="s">
        <v>24932</v>
      </c>
      <c r="Q777" s="2" t="s">
        <v>24933</v>
      </c>
      <c r="R777" s="2" t="s">
        <v>794</v>
      </c>
      <c r="S777" s="2" t="s">
        <v>7122</v>
      </c>
      <c r="T777" s="2" t="s">
        <v>8460</v>
      </c>
      <c r="U777" s="2" t="s">
        <v>101</v>
      </c>
      <c r="V777" s="2" t="n">
        <v>1</v>
      </c>
    </row>
    <row r="778">
      <c r="A778" s="2" t="n">
        <v>777</v>
      </c>
      <c r="B778" s="2" t="s">
        <v>24934</v>
      </c>
      <c r="C778" s="2" t="n">
        <v>895.523683756</v>
      </c>
      <c r="D778" s="2" t="n">
        <v>5.36467167716078</v>
      </c>
      <c r="E778" s="2" t="s">
        <v>24935</v>
      </c>
      <c r="F778" s="2" t="s">
        <v>17892</v>
      </c>
      <c r="G778" s="2" t="s">
        <v>24936</v>
      </c>
      <c r="H778" s="2" t="s">
        <v>24937</v>
      </c>
      <c r="I778" s="2" t="s">
        <v>24938</v>
      </c>
      <c r="J778" s="2" t="s">
        <v>24939</v>
      </c>
      <c r="K778" s="2" t="s">
        <v>29</v>
      </c>
      <c r="L778" s="2" t="s">
        <v>29</v>
      </c>
      <c r="M778" s="2" t="s">
        <v>24940</v>
      </c>
      <c r="N778" s="2" t="s">
        <v>24941</v>
      </c>
      <c r="O778" s="2" t="s">
        <v>29</v>
      </c>
      <c r="P778" s="2" t="s">
        <v>24942</v>
      </c>
      <c r="Q778" s="2" t="s">
        <v>24943</v>
      </c>
      <c r="R778" s="2" t="s">
        <v>794</v>
      </c>
      <c r="S778" s="2" t="s">
        <v>795</v>
      </c>
      <c r="T778" s="2" t="s">
        <v>3273</v>
      </c>
      <c r="U778" s="2" t="s">
        <v>56</v>
      </c>
      <c r="V778" s="2" t="n">
        <v>1</v>
      </c>
    </row>
    <row r="779">
      <c r="A779" s="2" t="n">
        <v>778</v>
      </c>
      <c r="B779" s="2" t="s">
        <v>24944</v>
      </c>
      <c r="C779" s="2" t="n">
        <v>895.717990811</v>
      </c>
      <c r="D779" s="2" t="n">
        <v>0.16890884459272</v>
      </c>
      <c r="E779" s="2" t="s">
        <v>24945</v>
      </c>
      <c r="F779" s="2" t="s">
        <v>17039</v>
      </c>
      <c r="G779" s="2" t="s">
        <v>24946</v>
      </c>
      <c r="H779" s="2" t="s">
        <v>24947</v>
      </c>
      <c r="I779" s="2" t="s">
        <v>24948</v>
      </c>
      <c r="J779" s="2" t="s">
        <v>29</v>
      </c>
      <c r="K779" s="2" t="s">
        <v>29</v>
      </c>
      <c r="L779" s="2" t="s">
        <v>29</v>
      </c>
      <c r="M779" s="2" t="s">
        <v>29</v>
      </c>
      <c r="N779" s="2" t="s">
        <v>24949</v>
      </c>
      <c r="O779" s="2" t="s">
        <v>29</v>
      </c>
      <c r="P779" s="2" t="s">
        <v>24950</v>
      </c>
      <c r="Q779" s="2" t="s">
        <v>24951</v>
      </c>
      <c r="R779" s="2" t="s">
        <v>794</v>
      </c>
      <c r="S779" s="2" t="s">
        <v>2600</v>
      </c>
      <c r="T779" s="2" t="s">
        <v>8840</v>
      </c>
      <c r="U779" s="2" t="s">
        <v>29</v>
      </c>
      <c r="V779" s="2" t="n">
        <v>1</v>
      </c>
    </row>
    <row r="780">
      <c r="A780" s="2" t="n">
        <v>779</v>
      </c>
      <c r="B780" s="2" t="s">
        <v>24952</v>
      </c>
      <c r="C780" s="2" t="n">
        <v>896.552441608</v>
      </c>
      <c r="D780" s="2" t="n">
        <v>0.819932774108083</v>
      </c>
      <c r="E780" s="2" t="s">
        <v>24953</v>
      </c>
      <c r="F780" s="2" t="s">
        <v>17039</v>
      </c>
      <c r="G780" s="2" t="s">
        <v>24954</v>
      </c>
      <c r="H780" s="2" t="s">
        <v>24955</v>
      </c>
      <c r="I780" s="2" t="s">
        <v>24956</v>
      </c>
      <c r="J780" s="2" t="s">
        <v>29</v>
      </c>
      <c r="K780" s="2" t="s">
        <v>29</v>
      </c>
      <c r="L780" s="2" t="s">
        <v>24957</v>
      </c>
      <c r="M780" s="2" t="s">
        <v>24958</v>
      </c>
      <c r="N780" s="2" t="s">
        <v>24959</v>
      </c>
      <c r="O780" s="2" t="s">
        <v>24960</v>
      </c>
      <c r="P780" s="2" t="s">
        <v>24961</v>
      </c>
      <c r="Q780" s="2" t="s">
        <v>24962</v>
      </c>
      <c r="R780" s="2" t="s">
        <v>1355</v>
      </c>
      <c r="S780" s="2" t="s">
        <v>24963</v>
      </c>
      <c r="T780" s="2" t="s">
        <v>215</v>
      </c>
      <c r="U780" s="2" t="s">
        <v>101</v>
      </c>
      <c r="V780" s="2" t="n">
        <v>1</v>
      </c>
    </row>
    <row r="781">
      <c r="A781" s="2" t="n">
        <v>780</v>
      </c>
      <c r="B781" s="2" t="s">
        <v>24964</v>
      </c>
      <c r="C781" s="2" t="n">
        <v>896.710281629</v>
      </c>
      <c r="D781" s="2" t="n">
        <v>9.39034553878555</v>
      </c>
      <c r="E781" s="2" t="s">
        <v>24965</v>
      </c>
      <c r="F781" s="2" t="s">
        <v>17137</v>
      </c>
      <c r="G781" s="2" t="s">
        <v>24966</v>
      </c>
      <c r="H781" s="2" t="s">
        <v>24967</v>
      </c>
      <c r="I781" s="2" t="s">
        <v>24968</v>
      </c>
      <c r="J781" s="2" t="s">
        <v>24969</v>
      </c>
      <c r="K781" s="2" t="s">
        <v>29</v>
      </c>
      <c r="L781" s="2" t="s">
        <v>9831</v>
      </c>
      <c r="M781" s="2" t="s">
        <v>29</v>
      </c>
      <c r="N781" s="2" t="s">
        <v>24970</v>
      </c>
      <c r="O781" s="2" t="s">
        <v>29</v>
      </c>
      <c r="P781" s="2" t="s">
        <v>24971</v>
      </c>
      <c r="Q781" s="2" t="s">
        <v>24972</v>
      </c>
      <c r="R781" s="2" t="s">
        <v>794</v>
      </c>
      <c r="S781" s="2" t="s">
        <v>7122</v>
      </c>
      <c r="T781" s="2" t="s">
        <v>8460</v>
      </c>
      <c r="U781" s="2" t="s">
        <v>101</v>
      </c>
      <c r="V781" s="2" t="n">
        <v>1</v>
      </c>
    </row>
    <row r="782">
      <c r="A782" s="2" t="n">
        <v>781</v>
      </c>
      <c r="B782" s="2" t="s">
        <v>24973</v>
      </c>
      <c r="C782" s="2" t="n">
        <v>897.730799004</v>
      </c>
      <c r="D782" s="2" t="n">
        <v>0.430082071269221</v>
      </c>
      <c r="E782" s="2" t="s">
        <v>24974</v>
      </c>
      <c r="F782" s="2" t="s">
        <v>17406</v>
      </c>
      <c r="G782" s="2" t="s">
        <v>24975</v>
      </c>
      <c r="H782" s="2" t="s">
        <v>24976</v>
      </c>
      <c r="I782" s="2" t="s">
        <v>24977</v>
      </c>
      <c r="J782" s="2" t="s">
        <v>29</v>
      </c>
      <c r="K782" s="2" t="s">
        <v>29</v>
      </c>
      <c r="L782" s="2" t="s">
        <v>9144</v>
      </c>
      <c r="M782" s="2" t="s">
        <v>29</v>
      </c>
      <c r="N782" s="2" t="s">
        <v>24978</v>
      </c>
      <c r="O782" s="2" t="s">
        <v>29</v>
      </c>
      <c r="P782" s="2" t="s">
        <v>24979</v>
      </c>
      <c r="Q782" s="2" t="s">
        <v>24980</v>
      </c>
      <c r="R782" s="2" t="s">
        <v>794</v>
      </c>
      <c r="S782" s="2" t="s">
        <v>2600</v>
      </c>
      <c r="T782" s="2" t="s">
        <v>8840</v>
      </c>
      <c r="U782" s="2" t="s">
        <v>101</v>
      </c>
      <c r="V782" s="2" t="n">
        <v>1</v>
      </c>
    </row>
    <row r="783">
      <c r="A783" s="2" t="n">
        <v>782</v>
      </c>
      <c r="B783" s="2" t="s">
        <v>24981</v>
      </c>
      <c r="C783" s="2" t="n">
        <v>899.542959998</v>
      </c>
      <c r="D783" s="2" t="n">
        <v>2.47061473920716</v>
      </c>
      <c r="E783" s="2" t="s">
        <v>24982</v>
      </c>
      <c r="F783" s="2" t="s">
        <v>18382</v>
      </c>
      <c r="G783" s="2" t="s">
        <v>24983</v>
      </c>
      <c r="H783" s="2" t="s">
        <v>24984</v>
      </c>
      <c r="I783" s="2" t="s">
        <v>24985</v>
      </c>
      <c r="J783" s="2" t="s">
        <v>29</v>
      </c>
      <c r="K783" s="2" t="s">
        <v>29</v>
      </c>
      <c r="L783" s="2" t="s">
        <v>29</v>
      </c>
      <c r="M783" s="2" t="s">
        <v>29</v>
      </c>
      <c r="N783" s="2" t="s">
        <v>24986</v>
      </c>
      <c r="O783" s="2" t="s">
        <v>29</v>
      </c>
      <c r="P783" s="2" t="s">
        <v>24987</v>
      </c>
      <c r="Q783" s="2" t="s">
        <v>24988</v>
      </c>
      <c r="R783" s="2" t="s">
        <v>114</v>
      </c>
      <c r="S783" s="2" t="s">
        <v>172</v>
      </c>
      <c r="T783" s="2" t="s">
        <v>4240</v>
      </c>
      <c r="U783" s="2" t="s">
        <v>29</v>
      </c>
      <c r="V783" s="2" t="n">
        <v>1</v>
      </c>
    </row>
    <row r="784">
      <c r="A784" s="2" t="n">
        <v>783</v>
      </c>
      <c r="B784" s="2" t="s">
        <v>24989</v>
      </c>
      <c r="C784" s="2" t="n">
        <v>905.572803574</v>
      </c>
      <c r="D784" s="2" t="n">
        <v>2.46393070791604</v>
      </c>
      <c r="E784" s="2" t="s">
        <v>24990</v>
      </c>
      <c r="F784" s="2" t="s">
        <v>18382</v>
      </c>
      <c r="G784" s="2" t="s">
        <v>24991</v>
      </c>
      <c r="H784" s="2" t="s">
        <v>24992</v>
      </c>
      <c r="I784" s="2" t="s">
        <v>24993</v>
      </c>
      <c r="J784" s="2" t="s">
        <v>29</v>
      </c>
      <c r="K784" s="2" t="s">
        <v>29</v>
      </c>
      <c r="L784" s="2" t="s">
        <v>29</v>
      </c>
      <c r="M784" s="2" t="s">
        <v>29</v>
      </c>
      <c r="N784" s="2" t="s">
        <v>29</v>
      </c>
      <c r="O784" s="2" t="s">
        <v>29</v>
      </c>
      <c r="P784" s="2" t="s">
        <v>24994</v>
      </c>
      <c r="Q784" s="2" t="s">
        <v>24995</v>
      </c>
      <c r="R784" s="2" t="s">
        <v>186</v>
      </c>
      <c r="S784" s="2" t="s">
        <v>3898</v>
      </c>
      <c r="T784" s="2" t="s">
        <v>215</v>
      </c>
      <c r="U784" s="2" t="s">
        <v>29</v>
      </c>
      <c r="V784" s="2" t="n">
        <v>1</v>
      </c>
    </row>
    <row r="785">
      <c r="A785" s="2" t="n">
        <v>784</v>
      </c>
      <c r="B785" s="2" t="s">
        <v>24996</v>
      </c>
      <c r="C785" s="2" t="n">
        <v>908.513059479</v>
      </c>
      <c r="D785" s="2" t="n">
        <v>2.71525996633499</v>
      </c>
      <c r="E785" s="2" t="s">
        <v>24997</v>
      </c>
      <c r="F785" s="2" t="s">
        <v>17198</v>
      </c>
      <c r="G785" s="2" t="s">
        <v>24998</v>
      </c>
      <c r="H785" s="2" t="s">
        <v>24999</v>
      </c>
      <c r="I785" s="2" t="s">
        <v>25000</v>
      </c>
      <c r="J785" s="2" t="s">
        <v>29</v>
      </c>
      <c r="K785" s="2" t="s">
        <v>29</v>
      </c>
      <c r="L785" s="2" t="s">
        <v>29</v>
      </c>
      <c r="M785" s="2" t="s">
        <v>29</v>
      </c>
      <c r="N785" s="2" t="s">
        <v>25001</v>
      </c>
      <c r="O785" s="2" t="s">
        <v>29</v>
      </c>
      <c r="P785" s="2" t="s">
        <v>25002</v>
      </c>
      <c r="Q785" s="2" t="s">
        <v>25003</v>
      </c>
      <c r="R785" s="2" t="s">
        <v>129</v>
      </c>
      <c r="S785" s="2" t="s">
        <v>130</v>
      </c>
      <c r="T785" s="2" t="s">
        <v>1681</v>
      </c>
      <c r="U785" s="2" t="s">
        <v>29</v>
      </c>
      <c r="V785" s="2" t="n">
        <v>1</v>
      </c>
    </row>
    <row r="786">
      <c r="A786" s="2" t="n">
        <v>785</v>
      </c>
      <c r="B786" s="2" t="s">
        <v>25004</v>
      </c>
      <c r="C786" s="2" t="n">
        <v>909.52120107</v>
      </c>
      <c r="D786" s="2" t="n">
        <v>8.2622448801263</v>
      </c>
      <c r="E786" s="2" t="s">
        <v>25005</v>
      </c>
      <c r="F786" s="2" t="s">
        <v>17039</v>
      </c>
      <c r="G786" s="2" t="s">
        <v>25006</v>
      </c>
      <c r="H786" s="2" t="s">
        <v>25007</v>
      </c>
      <c r="I786" s="2" t="s">
        <v>25008</v>
      </c>
      <c r="J786" s="2" t="s">
        <v>25009</v>
      </c>
      <c r="K786" s="2" t="s">
        <v>91</v>
      </c>
      <c r="L786" s="2" t="s">
        <v>91</v>
      </c>
      <c r="M786" s="2" t="s">
        <v>91</v>
      </c>
      <c r="N786" s="2" t="s">
        <v>25010</v>
      </c>
      <c r="O786" s="2" t="s">
        <v>25011</v>
      </c>
      <c r="P786" s="2" t="s">
        <v>25012</v>
      </c>
      <c r="Q786" s="2" t="s">
        <v>25013</v>
      </c>
      <c r="R786" s="2" t="s">
        <v>412</v>
      </c>
      <c r="S786" s="2" t="s">
        <v>5304</v>
      </c>
      <c r="T786" s="2" t="s">
        <v>25014</v>
      </c>
      <c r="U786" s="2" t="s">
        <v>56</v>
      </c>
      <c r="V786" s="2" t="n">
        <v>2</v>
      </c>
    </row>
    <row r="787">
      <c r="A787" s="2" t="n">
        <v>786</v>
      </c>
      <c r="B787" s="2" t="s">
        <v>25015</v>
      </c>
      <c r="C787" s="2" t="n">
        <v>910.533622036</v>
      </c>
      <c r="D787" s="2" t="n">
        <v>9.68221635846811</v>
      </c>
      <c r="E787" s="2" t="s">
        <v>25016</v>
      </c>
      <c r="F787" s="2" t="s">
        <v>17520</v>
      </c>
      <c r="G787" s="2" t="s">
        <v>25017</v>
      </c>
      <c r="H787" s="2" t="s">
        <v>25018</v>
      </c>
      <c r="I787" s="2" t="s">
        <v>25019</v>
      </c>
      <c r="J787" s="2" t="s">
        <v>29</v>
      </c>
      <c r="K787" s="2" t="s">
        <v>29</v>
      </c>
      <c r="L787" s="2" t="s">
        <v>29</v>
      </c>
      <c r="M787" s="2" t="s">
        <v>29</v>
      </c>
      <c r="N787" s="2" t="s">
        <v>25020</v>
      </c>
      <c r="O787" s="2" t="s">
        <v>29</v>
      </c>
      <c r="P787" s="2" t="s">
        <v>25021</v>
      </c>
      <c r="Q787" s="2" t="s">
        <v>25022</v>
      </c>
      <c r="R787" s="2" t="s">
        <v>794</v>
      </c>
      <c r="S787" s="2" t="s">
        <v>7122</v>
      </c>
      <c r="T787" s="2" t="s">
        <v>8876</v>
      </c>
      <c r="U787" s="2" t="s">
        <v>56</v>
      </c>
      <c r="V787" s="2" t="n">
        <v>1</v>
      </c>
    </row>
    <row r="788">
      <c r="A788" s="2" t="n">
        <v>787</v>
      </c>
      <c r="B788" s="2" t="s">
        <v>25023</v>
      </c>
      <c r="C788" s="2" t="n">
        <v>912.547356228</v>
      </c>
      <c r="D788" s="2" t="n">
        <v>5.75452778229851</v>
      </c>
      <c r="E788" s="2" t="s">
        <v>25024</v>
      </c>
      <c r="F788" s="2" t="s">
        <v>17039</v>
      </c>
      <c r="G788" s="2" t="s">
        <v>25025</v>
      </c>
      <c r="H788" s="2" t="s">
        <v>25026</v>
      </c>
      <c r="I788" s="2" t="s">
        <v>25027</v>
      </c>
      <c r="J788" s="2" t="s">
        <v>29</v>
      </c>
      <c r="K788" s="2" t="s">
        <v>29</v>
      </c>
      <c r="L788" s="2" t="s">
        <v>29</v>
      </c>
      <c r="M788" s="2" t="s">
        <v>29</v>
      </c>
      <c r="N788" s="2" t="s">
        <v>25028</v>
      </c>
      <c r="O788" s="2" t="s">
        <v>29</v>
      </c>
      <c r="P788" s="2" t="s">
        <v>25029</v>
      </c>
      <c r="Q788" s="2" t="s">
        <v>25030</v>
      </c>
      <c r="R788" s="2" t="s">
        <v>1355</v>
      </c>
      <c r="S788" s="2" t="s">
        <v>24963</v>
      </c>
      <c r="T788" s="2" t="s">
        <v>215</v>
      </c>
      <c r="U788" s="2" t="s">
        <v>29</v>
      </c>
      <c r="V788" s="2" t="n">
        <v>1</v>
      </c>
    </row>
    <row r="789">
      <c r="A789" s="2" t="n">
        <v>788</v>
      </c>
      <c r="B789" s="2" t="s">
        <v>25031</v>
      </c>
      <c r="C789" s="2" t="n">
        <v>913.56928601</v>
      </c>
      <c r="D789" s="2" t="n">
        <v>8.27793445438305</v>
      </c>
      <c r="E789" s="2" t="s">
        <v>25032</v>
      </c>
      <c r="F789" s="2" t="s">
        <v>17892</v>
      </c>
      <c r="G789" s="2" t="s">
        <v>25033</v>
      </c>
      <c r="H789" s="2" t="s">
        <v>25034</v>
      </c>
      <c r="I789" s="2" t="s">
        <v>25035</v>
      </c>
      <c r="J789" s="2" t="s">
        <v>29</v>
      </c>
      <c r="K789" s="2" t="s">
        <v>29</v>
      </c>
      <c r="L789" s="2" t="s">
        <v>29</v>
      </c>
      <c r="M789" s="2" t="s">
        <v>25036</v>
      </c>
      <c r="N789" s="2" t="s">
        <v>25037</v>
      </c>
      <c r="O789" s="2" t="s">
        <v>29</v>
      </c>
      <c r="P789" s="2" t="s">
        <v>25038</v>
      </c>
      <c r="Q789" s="2" t="s">
        <v>25039</v>
      </c>
      <c r="R789" s="2" t="s">
        <v>36</v>
      </c>
      <c r="S789" s="2" t="s">
        <v>37</v>
      </c>
      <c r="T789" s="2" t="s">
        <v>69</v>
      </c>
      <c r="U789" s="2" t="s">
        <v>56</v>
      </c>
      <c r="V789" s="2" t="n">
        <v>1</v>
      </c>
    </row>
    <row r="790">
      <c r="A790" s="2" t="n">
        <v>789</v>
      </c>
      <c r="B790" s="2" t="s">
        <v>25040</v>
      </c>
      <c r="C790" s="2" t="n">
        <v>917.699498876</v>
      </c>
      <c r="D790" s="2" t="n">
        <v>1.18330996936261</v>
      </c>
      <c r="E790" s="2" t="s">
        <v>25041</v>
      </c>
      <c r="F790" s="2" t="s">
        <v>17406</v>
      </c>
      <c r="G790" s="2" t="s">
        <v>25042</v>
      </c>
      <c r="H790" s="2" t="s">
        <v>25043</v>
      </c>
      <c r="I790" s="2" t="s">
        <v>25044</v>
      </c>
      <c r="J790" s="2" t="s">
        <v>29</v>
      </c>
      <c r="K790" s="2" t="s">
        <v>29</v>
      </c>
      <c r="L790" s="2" t="s">
        <v>9144</v>
      </c>
      <c r="M790" s="2" t="s">
        <v>29</v>
      </c>
      <c r="N790" s="2" t="s">
        <v>25045</v>
      </c>
      <c r="O790" s="2" t="s">
        <v>29</v>
      </c>
      <c r="P790" s="2" t="s">
        <v>25046</v>
      </c>
      <c r="Q790" s="2" t="s">
        <v>25047</v>
      </c>
      <c r="R790" s="2" t="s">
        <v>794</v>
      </c>
      <c r="S790" s="2" t="s">
        <v>2600</v>
      </c>
      <c r="T790" s="2" t="s">
        <v>8840</v>
      </c>
      <c r="U790" s="2" t="s">
        <v>101</v>
      </c>
      <c r="V790" s="2" t="n">
        <v>1</v>
      </c>
    </row>
    <row r="791">
      <c r="A791" s="2" t="n">
        <v>790</v>
      </c>
      <c r="B791" s="2" t="s">
        <v>25048</v>
      </c>
      <c r="C791" s="2" t="n">
        <v>919.71514894</v>
      </c>
      <c r="D791" s="2" t="n">
        <v>1.58632994692624</v>
      </c>
      <c r="E791" s="2" t="s">
        <v>25049</v>
      </c>
      <c r="F791" s="2" t="s">
        <v>17406</v>
      </c>
      <c r="G791" s="2" t="s">
        <v>25050</v>
      </c>
      <c r="H791" s="2" t="s">
        <v>25051</v>
      </c>
      <c r="I791" s="2" t="s">
        <v>25052</v>
      </c>
      <c r="J791" s="2" t="s">
        <v>29</v>
      </c>
      <c r="K791" s="2" t="s">
        <v>29</v>
      </c>
      <c r="L791" s="2" t="s">
        <v>9144</v>
      </c>
      <c r="M791" s="2" t="s">
        <v>29</v>
      </c>
      <c r="N791" s="2" t="s">
        <v>25053</v>
      </c>
      <c r="O791" s="2" t="s">
        <v>29</v>
      </c>
      <c r="P791" s="2" t="s">
        <v>25054</v>
      </c>
      <c r="Q791" s="2" t="s">
        <v>25055</v>
      </c>
      <c r="R791" s="2" t="s">
        <v>794</v>
      </c>
      <c r="S791" s="2" t="s">
        <v>2600</v>
      </c>
      <c r="T791" s="2" t="s">
        <v>8840</v>
      </c>
      <c r="U791" s="2" t="s">
        <v>101</v>
      </c>
      <c r="V791" s="2" t="n">
        <v>1</v>
      </c>
    </row>
    <row r="792">
      <c r="A792" s="2" t="n">
        <v>791</v>
      </c>
      <c r="B792" s="2" t="s">
        <v>25056</v>
      </c>
      <c r="C792" s="2" t="n">
        <v>920.556613181</v>
      </c>
      <c r="D792" s="2" t="n">
        <v>6.00991234320452</v>
      </c>
      <c r="E792" s="2" t="s">
        <v>25057</v>
      </c>
      <c r="F792" s="2" t="s">
        <v>17406</v>
      </c>
      <c r="G792" s="2" t="s">
        <v>25058</v>
      </c>
      <c r="H792" s="2" t="s">
        <v>25059</v>
      </c>
      <c r="I792" s="2" t="s">
        <v>25060</v>
      </c>
      <c r="J792" s="2" t="s">
        <v>25061</v>
      </c>
      <c r="K792" s="2" t="s">
        <v>25062</v>
      </c>
      <c r="L792" s="2" t="s">
        <v>9831</v>
      </c>
      <c r="M792" s="2" t="s">
        <v>29</v>
      </c>
      <c r="N792" s="2" t="s">
        <v>25063</v>
      </c>
      <c r="O792" s="2" t="s">
        <v>29</v>
      </c>
      <c r="P792" s="2" t="s">
        <v>25064</v>
      </c>
      <c r="Q792" s="2" t="s">
        <v>25065</v>
      </c>
      <c r="R792" s="2" t="s">
        <v>794</v>
      </c>
      <c r="S792" s="2" t="s">
        <v>7122</v>
      </c>
      <c r="T792" s="2" t="s">
        <v>8460</v>
      </c>
      <c r="U792" s="2" t="s">
        <v>39</v>
      </c>
      <c r="V792" s="2" t="n">
        <v>1</v>
      </c>
    </row>
    <row r="793">
      <c r="A793" s="2" t="n">
        <v>792</v>
      </c>
      <c r="B793" s="2" t="s">
        <v>25066</v>
      </c>
      <c r="C793" s="2" t="n">
        <v>920.710281629</v>
      </c>
      <c r="D793" s="2" t="n">
        <v>8.78691684963489</v>
      </c>
      <c r="E793" s="2" t="s">
        <v>25067</v>
      </c>
      <c r="F793" s="2" t="s">
        <v>17137</v>
      </c>
      <c r="G793" s="2" t="s">
        <v>25068</v>
      </c>
      <c r="H793" s="2" t="s">
        <v>25069</v>
      </c>
      <c r="I793" s="2" t="s">
        <v>25070</v>
      </c>
      <c r="J793" s="2" t="s">
        <v>25071</v>
      </c>
      <c r="K793" s="2" t="s">
        <v>29</v>
      </c>
      <c r="L793" s="2" t="s">
        <v>9831</v>
      </c>
      <c r="M793" s="2" t="s">
        <v>29</v>
      </c>
      <c r="N793" s="2" t="s">
        <v>25072</v>
      </c>
      <c r="O793" s="2" t="s">
        <v>29</v>
      </c>
      <c r="P793" s="2" t="s">
        <v>25073</v>
      </c>
      <c r="Q793" s="2" t="s">
        <v>25074</v>
      </c>
      <c r="R793" s="2" t="s">
        <v>794</v>
      </c>
      <c r="S793" s="2" t="s">
        <v>7122</v>
      </c>
      <c r="T793" s="2" t="s">
        <v>8460</v>
      </c>
      <c r="U793" s="2" t="s">
        <v>101</v>
      </c>
      <c r="V793" s="2" t="n">
        <v>1</v>
      </c>
    </row>
    <row r="794">
      <c r="A794" s="2" t="n">
        <v>793</v>
      </c>
      <c r="B794" s="2" t="s">
        <v>25075</v>
      </c>
      <c r="C794" s="2" t="n">
        <v>921.559115232</v>
      </c>
      <c r="D794" s="2" t="n">
        <v>3.82013950316698</v>
      </c>
      <c r="E794" s="2" t="s">
        <v>25076</v>
      </c>
      <c r="F794" s="2" t="s">
        <v>17892</v>
      </c>
      <c r="G794" s="2" t="s">
        <v>25077</v>
      </c>
      <c r="H794" s="2" t="s">
        <v>25078</v>
      </c>
      <c r="I794" s="2" t="s">
        <v>25079</v>
      </c>
      <c r="J794" s="2" t="s">
        <v>29</v>
      </c>
      <c r="K794" s="2" t="s">
        <v>29</v>
      </c>
      <c r="L794" s="2" t="s">
        <v>29</v>
      </c>
      <c r="M794" s="2" t="s">
        <v>29</v>
      </c>
      <c r="N794" s="2" t="s">
        <v>25080</v>
      </c>
      <c r="O794" s="2" t="s">
        <v>29</v>
      </c>
      <c r="P794" s="2" t="s">
        <v>25081</v>
      </c>
      <c r="Q794" s="2" t="s">
        <v>25082</v>
      </c>
      <c r="R794" s="2" t="s">
        <v>129</v>
      </c>
      <c r="S794" s="2" t="s">
        <v>130</v>
      </c>
      <c r="T794" s="2" t="s">
        <v>1681</v>
      </c>
      <c r="U794" s="2" t="s">
        <v>29</v>
      </c>
      <c r="V794" s="2" t="n">
        <v>1</v>
      </c>
    </row>
    <row r="795">
      <c r="A795" s="2" t="n">
        <v>794</v>
      </c>
      <c r="B795" s="2" t="s">
        <v>25083</v>
      </c>
      <c r="C795" s="2" t="n">
        <v>921.733640876</v>
      </c>
      <c r="D795" s="2" t="n">
        <v>0.585129146789815</v>
      </c>
      <c r="E795" s="2" t="s">
        <v>25084</v>
      </c>
      <c r="F795" s="2" t="s">
        <v>17039</v>
      </c>
      <c r="G795" s="2" t="s">
        <v>25085</v>
      </c>
      <c r="H795" s="2" t="s">
        <v>19315</v>
      </c>
      <c r="I795" s="2" t="s">
        <v>25086</v>
      </c>
      <c r="J795" s="2" t="s">
        <v>29</v>
      </c>
      <c r="K795" s="2" t="s">
        <v>29</v>
      </c>
      <c r="L795" s="2" t="s">
        <v>29</v>
      </c>
      <c r="M795" s="2" t="s">
        <v>29</v>
      </c>
      <c r="N795" s="2" t="s">
        <v>29</v>
      </c>
      <c r="O795" s="2" t="s">
        <v>29</v>
      </c>
      <c r="P795" s="2" t="s">
        <v>25087</v>
      </c>
      <c r="Q795" s="2" t="s">
        <v>25088</v>
      </c>
      <c r="R795" s="2" t="s">
        <v>794</v>
      </c>
      <c r="S795" s="2" t="s">
        <v>2600</v>
      </c>
      <c r="T795" s="2" t="s">
        <v>8840</v>
      </c>
      <c r="U795" s="2" t="s">
        <v>29</v>
      </c>
      <c r="V795" s="2" t="n">
        <v>1</v>
      </c>
    </row>
    <row r="796">
      <c r="A796" s="2" t="n">
        <v>795</v>
      </c>
      <c r="B796" s="2" t="s">
        <v>25089</v>
      </c>
      <c r="C796" s="2" t="n">
        <v>922.572263245</v>
      </c>
      <c r="D796" s="2" t="n">
        <v>8.42796541145842</v>
      </c>
      <c r="E796" s="2" t="s">
        <v>25090</v>
      </c>
      <c r="F796" s="2" t="s">
        <v>17406</v>
      </c>
      <c r="G796" s="2" t="s">
        <v>25091</v>
      </c>
      <c r="H796" s="2" t="s">
        <v>25092</v>
      </c>
      <c r="I796" s="2" t="s">
        <v>25093</v>
      </c>
      <c r="J796" s="2" t="s">
        <v>21118</v>
      </c>
      <c r="K796" s="2" t="s">
        <v>29</v>
      </c>
      <c r="L796" s="2" t="s">
        <v>9831</v>
      </c>
      <c r="M796" s="2" t="s">
        <v>29</v>
      </c>
      <c r="N796" s="2" t="s">
        <v>25094</v>
      </c>
      <c r="O796" s="2" t="s">
        <v>29</v>
      </c>
      <c r="P796" s="2" t="s">
        <v>25095</v>
      </c>
      <c r="Q796" s="2" t="s">
        <v>25096</v>
      </c>
      <c r="R796" s="2" t="s">
        <v>794</v>
      </c>
      <c r="S796" s="2" t="s">
        <v>7122</v>
      </c>
      <c r="T796" s="2" t="s">
        <v>8460</v>
      </c>
      <c r="U796" s="2" t="s">
        <v>101</v>
      </c>
      <c r="V796" s="2" t="n">
        <v>1</v>
      </c>
    </row>
    <row r="797">
      <c r="A797" s="2" t="n">
        <v>796</v>
      </c>
      <c r="B797" s="2" t="s">
        <v>25097</v>
      </c>
      <c r="C797" s="2" t="n">
        <v>924.495125915</v>
      </c>
      <c r="D797" s="2" t="n">
        <v>6.66146502906924</v>
      </c>
      <c r="E797" s="2" t="s">
        <v>25098</v>
      </c>
      <c r="F797" s="2" t="s">
        <v>17137</v>
      </c>
      <c r="G797" s="2" t="s">
        <v>25099</v>
      </c>
      <c r="H797" s="2" t="s">
        <v>25100</v>
      </c>
      <c r="I797" s="2" t="s">
        <v>25101</v>
      </c>
      <c r="J797" s="2" t="s">
        <v>25102</v>
      </c>
      <c r="K797" s="2" t="s">
        <v>25103</v>
      </c>
      <c r="L797" s="2" t="s">
        <v>25104</v>
      </c>
      <c r="M797" s="2" t="s">
        <v>20285</v>
      </c>
      <c r="N797" s="2" t="s">
        <v>25105</v>
      </c>
      <c r="O797" s="2" t="s">
        <v>25106</v>
      </c>
      <c r="P797" s="2" t="s">
        <v>25107</v>
      </c>
      <c r="Q797" s="2" t="s">
        <v>25108</v>
      </c>
      <c r="R797" s="2" t="s">
        <v>129</v>
      </c>
      <c r="S797" s="2" t="s">
        <v>130</v>
      </c>
      <c r="T797" s="2" t="s">
        <v>1681</v>
      </c>
      <c r="U797" s="2" t="s">
        <v>101</v>
      </c>
      <c r="V797" s="2" t="n">
        <v>1</v>
      </c>
    </row>
    <row r="798">
      <c r="A798" s="2" t="n">
        <v>797</v>
      </c>
      <c r="B798" s="2" t="s">
        <v>25109</v>
      </c>
      <c r="C798" s="2" t="n">
        <v>925.516115672</v>
      </c>
      <c r="D798" s="2" t="n">
        <v>7.93740910768573</v>
      </c>
      <c r="E798" s="2" t="s">
        <v>25110</v>
      </c>
      <c r="F798" s="2" t="s">
        <v>17039</v>
      </c>
      <c r="G798" s="2" t="s">
        <v>25111</v>
      </c>
      <c r="H798" s="2" t="s">
        <v>25112</v>
      </c>
      <c r="I798" s="2" t="s">
        <v>25113</v>
      </c>
      <c r="J798" s="2" t="s">
        <v>25114</v>
      </c>
      <c r="K798" s="2" t="s">
        <v>91</v>
      </c>
      <c r="L798" s="2" t="s">
        <v>25115</v>
      </c>
      <c r="M798" s="2" t="s">
        <v>25116</v>
      </c>
      <c r="N798" s="2" t="s">
        <v>25117</v>
      </c>
      <c r="O798" s="2" t="s">
        <v>25118</v>
      </c>
      <c r="P798" s="2" t="s">
        <v>25119</v>
      </c>
      <c r="Q798" s="2" t="s">
        <v>25120</v>
      </c>
      <c r="R798" s="2" t="s">
        <v>412</v>
      </c>
      <c r="S798" s="2" t="s">
        <v>5304</v>
      </c>
      <c r="T798" s="2" t="s">
        <v>25121</v>
      </c>
      <c r="U798" s="2" t="s">
        <v>101</v>
      </c>
      <c r="V798" s="2" t="n">
        <v>2</v>
      </c>
    </row>
    <row r="799">
      <c r="A799" s="2" t="n">
        <v>798</v>
      </c>
      <c r="B799" s="2" t="s">
        <v>25122</v>
      </c>
      <c r="C799" s="2" t="n">
        <v>926.510775979</v>
      </c>
      <c r="D799" s="2" t="n">
        <v>7.5833212612094</v>
      </c>
      <c r="E799" s="2" t="s">
        <v>25123</v>
      </c>
      <c r="F799" s="2" t="s">
        <v>17137</v>
      </c>
      <c r="G799" s="2" t="s">
        <v>25124</v>
      </c>
      <c r="H799" s="2" t="s">
        <v>25125</v>
      </c>
      <c r="I799" s="2" t="s">
        <v>25126</v>
      </c>
      <c r="J799" s="2" t="s">
        <v>29</v>
      </c>
      <c r="K799" s="2" t="s">
        <v>25127</v>
      </c>
      <c r="L799" s="2" t="s">
        <v>25128</v>
      </c>
      <c r="M799" s="2" t="s">
        <v>25129</v>
      </c>
      <c r="N799" s="2" t="s">
        <v>25130</v>
      </c>
      <c r="O799" s="2" t="s">
        <v>25131</v>
      </c>
      <c r="P799" s="2" t="s">
        <v>25132</v>
      </c>
      <c r="Q799" s="2" t="s">
        <v>25133</v>
      </c>
      <c r="R799" s="2" t="s">
        <v>129</v>
      </c>
      <c r="S799" s="2" t="s">
        <v>130</v>
      </c>
      <c r="T799" s="2" t="s">
        <v>1681</v>
      </c>
      <c r="U799" s="2" t="s">
        <v>56</v>
      </c>
      <c r="V799" s="2" t="n">
        <v>1</v>
      </c>
    </row>
    <row r="800">
      <c r="A800" s="2" t="n">
        <v>799</v>
      </c>
      <c r="B800" s="2" t="s">
        <v>25134</v>
      </c>
      <c r="C800" s="2" t="n">
        <v>928.515737923</v>
      </c>
      <c r="D800" s="2" t="n">
        <v>4.1473248370916</v>
      </c>
      <c r="E800" s="2" t="s">
        <v>25135</v>
      </c>
      <c r="F800" s="2" t="s">
        <v>17970</v>
      </c>
      <c r="G800" s="2" t="s">
        <v>25136</v>
      </c>
      <c r="H800" s="2" t="s">
        <v>25137</v>
      </c>
      <c r="I800" s="2" t="s">
        <v>25138</v>
      </c>
      <c r="J800" s="2" t="s">
        <v>29</v>
      </c>
      <c r="K800" s="2" t="s">
        <v>29</v>
      </c>
      <c r="L800" s="2" t="s">
        <v>29</v>
      </c>
      <c r="M800" s="2" t="s">
        <v>29</v>
      </c>
      <c r="N800" s="2" t="s">
        <v>25139</v>
      </c>
      <c r="O800" s="2" t="s">
        <v>29</v>
      </c>
      <c r="P800" s="2" t="s">
        <v>25140</v>
      </c>
      <c r="Q800" s="2" t="s">
        <v>25141</v>
      </c>
      <c r="R800" s="2" t="s">
        <v>1355</v>
      </c>
      <c r="S800" s="2" t="s">
        <v>24963</v>
      </c>
      <c r="T800" s="2" t="s">
        <v>215</v>
      </c>
      <c r="U800" s="2" t="s">
        <v>29</v>
      </c>
      <c r="V800" s="2" t="n">
        <v>1</v>
      </c>
    </row>
    <row r="801">
      <c r="A801" s="2" t="n">
        <v>800</v>
      </c>
      <c r="B801" s="2" t="s">
        <v>25142</v>
      </c>
      <c r="C801" s="2" t="n">
        <v>941.699498876</v>
      </c>
      <c r="D801" s="2" t="n">
        <v>9.32414158124336</v>
      </c>
      <c r="E801" s="2" t="s">
        <v>25143</v>
      </c>
      <c r="F801" s="2" t="s">
        <v>17406</v>
      </c>
      <c r="G801" s="2" t="s">
        <v>25144</v>
      </c>
      <c r="H801" s="2" t="s">
        <v>25145</v>
      </c>
      <c r="I801" s="2" t="s">
        <v>25146</v>
      </c>
      <c r="J801" s="2" t="s">
        <v>29</v>
      </c>
      <c r="K801" s="2" t="s">
        <v>29</v>
      </c>
      <c r="L801" s="2" t="s">
        <v>9144</v>
      </c>
      <c r="M801" s="2" t="s">
        <v>29</v>
      </c>
      <c r="N801" s="2" t="s">
        <v>25147</v>
      </c>
      <c r="O801" s="2" t="s">
        <v>29</v>
      </c>
      <c r="P801" s="2" t="s">
        <v>25148</v>
      </c>
      <c r="Q801" s="2" t="s">
        <v>25149</v>
      </c>
      <c r="R801" s="2" t="s">
        <v>794</v>
      </c>
      <c r="S801" s="2" t="s">
        <v>2600</v>
      </c>
      <c r="T801" s="2" t="s">
        <v>8840</v>
      </c>
      <c r="U801" s="2" t="s">
        <v>101</v>
      </c>
      <c r="V801" s="2" t="n">
        <v>1</v>
      </c>
    </row>
    <row r="802">
      <c r="A802" s="2" t="n">
        <v>801</v>
      </c>
      <c r="B802" s="2" t="s">
        <v>25150</v>
      </c>
      <c r="C802" s="2" t="n">
        <v>943.71514894</v>
      </c>
      <c r="D802" s="2" t="n">
        <v>0.966463642164537</v>
      </c>
      <c r="E802" s="2" t="s">
        <v>25151</v>
      </c>
      <c r="F802" s="2" t="s">
        <v>17406</v>
      </c>
      <c r="G802" s="2" t="s">
        <v>25152</v>
      </c>
      <c r="H802" s="2" t="s">
        <v>25153</v>
      </c>
      <c r="I802" s="2" t="s">
        <v>25154</v>
      </c>
      <c r="J802" s="2" t="s">
        <v>29</v>
      </c>
      <c r="K802" s="2" t="s">
        <v>29</v>
      </c>
      <c r="L802" s="2" t="s">
        <v>9144</v>
      </c>
      <c r="M802" s="2" t="s">
        <v>29</v>
      </c>
      <c r="N802" s="2" t="s">
        <v>25155</v>
      </c>
      <c r="O802" s="2" t="s">
        <v>29</v>
      </c>
      <c r="P802" s="2" t="s">
        <v>25156</v>
      </c>
      <c r="Q802" s="2" t="s">
        <v>25157</v>
      </c>
      <c r="R802" s="2" t="s">
        <v>794</v>
      </c>
      <c r="S802" s="2" t="s">
        <v>2600</v>
      </c>
      <c r="T802" s="2" t="s">
        <v>8840</v>
      </c>
      <c r="U802" s="2" t="s">
        <v>101</v>
      </c>
      <c r="V802" s="2" t="n">
        <v>1</v>
      </c>
    </row>
    <row r="803">
      <c r="A803" s="2" t="n">
        <v>802</v>
      </c>
      <c r="B803" s="2" t="s">
        <v>25158</v>
      </c>
      <c r="C803" s="2" t="n">
        <v>945.730799004</v>
      </c>
      <c r="D803" s="2" t="n">
        <v>1.5562566080204</v>
      </c>
      <c r="E803" s="2" t="s">
        <v>25159</v>
      </c>
      <c r="F803" s="2" t="s">
        <v>17406</v>
      </c>
      <c r="G803" s="2" t="s">
        <v>25160</v>
      </c>
      <c r="H803" s="2" t="s">
        <v>25161</v>
      </c>
      <c r="I803" s="2" t="s">
        <v>25162</v>
      </c>
      <c r="J803" s="2" t="s">
        <v>29</v>
      </c>
      <c r="K803" s="2" t="s">
        <v>29</v>
      </c>
      <c r="L803" s="2" t="s">
        <v>9144</v>
      </c>
      <c r="M803" s="2" t="s">
        <v>29</v>
      </c>
      <c r="N803" s="2" t="s">
        <v>25163</v>
      </c>
      <c r="O803" s="2" t="s">
        <v>29</v>
      </c>
      <c r="P803" s="2" t="s">
        <v>25164</v>
      </c>
      <c r="Q803" s="2" t="s">
        <v>25165</v>
      </c>
      <c r="R803" s="2" t="s">
        <v>794</v>
      </c>
      <c r="S803" s="2" t="s">
        <v>2600</v>
      </c>
      <c r="T803" s="2" t="s">
        <v>8840</v>
      </c>
      <c r="U803" s="2" t="s">
        <v>101</v>
      </c>
      <c r="V803" s="2" t="n">
        <v>1</v>
      </c>
    </row>
    <row r="804">
      <c r="A804" s="2" t="n">
        <v>803</v>
      </c>
      <c r="B804" s="2" t="s">
        <v>25166</v>
      </c>
      <c r="C804" s="2" t="n">
        <v>947.5051096</v>
      </c>
      <c r="D804" s="2" t="n">
        <v>3.66017180634272</v>
      </c>
      <c r="E804" s="2" t="s">
        <v>25167</v>
      </c>
      <c r="F804" s="2" t="s">
        <v>17039</v>
      </c>
      <c r="G804" s="2" t="s">
        <v>25168</v>
      </c>
      <c r="H804" s="2" t="s">
        <v>25169</v>
      </c>
      <c r="I804" s="2" t="s">
        <v>25170</v>
      </c>
      <c r="J804" s="2" t="s">
        <v>25171</v>
      </c>
      <c r="K804" s="2" t="s">
        <v>29</v>
      </c>
      <c r="L804" s="2" t="s">
        <v>11684</v>
      </c>
      <c r="M804" s="2" t="s">
        <v>29</v>
      </c>
      <c r="N804" s="2" t="s">
        <v>25172</v>
      </c>
      <c r="O804" s="2" t="s">
        <v>29</v>
      </c>
      <c r="P804" s="2" t="s">
        <v>25173</v>
      </c>
      <c r="Q804" s="2" t="s">
        <v>25174</v>
      </c>
      <c r="R804" s="2" t="s">
        <v>794</v>
      </c>
      <c r="S804" s="2" t="s">
        <v>7122</v>
      </c>
      <c r="T804" s="2" t="s">
        <v>11628</v>
      </c>
      <c r="U804" s="2" t="s">
        <v>101</v>
      </c>
      <c r="V804" s="2" t="n">
        <v>1</v>
      </c>
    </row>
    <row r="805">
      <c r="A805" s="2" t="n">
        <v>804</v>
      </c>
      <c r="B805" s="2" t="s">
        <v>25175</v>
      </c>
      <c r="C805" s="2" t="n">
        <v>950.502217385</v>
      </c>
      <c r="D805" s="2" t="n">
        <v>9.40048671079497</v>
      </c>
      <c r="E805" s="2" t="s">
        <v>25176</v>
      </c>
      <c r="F805" s="2" t="s">
        <v>17137</v>
      </c>
      <c r="G805" s="2" t="s">
        <v>25177</v>
      </c>
      <c r="H805" s="2" t="s">
        <v>25178</v>
      </c>
      <c r="I805" s="2" t="s">
        <v>25179</v>
      </c>
      <c r="J805" s="2" t="s">
        <v>29</v>
      </c>
      <c r="K805" s="2" t="s">
        <v>29</v>
      </c>
      <c r="L805" s="2" t="s">
        <v>29</v>
      </c>
      <c r="M805" s="2" t="s">
        <v>29</v>
      </c>
      <c r="N805" s="2" t="s">
        <v>25180</v>
      </c>
      <c r="O805" s="2" t="s">
        <v>29</v>
      </c>
      <c r="P805" s="2" t="s">
        <v>25181</v>
      </c>
      <c r="Q805" s="2" t="s">
        <v>25182</v>
      </c>
      <c r="R805" s="2" t="s">
        <v>36</v>
      </c>
      <c r="S805" s="2" t="s">
        <v>37</v>
      </c>
      <c r="T805" s="2" t="s">
        <v>69</v>
      </c>
      <c r="U805" s="2" t="s">
        <v>29</v>
      </c>
      <c r="V805" s="2" t="n">
        <v>1</v>
      </c>
    </row>
    <row r="806">
      <c r="A806" s="2" t="n">
        <v>805</v>
      </c>
      <c r="B806" s="2" t="s">
        <v>25183</v>
      </c>
      <c r="C806" s="2" t="n">
        <v>964.486671842</v>
      </c>
      <c r="D806" s="2" t="n">
        <v>5.20023044742407</v>
      </c>
      <c r="E806" s="2" t="s">
        <v>25184</v>
      </c>
      <c r="F806" s="2" t="s">
        <v>17520</v>
      </c>
      <c r="G806" s="2" t="s">
        <v>25185</v>
      </c>
      <c r="H806" s="2" t="s">
        <v>25186</v>
      </c>
      <c r="I806" s="2" t="s">
        <v>25187</v>
      </c>
      <c r="J806" s="2" t="s">
        <v>25188</v>
      </c>
      <c r="K806" s="2" t="s">
        <v>25189</v>
      </c>
      <c r="L806" s="2" t="s">
        <v>29</v>
      </c>
      <c r="M806" s="2" t="s">
        <v>29</v>
      </c>
      <c r="N806" s="2" t="s">
        <v>25190</v>
      </c>
      <c r="O806" s="2" t="s">
        <v>29</v>
      </c>
      <c r="P806" s="2" t="s">
        <v>25191</v>
      </c>
      <c r="Q806" s="2" t="s">
        <v>25192</v>
      </c>
      <c r="R806" s="2" t="s">
        <v>794</v>
      </c>
      <c r="S806" s="2" t="s">
        <v>7122</v>
      </c>
      <c r="T806" s="2" t="s">
        <v>8876</v>
      </c>
      <c r="U806" s="2" t="s">
        <v>29</v>
      </c>
      <c r="V806" s="2" t="n">
        <v>1</v>
      </c>
    </row>
    <row r="807">
      <c r="A807" s="2" t="n">
        <v>806</v>
      </c>
      <c r="B807" s="2" t="s">
        <v>25193</v>
      </c>
      <c r="C807" s="2" t="n">
        <v>967.699738048</v>
      </c>
      <c r="D807" s="2" t="n">
        <v>8.48143863744984</v>
      </c>
      <c r="E807" s="2" t="s">
        <v>25194</v>
      </c>
      <c r="F807" s="2" t="s">
        <v>17892</v>
      </c>
      <c r="G807" s="2" t="s">
        <v>25195</v>
      </c>
      <c r="H807" s="2" t="s">
        <v>25196</v>
      </c>
      <c r="I807" s="2" t="s">
        <v>25197</v>
      </c>
      <c r="J807" s="2" t="s">
        <v>25198</v>
      </c>
      <c r="K807" s="2" t="s">
        <v>25199</v>
      </c>
      <c r="L807" s="2" t="s">
        <v>25200</v>
      </c>
      <c r="M807" s="2" t="s">
        <v>25201</v>
      </c>
      <c r="N807" s="2" t="s">
        <v>25202</v>
      </c>
      <c r="O807" s="2" t="s">
        <v>25203</v>
      </c>
      <c r="P807" s="2" t="s">
        <v>25204</v>
      </c>
      <c r="Q807" s="2" t="s">
        <v>25205</v>
      </c>
      <c r="R807" s="2" t="s">
        <v>412</v>
      </c>
      <c r="S807" s="2" t="s">
        <v>7462</v>
      </c>
      <c r="T807" s="2" t="s">
        <v>25206</v>
      </c>
      <c r="U807" s="2" t="s">
        <v>56</v>
      </c>
      <c r="V807" s="2" t="n">
        <v>2</v>
      </c>
    </row>
    <row r="808">
      <c r="A808" s="2" t="n">
        <v>807</v>
      </c>
      <c r="B808" s="2" t="s">
        <v>25207</v>
      </c>
      <c r="C808" s="2" t="n">
        <v>972.506433746</v>
      </c>
      <c r="D808" s="2" t="n">
        <v>4.06227309009012</v>
      </c>
      <c r="E808" s="2" t="s">
        <v>25208</v>
      </c>
      <c r="F808" s="2" t="s">
        <v>17137</v>
      </c>
      <c r="G808" s="2" t="s">
        <v>25209</v>
      </c>
      <c r="H808" s="2" t="s">
        <v>25210</v>
      </c>
      <c r="I808" s="2" t="s">
        <v>25211</v>
      </c>
      <c r="J808" s="2" t="s">
        <v>29</v>
      </c>
      <c r="K808" s="2" t="s">
        <v>29</v>
      </c>
      <c r="L808" s="2" t="s">
        <v>29</v>
      </c>
      <c r="M808" s="2" t="s">
        <v>25212</v>
      </c>
      <c r="N808" s="2" t="s">
        <v>25213</v>
      </c>
      <c r="O808" s="2" t="s">
        <v>25214</v>
      </c>
      <c r="P808" s="2" t="s">
        <v>25215</v>
      </c>
      <c r="Q808" s="2" t="s">
        <v>25216</v>
      </c>
      <c r="R808" s="2" t="s">
        <v>114</v>
      </c>
      <c r="S808" s="2" t="s">
        <v>6312</v>
      </c>
      <c r="T808" s="2" t="s">
        <v>6313</v>
      </c>
      <c r="U808" s="2" t="s">
        <v>29</v>
      </c>
      <c r="V808" s="2" t="n">
        <v>1</v>
      </c>
    </row>
    <row r="809">
      <c r="A809" s="2" t="n">
        <v>808</v>
      </c>
      <c r="B809" s="2" t="s">
        <v>25217</v>
      </c>
      <c r="C809" s="2" t="n">
        <v>973.556557446</v>
      </c>
      <c r="D809" s="2" t="n">
        <v>6.54100176467091</v>
      </c>
      <c r="E809" s="2" t="s">
        <v>25218</v>
      </c>
      <c r="F809" s="2" t="s">
        <v>18382</v>
      </c>
      <c r="G809" s="2" t="s">
        <v>25219</v>
      </c>
      <c r="H809" s="2" t="s">
        <v>25220</v>
      </c>
      <c r="I809" s="2" t="s">
        <v>25221</v>
      </c>
      <c r="J809" s="2" t="s">
        <v>25222</v>
      </c>
      <c r="K809" s="2" t="s">
        <v>25223</v>
      </c>
      <c r="L809" s="2" t="s">
        <v>91</v>
      </c>
      <c r="M809" s="2" t="s">
        <v>91</v>
      </c>
      <c r="N809" s="2" t="s">
        <v>25224</v>
      </c>
      <c r="O809" s="2" t="s">
        <v>91</v>
      </c>
      <c r="P809" s="2" t="s">
        <v>25225</v>
      </c>
      <c r="Q809" s="2" t="s">
        <v>25226</v>
      </c>
      <c r="R809" s="2" t="s">
        <v>412</v>
      </c>
      <c r="S809" s="2" t="s">
        <v>10037</v>
      </c>
      <c r="T809" s="2" t="s">
        <v>22157</v>
      </c>
      <c r="U809" s="2" t="s">
        <v>56</v>
      </c>
      <c r="V809" s="2" t="n">
        <v>2</v>
      </c>
    </row>
    <row r="810">
      <c r="A810" s="2" t="n">
        <v>809</v>
      </c>
      <c r="B810" s="2" t="s">
        <v>25227</v>
      </c>
      <c r="C810" s="2" t="n">
        <v>979.569606908</v>
      </c>
      <c r="D810" s="2" t="n">
        <v>9.16025281735136</v>
      </c>
      <c r="E810" s="2" t="s">
        <v>25228</v>
      </c>
      <c r="F810" s="2" t="s">
        <v>17227</v>
      </c>
      <c r="G810" s="2" t="s">
        <v>25229</v>
      </c>
      <c r="H810" s="2" t="s">
        <v>25230</v>
      </c>
      <c r="I810" s="2" t="s">
        <v>25231</v>
      </c>
      <c r="J810" s="2" t="s">
        <v>25232</v>
      </c>
      <c r="K810" s="2" t="s">
        <v>195</v>
      </c>
      <c r="L810" s="2" t="s">
        <v>195</v>
      </c>
      <c r="M810" s="2" t="s">
        <v>195</v>
      </c>
      <c r="N810" s="2" t="s">
        <v>25233</v>
      </c>
      <c r="O810" s="2" t="s">
        <v>195</v>
      </c>
      <c r="P810" s="2" t="s">
        <v>25234</v>
      </c>
      <c r="Q810" s="2" t="s">
        <v>25235</v>
      </c>
      <c r="R810" s="2" t="s">
        <v>25236</v>
      </c>
      <c r="S810" s="2" t="s">
        <v>25237</v>
      </c>
      <c r="T810" s="2" t="s">
        <v>25238</v>
      </c>
      <c r="U810" s="2" t="s">
        <v>56</v>
      </c>
      <c r="V810" s="2" t="n">
        <v>3</v>
      </c>
    </row>
    <row r="811">
      <c r="A811" s="2" t="n">
        <v>810</v>
      </c>
      <c r="B811" s="2" t="s">
        <v>25239</v>
      </c>
      <c r="C811" s="2" t="n">
        <v>1038.558543109</v>
      </c>
      <c r="D811" s="2" t="n">
        <v>3.34970976400616</v>
      </c>
      <c r="E811" s="2" t="s">
        <v>25240</v>
      </c>
      <c r="F811" s="2" t="s">
        <v>17039</v>
      </c>
      <c r="G811" s="2" t="s">
        <v>25241</v>
      </c>
      <c r="H811" s="2" t="s">
        <v>25242</v>
      </c>
      <c r="I811" s="2" t="s">
        <v>25243</v>
      </c>
      <c r="J811" s="2" t="s">
        <v>29</v>
      </c>
      <c r="K811" s="2" t="s">
        <v>29</v>
      </c>
      <c r="L811" s="2" t="s">
        <v>29</v>
      </c>
      <c r="M811" s="2" t="s">
        <v>29</v>
      </c>
      <c r="N811" s="2" t="s">
        <v>25244</v>
      </c>
      <c r="O811" s="2" t="s">
        <v>29</v>
      </c>
      <c r="P811" s="2" t="s">
        <v>25245</v>
      </c>
      <c r="Q811" s="2" t="s">
        <v>25246</v>
      </c>
      <c r="R811" s="2" t="s">
        <v>794</v>
      </c>
      <c r="S811" s="2" t="s">
        <v>7122</v>
      </c>
      <c r="T811" s="2" t="s">
        <v>11022</v>
      </c>
      <c r="U811" s="2" t="s">
        <v>29</v>
      </c>
      <c r="V811" s="2" t="n">
        <v>1</v>
      </c>
    </row>
    <row r="812">
      <c r="A812" s="2" t="n">
        <v>811</v>
      </c>
      <c r="B812" s="2" t="s">
        <v>25247</v>
      </c>
      <c r="C812" s="2" t="n">
        <v>1149.506414616</v>
      </c>
      <c r="D812" s="2" t="n">
        <v>0.484442502242996</v>
      </c>
      <c r="E812" s="2" t="s">
        <v>25248</v>
      </c>
      <c r="F812" s="2" t="s">
        <v>17970</v>
      </c>
      <c r="G812" s="2" t="s">
        <v>25249</v>
      </c>
      <c r="H812" s="2" t="s">
        <v>25250</v>
      </c>
      <c r="I812" s="2" t="s">
        <v>25251</v>
      </c>
      <c r="J812" s="2" t="s">
        <v>29</v>
      </c>
      <c r="K812" s="2" t="s">
        <v>29</v>
      </c>
      <c r="L812" s="2" t="s">
        <v>25252</v>
      </c>
      <c r="M812" s="2" t="s">
        <v>29</v>
      </c>
      <c r="N812" s="2" t="s">
        <v>25253</v>
      </c>
      <c r="O812" s="2" t="s">
        <v>25254</v>
      </c>
      <c r="P812" s="2" t="s">
        <v>25255</v>
      </c>
      <c r="Q812" s="2" t="s">
        <v>25256</v>
      </c>
      <c r="R812" s="2" t="s">
        <v>794</v>
      </c>
      <c r="S812" s="2" t="s">
        <v>1098</v>
      </c>
      <c r="T812" s="2" t="s">
        <v>7646</v>
      </c>
      <c r="U812" s="2" t="s">
        <v>101</v>
      </c>
      <c r="V81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8" max="8" width="45.71" hidden="0" customWidth="1"/>
  </cols>
  <sheetData>
    <row r="1">
      <c r="A1" s="1" t="s">
        <v>0</v>
      </c>
      <c r="B1" s="1" t="s">
        <v>11744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11745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</v>
      </c>
      <c r="V1" s="1" t="s">
        <v>5</v>
      </c>
      <c r="W1" s="1" t="s">
        <v>20</v>
      </c>
    </row>
    <row r="2">
      <c r="A2" s="2" t="n">
        <v>1</v>
      </c>
      <c r="B2" s="2" t="s">
        <v>11746</v>
      </c>
      <c r="C2" s="2" t="s">
        <v>17037</v>
      </c>
      <c r="D2" s="2" t="n">
        <v>71.086115006</v>
      </c>
      <c r="E2" s="2" t="n">
        <v>13.4657505986343</v>
      </c>
      <c r="F2" s="2" t="s">
        <v>25257</v>
      </c>
      <c r="G2" s="2" t="n">
        <v>6085</v>
      </c>
      <c r="H2" s="3" t="str">
        <f>HYPERLINK("http://funmeta.oebiotech.com/network/6085", "http://funmeta.oebiotech.com/network/6085")</f>
      </c>
      <c r="I2" s="2" t="s">
        <v>25258</v>
      </c>
      <c r="J2" s="2" t="s">
        <v>25259</v>
      </c>
      <c r="K2" s="2" t="s">
        <v>25260</v>
      </c>
      <c r="L2" s="2" t="s">
        <v>25261</v>
      </c>
      <c r="M2" s="2" t="s">
        <v>25262</v>
      </c>
      <c r="N2" s="2" t="s">
        <v>25263</v>
      </c>
      <c r="O2" s="2" t="s">
        <v>25264</v>
      </c>
      <c r="P2" s="2" t="s">
        <v>25265</v>
      </c>
      <c r="Q2" s="2" t="s">
        <v>25266</v>
      </c>
      <c r="R2" s="2" t="s">
        <v>129</v>
      </c>
      <c r="S2" s="2" t="s">
        <v>130</v>
      </c>
      <c r="T2" s="2" t="s">
        <v>4133</v>
      </c>
      <c r="U2" s="2" t="s">
        <v>17038</v>
      </c>
      <c r="V2" s="2" t="s">
        <v>17039</v>
      </c>
      <c r="W2" s="2" t="s">
        <v>101</v>
      </c>
    </row>
    <row r="3">
      <c r="A3" s="2" t="n">
        <v>1</v>
      </c>
      <c r="B3" s="2" t="s">
        <v>25267</v>
      </c>
      <c r="C3" s="2" t="s">
        <v>17037</v>
      </c>
      <c r="D3" s="2" t="n">
        <v>71.086115006</v>
      </c>
      <c r="E3" s="2" t="n">
        <v>13.4657505986343</v>
      </c>
      <c r="F3" s="2" t="s">
        <v>25268</v>
      </c>
      <c r="G3" s="2" t="n">
        <v>6089</v>
      </c>
      <c r="H3" s="3" t="str">
        <f>HYPERLINK("http://funmeta.oebiotech.com/network/6089", "http://funmeta.oebiotech.com/network/6089")</f>
      </c>
      <c r="I3" s="2" t="s">
        <v>25269</v>
      </c>
      <c r="J3" s="2" t="s">
        <v>25270</v>
      </c>
      <c r="K3" s="2" t="s">
        <v>25271</v>
      </c>
      <c r="L3" s="2" t="s">
        <v>25272</v>
      </c>
      <c r="M3" s="2" t="s">
        <v>25273</v>
      </c>
      <c r="N3" s="2" t="s">
        <v>25274</v>
      </c>
      <c r="O3" s="2" t="s">
        <v>25275</v>
      </c>
      <c r="P3" s="2" t="s">
        <v>25276</v>
      </c>
      <c r="Q3" s="2" t="s">
        <v>25277</v>
      </c>
      <c r="R3" s="2" t="s">
        <v>129</v>
      </c>
      <c r="S3" s="2" t="s">
        <v>130</v>
      </c>
      <c r="T3" s="2" t="s">
        <v>4133</v>
      </c>
      <c r="U3" s="2" t="s">
        <v>17038</v>
      </c>
      <c r="V3" s="2" t="s">
        <v>17039</v>
      </c>
      <c r="W3" s="2" t="s">
        <v>101</v>
      </c>
    </row>
    <row r="4">
      <c r="A4" s="2" t="n">
        <v>1</v>
      </c>
      <c r="B4" s="2" t="s">
        <v>25278</v>
      </c>
      <c r="C4" s="2" t="s">
        <v>17037</v>
      </c>
      <c r="D4" s="2" t="n">
        <v>71.086115006</v>
      </c>
      <c r="E4" s="2" t="n">
        <v>13.4657505986343</v>
      </c>
      <c r="F4" s="2" t="s">
        <v>25279</v>
      </c>
      <c r="G4" s="2" t="n">
        <v>83305</v>
      </c>
      <c r="H4" s="3" t="str">
        <f>HYPERLINK("http://funmeta.oebiotech.com/network/83305", "http://funmeta.oebiotech.com/network/83305")</f>
      </c>
      <c r="I4" s="2" t="s">
        <v>25280</v>
      </c>
      <c r="J4" s="2" t="s">
        <v>25281</v>
      </c>
      <c r="K4" s="2"/>
      <c r="L4" s="2" t="s">
        <v>25282</v>
      </c>
      <c r="M4" s="2" t="s">
        <v>25283</v>
      </c>
      <c r="N4" s="2" t="s">
        <v>25284</v>
      </c>
      <c r="O4" s="2" t="s">
        <v>25285</v>
      </c>
      <c r="P4" s="2" t="s">
        <v>25286</v>
      </c>
      <c r="Q4" s="2" t="s">
        <v>25287</v>
      </c>
      <c r="R4" s="2" t="s">
        <v>129</v>
      </c>
      <c r="S4" s="2" t="s">
        <v>130</v>
      </c>
      <c r="T4" s="2" t="s">
        <v>4901</v>
      </c>
      <c r="U4" s="2" t="s">
        <v>17038</v>
      </c>
      <c r="V4" s="2" t="s">
        <v>17039</v>
      </c>
      <c r="W4" s="2" t="s">
        <v>101</v>
      </c>
    </row>
    <row r="5">
      <c r="A5" s="2" t="n">
        <v>2</v>
      </c>
      <c r="B5" s="2" t="s">
        <v>11747</v>
      </c>
      <c r="C5" s="2" t="s">
        <v>17052</v>
      </c>
      <c r="D5" s="2" t="n">
        <v>72.081363979</v>
      </c>
      <c r="E5" s="2" t="n">
        <v>14.2084540924338</v>
      </c>
      <c r="F5" s="2" t="s">
        <v>17054</v>
      </c>
      <c r="G5" s="2" t="n">
        <v>56641</v>
      </c>
      <c r="H5" s="3" t="str">
        <f>HYPERLINK("http://funmeta.oebiotech.com/network/56641", "http://funmeta.oebiotech.com/network/56641")</f>
      </c>
      <c r="I5" s="2" t="s">
        <v>17056</v>
      </c>
      <c r="J5" s="2" t="s">
        <v>17057</v>
      </c>
      <c r="K5" s="2"/>
      <c r="L5" s="2" t="s">
        <v>17058</v>
      </c>
      <c r="M5" s="2" t="s">
        <v>17059</v>
      </c>
      <c r="N5" s="2" t="s">
        <v>17060</v>
      </c>
      <c r="O5" s="2" t="s">
        <v>17061</v>
      </c>
      <c r="P5" s="2" t="s">
        <v>17062</v>
      </c>
      <c r="Q5" s="2" t="s">
        <v>17063</v>
      </c>
      <c r="R5" s="2" t="s">
        <v>601</v>
      </c>
      <c r="S5" s="2" t="s">
        <v>602</v>
      </c>
      <c r="T5" s="2" t="s">
        <v>1800</v>
      </c>
      <c r="U5" s="2" t="s">
        <v>17053</v>
      </c>
      <c r="V5" s="2" t="s">
        <v>17039</v>
      </c>
      <c r="W5" s="2" t="s">
        <v>101</v>
      </c>
    </row>
    <row r="6">
      <c r="A6" s="2" t="n">
        <v>3</v>
      </c>
      <c r="B6" s="2" t="s">
        <v>11777</v>
      </c>
      <c r="C6" s="2" t="s">
        <v>17064</v>
      </c>
      <c r="D6" s="2" t="n">
        <v>73.065379564</v>
      </c>
      <c r="E6" s="2" t="n">
        <v>9.43704983172023</v>
      </c>
      <c r="F6" s="2" t="s">
        <v>25288</v>
      </c>
      <c r="G6" s="2" t="n">
        <v>55895</v>
      </c>
      <c r="H6" s="3" t="str">
        <f>HYPERLINK("http://funmeta.oebiotech.com/network/55895", "http://funmeta.oebiotech.com/network/55895")</f>
      </c>
      <c r="I6" s="2" t="s">
        <v>25289</v>
      </c>
      <c r="J6" s="2" t="s">
        <v>25290</v>
      </c>
      <c r="K6" s="2"/>
      <c r="L6" s="2" t="s">
        <v>25291</v>
      </c>
      <c r="M6" s="2" t="s">
        <v>25292</v>
      </c>
      <c r="N6" s="2" t="s">
        <v>25293</v>
      </c>
      <c r="O6" s="2" t="s">
        <v>25294</v>
      </c>
      <c r="P6" s="2" t="s">
        <v>25295</v>
      </c>
      <c r="Q6" s="2" t="s">
        <v>25296</v>
      </c>
      <c r="R6" s="2" t="s">
        <v>129</v>
      </c>
      <c r="S6" s="2" t="s">
        <v>130</v>
      </c>
      <c r="T6" s="2" t="s">
        <v>4133</v>
      </c>
      <c r="U6" s="2" t="s">
        <v>17065</v>
      </c>
      <c r="V6" s="2" t="s">
        <v>17039</v>
      </c>
      <c r="W6" s="2" t="s">
        <v>56</v>
      </c>
    </row>
    <row r="7">
      <c r="A7" s="2" t="n">
        <v>3</v>
      </c>
      <c r="B7" s="2" t="s">
        <v>25297</v>
      </c>
      <c r="C7" s="2" t="s">
        <v>17064</v>
      </c>
      <c r="D7" s="2" t="n">
        <v>73.065379564</v>
      </c>
      <c r="E7" s="2" t="n">
        <v>9.43704983172023</v>
      </c>
      <c r="F7" s="2" t="s">
        <v>25298</v>
      </c>
      <c r="G7" s="2" t="n">
        <v>48034</v>
      </c>
      <c r="H7" s="3" t="str">
        <f>HYPERLINK("http://funmeta.oebiotech.com/network/48034", "http://funmeta.oebiotech.com/network/48034")</f>
      </c>
      <c r="I7" s="2" t="s">
        <v>25299</v>
      </c>
      <c r="J7" s="2" t="s">
        <v>25300</v>
      </c>
      <c r="K7" s="2"/>
      <c r="L7" s="2" t="s">
        <v>25301</v>
      </c>
      <c r="M7" s="2" t="s">
        <v>25302</v>
      </c>
      <c r="N7" s="2" t="s">
        <v>25303</v>
      </c>
      <c r="O7" s="2" t="s">
        <v>25304</v>
      </c>
      <c r="P7" s="2" t="s">
        <v>25305</v>
      </c>
      <c r="Q7" s="2" t="s">
        <v>25306</v>
      </c>
      <c r="R7" s="2" t="s">
        <v>129</v>
      </c>
      <c r="S7" s="2" t="s">
        <v>130</v>
      </c>
      <c r="T7" s="2" t="s">
        <v>4133</v>
      </c>
      <c r="U7" s="2" t="s">
        <v>17065</v>
      </c>
      <c r="V7" s="2" t="s">
        <v>17039</v>
      </c>
      <c r="W7" s="2" t="s">
        <v>56</v>
      </c>
    </row>
    <row r="8">
      <c r="A8" s="2" t="n">
        <v>3</v>
      </c>
      <c r="B8" s="2" t="s">
        <v>25307</v>
      </c>
      <c r="C8" s="2" t="s">
        <v>17064</v>
      </c>
      <c r="D8" s="2" t="n">
        <v>73.065379564</v>
      </c>
      <c r="E8" s="2" t="n">
        <v>9.43704983172023</v>
      </c>
      <c r="F8" s="2" t="s">
        <v>25308</v>
      </c>
      <c r="G8" s="2" t="n">
        <v>55817</v>
      </c>
      <c r="H8" s="3" t="str">
        <f>HYPERLINK("http://funmeta.oebiotech.com/network/55817", "http://funmeta.oebiotech.com/network/55817")</f>
      </c>
      <c r="I8" s="2" t="s">
        <v>25309</v>
      </c>
      <c r="J8" s="2" t="s">
        <v>25310</v>
      </c>
      <c r="K8" s="2"/>
      <c r="L8" s="2" t="s">
        <v>25311</v>
      </c>
      <c r="M8" s="2" t="s">
        <v>25312</v>
      </c>
      <c r="N8" s="2" t="s">
        <v>25313</v>
      </c>
      <c r="O8" s="2" t="s">
        <v>25314</v>
      </c>
      <c r="P8" s="2" t="s">
        <v>25315</v>
      </c>
      <c r="Q8" s="2" t="s">
        <v>25316</v>
      </c>
      <c r="R8" s="2" t="s">
        <v>129</v>
      </c>
      <c r="S8" s="2" t="s">
        <v>130</v>
      </c>
      <c r="T8" s="2" t="s">
        <v>4901</v>
      </c>
      <c r="U8" s="2" t="s">
        <v>17065</v>
      </c>
      <c r="V8" s="2" t="s">
        <v>17039</v>
      </c>
      <c r="W8" s="2" t="s">
        <v>56</v>
      </c>
    </row>
    <row r="9">
      <c r="A9" s="2" t="n">
        <v>4</v>
      </c>
      <c r="B9" s="2" t="s">
        <v>11778</v>
      </c>
      <c r="C9" s="2" t="s">
        <v>17076</v>
      </c>
      <c r="D9" s="2" t="n">
        <v>81.070464942</v>
      </c>
      <c r="E9" s="2" t="n">
        <v>12.0125039276367</v>
      </c>
      <c r="F9" s="2" t="s">
        <v>25317</v>
      </c>
      <c r="G9" s="2" t="n">
        <v>6575</v>
      </c>
      <c r="H9" s="3" t="str">
        <f>HYPERLINK("http://funmeta.oebiotech.com/network/6575", "http://funmeta.oebiotech.com/network/6575")</f>
      </c>
      <c r="I9" s="2" t="s">
        <v>25318</v>
      </c>
      <c r="J9" s="2" t="s">
        <v>25319</v>
      </c>
      <c r="K9" s="2" t="s">
        <v>25320</v>
      </c>
      <c r="L9" s="2" t="s">
        <v>25321</v>
      </c>
      <c r="M9" s="2" t="s">
        <v>25322</v>
      </c>
      <c r="N9" s="2" t="s">
        <v>25323</v>
      </c>
      <c r="O9" s="2" t="s">
        <v>25324</v>
      </c>
      <c r="P9" s="2" t="s">
        <v>25325</v>
      </c>
      <c r="Q9" s="2" t="s">
        <v>25326</v>
      </c>
      <c r="R9" s="2" t="s">
        <v>129</v>
      </c>
      <c r="S9" s="2" t="s">
        <v>130</v>
      </c>
      <c r="T9" s="2" t="s">
        <v>131</v>
      </c>
      <c r="U9" s="2" t="s">
        <v>17077</v>
      </c>
      <c r="V9" s="2" t="s">
        <v>17039</v>
      </c>
      <c r="W9" s="2" t="s">
        <v>56</v>
      </c>
    </row>
    <row r="10">
      <c r="A10" s="2" t="n">
        <v>4</v>
      </c>
      <c r="B10" s="2" t="s">
        <v>25327</v>
      </c>
      <c r="C10" s="2" t="s">
        <v>17076</v>
      </c>
      <c r="D10" s="2" t="n">
        <v>81.070464942</v>
      </c>
      <c r="E10" s="2" t="n">
        <v>12.0125039276367</v>
      </c>
      <c r="F10" s="2" t="s">
        <v>25328</v>
      </c>
      <c r="G10" s="2" t="n">
        <v>6468</v>
      </c>
      <c r="H10" s="3" t="str">
        <f>HYPERLINK("http://funmeta.oebiotech.com/network/6468", "http://funmeta.oebiotech.com/network/6468")</f>
      </c>
      <c r="I10" s="2" t="s">
        <v>25329</v>
      </c>
      <c r="J10" s="2" t="s">
        <v>25330</v>
      </c>
      <c r="K10" s="2" t="s">
        <v>25331</v>
      </c>
      <c r="L10" s="2" t="s">
        <v>25332</v>
      </c>
      <c r="M10" s="2" t="s">
        <v>25333</v>
      </c>
      <c r="N10" s="2" t="s">
        <v>25334</v>
      </c>
      <c r="O10" s="2" t="s">
        <v>25335</v>
      </c>
      <c r="P10" s="2" t="s">
        <v>25336</v>
      </c>
      <c r="Q10" s="2" t="s">
        <v>25337</v>
      </c>
      <c r="R10" s="2" t="s">
        <v>129</v>
      </c>
      <c r="S10" s="2" t="s">
        <v>130</v>
      </c>
      <c r="T10" s="2" t="s">
        <v>131</v>
      </c>
      <c r="U10" s="2" t="s">
        <v>17077</v>
      </c>
      <c r="V10" s="2" t="s">
        <v>17039</v>
      </c>
      <c r="W10" s="2" t="s">
        <v>56</v>
      </c>
    </row>
    <row r="11">
      <c r="A11" s="2" t="n">
        <v>4</v>
      </c>
      <c r="B11" s="2" t="s">
        <v>25338</v>
      </c>
      <c r="C11" s="2" t="s">
        <v>17076</v>
      </c>
      <c r="D11" s="2" t="n">
        <v>81.070464942</v>
      </c>
      <c r="E11" s="2" t="n">
        <v>12.0125039276367</v>
      </c>
      <c r="F11" s="2" t="s">
        <v>25339</v>
      </c>
      <c r="G11" s="2" t="n">
        <v>48053</v>
      </c>
      <c r="H11" s="3" t="str">
        <f>HYPERLINK("http://funmeta.oebiotech.com/network/48053", "http://funmeta.oebiotech.com/network/48053")</f>
      </c>
      <c r="I11" s="2" t="s">
        <v>25340</v>
      </c>
      <c r="J11" s="2" t="s">
        <v>25341</v>
      </c>
      <c r="K11" s="2"/>
      <c r="L11" s="2" t="s">
        <v>25342</v>
      </c>
      <c r="M11" s="2" t="s">
        <v>25343</v>
      </c>
      <c r="N11" s="2" t="s">
        <v>25344</v>
      </c>
      <c r="O11" s="2" t="s">
        <v>25345</v>
      </c>
      <c r="P11" s="2" t="s">
        <v>25346</v>
      </c>
      <c r="Q11" s="2" t="s">
        <v>25347</v>
      </c>
      <c r="R11" s="2" t="s">
        <v>129</v>
      </c>
      <c r="S11" s="2" t="s">
        <v>130</v>
      </c>
      <c r="T11" s="2" t="s">
        <v>131</v>
      </c>
      <c r="U11" s="2" t="s">
        <v>17077</v>
      </c>
      <c r="V11" s="2" t="s">
        <v>17039</v>
      </c>
      <c r="W11" s="2" t="s">
        <v>56</v>
      </c>
    </row>
    <row r="12">
      <c r="A12" s="2" t="n">
        <v>5</v>
      </c>
      <c r="B12" s="2" t="s">
        <v>11779</v>
      </c>
      <c r="C12" s="2" t="s">
        <v>17090</v>
      </c>
      <c r="D12" s="2" t="n">
        <v>83.086115006</v>
      </c>
      <c r="E12" s="2" t="n">
        <v>5.6535857557363</v>
      </c>
      <c r="F12" s="2" t="s">
        <v>25348</v>
      </c>
      <c r="G12" s="2" t="n">
        <v>6574</v>
      </c>
      <c r="H12" s="3" t="str">
        <f>HYPERLINK("http://funmeta.oebiotech.com/network/6574", "http://funmeta.oebiotech.com/network/6574")</f>
      </c>
      <c r="I12" s="2" t="s">
        <v>25349</v>
      </c>
      <c r="J12" s="2" t="s">
        <v>25350</v>
      </c>
      <c r="K12" s="2" t="s">
        <v>25351</v>
      </c>
      <c r="L12" s="2" t="s">
        <v>25352</v>
      </c>
      <c r="M12" s="2" t="s">
        <v>2764</v>
      </c>
      <c r="N12" s="2" t="s">
        <v>25353</v>
      </c>
      <c r="O12" s="2" t="s">
        <v>25354</v>
      </c>
      <c r="P12" s="2" t="s">
        <v>25355</v>
      </c>
      <c r="Q12" s="2" t="s">
        <v>25356</v>
      </c>
      <c r="R12" s="2" t="s">
        <v>129</v>
      </c>
      <c r="S12" s="2" t="s">
        <v>130</v>
      </c>
      <c r="T12" s="2" t="s">
        <v>131</v>
      </c>
      <c r="U12" s="2" t="s">
        <v>17091</v>
      </c>
      <c r="V12" s="2" t="s">
        <v>17039</v>
      </c>
      <c r="W12" s="2" t="s">
        <v>56</v>
      </c>
    </row>
    <row r="13">
      <c r="A13" s="2" t="n">
        <v>5</v>
      </c>
      <c r="B13" s="2" t="s">
        <v>11789</v>
      </c>
      <c r="C13" s="2" t="s">
        <v>17090</v>
      </c>
      <c r="D13" s="2" t="n">
        <v>83.086115006</v>
      </c>
      <c r="E13" s="2" t="n">
        <v>5.6535857557363</v>
      </c>
      <c r="F13" s="2" t="s">
        <v>25357</v>
      </c>
      <c r="G13" s="2" t="n">
        <v>9859</v>
      </c>
      <c r="H13" s="3" t="str">
        <f>HYPERLINK("http://funmeta.oebiotech.com/network/9859", "http://funmeta.oebiotech.com/network/9859")</f>
      </c>
      <c r="I13" s="2" t="s">
        <v>25358</v>
      </c>
      <c r="J13" s="2" t="s">
        <v>25359</v>
      </c>
      <c r="K13" s="2" t="s">
        <v>25360</v>
      </c>
      <c r="L13" s="2" t="s">
        <v>25361</v>
      </c>
      <c r="M13" s="2" t="s">
        <v>25362</v>
      </c>
      <c r="N13" s="2" t="s">
        <v>25363</v>
      </c>
      <c r="O13" s="2" t="s">
        <v>25364</v>
      </c>
      <c r="P13" s="2" t="s">
        <v>25365</v>
      </c>
      <c r="Q13" s="2" t="s">
        <v>25366</v>
      </c>
      <c r="R13" s="2" t="s">
        <v>129</v>
      </c>
      <c r="S13" s="2" t="s">
        <v>130</v>
      </c>
      <c r="T13" s="2" t="s">
        <v>131</v>
      </c>
      <c r="U13" s="2" t="s">
        <v>17091</v>
      </c>
      <c r="V13" s="2" t="s">
        <v>17039</v>
      </c>
      <c r="W13" s="2" t="s">
        <v>56</v>
      </c>
    </row>
    <row r="14">
      <c r="A14" s="2" t="n">
        <v>5</v>
      </c>
      <c r="B14" s="2" t="s">
        <v>25367</v>
      </c>
      <c r="C14" s="2" t="s">
        <v>17090</v>
      </c>
      <c r="D14" s="2" t="n">
        <v>83.086115006</v>
      </c>
      <c r="E14" s="2" t="n">
        <v>5.6535857557363</v>
      </c>
      <c r="F14" s="2" t="s">
        <v>25368</v>
      </c>
      <c r="G14" s="2" t="n">
        <v>47514</v>
      </c>
      <c r="H14" s="3" t="str">
        <f>HYPERLINK("http://funmeta.oebiotech.com/network/47514", "http://funmeta.oebiotech.com/network/47514")</f>
      </c>
      <c r="I14" s="2" t="s">
        <v>25369</v>
      </c>
      <c r="J14" s="2" t="s">
        <v>25370</v>
      </c>
      <c r="K14" s="2"/>
      <c r="L14" s="2" t="s">
        <v>25352</v>
      </c>
      <c r="M14" s="2" t="s">
        <v>25371</v>
      </c>
      <c r="N14" s="2" t="s">
        <v>12168</v>
      </c>
      <c r="O14" s="2" t="s">
        <v>25372</v>
      </c>
      <c r="P14" s="2" t="s">
        <v>25373</v>
      </c>
      <c r="Q14" s="2" t="s">
        <v>25374</v>
      </c>
      <c r="R14" s="2" t="s">
        <v>129</v>
      </c>
      <c r="S14" s="2" t="s">
        <v>130</v>
      </c>
      <c r="T14" s="2" t="s">
        <v>131</v>
      </c>
      <c r="U14" s="2" t="s">
        <v>17091</v>
      </c>
      <c r="V14" s="2" t="s">
        <v>17039</v>
      </c>
      <c r="W14" s="2" t="s">
        <v>56</v>
      </c>
    </row>
    <row r="15">
      <c r="A15" s="2" t="n">
        <v>6</v>
      </c>
      <c r="B15" s="2" t="s">
        <v>11799</v>
      </c>
      <c r="C15" s="2" t="s">
        <v>17103</v>
      </c>
      <c r="D15" s="2" t="n">
        <v>84.044978473</v>
      </c>
      <c r="E15" s="2" t="n">
        <v>0.742174525899021</v>
      </c>
      <c r="F15" s="2" t="s">
        <v>25375</v>
      </c>
      <c r="G15" s="2" t="n">
        <v>54348</v>
      </c>
      <c r="H15" s="3" t="str">
        <f>HYPERLINK("http://funmeta.oebiotech.com/network/54348", "http://funmeta.oebiotech.com/network/54348")</f>
      </c>
      <c r="I15" s="2" t="s">
        <v>25376</v>
      </c>
      <c r="J15" s="2" t="s">
        <v>25377</v>
      </c>
      <c r="K15" s="2"/>
      <c r="L15" s="2" t="s">
        <v>25378</v>
      </c>
      <c r="M15" s="2" t="s">
        <v>25379</v>
      </c>
      <c r="N15" s="2" t="s">
        <v>25380</v>
      </c>
      <c r="O15" s="2" t="s">
        <v>25381</v>
      </c>
      <c r="P15" s="2" t="s">
        <v>25382</v>
      </c>
      <c r="Q15" s="2" t="s">
        <v>25383</v>
      </c>
      <c r="R15" s="2" t="s">
        <v>36</v>
      </c>
      <c r="S15" s="2" t="s">
        <v>37</v>
      </c>
      <c r="T15" s="2" t="s">
        <v>69</v>
      </c>
      <c r="U15" s="2" t="s">
        <v>17104</v>
      </c>
      <c r="V15" s="2" t="s">
        <v>17039</v>
      </c>
      <c r="W15" s="2" t="s">
        <v>56</v>
      </c>
    </row>
    <row r="16">
      <c r="A16" s="2" t="n">
        <v>6</v>
      </c>
      <c r="B16" s="2" t="s">
        <v>25384</v>
      </c>
      <c r="C16" s="2" t="s">
        <v>17103</v>
      </c>
      <c r="D16" s="2" t="n">
        <v>84.044978473</v>
      </c>
      <c r="E16" s="2" t="n">
        <v>0.742174525899021</v>
      </c>
      <c r="F16" s="2" t="s">
        <v>25385</v>
      </c>
      <c r="G16" s="2" t="n">
        <v>60212</v>
      </c>
      <c r="H16" s="3" t="str">
        <f>HYPERLINK("http://funmeta.oebiotech.com/network/60212", "http://funmeta.oebiotech.com/network/60212")</f>
      </c>
      <c r="I16" s="2" t="s">
        <v>25386</v>
      </c>
      <c r="J16" s="2" t="s">
        <v>19965</v>
      </c>
      <c r="K16" s="2"/>
      <c r="L16" s="2" t="s">
        <v>25387</v>
      </c>
      <c r="M16" s="2" t="s">
        <v>25388</v>
      </c>
      <c r="N16" s="2" t="s">
        <v>25389</v>
      </c>
      <c r="O16" s="2" t="s">
        <v>25390</v>
      </c>
      <c r="P16" s="2" t="s">
        <v>25391</v>
      </c>
      <c r="Q16" s="2" t="s">
        <v>25392</v>
      </c>
      <c r="R16" s="2" t="s">
        <v>36</v>
      </c>
      <c r="S16" s="2" t="s">
        <v>37</v>
      </c>
      <c r="T16" s="2" t="s">
        <v>69</v>
      </c>
      <c r="U16" s="2" t="s">
        <v>17104</v>
      </c>
      <c r="V16" s="2" t="s">
        <v>17039</v>
      </c>
      <c r="W16" s="2" t="s">
        <v>56</v>
      </c>
    </row>
    <row r="17">
      <c r="A17" s="2" t="n">
        <v>7</v>
      </c>
      <c r="B17" s="2" t="s">
        <v>11800</v>
      </c>
      <c r="C17" s="2" t="s">
        <v>17115</v>
      </c>
      <c r="D17" s="2" t="n">
        <v>84.081324325</v>
      </c>
      <c r="E17" s="2" t="n">
        <v>10.8816701527647</v>
      </c>
      <c r="F17" s="2" t="s">
        <v>17118</v>
      </c>
      <c r="G17" s="2" t="n">
        <v>82200</v>
      </c>
      <c r="H17" s="3" t="str">
        <f>HYPERLINK("http://funmeta.oebiotech.com/network/82200", "http://funmeta.oebiotech.com/network/82200")</f>
      </c>
      <c r="I17" s="2" t="s">
        <v>17120</v>
      </c>
      <c r="J17" s="2" t="s">
        <v>17121</v>
      </c>
      <c r="K17" s="2"/>
      <c r="L17" s="2" t="s">
        <v>17122</v>
      </c>
      <c r="M17" s="2" t="s">
        <v>17123</v>
      </c>
      <c r="N17" s="2" t="s">
        <v>17124</v>
      </c>
      <c r="O17" s="2"/>
      <c r="P17" s="2" t="s">
        <v>17125</v>
      </c>
      <c r="Q17" s="2" t="s">
        <v>17126</v>
      </c>
      <c r="R17" s="2" t="s">
        <v>114</v>
      </c>
      <c r="S17" s="2" t="s">
        <v>453</v>
      </c>
      <c r="T17" s="2" t="s">
        <v>215</v>
      </c>
      <c r="U17" s="2" t="s">
        <v>17116</v>
      </c>
      <c r="V17" s="2" t="s">
        <v>17117</v>
      </c>
      <c r="W17" s="2" t="s">
        <v>56</v>
      </c>
    </row>
    <row r="18">
      <c r="A18" s="2" t="n">
        <v>8</v>
      </c>
      <c r="B18" s="2" t="s">
        <v>11801</v>
      </c>
      <c r="C18" s="2" t="s">
        <v>17127</v>
      </c>
      <c r="D18" s="2" t="n">
        <v>86.096974389</v>
      </c>
      <c r="E18" s="2" t="n">
        <v>8.16697710879311</v>
      </c>
      <c r="F18" s="2" t="s">
        <v>17129</v>
      </c>
      <c r="G18" s="2" t="n">
        <v>81980</v>
      </c>
      <c r="H18" s="3" t="str">
        <f>HYPERLINK("http://funmeta.oebiotech.com/network/81980", "http://funmeta.oebiotech.com/network/81980")</f>
      </c>
      <c r="I18" s="2" t="s">
        <v>17131</v>
      </c>
      <c r="J18" s="2"/>
      <c r="K18" s="2"/>
      <c r="L18" s="2"/>
      <c r="M18" s="2"/>
      <c r="N18" s="2" t="s">
        <v>17132</v>
      </c>
      <c r="O18" s="2"/>
      <c r="P18" s="2" t="s">
        <v>17133</v>
      </c>
      <c r="Q18" s="2" t="s">
        <v>17134</v>
      </c>
      <c r="R18" s="2" t="s">
        <v>601</v>
      </c>
      <c r="S18" s="2" t="s">
        <v>602</v>
      </c>
      <c r="T18" s="2" t="s">
        <v>8583</v>
      </c>
      <c r="U18" s="2" t="s">
        <v>17128</v>
      </c>
      <c r="V18" s="2" t="s">
        <v>17117</v>
      </c>
      <c r="W18" s="2" t="s">
        <v>56</v>
      </c>
    </row>
    <row r="19">
      <c r="A19" s="2" t="n">
        <v>9</v>
      </c>
      <c r="B19" s="2" t="s">
        <v>11821</v>
      </c>
      <c r="C19" s="2" t="s">
        <v>17135</v>
      </c>
      <c r="D19" s="2" t="n">
        <v>87.044055436</v>
      </c>
      <c r="E19" s="2" t="n">
        <v>13.7405090017384</v>
      </c>
      <c r="F19" s="2" t="s">
        <v>17138</v>
      </c>
      <c r="G19" s="2" t="n">
        <v>692</v>
      </c>
      <c r="H19" s="3" t="str">
        <f>HYPERLINK("http://funmeta.oebiotech.com/network/692", "http://funmeta.oebiotech.com/network/692")</f>
      </c>
      <c r="I19" s="2" t="s">
        <v>17139</v>
      </c>
      <c r="J19" s="2" t="s">
        <v>17140</v>
      </c>
      <c r="K19" s="2" t="s">
        <v>17141</v>
      </c>
      <c r="L19" s="2" t="s">
        <v>17142</v>
      </c>
      <c r="M19" s="2" t="s">
        <v>17143</v>
      </c>
      <c r="N19" s="2" t="s">
        <v>17144</v>
      </c>
      <c r="O19" s="2" t="s">
        <v>17145</v>
      </c>
      <c r="P19" s="2" t="s">
        <v>17146</v>
      </c>
      <c r="Q19" s="2" t="s">
        <v>17147</v>
      </c>
      <c r="R19" s="2" t="s">
        <v>794</v>
      </c>
      <c r="S19" s="2" t="s">
        <v>795</v>
      </c>
      <c r="T19" s="2" t="s">
        <v>796</v>
      </c>
      <c r="U19" s="2" t="s">
        <v>17136</v>
      </c>
      <c r="V19" s="2" t="s">
        <v>17137</v>
      </c>
      <c r="W19" s="2" t="s">
        <v>39</v>
      </c>
    </row>
    <row r="20">
      <c r="A20" s="2" t="n">
        <v>10</v>
      </c>
      <c r="B20" s="2" t="s">
        <v>11822</v>
      </c>
      <c r="C20" s="2" t="s">
        <v>17148</v>
      </c>
      <c r="D20" s="2" t="n">
        <v>88.076278601</v>
      </c>
      <c r="E20" s="2" t="n">
        <v>7.27080829497804</v>
      </c>
      <c r="F20" s="2" t="s">
        <v>17150</v>
      </c>
      <c r="G20" s="2" t="n">
        <v>48290</v>
      </c>
      <c r="H20" s="3" t="str">
        <f>HYPERLINK("http://funmeta.oebiotech.com/network/48290", "http://funmeta.oebiotech.com/network/48290")</f>
      </c>
      <c r="I20" s="2" t="s">
        <v>17152</v>
      </c>
      <c r="J20" s="2" t="s">
        <v>17153</v>
      </c>
      <c r="K20" s="2"/>
      <c r="L20" s="2" t="s">
        <v>17154</v>
      </c>
      <c r="M20" s="2" t="s">
        <v>17155</v>
      </c>
      <c r="N20" s="2" t="s">
        <v>17156</v>
      </c>
      <c r="O20" s="2" t="s">
        <v>17157</v>
      </c>
      <c r="P20" s="2" t="s">
        <v>17158</v>
      </c>
      <c r="Q20" s="2" t="s">
        <v>17159</v>
      </c>
      <c r="R20" s="2" t="s">
        <v>601</v>
      </c>
      <c r="S20" s="2" t="s">
        <v>602</v>
      </c>
      <c r="T20" s="2" t="s">
        <v>1800</v>
      </c>
      <c r="U20" s="2" t="s">
        <v>17149</v>
      </c>
      <c r="V20" s="2" t="s">
        <v>17039</v>
      </c>
      <c r="W20" s="2" t="s">
        <v>56</v>
      </c>
    </row>
    <row r="21">
      <c r="A21" s="2" t="n">
        <v>11</v>
      </c>
      <c r="B21" s="2" t="s">
        <v>11823</v>
      </c>
      <c r="C21" s="2" t="s">
        <v>17160</v>
      </c>
      <c r="D21" s="2" t="n">
        <v>89.070938888</v>
      </c>
      <c r="E21" s="2" t="n">
        <v>11.9796520874111</v>
      </c>
      <c r="F21" s="2" t="s">
        <v>17162</v>
      </c>
      <c r="G21" s="2" t="n">
        <v>54188</v>
      </c>
      <c r="H21" s="3" t="str">
        <f>HYPERLINK("http://funmeta.oebiotech.com/network/54188", "http://funmeta.oebiotech.com/network/54188")</f>
      </c>
      <c r="I21" s="2" t="s">
        <v>17164</v>
      </c>
      <c r="J21" s="2" t="s">
        <v>17165</v>
      </c>
      <c r="K21" s="2"/>
      <c r="L21" s="2" t="s">
        <v>17166</v>
      </c>
      <c r="M21" s="2" t="s">
        <v>17167</v>
      </c>
      <c r="N21" s="2" t="s">
        <v>17168</v>
      </c>
      <c r="O21" s="2" t="s">
        <v>17169</v>
      </c>
      <c r="P21" s="2" t="s">
        <v>17170</v>
      </c>
      <c r="Q21" s="2" t="s">
        <v>17171</v>
      </c>
      <c r="R21" s="2" t="s">
        <v>36</v>
      </c>
      <c r="S21" s="2" t="s">
        <v>282</v>
      </c>
      <c r="T21" s="2" t="s">
        <v>283</v>
      </c>
      <c r="U21" s="2" t="s">
        <v>17161</v>
      </c>
      <c r="V21" s="2" t="s">
        <v>17137</v>
      </c>
      <c r="W21" s="2" t="s">
        <v>56</v>
      </c>
    </row>
    <row r="22">
      <c r="A22" s="2" t="n">
        <v>12</v>
      </c>
      <c r="B22" s="2" t="s">
        <v>11824</v>
      </c>
      <c r="C22" s="2" t="s">
        <v>17172</v>
      </c>
      <c r="D22" s="2" t="n">
        <v>91.054814878</v>
      </c>
      <c r="E22" s="2" t="n">
        <v>6.00749802586871</v>
      </c>
      <c r="F22" s="2" t="s">
        <v>17174</v>
      </c>
      <c r="G22" s="2" t="n">
        <v>47679</v>
      </c>
      <c r="H22" s="3" t="str">
        <f>HYPERLINK("http://funmeta.oebiotech.com/network/47679", "http://funmeta.oebiotech.com/network/47679")</f>
      </c>
      <c r="I22" s="2" t="s">
        <v>17176</v>
      </c>
      <c r="J22" s="2" t="s">
        <v>17177</v>
      </c>
      <c r="K22" s="2"/>
      <c r="L22" s="2" t="s">
        <v>17178</v>
      </c>
      <c r="M22" s="2" t="s">
        <v>17179</v>
      </c>
      <c r="N22" s="2" t="s">
        <v>17180</v>
      </c>
      <c r="O22" s="2" t="s">
        <v>17181</v>
      </c>
      <c r="P22" s="2" t="s">
        <v>17182</v>
      </c>
      <c r="Q22" s="2" t="s">
        <v>17183</v>
      </c>
      <c r="R22" s="2" t="s">
        <v>186</v>
      </c>
      <c r="S22" s="2" t="s">
        <v>357</v>
      </c>
      <c r="T22" s="2" t="s">
        <v>17184</v>
      </c>
      <c r="U22" s="2" t="s">
        <v>17173</v>
      </c>
      <c r="V22" s="2" t="s">
        <v>17039</v>
      </c>
      <c r="W22" s="2" t="s">
        <v>39</v>
      </c>
    </row>
    <row r="23">
      <c r="A23" s="2" t="n">
        <v>13</v>
      </c>
      <c r="B23" s="2" t="s">
        <v>11846</v>
      </c>
      <c r="C23" s="2" t="s">
        <v>17185</v>
      </c>
      <c r="D23" s="2" t="n">
        <v>95.086115006</v>
      </c>
      <c r="E23" s="2" t="n">
        <v>13.6998075299743</v>
      </c>
      <c r="F23" s="2" t="s">
        <v>25393</v>
      </c>
      <c r="G23" s="2" t="n">
        <v>9916</v>
      </c>
      <c r="H23" s="3" t="str">
        <f>HYPERLINK("http://funmeta.oebiotech.com/network/9916", "http://funmeta.oebiotech.com/network/9916")</f>
      </c>
      <c r="I23" s="2" t="s">
        <v>25394</v>
      </c>
      <c r="J23" s="2" t="s">
        <v>25395</v>
      </c>
      <c r="K23" s="2" t="s">
        <v>25396</v>
      </c>
      <c r="L23" s="2"/>
      <c r="M23" s="2"/>
      <c r="N23" s="2" t="s">
        <v>25397</v>
      </c>
      <c r="O23" s="2" t="s">
        <v>25398</v>
      </c>
      <c r="P23" s="2" t="s">
        <v>25399</v>
      </c>
      <c r="Q23" s="2" t="s">
        <v>25400</v>
      </c>
      <c r="R23" s="2" t="s">
        <v>129</v>
      </c>
      <c r="S23" s="2" t="s">
        <v>130</v>
      </c>
      <c r="T23" s="2" t="s">
        <v>131</v>
      </c>
      <c r="U23" s="2" t="s">
        <v>17186</v>
      </c>
      <c r="V23" s="2" t="s">
        <v>17039</v>
      </c>
      <c r="W23" s="2" t="s">
        <v>56</v>
      </c>
    </row>
    <row r="24">
      <c r="A24" s="2" t="n">
        <v>13</v>
      </c>
      <c r="B24" s="2" t="s">
        <v>25401</v>
      </c>
      <c r="C24" s="2" t="s">
        <v>17185</v>
      </c>
      <c r="D24" s="2" t="n">
        <v>95.086115006</v>
      </c>
      <c r="E24" s="2" t="n">
        <v>13.6998075299743</v>
      </c>
      <c r="F24" s="2" t="s">
        <v>25402</v>
      </c>
      <c r="G24" s="2" t="n">
        <v>56027</v>
      </c>
      <c r="H24" s="3" t="str">
        <f>HYPERLINK("http://funmeta.oebiotech.com/network/56027", "http://funmeta.oebiotech.com/network/56027")</f>
      </c>
      <c r="I24" s="2" t="s">
        <v>25403</v>
      </c>
      <c r="J24" s="2" t="s">
        <v>25404</v>
      </c>
      <c r="K24" s="2"/>
      <c r="L24" s="2"/>
      <c r="M24" s="2"/>
      <c r="N24" s="2" t="s">
        <v>25405</v>
      </c>
      <c r="O24" s="2" t="s">
        <v>25406</v>
      </c>
      <c r="P24" s="2" t="s">
        <v>25407</v>
      </c>
      <c r="Q24" s="2" t="s">
        <v>25408</v>
      </c>
      <c r="R24" s="2" t="s">
        <v>129</v>
      </c>
      <c r="S24" s="2" t="s">
        <v>130</v>
      </c>
      <c r="T24" s="2" t="s">
        <v>131</v>
      </c>
      <c r="U24" s="2" t="s">
        <v>17186</v>
      </c>
      <c r="V24" s="2" t="s">
        <v>17039</v>
      </c>
      <c r="W24" s="2" t="s">
        <v>56</v>
      </c>
    </row>
    <row r="25">
      <c r="A25" s="2" t="n">
        <v>13</v>
      </c>
      <c r="B25" s="2" t="s">
        <v>25409</v>
      </c>
      <c r="C25" s="2" t="s">
        <v>17185</v>
      </c>
      <c r="D25" s="2" t="n">
        <v>95.086115006</v>
      </c>
      <c r="E25" s="2" t="n">
        <v>13.6998075299743</v>
      </c>
      <c r="F25" s="2" t="s">
        <v>25410</v>
      </c>
      <c r="G25" s="2" t="n">
        <v>56028</v>
      </c>
      <c r="H25" s="3" t="str">
        <f>HYPERLINK("http://funmeta.oebiotech.com/network/56028", "http://funmeta.oebiotech.com/network/56028")</f>
      </c>
      <c r="I25" s="2" t="s">
        <v>25411</v>
      </c>
      <c r="J25" s="2" t="s">
        <v>25412</v>
      </c>
      <c r="K25" s="2"/>
      <c r="L25" s="2"/>
      <c r="M25" s="2"/>
      <c r="N25" s="2" t="s">
        <v>25413</v>
      </c>
      <c r="O25" s="2" t="s">
        <v>25414</v>
      </c>
      <c r="P25" s="2" t="s">
        <v>25415</v>
      </c>
      <c r="Q25" s="2" t="s">
        <v>25416</v>
      </c>
      <c r="R25" s="2" t="s">
        <v>129</v>
      </c>
      <c r="S25" s="2" t="s">
        <v>130</v>
      </c>
      <c r="T25" s="2" t="s">
        <v>131</v>
      </c>
      <c r="U25" s="2" t="s">
        <v>17186</v>
      </c>
      <c r="V25" s="2" t="s">
        <v>17039</v>
      </c>
      <c r="W25" s="2" t="s">
        <v>56</v>
      </c>
    </row>
    <row r="26">
      <c r="A26" s="2" t="n">
        <v>14</v>
      </c>
      <c r="B26" s="2" t="s">
        <v>11847</v>
      </c>
      <c r="C26" s="2" t="s">
        <v>17196</v>
      </c>
      <c r="D26" s="2" t="n">
        <v>96.078367357</v>
      </c>
      <c r="E26" s="2" t="n">
        <v>3.31381339942166</v>
      </c>
      <c r="F26" s="2" t="s">
        <v>25417</v>
      </c>
      <c r="G26" s="2" t="n">
        <v>55896</v>
      </c>
      <c r="H26" s="3" t="str">
        <f>HYPERLINK("http://funmeta.oebiotech.com/network/55896", "http://funmeta.oebiotech.com/network/55896")</f>
      </c>
      <c r="I26" s="2" t="s">
        <v>25418</v>
      </c>
      <c r="J26" s="2" t="s">
        <v>25419</v>
      </c>
      <c r="K26" s="2"/>
      <c r="L26" s="2" t="s">
        <v>25420</v>
      </c>
      <c r="M26" s="2" t="s">
        <v>25421</v>
      </c>
      <c r="N26" s="2" t="s">
        <v>25422</v>
      </c>
      <c r="O26" s="2" t="s">
        <v>25423</v>
      </c>
      <c r="P26" s="2" t="s">
        <v>25424</v>
      </c>
      <c r="Q26" s="2" t="s">
        <v>25425</v>
      </c>
      <c r="R26" s="2" t="s">
        <v>601</v>
      </c>
      <c r="S26" s="2" t="s">
        <v>602</v>
      </c>
      <c r="T26" s="2" t="s">
        <v>1800</v>
      </c>
      <c r="U26" s="2" t="s">
        <v>17197</v>
      </c>
      <c r="V26" s="2" t="s">
        <v>17198</v>
      </c>
      <c r="W26" s="2" t="s">
        <v>101</v>
      </c>
    </row>
    <row r="27">
      <c r="A27" s="2" t="n">
        <v>14</v>
      </c>
      <c r="B27" s="2" t="s">
        <v>25426</v>
      </c>
      <c r="C27" s="2" t="s">
        <v>17196</v>
      </c>
      <c r="D27" s="2" t="n">
        <v>96.078367357</v>
      </c>
      <c r="E27" s="2" t="n">
        <v>3.31381339942166</v>
      </c>
      <c r="F27" s="2" t="s">
        <v>25427</v>
      </c>
      <c r="G27" s="2" t="n">
        <v>56611</v>
      </c>
      <c r="H27" s="3" t="str">
        <f>HYPERLINK("http://funmeta.oebiotech.com/network/56611", "http://funmeta.oebiotech.com/network/56611")</f>
      </c>
      <c r="I27" s="2" t="s">
        <v>25428</v>
      </c>
      <c r="J27" s="2"/>
      <c r="K27" s="2"/>
      <c r="L27" s="2" t="s">
        <v>25420</v>
      </c>
      <c r="M27" s="2" t="s">
        <v>25429</v>
      </c>
      <c r="N27" s="2" t="s">
        <v>25430</v>
      </c>
      <c r="O27" s="2" t="s">
        <v>25431</v>
      </c>
      <c r="P27" s="2" t="s">
        <v>25432</v>
      </c>
      <c r="Q27" s="2" t="s">
        <v>25433</v>
      </c>
      <c r="R27" s="2" t="s">
        <v>601</v>
      </c>
      <c r="S27" s="2" t="s">
        <v>602</v>
      </c>
      <c r="T27" s="2" t="s">
        <v>1800</v>
      </c>
      <c r="U27" s="2" t="s">
        <v>17197</v>
      </c>
      <c r="V27" s="2" t="s">
        <v>17198</v>
      </c>
      <c r="W27" s="2" t="s">
        <v>101</v>
      </c>
    </row>
    <row r="28">
      <c r="A28" s="2" t="n">
        <v>14</v>
      </c>
      <c r="B28" s="2" t="s">
        <v>25434</v>
      </c>
      <c r="C28" s="2" t="s">
        <v>17196</v>
      </c>
      <c r="D28" s="2" t="n">
        <v>96.078367357</v>
      </c>
      <c r="E28" s="2" t="n">
        <v>3.31381339942166</v>
      </c>
      <c r="F28" s="2" t="s">
        <v>25435</v>
      </c>
      <c r="G28" s="2" t="n">
        <v>58270</v>
      </c>
      <c r="H28" s="3" t="str">
        <f>HYPERLINK("http://funmeta.oebiotech.com/network/58270", "http://funmeta.oebiotech.com/network/58270")</f>
      </c>
      <c r="I28" s="2" t="s">
        <v>25436</v>
      </c>
      <c r="J28" s="2" t="s">
        <v>22014</v>
      </c>
      <c r="K28" s="2"/>
      <c r="L28" s="2" t="s">
        <v>25437</v>
      </c>
      <c r="M28" s="2" t="s">
        <v>25438</v>
      </c>
      <c r="N28" s="2" t="s">
        <v>25439</v>
      </c>
      <c r="O28" s="2" t="s">
        <v>25440</v>
      </c>
      <c r="P28" s="2" t="s">
        <v>25441</v>
      </c>
      <c r="Q28" s="2" t="s">
        <v>25442</v>
      </c>
      <c r="R28" s="2" t="s">
        <v>601</v>
      </c>
      <c r="S28" s="2" t="s">
        <v>602</v>
      </c>
      <c r="T28" s="2" t="s">
        <v>1800</v>
      </c>
      <c r="U28" s="2" t="s">
        <v>17197</v>
      </c>
      <c r="V28" s="2" t="s">
        <v>17198</v>
      </c>
      <c r="W28" s="2" t="s">
        <v>101</v>
      </c>
    </row>
    <row r="29">
      <c r="A29" s="2" t="n">
        <v>15</v>
      </c>
      <c r="B29" s="2" t="s">
        <v>11848</v>
      </c>
      <c r="C29" s="2" t="s">
        <v>17212</v>
      </c>
      <c r="D29" s="2" t="n">
        <v>98.976281542</v>
      </c>
      <c r="E29" s="2" t="n">
        <v>0.69601236219981</v>
      </c>
      <c r="F29" s="2" t="s">
        <v>25443</v>
      </c>
      <c r="G29" s="2" t="n">
        <v>54497</v>
      </c>
      <c r="H29" s="3" t="str">
        <f>HYPERLINK("http://funmeta.oebiotech.com/network/54497", "http://funmeta.oebiotech.com/network/54497")</f>
      </c>
      <c r="I29" s="2" t="s">
        <v>25444</v>
      </c>
      <c r="J29" s="2" t="s">
        <v>25445</v>
      </c>
      <c r="K29" s="2"/>
      <c r="L29" s="2" t="s">
        <v>25446</v>
      </c>
      <c r="M29" s="2" t="s">
        <v>25447</v>
      </c>
      <c r="N29" s="2" t="s">
        <v>11814</v>
      </c>
      <c r="O29" s="2" t="s">
        <v>25448</v>
      </c>
      <c r="P29" s="2" t="s">
        <v>25449</v>
      </c>
      <c r="Q29" s="2" t="s">
        <v>25450</v>
      </c>
      <c r="R29" s="2" t="s">
        <v>213</v>
      </c>
      <c r="S29" s="2" t="s">
        <v>466</v>
      </c>
      <c r="T29" s="2" t="s">
        <v>215</v>
      </c>
      <c r="U29" s="2" t="s">
        <v>17213</v>
      </c>
      <c r="V29" s="2" t="s">
        <v>17137</v>
      </c>
      <c r="W29" s="2" t="s">
        <v>101</v>
      </c>
    </row>
    <row r="30">
      <c r="A30" s="2" t="n">
        <v>15</v>
      </c>
      <c r="B30" s="2" t="s">
        <v>25451</v>
      </c>
      <c r="C30" s="2" t="s">
        <v>17212</v>
      </c>
      <c r="D30" s="2" t="n">
        <v>98.976281542</v>
      </c>
      <c r="E30" s="2" t="n">
        <v>0.69601236219981</v>
      </c>
      <c r="F30" s="2" t="s">
        <v>25452</v>
      </c>
      <c r="G30" s="2" t="n">
        <v>199547</v>
      </c>
      <c r="H30" s="3" t="str">
        <f>HYPERLINK("http://funmeta.oebiotech.com/network/199547", "http://funmeta.oebiotech.com/network/199547")</f>
      </c>
      <c r="I30" s="2" t="s">
        <v>25453</v>
      </c>
      <c r="J30" s="2" t="s">
        <v>25454</v>
      </c>
      <c r="K30" s="2"/>
      <c r="L30" s="2" t="s">
        <v>25455</v>
      </c>
      <c r="M30" s="2"/>
      <c r="N30" s="2" t="s">
        <v>25456</v>
      </c>
      <c r="O30" s="2" t="s">
        <v>25457</v>
      </c>
      <c r="P30" s="2" t="s">
        <v>25458</v>
      </c>
      <c r="Q30" s="2" t="s">
        <v>25459</v>
      </c>
      <c r="R30" s="2" t="s">
        <v>213</v>
      </c>
      <c r="S30" s="2" t="s">
        <v>466</v>
      </c>
      <c r="T30" s="2" t="s">
        <v>215</v>
      </c>
      <c r="U30" s="2" t="s">
        <v>17213</v>
      </c>
      <c r="V30" s="2" t="s">
        <v>17137</v>
      </c>
      <c r="W30" s="2" t="s">
        <v>101</v>
      </c>
    </row>
    <row r="31">
      <c r="A31" s="2" t="n">
        <v>16</v>
      </c>
      <c r="B31" s="2" t="s">
        <v>11849</v>
      </c>
      <c r="C31" s="2" t="s">
        <v>17225</v>
      </c>
      <c r="D31" s="2" t="n">
        <v>98.984287372</v>
      </c>
      <c r="E31" s="2" t="n">
        <v>6.71973968472323</v>
      </c>
      <c r="F31" s="2" t="s">
        <v>17228</v>
      </c>
      <c r="G31" s="2" t="n">
        <v>47579</v>
      </c>
      <c r="H31" s="3" t="str">
        <f>HYPERLINK("http://funmeta.oebiotech.com/network/47579", "http://funmeta.oebiotech.com/network/47579")</f>
      </c>
      <c r="I31" s="2" t="s">
        <v>17230</v>
      </c>
      <c r="J31" s="2" t="s">
        <v>17231</v>
      </c>
      <c r="K31" s="2"/>
      <c r="L31" s="2" t="s">
        <v>17232</v>
      </c>
      <c r="M31" s="2" t="s">
        <v>17233</v>
      </c>
      <c r="N31" s="2" t="s">
        <v>17234</v>
      </c>
      <c r="O31" s="2" t="s">
        <v>17235</v>
      </c>
      <c r="P31" s="2" t="s">
        <v>17236</v>
      </c>
      <c r="Q31" s="2" t="s">
        <v>17237</v>
      </c>
      <c r="R31" s="2" t="s">
        <v>129</v>
      </c>
      <c r="S31" s="2" t="s">
        <v>130</v>
      </c>
      <c r="T31" s="2" t="s">
        <v>131</v>
      </c>
      <c r="U31" s="2" t="s">
        <v>17226</v>
      </c>
      <c r="V31" s="2" t="s">
        <v>17227</v>
      </c>
      <c r="W31" s="2" t="s">
        <v>101</v>
      </c>
    </row>
    <row r="32">
      <c r="A32" s="2" t="n">
        <v>17</v>
      </c>
      <c r="B32" s="2" t="s">
        <v>11878</v>
      </c>
      <c r="C32" s="2" t="s">
        <v>17238</v>
      </c>
      <c r="D32" s="2" t="n">
        <v>100.076278601</v>
      </c>
      <c r="E32" s="2" t="n">
        <v>4.6668048992168</v>
      </c>
      <c r="F32" s="2" t="s">
        <v>17240</v>
      </c>
      <c r="G32" s="2" t="n">
        <v>47278</v>
      </c>
      <c r="H32" s="3" t="str">
        <f>HYPERLINK("http://funmeta.oebiotech.com/network/47278", "http://funmeta.oebiotech.com/network/47278")</f>
      </c>
      <c r="I32" s="2" t="s">
        <v>17242</v>
      </c>
      <c r="J32" s="2" t="s">
        <v>17243</v>
      </c>
      <c r="K32" s="2"/>
      <c r="L32" s="2" t="s">
        <v>17244</v>
      </c>
      <c r="M32" s="2" t="s">
        <v>17245</v>
      </c>
      <c r="N32" s="2" t="s">
        <v>17246</v>
      </c>
      <c r="O32" s="2" t="s">
        <v>17247</v>
      </c>
      <c r="P32" s="2" t="s">
        <v>17248</v>
      </c>
      <c r="Q32" s="2" t="s">
        <v>17249</v>
      </c>
      <c r="R32" s="2" t="s">
        <v>36</v>
      </c>
      <c r="S32" s="2" t="s">
        <v>37</v>
      </c>
      <c r="T32" s="2" t="s">
        <v>69</v>
      </c>
      <c r="U32" s="2" t="s">
        <v>17239</v>
      </c>
      <c r="V32" s="2" t="s">
        <v>17039</v>
      </c>
      <c r="W32" s="2" t="s">
        <v>39</v>
      </c>
    </row>
    <row r="33">
      <c r="A33" s="2" t="n">
        <v>18</v>
      </c>
      <c r="B33" s="2" t="s">
        <v>11879</v>
      </c>
      <c r="C33" s="2" t="s">
        <v>17250</v>
      </c>
      <c r="D33" s="2" t="n">
        <v>100.112624453</v>
      </c>
      <c r="E33" s="2" t="n">
        <v>4.73725211702071</v>
      </c>
      <c r="F33" s="2" t="s">
        <v>17252</v>
      </c>
      <c r="G33" s="2" t="n">
        <v>83743</v>
      </c>
      <c r="H33" s="3" t="str">
        <f>HYPERLINK("http://funmeta.oebiotech.com/network/83743", "http://funmeta.oebiotech.com/network/83743")</f>
      </c>
      <c r="I33" s="2" t="s">
        <v>17254</v>
      </c>
      <c r="J33" s="2"/>
      <c r="K33" s="2"/>
      <c r="L33" s="2"/>
      <c r="M33" s="2" t="s">
        <v>17255</v>
      </c>
      <c r="N33" s="2" t="s">
        <v>17256</v>
      </c>
      <c r="O33" s="2"/>
      <c r="P33" s="2" t="s">
        <v>17257</v>
      </c>
      <c r="Q33" s="2" t="s">
        <v>17258</v>
      </c>
      <c r="R33" s="2" t="s">
        <v>601</v>
      </c>
      <c r="S33" s="2" t="s">
        <v>602</v>
      </c>
      <c r="T33" s="2" t="s">
        <v>17259</v>
      </c>
      <c r="U33" s="2" t="s">
        <v>17251</v>
      </c>
      <c r="V33" s="2" t="s">
        <v>17117</v>
      </c>
      <c r="W33" s="2"/>
    </row>
    <row r="34">
      <c r="A34" s="2" t="n">
        <v>19</v>
      </c>
      <c r="B34" s="2" t="s">
        <v>11880</v>
      </c>
      <c r="C34" s="2" t="s">
        <v>17260</v>
      </c>
      <c r="D34" s="2" t="n">
        <v>101.060294186</v>
      </c>
      <c r="E34" s="2" t="n">
        <v>5.67044961215023</v>
      </c>
      <c r="F34" s="2" t="s">
        <v>17262</v>
      </c>
      <c r="G34" s="2" t="n">
        <v>1656</v>
      </c>
      <c r="H34" s="3" t="str">
        <f>HYPERLINK("http://funmeta.oebiotech.com/network/1656", "http://funmeta.oebiotech.com/network/1656")</f>
      </c>
      <c r="I34" s="2" t="s">
        <v>17264</v>
      </c>
      <c r="J34" s="2" t="s">
        <v>17265</v>
      </c>
      <c r="K34" s="2" t="s">
        <v>17266</v>
      </c>
      <c r="L34" s="2" t="s">
        <v>17267</v>
      </c>
      <c r="M34" s="2" t="s">
        <v>17268</v>
      </c>
      <c r="N34" s="2" t="s">
        <v>17269</v>
      </c>
      <c r="O34" s="2" t="s">
        <v>17270</v>
      </c>
      <c r="P34" s="2" t="s">
        <v>17271</v>
      </c>
      <c r="Q34" s="2" t="s">
        <v>17272</v>
      </c>
      <c r="R34" s="2" t="s">
        <v>794</v>
      </c>
      <c r="S34" s="2" t="s">
        <v>795</v>
      </c>
      <c r="T34" s="2" t="s">
        <v>796</v>
      </c>
      <c r="U34" s="2" t="s">
        <v>17261</v>
      </c>
      <c r="V34" s="2" t="s">
        <v>17039</v>
      </c>
      <c r="W34" s="2" t="s">
        <v>39</v>
      </c>
    </row>
    <row r="35">
      <c r="A35" s="2" t="n">
        <v>20</v>
      </c>
      <c r="B35" s="2" t="s">
        <v>11881</v>
      </c>
      <c r="C35" s="2" t="s">
        <v>17273</v>
      </c>
      <c r="D35" s="2" t="n">
        <v>102.091889011</v>
      </c>
      <c r="E35" s="2" t="n">
        <v>16.615292522514</v>
      </c>
      <c r="F35" s="2" t="s">
        <v>17275</v>
      </c>
      <c r="G35" s="2" t="n">
        <v>47472</v>
      </c>
      <c r="H35" s="3" t="str">
        <f>HYPERLINK("http://funmeta.oebiotech.com/network/47472", "http://funmeta.oebiotech.com/network/47472")</f>
      </c>
      <c r="I35" s="2" t="s">
        <v>17277</v>
      </c>
      <c r="J35" s="2" t="s">
        <v>17278</v>
      </c>
      <c r="K35" s="2"/>
      <c r="L35" s="2" t="s">
        <v>17279</v>
      </c>
      <c r="M35" s="2" t="s">
        <v>17280</v>
      </c>
      <c r="N35" s="2" t="s">
        <v>17281</v>
      </c>
      <c r="O35" s="2" t="s">
        <v>17282</v>
      </c>
      <c r="P35" s="2" t="s">
        <v>17283</v>
      </c>
      <c r="Q35" s="2" t="s">
        <v>17284</v>
      </c>
      <c r="R35" s="2" t="s">
        <v>601</v>
      </c>
      <c r="S35" s="2" t="s">
        <v>602</v>
      </c>
      <c r="T35" s="2" t="s">
        <v>8583</v>
      </c>
      <c r="U35" s="2" t="s">
        <v>17274</v>
      </c>
      <c r="V35" s="2" t="s">
        <v>17117</v>
      </c>
      <c r="W35" s="2" t="s">
        <v>101</v>
      </c>
    </row>
    <row r="36">
      <c r="A36" s="2" t="n">
        <v>21</v>
      </c>
      <c r="B36" s="2" t="s">
        <v>11882</v>
      </c>
      <c r="C36" s="2" t="s">
        <v>17285</v>
      </c>
      <c r="D36" s="2" t="n">
        <v>103.039558744</v>
      </c>
      <c r="E36" s="2" t="n">
        <v>5.65281128894896</v>
      </c>
      <c r="F36" s="2" t="s">
        <v>17287</v>
      </c>
      <c r="G36" s="2" t="n">
        <v>47971</v>
      </c>
      <c r="H36" s="3" t="str">
        <f>HYPERLINK("http://funmeta.oebiotech.com/network/47971", "http://funmeta.oebiotech.com/network/47971")</f>
      </c>
      <c r="I36" s="2" t="s">
        <v>17289</v>
      </c>
      <c r="J36" s="2" t="s">
        <v>17290</v>
      </c>
      <c r="K36" s="2"/>
      <c r="L36" s="2" t="s">
        <v>17291</v>
      </c>
      <c r="M36" s="2" t="s">
        <v>17292</v>
      </c>
      <c r="N36" s="2" t="s">
        <v>17293</v>
      </c>
      <c r="O36" s="2" t="s">
        <v>17294</v>
      </c>
      <c r="P36" s="2" t="s">
        <v>17295</v>
      </c>
      <c r="Q36" s="2" t="s">
        <v>17296</v>
      </c>
      <c r="R36" s="2" t="s">
        <v>129</v>
      </c>
      <c r="S36" s="2" t="s">
        <v>130</v>
      </c>
      <c r="T36" s="2" t="s">
        <v>1681</v>
      </c>
      <c r="U36" s="2" t="s">
        <v>17286</v>
      </c>
      <c r="V36" s="2" t="s">
        <v>17039</v>
      </c>
      <c r="W36" s="2" t="s">
        <v>39</v>
      </c>
    </row>
    <row r="37">
      <c r="A37" s="2" t="n">
        <v>22</v>
      </c>
      <c r="B37" s="2" t="s">
        <v>11905</v>
      </c>
      <c r="C37" s="2" t="s">
        <v>17297</v>
      </c>
      <c r="D37" s="2" t="n">
        <v>103.122974458</v>
      </c>
      <c r="E37" s="2" t="n">
        <v>9.7743302446146</v>
      </c>
      <c r="F37" s="2" t="s">
        <v>25460</v>
      </c>
      <c r="G37" s="2" t="n">
        <v>48155</v>
      </c>
      <c r="H37" s="3" t="str">
        <f>HYPERLINK("http://funmeta.oebiotech.com/network/48155", "http://funmeta.oebiotech.com/network/48155")</f>
      </c>
      <c r="I37" s="2" t="s">
        <v>25461</v>
      </c>
      <c r="J37" s="2" t="s">
        <v>25462</v>
      </c>
      <c r="K37" s="2"/>
      <c r="L37" s="2" t="s">
        <v>25463</v>
      </c>
      <c r="M37" s="2" t="s">
        <v>25464</v>
      </c>
      <c r="N37" s="2" t="s">
        <v>25465</v>
      </c>
      <c r="O37" s="2" t="s">
        <v>25466</v>
      </c>
      <c r="P37" s="2" t="s">
        <v>25467</v>
      </c>
      <c r="Q37" s="2" t="s">
        <v>25468</v>
      </c>
      <c r="R37" s="2" t="s">
        <v>601</v>
      </c>
      <c r="S37" s="2" t="s">
        <v>602</v>
      </c>
      <c r="T37" s="2" t="s">
        <v>1800</v>
      </c>
      <c r="U37" s="2" t="s">
        <v>17298</v>
      </c>
      <c r="V37" s="2" t="s">
        <v>17137</v>
      </c>
      <c r="W37" s="2" t="s">
        <v>56</v>
      </c>
    </row>
    <row r="38">
      <c r="A38" s="2" t="n">
        <v>22</v>
      </c>
      <c r="B38" s="2" t="s">
        <v>11916</v>
      </c>
      <c r="C38" s="2" t="s">
        <v>17297</v>
      </c>
      <c r="D38" s="2" t="n">
        <v>103.122974458</v>
      </c>
      <c r="E38" s="2" t="n">
        <v>9.7743302446146</v>
      </c>
      <c r="F38" s="2" t="s">
        <v>25469</v>
      </c>
      <c r="G38" s="2" t="n">
        <v>47908</v>
      </c>
      <c r="H38" s="3" t="str">
        <f>HYPERLINK("http://funmeta.oebiotech.com/network/47908", "http://funmeta.oebiotech.com/network/47908")</f>
      </c>
      <c r="I38" s="2" t="s">
        <v>25470</v>
      </c>
      <c r="J38" s="2" t="s">
        <v>25471</v>
      </c>
      <c r="K38" s="2"/>
      <c r="L38" s="2" t="s">
        <v>25472</v>
      </c>
      <c r="M38" s="2" t="s">
        <v>25473</v>
      </c>
      <c r="N38" s="2" t="s">
        <v>25474</v>
      </c>
      <c r="O38" s="2" t="s">
        <v>25475</v>
      </c>
      <c r="P38" s="2" t="s">
        <v>25476</v>
      </c>
      <c r="Q38" s="2" t="s">
        <v>25477</v>
      </c>
      <c r="R38" s="2" t="s">
        <v>601</v>
      </c>
      <c r="S38" s="2" t="s">
        <v>602</v>
      </c>
      <c r="T38" s="2" t="s">
        <v>1800</v>
      </c>
      <c r="U38" s="2" t="s">
        <v>17298</v>
      </c>
      <c r="V38" s="2" t="s">
        <v>17137</v>
      </c>
      <c r="W38" s="2" t="s">
        <v>56</v>
      </c>
    </row>
    <row r="39">
      <c r="A39" s="2" t="n">
        <v>23</v>
      </c>
      <c r="B39" s="2" t="s">
        <v>11925</v>
      </c>
      <c r="C39" s="2" t="s">
        <v>17309</v>
      </c>
      <c r="D39" s="2" t="n">
        <v>104.107539075</v>
      </c>
      <c r="E39" s="2" t="n">
        <v>12.4300394043793</v>
      </c>
      <c r="F39" s="2" t="s">
        <v>17311</v>
      </c>
      <c r="G39" s="2" t="n">
        <v>46869</v>
      </c>
      <c r="H39" s="3" t="str">
        <f>HYPERLINK("http://funmeta.oebiotech.com/network/46869", "http://funmeta.oebiotech.com/network/46869")</f>
      </c>
      <c r="I39" s="2" t="s">
        <v>17313</v>
      </c>
      <c r="J39" s="2" t="s">
        <v>847</v>
      </c>
      <c r="K39" s="2"/>
      <c r="L39" s="2" t="s">
        <v>17314</v>
      </c>
      <c r="M39" s="2" t="s">
        <v>17315</v>
      </c>
      <c r="N39" s="2" t="s">
        <v>17316</v>
      </c>
      <c r="O39" s="2" t="s">
        <v>17317</v>
      </c>
      <c r="P39" s="2" t="s">
        <v>17318</v>
      </c>
      <c r="Q39" s="2" t="s">
        <v>17319</v>
      </c>
      <c r="R39" s="2" t="s">
        <v>601</v>
      </c>
      <c r="S39" s="2" t="s">
        <v>602</v>
      </c>
      <c r="T39" s="2" t="s">
        <v>8583</v>
      </c>
      <c r="U39" s="2" t="s">
        <v>17310</v>
      </c>
      <c r="V39" s="2" t="s">
        <v>17117</v>
      </c>
      <c r="W39" s="2" t="s">
        <v>39</v>
      </c>
    </row>
    <row r="40">
      <c r="A40" s="2" t="n">
        <v>24</v>
      </c>
      <c r="B40" s="2" t="s">
        <v>11926</v>
      </c>
      <c r="C40" s="2" t="s">
        <v>17320</v>
      </c>
      <c r="D40" s="2" t="n">
        <v>105.034079436</v>
      </c>
      <c r="E40" s="2" t="n">
        <v>8.85737947258018</v>
      </c>
      <c r="F40" s="2" t="s">
        <v>17322</v>
      </c>
      <c r="G40" s="2" t="n">
        <v>51491</v>
      </c>
      <c r="H40" s="3" t="str">
        <f>HYPERLINK("http://funmeta.oebiotech.com/network/51491", "http://funmeta.oebiotech.com/network/51491")</f>
      </c>
      <c r="I40" s="2" t="s">
        <v>17324</v>
      </c>
      <c r="J40" s="2" t="s">
        <v>17325</v>
      </c>
      <c r="K40" s="2"/>
      <c r="L40" s="2" t="s">
        <v>17326</v>
      </c>
      <c r="M40" s="2" t="s">
        <v>17327</v>
      </c>
      <c r="N40" s="2" t="s">
        <v>17328</v>
      </c>
      <c r="O40" s="2" t="s">
        <v>17329</v>
      </c>
      <c r="P40" s="2" t="s">
        <v>17330</v>
      </c>
      <c r="Q40" s="2" t="s">
        <v>17331</v>
      </c>
      <c r="R40" s="2" t="s">
        <v>129</v>
      </c>
      <c r="S40" s="2" t="s">
        <v>130</v>
      </c>
      <c r="T40" s="2" t="s">
        <v>131</v>
      </c>
      <c r="U40" s="2" t="s">
        <v>17321</v>
      </c>
      <c r="V40" s="2" t="s">
        <v>17039</v>
      </c>
      <c r="W40" s="2" t="s">
        <v>39</v>
      </c>
    </row>
    <row r="41">
      <c r="A41" s="2" t="n">
        <v>25</v>
      </c>
      <c r="B41" s="2" t="s">
        <v>11927</v>
      </c>
      <c r="C41" s="2" t="s">
        <v>17332</v>
      </c>
      <c r="D41" s="2" t="n">
        <v>105.070464942</v>
      </c>
      <c r="E41" s="2" t="n">
        <v>3.14213733001528</v>
      </c>
      <c r="F41" s="2" t="s">
        <v>25478</v>
      </c>
      <c r="G41" s="2" t="n">
        <v>56909</v>
      </c>
      <c r="H41" s="3" t="str">
        <f>HYPERLINK("http://funmeta.oebiotech.com/network/56909", "http://funmeta.oebiotech.com/network/56909")</f>
      </c>
      <c r="I41" s="2" t="s">
        <v>25479</v>
      </c>
      <c r="J41" s="2" t="s">
        <v>25480</v>
      </c>
      <c r="K41" s="2"/>
      <c r="L41" s="2" t="s">
        <v>25481</v>
      </c>
      <c r="M41" s="2" t="s">
        <v>25482</v>
      </c>
      <c r="N41" s="2" t="s">
        <v>25483</v>
      </c>
      <c r="O41" s="2" t="s">
        <v>25484</v>
      </c>
      <c r="P41" s="2" t="s">
        <v>25485</v>
      </c>
      <c r="Q41" s="2" t="s">
        <v>25486</v>
      </c>
      <c r="R41" s="2" t="s">
        <v>186</v>
      </c>
      <c r="S41" s="2" t="s">
        <v>187</v>
      </c>
      <c r="T41" s="2" t="s">
        <v>215</v>
      </c>
      <c r="U41" s="2" t="s">
        <v>17333</v>
      </c>
      <c r="V41" s="2" t="s">
        <v>17039</v>
      </c>
      <c r="W41" s="2" t="s">
        <v>56</v>
      </c>
    </row>
    <row r="42">
      <c r="A42" s="2" t="n">
        <v>25</v>
      </c>
      <c r="B42" s="2" t="s">
        <v>25487</v>
      </c>
      <c r="C42" s="2" t="s">
        <v>17332</v>
      </c>
      <c r="D42" s="2" t="n">
        <v>105.070464942</v>
      </c>
      <c r="E42" s="2" t="n">
        <v>3.14213733001528</v>
      </c>
      <c r="F42" s="2" t="s">
        <v>25488</v>
      </c>
      <c r="G42" s="2" t="n">
        <v>54277</v>
      </c>
      <c r="H42" s="3" t="str">
        <f>HYPERLINK("http://funmeta.oebiotech.com/network/54277", "http://funmeta.oebiotech.com/network/54277")</f>
      </c>
      <c r="I42" s="2" t="s">
        <v>25489</v>
      </c>
      <c r="J42" s="2" t="s">
        <v>25490</v>
      </c>
      <c r="K42" s="2"/>
      <c r="L42" s="2" t="s">
        <v>25491</v>
      </c>
      <c r="M42" s="2" t="s">
        <v>25492</v>
      </c>
      <c r="N42" s="2" t="s">
        <v>25493</v>
      </c>
      <c r="O42" s="2" t="s">
        <v>25494</v>
      </c>
      <c r="P42" s="2" t="s">
        <v>25495</v>
      </c>
      <c r="Q42" s="2" t="s">
        <v>25496</v>
      </c>
      <c r="R42" s="2" t="s">
        <v>186</v>
      </c>
      <c r="S42" s="2" t="s">
        <v>357</v>
      </c>
      <c r="T42" s="2" t="s">
        <v>358</v>
      </c>
      <c r="U42" s="2" t="s">
        <v>17333</v>
      </c>
      <c r="V42" s="2" t="s">
        <v>17039</v>
      </c>
      <c r="W42" s="2" t="s">
        <v>56</v>
      </c>
    </row>
    <row r="43">
      <c r="A43" s="2" t="n">
        <v>25</v>
      </c>
      <c r="B43" s="2" t="s">
        <v>25497</v>
      </c>
      <c r="C43" s="2" t="s">
        <v>17332</v>
      </c>
      <c r="D43" s="2" t="n">
        <v>105.070464942</v>
      </c>
      <c r="E43" s="2" t="n">
        <v>3.14213733001528</v>
      </c>
      <c r="F43" s="2" t="s">
        <v>25498</v>
      </c>
      <c r="G43" s="2" t="n">
        <v>58091</v>
      </c>
      <c r="H43" s="3" t="str">
        <f>HYPERLINK("http://funmeta.oebiotech.com/network/58091", "http://funmeta.oebiotech.com/network/58091")</f>
      </c>
      <c r="I43" s="2" t="s">
        <v>25499</v>
      </c>
      <c r="J43" s="2" t="s">
        <v>25500</v>
      </c>
      <c r="K43" s="2"/>
      <c r="L43" s="2" t="s">
        <v>25501</v>
      </c>
      <c r="M43" s="2" t="s">
        <v>25502</v>
      </c>
      <c r="N43" s="2" t="s">
        <v>25503</v>
      </c>
      <c r="O43" s="2" t="s">
        <v>25504</v>
      </c>
      <c r="P43" s="2" t="s">
        <v>25505</v>
      </c>
      <c r="Q43" s="2" t="s">
        <v>25506</v>
      </c>
      <c r="R43" s="2" t="s">
        <v>186</v>
      </c>
      <c r="S43" s="2" t="s">
        <v>187</v>
      </c>
      <c r="T43" s="2" t="s">
        <v>215</v>
      </c>
      <c r="U43" s="2" t="s">
        <v>17333</v>
      </c>
      <c r="V43" s="2" t="s">
        <v>17039</v>
      </c>
      <c r="W43" s="2" t="s">
        <v>56</v>
      </c>
    </row>
    <row r="44">
      <c r="A44" s="2" t="n">
        <v>26</v>
      </c>
      <c r="B44" s="2" t="s">
        <v>11928</v>
      </c>
      <c r="C44" s="2" t="s">
        <v>17346</v>
      </c>
      <c r="D44" s="2" t="n">
        <v>107.086115006</v>
      </c>
      <c r="E44" s="2" t="n">
        <v>10.4896005307137</v>
      </c>
      <c r="F44" s="2" t="s">
        <v>25507</v>
      </c>
      <c r="G44" s="2" t="n">
        <v>6499</v>
      </c>
      <c r="H44" s="3" t="str">
        <f>HYPERLINK("http://funmeta.oebiotech.com/network/6499", "http://funmeta.oebiotech.com/network/6499")</f>
      </c>
      <c r="I44" s="2" t="s">
        <v>25508</v>
      </c>
      <c r="J44" s="2" t="s">
        <v>25509</v>
      </c>
      <c r="K44" s="2" t="s">
        <v>25510</v>
      </c>
      <c r="L44" s="2"/>
      <c r="M44" s="2"/>
      <c r="N44" s="2" t="s">
        <v>25511</v>
      </c>
      <c r="O44" s="2" t="s">
        <v>25512</v>
      </c>
      <c r="P44" s="2" t="s">
        <v>25513</v>
      </c>
      <c r="Q44" s="2" t="s">
        <v>25514</v>
      </c>
      <c r="R44" s="2" t="s">
        <v>129</v>
      </c>
      <c r="S44" s="2" t="s">
        <v>130</v>
      </c>
      <c r="T44" s="2" t="s">
        <v>131</v>
      </c>
      <c r="U44" s="2" t="s">
        <v>17347</v>
      </c>
      <c r="V44" s="2" t="s">
        <v>17039</v>
      </c>
      <c r="W44" s="2" t="s">
        <v>56</v>
      </c>
    </row>
    <row r="45">
      <c r="A45" s="2" t="n">
        <v>26</v>
      </c>
      <c r="B45" s="2" t="s">
        <v>11936</v>
      </c>
      <c r="C45" s="2" t="s">
        <v>17346</v>
      </c>
      <c r="D45" s="2" t="n">
        <v>107.086115006</v>
      </c>
      <c r="E45" s="2" t="n">
        <v>10.4896005307137</v>
      </c>
      <c r="F45" s="2" t="s">
        <v>25515</v>
      </c>
      <c r="G45" s="2" t="n">
        <v>9843</v>
      </c>
      <c r="H45" s="3" t="str">
        <f>HYPERLINK("http://funmeta.oebiotech.com/network/9843", "http://funmeta.oebiotech.com/network/9843")</f>
      </c>
      <c r="I45" s="2" t="s">
        <v>25516</v>
      </c>
      <c r="J45" s="2" t="s">
        <v>25517</v>
      </c>
      <c r="K45" s="2" t="s">
        <v>25518</v>
      </c>
      <c r="L45" s="2"/>
      <c r="M45" s="2"/>
      <c r="N45" s="2" t="s">
        <v>25519</v>
      </c>
      <c r="O45" s="2" t="s">
        <v>25520</v>
      </c>
      <c r="P45" s="2" t="s">
        <v>25521</v>
      </c>
      <c r="Q45" s="2" t="s">
        <v>25522</v>
      </c>
      <c r="R45" s="2" t="s">
        <v>129</v>
      </c>
      <c r="S45" s="2" t="s">
        <v>130</v>
      </c>
      <c r="T45" s="2" t="s">
        <v>131</v>
      </c>
      <c r="U45" s="2" t="s">
        <v>17347</v>
      </c>
      <c r="V45" s="2" t="s">
        <v>17039</v>
      </c>
      <c r="W45" s="2" t="s">
        <v>56</v>
      </c>
    </row>
    <row r="46">
      <c r="A46" s="2" t="n">
        <v>26</v>
      </c>
      <c r="B46" s="2" t="s">
        <v>11944</v>
      </c>
      <c r="C46" s="2" t="s">
        <v>17346</v>
      </c>
      <c r="D46" s="2" t="n">
        <v>107.086115006</v>
      </c>
      <c r="E46" s="2" t="n">
        <v>10.4896005307137</v>
      </c>
      <c r="F46" s="2" t="s">
        <v>25523</v>
      </c>
      <c r="G46" s="2" t="n">
        <v>55985</v>
      </c>
      <c r="H46" s="3" t="str">
        <f>HYPERLINK("http://funmeta.oebiotech.com/network/55985", "http://funmeta.oebiotech.com/network/55985")</f>
      </c>
      <c r="I46" s="2" t="s">
        <v>25524</v>
      </c>
      <c r="J46" s="2" t="s">
        <v>25525</v>
      </c>
      <c r="K46" s="2"/>
      <c r="L46" s="2"/>
      <c r="M46" s="2"/>
      <c r="N46" s="2" t="s">
        <v>25526</v>
      </c>
      <c r="O46" s="2" t="s">
        <v>25527</v>
      </c>
      <c r="P46" s="2" t="s">
        <v>25528</v>
      </c>
      <c r="Q46" s="2" t="s">
        <v>25529</v>
      </c>
      <c r="R46" s="2" t="s">
        <v>129</v>
      </c>
      <c r="S46" s="2" t="s">
        <v>130</v>
      </c>
      <c r="T46" s="2" t="s">
        <v>131</v>
      </c>
      <c r="U46" s="2" t="s">
        <v>17347</v>
      </c>
      <c r="V46" s="2" t="s">
        <v>17039</v>
      </c>
      <c r="W46" s="2" t="s">
        <v>56</v>
      </c>
    </row>
    <row r="47">
      <c r="A47" s="2" t="n">
        <v>27</v>
      </c>
      <c r="B47" s="2" t="s">
        <v>11953</v>
      </c>
      <c r="C47" s="2" t="s">
        <v>17357</v>
      </c>
      <c r="D47" s="2" t="n">
        <v>109.10176507</v>
      </c>
      <c r="E47" s="2" t="n">
        <v>8.85448427265079</v>
      </c>
      <c r="F47" s="2" t="s">
        <v>17359</v>
      </c>
      <c r="G47" s="2" t="n">
        <v>9865</v>
      </c>
      <c r="H47" s="3" t="str">
        <f>HYPERLINK("http://funmeta.oebiotech.com/network/9865", "http://funmeta.oebiotech.com/network/9865")</f>
      </c>
      <c r="I47" s="2" t="s">
        <v>17361</v>
      </c>
      <c r="J47" s="2"/>
      <c r="K47" s="2" t="s">
        <v>17362</v>
      </c>
      <c r="L47" s="2" t="s">
        <v>17363</v>
      </c>
      <c r="M47" s="2" t="s">
        <v>17364</v>
      </c>
      <c r="N47" s="2" t="s">
        <v>17365</v>
      </c>
      <c r="O47" s="2" t="s">
        <v>17366</v>
      </c>
      <c r="P47" s="2" t="s">
        <v>17367</v>
      </c>
      <c r="Q47" s="2" t="s">
        <v>17368</v>
      </c>
      <c r="R47" s="2" t="s">
        <v>129</v>
      </c>
      <c r="S47" s="2" t="s">
        <v>130</v>
      </c>
      <c r="T47" s="2" t="s">
        <v>131</v>
      </c>
      <c r="U47" s="2" t="s">
        <v>17358</v>
      </c>
      <c r="V47" s="2" t="s">
        <v>17039</v>
      </c>
      <c r="W47" s="2" t="s">
        <v>56</v>
      </c>
    </row>
    <row r="48">
      <c r="A48" s="2" t="n">
        <v>28</v>
      </c>
      <c r="B48" s="2" t="s">
        <v>11954</v>
      </c>
      <c r="C48" s="2" t="s">
        <v>17369</v>
      </c>
      <c r="D48" s="2" t="n">
        <v>110.071273237</v>
      </c>
      <c r="E48" s="2" t="n">
        <v>2.01049759285088</v>
      </c>
      <c r="F48" s="2" t="s">
        <v>25530</v>
      </c>
      <c r="G48" s="2" t="n">
        <v>200581</v>
      </c>
      <c r="H48" s="3" t="str">
        <f>HYPERLINK("http://funmeta.oebiotech.com/network/200581", "http://funmeta.oebiotech.com/network/200581")</f>
      </c>
      <c r="I48" s="2" t="s">
        <v>25531</v>
      </c>
      <c r="J48" s="2" t="s">
        <v>25532</v>
      </c>
      <c r="K48" s="2"/>
      <c r="L48" s="2"/>
      <c r="M48" s="2"/>
      <c r="N48" s="2" t="s">
        <v>25533</v>
      </c>
      <c r="O48" s="2"/>
      <c r="P48" s="2" t="s">
        <v>25534</v>
      </c>
      <c r="Q48" s="2" t="s">
        <v>25535</v>
      </c>
      <c r="R48" s="2" t="s">
        <v>114</v>
      </c>
      <c r="S48" s="2" t="s">
        <v>936</v>
      </c>
      <c r="T48" s="2" t="s">
        <v>215</v>
      </c>
      <c r="U48" s="2" t="s">
        <v>17370</v>
      </c>
      <c r="V48" s="2" t="s">
        <v>17137</v>
      </c>
      <c r="W48" s="2"/>
    </row>
    <row r="49">
      <c r="A49" s="2" t="n">
        <v>28</v>
      </c>
      <c r="B49" s="2" t="s">
        <v>11965</v>
      </c>
      <c r="C49" s="2" t="s">
        <v>17369</v>
      </c>
      <c r="D49" s="2" t="n">
        <v>110.071273237</v>
      </c>
      <c r="E49" s="2" t="n">
        <v>2.01049759285088</v>
      </c>
      <c r="F49" s="2" t="s">
        <v>25536</v>
      </c>
      <c r="G49" s="2" t="n">
        <v>201395</v>
      </c>
      <c r="H49" s="3" t="str">
        <f>HYPERLINK("http://funmeta.oebiotech.com/network/201395", "http://funmeta.oebiotech.com/network/201395")</f>
      </c>
      <c r="I49" s="2" t="s">
        <v>25537</v>
      </c>
      <c r="J49" s="2" t="s">
        <v>25538</v>
      </c>
      <c r="K49" s="2"/>
      <c r="L49" s="2"/>
      <c r="M49" s="2"/>
      <c r="N49" s="2" t="s">
        <v>25539</v>
      </c>
      <c r="O49" s="2"/>
      <c r="P49" s="2" t="s">
        <v>25540</v>
      </c>
      <c r="Q49" s="2" t="s">
        <v>25541</v>
      </c>
      <c r="R49" s="2" t="s">
        <v>114</v>
      </c>
      <c r="S49" s="2" t="s">
        <v>936</v>
      </c>
      <c r="T49" s="2" t="s">
        <v>12421</v>
      </c>
      <c r="U49" s="2" t="s">
        <v>17370</v>
      </c>
      <c r="V49" s="2" t="s">
        <v>17137</v>
      </c>
      <c r="W49" s="2"/>
    </row>
    <row r="50">
      <c r="A50" s="2" t="n">
        <v>29</v>
      </c>
      <c r="B50" s="2" t="s">
        <v>11976</v>
      </c>
      <c r="C50" s="2" t="s">
        <v>17379</v>
      </c>
      <c r="D50" s="2" t="n">
        <v>111.044644122</v>
      </c>
      <c r="E50" s="2" t="n">
        <v>9.90026404660767</v>
      </c>
      <c r="F50" s="2" t="s">
        <v>17381</v>
      </c>
      <c r="G50" s="2" t="n">
        <v>55880</v>
      </c>
      <c r="H50" s="3" t="str">
        <f>HYPERLINK("http://funmeta.oebiotech.com/network/55880", "http://funmeta.oebiotech.com/network/55880")</f>
      </c>
      <c r="I50" s="2" t="s">
        <v>17383</v>
      </c>
      <c r="J50" s="2" t="s">
        <v>17384</v>
      </c>
      <c r="K50" s="2"/>
      <c r="L50" s="2"/>
      <c r="M50" s="2" t="s">
        <v>17385</v>
      </c>
      <c r="N50" s="2" t="s">
        <v>17386</v>
      </c>
      <c r="O50" s="2" t="s">
        <v>17387</v>
      </c>
      <c r="P50" s="2" t="s">
        <v>17388</v>
      </c>
      <c r="Q50" s="2" t="s">
        <v>17389</v>
      </c>
      <c r="R50" s="2" t="s">
        <v>114</v>
      </c>
      <c r="S50" s="2" t="s">
        <v>1779</v>
      </c>
      <c r="T50" s="2" t="s">
        <v>1780</v>
      </c>
      <c r="U50" s="2" t="s">
        <v>17380</v>
      </c>
      <c r="V50" s="2" t="s">
        <v>17039</v>
      </c>
      <c r="W50" s="2" t="s">
        <v>56</v>
      </c>
    </row>
    <row r="51">
      <c r="A51" s="2" t="n">
        <v>30</v>
      </c>
      <c r="B51" s="2" t="s">
        <v>11995</v>
      </c>
      <c r="C51" s="2" t="s">
        <v>17390</v>
      </c>
      <c r="D51" s="2" t="n">
        <v>111.117415134</v>
      </c>
      <c r="E51" s="2" t="n">
        <v>2.64190314635584</v>
      </c>
      <c r="F51" s="2" t="s">
        <v>25542</v>
      </c>
      <c r="G51" s="2" t="n">
        <v>6068</v>
      </c>
      <c r="H51" s="3" t="str">
        <f>HYPERLINK("http://funmeta.oebiotech.com/network/6068", "http://funmeta.oebiotech.com/network/6068")</f>
      </c>
      <c r="I51" s="2" t="s">
        <v>25543</v>
      </c>
      <c r="J51" s="2" t="s">
        <v>25544</v>
      </c>
      <c r="K51" s="2" t="s">
        <v>25545</v>
      </c>
      <c r="L51" s="2" t="s">
        <v>25546</v>
      </c>
      <c r="M51" s="2" t="s">
        <v>25547</v>
      </c>
      <c r="N51" s="2" t="s">
        <v>25548</v>
      </c>
      <c r="O51" s="2"/>
      <c r="P51" s="2" t="s">
        <v>25549</v>
      </c>
      <c r="Q51" s="2" t="s">
        <v>25550</v>
      </c>
      <c r="R51" s="2" t="s">
        <v>794</v>
      </c>
      <c r="S51" s="2" t="s">
        <v>795</v>
      </c>
      <c r="T51" s="2" t="s">
        <v>3273</v>
      </c>
      <c r="U51" s="2" t="s">
        <v>17391</v>
      </c>
      <c r="V51" s="2" t="s">
        <v>17039</v>
      </c>
      <c r="W51" s="2" t="s">
        <v>56</v>
      </c>
    </row>
    <row r="52">
      <c r="A52" s="2" t="n">
        <v>30</v>
      </c>
      <c r="B52" s="2" t="s">
        <v>25551</v>
      </c>
      <c r="C52" s="2" t="s">
        <v>17390</v>
      </c>
      <c r="D52" s="2" t="n">
        <v>111.117415134</v>
      </c>
      <c r="E52" s="2" t="n">
        <v>2.64190314635584</v>
      </c>
      <c r="F52" s="2" t="s">
        <v>25552</v>
      </c>
      <c r="G52" s="2" t="n">
        <v>6305</v>
      </c>
      <c r="H52" s="3" t="str">
        <f>HYPERLINK("http://funmeta.oebiotech.com/network/6305", "http://funmeta.oebiotech.com/network/6305")</f>
      </c>
      <c r="I52" s="2" t="s">
        <v>25553</v>
      </c>
      <c r="J52" s="2" t="s">
        <v>25554</v>
      </c>
      <c r="K52" s="2" t="s">
        <v>25555</v>
      </c>
      <c r="L52" s="2" t="s">
        <v>25556</v>
      </c>
      <c r="M52" s="2" t="s">
        <v>25557</v>
      </c>
      <c r="N52" s="2" t="s">
        <v>25558</v>
      </c>
      <c r="O52" s="2" t="s">
        <v>25559</v>
      </c>
      <c r="P52" s="2" t="s">
        <v>25560</v>
      </c>
      <c r="Q52" s="2" t="s">
        <v>25561</v>
      </c>
      <c r="R52" s="2" t="s">
        <v>794</v>
      </c>
      <c r="S52" s="2" t="s">
        <v>795</v>
      </c>
      <c r="T52" s="2" t="s">
        <v>3273</v>
      </c>
      <c r="U52" s="2" t="s">
        <v>17391</v>
      </c>
      <c r="V52" s="2" t="s">
        <v>17039</v>
      </c>
      <c r="W52" s="2" t="s">
        <v>56</v>
      </c>
    </row>
    <row r="53">
      <c r="A53" s="2" t="n">
        <v>31</v>
      </c>
      <c r="B53" s="2" t="s">
        <v>11996</v>
      </c>
      <c r="C53" s="2" t="s">
        <v>17404</v>
      </c>
      <c r="D53" s="2" t="n">
        <v>112.02849791</v>
      </c>
      <c r="E53" s="2" t="n">
        <v>6.19437591697154</v>
      </c>
      <c r="F53" s="2" t="s">
        <v>17407</v>
      </c>
      <c r="G53" s="2" t="n">
        <v>212280</v>
      </c>
      <c r="H53" s="3" t="str">
        <f>HYPERLINK("http://funmeta.oebiotech.com/network/212280", "http://funmeta.oebiotech.com/network/212280")</f>
      </c>
      <c r="I53" s="2" t="s">
        <v>17409</v>
      </c>
      <c r="J53" s="2"/>
      <c r="K53" s="2"/>
      <c r="L53" s="2"/>
      <c r="M53" s="2"/>
      <c r="N53" s="2"/>
      <c r="O53" s="2"/>
      <c r="P53" s="2" t="s">
        <v>17410</v>
      </c>
      <c r="Q53" s="2" t="s">
        <v>17411</v>
      </c>
      <c r="R53" s="2" t="s">
        <v>129</v>
      </c>
      <c r="S53" s="2" t="s">
        <v>130</v>
      </c>
      <c r="T53" s="2" t="s">
        <v>215</v>
      </c>
      <c r="U53" s="2" t="s">
        <v>17405</v>
      </c>
      <c r="V53" s="2" t="s">
        <v>17406</v>
      </c>
      <c r="W53" s="2"/>
    </row>
    <row r="54">
      <c r="A54" s="2" t="n">
        <v>32</v>
      </c>
      <c r="B54" s="2" t="s">
        <v>11997</v>
      </c>
      <c r="C54" s="2" t="s">
        <v>17412</v>
      </c>
      <c r="D54" s="2" t="n">
        <v>112.051126477</v>
      </c>
      <c r="E54" s="2" t="n">
        <v>10.3142373127104</v>
      </c>
      <c r="F54" s="2" t="s">
        <v>17414</v>
      </c>
      <c r="G54" s="2" t="n">
        <v>200439</v>
      </c>
      <c r="H54" s="3" t="str">
        <f>HYPERLINK("http://funmeta.oebiotech.com/network/200439", "http://funmeta.oebiotech.com/network/200439")</f>
      </c>
      <c r="I54" s="2" t="s">
        <v>17416</v>
      </c>
      <c r="J54" s="2"/>
      <c r="K54" s="2"/>
      <c r="L54" s="2"/>
      <c r="M54" s="2"/>
      <c r="N54" s="2" t="s">
        <v>17417</v>
      </c>
      <c r="O54" s="2"/>
      <c r="P54" s="2" t="s">
        <v>17418</v>
      </c>
      <c r="Q54" s="2" t="s">
        <v>17419</v>
      </c>
      <c r="R54" s="2" t="s">
        <v>36</v>
      </c>
      <c r="S54" s="2" t="s">
        <v>37</v>
      </c>
      <c r="T54" s="2" t="s">
        <v>69</v>
      </c>
      <c r="U54" s="2" t="s">
        <v>17413</v>
      </c>
      <c r="V54" s="2" t="s">
        <v>17039</v>
      </c>
      <c r="W54" s="2"/>
    </row>
    <row r="55">
      <c r="A55" s="2" t="n">
        <v>33</v>
      </c>
      <c r="B55" s="2" t="s">
        <v>11998</v>
      </c>
      <c r="C55" s="2" t="s">
        <v>17420</v>
      </c>
      <c r="D55" s="2" t="n">
        <v>112.9919316</v>
      </c>
      <c r="E55" s="2" t="n">
        <v>7.58180772689811</v>
      </c>
      <c r="F55" s="2" t="s">
        <v>17422</v>
      </c>
      <c r="G55" s="2" t="n">
        <v>199595</v>
      </c>
      <c r="H55" s="3" t="str">
        <f>HYPERLINK("http://funmeta.oebiotech.com/network/199595", "http://funmeta.oebiotech.com/network/199595")</f>
      </c>
      <c r="I55" s="2" t="s">
        <v>17424</v>
      </c>
      <c r="J55" s="2" t="s">
        <v>17425</v>
      </c>
      <c r="K55" s="2"/>
      <c r="L55" s="2" t="s">
        <v>17426</v>
      </c>
      <c r="M55" s="2" t="s">
        <v>17427</v>
      </c>
      <c r="N55" s="2" t="s">
        <v>17428</v>
      </c>
      <c r="O55" s="2" t="s">
        <v>17429</v>
      </c>
      <c r="P55" s="2" t="s">
        <v>17430</v>
      </c>
      <c r="Q55" s="2" t="s">
        <v>17431</v>
      </c>
      <c r="R55" s="2" t="s">
        <v>213</v>
      </c>
      <c r="S55" s="2" t="s">
        <v>466</v>
      </c>
      <c r="T55" s="2" t="s">
        <v>215</v>
      </c>
      <c r="U55" s="2" t="s">
        <v>17421</v>
      </c>
      <c r="V55" s="2" t="s">
        <v>17137</v>
      </c>
      <c r="W55" s="2" t="s">
        <v>101</v>
      </c>
    </row>
    <row r="56">
      <c r="A56" s="2" t="n">
        <v>34</v>
      </c>
      <c r="B56" s="2" t="s">
        <v>11999</v>
      </c>
      <c r="C56" s="2" t="s">
        <v>17432</v>
      </c>
      <c r="D56" s="2" t="n">
        <v>113.060294186</v>
      </c>
      <c r="E56" s="2" t="n">
        <v>4.1555227208818</v>
      </c>
      <c r="F56" s="2" t="s">
        <v>17434</v>
      </c>
      <c r="G56" s="2" t="n">
        <v>47163</v>
      </c>
      <c r="H56" s="3" t="str">
        <f>HYPERLINK("http://funmeta.oebiotech.com/network/47163", "http://funmeta.oebiotech.com/network/47163")</f>
      </c>
      <c r="I56" s="2" t="s">
        <v>17436</v>
      </c>
      <c r="J56" s="2" t="s">
        <v>17437</v>
      </c>
      <c r="K56" s="2"/>
      <c r="L56" s="2" t="s">
        <v>17438</v>
      </c>
      <c r="M56" s="2" t="s">
        <v>17439</v>
      </c>
      <c r="N56" s="2" t="s">
        <v>6270</v>
      </c>
      <c r="O56" s="2" t="s">
        <v>17440</v>
      </c>
      <c r="P56" s="2" t="s">
        <v>17441</v>
      </c>
      <c r="Q56" s="2" t="s">
        <v>17442</v>
      </c>
      <c r="R56" s="2" t="s">
        <v>36</v>
      </c>
      <c r="S56" s="2" t="s">
        <v>271</v>
      </c>
      <c r="T56" s="2" t="s">
        <v>272</v>
      </c>
      <c r="U56" s="2" t="s">
        <v>17433</v>
      </c>
      <c r="V56" s="2" t="s">
        <v>17039</v>
      </c>
      <c r="W56" s="2" t="s">
        <v>39</v>
      </c>
    </row>
    <row r="57">
      <c r="A57" s="2" t="n">
        <v>35</v>
      </c>
      <c r="B57" s="2" t="s">
        <v>12023</v>
      </c>
      <c r="C57" s="2" t="s">
        <v>17443</v>
      </c>
      <c r="D57" s="2" t="n">
        <v>114.091928665</v>
      </c>
      <c r="E57" s="2" t="n">
        <v>14.8100886791828</v>
      </c>
      <c r="F57" s="2" t="s">
        <v>25562</v>
      </c>
      <c r="G57" s="2" t="n">
        <v>2489</v>
      </c>
      <c r="H57" s="3" t="str">
        <f>HYPERLINK("http://funmeta.oebiotech.com/network/2489", "http://funmeta.oebiotech.com/network/2489")</f>
      </c>
      <c r="I57" s="2" t="s">
        <v>25563</v>
      </c>
      <c r="J57" s="2" t="s">
        <v>25564</v>
      </c>
      <c r="K57" s="2" t="s">
        <v>25565</v>
      </c>
      <c r="L57" s="2" t="s">
        <v>25566</v>
      </c>
      <c r="M57" s="2" t="s">
        <v>25567</v>
      </c>
      <c r="N57" s="2" t="s">
        <v>25568</v>
      </c>
      <c r="O57" s="2" t="s">
        <v>25569</v>
      </c>
      <c r="P57" s="2" t="s">
        <v>25570</v>
      </c>
      <c r="Q57" s="2" t="s">
        <v>25571</v>
      </c>
      <c r="R57" s="2" t="s">
        <v>36</v>
      </c>
      <c r="S57" s="2" t="s">
        <v>37</v>
      </c>
      <c r="T57" s="2" t="s">
        <v>69</v>
      </c>
      <c r="U57" s="2" t="s">
        <v>17444</v>
      </c>
      <c r="V57" s="2" t="s">
        <v>17039</v>
      </c>
      <c r="W57" s="2" t="s">
        <v>39</v>
      </c>
    </row>
    <row r="58">
      <c r="A58" s="2" t="n">
        <v>35</v>
      </c>
      <c r="B58" s="2" t="s">
        <v>25572</v>
      </c>
      <c r="C58" s="2" t="s">
        <v>17443</v>
      </c>
      <c r="D58" s="2" t="n">
        <v>114.091928665</v>
      </c>
      <c r="E58" s="2" t="n">
        <v>14.8100886791828</v>
      </c>
      <c r="F58" s="2" t="s">
        <v>25573</v>
      </c>
      <c r="G58" s="2" t="n">
        <v>47159</v>
      </c>
      <c r="H58" s="3" t="str">
        <f>HYPERLINK("http://funmeta.oebiotech.com/network/47159", "http://funmeta.oebiotech.com/network/47159")</f>
      </c>
      <c r="I58" s="2" t="s">
        <v>25574</v>
      </c>
      <c r="J58" s="2" t="s">
        <v>25575</v>
      </c>
      <c r="K58" s="2"/>
      <c r="L58" s="2" t="s">
        <v>25576</v>
      </c>
      <c r="M58" s="2" t="s">
        <v>25577</v>
      </c>
      <c r="N58" s="2" t="s">
        <v>25578</v>
      </c>
      <c r="O58" s="2" t="s">
        <v>25579</v>
      </c>
      <c r="P58" s="2" t="s">
        <v>25580</v>
      </c>
      <c r="Q58" s="2" t="s">
        <v>25581</v>
      </c>
      <c r="R58" s="2" t="s">
        <v>36</v>
      </c>
      <c r="S58" s="2" t="s">
        <v>37</v>
      </c>
      <c r="T58" s="2" t="s">
        <v>69</v>
      </c>
      <c r="U58" s="2" t="s">
        <v>17444</v>
      </c>
      <c r="V58" s="2" t="s">
        <v>17039</v>
      </c>
      <c r="W58" s="2" t="s">
        <v>39</v>
      </c>
    </row>
    <row r="59">
      <c r="A59" s="2" t="n">
        <v>36</v>
      </c>
      <c r="B59" s="2" t="s">
        <v>12024</v>
      </c>
      <c r="C59" s="2" t="s">
        <v>17456</v>
      </c>
      <c r="D59" s="2" t="n">
        <v>115.086588952</v>
      </c>
      <c r="E59" s="2" t="n">
        <v>1.71703039969238</v>
      </c>
      <c r="F59" s="2" t="s">
        <v>25582</v>
      </c>
      <c r="G59" s="2" t="n">
        <v>46995</v>
      </c>
      <c r="H59" s="3" t="str">
        <f>HYPERLINK("http://funmeta.oebiotech.com/network/46995", "http://funmeta.oebiotech.com/network/46995")</f>
      </c>
      <c r="I59" s="2" t="s">
        <v>25583</v>
      </c>
      <c r="J59" s="2" t="s">
        <v>25584</v>
      </c>
      <c r="K59" s="2"/>
      <c r="L59" s="2"/>
      <c r="M59" s="2" t="s">
        <v>25585</v>
      </c>
      <c r="N59" s="2" t="s">
        <v>25586</v>
      </c>
      <c r="O59" s="2" t="s">
        <v>25587</v>
      </c>
      <c r="P59" s="2" t="s">
        <v>25588</v>
      </c>
      <c r="Q59" s="2" t="s">
        <v>25589</v>
      </c>
      <c r="R59" s="2" t="s">
        <v>36</v>
      </c>
      <c r="S59" s="2" t="s">
        <v>37</v>
      </c>
      <c r="T59" s="2" t="s">
        <v>69</v>
      </c>
      <c r="U59" s="2" t="s">
        <v>17457</v>
      </c>
      <c r="V59" s="2" t="s">
        <v>17137</v>
      </c>
      <c r="W59" s="2" t="s">
        <v>56</v>
      </c>
    </row>
    <row r="60">
      <c r="A60" s="2" t="n">
        <v>36</v>
      </c>
      <c r="B60" s="2" t="s">
        <v>25590</v>
      </c>
      <c r="C60" s="2" t="s">
        <v>17456</v>
      </c>
      <c r="D60" s="2" t="n">
        <v>115.086588952</v>
      </c>
      <c r="E60" s="2" t="n">
        <v>1.71703039969238</v>
      </c>
      <c r="F60" s="2" t="s">
        <v>25591</v>
      </c>
      <c r="G60" s="2" t="n">
        <v>82979</v>
      </c>
      <c r="H60" s="3" t="str">
        <f>HYPERLINK("http://funmeta.oebiotech.com/network/82979", "http://funmeta.oebiotech.com/network/82979")</f>
      </c>
      <c r="I60" s="2" t="s">
        <v>25592</v>
      </c>
      <c r="J60" s="2"/>
      <c r="K60" s="2"/>
      <c r="L60" s="2"/>
      <c r="M60" s="2"/>
      <c r="N60" s="2" t="s">
        <v>25593</v>
      </c>
      <c r="O60" s="2"/>
      <c r="P60" s="2" t="s">
        <v>25594</v>
      </c>
      <c r="Q60" s="2" t="s">
        <v>25595</v>
      </c>
      <c r="R60" s="2" t="s">
        <v>114</v>
      </c>
      <c r="S60" s="2" t="s">
        <v>4121</v>
      </c>
      <c r="T60" s="2" t="s">
        <v>25596</v>
      </c>
      <c r="U60" s="2" t="s">
        <v>17457</v>
      </c>
      <c r="V60" s="2" t="s">
        <v>17137</v>
      </c>
      <c r="W60" s="2" t="s">
        <v>56</v>
      </c>
    </row>
    <row r="61">
      <c r="A61" s="2" t="n">
        <v>37</v>
      </c>
      <c r="B61" s="2" t="s">
        <v>12025</v>
      </c>
      <c r="C61" s="2" t="s">
        <v>17469</v>
      </c>
      <c r="D61" s="2" t="n">
        <v>115.962906069</v>
      </c>
      <c r="E61" s="2" t="n">
        <v>17.5462881321395</v>
      </c>
      <c r="F61" s="2" t="s">
        <v>17471</v>
      </c>
      <c r="G61" s="2" t="n">
        <v>210932</v>
      </c>
      <c r="H61" s="3" t="str">
        <f>HYPERLINK("http://funmeta.oebiotech.com/network/210932", "http://funmeta.oebiotech.com/network/210932")</f>
      </c>
      <c r="I61" s="2" t="s">
        <v>17473</v>
      </c>
      <c r="J61" s="2" t="s">
        <v>17474</v>
      </c>
      <c r="K61" s="2"/>
      <c r="L61" s="2" t="s">
        <v>17475</v>
      </c>
      <c r="M61" s="2"/>
      <c r="N61" s="2" t="s">
        <v>17476</v>
      </c>
      <c r="O61" s="2" t="s">
        <v>17477</v>
      </c>
      <c r="P61" s="2" t="s">
        <v>17478</v>
      </c>
      <c r="Q61" s="2" t="s">
        <v>17479</v>
      </c>
      <c r="R61" s="2" t="s">
        <v>114</v>
      </c>
      <c r="S61" s="2" t="s">
        <v>1050</v>
      </c>
      <c r="T61" s="2" t="s">
        <v>1051</v>
      </c>
      <c r="U61" s="2" t="s">
        <v>17470</v>
      </c>
      <c r="V61" s="2" t="s">
        <v>17039</v>
      </c>
      <c r="W61" s="2" t="s">
        <v>101</v>
      </c>
    </row>
    <row r="62">
      <c r="A62" s="2" t="n">
        <v>38</v>
      </c>
      <c r="B62" s="2" t="s">
        <v>12026</v>
      </c>
      <c r="C62" s="2" t="s">
        <v>17480</v>
      </c>
      <c r="D62" s="2" t="n">
        <v>117.102239016</v>
      </c>
      <c r="E62" s="2" t="n">
        <v>11.1342719062869</v>
      </c>
      <c r="F62" s="2" t="s">
        <v>17482</v>
      </c>
      <c r="G62" s="2" t="n">
        <v>51888</v>
      </c>
      <c r="H62" s="3" t="str">
        <f>HYPERLINK("http://funmeta.oebiotech.com/network/51888", "http://funmeta.oebiotech.com/network/51888")</f>
      </c>
      <c r="I62" s="2" t="s">
        <v>17484</v>
      </c>
      <c r="J62" s="2" t="s">
        <v>17485</v>
      </c>
      <c r="K62" s="2"/>
      <c r="L62" s="2" t="s">
        <v>17486</v>
      </c>
      <c r="M62" s="2" t="s">
        <v>17487</v>
      </c>
      <c r="N62" s="2" t="s">
        <v>17488</v>
      </c>
      <c r="O62" s="2" t="s">
        <v>17489</v>
      </c>
      <c r="P62" s="2" t="s">
        <v>17490</v>
      </c>
      <c r="Q62" s="2" t="s">
        <v>17491</v>
      </c>
      <c r="R62" s="2" t="s">
        <v>36</v>
      </c>
      <c r="S62" s="2" t="s">
        <v>37</v>
      </c>
      <c r="T62" s="2" t="s">
        <v>69</v>
      </c>
      <c r="U62" s="2" t="s">
        <v>17481</v>
      </c>
      <c r="V62" s="2" t="s">
        <v>17137</v>
      </c>
      <c r="W62" s="2" t="s">
        <v>101</v>
      </c>
    </row>
    <row r="63">
      <c r="A63" s="2" t="n">
        <v>39</v>
      </c>
      <c r="B63" s="2" t="s">
        <v>12043</v>
      </c>
      <c r="C63" s="2" t="s">
        <v>17492</v>
      </c>
      <c r="D63" s="2" t="n">
        <v>118.086803633</v>
      </c>
      <c r="E63" s="2" t="n">
        <v>7.1666099694261</v>
      </c>
      <c r="F63" s="2" t="s">
        <v>17494</v>
      </c>
      <c r="G63" s="2" t="n">
        <v>46839</v>
      </c>
      <c r="H63" s="3" t="str">
        <f>HYPERLINK("http://funmeta.oebiotech.com/network/46839", "http://funmeta.oebiotech.com/network/46839")</f>
      </c>
      <c r="I63" s="2" t="s">
        <v>17496</v>
      </c>
      <c r="J63" s="2" t="s">
        <v>17497</v>
      </c>
      <c r="K63" s="2"/>
      <c r="L63" s="2"/>
      <c r="M63" s="2" t="s">
        <v>17498</v>
      </c>
      <c r="N63" s="2" t="s">
        <v>17499</v>
      </c>
      <c r="O63" s="2" t="s">
        <v>17500</v>
      </c>
      <c r="P63" s="2" t="s">
        <v>17501</v>
      </c>
      <c r="Q63" s="2" t="s">
        <v>17502</v>
      </c>
      <c r="R63" s="2" t="s">
        <v>36</v>
      </c>
      <c r="S63" s="2" t="s">
        <v>37</v>
      </c>
      <c r="T63" s="2" t="s">
        <v>69</v>
      </c>
      <c r="U63" s="2" t="s">
        <v>17493</v>
      </c>
      <c r="V63" s="2" t="s">
        <v>17117</v>
      </c>
      <c r="W63" s="2" t="s">
        <v>56</v>
      </c>
    </row>
    <row r="64">
      <c r="A64" s="2" t="n">
        <v>40</v>
      </c>
      <c r="B64" s="2" t="s">
        <v>12044</v>
      </c>
      <c r="C64" s="2" t="s">
        <v>17503</v>
      </c>
      <c r="D64" s="2" t="n">
        <v>120.081363979</v>
      </c>
      <c r="E64" s="2" t="n">
        <v>7.23539024184472</v>
      </c>
      <c r="F64" s="2" t="s">
        <v>25597</v>
      </c>
      <c r="G64" s="2" t="n">
        <v>46989</v>
      </c>
      <c r="H64" s="3" t="str">
        <f>HYPERLINK("http://funmeta.oebiotech.com/network/46989", "http://funmeta.oebiotech.com/network/46989")</f>
      </c>
      <c r="I64" s="2" t="s">
        <v>25598</v>
      </c>
      <c r="J64" s="2" t="s">
        <v>25599</v>
      </c>
      <c r="K64" s="2"/>
      <c r="L64" s="2" t="s">
        <v>25600</v>
      </c>
      <c r="M64" s="2" t="s">
        <v>25601</v>
      </c>
      <c r="N64" s="2" t="s">
        <v>25602</v>
      </c>
      <c r="O64" s="2" t="s">
        <v>25603</v>
      </c>
      <c r="P64" s="2" t="s">
        <v>25604</v>
      </c>
      <c r="Q64" s="2" t="s">
        <v>25605</v>
      </c>
      <c r="R64" s="2" t="s">
        <v>186</v>
      </c>
      <c r="S64" s="2" t="s">
        <v>187</v>
      </c>
      <c r="T64" s="2" t="s">
        <v>11522</v>
      </c>
      <c r="U64" s="2" t="s">
        <v>17504</v>
      </c>
      <c r="V64" s="2" t="s">
        <v>17039</v>
      </c>
      <c r="W64" s="2" t="s">
        <v>56</v>
      </c>
    </row>
    <row r="65">
      <c r="A65" s="2" t="n">
        <v>40</v>
      </c>
      <c r="B65" s="2" t="s">
        <v>25606</v>
      </c>
      <c r="C65" s="2" t="s">
        <v>17503</v>
      </c>
      <c r="D65" s="2" t="n">
        <v>120.081363979</v>
      </c>
      <c r="E65" s="2" t="n">
        <v>7.23539024184472</v>
      </c>
      <c r="F65" s="2" t="s">
        <v>25607</v>
      </c>
      <c r="G65" s="2" t="n">
        <v>47375</v>
      </c>
      <c r="H65" s="3" t="str">
        <f>HYPERLINK("http://funmeta.oebiotech.com/network/47375", "http://funmeta.oebiotech.com/network/47375")</f>
      </c>
      <c r="I65" s="2" t="s">
        <v>25608</v>
      </c>
      <c r="J65" s="2" t="s">
        <v>25609</v>
      </c>
      <c r="K65" s="2"/>
      <c r="L65" s="2" t="s">
        <v>25610</v>
      </c>
      <c r="M65" s="2" t="s">
        <v>25611</v>
      </c>
      <c r="N65" s="2" t="s">
        <v>25612</v>
      </c>
      <c r="O65" s="2" t="s">
        <v>25613</v>
      </c>
      <c r="P65" s="2" t="s">
        <v>25614</v>
      </c>
      <c r="Q65" s="2" t="s">
        <v>25615</v>
      </c>
      <c r="R65" s="2" t="s">
        <v>601</v>
      </c>
      <c r="S65" s="2" t="s">
        <v>602</v>
      </c>
      <c r="T65" s="2" t="s">
        <v>1800</v>
      </c>
      <c r="U65" s="2" t="s">
        <v>17504</v>
      </c>
      <c r="V65" s="2" t="s">
        <v>17039</v>
      </c>
      <c r="W65" s="2" t="s">
        <v>56</v>
      </c>
    </row>
    <row r="66">
      <c r="A66" s="2" t="n">
        <v>40</v>
      </c>
      <c r="B66" s="2" t="s">
        <v>25616</v>
      </c>
      <c r="C66" s="2" t="s">
        <v>17503</v>
      </c>
      <c r="D66" s="2" t="n">
        <v>120.081363979</v>
      </c>
      <c r="E66" s="2" t="n">
        <v>7.23539024184472</v>
      </c>
      <c r="F66" s="2" t="s">
        <v>25617</v>
      </c>
      <c r="G66" s="2" t="n">
        <v>82553</v>
      </c>
      <c r="H66" s="3" t="str">
        <f>HYPERLINK("http://funmeta.oebiotech.com/network/82553", "http://funmeta.oebiotech.com/network/82553")</f>
      </c>
      <c r="I66" s="2" t="s">
        <v>25618</v>
      </c>
      <c r="J66" s="2" t="s">
        <v>25612</v>
      </c>
      <c r="K66" s="2"/>
      <c r="L66" s="2" t="s">
        <v>25619</v>
      </c>
      <c r="M66" s="2" t="s">
        <v>25620</v>
      </c>
      <c r="N66" s="2" t="s">
        <v>25621</v>
      </c>
      <c r="O66" s="2" t="s">
        <v>25622</v>
      </c>
      <c r="P66" s="2" t="s">
        <v>25623</v>
      </c>
      <c r="Q66" s="2" t="s">
        <v>25624</v>
      </c>
      <c r="R66" s="2" t="s">
        <v>186</v>
      </c>
      <c r="S66" s="2" t="s">
        <v>357</v>
      </c>
      <c r="T66" s="2" t="s">
        <v>17184</v>
      </c>
      <c r="U66" s="2" t="s">
        <v>17504</v>
      </c>
      <c r="V66" s="2" t="s">
        <v>17039</v>
      </c>
      <c r="W66" s="2" t="s">
        <v>56</v>
      </c>
    </row>
    <row r="67">
      <c r="A67" s="2" t="n">
        <v>41</v>
      </c>
      <c r="B67" s="2" t="s">
        <v>12045</v>
      </c>
      <c r="C67" s="2" t="s">
        <v>17518</v>
      </c>
      <c r="D67" s="2" t="n">
        <v>120.969061197</v>
      </c>
      <c r="E67" s="2" t="n">
        <v>14.8508521855749</v>
      </c>
      <c r="F67" s="2" t="s">
        <v>17521</v>
      </c>
      <c r="G67" s="2" t="n">
        <v>206009</v>
      </c>
      <c r="H67" s="3" t="str">
        <f>HYPERLINK("http://funmeta.oebiotech.com/network/206009", "http://funmeta.oebiotech.com/network/206009")</f>
      </c>
      <c r="I67" s="2" t="s">
        <v>17523</v>
      </c>
      <c r="J67" s="2" t="s">
        <v>17524</v>
      </c>
      <c r="K67" s="2"/>
      <c r="L67" s="2"/>
      <c r="M67" s="2"/>
      <c r="N67" s="2" t="s">
        <v>17525</v>
      </c>
      <c r="O67" s="2"/>
      <c r="P67" s="2" t="s">
        <v>17526</v>
      </c>
      <c r="Q67" s="2" t="s">
        <v>17527</v>
      </c>
      <c r="R67" s="2" t="s">
        <v>601</v>
      </c>
      <c r="S67" s="2" t="s">
        <v>602</v>
      </c>
      <c r="T67" s="2" t="s">
        <v>215</v>
      </c>
      <c r="U67" s="2" t="s">
        <v>17519</v>
      </c>
      <c r="V67" s="2" t="s">
        <v>17520</v>
      </c>
      <c r="W67" s="2"/>
    </row>
    <row r="68">
      <c r="A68" s="2" t="n">
        <v>42</v>
      </c>
      <c r="B68" s="2" t="s">
        <v>12046</v>
      </c>
      <c r="C68" s="2" t="s">
        <v>17528</v>
      </c>
      <c r="D68" s="2" t="n">
        <v>121.028994053</v>
      </c>
      <c r="E68" s="2" t="n">
        <v>4.16631136735783</v>
      </c>
      <c r="F68" s="2" t="s">
        <v>25625</v>
      </c>
      <c r="G68" s="2" t="n">
        <v>47065</v>
      </c>
      <c r="H68" s="3" t="str">
        <f>HYPERLINK("http://funmeta.oebiotech.com/network/47065", "http://funmeta.oebiotech.com/network/47065")</f>
      </c>
      <c r="I68" s="2" t="s">
        <v>25626</v>
      </c>
      <c r="J68" s="2" t="s">
        <v>15377</v>
      </c>
      <c r="K68" s="2"/>
      <c r="L68" s="2" t="s">
        <v>25627</v>
      </c>
      <c r="M68" s="2" t="s">
        <v>25628</v>
      </c>
      <c r="N68" s="2" t="s">
        <v>25629</v>
      </c>
      <c r="O68" s="2" t="s">
        <v>25630</v>
      </c>
      <c r="P68" s="2" t="s">
        <v>25631</v>
      </c>
      <c r="Q68" s="2" t="s">
        <v>25632</v>
      </c>
      <c r="R68" s="2" t="s">
        <v>186</v>
      </c>
      <c r="S68" s="2" t="s">
        <v>187</v>
      </c>
      <c r="T68" s="2" t="s">
        <v>3454</v>
      </c>
      <c r="U68" s="2" t="s">
        <v>17529</v>
      </c>
      <c r="V68" s="2" t="s">
        <v>17039</v>
      </c>
      <c r="W68" s="2" t="s">
        <v>56</v>
      </c>
    </row>
    <row r="69">
      <c r="A69" s="2" t="n">
        <v>42</v>
      </c>
      <c r="B69" s="2" t="s">
        <v>12055</v>
      </c>
      <c r="C69" s="2" t="s">
        <v>17528</v>
      </c>
      <c r="D69" s="2" t="n">
        <v>121.028994053</v>
      </c>
      <c r="E69" s="2" t="n">
        <v>4.16631136735783</v>
      </c>
      <c r="F69" s="2" t="s">
        <v>25633</v>
      </c>
      <c r="G69" s="2" t="n">
        <v>47701</v>
      </c>
      <c r="H69" s="3" t="str">
        <f>HYPERLINK("http://funmeta.oebiotech.com/network/47701", "http://funmeta.oebiotech.com/network/47701")</f>
      </c>
      <c r="I69" s="2" t="s">
        <v>25634</v>
      </c>
      <c r="J69" s="2" t="s">
        <v>25635</v>
      </c>
      <c r="K69" s="2"/>
      <c r="L69" s="2" t="s">
        <v>25636</v>
      </c>
      <c r="M69" s="2" t="s">
        <v>25637</v>
      </c>
      <c r="N69" s="2" t="s">
        <v>25638</v>
      </c>
      <c r="O69" s="2" t="s">
        <v>25639</v>
      </c>
      <c r="P69" s="2" t="s">
        <v>25640</v>
      </c>
      <c r="Q69" s="2" t="s">
        <v>25641</v>
      </c>
      <c r="R69" s="2" t="s">
        <v>186</v>
      </c>
      <c r="S69" s="2" t="s">
        <v>187</v>
      </c>
      <c r="T69" s="2" t="s">
        <v>3454</v>
      </c>
      <c r="U69" s="2" t="s">
        <v>17529</v>
      </c>
      <c r="V69" s="2" t="s">
        <v>17039</v>
      </c>
      <c r="W69" s="2" t="s">
        <v>56</v>
      </c>
    </row>
    <row r="70">
      <c r="A70" s="2" t="n">
        <v>43</v>
      </c>
      <c r="B70" s="2" t="s">
        <v>12062</v>
      </c>
      <c r="C70" s="2" t="s">
        <v>17541</v>
      </c>
      <c r="D70" s="2" t="n">
        <v>121.10176507</v>
      </c>
      <c r="E70" s="2" t="n">
        <v>10.3230119626033</v>
      </c>
      <c r="F70" s="2" t="s">
        <v>25642</v>
      </c>
      <c r="G70" s="2" t="n">
        <v>6582</v>
      </c>
      <c r="H70" s="3" t="str">
        <f>HYPERLINK("http://funmeta.oebiotech.com/network/6582", "http://funmeta.oebiotech.com/network/6582")</f>
      </c>
      <c r="I70" s="2" t="s">
        <v>25643</v>
      </c>
      <c r="J70" s="2" t="s">
        <v>25644</v>
      </c>
      <c r="K70" s="2" t="s">
        <v>25645</v>
      </c>
      <c r="L70" s="2" t="s">
        <v>25646</v>
      </c>
      <c r="M70" s="2" t="s">
        <v>25647</v>
      </c>
      <c r="N70" s="2" t="s">
        <v>25648</v>
      </c>
      <c r="O70" s="2" t="s">
        <v>25649</v>
      </c>
      <c r="P70" s="2" t="s">
        <v>25650</v>
      </c>
      <c r="Q70" s="2" t="s">
        <v>25651</v>
      </c>
      <c r="R70" s="2" t="s">
        <v>129</v>
      </c>
      <c r="S70" s="2" t="s">
        <v>130</v>
      </c>
      <c r="T70" s="2" t="s">
        <v>131</v>
      </c>
      <c r="U70" s="2" t="s">
        <v>17542</v>
      </c>
      <c r="V70" s="2" t="s">
        <v>17039</v>
      </c>
      <c r="W70" s="2" t="s">
        <v>56</v>
      </c>
    </row>
    <row r="71">
      <c r="A71" s="2" t="n">
        <v>43</v>
      </c>
      <c r="B71" s="2" t="s">
        <v>25652</v>
      </c>
      <c r="C71" s="2" t="s">
        <v>17541</v>
      </c>
      <c r="D71" s="2" t="n">
        <v>121.10176507</v>
      </c>
      <c r="E71" s="2" t="n">
        <v>10.3230119626033</v>
      </c>
      <c r="F71" s="2" t="s">
        <v>25653</v>
      </c>
      <c r="G71" s="2" t="n">
        <v>55803</v>
      </c>
      <c r="H71" s="3" t="str">
        <f>HYPERLINK("http://funmeta.oebiotech.com/network/55803", "http://funmeta.oebiotech.com/network/55803")</f>
      </c>
      <c r="I71" s="2" t="s">
        <v>25654</v>
      </c>
      <c r="J71" s="2" t="s">
        <v>25655</v>
      </c>
      <c r="K71" s="2"/>
      <c r="L71" s="2" t="s">
        <v>25656</v>
      </c>
      <c r="M71" s="2" t="s">
        <v>25657</v>
      </c>
      <c r="N71" s="2" t="s">
        <v>25658</v>
      </c>
      <c r="O71" s="2" t="s">
        <v>25659</v>
      </c>
      <c r="P71" s="2" t="s">
        <v>25660</v>
      </c>
      <c r="Q71" s="2" t="s">
        <v>25661</v>
      </c>
      <c r="R71" s="2" t="s">
        <v>129</v>
      </c>
      <c r="S71" s="2" t="s">
        <v>130</v>
      </c>
      <c r="T71" s="2" t="s">
        <v>131</v>
      </c>
      <c r="U71" s="2" t="s">
        <v>17542</v>
      </c>
      <c r="V71" s="2" t="s">
        <v>17039</v>
      </c>
      <c r="W71" s="2" t="s">
        <v>56</v>
      </c>
    </row>
    <row r="72">
      <c r="A72" s="2" t="n">
        <v>43</v>
      </c>
      <c r="B72" s="2" t="s">
        <v>25662</v>
      </c>
      <c r="C72" s="2" t="s">
        <v>17541</v>
      </c>
      <c r="D72" s="2" t="n">
        <v>121.10176507</v>
      </c>
      <c r="E72" s="2" t="n">
        <v>10.3230119626033</v>
      </c>
      <c r="F72" s="2" t="s">
        <v>25663</v>
      </c>
      <c r="G72" s="2" t="n">
        <v>55765</v>
      </c>
      <c r="H72" s="3" t="str">
        <f>HYPERLINK("http://funmeta.oebiotech.com/network/55765", "http://funmeta.oebiotech.com/network/55765")</f>
      </c>
      <c r="I72" s="2" t="s">
        <v>25664</v>
      </c>
      <c r="J72" s="2" t="s">
        <v>25665</v>
      </c>
      <c r="K72" s="2"/>
      <c r="L72" s="2" t="s">
        <v>25666</v>
      </c>
      <c r="M72" s="2" t="s">
        <v>25667</v>
      </c>
      <c r="N72" s="2" t="s">
        <v>25668</v>
      </c>
      <c r="O72" s="2" t="s">
        <v>25669</v>
      </c>
      <c r="P72" s="2" t="s">
        <v>25670</v>
      </c>
      <c r="Q72" s="2" t="s">
        <v>25671</v>
      </c>
      <c r="R72" s="2" t="s">
        <v>129</v>
      </c>
      <c r="S72" s="2" t="s">
        <v>130</v>
      </c>
      <c r="T72" s="2" t="s">
        <v>131</v>
      </c>
      <c r="U72" s="2" t="s">
        <v>17542</v>
      </c>
      <c r="V72" s="2" t="s">
        <v>17039</v>
      </c>
      <c r="W72" s="2" t="s">
        <v>56</v>
      </c>
    </row>
    <row r="73">
      <c r="A73" s="2" t="n">
        <v>44</v>
      </c>
      <c r="B73" s="2" t="s">
        <v>12063</v>
      </c>
      <c r="C73" s="2" t="s">
        <v>17554</v>
      </c>
      <c r="D73" s="2" t="n">
        <v>122.057631915</v>
      </c>
      <c r="E73" s="2" t="n">
        <v>1.12050085605416</v>
      </c>
      <c r="F73" s="2" t="s">
        <v>17556</v>
      </c>
      <c r="G73" s="2" t="n">
        <v>51514</v>
      </c>
      <c r="H73" s="3" t="str">
        <f>HYPERLINK("http://funmeta.oebiotech.com/network/51514", "http://funmeta.oebiotech.com/network/51514")</f>
      </c>
      <c r="I73" s="2" t="s">
        <v>17558</v>
      </c>
      <c r="J73" s="2" t="s">
        <v>17559</v>
      </c>
      <c r="K73" s="2"/>
      <c r="L73" s="2"/>
      <c r="M73" s="2" t="s">
        <v>17560</v>
      </c>
      <c r="N73" s="2" t="s">
        <v>17561</v>
      </c>
      <c r="O73" s="2" t="s">
        <v>17562</v>
      </c>
      <c r="P73" s="2" t="s">
        <v>17563</v>
      </c>
      <c r="Q73" s="2" t="s">
        <v>17564</v>
      </c>
      <c r="R73" s="2" t="s">
        <v>114</v>
      </c>
      <c r="S73" s="2" t="s">
        <v>4121</v>
      </c>
      <c r="T73" s="2" t="s">
        <v>17565</v>
      </c>
      <c r="U73" s="2" t="s">
        <v>17555</v>
      </c>
      <c r="V73" s="2" t="s">
        <v>17198</v>
      </c>
      <c r="W73" s="2" t="s">
        <v>56</v>
      </c>
    </row>
    <row r="74">
      <c r="A74" s="2" t="n">
        <v>45</v>
      </c>
      <c r="B74" s="2" t="s">
        <v>12064</v>
      </c>
      <c r="C74" s="2" t="s">
        <v>17566</v>
      </c>
      <c r="D74" s="2" t="n">
        <v>122.071861922</v>
      </c>
      <c r="E74" s="2" t="n">
        <v>0.682113699096126</v>
      </c>
      <c r="F74" s="2" t="s">
        <v>17568</v>
      </c>
      <c r="G74" s="2" t="n">
        <v>51929</v>
      </c>
      <c r="H74" s="3" t="str">
        <f>HYPERLINK("http://funmeta.oebiotech.com/network/51929", "http://funmeta.oebiotech.com/network/51929")</f>
      </c>
      <c r="I74" s="2" t="s">
        <v>17570</v>
      </c>
      <c r="J74" s="2" t="s">
        <v>12820</v>
      </c>
      <c r="K74" s="2"/>
      <c r="L74" s="2" t="s">
        <v>17571</v>
      </c>
      <c r="M74" s="2" t="s">
        <v>17572</v>
      </c>
      <c r="N74" s="2" t="s">
        <v>17573</v>
      </c>
      <c r="O74" s="2" t="s">
        <v>17574</v>
      </c>
      <c r="P74" s="2" t="s">
        <v>17575</v>
      </c>
      <c r="Q74" s="2" t="s">
        <v>17576</v>
      </c>
      <c r="R74" s="2" t="s">
        <v>601</v>
      </c>
      <c r="S74" s="2" t="s">
        <v>602</v>
      </c>
      <c r="T74" s="2" t="s">
        <v>1800</v>
      </c>
      <c r="U74" s="2" t="s">
        <v>17567</v>
      </c>
      <c r="V74" s="2" t="s">
        <v>17039</v>
      </c>
      <c r="W74" s="2" t="s">
        <v>56</v>
      </c>
    </row>
    <row r="75">
      <c r="A75" s="2" t="n">
        <v>46</v>
      </c>
      <c r="B75" s="2" t="s">
        <v>12065</v>
      </c>
      <c r="C75" s="2" t="s">
        <v>17577</v>
      </c>
      <c r="D75" s="2" t="n">
        <v>123.057058384</v>
      </c>
      <c r="E75" s="2" t="n">
        <v>0.743944782182871</v>
      </c>
      <c r="F75" s="2" t="s">
        <v>17579</v>
      </c>
      <c r="G75" s="2" t="n">
        <v>54513</v>
      </c>
      <c r="H75" s="3" t="str">
        <f>HYPERLINK("http://funmeta.oebiotech.com/network/54513", "http://funmeta.oebiotech.com/network/54513")</f>
      </c>
      <c r="I75" s="2" t="s">
        <v>17581</v>
      </c>
      <c r="J75" s="2" t="s">
        <v>17582</v>
      </c>
      <c r="K75" s="2"/>
      <c r="L75" s="2" t="s">
        <v>17583</v>
      </c>
      <c r="M75" s="2" t="s">
        <v>17584</v>
      </c>
      <c r="N75" s="2" t="s">
        <v>17585</v>
      </c>
      <c r="O75" s="2" t="s">
        <v>17586</v>
      </c>
      <c r="P75" s="2" t="s">
        <v>17587</v>
      </c>
      <c r="Q75" s="2" t="s">
        <v>17588</v>
      </c>
      <c r="R75" s="2" t="s">
        <v>501</v>
      </c>
      <c r="S75" s="2" t="s">
        <v>17589</v>
      </c>
      <c r="T75" s="2" t="s">
        <v>17590</v>
      </c>
      <c r="U75" s="2" t="s">
        <v>17578</v>
      </c>
      <c r="V75" s="2" t="s">
        <v>17406</v>
      </c>
      <c r="W75" s="2" t="s">
        <v>56</v>
      </c>
    </row>
    <row r="76">
      <c r="A76" s="2" t="n">
        <v>47</v>
      </c>
      <c r="B76" s="2" t="s">
        <v>12066</v>
      </c>
      <c r="C76" s="2" t="s">
        <v>17591</v>
      </c>
      <c r="D76" s="2" t="n">
        <v>123.117415134</v>
      </c>
      <c r="E76" s="2" t="n">
        <v>5.93911765500129</v>
      </c>
      <c r="F76" s="2" t="s">
        <v>25672</v>
      </c>
      <c r="G76" s="2" t="n">
        <v>6113</v>
      </c>
      <c r="H76" s="3" t="str">
        <f>HYPERLINK("http://funmeta.oebiotech.com/network/6113", "http://funmeta.oebiotech.com/network/6113")</f>
      </c>
      <c r="I76" s="2" t="s">
        <v>25673</v>
      </c>
      <c r="J76" s="2" t="s">
        <v>25674</v>
      </c>
      <c r="K76" s="2" t="s">
        <v>25675</v>
      </c>
      <c r="L76" s="2"/>
      <c r="M76" s="2"/>
      <c r="N76" s="2" t="s">
        <v>25676</v>
      </c>
      <c r="O76" s="2" t="s">
        <v>25677</v>
      </c>
      <c r="P76" s="2" t="s">
        <v>25678</v>
      </c>
      <c r="Q76" s="2" t="s">
        <v>25679</v>
      </c>
      <c r="R76" s="2" t="s">
        <v>794</v>
      </c>
      <c r="S76" s="2" t="s">
        <v>795</v>
      </c>
      <c r="T76" s="2" t="s">
        <v>3273</v>
      </c>
      <c r="U76" s="2" t="s">
        <v>17592</v>
      </c>
      <c r="V76" s="2" t="s">
        <v>17039</v>
      </c>
      <c r="W76" s="2" t="s">
        <v>56</v>
      </c>
    </row>
    <row r="77">
      <c r="A77" s="2" t="n">
        <v>47</v>
      </c>
      <c r="B77" s="2" t="s">
        <v>25680</v>
      </c>
      <c r="C77" s="2" t="s">
        <v>17591</v>
      </c>
      <c r="D77" s="2" t="n">
        <v>123.117415134</v>
      </c>
      <c r="E77" s="2" t="n">
        <v>5.93911765500129</v>
      </c>
      <c r="F77" s="2" t="s">
        <v>25681</v>
      </c>
      <c r="G77" s="2" t="n">
        <v>6294</v>
      </c>
      <c r="H77" s="3" t="str">
        <f>HYPERLINK("http://funmeta.oebiotech.com/network/6294", "http://funmeta.oebiotech.com/network/6294")</f>
      </c>
      <c r="I77" s="2" t="s">
        <v>25682</v>
      </c>
      <c r="J77" s="2" t="s">
        <v>25683</v>
      </c>
      <c r="K77" s="2" t="s">
        <v>25684</v>
      </c>
      <c r="L77" s="2"/>
      <c r="M77" s="2"/>
      <c r="N77" s="2" t="s">
        <v>25685</v>
      </c>
      <c r="O77" s="2" t="s">
        <v>25686</v>
      </c>
      <c r="P77" s="2" t="s">
        <v>25687</v>
      </c>
      <c r="Q77" s="2" t="s">
        <v>25688</v>
      </c>
      <c r="R77" s="2" t="s">
        <v>794</v>
      </c>
      <c r="S77" s="2" t="s">
        <v>795</v>
      </c>
      <c r="T77" s="2" t="s">
        <v>3273</v>
      </c>
      <c r="U77" s="2" t="s">
        <v>17592</v>
      </c>
      <c r="V77" s="2" t="s">
        <v>17039</v>
      </c>
      <c r="W77" s="2" t="s">
        <v>56</v>
      </c>
    </row>
    <row r="78">
      <c r="A78" s="2" t="n">
        <v>47</v>
      </c>
      <c r="B78" s="2" t="s">
        <v>25689</v>
      </c>
      <c r="C78" s="2" t="s">
        <v>17591</v>
      </c>
      <c r="D78" s="2" t="n">
        <v>123.117415134</v>
      </c>
      <c r="E78" s="2" t="n">
        <v>5.93911765500129</v>
      </c>
      <c r="F78" s="2" t="s">
        <v>25690</v>
      </c>
      <c r="G78" s="2" t="n">
        <v>6341</v>
      </c>
      <c r="H78" s="3" t="str">
        <f>HYPERLINK("http://funmeta.oebiotech.com/network/6341", "http://funmeta.oebiotech.com/network/6341")</f>
      </c>
      <c r="I78" s="2" t="s">
        <v>25691</v>
      </c>
      <c r="J78" s="2" t="s">
        <v>25692</v>
      </c>
      <c r="K78" s="2" t="s">
        <v>25693</v>
      </c>
      <c r="L78" s="2"/>
      <c r="M78" s="2"/>
      <c r="N78" s="2" t="s">
        <v>25694</v>
      </c>
      <c r="O78" s="2" t="s">
        <v>25695</v>
      </c>
      <c r="P78" s="2" t="s">
        <v>25696</v>
      </c>
      <c r="Q78" s="2" t="s">
        <v>25697</v>
      </c>
      <c r="R78" s="2" t="s">
        <v>794</v>
      </c>
      <c r="S78" s="2" t="s">
        <v>795</v>
      </c>
      <c r="T78" s="2" t="s">
        <v>3273</v>
      </c>
      <c r="U78" s="2" t="s">
        <v>17592</v>
      </c>
      <c r="V78" s="2" t="s">
        <v>17039</v>
      </c>
      <c r="W78" s="2" t="s">
        <v>56</v>
      </c>
    </row>
    <row r="79">
      <c r="A79" s="2" t="n">
        <v>48</v>
      </c>
      <c r="B79" s="2" t="s">
        <v>12067</v>
      </c>
      <c r="C79" s="2" t="s">
        <v>17602</v>
      </c>
      <c r="D79" s="2" t="n">
        <v>124.087511989</v>
      </c>
      <c r="E79" s="2" t="n">
        <v>2.27653024358844</v>
      </c>
      <c r="F79" s="2" t="s">
        <v>17604</v>
      </c>
      <c r="G79" s="2" t="n">
        <v>48102</v>
      </c>
      <c r="H79" s="3" t="str">
        <f>HYPERLINK("http://funmeta.oebiotech.com/network/48102", "http://funmeta.oebiotech.com/network/48102")</f>
      </c>
      <c r="I79" s="2" t="s">
        <v>17606</v>
      </c>
      <c r="J79" s="2" t="s">
        <v>12647</v>
      </c>
      <c r="K79" s="2"/>
      <c r="L79" s="2" t="s">
        <v>17607</v>
      </c>
      <c r="M79" s="2" t="s">
        <v>17608</v>
      </c>
      <c r="N79" s="2" t="s">
        <v>17609</v>
      </c>
      <c r="O79" s="2" t="s">
        <v>17610</v>
      </c>
      <c r="P79" s="2" t="s">
        <v>17611</v>
      </c>
      <c r="Q79" s="2" t="s">
        <v>17612</v>
      </c>
      <c r="R79" s="2" t="s">
        <v>601</v>
      </c>
      <c r="S79" s="2" t="s">
        <v>602</v>
      </c>
      <c r="T79" s="2" t="s">
        <v>1800</v>
      </c>
      <c r="U79" s="2" t="s">
        <v>17603</v>
      </c>
      <c r="V79" s="2" t="s">
        <v>17039</v>
      </c>
      <c r="W79" s="2" t="s">
        <v>56</v>
      </c>
    </row>
    <row r="80">
      <c r="A80" s="2" t="n">
        <v>49</v>
      </c>
      <c r="B80" s="2" t="s">
        <v>12068</v>
      </c>
      <c r="C80" s="2" t="s">
        <v>17613</v>
      </c>
      <c r="D80" s="2" t="n">
        <v>125.096679692</v>
      </c>
      <c r="E80" s="2" t="n">
        <v>0.236448858161812</v>
      </c>
      <c r="F80" s="2" t="s">
        <v>25698</v>
      </c>
      <c r="G80" s="2" t="n">
        <v>1340</v>
      </c>
      <c r="H80" s="3" t="str">
        <f>HYPERLINK("http://funmeta.oebiotech.com/network/1340", "http://funmeta.oebiotech.com/network/1340")</f>
      </c>
      <c r="I80" s="2" t="s">
        <v>25699</v>
      </c>
      <c r="J80" s="2"/>
      <c r="K80" s="2" t="s">
        <v>25700</v>
      </c>
      <c r="L80" s="2" t="s">
        <v>25701</v>
      </c>
      <c r="M80" s="2" t="s">
        <v>25702</v>
      </c>
      <c r="N80" s="2" t="s">
        <v>25703</v>
      </c>
      <c r="O80" s="2"/>
      <c r="P80" s="2" t="s">
        <v>25704</v>
      </c>
      <c r="Q80" s="2" t="s">
        <v>25705</v>
      </c>
      <c r="R80" s="2" t="s">
        <v>794</v>
      </c>
      <c r="S80" s="2" t="s">
        <v>795</v>
      </c>
      <c r="T80" s="2" t="s">
        <v>796</v>
      </c>
      <c r="U80" s="2" t="s">
        <v>17614</v>
      </c>
      <c r="V80" s="2" t="s">
        <v>17039</v>
      </c>
      <c r="W80" s="2" t="s">
        <v>56</v>
      </c>
    </row>
    <row r="81">
      <c r="A81" s="2" t="n">
        <v>49</v>
      </c>
      <c r="B81" s="2" t="s">
        <v>12077</v>
      </c>
      <c r="C81" s="2" t="s">
        <v>17613</v>
      </c>
      <c r="D81" s="2" t="n">
        <v>125.096679692</v>
      </c>
      <c r="E81" s="2" t="n">
        <v>0.236448858161812</v>
      </c>
      <c r="F81" s="2" t="s">
        <v>25706</v>
      </c>
      <c r="G81" s="2" t="n">
        <v>1357</v>
      </c>
      <c r="H81" s="3" t="str">
        <f>HYPERLINK("http://funmeta.oebiotech.com/network/1357", "http://funmeta.oebiotech.com/network/1357")</f>
      </c>
      <c r="I81" s="2" t="s">
        <v>25707</v>
      </c>
      <c r="J81" s="2" t="s">
        <v>25708</v>
      </c>
      <c r="K81" s="2" t="s">
        <v>25709</v>
      </c>
      <c r="L81" s="2" t="s">
        <v>25710</v>
      </c>
      <c r="M81" s="2" t="s">
        <v>25711</v>
      </c>
      <c r="N81" s="2" t="s">
        <v>25712</v>
      </c>
      <c r="O81" s="2" t="s">
        <v>25713</v>
      </c>
      <c r="P81" s="2" t="s">
        <v>25714</v>
      </c>
      <c r="Q81" s="2" t="s">
        <v>25715</v>
      </c>
      <c r="R81" s="2" t="s">
        <v>794</v>
      </c>
      <c r="S81" s="2" t="s">
        <v>795</v>
      </c>
      <c r="T81" s="2" t="s">
        <v>796</v>
      </c>
      <c r="U81" s="2" t="s">
        <v>17614</v>
      </c>
      <c r="V81" s="2" t="s">
        <v>17039</v>
      </c>
      <c r="W81" s="2" t="s">
        <v>56</v>
      </c>
    </row>
    <row r="82">
      <c r="A82" s="2" t="n">
        <v>49</v>
      </c>
      <c r="B82" s="2" t="s">
        <v>12086</v>
      </c>
      <c r="C82" s="2" t="s">
        <v>17613</v>
      </c>
      <c r="D82" s="2" t="n">
        <v>125.096679692</v>
      </c>
      <c r="E82" s="2" t="n">
        <v>0.236448858161812</v>
      </c>
      <c r="F82" s="2" t="s">
        <v>25716</v>
      </c>
      <c r="G82" s="2" t="n">
        <v>1339</v>
      </c>
      <c r="H82" s="3" t="str">
        <f>HYPERLINK("http://funmeta.oebiotech.com/network/1339", "http://funmeta.oebiotech.com/network/1339")</f>
      </c>
      <c r="I82" s="2" t="s">
        <v>25717</v>
      </c>
      <c r="J82" s="2" t="s">
        <v>25718</v>
      </c>
      <c r="K82" s="2" t="s">
        <v>25719</v>
      </c>
      <c r="L82" s="2" t="s">
        <v>25701</v>
      </c>
      <c r="M82" s="2"/>
      <c r="N82" s="2" t="s">
        <v>25720</v>
      </c>
      <c r="O82" s="2" t="s">
        <v>25721</v>
      </c>
      <c r="P82" s="2" t="s">
        <v>25722</v>
      </c>
      <c r="Q82" s="2" t="s">
        <v>25723</v>
      </c>
      <c r="R82" s="2" t="s">
        <v>794</v>
      </c>
      <c r="S82" s="2" t="s">
        <v>795</v>
      </c>
      <c r="T82" s="2" t="s">
        <v>796</v>
      </c>
      <c r="U82" s="2" t="s">
        <v>17614</v>
      </c>
      <c r="V82" s="2" t="s">
        <v>17039</v>
      </c>
      <c r="W82" s="2" t="s">
        <v>56</v>
      </c>
    </row>
    <row r="83">
      <c r="A83" s="2" t="n">
        <v>50</v>
      </c>
      <c r="B83" s="2" t="s">
        <v>12095</v>
      </c>
      <c r="C83" s="2" t="s">
        <v>17626</v>
      </c>
      <c r="D83" s="2" t="n">
        <v>126.021939785</v>
      </c>
      <c r="E83" s="2" t="n">
        <v>10.5129904775514</v>
      </c>
      <c r="F83" s="2" t="s">
        <v>17628</v>
      </c>
      <c r="G83" s="2" t="n">
        <v>46959</v>
      </c>
      <c r="H83" s="3" t="str">
        <f>HYPERLINK("http://funmeta.oebiotech.com/network/46959", "http://funmeta.oebiotech.com/network/46959")</f>
      </c>
      <c r="I83" s="2" t="s">
        <v>17630</v>
      </c>
      <c r="J83" s="2" t="s">
        <v>17631</v>
      </c>
      <c r="K83" s="2"/>
      <c r="L83" s="2" t="s">
        <v>17632</v>
      </c>
      <c r="M83" s="2" t="s">
        <v>17633</v>
      </c>
      <c r="N83" s="2" t="s">
        <v>17634</v>
      </c>
      <c r="O83" s="2" t="s">
        <v>17635</v>
      </c>
      <c r="P83" s="2" t="s">
        <v>17636</v>
      </c>
      <c r="Q83" s="2" t="s">
        <v>17637</v>
      </c>
      <c r="R83" s="2" t="s">
        <v>36</v>
      </c>
      <c r="S83" s="2" t="s">
        <v>344</v>
      </c>
      <c r="T83" s="2" t="s">
        <v>345</v>
      </c>
      <c r="U83" s="2" t="s">
        <v>17627</v>
      </c>
      <c r="V83" s="2" t="s">
        <v>17137</v>
      </c>
      <c r="W83" s="2" t="s">
        <v>39</v>
      </c>
    </row>
    <row r="84">
      <c r="A84" s="2" t="n">
        <v>51</v>
      </c>
      <c r="B84" s="2" t="s">
        <v>12096</v>
      </c>
      <c r="C84" s="2" t="s">
        <v>17638</v>
      </c>
      <c r="D84" s="2" t="n">
        <v>127.011410004</v>
      </c>
      <c r="E84" s="2" t="n">
        <v>9.11058710307392</v>
      </c>
      <c r="F84" s="2" t="s">
        <v>17640</v>
      </c>
      <c r="G84" s="2" t="n">
        <v>203303</v>
      </c>
      <c r="H84" s="3" t="str">
        <f>HYPERLINK("http://funmeta.oebiotech.com/network/203303", "http://funmeta.oebiotech.com/network/203303")</f>
      </c>
      <c r="I84" s="2" t="s">
        <v>17642</v>
      </c>
      <c r="J84" s="2" t="s">
        <v>17643</v>
      </c>
      <c r="K84" s="2"/>
      <c r="L84" s="2" t="s">
        <v>17644</v>
      </c>
      <c r="M84" s="2" t="s">
        <v>17645</v>
      </c>
      <c r="N84" s="2" t="s">
        <v>17646</v>
      </c>
      <c r="O84" s="2"/>
      <c r="P84" s="2" t="s">
        <v>17647</v>
      </c>
      <c r="Q84" s="2" t="s">
        <v>17648</v>
      </c>
      <c r="R84" s="2" t="s">
        <v>36</v>
      </c>
      <c r="S84" s="2" t="s">
        <v>282</v>
      </c>
      <c r="T84" s="2" t="s">
        <v>283</v>
      </c>
      <c r="U84" s="2" t="s">
        <v>17639</v>
      </c>
      <c r="V84" s="2" t="s">
        <v>17198</v>
      </c>
      <c r="W84" s="2" t="s">
        <v>101</v>
      </c>
    </row>
    <row r="85">
      <c r="A85" s="2" t="n">
        <v>52</v>
      </c>
      <c r="B85" s="2" t="s">
        <v>12108</v>
      </c>
      <c r="C85" s="2" t="s">
        <v>17649</v>
      </c>
      <c r="D85" s="2" t="n">
        <v>127.112329756</v>
      </c>
      <c r="E85" s="2" t="n">
        <v>4.62484549718668</v>
      </c>
      <c r="F85" s="2" t="s">
        <v>17651</v>
      </c>
      <c r="G85" s="2" t="n">
        <v>55</v>
      </c>
      <c r="H85" s="3" t="str">
        <f>HYPERLINK("http://funmeta.oebiotech.com/network/55", "http://funmeta.oebiotech.com/network/55")</f>
      </c>
      <c r="I85" s="2" t="s">
        <v>17653</v>
      </c>
      <c r="J85" s="2" t="s">
        <v>17654</v>
      </c>
      <c r="K85" s="2" t="s">
        <v>17655</v>
      </c>
      <c r="L85" s="2" t="s">
        <v>17656</v>
      </c>
      <c r="M85" s="2" t="s">
        <v>17657</v>
      </c>
      <c r="N85" s="2" t="s">
        <v>17658</v>
      </c>
      <c r="O85" s="2" t="s">
        <v>17659</v>
      </c>
      <c r="P85" s="2" t="s">
        <v>17660</v>
      </c>
      <c r="Q85" s="2" t="s">
        <v>17661</v>
      </c>
      <c r="R85" s="2" t="s">
        <v>794</v>
      </c>
      <c r="S85" s="2" t="s">
        <v>795</v>
      </c>
      <c r="T85" s="2" t="s">
        <v>796</v>
      </c>
      <c r="U85" s="2" t="s">
        <v>17650</v>
      </c>
      <c r="V85" s="2" t="s">
        <v>17039</v>
      </c>
      <c r="W85" s="2" t="s">
        <v>56</v>
      </c>
    </row>
    <row r="86">
      <c r="A86" s="2" t="n">
        <v>53</v>
      </c>
      <c r="B86" s="2" t="s">
        <v>12109</v>
      </c>
      <c r="C86" s="2" t="s">
        <v>17662</v>
      </c>
      <c r="D86" s="2" t="n">
        <v>128.107578729</v>
      </c>
      <c r="E86" s="2" t="n">
        <v>11.7494954177204</v>
      </c>
      <c r="F86" s="2" t="s">
        <v>17664</v>
      </c>
      <c r="G86" s="2" t="n">
        <v>47422</v>
      </c>
      <c r="H86" s="3" t="str">
        <f>HYPERLINK("http://funmeta.oebiotech.com/network/47422", "http://funmeta.oebiotech.com/network/47422")</f>
      </c>
      <c r="I86" s="2" t="s">
        <v>17666</v>
      </c>
      <c r="J86" s="2"/>
      <c r="K86" s="2"/>
      <c r="L86" s="2" t="s">
        <v>17667</v>
      </c>
      <c r="M86" s="2" t="s">
        <v>17668</v>
      </c>
      <c r="N86" s="2" t="s">
        <v>17669</v>
      </c>
      <c r="O86" s="2" t="s">
        <v>17670</v>
      </c>
      <c r="P86" s="2" t="s">
        <v>17671</v>
      </c>
      <c r="Q86" s="2" t="s">
        <v>17672</v>
      </c>
      <c r="R86" s="2" t="s">
        <v>794</v>
      </c>
      <c r="S86" s="2" t="s">
        <v>795</v>
      </c>
      <c r="T86" s="2" t="s">
        <v>796</v>
      </c>
      <c r="U86" s="2" t="s">
        <v>17663</v>
      </c>
      <c r="V86" s="2" t="s">
        <v>17039</v>
      </c>
      <c r="W86" s="2" t="s">
        <v>56</v>
      </c>
    </row>
    <row r="87">
      <c r="A87" s="2" t="n">
        <v>54</v>
      </c>
      <c r="B87" s="2" t="s">
        <v>12127</v>
      </c>
      <c r="C87" s="2" t="s">
        <v>17673</v>
      </c>
      <c r="D87" s="2" t="n">
        <v>128.118812115</v>
      </c>
      <c r="E87" s="2" t="n">
        <v>2.41900423887958</v>
      </c>
      <c r="F87" s="2" t="s">
        <v>17675</v>
      </c>
      <c r="G87" s="2" t="n">
        <v>208152</v>
      </c>
      <c r="H87" s="3" t="str">
        <f>HYPERLINK("http://funmeta.oebiotech.com/network/208152", "http://funmeta.oebiotech.com/network/208152")</f>
      </c>
      <c r="I87" s="2" t="s">
        <v>17677</v>
      </c>
      <c r="J87" s="2"/>
      <c r="K87" s="2"/>
      <c r="L87" s="2"/>
      <c r="M87" s="2"/>
      <c r="N87" s="2" t="s">
        <v>17678</v>
      </c>
      <c r="O87" s="2"/>
      <c r="P87" s="2" t="s">
        <v>17679</v>
      </c>
      <c r="Q87" s="2" t="s">
        <v>17680</v>
      </c>
      <c r="R87" s="2" t="s">
        <v>36</v>
      </c>
      <c r="S87" s="2" t="s">
        <v>37</v>
      </c>
      <c r="T87" s="2" t="s">
        <v>69</v>
      </c>
      <c r="U87" s="2" t="s">
        <v>17674</v>
      </c>
      <c r="V87" s="2" t="s">
        <v>17039</v>
      </c>
      <c r="W87" s="2"/>
    </row>
    <row r="88">
      <c r="A88" s="2" t="n">
        <v>55</v>
      </c>
      <c r="B88" s="2" t="s">
        <v>12128</v>
      </c>
      <c r="C88" s="2" t="s">
        <v>17681</v>
      </c>
      <c r="D88" s="2" t="n">
        <v>128.988327375</v>
      </c>
      <c r="E88" s="2" t="n">
        <v>2.14372659037468</v>
      </c>
      <c r="F88" s="2" t="s">
        <v>25724</v>
      </c>
      <c r="G88" s="2" t="n">
        <v>211099</v>
      </c>
      <c r="H88" s="3" t="str">
        <f>HYPERLINK("http://funmeta.oebiotech.com/network/211099", "http://funmeta.oebiotech.com/network/211099")</f>
      </c>
      <c r="I88" s="2" t="s">
        <v>25725</v>
      </c>
      <c r="J88" s="2" t="s">
        <v>25726</v>
      </c>
      <c r="K88" s="2"/>
      <c r="L88" s="2"/>
      <c r="M88" s="2"/>
      <c r="N88" s="2" t="s">
        <v>25727</v>
      </c>
      <c r="O88" s="2" t="s">
        <v>25728</v>
      </c>
      <c r="P88" s="2" t="s">
        <v>25729</v>
      </c>
      <c r="Q88" s="2" t="s">
        <v>25730</v>
      </c>
      <c r="R88" s="2" t="s">
        <v>644</v>
      </c>
      <c r="S88" s="2" t="s">
        <v>25731</v>
      </c>
      <c r="T88" s="2" t="s">
        <v>215</v>
      </c>
      <c r="U88" s="2" t="s">
        <v>17682</v>
      </c>
      <c r="V88" s="2" t="s">
        <v>17406</v>
      </c>
      <c r="W88" s="2"/>
    </row>
    <row r="89">
      <c r="A89" s="2" t="n">
        <v>55</v>
      </c>
      <c r="B89" s="2" t="s">
        <v>12137</v>
      </c>
      <c r="C89" s="2" t="s">
        <v>17681</v>
      </c>
      <c r="D89" s="2" t="n">
        <v>128.988327375</v>
      </c>
      <c r="E89" s="2" t="n">
        <v>2.14372659037468</v>
      </c>
      <c r="F89" s="2" t="s">
        <v>25732</v>
      </c>
      <c r="G89" s="2" t="n">
        <v>209210</v>
      </c>
      <c r="H89" s="3" t="str">
        <f>HYPERLINK("http://funmeta.oebiotech.com/network/209210", "http://funmeta.oebiotech.com/network/209210")</f>
      </c>
      <c r="I89" s="2" t="s">
        <v>25733</v>
      </c>
      <c r="J89" s="2" t="s">
        <v>25734</v>
      </c>
      <c r="K89" s="2"/>
      <c r="L89" s="2"/>
      <c r="M89" s="2"/>
      <c r="N89" s="2" t="s">
        <v>25735</v>
      </c>
      <c r="O89" s="2"/>
      <c r="P89" s="2" t="s">
        <v>25736</v>
      </c>
      <c r="Q89" s="2" t="s">
        <v>25737</v>
      </c>
      <c r="R89" s="2" t="s">
        <v>644</v>
      </c>
      <c r="S89" s="2" t="s">
        <v>18114</v>
      </c>
      <c r="T89" s="2" t="s">
        <v>215</v>
      </c>
      <c r="U89" s="2" t="s">
        <v>17682</v>
      </c>
      <c r="V89" s="2" t="s">
        <v>17406</v>
      </c>
      <c r="W89" s="2"/>
    </row>
    <row r="90">
      <c r="A90" s="2" t="n">
        <v>56</v>
      </c>
      <c r="B90" s="2" t="s">
        <v>12153</v>
      </c>
      <c r="C90" s="2" t="s">
        <v>17692</v>
      </c>
      <c r="D90" s="2" t="n">
        <v>129.102827702</v>
      </c>
      <c r="E90" s="2" t="n">
        <v>0.971146813365073</v>
      </c>
      <c r="F90" s="2" t="s">
        <v>17694</v>
      </c>
      <c r="G90" s="2" t="n">
        <v>46915</v>
      </c>
      <c r="H90" s="3" t="str">
        <f>HYPERLINK("http://funmeta.oebiotech.com/network/46915", "http://funmeta.oebiotech.com/network/46915")</f>
      </c>
      <c r="I90" s="2" t="s">
        <v>17696</v>
      </c>
      <c r="J90" s="2" t="s">
        <v>17697</v>
      </c>
      <c r="K90" s="2"/>
      <c r="L90" s="2" t="s">
        <v>17698</v>
      </c>
      <c r="M90" s="2" t="s">
        <v>17699</v>
      </c>
      <c r="N90" s="2" t="s">
        <v>17700</v>
      </c>
      <c r="O90" s="2" t="s">
        <v>17701</v>
      </c>
      <c r="P90" s="2" t="s">
        <v>17702</v>
      </c>
      <c r="Q90" s="2" t="s">
        <v>17703</v>
      </c>
      <c r="R90" s="2" t="s">
        <v>36</v>
      </c>
      <c r="S90" s="2" t="s">
        <v>37</v>
      </c>
      <c r="T90" s="2" t="s">
        <v>69</v>
      </c>
      <c r="U90" s="2" t="s">
        <v>17693</v>
      </c>
      <c r="V90" s="2" t="s">
        <v>17039</v>
      </c>
      <c r="W90" s="2" t="s">
        <v>39</v>
      </c>
    </row>
    <row r="91">
      <c r="A91" s="2" t="n">
        <v>57</v>
      </c>
      <c r="B91" s="2" t="s">
        <v>12154</v>
      </c>
      <c r="C91" s="2" t="s">
        <v>17704</v>
      </c>
      <c r="D91" s="2" t="n">
        <v>130.065713915</v>
      </c>
      <c r="E91" s="2" t="n">
        <v>8.09460389181647</v>
      </c>
      <c r="F91" s="2" t="s">
        <v>17706</v>
      </c>
      <c r="G91" s="2" t="n">
        <v>55029</v>
      </c>
      <c r="H91" s="3" t="str">
        <f>HYPERLINK("http://funmeta.oebiotech.com/network/55029", "http://funmeta.oebiotech.com/network/55029")</f>
      </c>
      <c r="I91" s="2" t="s">
        <v>17708</v>
      </c>
      <c r="J91" s="2" t="s">
        <v>17709</v>
      </c>
      <c r="K91" s="2"/>
      <c r="L91" s="2"/>
      <c r="M91" s="2"/>
      <c r="N91" s="2" t="s">
        <v>17710</v>
      </c>
      <c r="O91" s="2" t="s">
        <v>17711</v>
      </c>
      <c r="P91" s="2" t="s">
        <v>17712</v>
      </c>
      <c r="Q91" s="2" t="s">
        <v>17713</v>
      </c>
      <c r="R91" s="2" t="s">
        <v>114</v>
      </c>
      <c r="S91" s="2" t="s">
        <v>397</v>
      </c>
      <c r="T91" s="2" t="s">
        <v>6158</v>
      </c>
      <c r="U91" s="2" t="s">
        <v>17705</v>
      </c>
      <c r="V91" s="2" t="s">
        <v>17039</v>
      </c>
      <c r="W91" s="2" t="s">
        <v>56</v>
      </c>
    </row>
    <row r="92">
      <c r="A92" s="2" t="n">
        <v>58</v>
      </c>
      <c r="B92" s="2" t="s">
        <v>12175</v>
      </c>
      <c r="C92" s="2" t="s">
        <v>17714</v>
      </c>
      <c r="D92" s="2" t="n">
        <v>130.159025613</v>
      </c>
      <c r="E92" s="2" t="n">
        <v>11.7213353998919</v>
      </c>
      <c r="F92" s="2" t="s">
        <v>17716</v>
      </c>
      <c r="G92" s="2" t="n">
        <v>209832</v>
      </c>
      <c r="H92" s="3" t="str">
        <f>HYPERLINK("http://funmeta.oebiotech.com/network/209832", "http://funmeta.oebiotech.com/network/209832")</f>
      </c>
      <c r="I92" s="2" t="s">
        <v>17718</v>
      </c>
      <c r="J92" s="2" t="s">
        <v>17719</v>
      </c>
      <c r="K92" s="2"/>
      <c r="L92" s="2" t="s">
        <v>17720</v>
      </c>
      <c r="M92" s="2" t="s">
        <v>17721</v>
      </c>
      <c r="N92" s="2" t="s">
        <v>17722</v>
      </c>
      <c r="O92" s="2" t="s">
        <v>17723</v>
      </c>
      <c r="P92" s="2" t="s">
        <v>17724</v>
      </c>
      <c r="Q92" s="2" t="s">
        <v>17725</v>
      </c>
      <c r="R92" s="2" t="s">
        <v>601</v>
      </c>
      <c r="S92" s="2" t="s">
        <v>602</v>
      </c>
      <c r="T92" s="2" t="s">
        <v>1800</v>
      </c>
      <c r="U92" s="2" t="s">
        <v>17715</v>
      </c>
      <c r="V92" s="2" t="s">
        <v>17137</v>
      </c>
      <c r="W92" s="2" t="s">
        <v>101</v>
      </c>
    </row>
    <row r="93">
      <c r="A93" s="2" t="n">
        <v>59</v>
      </c>
      <c r="B93" s="2" t="s">
        <v>12190</v>
      </c>
      <c r="C93" s="2" t="s">
        <v>17726</v>
      </c>
      <c r="D93" s="2" t="n">
        <v>131.002436</v>
      </c>
      <c r="E93" s="2" t="n">
        <v>4.80153483157554</v>
      </c>
      <c r="F93" s="2" t="s">
        <v>17728</v>
      </c>
      <c r="G93" s="2" t="n">
        <v>199388</v>
      </c>
      <c r="H93" s="3" t="str">
        <f>HYPERLINK("http://funmeta.oebiotech.com/network/199388", "http://funmeta.oebiotech.com/network/199388")</f>
      </c>
      <c r="I93" s="2" t="s">
        <v>17730</v>
      </c>
      <c r="J93" s="2"/>
      <c r="K93" s="2"/>
      <c r="L93" s="2"/>
      <c r="M93" s="2"/>
      <c r="N93" s="2" t="s">
        <v>17731</v>
      </c>
      <c r="O93" s="2"/>
      <c r="P93" s="2" t="s">
        <v>17732</v>
      </c>
      <c r="Q93" s="2" t="s">
        <v>17733</v>
      </c>
      <c r="R93" s="2" t="s">
        <v>213</v>
      </c>
      <c r="S93" s="2" t="s">
        <v>466</v>
      </c>
      <c r="T93" s="2" t="s">
        <v>215</v>
      </c>
      <c r="U93" s="2" t="s">
        <v>17727</v>
      </c>
      <c r="V93" s="2" t="s">
        <v>17406</v>
      </c>
      <c r="W93" s="2"/>
    </row>
    <row r="94">
      <c r="A94" s="2" t="n">
        <v>60</v>
      </c>
      <c r="B94" s="2" t="s">
        <v>12191</v>
      </c>
      <c r="C94" s="2" t="s">
        <v>17734</v>
      </c>
      <c r="D94" s="2" t="n">
        <v>131.107244375</v>
      </c>
      <c r="E94" s="2" t="n">
        <v>8.82411843774733</v>
      </c>
      <c r="F94" s="2" t="s">
        <v>17736</v>
      </c>
      <c r="G94" s="2" t="n">
        <v>212592</v>
      </c>
      <c r="H94" s="3" t="str">
        <f>HYPERLINK("http://funmeta.oebiotech.com/network/212592", "http://funmeta.oebiotech.com/network/212592")</f>
      </c>
      <c r="I94" s="2" t="s">
        <v>17738</v>
      </c>
      <c r="J94" s="2"/>
      <c r="K94" s="2"/>
      <c r="L94" s="2"/>
      <c r="M94" s="2"/>
      <c r="N94" s="2"/>
      <c r="O94" s="2"/>
      <c r="P94" s="2" t="s">
        <v>17739</v>
      </c>
      <c r="Q94" s="2" t="s">
        <v>17740</v>
      </c>
      <c r="R94" s="2" t="s">
        <v>129</v>
      </c>
      <c r="S94" s="2" t="s">
        <v>130</v>
      </c>
      <c r="T94" s="2" t="s">
        <v>17741</v>
      </c>
      <c r="U94" s="2" t="s">
        <v>17735</v>
      </c>
      <c r="V94" s="2" t="s">
        <v>17039</v>
      </c>
      <c r="W94" s="2"/>
    </row>
    <row r="95">
      <c r="A95" s="2" t="n">
        <v>61</v>
      </c>
      <c r="B95" s="2" t="s">
        <v>12211</v>
      </c>
      <c r="C95" s="2" t="s">
        <v>17742</v>
      </c>
      <c r="D95" s="2" t="n">
        <v>131.11788908</v>
      </c>
      <c r="E95" s="2" t="n">
        <v>8.51485304219203</v>
      </c>
      <c r="F95" s="2" t="s">
        <v>17744</v>
      </c>
      <c r="G95" s="2" t="n">
        <v>47788</v>
      </c>
      <c r="H95" s="3" t="str">
        <f>HYPERLINK("http://funmeta.oebiotech.com/network/47788", "http://funmeta.oebiotech.com/network/47788")</f>
      </c>
      <c r="I95" s="2" t="s">
        <v>17746</v>
      </c>
      <c r="J95" s="2" t="s">
        <v>17747</v>
      </c>
      <c r="K95" s="2"/>
      <c r="L95" s="2" t="s">
        <v>17748</v>
      </c>
      <c r="M95" s="2" t="s">
        <v>17749</v>
      </c>
      <c r="N95" s="2" t="s">
        <v>17750</v>
      </c>
      <c r="O95" s="2" t="s">
        <v>17751</v>
      </c>
      <c r="P95" s="2" t="s">
        <v>17752</v>
      </c>
      <c r="Q95" s="2" t="s">
        <v>17753</v>
      </c>
      <c r="R95" s="2" t="s">
        <v>36</v>
      </c>
      <c r="S95" s="2" t="s">
        <v>568</v>
      </c>
      <c r="T95" s="2" t="s">
        <v>11915</v>
      </c>
      <c r="U95" s="2" t="s">
        <v>17743</v>
      </c>
      <c r="V95" s="2" t="s">
        <v>17137</v>
      </c>
      <c r="W95" s="2" t="s">
        <v>56</v>
      </c>
    </row>
    <row r="96">
      <c r="A96" s="2" t="n">
        <v>62</v>
      </c>
      <c r="B96" s="2" t="s">
        <v>12212</v>
      </c>
      <c r="C96" s="2" t="s">
        <v>17754</v>
      </c>
      <c r="D96" s="2" t="n">
        <v>132.102453697</v>
      </c>
      <c r="E96" s="2" t="n">
        <v>10.8146834755435</v>
      </c>
      <c r="F96" s="2" t="s">
        <v>17756</v>
      </c>
      <c r="G96" s="2" t="n">
        <v>52458</v>
      </c>
      <c r="H96" s="3" t="str">
        <f>HYPERLINK("http://funmeta.oebiotech.com/network/52458", "http://funmeta.oebiotech.com/network/52458")</f>
      </c>
      <c r="I96" s="2" t="s">
        <v>17758</v>
      </c>
      <c r="J96" s="2"/>
      <c r="K96" s="2"/>
      <c r="L96" s="2"/>
      <c r="M96" s="2" t="s">
        <v>17759</v>
      </c>
      <c r="N96" s="2"/>
      <c r="O96" s="2" t="s">
        <v>17760</v>
      </c>
      <c r="P96" s="2" t="s">
        <v>17761</v>
      </c>
      <c r="Q96" s="2" t="s">
        <v>17762</v>
      </c>
      <c r="R96" s="2" t="s">
        <v>12052</v>
      </c>
      <c r="S96" s="2" t="s">
        <v>12053</v>
      </c>
      <c r="T96" s="2" t="s">
        <v>12061</v>
      </c>
      <c r="U96" s="2" t="s">
        <v>17755</v>
      </c>
      <c r="V96" s="2" t="s">
        <v>17117</v>
      </c>
      <c r="W96" s="2" t="s">
        <v>56</v>
      </c>
    </row>
    <row r="97">
      <c r="A97" s="2" t="n">
        <v>63</v>
      </c>
      <c r="B97" s="2" t="s">
        <v>12213</v>
      </c>
      <c r="C97" s="2" t="s">
        <v>17763</v>
      </c>
      <c r="D97" s="2" t="n">
        <v>133.08592025</v>
      </c>
      <c r="E97" s="2" t="n">
        <v>1.81628766864559</v>
      </c>
      <c r="F97" s="2" t="s">
        <v>17765</v>
      </c>
      <c r="G97" s="2" t="n">
        <v>1866</v>
      </c>
      <c r="H97" s="3" t="str">
        <f>HYPERLINK("http://funmeta.oebiotech.com/network/1866", "http://funmeta.oebiotech.com/network/1866")</f>
      </c>
      <c r="I97" s="2" t="s">
        <v>17767</v>
      </c>
      <c r="J97" s="2" t="s">
        <v>17768</v>
      </c>
      <c r="K97" s="2" t="s">
        <v>17769</v>
      </c>
      <c r="L97" s="2"/>
      <c r="M97" s="2" t="s">
        <v>17770</v>
      </c>
      <c r="N97" s="2" t="s">
        <v>17771</v>
      </c>
      <c r="O97" s="2" t="s">
        <v>17772</v>
      </c>
      <c r="P97" s="2" t="s">
        <v>17773</v>
      </c>
      <c r="Q97" s="2" t="s">
        <v>17774</v>
      </c>
      <c r="R97" s="2" t="s">
        <v>794</v>
      </c>
      <c r="S97" s="2" t="s">
        <v>795</v>
      </c>
      <c r="T97" s="2" t="s">
        <v>796</v>
      </c>
      <c r="U97" s="2" t="s">
        <v>17764</v>
      </c>
      <c r="V97" s="2" t="s">
        <v>17137</v>
      </c>
      <c r="W97" s="2" t="s">
        <v>39</v>
      </c>
    </row>
    <row r="98">
      <c r="A98" s="2" t="n">
        <v>64</v>
      </c>
      <c r="B98" s="2" t="s">
        <v>12214</v>
      </c>
      <c r="C98" s="2" t="s">
        <v>17775</v>
      </c>
      <c r="D98" s="2" t="n">
        <v>136.062359871</v>
      </c>
      <c r="E98" s="2" t="n">
        <v>5.92307997707611</v>
      </c>
      <c r="F98" s="2" t="s">
        <v>17777</v>
      </c>
      <c r="G98" s="2" t="n">
        <v>48313</v>
      </c>
      <c r="H98" s="3" t="str">
        <f>HYPERLINK("http://funmeta.oebiotech.com/network/48313", "http://funmeta.oebiotech.com/network/48313")</f>
      </c>
      <c r="I98" s="2" t="s">
        <v>17779</v>
      </c>
      <c r="J98" s="2" t="s">
        <v>17780</v>
      </c>
      <c r="K98" s="2"/>
      <c r="L98" s="2" t="s">
        <v>17781</v>
      </c>
      <c r="M98" s="2" t="s">
        <v>17782</v>
      </c>
      <c r="N98" s="2" t="s">
        <v>17783</v>
      </c>
      <c r="O98" s="2" t="s">
        <v>17784</v>
      </c>
      <c r="P98" s="2" t="s">
        <v>17785</v>
      </c>
      <c r="Q98" s="2" t="s">
        <v>17786</v>
      </c>
      <c r="R98" s="2" t="s">
        <v>114</v>
      </c>
      <c r="S98" s="2" t="s">
        <v>369</v>
      </c>
      <c r="T98" s="2" t="s">
        <v>370</v>
      </c>
      <c r="U98" s="2" t="s">
        <v>17776</v>
      </c>
      <c r="V98" s="2" t="s">
        <v>17039</v>
      </c>
      <c r="W98" s="2" t="s">
        <v>56</v>
      </c>
    </row>
    <row r="99">
      <c r="A99" s="2" t="n">
        <v>65</v>
      </c>
      <c r="B99" s="2" t="s">
        <v>12215</v>
      </c>
      <c r="C99" s="2" t="s">
        <v>17787</v>
      </c>
      <c r="D99" s="2" t="n">
        <v>136.076278601</v>
      </c>
      <c r="E99" s="2" t="n">
        <v>0.243285088787206</v>
      </c>
      <c r="F99" s="2" t="s">
        <v>25738</v>
      </c>
      <c r="G99" s="2" t="n">
        <v>51985</v>
      </c>
      <c r="H99" s="3" t="str">
        <f>HYPERLINK("http://funmeta.oebiotech.com/network/51985", "http://funmeta.oebiotech.com/network/51985")</f>
      </c>
      <c r="I99" s="2" t="s">
        <v>25739</v>
      </c>
      <c r="J99" s="2" t="s">
        <v>25740</v>
      </c>
      <c r="K99" s="2"/>
      <c r="L99" s="2" t="s">
        <v>25741</v>
      </c>
      <c r="M99" s="2" t="s">
        <v>25742</v>
      </c>
      <c r="N99" s="2" t="s">
        <v>25743</v>
      </c>
      <c r="O99" s="2" t="s">
        <v>25744</v>
      </c>
      <c r="P99" s="2" t="s">
        <v>25745</v>
      </c>
      <c r="Q99" s="2" t="s">
        <v>25746</v>
      </c>
      <c r="R99" s="2" t="s">
        <v>186</v>
      </c>
      <c r="S99" s="2" t="s">
        <v>357</v>
      </c>
      <c r="T99" s="2" t="s">
        <v>5859</v>
      </c>
      <c r="U99" s="2" t="s">
        <v>17788</v>
      </c>
      <c r="V99" s="2" t="s">
        <v>17039</v>
      </c>
      <c r="W99" s="2" t="s">
        <v>56</v>
      </c>
    </row>
    <row r="100">
      <c r="A100" s="2" t="n">
        <v>65</v>
      </c>
      <c r="B100" s="2" t="s">
        <v>25747</v>
      </c>
      <c r="C100" s="2" t="s">
        <v>17787</v>
      </c>
      <c r="D100" s="2" t="n">
        <v>136.076278601</v>
      </c>
      <c r="E100" s="2" t="n">
        <v>0.243285088787206</v>
      </c>
      <c r="F100" s="2" t="s">
        <v>25748</v>
      </c>
      <c r="G100" s="2" t="n">
        <v>48320</v>
      </c>
      <c r="H100" s="3" t="str">
        <f>HYPERLINK("http://funmeta.oebiotech.com/network/48320", "http://funmeta.oebiotech.com/network/48320")</f>
      </c>
      <c r="I100" s="2" t="s">
        <v>25749</v>
      </c>
      <c r="J100" s="2" t="s">
        <v>25750</v>
      </c>
      <c r="K100" s="2"/>
      <c r="L100" s="2" t="s">
        <v>25751</v>
      </c>
      <c r="M100" s="2" t="s">
        <v>25752</v>
      </c>
      <c r="N100" s="2" t="s">
        <v>25753</v>
      </c>
      <c r="O100" s="2" t="s">
        <v>25754</v>
      </c>
      <c r="P100" s="2" t="s">
        <v>25755</v>
      </c>
      <c r="Q100" s="2" t="s">
        <v>25756</v>
      </c>
      <c r="R100" s="2" t="s">
        <v>186</v>
      </c>
      <c r="S100" s="2" t="s">
        <v>357</v>
      </c>
      <c r="T100" s="2" t="s">
        <v>358</v>
      </c>
      <c r="U100" s="2" t="s">
        <v>17788</v>
      </c>
      <c r="V100" s="2" t="s">
        <v>17039</v>
      </c>
      <c r="W100" s="2" t="s">
        <v>56</v>
      </c>
    </row>
    <row r="101">
      <c r="A101" s="2" t="n">
        <v>65</v>
      </c>
      <c r="B101" s="2" t="s">
        <v>25757</v>
      </c>
      <c r="C101" s="2" t="s">
        <v>17787</v>
      </c>
      <c r="D101" s="2" t="n">
        <v>136.076278601</v>
      </c>
      <c r="E101" s="2" t="n">
        <v>0.243285088787206</v>
      </c>
      <c r="F101" s="2" t="s">
        <v>25758</v>
      </c>
      <c r="G101" s="2" t="n">
        <v>46857</v>
      </c>
      <c r="H101" s="3" t="str">
        <f>HYPERLINK("http://funmeta.oebiotech.com/network/46857", "http://funmeta.oebiotech.com/network/46857")</f>
      </c>
      <c r="I101" s="2" t="s">
        <v>25759</v>
      </c>
      <c r="J101" s="2" t="s">
        <v>4222</v>
      </c>
      <c r="K101" s="2"/>
      <c r="L101" s="2" t="s">
        <v>25760</v>
      </c>
      <c r="M101" s="2" t="s">
        <v>25761</v>
      </c>
      <c r="N101" s="2" t="s">
        <v>25762</v>
      </c>
      <c r="O101" s="2" t="s">
        <v>25763</v>
      </c>
      <c r="P101" s="2" t="s">
        <v>25764</v>
      </c>
      <c r="Q101" s="2" t="s">
        <v>25765</v>
      </c>
      <c r="R101" s="2" t="s">
        <v>186</v>
      </c>
      <c r="S101" s="2" t="s">
        <v>357</v>
      </c>
      <c r="T101" s="2" t="s">
        <v>15974</v>
      </c>
      <c r="U101" s="2" t="s">
        <v>17788</v>
      </c>
      <c r="V101" s="2" t="s">
        <v>17039</v>
      </c>
      <c r="W101" s="2" t="s">
        <v>56</v>
      </c>
    </row>
    <row r="102">
      <c r="A102" s="2" t="n">
        <v>66</v>
      </c>
      <c r="B102" s="2" t="s">
        <v>12216</v>
      </c>
      <c r="C102" s="2" t="s">
        <v>17800</v>
      </c>
      <c r="D102" s="2" t="n">
        <v>136.112664107</v>
      </c>
      <c r="E102" s="2" t="n">
        <v>15.0976579159143</v>
      </c>
      <c r="F102" s="2" t="s">
        <v>17802</v>
      </c>
      <c r="G102" s="2" t="n">
        <v>58576</v>
      </c>
      <c r="H102" s="3" t="str">
        <f>HYPERLINK("http://funmeta.oebiotech.com/network/58576", "http://funmeta.oebiotech.com/network/58576")</f>
      </c>
      <c r="I102" s="2" t="s">
        <v>17804</v>
      </c>
      <c r="J102" s="2" t="s">
        <v>17805</v>
      </c>
      <c r="K102" s="2"/>
      <c r="L102" s="2" t="s">
        <v>17806</v>
      </c>
      <c r="M102" s="2"/>
      <c r="N102" s="2" t="s">
        <v>17807</v>
      </c>
      <c r="O102" s="2" t="s">
        <v>17808</v>
      </c>
      <c r="P102" s="2" t="s">
        <v>17809</v>
      </c>
      <c r="Q102" s="2" t="s">
        <v>17810</v>
      </c>
      <c r="R102" s="2" t="s">
        <v>114</v>
      </c>
      <c r="S102" s="2" t="s">
        <v>4121</v>
      </c>
      <c r="T102" s="2" t="s">
        <v>17565</v>
      </c>
      <c r="U102" s="2" t="s">
        <v>17801</v>
      </c>
      <c r="V102" s="2" t="s">
        <v>17039</v>
      </c>
      <c r="W102" s="2" t="s">
        <v>56</v>
      </c>
    </row>
    <row r="103">
      <c r="A103" s="2" t="n">
        <v>67</v>
      </c>
      <c r="B103" s="2" t="s">
        <v>12217</v>
      </c>
      <c r="C103" s="2" t="s">
        <v>17811</v>
      </c>
      <c r="D103" s="2" t="n">
        <v>137.04755633</v>
      </c>
      <c r="E103" s="2" t="n">
        <v>4.53459205760808</v>
      </c>
      <c r="F103" s="2" t="s">
        <v>17813</v>
      </c>
      <c r="G103" s="2" t="n">
        <v>61282</v>
      </c>
      <c r="H103" s="3" t="str">
        <f>HYPERLINK("http://funmeta.oebiotech.com/network/61282", "http://funmeta.oebiotech.com/network/61282")</f>
      </c>
      <c r="I103" s="2" t="s">
        <v>17815</v>
      </c>
      <c r="J103" s="2"/>
      <c r="K103" s="2"/>
      <c r="L103" s="2"/>
      <c r="M103" s="2"/>
      <c r="N103" s="2" t="s">
        <v>17816</v>
      </c>
      <c r="O103" s="2"/>
      <c r="P103" s="2" t="s">
        <v>17817</v>
      </c>
      <c r="Q103" s="2" t="s">
        <v>17818</v>
      </c>
      <c r="R103" s="2" t="s">
        <v>114</v>
      </c>
      <c r="S103" s="2" t="s">
        <v>17819</v>
      </c>
      <c r="T103" s="2" t="s">
        <v>215</v>
      </c>
      <c r="U103" s="2" t="s">
        <v>17812</v>
      </c>
      <c r="V103" s="2" t="s">
        <v>17406</v>
      </c>
      <c r="W103" s="2" t="s">
        <v>56</v>
      </c>
    </row>
    <row r="104">
      <c r="A104" s="2" t="n">
        <v>68</v>
      </c>
      <c r="B104" s="2" t="s">
        <v>12242</v>
      </c>
      <c r="C104" s="2" t="s">
        <v>17820</v>
      </c>
      <c r="D104" s="2" t="n">
        <v>137.07148792</v>
      </c>
      <c r="E104" s="2" t="n">
        <v>1.23363529239423</v>
      </c>
      <c r="F104" s="2" t="s">
        <v>17822</v>
      </c>
      <c r="G104" s="2" t="n">
        <v>47166</v>
      </c>
      <c r="H104" s="3" t="str">
        <f>HYPERLINK("http://funmeta.oebiotech.com/network/47166", "http://funmeta.oebiotech.com/network/47166")</f>
      </c>
      <c r="I104" s="2" t="s">
        <v>17824</v>
      </c>
      <c r="J104" s="2" t="s">
        <v>17825</v>
      </c>
      <c r="K104" s="2"/>
      <c r="L104" s="2" t="s">
        <v>17826</v>
      </c>
      <c r="M104" s="2" t="s">
        <v>17827</v>
      </c>
      <c r="N104" s="2" t="s">
        <v>17828</v>
      </c>
      <c r="O104" s="2" t="s">
        <v>17829</v>
      </c>
      <c r="P104" s="2" t="s">
        <v>17830</v>
      </c>
      <c r="Q104" s="2" t="s">
        <v>17831</v>
      </c>
      <c r="R104" s="2" t="s">
        <v>114</v>
      </c>
      <c r="S104" s="2" t="s">
        <v>936</v>
      </c>
      <c r="T104" s="2" t="s">
        <v>1749</v>
      </c>
      <c r="U104" s="2" t="s">
        <v>17821</v>
      </c>
      <c r="V104" s="2" t="s">
        <v>17117</v>
      </c>
      <c r="W104" s="2" t="s">
        <v>56</v>
      </c>
    </row>
    <row r="105">
      <c r="A105" s="2" t="n">
        <v>69</v>
      </c>
      <c r="B105" s="2" t="s">
        <v>12243</v>
      </c>
      <c r="C105" s="2" t="s">
        <v>17832</v>
      </c>
      <c r="D105" s="2" t="n">
        <v>138.055543154</v>
      </c>
      <c r="E105" s="2" t="n">
        <v>9.62515886081876</v>
      </c>
      <c r="F105" s="2" t="s">
        <v>17834</v>
      </c>
      <c r="G105" s="2" t="n">
        <v>208645</v>
      </c>
      <c r="H105" s="3" t="str">
        <f>HYPERLINK("http://funmeta.oebiotech.com/network/208645", "http://funmeta.oebiotech.com/network/208645")</f>
      </c>
      <c r="I105" s="2" t="s">
        <v>17836</v>
      </c>
      <c r="J105" s="2"/>
      <c r="K105" s="2"/>
      <c r="L105" s="2"/>
      <c r="M105" s="2"/>
      <c r="N105" s="2" t="s">
        <v>17837</v>
      </c>
      <c r="O105" s="2"/>
      <c r="P105" s="2" t="s">
        <v>17838</v>
      </c>
      <c r="Q105" s="2" t="s">
        <v>17839</v>
      </c>
      <c r="R105" s="2" t="s">
        <v>186</v>
      </c>
      <c r="S105" s="2" t="s">
        <v>357</v>
      </c>
      <c r="T105" s="2" t="s">
        <v>5859</v>
      </c>
      <c r="U105" s="2" t="s">
        <v>17833</v>
      </c>
      <c r="V105" s="2" t="s">
        <v>17039</v>
      </c>
      <c r="W105" s="2"/>
    </row>
    <row r="106">
      <c r="A106" s="2" t="n">
        <v>70</v>
      </c>
      <c r="B106" s="2" t="s">
        <v>12244</v>
      </c>
      <c r="C106" s="2" t="s">
        <v>17840</v>
      </c>
      <c r="D106" s="2" t="n">
        <v>139.9903561</v>
      </c>
      <c r="E106" s="2" t="n">
        <v>9.11334297281548</v>
      </c>
      <c r="F106" s="2" t="s">
        <v>25766</v>
      </c>
      <c r="G106" s="2" t="n">
        <v>199385</v>
      </c>
      <c r="H106" s="3" t="str">
        <f>HYPERLINK("http://funmeta.oebiotech.com/network/199385", "http://funmeta.oebiotech.com/network/199385")</f>
      </c>
      <c r="I106" s="2" t="s">
        <v>25767</v>
      </c>
      <c r="J106" s="2" t="s">
        <v>25768</v>
      </c>
      <c r="K106" s="2"/>
      <c r="L106" s="2" t="s">
        <v>25769</v>
      </c>
      <c r="M106" s="2" t="s">
        <v>25770</v>
      </c>
      <c r="N106" s="2" t="s">
        <v>25771</v>
      </c>
      <c r="O106" s="2" t="s">
        <v>25772</v>
      </c>
      <c r="P106" s="2" t="s">
        <v>25773</v>
      </c>
      <c r="Q106" s="2" t="s">
        <v>25774</v>
      </c>
      <c r="R106" s="2" t="s">
        <v>186</v>
      </c>
      <c r="S106" s="2" t="s">
        <v>187</v>
      </c>
      <c r="T106" s="2" t="s">
        <v>1206</v>
      </c>
      <c r="U106" s="2" t="s">
        <v>17841</v>
      </c>
      <c r="V106" s="2" t="s">
        <v>17039</v>
      </c>
      <c r="W106" s="2" t="s">
        <v>101</v>
      </c>
    </row>
    <row r="107">
      <c r="A107" s="2" t="n">
        <v>70</v>
      </c>
      <c r="B107" s="2" t="s">
        <v>25775</v>
      </c>
      <c r="C107" s="2" t="s">
        <v>17840</v>
      </c>
      <c r="D107" s="2" t="n">
        <v>139.9903561</v>
      </c>
      <c r="E107" s="2" t="n">
        <v>9.11334297281548</v>
      </c>
      <c r="F107" s="2" t="s">
        <v>25776</v>
      </c>
      <c r="G107" s="2" t="n">
        <v>200521</v>
      </c>
      <c r="H107" s="3" t="str">
        <f>HYPERLINK("http://funmeta.oebiotech.com/network/200521", "http://funmeta.oebiotech.com/network/200521")</f>
      </c>
      <c r="I107" s="2" t="s">
        <v>25777</v>
      </c>
      <c r="J107" s="2" t="s">
        <v>25778</v>
      </c>
      <c r="K107" s="2"/>
      <c r="L107" s="2" t="s">
        <v>25779</v>
      </c>
      <c r="M107" s="2" t="s">
        <v>25780</v>
      </c>
      <c r="N107" s="2" t="s">
        <v>25781</v>
      </c>
      <c r="O107" s="2" t="s">
        <v>25782</v>
      </c>
      <c r="P107" s="2" t="s">
        <v>25783</v>
      </c>
      <c r="Q107" s="2" t="s">
        <v>25784</v>
      </c>
      <c r="R107" s="2" t="s">
        <v>186</v>
      </c>
      <c r="S107" s="2" t="s">
        <v>187</v>
      </c>
      <c r="T107" s="2" t="s">
        <v>1206</v>
      </c>
      <c r="U107" s="2" t="s">
        <v>17841</v>
      </c>
      <c r="V107" s="2" t="s">
        <v>17039</v>
      </c>
      <c r="W107" s="2" t="s">
        <v>101</v>
      </c>
    </row>
    <row r="108">
      <c r="A108" s="2" t="n">
        <v>70</v>
      </c>
      <c r="B108" s="2" t="s">
        <v>25785</v>
      </c>
      <c r="C108" s="2" t="s">
        <v>17840</v>
      </c>
      <c r="D108" s="2" t="n">
        <v>139.9903561</v>
      </c>
      <c r="E108" s="2" t="n">
        <v>9.11334297281548</v>
      </c>
      <c r="F108" s="2" t="s">
        <v>25786</v>
      </c>
      <c r="G108" s="2" t="n">
        <v>201740</v>
      </c>
      <c r="H108" s="3" t="str">
        <f>HYPERLINK("http://funmeta.oebiotech.com/network/201740", "http://funmeta.oebiotech.com/network/201740")</f>
      </c>
      <c r="I108" s="2" t="s">
        <v>25787</v>
      </c>
      <c r="J108" s="2" t="s">
        <v>25788</v>
      </c>
      <c r="K108" s="2"/>
      <c r="L108" s="2" t="s">
        <v>25789</v>
      </c>
      <c r="M108" s="2"/>
      <c r="N108" s="2" t="s">
        <v>25790</v>
      </c>
      <c r="O108" s="2" t="s">
        <v>25791</v>
      </c>
      <c r="P108" s="2" t="s">
        <v>25792</v>
      </c>
      <c r="Q108" s="2" t="s">
        <v>25793</v>
      </c>
      <c r="R108" s="2" t="s">
        <v>186</v>
      </c>
      <c r="S108" s="2" t="s">
        <v>187</v>
      </c>
      <c r="T108" s="2" t="s">
        <v>1206</v>
      </c>
      <c r="U108" s="2" t="s">
        <v>17841</v>
      </c>
      <c r="V108" s="2" t="s">
        <v>17039</v>
      </c>
      <c r="W108" s="2" t="s">
        <v>101</v>
      </c>
    </row>
    <row r="109">
      <c r="A109" s="2" t="n">
        <v>71</v>
      </c>
      <c r="B109" s="2" t="s">
        <v>12245</v>
      </c>
      <c r="C109" s="2" t="s">
        <v>17853</v>
      </c>
      <c r="D109" s="2" t="n">
        <v>140.001204819</v>
      </c>
      <c r="E109" s="2" t="n">
        <v>15.1686330581384</v>
      </c>
      <c r="F109" s="2" t="s">
        <v>17855</v>
      </c>
      <c r="G109" s="2" t="n">
        <v>200750</v>
      </c>
      <c r="H109" s="3" t="str">
        <f>HYPERLINK("http://funmeta.oebiotech.com/network/200750", "http://funmeta.oebiotech.com/network/200750")</f>
      </c>
      <c r="I109" s="2" t="s">
        <v>17857</v>
      </c>
      <c r="J109" s="2"/>
      <c r="K109" s="2"/>
      <c r="L109" s="2"/>
      <c r="M109" s="2"/>
      <c r="N109" s="2" t="s">
        <v>17858</v>
      </c>
      <c r="O109" s="2"/>
      <c r="P109" s="2" t="s">
        <v>17859</v>
      </c>
      <c r="Q109" s="2" t="s">
        <v>17860</v>
      </c>
      <c r="R109" s="2" t="s">
        <v>36</v>
      </c>
      <c r="S109" s="2" t="s">
        <v>344</v>
      </c>
      <c r="T109" s="2" t="s">
        <v>345</v>
      </c>
      <c r="U109" s="2" t="s">
        <v>17854</v>
      </c>
      <c r="V109" s="2" t="s">
        <v>17137</v>
      </c>
      <c r="W109" s="2"/>
    </row>
    <row r="110">
      <c r="A110" s="2" t="n">
        <v>72</v>
      </c>
      <c r="B110" s="2" t="s">
        <v>12246</v>
      </c>
      <c r="C110" s="2" t="s">
        <v>17861</v>
      </c>
      <c r="D110" s="2" t="n">
        <v>140.070604537</v>
      </c>
      <c r="E110" s="2" t="n">
        <v>13.5426494830227</v>
      </c>
      <c r="F110" s="2" t="s">
        <v>17863</v>
      </c>
      <c r="G110" s="2" t="n">
        <v>51868</v>
      </c>
      <c r="H110" s="3" t="str">
        <f>HYPERLINK("http://funmeta.oebiotech.com/network/51868", "http://funmeta.oebiotech.com/network/51868")</f>
      </c>
      <c r="I110" s="2" t="s">
        <v>17865</v>
      </c>
      <c r="J110" s="2" t="s">
        <v>17866</v>
      </c>
      <c r="K110" s="2"/>
      <c r="L110" s="2"/>
      <c r="M110" s="2"/>
      <c r="N110" s="2" t="s">
        <v>16404</v>
      </c>
      <c r="O110" s="2" t="s">
        <v>17867</v>
      </c>
      <c r="P110" s="2" t="s">
        <v>17868</v>
      </c>
      <c r="Q110" s="2" t="s">
        <v>17869</v>
      </c>
      <c r="R110" s="2" t="s">
        <v>186</v>
      </c>
      <c r="S110" s="2" t="s">
        <v>357</v>
      </c>
      <c r="T110" s="2" t="s">
        <v>15974</v>
      </c>
      <c r="U110" s="2" t="s">
        <v>17862</v>
      </c>
      <c r="V110" s="2" t="s">
        <v>17137</v>
      </c>
      <c r="W110" s="2" t="s">
        <v>56</v>
      </c>
    </row>
    <row r="111">
      <c r="A111" s="2" t="n">
        <v>73</v>
      </c>
      <c r="B111" s="2" t="s">
        <v>12247</v>
      </c>
      <c r="C111" s="2" t="s">
        <v>17870</v>
      </c>
      <c r="D111" s="2" t="n">
        <v>141.070839138</v>
      </c>
      <c r="E111" s="2" t="n">
        <v>4.74553384337803</v>
      </c>
      <c r="F111" s="2" t="s">
        <v>25794</v>
      </c>
      <c r="G111" s="2" t="n">
        <v>54504</v>
      </c>
      <c r="H111" s="3" t="str">
        <f>HYPERLINK("http://funmeta.oebiotech.com/network/54504", "http://funmeta.oebiotech.com/network/54504")</f>
      </c>
      <c r="I111" s="2" t="s">
        <v>25795</v>
      </c>
      <c r="J111" s="2" t="s">
        <v>25796</v>
      </c>
      <c r="K111" s="2"/>
      <c r="L111" s="2"/>
      <c r="M111" s="2"/>
      <c r="N111" s="2" t="s">
        <v>25797</v>
      </c>
      <c r="O111" s="2" t="s">
        <v>25798</v>
      </c>
      <c r="P111" s="2" t="s">
        <v>25799</v>
      </c>
      <c r="Q111" s="2" t="s">
        <v>25800</v>
      </c>
      <c r="R111" s="2" t="s">
        <v>644</v>
      </c>
      <c r="S111" s="2" t="s">
        <v>12701</v>
      </c>
      <c r="T111" s="2" t="s">
        <v>25801</v>
      </c>
      <c r="U111" s="2" t="s">
        <v>17871</v>
      </c>
      <c r="V111" s="2" t="s">
        <v>17198</v>
      </c>
      <c r="W111" s="2" t="s">
        <v>56</v>
      </c>
    </row>
    <row r="112">
      <c r="A112" s="2" t="n">
        <v>73</v>
      </c>
      <c r="B112" s="2" t="s">
        <v>12256</v>
      </c>
      <c r="C112" s="2" t="s">
        <v>17870</v>
      </c>
      <c r="D112" s="2" t="n">
        <v>141.070839138</v>
      </c>
      <c r="E112" s="2" t="n">
        <v>4.74553384337803</v>
      </c>
      <c r="F112" s="2" t="s">
        <v>25802</v>
      </c>
      <c r="G112" s="2" t="n">
        <v>56000</v>
      </c>
      <c r="H112" s="3" t="str">
        <f>HYPERLINK("http://funmeta.oebiotech.com/network/56000", "http://funmeta.oebiotech.com/network/56000")</f>
      </c>
      <c r="I112" s="2" t="s">
        <v>25803</v>
      </c>
      <c r="J112" s="2" t="s">
        <v>25804</v>
      </c>
      <c r="K112" s="2"/>
      <c r="L112" s="2"/>
      <c r="M112" s="2"/>
      <c r="N112" s="2" t="s">
        <v>25805</v>
      </c>
      <c r="O112" s="2" t="s">
        <v>25806</v>
      </c>
      <c r="P112" s="2" t="s">
        <v>25807</v>
      </c>
      <c r="Q112" s="2" t="s">
        <v>25808</v>
      </c>
      <c r="R112" s="2" t="s">
        <v>644</v>
      </c>
      <c r="S112" s="2" t="s">
        <v>12701</v>
      </c>
      <c r="T112" s="2" t="s">
        <v>25801</v>
      </c>
      <c r="U112" s="2" t="s">
        <v>17871</v>
      </c>
      <c r="V112" s="2" t="s">
        <v>17198</v>
      </c>
      <c r="W112" s="2" t="s">
        <v>56</v>
      </c>
    </row>
    <row r="113">
      <c r="A113" s="2" t="n">
        <v>74</v>
      </c>
      <c r="B113" s="2" t="s">
        <v>12274</v>
      </c>
      <c r="C113" s="2" t="s">
        <v>17882</v>
      </c>
      <c r="D113" s="2" t="n">
        <v>144.102493347</v>
      </c>
      <c r="E113" s="2" t="n">
        <v>2.93959836917062</v>
      </c>
      <c r="F113" s="2" t="s">
        <v>25809</v>
      </c>
      <c r="G113" s="2" t="n">
        <v>209030</v>
      </c>
      <c r="H113" s="3" t="str">
        <f>HYPERLINK("http://funmeta.oebiotech.com/network/209030", "http://funmeta.oebiotech.com/network/209030")</f>
      </c>
      <c r="I113" s="2" t="s">
        <v>25810</v>
      </c>
      <c r="J113" s="2"/>
      <c r="K113" s="2"/>
      <c r="L113" s="2"/>
      <c r="M113" s="2"/>
      <c r="N113" s="2" t="s">
        <v>25811</v>
      </c>
      <c r="O113" s="2"/>
      <c r="P113" s="2" t="s">
        <v>25812</v>
      </c>
      <c r="Q113" s="2" t="s">
        <v>25813</v>
      </c>
      <c r="R113" s="2" t="s">
        <v>36</v>
      </c>
      <c r="S113" s="2" t="s">
        <v>37</v>
      </c>
      <c r="T113" s="2" t="s">
        <v>69</v>
      </c>
      <c r="U113" s="2" t="s">
        <v>17883</v>
      </c>
      <c r="V113" s="2" t="s">
        <v>17039</v>
      </c>
      <c r="W113" s="2"/>
    </row>
    <row r="114">
      <c r="A114" s="2" t="n">
        <v>74</v>
      </c>
      <c r="B114" s="2" t="s">
        <v>25814</v>
      </c>
      <c r="C114" s="2" t="s">
        <v>17882</v>
      </c>
      <c r="D114" s="2" t="n">
        <v>144.102493347</v>
      </c>
      <c r="E114" s="2" t="n">
        <v>2.93959836917062</v>
      </c>
      <c r="F114" s="2" t="s">
        <v>25815</v>
      </c>
      <c r="G114" s="2" t="n">
        <v>200433</v>
      </c>
      <c r="H114" s="3" t="str">
        <f>HYPERLINK("http://funmeta.oebiotech.com/network/200433", "http://funmeta.oebiotech.com/network/200433")</f>
      </c>
      <c r="I114" s="2" t="s">
        <v>25816</v>
      </c>
      <c r="J114" s="2"/>
      <c r="K114" s="2"/>
      <c r="L114" s="2"/>
      <c r="M114" s="2"/>
      <c r="N114" s="2" t="s">
        <v>25817</v>
      </c>
      <c r="O114" s="2"/>
      <c r="P114" s="2" t="s">
        <v>25818</v>
      </c>
      <c r="Q114" s="2" t="s">
        <v>25819</v>
      </c>
      <c r="R114" s="2" t="s">
        <v>36</v>
      </c>
      <c r="S114" s="2" t="s">
        <v>37</v>
      </c>
      <c r="T114" s="2" t="s">
        <v>69</v>
      </c>
      <c r="U114" s="2" t="s">
        <v>17883</v>
      </c>
      <c r="V114" s="2" t="s">
        <v>17039</v>
      </c>
      <c r="W114" s="2"/>
    </row>
    <row r="115">
      <c r="A115" s="2" t="n">
        <v>75</v>
      </c>
      <c r="B115" s="2" t="s">
        <v>12275</v>
      </c>
      <c r="C115" s="2" t="s">
        <v>17890</v>
      </c>
      <c r="D115" s="2" t="n">
        <v>145.02197469</v>
      </c>
      <c r="E115" s="2" t="n">
        <v>16.2243679515969</v>
      </c>
      <c r="F115" s="2" t="s">
        <v>17893</v>
      </c>
      <c r="G115" s="2" t="n">
        <v>48131</v>
      </c>
      <c r="H115" s="3" t="str">
        <f>HYPERLINK("http://funmeta.oebiotech.com/network/48131", "http://funmeta.oebiotech.com/network/48131")</f>
      </c>
      <c r="I115" s="2" t="s">
        <v>17895</v>
      </c>
      <c r="J115" s="2" t="s">
        <v>17896</v>
      </c>
      <c r="K115" s="2"/>
      <c r="L115" s="2" t="s">
        <v>17897</v>
      </c>
      <c r="M115" s="2" t="s">
        <v>17898</v>
      </c>
      <c r="N115" s="2" t="s">
        <v>17899</v>
      </c>
      <c r="O115" s="2" t="s">
        <v>17900</v>
      </c>
      <c r="P115" s="2" t="s">
        <v>17901</v>
      </c>
      <c r="Q115" s="2" t="s">
        <v>17902</v>
      </c>
      <c r="R115" s="2" t="s">
        <v>36</v>
      </c>
      <c r="S115" s="2" t="s">
        <v>282</v>
      </c>
      <c r="T115" s="2" t="s">
        <v>215</v>
      </c>
      <c r="U115" s="2" t="s">
        <v>17891</v>
      </c>
      <c r="V115" s="2" t="s">
        <v>17892</v>
      </c>
      <c r="W115" s="2" t="s">
        <v>56</v>
      </c>
    </row>
    <row r="116">
      <c r="A116" s="2" t="n">
        <v>76</v>
      </c>
      <c r="B116" s="2" t="s">
        <v>12288</v>
      </c>
      <c r="C116" s="2" t="s">
        <v>17903</v>
      </c>
      <c r="D116" s="2" t="n">
        <v>145.10176507</v>
      </c>
      <c r="E116" s="2" t="n">
        <v>6.22616464289813</v>
      </c>
      <c r="F116" s="2" t="s">
        <v>25820</v>
      </c>
      <c r="G116" s="2" t="n">
        <v>55812</v>
      </c>
      <c r="H116" s="3" t="str">
        <f>HYPERLINK("http://funmeta.oebiotech.com/network/55812", "http://funmeta.oebiotech.com/network/55812")</f>
      </c>
      <c r="I116" s="2" t="s">
        <v>25821</v>
      </c>
      <c r="J116" s="2" t="s">
        <v>25822</v>
      </c>
      <c r="K116" s="2"/>
      <c r="L116" s="2"/>
      <c r="M116" s="2" t="s">
        <v>25823</v>
      </c>
      <c r="N116" s="2" t="s">
        <v>25824</v>
      </c>
      <c r="O116" s="2" t="s">
        <v>25825</v>
      </c>
      <c r="P116" s="2" t="s">
        <v>25826</v>
      </c>
      <c r="Q116" s="2" t="s">
        <v>25827</v>
      </c>
      <c r="R116" s="2" t="s">
        <v>129</v>
      </c>
      <c r="S116" s="2" t="s">
        <v>130</v>
      </c>
      <c r="T116" s="2" t="s">
        <v>131</v>
      </c>
      <c r="U116" s="2" t="s">
        <v>17904</v>
      </c>
      <c r="V116" s="2" t="s">
        <v>17039</v>
      </c>
      <c r="W116" s="2" t="s">
        <v>56</v>
      </c>
    </row>
    <row r="117">
      <c r="A117" s="2" t="n">
        <v>76</v>
      </c>
      <c r="B117" s="2" t="s">
        <v>25828</v>
      </c>
      <c r="C117" s="2" t="s">
        <v>17903</v>
      </c>
      <c r="D117" s="2" t="n">
        <v>145.10176507</v>
      </c>
      <c r="E117" s="2" t="n">
        <v>6.22616464289813</v>
      </c>
      <c r="F117" s="2" t="s">
        <v>25829</v>
      </c>
      <c r="G117" s="2" t="n">
        <v>56321</v>
      </c>
      <c r="H117" s="3" t="str">
        <f>HYPERLINK("http://funmeta.oebiotech.com/network/56321", "http://funmeta.oebiotech.com/network/56321")</f>
      </c>
      <c r="I117" s="2" t="s">
        <v>25830</v>
      </c>
      <c r="J117" s="2" t="s">
        <v>25831</v>
      </c>
      <c r="K117" s="2"/>
      <c r="L117" s="2"/>
      <c r="M117" s="2"/>
      <c r="N117" s="2" t="s">
        <v>25832</v>
      </c>
      <c r="O117" s="2"/>
      <c r="P117" s="2" t="s">
        <v>25833</v>
      </c>
      <c r="Q117" s="2" t="s">
        <v>25834</v>
      </c>
      <c r="R117" s="2" t="s">
        <v>186</v>
      </c>
      <c r="S117" s="2" t="s">
        <v>187</v>
      </c>
      <c r="T117" s="2" t="s">
        <v>1895</v>
      </c>
      <c r="U117" s="2" t="s">
        <v>17904</v>
      </c>
      <c r="V117" s="2" t="s">
        <v>17039</v>
      </c>
      <c r="W117" s="2" t="s">
        <v>56</v>
      </c>
    </row>
    <row r="118">
      <c r="A118" s="2" t="n">
        <v>76</v>
      </c>
      <c r="B118" s="2" t="s">
        <v>25835</v>
      </c>
      <c r="C118" s="2" t="s">
        <v>17903</v>
      </c>
      <c r="D118" s="2" t="n">
        <v>145.10176507</v>
      </c>
      <c r="E118" s="2" t="n">
        <v>6.22616464289813</v>
      </c>
      <c r="F118" s="2" t="s">
        <v>25836</v>
      </c>
      <c r="G118" s="2" t="n">
        <v>56483</v>
      </c>
      <c r="H118" s="3" t="str">
        <f>HYPERLINK("http://funmeta.oebiotech.com/network/56483", "http://funmeta.oebiotech.com/network/56483")</f>
      </c>
      <c r="I118" s="2" t="s">
        <v>25837</v>
      </c>
      <c r="J118" s="2" t="s">
        <v>25838</v>
      </c>
      <c r="K118" s="2"/>
      <c r="L118" s="2"/>
      <c r="M118" s="2"/>
      <c r="N118" s="2" t="s">
        <v>25839</v>
      </c>
      <c r="O118" s="2" t="s">
        <v>25840</v>
      </c>
      <c r="P118" s="2" t="s">
        <v>25841</v>
      </c>
      <c r="Q118" s="2" t="s">
        <v>25842</v>
      </c>
      <c r="R118" s="2" t="s">
        <v>129</v>
      </c>
      <c r="S118" s="2" t="s">
        <v>130</v>
      </c>
      <c r="T118" s="2" t="s">
        <v>131</v>
      </c>
      <c r="U118" s="2" t="s">
        <v>17904</v>
      </c>
      <c r="V118" s="2" t="s">
        <v>17039</v>
      </c>
      <c r="W118" s="2" t="s">
        <v>56</v>
      </c>
    </row>
    <row r="119">
      <c r="A119" s="2" t="n">
        <v>77</v>
      </c>
      <c r="B119" s="2" t="s">
        <v>12289</v>
      </c>
      <c r="C119" s="2" t="s">
        <v>17917</v>
      </c>
      <c r="D119" s="2" t="n">
        <v>146.092402611</v>
      </c>
      <c r="E119" s="2" t="n">
        <v>2.10320003401358</v>
      </c>
      <c r="F119" s="2" t="s">
        <v>17919</v>
      </c>
      <c r="G119" s="2" t="n">
        <v>48113</v>
      </c>
      <c r="H119" s="3" t="str">
        <f>HYPERLINK("http://funmeta.oebiotech.com/network/48113", "http://funmeta.oebiotech.com/network/48113")</f>
      </c>
      <c r="I119" s="2" t="s">
        <v>17921</v>
      </c>
      <c r="J119" s="2" t="s">
        <v>17922</v>
      </c>
      <c r="K119" s="2"/>
      <c r="L119" s="2" t="s">
        <v>17923</v>
      </c>
      <c r="M119" s="2" t="s">
        <v>17924</v>
      </c>
      <c r="N119" s="2" t="s">
        <v>17925</v>
      </c>
      <c r="O119" s="2" t="s">
        <v>17926</v>
      </c>
      <c r="P119" s="2" t="s">
        <v>17927</v>
      </c>
      <c r="Q119" s="2" t="s">
        <v>17928</v>
      </c>
      <c r="R119" s="2" t="s">
        <v>36</v>
      </c>
      <c r="S119" s="2" t="s">
        <v>37</v>
      </c>
      <c r="T119" s="2" t="s">
        <v>69</v>
      </c>
      <c r="U119" s="2" t="s">
        <v>17918</v>
      </c>
      <c r="V119" s="2" t="s">
        <v>17137</v>
      </c>
      <c r="W119" s="2" t="s">
        <v>39</v>
      </c>
    </row>
    <row r="120">
      <c r="A120" s="2" t="n">
        <v>78</v>
      </c>
      <c r="B120" s="2" t="s">
        <v>12290</v>
      </c>
      <c r="C120" s="2" t="s">
        <v>17929</v>
      </c>
      <c r="D120" s="2" t="n">
        <v>147.035890952</v>
      </c>
      <c r="E120" s="2" t="n">
        <v>13.3917468598011</v>
      </c>
      <c r="F120" s="2" t="s">
        <v>17931</v>
      </c>
      <c r="G120" s="2" t="n">
        <v>206878</v>
      </c>
      <c r="H120" s="3" t="str">
        <f>HYPERLINK("http://funmeta.oebiotech.com/network/206878", "http://funmeta.oebiotech.com/network/206878")</f>
      </c>
      <c r="I120" s="2" t="s">
        <v>17933</v>
      </c>
      <c r="J120" s="2"/>
      <c r="K120" s="2"/>
      <c r="L120" s="2"/>
      <c r="M120" s="2"/>
      <c r="N120" s="2" t="s">
        <v>17934</v>
      </c>
      <c r="O120" s="2"/>
      <c r="P120" s="2" t="s">
        <v>17935</v>
      </c>
      <c r="Q120" s="2" t="s">
        <v>17936</v>
      </c>
      <c r="R120" s="2" t="s">
        <v>114</v>
      </c>
      <c r="S120" s="2" t="s">
        <v>1254</v>
      </c>
      <c r="T120" s="2" t="s">
        <v>5401</v>
      </c>
      <c r="U120" s="2" t="s">
        <v>17930</v>
      </c>
      <c r="V120" s="2" t="s">
        <v>17039</v>
      </c>
      <c r="W120" s="2"/>
    </row>
    <row r="121">
      <c r="A121" s="2" t="n">
        <v>79</v>
      </c>
      <c r="B121" s="2" t="s">
        <v>12291</v>
      </c>
      <c r="C121" s="2" t="s">
        <v>17937</v>
      </c>
      <c r="D121" s="2" t="n">
        <v>148.005112354</v>
      </c>
      <c r="E121" s="2" t="n">
        <v>6.14895195181254</v>
      </c>
      <c r="F121" s="2" t="s">
        <v>25843</v>
      </c>
      <c r="G121" s="2" t="n">
        <v>210164</v>
      </c>
      <c r="H121" s="3" t="str">
        <f>HYPERLINK("http://funmeta.oebiotech.com/network/210164", "http://funmeta.oebiotech.com/network/210164")</f>
      </c>
      <c r="I121" s="2" t="s">
        <v>25844</v>
      </c>
      <c r="J121" s="2"/>
      <c r="K121" s="2"/>
      <c r="L121" s="2"/>
      <c r="M121" s="2"/>
      <c r="N121" s="2"/>
      <c r="O121" s="2"/>
      <c r="P121" s="2" t="s">
        <v>25845</v>
      </c>
      <c r="Q121" s="2" t="s">
        <v>25846</v>
      </c>
      <c r="R121" s="2" t="s">
        <v>501</v>
      </c>
      <c r="S121" s="2" t="s">
        <v>17589</v>
      </c>
      <c r="T121" s="2" t="s">
        <v>215</v>
      </c>
      <c r="U121" s="2" t="s">
        <v>17938</v>
      </c>
      <c r="V121" s="2" t="s">
        <v>17520</v>
      </c>
      <c r="W121" s="2"/>
    </row>
    <row r="122">
      <c r="A122" s="2" t="n">
        <v>79</v>
      </c>
      <c r="B122" s="2" t="s">
        <v>25847</v>
      </c>
      <c r="C122" s="2" t="s">
        <v>17937</v>
      </c>
      <c r="D122" s="2" t="n">
        <v>148.005112354</v>
      </c>
      <c r="E122" s="2" t="n">
        <v>6.14895195181254</v>
      </c>
      <c r="F122" s="2" t="s">
        <v>25848</v>
      </c>
      <c r="G122" s="2" t="n">
        <v>207924</v>
      </c>
      <c r="H122" s="3" t="str">
        <f>HYPERLINK("http://funmeta.oebiotech.com/network/207924", "http://funmeta.oebiotech.com/network/207924")</f>
      </c>
      <c r="I122" s="2" t="s">
        <v>25849</v>
      </c>
      <c r="J122" s="2"/>
      <c r="K122" s="2"/>
      <c r="L122" s="2"/>
      <c r="M122" s="2"/>
      <c r="N122" s="2" t="s">
        <v>25850</v>
      </c>
      <c r="O122" s="2"/>
      <c r="P122" s="2" t="s">
        <v>25851</v>
      </c>
      <c r="Q122" s="2" t="s">
        <v>25852</v>
      </c>
      <c r="R122" s="2" t="s">
        <v>501</v>
      </c>
      <c r="S122" s="2" t="s">
        <v>17589</v>
      </c>
      <c r="T122" s="2" t="s">
        <v>215</v>
      </c>
      <c r="U122" s="2" t="s">
        <v>17938</v>
      </c>
      <c r="V122" s="2" t="s">
        <v>17520</v>
      </c>
      <c r="W122" s="2"/>
    </row>
    <row r="123">
      <c r="A123" s="2" t="n">
        <v>80</v>
      </c>
      <c r="B123" s="2" t="s">
        <v>12292</v>
      </c>
      <c r="C123" s="2" t="s">
        <v>17947</v>
      </c>
      <c r="D123" s="2" t="n">
        <v>148.976439083</v>
      </c>
      <c r="E123" s="2" t="n">
        <v>1.53988937869023</v>
      </c>
      <c r="F123" s="2" t="s">
        <v>17949</v>
      </c>
      <c r="G123" s="2" t="n">
        <v>206607</v>
      </c>
      <c r="H123" s="3" t="str">
        <f>HYPERLINK("http://funmeta.oebiotech.com/network/206607", "http://funmeta.oebiotech.com/network/206607")</f>
      </c>
      <c r="I123" s="2" t="s">
        <v>17951</v>
      </c>
      <c r="J123" s="2"/>
      <c r="K123" s="2"/>
      <c r="L123" s="2"/>
      <c r="M123" s="2"/>
      <c r="N123" s="2" t="s">
        <v>17952</v>
      </c>
      <c r="O123" s="2"/>
      <c r="P123" s="2" t="s">
        <v>17953</v>
      </c>
      <c r="Q123" s="2" t="s">
        <v>17954</v>
      </c>
      <c r="R123" s="2" t="s">
        <v>36</v>
      </c>
      <c r="S123" s="2" t="s">
        <v>1108</v>
      </c>
      <c r="T123" s="2" t="s">
        <v>1109</v>
      </c>
      <c r="U123" s="2" t="s">
        <v>17948</v>
      </c>
      <c r="V123" s="2" t="s">
        <v>17406</v>
      </c>
      <c r="W123" s="2"/>
    </row>
    <row r="124">
      <c r="A124" s="2" t="n">
        <v>81</v>
      </c>
      <c r="B124" s="2" t="s">
        <v>12293</v>
      </c>
      <c r="C124" s="2" t="s">
        <v>17955</v>
      </c>
      <c r="D124" s="2" t="n">
        <v>149.026690812</v>
      </c>
      <c r="E124" s="2" t="n">
        <v>9.94654373583915</v>
      </c>
      <c r="F124" s="2" t="s">
        <v>17957</v>
      </c>
      <c r="G124" s="2" t="n">
        <v>2164</v>
      </c>
      <c r="H124" s="3" t="str">
        <f>HYPERLINK("http://funmeta.oebiotech.com/network/2164", "http://funmeta.oebiotech.com/network/2164")</f>
      </c>
      <c r="I124" s="2" t="s">
        <v>17959</v>
      </c>
      <c r="J124" s="2" t="s">
        <v>17960</v>
      </c>
      <c r="K124" s="2" t="s">
        <v>17961</v>
      </c>
      <c r="L124" s="2" t="s">
        <v>17962</v>
      </c>
      <c r="M124" s="2" t="s">
        <v>17963</v>
      </c>
      <c r="N124" s="2" t="s">
        <v>17964</v>
      </c>
      <c r="O124" s="2" t="s">
        <v>17965</v>
      </c>
      <c r="P124" s="2" t="s">
        <v>17966</v>
      </c>
      <c r="Q124" s="2" t="s">
        <v>17967</v>
      </c>
      <c r="R124" s="2" t="s">
        <v>794</v>
      </c>
      <c r="S124" s="2" t="s">
        <v>795</v>
      </c>
      <c r="T124" s="2" t="s">
        <v>796</v>
      </c>
      <c r="U124" s="2" t="s">
        <v>17956</v>
      </c>
      <c r="V124" s="2" t="s">
        <v>17137</v>
      </c>
      <c r="W124" s="2" t="s">
        <v>56</v>
      </c>
    </row>
    <row r="125">
      <c r="A125" s="2" t="n">
        <v>82</v>
      </c>
      <c r="B125" s="2" t="s">
        <v>12294</v>
      </c>
      <c r="C125" s="2" t="s">
        <v>17968</v>
      </c>
      <c r="D125" s="2" t="n">
        <v>150.97778312</v>
      </c>
      <c r="E125" s="2" t="n">
        <v>0.00139684907502009</v>
      </c>
      <c r="F125" s="2" t="s">
        <v>17971</v>
      </c>
      <c r="G125" s="2" t="n">
        <v>206882</v>
      </c>
      <c r="H125" s="3" t="str">
        <f>HYPERLINK("http://funmeta.oebiotech.com/network/206882", "http://funmeta.oebiotech.com/network/206882")</f>
      </c>
      <c r="I125" s="2" t="s">
        <v>17973</v>
      </c>
      <c r="J125" s="2"/>
      <c r="K125" s="2"/>
      <c r="L125" s="2"/>
      <c r="M125" s="2" t="s">
        <v>17974</v>
      </c>
      <c r="N125" s="2" t="s">
        <v>17975</v>
      </c>
      <c r="O125" s="2"/>
      <c r="P125" s="2" t="s">
        <v>17976</v>
      </c>
      <c r="Q125" s="2" t="s">
        <v>17977</v>
      </c>
      <c r="R125" s="2" t="s">
        <v>36</v>
      </c>
      <c r="S125" s="2" t="s">
        <v>271</v>
      </c>
      <c r="T125" s="2" t="s">
        <v>17978</v>
      </c>
      <c r="U125" s="2" t="s">
        <v>17969</v>
      </c>
      <c r="V125" s="2" t="s">
        <v>17970</v>
      </c>
      <c r="W125" s="2"/>
    </row>
    <row r="126">
      <c r="A126" s="2" t="n">
        <v>83</v>
      </c>
      <c r="B126" s="2" t="s">
        <v>12295</v>
      </c>
      <c r="C126" s="2" t="s">
        <v>17979</v>
      </c>
      <c r="D126" s="2" t="n">
        <v>151.050203441</v>
      </c>
      <c r="E126" s="2" t="n">
        <v>8.48876263802786</v>
      </c>
      <c r="F126" s="2" t="s">
        <v>17981</v>
      </c>
      <c r="G126" s="2" t="n">
        <v>202158</v>
      </c>
      <c r="H126" s="3" t="str">
        <f>HYPERLINK("http://funmeta.oebiotech.com/network/202158", "http://funmeta.oebiotech.com/network/202158")</f>
      </c>
      <c r="I126" s="2" t="s">
        <v>17983</v>
      </c>
      <c r="J126" s="2" t="s">
        <v>17984</v>
      </c>
      <c r="K126" s="2"/>
      <c r="L126" s="2"/>
      <c r="M126" s="2"/>
      <c r="N126" s="2" t="s">
        <v>17985</v>
      </c>
      <c r="O126" s="2"/>
      <c r="P126" s="2" t="s">
        <v>17986</v>
      </c>
      <c r="Q126" s="2" t="s">
        <v>17987</v>
      </c>
      <c r="R126" s="2" t="s">
        <v>114</v>
      </c>
      <c r="S126" s="2" t="s">
        <v>369</v>
      </c>
      <c r="T126" s="2" t="s">
        <v>370</v>
      </c>
      <c r="U126" s="2" t="s">
        <v>17980</v>
      </c>
      <c r="V126" s="2" t="s">
        <v>17137</v>
      </c>
      <c r="W126" s="2"/>
    </row>
    <row r="127">
      <c r="A127" s="2" t="n">
        <v>84</v>
      </c>
      <c r="B127" s="2" t="s">
        <v>12308</v>
      </c>
      <c r="C127" s="2" t="s">
        <v>17988</v>
      </c>
      <c r="D127" s="2" t="n">
        <v>152.031811095</v>
      </c>
      <c r="E127" s="2" t="n">
        <v>1.34119446524762</v>
      </c>
      <c r="F127" s="2" t="s">
        <v>17990</v>
      </c>
      <c r="G127" s="2" t="n">
        <v>46966</v>
      </c>
      <c r="H127" s="3" t="str">
        <f>HYPERLINK("http://funmeta.oebiotech.com/network/46966", "http://funmeta.oebiotech.com/network/46966")</f>
      </c>
      <c r="I127" s="2" t="s">
        <v>17992</v>
      </c>
      <c r="J127" s="2" t="s">
        <v>17993</v>
      </c>
      <c r="K127" s="2"/>
      <c r="L127" s="2" t="s">
        <v>17994</v>
      </c>
      <c r="M127" s="2" t="s">
        <v>17995</v>
      </c>
      <c r="N127" s="2" t="s">
        <v>17996</v>
      </c>
      <c r="O127" s="2" t="s">
        <v>17997</v>
      </c>
      <c r="P127" s="2" t="s">
        <v>17998</v>
      </c>
      <c r="Q127" s="2" t="s">
        <v>17999</v>
      </c>
      <c r="R127" s="2" t="s">
        <v>36</v>
      </c>
      <c r="S127" s="2" t="s">
        <v>37</v>
      </c>
      <c r="T127" s="2" t="s">
        <v>69</v>
      </c>
      <c r="U127" s="2" t="s">
        <v>17989</v>
      </c>
      <c r="V127" s="2" t="s">
        <v>17198</v>
      </c>
      <c r="W127" s="2" t="s">
        <v>39</v>
      </c>
    </row>
    <row r="128">
      <c r="A128" s="2" t="n">
        <v>85</v>
      </c>
      <c r="B128" s="2" t="s">
        <v>12309</v>
      </c>
      <c r="C128" s="2" t="s">
        <v>18000</v>
      </c>
      <c r="D128" s="2" t="n">
        <v>155.049140814</v>
      </c>
      <c r="E128" s="2" t="n">
        <v>6.09130716879903</v>
      </c>
      <c r="F128" s="2" t="s">
        <v>18002</v>
      </c>
      <c r="G128" s="2" t="n">
        <v>57208</v>
      </c>
      <c r="H128" s="3" t="str">
        <f>HYPERLINK("http://funmeta.oebiotech.com/network/57208", "http://funmeta.oebiotech.com/network/57208")</f>
      </c>
      <c r="I128" s="2" t="s">
        <v>18004</v>
      </c>
      <c r="J128" s="2" t="s">
        <v>18005</v>
      </c>
      <c r="K128" s="2"/>
      <c r="L128" s="2"/>
      <c r="M128" s="2" t="s">
        <v>18006</v>
      </c>
      <c r="N128" s="2" t="s">
        <v>18007</v>
      </c>
      <c r="O128" s="2" t="s">
        <v>18008</v>
      </c>
      <c r="P128" s="2" t="s">
        <v>18009</v>
      </c>
      <c r="Q128" s="2" t="s">
        <v>18010</v>
      </c>
      <c r="R128" s="2" t="s">
        <v>186</v>
      </c>
      <c r="S128" s="2" t="s">
        <v>187</v>
      </c>
      <c r="T128" s="2" t="s">
        <v>18011</v>
      </c>
      <c r="U128" s="2" t="s">
        <v>18001</v>
      </c>
      <c r="V128" s="2" t="s">
        <v>17137</v>
      </c>
      <c r="W128" s="2"/>
    </row>
    <row r="129">
      <c r="A129" s="2" t="n">
        <v>86</v>
      </c>
      <c r="B129" s="2" t="s">
        <v>12310</v>
      </c>
      <c r="C129" s="2" t="s">
        <v>18012</v>
      </c>
      <c r="D129" s="2" t="n">
        <v>155.070270186</v>
      </c>
      <c r="E129" s="2" t="n">
        <v>2.12992933193941</v>
      </c>
      <c r="F129" s="2" t="s">
        <v>18014</v>
      </c>
      <c r="G129" s="2" t="n">
        <v>56470</v>
      </c>
      <c r="H129" s="3" t="str">
        <f>HYPERLINK("http://funmeta.oebiotech.com/network/56470", "http://funmeta.oebiotech.com/network/56470")</f>
      </c>
      <c r="I129" s="2" t="s">
        <v>18016</v>
      </c>
      <c r="J129" s="2" t="s">
        <v>18017</v>
      </c>
      <c r="K129" s="2"/>
      <c r="L129" s="2" t="s">
        <v>18018</v>
      </c>
      <c r="M129" s="2" t="s">
        <v>18019</v>
      </c>
      <c r="N129" s="2" t="s">
        <v>18020</v>
      </c>
      <c r="O129" s="2" t="s">
        <v>18021</v>
      </c>
      <c r="P129" s="2" t="s">
        <v>18022</v>
      </c>
      <c r="Q129" s="2" t="s">
        <v>18023</v>
      </c>
      <c r="R129" s="2" t="s">
        <v>186</v>
      </c>
      <c r="S129" s="2" t="s">
        <v>357</v>
      </c>
      <c r="T129" s="2" t="s">
        <v>5859</v>
      </c>
      <c r="U129" s="2" t="s">
        <v>18013</v>
      </c>
      <c r="V129" s="2" t="s">
        <v>17137</v>
      </c>
      <c r="W129" s="2" t="s">
        <v>56</v>
      </c>
    </row>
    <row r="130">
      <c r="A130" s="2" t="n">
        <v>87</v>
      </c>
      <c r="B130" s="2" t="s">
        <v>12311</v>
      </c>
      <c r="C130" s="2" t="s">
        <v>18024</v>
      </c>
      <c r="D130" s="2" t="n">
        <v>156.043124665</v>
      </c>
      <c r="E130" s="2" t="n">
        <v>0.845459665808477</v>
      </c>
      <c r="F130" s="2" t="s">
        <v>18026</v>
      </c>
      <c r="G130" s="2" t="n">
        <v>199820</v>
      </c>
      <c r="H130" s="3" t="str">
        <f>HYPERLINK("http://funmeta.oebiotech.com/network/199820", "http://funmeta.oebiotech.com/network/199820")</f>
      </c>
      <c r="I130" s="2" t="s">
        <v>18028</v>
      </c>
      <c r="J130" s="2"/>
      <c r="K130" s="2"/>
      <c r="L130" s="2"/>
      <c r="M130" s="2"/>
      <c r="N130" s="2" t="s">
        <v>18029</v>
      </c>
      <c r="O130" s="2"/>
      <c r="P130" s="2" t="s">
        <v>18030</v>
      </c>
      <c r="Q130" s="2" t="s">
        <v>18031</v>
      </c>
      <c r="R130" s="2" t="s">
        <v>36</v>
      </c>
      <c r="S130" s="2" t="s">
        <v>37</v>
      </c>
      <c r="T130" s="2" t="s">
        <v>69</v>
      </c>
      <c r="U130" s="2" t="s">
        <v>18025</v>
      </c>
      <c r="V130" s="2" t="s">
        <v>17198</v>
      </c>
      <c r="W130" s="2"/>
    </row>
    <row r="131">
      <c r="A131" s="2" t="n">
        <v>88</v>
      </c>
      <c r="B131" s="2" t="s">
        <v>12312</v>
      </c>
      <c r="C131" s="2" t="s">
        <v>18032</v>
      </c>
      <c r="D131" s="2" t="n">
        <v>156.077341233</v>
      </c>
      <c r="E131" s="2" t="n">
        <v>2.27788227893445</v>
      </c>
      <c r="F131" s="2" t="s">
        <v>18034</v>
      </c>
      <c r="G131" s="2" t="n">
        <v>48262</v>
      </c>
      <c r="H131" s="3" t="str">
        <f>HYPERLINK("http://funmeta.oebiotech.com/network/48262", "http://funmeta.oebiotech.com/network/48262")</f>
      </c>
      <c r="I131" s="2" t="s">
        <v>18036</v>
      </c>
      <c r="J131" s="2" t="s">
        <v>18037</v>
      </c>
      <c r="K131" s="2"/>
      <c r="L131" s="2" t="s">
        <v>18038</v>
      </c>
      <c r="M131" s="2" t="s">
        <v>18039</v>
      </c>
      <c r="N131" s="2" t="s">
        <v>18040</v>
      </c>
      <c r="O131" s="2" t="s">
        <v>18041</v>
      </c>
      <c r="P131" s="2" t="s">
        <v>18042</v>
      </c>
      <c r="Q131" s="2" t="s">
        <v>18043</v>
      </c>
      <c r="R131" s="2" t="s">
        <v>36</v>
      </c>
      <c r="S131" s="2" t="s">
        <v>271</v>
      </c>
      <c r="T131" s="2" t="s">
        <v>272</v>
      </c>
      <c r="U131" s="2" t="s">
        <v>18033</v>
      </c>
      <c r="V131" s="2" t="s">
        <v>17039</v>
      </c>
      <c r="W131" s="2" t="s">
        <v>56</v>
      </c>
    </row>
    <row r="132">
      <c r="A132" s="2" t="n">
        <v>89</v>
      </c>
      <c r="B132" s="2" t="s">
        <v>12337</v>
      </c>
      <c r="C132" s="2" t="s">
        <v>18044</v>
      </c>
      <c r="D132" s="2" t="n">
        <v>156.149523559</v>
      </c>
      <c r="E132" s="2" t="n">
        <v>0.643598283379904</v>
      </c>
      <c r="F132" s="2" t="s">
        <v>25853</v>
      </c>
      <c r="G132" s="2" t="n">
        <v>211707</v>
      </c>
      <c r="H132" s="3" t="str">
        <f>HYPERLINK("http://funmeta.oebiotech.com/network/211707", "http://funmeta.oebiotech.com/network/211707")</f>
      </c>
      <c r="I132" s="2" t="s">
        <v>25854</v>
      </c>
      <c r="J132" s="2"/>
      <c r="K132" s="2"/>
      <c r="L132" s="2"/>
      <c r="M132" s="2"/>
      <c r="N132" s="2" t="s">
        <v>25855</v>
      </c>
      <c r="O132" s="2"/>
      <c r="P132" s="2" t="s">
        <v>25856</v>
      </c>
      <c r="Q132" s="2" t="s">
        <v>25857</v>
      </c>
      <c r="R132" s="2" t="s">
        <v>601</v>
      </c>
      <c r="S132" s="2" t="s">
        <v>602</v>
      </c>
      <c r="T132" s="2" t="s">
        <v>25858</v>
      </c>
      <c r="U132" s="2" t="s">
        <v>18045</v>
      </c>
      <c r="V132" s="2" t="s">
        <v>17137</v>
      </c>
      <c r="W132" s="2"/>
    </row>
    <row r="133">
      <c r="A133" s="2" t="n">
        <v>89</v>
      </c>
      <c r="B133" s="2" t="s">
        <v>25859</v>
      </c>
      <c r="C133" s="2" t="s">
        <v>18044</v>
      </c>
      <c r="D133" s="2" t="n">
        <v>156.149523559</v>
      </c>
      <c r="E133" s="2" t="n">
        <v>0.643598283379904</v>
      </c>
      <c r="F133" s="2" t="s">
        <v>25860</v>
      </c>
      <c r="G133" s="2" t="n">
        <v>200289</v>
      </c>
      <c r="H133" s="3" t="str">
        <f>HYPERLINK("http://funmeta.oebiotech.com/network/200289", "http://funmeta.oebiotech.com/network/200289")</f>
      </c>
      <c r="I133" s="2" t="s">
        <v>25861</v>
      </c>
      <c r="J133" s="2" t="s">
        <v>25862</v>
      </c>
      <c r="K133" s="2"/>
      <c r="L133" s="2"/>
      <c r="M133" s="2"/>
      <c r="N133" s="2" t="s">
        <v>25863</v>
      </c>
      <c r="O133" s="2" t="s">
        <v>25864</v>
      </c>
      <c r="P133" s="2" t="s">
        <v>25865</v>
      </c>
      <c r="Q133" s="2" t="s">
        <v>25866</v>
      </c>
      <c r="R133" s="2" t="s">
        <v>601</v>
      </c>
      <c r="S133" s="2" t="s">
        <v>602</v>
      </c>
      <c r="T133" s="2" t="s">
        <v>1800</v>
      </c>
      <c r="U133" s="2" t="s">
        <v>18045</v>
      </c>
      <c r="V133" s="2" t="s">
        <v>17137</v>
      </c>
      <c r="W133" s="2"/>
    </row>
    <row r="134">
      <c r="A134" s="2" t="n">
        <v>90</v>
      </c>
      <c r="B134" s="2" t="s">
        <v>12338</v>
      </c>
      <c r="C134" s="2" t="s">
        <v>18055</v>
      </c>
      <c r="D134" s="2" t="n">
        <v>158.042375781</v>
      </c>
      <c r="E134" s="2" t="n">
        <v>0.645353724984338</v>
      </c>
      <c r="F134" s="2" t="s">
        <v>18057</v>
      </c>
      <c r="G134" s="2" t="n">
        <v>1911</v>
      </c>
      <c r="H134" s="3" t="str">
        <f>HYPERLINK("http://funmeta.oebiotech.com/network/1911", "http://funmeta.oebiotech.com/network/1911")</f>
      </c>
      <c r="I134" s="2" t="s">
        <v>18059</v>
      </c>
      <c r="J134" s="2" t="s">
        <v>18060</v>
      </c>
      <c r="K134" s="2" t="s">
        <v>18061</v>
      </c>
      <c r="L134" s="2"/>
      <c r="M134" s="2"/>
      <c r="N134" s="2" t="s">
        <v>18062</v>
      </c>
      <c r="O134" s="2" t="s">
        <v>18063</v>
      </c>
      <c r="P134" s="2" t="s">
        <v>18064</v>
      </c>
      <c r="Q134" s="2" t="s">
        <v>18065</v>
      </c>
      <c r="R134" s="2" t="s">
        <v>36</v>
      </c>
      <c r="S134" s="2" t="s">
        <v>37</v>
      </c>
      <c r="T134" s="2" t="s">
        <v>69</v>
      </c>
      <c r="U134" s="2" t="s">
        <v>18056</v>
      </c>
      <c r="V134" s="2" t="s">
        <v>17198</v>
      </c>
      <c r="W134" s="2" t="s">
        <v>56</v>
      </c>
    </row>
    <row r="135">
      <c r="A135" s="2" t="n">
        <v>91</v>
      </c>
      <c r="B135" s="2" t="s">
        <v>12339</v>
      </c>
      <c r="C135" s="2" t="s">
        <v>18066</v>
      </c>
      <c r="D135" s="2" t="n">
        <v>158.096425357</v>
      </c>
      <c r="E135" s="2" t="n">
        <v>3.09745992593022</v>
      </c>
      <c r="F135" s="2" t="s">
        <v>25867</v>
      </c>
      <c r="G135" s="2" t="n">
        <v>255365</v>
      </c>
      <c r="H135" s="3" t="str">
        <f>HYPERLINK("http://funmeta.oebiotech.com/network/255365", "http://funmeta.oebiotech.com/network/255365")</f>
      </c>
      <c r="I135" s="2" t="s">
        <v>25868</v>
      </c>
      <c r="J135" s="2"/>
      <c r="K135" s="2"/>
      <c r="L135" s="2"/>
      <c r="M135" s="2"/>
      <c r="N135" s="2" t="s">
        <v>25869</v>
      </c>
      <c r="O135" s="2"/>
      <c r="P135" s="2" t="s">
        <v>25870</v>
      </c>
      <c r="Q135" s="2" t="s">
        <v>25871</v>
      </c>
      <c r="R135" s="2" t="s">
        <v>114</v>
      </c>
      <c r="S135" s="2" t="s">
        <v>2057</v>
      </c>
      <c r="T135" s="2" t="s">
        <v>215</v>
      </c>
      <c r="U135" s="2" t="s">
        <v>18067</v>
      </c>
      <c r="V135" s="2" t="s">
        <v>17137</v>
      </c>
      <c r="W135" s="2"/>
    </row>
    <row r="136">
      <c r="A136" s="2" t="n">
        <v>91</v>
      </c>
      <c r="B136" s="2" t="s">
        <v>25872</v>
      </c>
      <c r="C136" s="2" t="s">
        <v>18066</v>
      </c>
      <c r="D136" s="2" t="n">
        <v>158.096425357</v>
      </c>
      <c r="E136" s="2" t="n">
        <v>3.09745992593022</v>
      </c>
      <c r="F136" s="2" t="s">
        <v>25873</v>
      </c>
      <c r="G136" s="2" t="n">
        <v>255348</v>
      </c>
      <c r="H136" s="3" t="str">
        <f>HYPERLINK("http://funmeta.oebiotech.com/network/255348", "http://funmeta.oebiotech.com/network/255348")</f>
      </c>
      <c r="I136" s="2" t="s">
        <v>25874</v>
      </c>
      <c r="J136" s="2" t="s">
        <v>25875</v>
      </c>
      <c r="K136" s="2"/>
      <c r="L136" s="2"/>
      <c r="M136" s="2"/>
      <c r="N136" s="2" t="s">
        <v>25876</v>
      </c>
      <c r="O136" s="2"/>
      <c r="P136" s="2" t="s">
        <v>25877</v>
      </c>
      <c r="Q136" s="2" t="s">
        <v>25878</v>
      </c>
      <c r="R136" s="2" t="s">
        <v>114</v>
      </c>
      <c r="S136" s="2" t="s">
        <v>2057</v>
      </c>
      <c r="T136" s="2" t="s">
        <v>215</v>
      </c>
      <c r="U136" s="2" t="s">
        <v>18067</v>
      </c>
      <c r="V136" s="2" t="s">
        <v>17137</v>
      </c>
      <c r="W136" s="2"/>
    </row>
    <row r="137">
      <c r="A137" s="2" t="n">
        <v>91</v>
      </c>
      <c r="B137" s="2" t="s">
        <v>25879</v>
      </c>
      <c r="C137" s="2" t="s">
        <v>18066</v>
      </c>
      <c r="D137" s="2" t="n">
        <v>158.096425357</v>
      </c>
      <c r="E137" s="2" t="n">
        <v>3.09745992593022</v>
      </c>
      <c r="F137" s="2" t="s">
        <v>25880</v>
      </c>
      <c r="G137" s="2" t="n">
        <v>255351</v>
      </c>
      <c r="H137" s="3" t="str">
        <f>HYPERLINK("http://funmeta.oebiotech.com/network/255351", "http://funmeta.oebiotech.com/network/255351")</f>
      </c>
      <c r="I137" s="2" t="s">
        <v>25881</v>
      </c>
      <c r="J137" s="2"/>
      <c r="K137" s="2"/>
      <c r="L137" s="2"/>
      <c r="M137" s="2"/>
      <c r="N137" s="2"/>
      <c r="O137" s="2"/>
      <c r="P137" s="2" t="s">
        <v>25882</v>
      </c>
      <c r="Q137" s="2" t="s">
        <v>25883</v>
      </c>
      <c r="R137" s="2" t="s">
        <v>114</v>
      </c>
      <c r="S137" s="2" t="s">
        <v>2057</v>
      </c>
      <c r="T137" s="2" t="s">
        <v>215</v>
      </c>
      <c r="U137" s="2" t="s">
        <v>18067</v>
      </c>
      <c r="V137" s="2" t="s">
        <v>17137</v>
      </c>
      <c r="W137" s="2"/>
    </row>
    <row r="138">
      <c r="A138" s="2" t="n">
        <v>92</v>
      </c>
      <c r="B138" s="2" t="s">
        <v>12340</v>
      </c>
      <c r="C138" s="2" t="s">
        <v>18076</v>
      </c>
      <c r="D138" s="2" t="n">
        <v>158.118143411</v>
      </c>
      <c r="E138" s="2" t="n">
        <v>13.9098347945389</v>
      </c>
      <c r="F138" s="2" t="s">
        <v>25884</v>
      </c>
      <c r="G138" s="2" t="n">
        <v>209041</v>
      </c>
      <c r="H138" s="3" t="str">
        <f>HYPERLINK("http://funmeta.oebiotech.com/network/209041", "http://funmeta.oebiotech.com/network/209041")</f>
      </c>
      <c r="I138" s="2" t="s">
        <v>25885</v>
      </c>
      <c r="J138" s="2"/>
      <c r="K138" s="2"/>
      <c r="L138" s="2"/>
      <c r="M138" s="2"/>
      <c r="N138" s="2" t="s">
        <v>25886</v>
      </c>
      <c r="O138" s="2"/>
      <c r="P138" s="2" t="s">
        <v>25887</v>
      </c>
      <c r="Q138" s="2" t="s">
        <v>25888</v>
      </c>
      <c r="R138" s="2" t="s">
        <v>36</v>
      </c>
      <c r="S138" s="2" t="s">
        <v>37</v>
      </c>
      <c r="T138" s="2" t="s">
        <v>69</v>
      </c>
      <c r="U138" s="2" t="s">
        <v>18077</v>
      </c>
      <c r="V138" s="2" t="s">
        <v>17039</v>
      </c>
      <c r="W138" s="2"/>
    </row>
    <row r="139">
      <c r="A139" s="2" t="n">
        <v>92</v>
      </c>
      <c r="B139" s="2" t="s">
        <v>12351</v>
      </c>
      <c r="C139" s="2" t="s">
        <v>18076</v>
      </c>
      <c r="D139" s="2" t="n">
        <v>158.118143411</v>
      </c>
      <c r="E139" s="2" t="n">
        <v>13.9098347945389</v>
      </c>
      <c r="F139" s="2" t="s">
        <v>25889</v>
      </c>
      <c r="G139" s="2" t="n">
        <v>209032</v>
      </c>
      <c r="H139" s="3" t="str">
        <f>HYPERLINK("http://funmeta.oebiotech.com/network/209032", "http://funmeta.oebiotech.com/network/209032")</f>
      </c>
      <c r="I139" s="2" t="s">
        <v>25890</v>
      </c>
      <c r="J139" s="2"/>
      <c r="K139" s="2"/>
      <c r="L139" s="2"/>
      <c r="M139" s="2"/>
      <c r="N139" s="2" t="s">
        <v>25891</v>
      </c>
      <c r="O139" s="2"/>
      <c r="P139" s="2" t="s">
        <v>25892</v>
      </c>
      <c r="Q139" s="2" t="s">
        <v>25893</v>
      </c>
      <c r="R139" s="2" t="s">
        <v>36</v>
      </c>
      <c r="S139" s="2" t="s">
        <v>37</v>
      </c>
      <c r="T139" s="2" t="s">
        <v>69</v>
      </c>
      <c r="U139" s="2" t="s">
        <v>18077</v>
      </c>
      <c r="V139" s="2" t="s">
        <v>17039</v>
      </c>
      <c r="W139" s="2"/>
    </row>
    <row r="140">
      <c r="A140" s="2" t="n">
        <v>92</v>
      </c>
      <c r="B140" s="2" t="s">
        <v>25894</v>
      </c>
      <c r="C140" s="2" t="s">
        <v>18076</v>
      </c>
      <c r="D140" s="2" t="n">
        <v>158.118143411</v>
      </c>
      <c r="E140" s="2" t="n">
        <v>13.9098347945389</v>
      </c>
      <c r="F140" s="2" t="s">
        <v>25895</v>
      </c>
      <c r="G140" s="2" t="n">
        <v>211990</v>
      </c>
      <c r="H140" s="3" t="str">
        <f>HYPERLINK("http://funmeta.oebiotech.com/network/211990", "http://funmeta.oebiotech.com/network/211990")</f>
      </c>
      <c r="I140" s="2" t="s">
        <v>25896</v>
      </c>
      <c r="J140" s="2"/>
      <c r="K140" s="2"/>
      <c r="L140" s="2"/>
      <c r="M140" s="2"/>
      <c r="N140" s="2" t="s">
        <v>25897</v>
      </c>
      <c r="O140" s="2"/>
      <c r="P140" s="2" t="s">
        <v>25898</v>
      </c>
      <c r="Q140" s="2" t="s">
        <v>25899</v>
      </c>
      <c r="R140" s="2" t="s">
        <v>36</v>
      </c>
      <c r="S140" s="2" t="s">
        <v>37</v>
      </c>
      <c r="T140" s="2" t="s">
        <v>69</v>
      </c>
      <c r="U140" s="2" t="s">
        <v>18077</v>
      </c>
      <c r="V140" s="2" t="s">
        <v>17039</v>
      </c>
      <c r="W140" s="2"/>
    </row>
    <row r="141">
      <c r="A141" s="2" t="n">
        <v>93</v>
      </c>
      <c r="B141" s="2" t="s">
        <v>12361</v>
      </c>
      <c r="C141" s="2" t="s">
        <v>18084</v>
      </c>
      <c r="D141" s="2" t="n">
        <v>158.153940236</v>
      </c>
      <c r="E141" s="2" t="n">
        <v>11.376418310836</v>
      </c>
      <c r="F141" s="2" t="s">
        <v>25900</v>
      </c>
      <c r="G141" s="2" t="n">
        <v>200776</v>
      </c>
      <c r="H141" s="3" t="str">
        <f>HYPERLINK("http://funmeta.oebiotech.com/network/200776", "http://funmeta.oebiotech.com/network/200776")</f>
      </c>
      <c r="I141" s="2" t="s">
        <v>25901</v>
      </c>
      <c r="J141" s="2"/>
      <c r="K141" s="2"/>
      <c r="L141" s="2"/>
      <c r="M141" s="2"/>
      <c r="N141" s="2"/>
      <c r="O141" s="2"/>
      <c r="P141" s="2" t="s">
        <v>25902</v>
      </c>
      <c r="Q141" s="2" t="s">
        <v>25903</v>
      </c>
      <c r="R141" s="2" t="s">
        <v>114</v>
      </c>
      <c r="S141" s="2" t="s">
        <v>4121</v>
      </c>
      <c r="T141" s="2" t="s">
        <v>215</v>
      </c>
      <c r="U141" s="2" t="s">
        <v>18085</v>
      </c>
      <c r="V141" s="2" t="s">
        <v>17137</v>
      </c>
      <c r="W141" s="2"/>
    </row>
    <row r="142">
      <c r="A142" s="2" t="n">
        <v>93</v>
      </c>
      <c r="B142" s="2" t="s">
        <v>25904</v>
      </c>
      <c r="C142" s="2" t="s">
        <v>18084</v>
      </c>
      <c r="D142" s="2" t="n">
        <v>158.153940236</v>
      </c>
      <c r="E142" s="2" t="n">
        <v>11.376418310836</v>
      </c>
      <c r="F142" s="2" t="s">
        <v>25905</v>
      </c>
      <c r="G142" s="2" t="n">
        <v>200777</v>
      </c>
      <c r="H142" s="3" t="str">
        <f>HYPERLINK("http://funmeta.oebiotech.com/network/200777", "http://funmeta.oebiotech.com/network/200777")</f>
      </c>
      <c r="I142" s="2" t="s">
        <v>25906</v>
      </c>
      <c r="J142" s="2" t="s">
        <v>25907</v>
      </c>
      <c r="K142" s="2"/>
      <c r="L142" s="2"/>
      <c r="M142" s="2"/>
      <c r="N142" s="2" t="s">
        <v>25908</v>
      </c>
      <c r="O142" s="2"/>
      <c r="P142" s="2" t="s">
        <v>25909</v>
      </c>
      <c r="Q142" s="2" t="s">
        <v>25910</v>
      </c>
      <c r="R142" s="2" t="s">
        <v>114</v>
      </c>
      <c r="S142" s="2" t="s">
        <v>4121</v>
      </c>
      <c r="T142" s="2" t="s">
        <v>215</v>
      </c>
      <c r="U142" s="2" t="s">
        <v>18085</v>
      </c>
      <c r="V142" s="2" t="s">
        <v>17137</v>
      </c>
      <c r="W142" s="2"/>
    </row>
    <row r="143">
      <c r="A143" s="2" t="n">
        <v>93</v>
      </c>
      <c r="B143" s="2" t="s">
        <v>25911</v>
      </c>
      <c r="C143" s="2" t="s">
        <v>18084</v>
      </c>
      <c r="D143" s="2" t="n">
        <v>158.153940236</v>
      </c>
      <c r="E143" s="2" t="n">
        <v>11.376418310836</v>
      </c>
      <c r="F143" s="2" t="s">
        <v>25912</v>
      </c>
      <c r="G143" s="2" t="n">
        <v>208008</v>
      </c>
      <c r="H143" s="3" t="str">
        <f>HYPERLINK("http://funmeta.oebiotech.com/network/208008", "http://funmeta.oebiotech.com/network/208008")</f>
      </c>
      <c r="I143" s="2" t="s">
        <v>25913</v>
      </c>
      <c r="J143" s="2"/>
      <c r="K143" s="2"/>
      <c r="L143" s="2"/>
      <c r="M143" s="2"/>
      <c r="N143" s="2"/>
      <c r="O143" s="2"/>
      <c r="P143" s="2" t="s">
        <v>25914</v>
      </c>
      <c r="Q143" s="2" t="s">
        <v>25915</v>
      </c>
      <c r="R143" s="2" t="s">
        <v>794</v>
      </c>
      <c r="S143" s="2" t="s">
        <v>795</v>
      </c>
      <c r="T143" s="2" t="s">
        <v>5115</v>
      </c>
      <c r="U143" s="2" t="s">
        <v>18085</v>
      </c>
      <c r="V143" s="2" t="s">
        <v>17137</v>
      </c>
      <c r="W143" s="2"/>
    </row>
    <row r="144">
      <c r="A144" s="2" t="n">
        <v>94</v>
      </c>
      <c r="B144" s="2" t="s">
        <v>12362</v>
      </c>
      <c r="C144" s="2" t="s">
        <v>18096</v>
      </c>
      <c r="D144" s="2" t="n">
        <v>158.922071521</v>
      </c>
      <c r="E144" s="2" t="n">
        <v>0.594175048098157</v>
      </c>
      <c r="F144" s="2" t="s">
        <v>18098</v>
      </c>
      <c r="G144" s="2" t="n">
        <v>212607</v>
      </c>
      <c r="H144" s="3" t="str">
        <f>HYPERLINK("http://funmeta.oebiotech.com/network/212607", "http://funmeta.oebiotech.com/network/212607")</f>
      </c>
      <c r="I144" s="2" t="s">
        <v>18100</v>
      </c>
      <c r="J144" s="2" t="s">
        <v>18101</v>
      </c>
      <c r="K144" s="2"/>
      <c r="L144" s="2"/>
      <c r="M144" s="2"/>
      <c r="N144" s="2" t="s">
        <v>18102</v>
      </c>
      <c r="O144" s="2"/>
      <c r="P144" s="2" t="s">
        <v>18103</v>
      </c>
      <c r="Q144" s="2" t="s">
        <v>18104</v>
      </c>
      <c r="R144" s="2" t="s">
        <v>213</v>
      </c>
      <c r="S144" s="2" t="s">
        <v>1298</v>
      </c>
      <c r="T144" s="2" t="s">
        <v>1299</v>
      </c>
      <c r="U144" s="2" t="s">
        <v>18097</v>
      </c>
      <c r="V144" s="2" t="s">
        <v>17520</v>
      </c>
      <c r="W144" s="2"/>
    </row>
    <row r="145">
      <c r="A145" s="2" t="n">
        <v>95</v>
      </c>
      <c r="B145" s="2" t="s">
        <v>12363</v>
      </c>
      <c r="C145" s="2" t="s">
        <v>18105</v>
      </c>
      <c r="D145" s="2" t="n">
        <v>158.99889206</v>
      </c>
      <c r="E145" s="2" t="n">
        <v>6.34034151426364</v>
      </c>
      <c r="F145" s="2" t="s">
        <v>18107</v>
      </c>
      <c r="G145" s="2" t="n">
        <v>209699</v>
      </c>
      <c r="H145" s="3" t="str">
        <f>HYPERLINK("http://funmeta.oebiotech.com/network/209699", "http://funmeta.oebiotech.com/network/209699")</f>
      </c>
      <c r="I145" s="2" t="s">
        <v>18109</v>
      </c>
      <c r="J145" s="2" t="s">
        <v>18110</v>
      </c>
      <c r="K145" s="2"/>
      <c r="L145" s="2"/>
      <c r="M145" s="2"/>
      <c r="N145" s="2" t="s">
        <v>18111</v>
      </c>
      <c r="O145" s="2"/>
      <c r="P145" s="2" t="s">
        <v>18112</v>
      </c>
      <c r="Q145" s="2" t="s">
        <v>18113</v>
      </c>
      <c r="R145" s="2" t="s">
        <v>644</v>
      </c>
      <c r="S145" s="2" t="s">
        <v>18114</v>
      </c>
      <c r="T145" s="2" t="s">
        <v>215</v>
      </c>
      <c r="U145" s="2" t="s">
        <v>18106</v>
      </c>
      <c r="V145" s="2" t="s">
        <v>17406</v>
      </c>
      <c r="W145" s="2"/>
    </row>
    <row r="146">
      <c r="A146" s="2" t="n">
        <v>96</v>
      </c>
      <c r="B146" s="2" t="s">
        <v>12364</v>
      </c>
      <c r="C146" s="2" t="s">
        <v>18115</v>
      </c>
      <c r="D146" s="2" t="n">
        <v>159.047426254</v>
      </c>
      <c r="E146" s="2" t="n">
        <v>0.436309503978944</v>
      </c>
      <c r="F146" s="2" t="s">
        <v>18117</v>
      </c>
      <c r="G146" s="2" t="n">
        <v>61281</v>
      </c>
      <c r="H146" s="3" t="str">
        <f>HYPERLINK("http://funmeta.oebiotech.com/network/61281", "http://funmeta.oebiotech.com/network/61281")</f>
      </c>
      <c r="I146" s="2" t="s">
        <v>18119</v>
      </c>
      <c r="J146" s="2" t="s">
        <v>18120</v>
      </c>
      <c r="K146" s="2"/>
      <c r="L146" s="2"/>
      <c r="M146" s="2" t="s">
        <v>18121</v>
      </c>
      <c r="N146" s="2" t="s">
        <v>18122</v>
      </c>
      <c r="O146" s="2" t="s">
        <v>18123</v>
      </c>
      <c r="P146" s="2" t="s">
        <v>18124</v>
      </c>
      <c r="Q146" s="2" t="s">
        <v>18125</v>
      </c>
      <c r="R146" s="2" t="s">
        <v>114</v>
      </c>
      <c r="S146" s="2" t="s">
        <v>115</v>
      </c>
      <c r="T146" s="2" t="s">
        <v>215</v>
      </c>
      <c r="U146" s="2" t="s">
        <v>18116</v>
      </c>
      <c r="V146" s="2" t="s">
        <v>17137</v>
      </c>
      <c r="W146" s="2" t="s">
        <v>56</v>
      </c>
    </row>
    <row r="147">
      <c r="A147" s="2" t="n">
        <v>97</v>
      </c>
      <c r="B147" s="2" t="s">
        <v>12365</v>
      </c>
      <c r="C147" s="2" t="s">
        <v>18126</v>
      </c>
      <c r="D147" s="2" t="n">
        <v>159.160422596</v>
      </c>
      <c r="E147" s="2" t="n">
        <v>7.40159110467573</v>
      </c>
      <c r="F147" s="2" t="s">
        <v>18128</v>
      </c>
      <c r="G147" s="2" t="n">
        <v>207378</v>
      </c>
      <c r="H147" s="3" t="str">
        <f>HYPERLINK("http://funmeta.oebiotech.com/network/207378", "http://funmeta.oebiotech.com/network/207378")</f>
      </c>
      <c r="I147" s="2" t="s">
        <v>18130</v>
      </c>
      <c r="J147" s="2"/>
      <c r="K147" s="2"/>
      <c r="L147" s="2"/>
      <c r="M147" s="2"/>
      <c r="N147" s="2"/>
      <c r="O147" s="2"/>
      <c r="P147" s="2" t="s">
        <v>18131</v>
      </c>
      <c r="Q147" s="2" t="s">
        <v>18132</v>
      </c>
      <c r="R147" s="2" t="s">
        <v>601</v>
      </c>
      <c r="S147" s="2" t="s">
        <v>602</v>
      </c>
      <c r="T147" s="2" t="s">
        <v>1969</v>
      </c>
      <c r="U147" s="2" t="s">
        <v>18127</v>
      </c>
      <c r="V147" s="2" t="s">
        <v>17137</v>
      </c>
      <c r="W147" s="2"/>
    </row>
    <row r="148">
      <c r="A148" s="2" t="n">
        <v>98</v>
      </c>
      <c r="B148" s="2" t="s">
        <v>12366</v>
      </c>
      <c r="C148" s="2" t="s">
        <v>18133</v>
      </c>
      <c r="D148" s="2" t="n">
        <v>161.096679692</v>
      </c>
      <c r="E148" s="2" t="n">
        <v>4.37815003372671</v>
      </c>
      <c r="F148" s="2" t="s">
        <v>18135</v>
      </c>
      <c r="G148" s="2" t="n">
        <v>56329</v>
      </c>
      <c r="H148" s="3" t="str">
        <f>HYPERLINK("http://funmeta.oebiotech.com/network/56329", "http://funmeta.oebiotech.com/network/56329")</f>
      </c>
      <c r="I148" s="2" t="s">
        <v>18137</v>
      </c>
      <c r="J148" s="2" t="s">
        <v>18138</v>
      </c>
      <c r="K148" s="2"/>
      <c r="L148" s="2" t="s">
        <v>18139</v>
      </c>
      <c r="M148" s="2" t="s">
        <v>18140</v>
      </c>
      <c r="N148" s="2" t="s">
        <v>18141</v>
      </c>
      <c r="O148" s="2" t="s">
        <v>18142</v>
      </c>
      <c r="P148" s="2" t="s">
        <v>18143</v>
      </c>
      <c r="Q148" s="2" t="s">
        <v>18144</v>
      </c>
      <c r="R148" s="2" t="s">
        <v>186</v>
      </c>
      <c r="S148" s="2" t="s">
        <v>187</v>
      </c>
      <c r="T148" s="2" t="s">
        <v>3552</v>
      </c>
      <c r="U148" s="2" t="s">
        <v>18134</v>
      </c>
      <c r="V148" s="2" t="s">
        <v>17039</v>
      </c>
      <c r="W148" s="2" t="s">
        <v>56</v>
      </c>
    </row>
    <row r="149">
      <c r="A149" s="2" t="n">
        <v>99</v>
      </c>
      <c r="B149" s="2" t="s">
        <v>12367</v>
      </c>
      <c r="C149" s="2" t="s">
        <v>18145</v>
      </c>
      <c r="D149" s="2" t="n">
        <v>162.113018383</v>
      </c>
      <c r="E149" s="2" t="n">
        <v>3.52465614293998</v>
      </c>
      <c r="F149" s="2" t="s">
        <v>18147</v>
      </c>
      <c r="G149" s="2" t="n">
        <v>46851</v>
      </c>
      <c r="H149" s="3" t="str">
        <f>HYPERLINK("http://funmeta.oebiotech.com/network/46851", "http://funmeta.oebiotech.com/network/46851")</f>
      </c>
      <c r="I149" s="2" t="s">
        <v>18149</v>
      </c>
      <c r="J149" s="2" t="s">
        <v>18150</v>
      </c>
      <c r="K149" s="2"/>
      <c r="L149" s="2" t="s">
        <v>18151</v>
      </c>
      <c r="M149" s="2" t="s">
        <v>18152</v>
      </c>
      <c r="N149" s="2" t="s">
        <v>18153</v>
      </c>
      <c r="O149" s="2" t="s">
        <v>18154</v>
      </c>
      <c r="P149" s="2" t="s">
        <v>18155</v>
      </c>
      <c r="Q149" s="2" t="s">
        <v>18156</v>
      </c>
      <c r="R149" s="2" t="s">
        <v>601</v>
      </c>
      <c r="S149" s="2" t="s">
        <v>602</v>
      </c>
      <c r="T149" s="2" t="s">
        <v>8583</v>
      </c>
      <c r="U149" s="2" t="s">
        <v>18146</v>
      </c>
      <c r="V149" s="2" t="s">
        <v>17117</v>
      </c>
      <c r="W149" s="2" t="s">
        <v>39</v>
      </c>
    </row>
    <row r="150">
      <c r="A150" s="2" t="n">
        <v>100</v>
      </c>
      <c r="B150" s="2" t="s">
        <v>12387</v>
      </c>
      <c r="C150" s="2" t="s">
        <v>18157</v>
      </c>
      <c r="D150" s="2" t="n">
        <v>163.039558744</v>
      </c>
      <c r="E150" s="2" t="n">
        <v>2.4785677157482</v>
      </c>
      <c r="F150" s="2" t="s">
        <v>25916</v>
      </c>
      <c r="G150" s="2" t="n">
        <v>47172</v>
      </c>
      <c r="H150" s="3" t="str">
        <f>HYPERLINK("http://funmeta.oebiotech.com/network/47172", "http://funmeta.oebiotech.com/network/47172")</f>
      </c>
      <c r="I150" s="2" t="s">
        <v>25917</v>
      </c>
      <c r="J150" s="2" t="s">
        <v>25918</v>
      </c>
      <c r="K150" s="2"/>
      <c r="L150" s="2" t="s">
        <v>25919</v>
      </c>
      <c r="M150" s="2" t="s">
        <v>25920</v>
      </c>
      <c r="N150" s="2" t="s">
        <v>25921</v>
      </c>
      <c r="O150" s="2" t="s">
        <v>25922</v>
      </c>
      <c r="P150" s="2" t="s">
        <v>25923</v>
      </c>
      <c r="Q150" s="2" t="s">
        <v>25924</v>
      </c>
      <c r="R150" s="2" t="s">
        <v>186</v>
      </c>
      <c r="S150" s="2" t="s">
        <v>187</v>
      </c>
      <c r="T150" s="2" t="s">
        <v>25925</v>
      </c>
      <c r="U150" s="2" t="s">
        <v>18158</v>
      </c>
      <c r="V150" s="2" t="s">
        <v>17039</v>
      </c>
      <c r="W150" s="2" t="s">
        <v>56</v>
      </c>
    </row>
    <row r="151">
      <c r="A151" s="2" t="n">
        <v>100</v>
      </c>
      <c r="B151" s="2" t="s">
        <v>12394</v>
      </c>
      <c r="C151" s="2" t="s">
        <v>18157</v>
      </c>
      <c r="D151" s="2" t="n">
        <v>163.039558744</v>
      </c>
      <c r="E151" s="2" t="n">
        <v>2.4785677157482</v>
      </c>
      <c r="F151" s="2" t="s">
        <v>25926</v>
      </c>
      <c r="G151" s="2" t="n">
        <v>47741</v>
      </c>
      <c r="H151" s="3" t="str">
        <f>HYPERLINK("http://funmeta.oebiotech.com/network/47741", "http://funmeta.oebiotech.com/network/47741")</f>
      </c>
      <c r="I151" s="2" t="s">
        <v>25927</v>
      </c>
      <c r="J151" s="2" t="s">
        <v>25928</v>
      </c>
      <c r="K151" s="2"/>
      <c r="L151" s="2" t="s">
        <v>25929</v>
      </c>
      <c r="M151" s="2" t="s">
        <v>25930</v>
      </c>
      <c r="N151" s="2" t="s">
        <v>25931</v>
      </c>
      <c r="O151" s="2" t="s">
        <v>25932</v>
      </c>
      <c r="P151" s="2" t="s">
        <v>25933</v>
      </c>
      <c r="Q151" s="2" t="s">
        <v>25934</v>
      </c>
      <c r="R151" s="2" t="s">
        <v>1355</v>
      </c>
      <c r="S151" s="2" t="s">
        <v>6741</v>
      </c>
      <c r="T151" s="2" t="s">
        <v>6742</v>
      </c>
      <c r="U151" s="2" t="s">
        <v>18158</v>
      </c>
      <c r="V151" s="2" t="s">
        <v>17039</v>
      </c>
      <c r="W151" s="2" t="s">
        <v>56</v>
      </c>
    </row>
    <row r="152">
      <c r="A152" s="2" t="n">
        <v>100</v>
      </c>
      <c r="B152" s="2" t="s">
        <v>25935</v>
      </c>
      <c r="C152" s="2" t="s">
        <v>18157</v>
      </c>
      <c r="D152" s="2" t="n">
        <v>163.039558744</v>
      </c>
      <c r="E152" s="2" t="n">
        <v>2.4785677157482</v>
      </c>
      <c r="F152" s="2" t="s">
        <v>25936</v>
      </c>
      <c r="G152" s="2" t="n">
        <v>48931</v>
      </c>
      <c r="H152" s="3" t="str">
        <f>HYPERLINK("http://funmeta.oebiotech.com/network/48931", "http://funmeta.oebiotech.com/network/48931")</f>
      </c>
      <c r="I152" s="2" t="s">
        <v>25937</v>
      </c>
      <c r="J152" s="2" t="s">
        <v>25938</v>
      </c>
      <c r="K152" s="2"/>
      <c r="L152" s="2" t="s">
        <v>25939</v>
      </c>
      <c r="M152" s="2" t="s">
        <v>25940</v>
      </c>
      <c r="N152" s="2" t="s">
        <v>25941</v>
      </c>
      <c r="O152" s="2"/>
      <c r="P152" s="2" t="s">
        <v>25942</v>
      </c>
      <c r="Q152" s="2" t="s">
        <v>25943</v>
      </c>
      <c r="R152" s="2" t="s">
        <v>186</v>
      </c>
      <c r="S152" s="2" t="s">
        <v>187</v>
      </c>
      <c r="T152" s="2" t="s">
        <v>25925</v>
      </c>
      <c r="U152" s="2" t="s">
        <v>18158</v>
      </c>
      <c r="V152" s="2" t="s">
        <v>17039</v>
      </c>
      <c r="W152" s="2" t="s">
        <v>56</v>
      </c>
    </row>
    <row r="153">
      <c r="A153" s="2" t="n">
        <v>101</v>
      </c>
      <c r="B153" s="2" t="s">
        <v>12400</v>
      </c>
      <c r="C153" s="2" t="s">
        <v>18172</v>
      </c>
      <c r="D153" s="2" t="n">
        <v>163.118951707</v>
      </c>
      <c r="E153" s="2" t="n">
        <v>5.24461611986121</v>
      </c>
      <c r="F153" s="2" t="s">
        <v>18174</v>
      </c>
      <c r="G153" s="2" t="n">
        <v>209634</v>
      </c>
      <c r="H153" s="3" t="str">
        <f>HYPERLINK("http://funmeta.oebiotech.com/network/209634", "http://funmeta.oebiotech.com/network/209634")</f>
      </c>
      <c r="I153" s="2" t="s">
        <v>18176</v>
      </c>
      <c r="J153" s="2"/>
      <c r="K153" s="2"/>
      <c r="L153" s="2"/>
      <c r="M153" s="2"/>
      <c r="N153" s="2" t="s">
        <v>18177</v>
      </c>
      <c r="O153" s="2"/>
      <c r="P153" s="2" t="s">
        <v>18178</v>
      </c>
      <c r="Q153" s="2" t="s">
        <v>18179</v>
      </c>
      <c r="R153" s="2" t="s">
        <v>601</v>
      </c>
      <c r="S153" s="2" t="s">
        <v>602</v>
      </c>
      <c r="T153" s="2" t="s">
        <v>1800</v>
      </c>
      <c r="U153" s="2" t="s">
        <v>18173</v>
      </c>
      <c r="V153" s="2" t="s">
        <v>17137</v>
      </c>
      <c r="W153" s="2"/>
    </row>
    <row r="154">
      <c r="A154" s="2" t="n">
        <v>102</v>
      </c>
      <c r="B154" s="2" t="s">
        <v>12401</v>
      </c>
      <c r="C154" s="2" t="s">
        <v>18180</v>
      </c>
      <c r="D154" s="2" t="n">
        <v>165.070464942</v>
      </c>
      <c r="E154" s="2" t="n">
        <v>12.5483449285755</v>
      </c>
      <c r="F154" s="2" t="s">
        <v>25944</v>
      </c>
      <c r="G154" s="2" t="n">
        <v>52198</v>
      </c>
      <c r="H154" s="3" t="str">
        <f>HYPERLINK("http://funmeta.oebiotech.com/network/52198", "http://funmeta.oebiotech.com/network/52198")</f>
      </c>
      <c r="I154" s="2" t="s">
        <v>25945</v>
      </c>
      <c r="J154" s="2" t="s">
        <v>25946</v>
      </c>
      <c r="K154" s="2"/>
      <c r="L154" s="2" t="s">
        <v>25947</v>
      </c>
      <c r="M154" s="2"/>
      <c r="N154" s="2" t="s">
        <v>25948</v>
      </c>
      <c r="O154" s="2" t="s">
        <v>25949</v>
      </c>
      <c r="P154" s="2" t="s">
        <v>25950</v>
      </c>
      <c r="Q154" s="2" t="s">
        <v>25951</v>
      </c>
      <c r="R154" s="2" t="s">
        <v>186</v>
      </c>
      <c r="S154" s="2" t="s">
        <v>3898</v>
      </c>
      <c r="T154" s="2" t="s">
        <v>215</v>
      </c>
      <c r="U154" s="2" t="s">
        <v>18181</v>
      </c>
      <c r="V154" s="2" t="s">
        <v>17039</v>
      </c>
      <c r="W154" s="2" t="s">
        <v>56</v>
      </c>
    </row>
    <row r="155">
      <c r="A155" s="2" t="n">
        <v>102</v>
      </c>
      <c r="B155" s="2" t="s">
        <v>25952</v>
      </c>
      <c r="C155" s="2" t="s">
        <v>18180</v>
      </c>
      <c r="D155" s="2" t="n">
        <v>165.070464942</v>
      </c>
      <c r="E155" s="2" t="n">
        <v>12.5483449285755</v>
      </c>
      <c r="F155" s="2" t="s">
        <v>25953</v>
      </c>
      <c r="G155" s="2" t="n">
        <v>56501</v>
      </c>
      <c r="H155" s="3" t="str">
        <f>HYPERLINK("http://funmeta.oebiotech.com/network/56501", "http://funmeta.oebiotech.com/network/56501")</f>
      </c>
      <c r="I155" s="2" t="s">
        <v>25954</v>
      </c>
      <c r="J155" s="2" t="s">
        <v>25955</v>
      </c>
      <c r="K155" s="2"/>
      <c r="L155" s="2" t="s">
        <v>25956</v>
      </c>
      <c r="M155" s="2" t="s">
        <v>25957</v>
      </c>
      <c r="N155" s="2" t="s">
        <v>25958</v>
      </c>
      <c r="O155" s="2" t="s">
        <v>25959</v>
      </c>
      <c r="P155" s="2" t="s">
        <v>25960</v>
      </c>
      <c r="Q155" s="2" t="s">
        <v>25961</v>
      </c>
      <c r="R155" s="2" t="s">
        <v>186</v>
      </c>
      <c r="S155" s="2" t="s">
        <v>187</v>
      </c>
      <c r="T155" s="2" t="s">
        <v>2461</v>
      </c>
      <c r="U155" s="2" t="s">
        <v>18181</v>
      </c>
      <c r="V155" s="2" t="s">
        <v>17039</v>
      </c>
      <c r="W155" s="2" t="s">
        <v>56</v>
      </c>
    </row>
    <row r="156">
      <c r="A156" s="2" t="n">
        <v>103</v>
      </c>
      <c r="B156" s="2" t="s">
        <v>12402</v>
      </c>
      <c r="C156" s="2" t="s">
        <v>18194</v>
      </c>
      <c r="D156" s="2" t="n">
        <v>165.091594314</v>
      </c>
      <c r="E156" s="2" t="n">
        <v>4.16842320353561</v>
      </c>
      <c r="F156" s="2" t="s">
        <v>25962</v>
      </c>
      <c r="G156" s="2" t="n">
        <v>7556</v>
      </c>
      <c r="H156" s="3" t="str">
        <f>HYPERLINK("http://funmeta.oebiotech.com/network/7556", "http://funmeta.oebiotech.com/network/7556")</f>
      </c>
      <c r="I156" s="2" t="s">
        <v>25963</v>
      </c>
      <c r="J156" s="2" t="s">
        <v>25964</v>
      </c>
      <c r="K156" s="2" t="s">
        <v>25965</v>
      </c>
      <c r="L156" s="2"/>
      <c r="M156" s="2"/>
      <c r="N156" s="2" t="s">
        <v>25966</v>
      </c>
      <c r="O156" s="2" t="s">
        <v>25967</v>
      </c>
      <c r="P156" s="2" t="s">
        <v>25968</v>
      </c>
      <c r="Q156" s="2" t="s">
        <v>25969</v>
      </c>
      <c r="R156" s="2" t="s">
        <v>794</v>
      </c>
      <c r="S156" s="2" t="s">
        <v>795</v>
      </c>
      <c r="T156" s="2" t="s">
        <v>1870</v>
      </c>
      <c r="U156" s="2" t="s">
        <v>18195</v>
      </c>
      <c r="V156" s="2" t="s">
        <v>17039</v>
      </c>
      <c r="W156" s="2" t="s">
        <v>56</v>
      </c>
    </row>
    <row r="157">
      <c r="A157" s="2" t="n">
        <v>103</v>
      </c>
      <c r="B157" s="2" t="s">
        <v>25970</v>
      </c>
      <c r="C157" s="2" t="s">
        <v>18194</v>
      </c>
      <c r="D157" s="2" t="n">
        <v>165.091594314</v>
      </c>
      <c r="E157" s="2" t="n">
        <v>4.16842320353561</v>
      </c>
      <c r="F157" s="2" t="s">
        <v>25971</v>
      </c>
      <c r="G157" s="2" t="n">
        <v>54410</v>
      </c>
      <c r="H157" s="3" t="str">
        <f>HYPERLINK("http://funmeta.oebiotech.com/network/54410", "http://funmeta.oebiotech.com/network/54410")</f>
      </c>
      <c r="I157" s="2" t="s">
        <v>25972</v>
      </c>
      <c r="J157" s="2" t="s">
        <v>25973</v>
      </c>
      <c r="K157" s="2"/>
      <c r="L157" s="2"/>
      <c r="M157" s="2"/>
      <c r="N157" s="2" t="s">
        <v>25974</v>
      </c>
      <c r="O157" s="2" t="s">
        <v>25975</v>
      </c>
      <c r="P157" s="2" t="s">
        <v>25976</v>
      </c>
      <c r="Q157" s="2" t="s">
        <v>25977</v>
      </c>
      <c r="R157" s="2" t="s">
        <v>114</v>
      </c>
      <c r="S157" s="2" t="s">
        <v>1019</v>
      </c>
      <c r="T157" s="2" t="s">
        <v>1020</v>
      </c>
      <c r="U157" s="2" t="s">
        <v>18195</v>
      </c>
      <c r="V157" s="2" t="s">
        <v>17039</v>
      </c>
      <c r="W157" s="2" t="s">
        <v>56</v>
      </c>
    </row>
    <row r="158">
      <c r="A158" s="2" t="n">
        <v>103</v>
      </c>
      <c r="B158" s="2" t="s">
        <v>25978</v>
      </c>
      <c r="C158" s="2" t="s">
        <v>18194</v>
      </c>
      <c r="D158" s="2" t="n">
        <v>165.091594314</v>
      </c>
      <c r="E158" s="2" t="n">
        <v>4.16842320353561</v>
      </c>
      <c r="F158" s="2" t="s">
        <v>25979</v>
      </c>
      <c r="G158" s="2" t="n">
        <v>7554</v>
      </c>
      <c r="H158" s="3" t="str">
        <f>HYPERLINK("http://funmeta.oebiotech.com/network/7554", "http://funmeta.oebiotech.com/network/7554")</f>
      </c>
      <c r="I158" s="2" t="s">
        <v>25980</v>
      </c>
      <c r="J158" s="2" t="s">
        <v>25981</v>
      </c>
      <c r="K158" s="2" t="s">
        <v>25982</v>
      </c>
      <c r="L158" s="2"/>
      <c r="M158" s="2"/>
      <c r="N158" s="2" t="s">
        <v>25983</v>
      </c>
      <c r="O158" s="2" t="s">
        <v>25984</v>
      </c>
      <c r="P158" s="2" t="s">
        <v>25985</v>
      </c>
      <c r="Q158" s="2" t="s">
        <v>25986</v>
      </c>
      <c r="R158" s="2" t="s">
        <v>794</v>
      </c>
      <c r="S158" s="2" t="s">
        <v>795</v>
      </c>
      <c r="T158" s="2" t="s">
        <v>1870</v>
      </c>
      <c r="U158" s="2" t="s">
        <v>18195</v>
      </c>
      <c r="V158" s="2" t="s">
        <v>17039</v>
      </c>
      <c r="W158" s="2" t="s">
        <v>56</v>
      </c>
    </row>
    <row r="159">
      <c r="A159" s="2" t="n">
        <v>104</v>
      </c>
      <c r="B159" s="2" t="s">
        <v>12403</v>
      </c>
      <c r="C159" s="2" t="s">
        <v>18206</v>
      </c>
      <c r="D159" s="2" t="n">
        <v>166.086254601</v>
      </c>
      <c r="E159" s="2" t="n">
        <v>6.49353125621412</v>
      </c>
      <c r="F159" s="2" t="s">
        <v>18208</v>
      </c>
      <c r="G159" s="2" t="n">
        <v>46902</v>
      </c>
      <c r="H159" s="3" t="str">
        <f>HYPERLINK("http://funmeta.oebiotech.com/network/46902", "http://funmeta.oebiotech.com/network/46902")</f>
      </c>
      <c r="I159" s="2" t="s">
        <v>18210</v>
      </c>
      <c r="J159" s="2" t="s">
        <v>18211</v>
      </c>
      <c r="K159" s="2"/>
      <c r="L159" s="2" t="s">
        <v>18212</v>
      </c>
      <c r="M159" s="2" t="s">
        <v>18213</v>
      </c>
      <c r="N159" s="2" t="s">
        <v>18214</v>
      </c>
      <c r="O159" s="2" t="s">
        <v>18215</v>
      </c>
      <c r="P159" s="2" t="s">
        <v>18216</v>
      </c>
      <c r="Q159" s="2" t="s">
        <v>18217</v>
      </c>
      <c r="R159" s="2" t="s">
        <v>36</v>
      </c>
      <c r="S159" s="2" t="s">
        <v>37</v>
      </c>
      <c r="T159" s="2" t="s">
        <v>69</v>
      </c>
      <c r="U159" s="2" t="s">
        <v>18207</v>
      </c>
      <c r="V159" s="2" t="s">
        <v>17137</v>
      </c>
      <c r="W159" s="2" t="s">
        <v>39</v>
      </c>
    </row>
    <row r="160">
      <c r="A160" s="2" t="n">
        <v>105</v>
      </c>
      <c r="B160" s="2" t="s">
        <v>12415</v>
      </c>
      <c r="C160" s="2" t="s">
        <v>18218</v>
      </c>
      <c r="D160" s="2" t="n">
        <v>166.950618259</v>
      </c>
      <c r="E160" s="2" t="n">
        <v>4.61483378899279</v>
      </c>
      <c r="F160" s="2" t="s">
        <v>18220</v>
      </c>
      <c r="G160" s="2" t="n">
        <v>211280</v>
      </c>
      <c r="H160" s="3" t="str">
        <f>HYPERLINK("http://funmeta.oebiotech.com/network/211280", "http://funmeta.oebiotech.com/network/211280")</f>
      </c>
      <c r="I160" s="2" t="s">
        <v>18222</v>
      </c>
      <c r="J160" s="2"/>
      <c r="K160" s="2"/>
      <c r="L160" s="2"/>
      <c r="M160" s="2"/>
      <c r="N160" s="2" t="s">
        <v>18223</v>
      </c>
      <c r="O160" s="2"/>
      <c r="P160" s="2" t="s">
        <v>18224</v>
      </c>
      <c r="Q160" s="2" t="s">
        <v>18225</v>
      </c>
      <c r="R160" s="2" t="s">
        <v>36</v>
      </c>
      <c r="S160" s="2" t="s">
        <v>2572</v>
      </c>
      <c r="T160" s="2" t="s">
        <v>2637</v>
      </c>
      <c r="U160" s="2" t="s">
        <v>18219</v>
      </c>
      <c r="V160" s="2" t="s">
        <v>17406</v>
      </c>
      <c r="W160" s="2"/>
    </row>
    <row r="161">
      <c r="A161" s="2" t="n">
        <v>106</v>
      </c>
      <c r="B161" s="2" t="s">
        <v>12416</v>
      </c>
      <c r="C161" s="2" t="s">
        <v>18226</v>
      </c>
      <c r="D161" s="2" t="n">
        <v>167.034473366</v>
      </c>
      <c r="E161" s="2" t="n">
        <v>7.54568674064919</v>
      </c>
      <c r="F161" s="2" t="s">
        <v>18228</v>
      </c>
      <c r="G161" s="2" t="n">
        <v>47683</v>
      </c>
      <c r="H161" s="3" t="str">
        <f>HYPERLINK("http://funmeta.oebiotech.com/network/47683", "http://funmeta.oebiotech.com/network/47683")</f>
      </c>
      <c r="I161" s="2" t="s">
        <v>18230</v>
      </c>
      <c r="J161" s="2" t="s">
        <v>18231</v>
      </c>
      <c r="K161" s="2"/>
      <c r="L161" s="2" t="s">
        <v>18232</v>
      </c>
      <c r="M161" s="2" t="s">
        <v>18233</v>
      </c>
      <c r="N161" s="2" t="s">
        <v>18234</v>
      </c>
      <c r="O161" s="2" t="s">
        <v>18235</v>
      </c>
      <c r="P161" s="2" t="s">
        <v>18236</v>
      </c>
      <c r="Q161" s="2" t="s">
        <v>18237</v>
      </c>
      <c r="R161" s="2" t="s">
        <v>186</v>
      </c>
      <c r="S161" s="2" t="s">
        <v>357</v>
      </c>
      <c r="T161" s="2" t="s">
        <v>15974</v>
      </c>
      <c r="U161" s="2" t="s">
        <v>18227</v>
      </c>
      <c r="V161" s="2" t="s">
        <v>17039</v>
      </c>
      <c r="W161" s="2" t="s">
        <v>56</v>
      </c>
    </row>
    <row r="162">
      <c r="A162" s="2" t="n">
        <v>107</v>
      </c>
      <c r="B162" s="2" t="s">
        <v>12434</v>
      </c>
      <c r="C162" s="2" t="s">
        <v>18238</v>
      </c>
      <c r="D162" s="2" t="n">
        <v>168.954249572</v>
      </c>
      <c r="E162" s="2" t="n">
        <v>16.3766987376503</v>
      </c>
      <c r="F162" s="2" t="s">
        <v>25987</v>
      </c>
      <c r="G162" s="2" t="n">
        <v>56318</v>
      </c>
      <c r="H162" s="3" t="str">
        <f>HYPERLINK("http://funmeta.oebiotech.com/network/56318", "http://funmeta.oebiotech.com/network/56318")</f>
      </c>
      <c r="I162" s="2" t="s">
        <v>25988</v>
      </c>
      <c r="J162" s="2" t="s">
        <v>25989</v>
      </c>
      <c r="K162" s="2"/>
      <c r="L162" s="2"/>
      <c r="M162" s="2"/>
      <c r="N162" s="2" t="s">
        <v>25990</v>
      </c>
      <c r="O162" s="2" t="s">
        <v>25991</v>
      </c>
      <c r="P162" s="2" t="s">
        <v>25992</v>
      </c>
      <c r="Q162" s="2" t="s">
        <v>25993</v>
      </c>
      <c r="R162" s="2" t="s">
        <v>114</v>
      </c>
      <c r="S162" s="2" t="s">
        <v>877</v>
      </c>
      <c r="T162" s="2" t="s">
        <v>215</v>
      </c>
      <c r="U162" s="2" t="s">
        <v>18239</v>
      </c>
      <c r="V162" s="2" t="s">
        <v>17406</v>
      </c>
      <c r="W162" s="2"/>
    </row>
    <row r="163">
      <c r="A163" s="2" t="n">
        <v>107</v>
      </c>
      <c r="B163" s="2" t="s">
        <v>25994</v>
      </c>
      <c r="C163" s="2" t="s">
        <v>18238</v>
      </c>
      <c r="D163" s="2" t="n">
        <v>168.954249572</v>
      </c>
      <c r="E163" s="2" t="n">
        <v>16.3766987376503</v>
      </c>
      <c r="F163" s="2" t="s">
        <v>25995</v>
      </c>
      <c r="G163" s="2" t="n">
        <v>57202</v>
      </c>
      <c r="H163" s="3" t="str">
        <f>HYPERLINK("http://funmeta.oebiotech.com/network/57202", "http://funmeta.oebiotech.com/network/57202")</f>
      </c>
      <c r="I163" s="2" t="s">
        <v>25996</v>
      </c>
      <c r="J163" s="2" t="s">
        <v>25997</v>
      </c>
      <c r="K163" s="2"/>
      <c r="L163" s="2"/>
      <c r="M163" s="2"/>
      <c r="N163" s="2" t="s">
        <v>25998</v>
      </c>
      <c r="O163" s="2" t="s">
        <v>25999</v>
      </c>
      <c r="P163" s="2" t="s">
        <v>26000</v>
      </c>
      <c r="Q163" s="2" t="s">
        <v>26001</v>
      </c>
      <c r="R163" s="2" t="s">
        <v>644</v>
      </c>
      <c r="S163" s="2" t="s">
        <v>12701</v>
      </c>
      <c r="T163" s="2" t="s">
        <v>12702</v>
      </c>
      <c r="U163" s="2" t="s">
        <v>18239</v>
      </c>
      <c r="V163" s="2" t="s">
        <v>17406</v>
      </c>
      <c r="W163" s="2"/>
    </row>
    <row r="164">
      <c r="A164" s="2" t="n">
        <v>107</v>
      </c>
      <c r="B164" s="2" t="s">
        <v>26002</v>
      </c>
      <c r="C164" s="2" t="s">
        <v>18238</v>
      </c>
      <c r="D164" s="2" t="n">
        <v>168.954249572</v>
      </c>
      <c r="E164" s="2" t="n">
        <v>16.3766987376503</v>
      </c>
      <c r="F164" s="2" t="s">
        <v>26003</v>
      </c>
      <c r="G164" s="2" t="n">
        <v>63038</v>
      </c>
      <c r="H164" s="3" t="str">
        <f>HYPERLINK("http://funmeta.oebiotech.com/network/63038", "http://funmeta.oebiotech.com/network/63038")</f>
      </c>
      <c r="I164" s="2" t="s">
        <v>26004</v>
      </c>
      <c r="J164" s="2" t="s">
        <v>14972</v>
      </c>
      <c r="K164" s="2"/>
      <c r="L164" s="2"/>
      <c r="M164" s="2"/>
      <c r="N164" s="2" t="s">
        <v>26005</v>
      </c>
      <c r="O164" s="2" t="s">
        <v>26006</v>
      </c>
      <c r="P164" s="2" t="s">
        <v>26007</v>
      </c>
      <c r="Q164" s="2" t="s">
        <v>26008</v>
      </c>
      <c r="R164" s="2" t="s">
        <v>114</v>
      </c>
      <c r="S164" s="2" t="s">
        <v>877</v>
      </c>
      <c r="T164" s="2" t="s">
        <v>215</v>
      </c>
      <c r="U164" s="2" t="s">
        <v>18239</v>
      </c>
      <c r="V164" s="2" t="s">
        <v>17406</v>
      </c>
      <c r="W164" s="2"/>
    </row>
    <row r="165">
      <c r="A165" s="2" t="n">
        <v>108</v>
      </c>
      <c r="B165" s="2" t="s">
        <v>12435</v>
      </c>
      <c r="C165" s="2" t="s">
        <v>18251</v>
      </c>
      <c r="D165" s="2" t="n">
        <v>169.059425453</v>
      </c>
      <c r="E165" s="2" t="n">
        <v>3.31635541504567</v>
      </c>
      <c r="F165" s="2" t="s">
        <v>18253</v>
      </c>
      <c r="G165" s="2" t="n">
        <v>256872</v>
      </c>
      <c r="H165" s="3" t="str">
        <f>HYPERLINK("http://funmeta.oebiotech.com/network/256872", "http://funmeta.oebiotech.com/network/256872")</f>
      </c>
      <c r="I165" s="2" t="s">
        <v>18255</v>
      </c>
      <c r="J165" s="2"/>
      <c r="K165" s="2"/>
      <c r="L165" s="2"/>
      <c r="M165" s="2"/>
      <c r="N165" s="2"/>
      <c r="O165" s="2"/>
      <c r="P165" s="2" t="s">
        <v>18256</v>
      </c>
      <c r="Q165" s="2" t="s">
        <v>18257</v>
      </c>
      <c r="R165" s="2" t="s">
        <v>601</v>
      </c>
      <c r="S165" s="2" t="s">
        <v>602</v>
      </c>
      <c r="T165" s="2" t="s">
        <v>7887</v>
      </c>
      <c r="U165" s="2" t="s">
        <v>18252</v>
      </c>
      <c r="V165" s="2" t="s">
        <v>17137</v>
      </c>
      <c r="W165" s="2"/>
    </row>
    <row r="166">
      <c r="A166" s="2" t="n">
        <v>109</v>
      </c>
      <c r="B166" s="2" t="s">
        <v>12436</v>
      </c>
      <c r="C166" s="2" t="s">
        <v>18258</v>
      </c>
      <c r="D166" s="2" t="n">
        <v>169.08592025</v>
      </c>
      <c r="E166" s="2" t="n">
        <v>3.56500009323066</v>
      </c>
      <c r="F166" s="2" t="s">
        <v>26009</v>
      </c>
      <c r="G166" s="2" t="n">
        <v>7437</v>
      </c>
      <c r="H166" s="3" t="str">
        <f>HYPERLINK("http://funmeta.oebiotech.com/network/7437", "http://funmeta.oebiotech.com/network/7437")</f>
      </c>
      <c r="I166" s="2" t="s">
        <v>26010</v>
      </c>
      <c r="J166" s="2" t="s">
        <v>26011</v>
      </c>
      <c r="K166" s="2" t="s">
        <v>26012</v>
      </c>
      <c r="L166" s="2"/>
      <c r="M166" s="2"/>
      <c r="N166" s="2" t="s">
        <v>26013</v>
      </c>
      <c r="O166" s="2" t="s">
        <v>26014</v>
      </c>
      <c r="P166" s="2" t="s">
        <v>26015</v>
      </c>
      <c r="Q166" s="2" t="s">
        <v>26016</v>
      </c>
      <c r="R166" s="2" t="s">
        <v>794</v>
      </c>
      <c r="S166" s="2" t="s">
        <v>795</v>
      </c>
      <c r="T166" s="2" t="s">
        <v>1870</v>
      </c>
      <c r="U166" s="2" t="s">
        <v>18259</v>
      </c>
      <c r="V166" s="2" t="s">
        <v>17137</v>
      </c>
      <c r="W166" s="2" t="s">
        <v>56</v>
      </c>
    </row>
    <row r="167">
      <c r="A167" s="2" t="n">
        <v>109</v>
      </c>
      <c r="B167" s="2" t="s">
        <v>26017</v>
      </c>
      <c r="C167" s="2" t="s">
        <v>18258</v>
      </c>
      <c r="D167" s="2" t="n">
        <v>169.08592025</v>
      </c>
      <c r="E167" s="2" t="n">
        <v>3.56500009323066</v>
      </c>
      <c r="F167" s="2" t="s">
        <v>26018</v>
      </c>
      <c r="G167" s="2" t="n">
        <v>55283</v>
      </c>
      <c r="H167" s="3" t="str">
        <f>HYPERLINK("http://funmeta.oebiotech.com/network/55283", "http://funmeta.oebiotech.com/network/55283")</f>
      </c>
      <c r="I167" s="2" t="s">
        <v>26019</v>
      </c>
      <c r="J167" s="2" t="s">
        <v>26020</v>
      </c>
      <c r="K167" s="2"/>
      <c r="L167" s="2"/>
      <c r="M167" s="2" t="s">
        <v>26021</v>
      </c>
      <c r="N167" s="2" t="s">
        <v>26022</v>
      </c>
      <c r="O167" s="2" t="s">
        <v>26023</v>
      </c>
      <c r="P167" s="2" t="s">
        <v>26024</v>
      </c>
      <c r="Q167" s="2" t="s">
        <v>26025</v>
      </c>
      <c r="R167" s="2" t="s">
        <v>129</v>
      </c>
      <c r="S167" s="2" t="s">
        <v>130</v>
      </c>
      <c r="T167" s="2" t="s">
        <v>131</v>
      </c>
      <c r="U167" s="2" t="s">
        <v>18259</v>
      </c>
      <c r="V167" s="2" t="s">
        <v>17137</v>
      </c>
      <c r="W167" s="2" t="s">
        <v>56</v>
      </c>
    </row>
    <row r="168">
      <c r="A168" s="2" t="n">
        <v>109</v>
      </c>
      <c r="B168" s="2" t="s">
        <v>26026</v>
      </c>
      <c r="C168" s="2" t="s">
        <v>18258</v>
      </c>
      <c r="D168" s="2" t="n">
        <v>169.08592025</v>
      </c>
      <c r="E168" s="2" t="n">
        <v>3.56500009323066</v>
      </c>
      <c r="F168" s="2" t="s">
        <v>26027</v>
      </c>
      <c r="G168" s="2" t="n">
        <v>55284</v>
      </c>
      <c r="H168" s="3" t="str">
        <f>HYPERLINK("http://funmeta.oebiotech.com/network/55284", "http://funmeta.oebiotech.com/network/55284")</f>
      </c>
      <c r="I168" s="2" t="s">
        <v>26028</v>
      </c>
      <c r="J168" s="2" t="s">
        <v>26029</v>
      </c>
      <c r="K168" s="2"/>
      <c r="L168" s="2"/>
      <c r="M168" s="2" t="s">
        <v>26030</v>
      </c>
      <c r="N168" s="2" t="s">
        <v>26031</v>
      </c>
      <c r="O168" s="2" t="s">
        <v>26032</v>
      </c>
      <c r="P168" s="2" t="s">
        <v>26033</v>
      </c>
      <c r="Q168" s="2" t="s">
        <v>26034</v>
      </c>
      <c r="R168" s="2" t="s">
        <v>114</v>
      </c>
      <c r="S168" s="2" t="s">
        <v>877</v>
      </c>
      <c r="T168" s="2" t="s">
        <v>215</v>
      </c>
      <c r="U168" s="2" t="s">
        <v>18259</v>
      </c>
      <c r="V168" s="2" t="s">
        <v>17137</v>
      </c>
      <c r="W168" s="2" t="s">
        <v>56</v>
      </c>
    </row>
    <row r="169">
      <c r="A169" s="2" t="n">
        <v>110</v>
      </c>
      <c r="B169" s="2" t="s">
        <v>12437</v>
      </c>
      <c r="C169" s="2" t="s">
        <v>18273</v>
      </c>
      <c r="D169" s="2" t="n">
        <v>169.122894442</v>
      </c>
      <c r="E169" s="2" t="n">
        <v>12.6447960794678</v>
      </c>
      <c r="F169" s="2" t="s">
        <v>26035</v>
      </c>
      <c r="G169" s="2" t="n">
        <v>2063</v>
      </c>
      <c r="H169" s="3" t="str">
        <f>HYPERLINK("http://funmeta.oebiotech.com/network/2063", "http://funmeta.oebiotech.com/network/2063")</f>
      </c>
      <c r="I169" s="2" t="s">
        <v>26036</v>
      </c>
      <c r="J169" s="2" t="s">
        <v>26037</v>
      </c>
      <c r="K169" s="2" t="s">
        <v>26038</v>
      </c>
      <c r="L169" s="2"/>
      <c r="M169" s="2" t="s">
        <v>26039</v>
      </c>
      <c r="N169" s="2" t="s">
        <v>26040</v>
      </c>
      <c r="O169" s="2"/>
      <c r="P169" s="2" t="s">
        <v>26041</v>
      </c>
      <c r="Q169" s="2" t="s">
        <v>26042</v>
      </c>
      <c r="R169" s="2" t="s">
        <v>36</v>
      </c>
      <c r="S169" s="2" t="s">
        <v>271</v>
      </c>
      <c r="T169" s="2" t="s">
        <v>2534</v>
      </c>
      <c r="U169" s="2" t="s">
        <v>18274</v>
      </c>
      <c r="V169" s="2" t="s">
        <v>17039</v>
      </c>
      <c r="W169" s="2" t="s">
        <v>56</v>
      </c>
    </row>
    <row r="170">
      <c r="A170" s="2" t="n">
        <v>110</v>
      </c>
      <c r="B170" s="2" t="s">
        <v>26043</v>
      </c>
      <c r="C170" s="2" t="s">
        <v>18273</v>
      </c>
      <c r="D170" s="2" t="n">
        <v>169.122894442</v>
      </c>
      <c r="E170" s="2" t="n">
        <v>12.6447960794678</v>
      </c>
      <c r="F170" s="2" t="s">
        <v>26044</v>
      </c>
      <c r="G170" s="2" t="n">
        <v>55185</v>
      </c>
      <c r="H170" s="3" t="str">
        <f>HYPERLINK("http://funmeta.oebiotech.com/network/55185", "http://funmeta.oebiotech.com/network/55185")</f>
      </c>
      <c r="I170" s="2" t="s">
        <v>26045</v>
      </c>
      <c r="J170" s="2" t="s">
        <v>26046</v>
      </c>
      <c r="K170" s="2"/>
      <c r="L170" s="2"/>
      <c r="M170" s="2" t="s">
        <v>26047</v>
      </c>
      <c r="N170" s="2" t="s">
        <v>26048</v>
      </c>
      <c r="O170" s="2" t="s">
        <v>26049</v>
      </c>
      <c r="P170" s="2" t="s">
        <v>26050</v>
      </c>
      <c r="Q170" s="2" t="s">
        <v>26051</v>
      </c>
      <c r="R170" s="2" t="s">
        <v>794</v>
      </c>
      <c r="S170" s="2" t="s">
        <v>795</v>
      </c>
      <c r="T170" s="2" t="s">
        <v>3273</v>
      </c>
      <c r="U170" s="2" t="s">
        <v>18274</v>
      </c>
      <c r="V170" s="2" t="s">
        <v>17039</v>
      </c>
      <c r="W170" s="2" t="s">
        <v>56</v>
      </c>
    </row>
    <row r="171">
      <c r="A171" s="2" t="n">
        <v>110</v>
      </c>
      <c r="B171" s="2" t="s">
        <v>26052</v>
      </c>
      <c r="C171" s="2" t="s">
        <v>18273</v>
      </c>
      <c r="D171" s="2" t="n">
        <v>169.122894442</v>
      </c>
      <c r="E171" s="2" t="n">
        <v>12.6447960794678</v>
      </c>
      <c r="F171" s="2" t="s">
        <v>26053</v>
      </c>
      <c r="G171" s="2" t="n">
        <v>55186</v>
      </c>
      <c r="H171" s="3" t="str">
        <f>HYPERLINK("http://funmeta.oebiotech.com/network/55186", "http://funmeta.oebiotech.com/network/55186")</f>
      </c>
      <c r="I171" s="2" t="s">
        <v>26054</v>
      </c>
      <c r="J171" s="2" t="s">
        <v>26055</v>
      </c>
      <c r="K171" s="2"/>
      <c r="L171" s="2"/>
      <c r="M171" s="2" t="s">
        <v>26056</v>
      </c>
      <c r="N171" s="2" t="s">
        <v>26057</v>
      </c>
      <c r="O171" s="2"/>
      <c r="P171" s="2" t="s">
        <v>26058</v>
      </c>
      <c r="Q171" s="2" t="s">
        <v>26059</v>
      </c>
      <c r="R171" s="2" t="s">
        <v>794</v>
      </c>
      <c r="S171" s="2" t="s">
        <v>795</v>
      </c>
      <c r="T171" s="2" t="s">
        <v>1370</v>
      </c>
      <c r="U171" s="2" t="s">
        <v>18274</v>
      </c>
      <c r="V171" s="2" t="s">
        <v>17039</v>
      </c>
      <c r="W171" s="2" t="s">
        <v>56</v>
      </c>
    </row>
    <row r="172">
      <c r="A172" s="2" t="n">
        <v>111</v>
      </c>
      <c r="B172" s="2" t="s">
        <v>12438</v>
      </c>
      <c r="C172" s="2" t="s">
        <v>18287</v>
      </c>
      <c r="D172" s="2" t="n">
        <v>169.985015653</v>
      </c>
      <c r="E172" s="2" t="n">
        <v>9.81906678514666</v>
      </c>
      <c r="F172" s="2" t="s">
        <v>18289</v>
      </c>
      <c r="G172" s="2" t="n">
        <v>2917</v>
      </c>
      <c r="H172" s="3" t="str">
        <f>HYPERLINK("http://funmeta.oebiotech.com/network/2917", "http://funmeta.oebiotech.com/network/2917")</f>
      </c>
      <c r="I172" s="2" t="s">
        <v>18291</v>
      </c>
      <c r="J172" s="2" t="s">
        <v>18292</v>
      </c>
      <c r="K172" s="2" t="s">
        <v>18293</v>
      </c>
      <c r="L172" s="2" t="s">
        <v>18294</v>
      </c>
      <c r="M172" s="2" t="s">
        <v>18295</v>
      </c>
      <c r="N172" s="2" t="s">
        <v>18296</v>
      </c>
      <c r="O172" s="2" t="s">
        <v>18297</v>
      </c>
      <c r="P172" s="2" t="s">
        <v>18298</v>
      </c>
      <c r="Q172" s="2" t="s">
        <v>18299</v>
      </c>
      <c r="R172" s="2" t="s">
        <v>36</v>
      </c>
      <c r="S172" s="2" t="s">
        <v>37</v>
      </c>
      <c r="T172" s="2" t="s">
        <v>242</v>
      </c>
      <c r="U172" s="2" t="s">
        <v>18288</v>
      </c>
      <c r="V172" s="2" t="s">
        <v>17406</v>
      </c>
      <c r="W172" s="2" t="s">
        <v>56</v>
      </c>
    </row>
    <row r="173">
      <c r="A173" s="2" t="n">
        <v>112</v>
      </c>
      <c r="B173" s="2" t="s">
        <v>12439</v>
      </c>
      <c r="C173" s="2" t="s">
        <v>18300</v>
      </c>
      <c r="D173" s="2" t="n">
        <v>170.035476413</v>
      </c>
      <c r="E173" s="2" t="n">
        <v>0.553308120296801</v>
      </c>
      <c r="F173" s="2" t="s">
        <v>26060</v>
      </c>
      <c r="G173" s="2" t="n">
        <v>200316</v>
      </c>
      <c r="H173" s="3" t="str">
        <f>HYPERLINK("http://funmeta.oebiotech.com/network/200316", "http://funmeta.oebiotech.com/network/200316")</f>
      </c>
      <c r="I173" s="2" t="s">
        <v>26061</v>
      </c>
      <c r="J173" s="2" t="s">
        <v>26062</v>
      </c>
      <c r="K173" s="2"/>
      <c r="L173" s="2"/>
      <c r="M173" s="2" t="s">
        <v>26063</v>
      </c>
      <c r="N173" s="2" t="s">
        <v>26064</v>
      </c>
      <c r="O173" s="2" t="s">
        <v>26065</v>
      </c>
      <c r="P173" s="2" t="s">
        <v>26066</v>
      </c>
      <c r="Q173" s="2" t="s">
        <v>26067</v>
      </c>
      <c r="R173" s="2" t="s">
        <v>114</v>
      </c>
      <c r="S173" s="2" t="s">
        <v>1254</v>
      </c>
      <c r="T173" s="2" t="s">
        <v>1255</v>
      </c>
      <c r="U173" s="2" t="s">
        <v>18301</v>
      </c>
      <c r="V173" s="2" t="s">
        <v>17039</v>
      </c>
      <c r="W173" s="2"/>
    </row>
    <row r="174">
      <c r="A174" s="2" t="n">
        <v>112</v>
      </c>
      <c r="B174" s="2" t="s">
        <v>26068</v>
      </c>
      <c r="C174" s="2" t="s">
        <v>18300</v>
      </c>
      <c r="D174" s="2" t="n">
        <v>170.035476413</v>
      </c>
      <c r="E174" s="2" t="n">
        <v>0.553308120296801</v>
      </c>
      <c r="F174" s="2" t="s">
        <v>26069</v>
      </c>
      <c r="G174" s="2" t="n">
        <v>201902</v>
      </c>
      <c r="H174" s="3" t="str">
        <f>HYPERLINK("http://funmeta.oebiotech.com/network/201902", "http://funmeta.oebiotech.com/network/201902")</f>
      </c>
      <c r="I174" s="2" t="s">
        <v>26070</v>
      </c>
      <c r="J174" s="2"/>
      <c r="K174" s="2"/>
      <c r="L174" s="2"/>
      <c r="M174" s="2"/>
      <c r="N174" s="2" t="s">
        <v>26071</v>
      </c>
      <c r="O174" s="2"/>
      <c r="P174" s="2" t="s">
        <v>26072</v>
      </c>
      <c r="Q174" s="2" t="s">
        <v>26073</v>
      </c>
      <c r="R174" s="2" t="s">
        <v>114</v>
      </c>
      <c r="S174" s="2" t="s">
        <v>172</v>
      </c>
      <c r="T174" s="2" t="s">
        <v>8675</v>
      </c>
      <c r="U174" s="2" t="s">
        <v>18301</v>
      </c>
      <c r="V174" s="2" t="s">
        <v>17039</v>
      </c>
      <c r="W174" s="2"/>
    </row>
    <row r="175">
      <c r="A175" s="2" t="n">
        <v>113</v>
      </c>
      <c r="B175" s="2" t="s">
        <v>12440</v>
      </c>
      <c r="C175" s="2" t="s">
        <v>18313</v>
      </c>
      <c r="D175" s="2" t="n">
        <v>170.060039849</v>
      </c>
      <c r="E175" s="2" t="n">
        <v>3.30814938774062</v>
      </c>
      <c r="F175" s="2" t="s">
        <v>18315</v>
      </c>
      <c r="G175" s="2" t="n">
        <v>199493</v>
      </c>
      <c r="H175" s="3" t="str">
        <f>HYPERLINK("http://funmeta.oebiotech.com/network/199493", "http://funmeta.oebiotech.com/network/199493")</f>
      </c>
      <c r="I175" s="2" t="s">
        <v>18317</v>
      </c>
      <c r="J175" s="2" t="s">
        <v>18318</v>
      </c>
      <c r="K175" s="2"/>
      <c r="L175" s="2"/>
      <c r="M175" s="2"/>
      <c r="N175" s="2" t="s">
        <v>18319</v>
      </c>
      <c r="O175" s="2"/>
      <c r="P175" s="2" t="s">
        <v>18320</v>
      </c>
      <c r="Q175" s="2" t="s">
        <v>18321</v>
      </c>
      <c r="R175" s="2" t="s">
        <v>186</v>
      </c>
      <c r="S175" s="2" t="s">
        <v>4086</v>
      </c>
      <c r="T175" s="2" t="s">
        <v>215</v>
      </c>
      <c r="U175" s="2" t="s">
        <v>18314</v>
      </c>
      <c r="V175" s="2" t="s">
        <v>17137</v>
      </c>
      <c r="W175" s="2"/>
    </row>
    <row r="176">
      <c r="A176" s="2" t="n">
        <v>114</v>
      </c>
      <c r="B176" s="2" t="s">
        <v>12460</v>
      </c>
      <c r="C176" s="2" t="s">
        <v>18322</v>
      </c>
      <c r="D176" s="2" t="n">
        <v>171.101570314</v>
      </c>
      <c r="E176" s="2" t="n">
        <v>3.14104491732775</v>
      </c>
      <c r="F176" s="2" t="s">
        <v>18324</v>
      </c>
      <c r="G176" s="2" t="n">
        <v>55282</v>
      </c>
      <c r="H176" s="3" t="str">
        <f>HYPERLINK("http://funmeta.oebiotech.com/network/55282", "http://funmeta.oebiotech.com/network/55282")</f>
      </c>
      <c r="I176" s="2" t="s">
        <v>18326</v>
      </c>
      <c r="J176" s="2" t="s">
        <v>18327</v>
      </c>
      <c r="K176" s="2"/>
      <c r="L176" s="2"/>
      <c r="M176" s="2" t="s">
        <v>18328</v>
      </c>
      <c r="N176" s="2" t="s">
        <v>18329</v>
      </c>
      <c r="O176" s="2" t="s">
        <v>18330</v>
      </c>
      <c r="P176" s="2" t="s">
        <v>18331</v>
      </c>
      <c r="Q176" s="2" t="s">
        <v>18332</v>
      </c>
      <c r="R176" s="2" t="s">
        <v>114</v>
      </c>
      <c r="S176" s="2" t="s">
        <v>877</v>
      </c>
      <c r="T176" s="2" t="s">
        <v>215</v>
      </c>
      <c r="U176" s="2" t="s">
        <v>18323</v>
      </c>
      <c r="V176" s="2" t="s">
        <v>17137</v>
      </c>
      <c r="W176" s="2" t="s">
        <v>56</v>
      </c>
    </row>
    <row r="177">
      <c r="A177" s="2" t="n">
        <v>115</v>
      </c>
      <c r="B177" s="2" t="s">
        <v>12476</v>
      </c>
      <c r="C177" s="2" t="s">
        <v>18333</v>
      </c>
      <c r="D177" s="2" t="n">
        <v>171.149189208</v>
      </c>
      <c r="E177" s="2" t="n">
        <v>0.982027059091487</v>
      </c>
      <c r="F177" s="2" t="s">
        <v>18335</v>
      </c>
      <c r="G177" s="2" t="n">
        <v>202235</v>
      </c>
      <c r="H177" s="3" t="str">
        <f>HYPERLINK("http://funmeta.oebiotech.com/network/202235", "http://funmeta.oebiotech.com/network/202235")</f>
      </c>
      <c r="I177" s="2" t="s">
        <v>18337</v>
      </c>
      <c r="J177" s="2"/>
      <c r="K177" s="2"/>
      <c r="L177" s="2"/>
      <c r="M177" s="2"/>
      <c r="N177" s="2" t="s">
        <v>18338</v>
      </c>
      <c r="O177" s="2"/>
      <c r="P177" s="2" t="s">
        <v>18339</v>
      </c>
      <c r="Q177" s="2" t="s">
        <v>18340</v>
      </c>
      <c r="R177" s="2" t="s">
        <v>36</v>
      </c>
      <c r="S177" s="2" t="s">
        <v>37</v>
      </c>
      <c r="T177" s="2" t="s">
        <v>69</v>
      </c>
      <c r="U177" s="2" t="s">
        <v>18334</v>
      </c>
      <c r="V177" s="2" t="s">
        <v>17137</v>
      </c>
      <c r="W177" s="2"/>
    </row>
    <row r="178">
      <c r="A178" s="2" t="n">
        <v>116</v>
      </c>
      <c r="B178" s="2" t="s">
        <v>12477</v>
      </c>
      <c r="C178" s="2" t="s">
        <v>18341</v>
      </c>
      <c r="D178" s="2" t="n">
        <v>172.169590299</v>
      </c>
      <c r="E178" s="2" t="n">
        <v>2.33579046420817</v>
      </c>
      <c r="F178" s="2" t="s">
        <v>18343</v>
      </c>
      <c r="G178" s="2" t="n">
        <v>8765</v>
      </c>
      <c r="H178" s="3" t="str">
        <f>HYPERLINK("http://funmeta.oebiotech.com/network/8765", "http://funmeta.oebiotech.com/network/8765")</f>
      </c>
      <c r="I178" s="2" t="s">
        <v>18345</v>
      </c>
      <c r="J178" s="2" t="s">
        <v>18346</v>
      </c>
      <c r="K178" s="2" t="s">
        <v>18347</v>
      </c>
      <c r="L178" s="2"/>
      <c r="M178" s="2"/>
      <c r="N178" s="2" t="s">
        <v>18348</v>
      </c>
      <c r="O178" s="2" t="s">
        <v>18349</v>
      </c>
      <c r="P178" s="2" t="s">
        <v>18350</v>
      </c>
      <c r="Q178" s="2" t="s">
        <v>18351</v>
      </c>
      <c r="R178" s="2" t="s">
        <v>794</v>
      </c>
      <c r="S178" s="2" t="s">
        <v>795</v>
      </c>
      <c r="T178" s="2" t="s">
        <v>5115</v>
      </c>
      <c r="U178" s="2" t="s">
        <v>18342</v>
      </c>
      <c r="V178" s="2" t="s">
        <v>17137</v>
      </c>
      <c r="W178" s="2" t="s">
        <v>56</v>
      </c>
    </row>
    <row r="179">
      <c r="A179" s="2" t="n">
        <v>117</v>
      </c>
      <c r="B179" s="2" t="s">
        <v>12478</v>
      </c>
      <c r="C179" s="2" t="s">
        <v>18352</v>
      </c>
      <c r="D179" s="2" t="n">
        <v>173.054612222</v>
      </c>
      <c r="E179" s="2" t="n">
        <v>3.06317571489413</v>
      </c>
      <c r="F179" s="2" t="s">
        <v>18354</v>
      </c>
      <c r="G179" s="2" t="n">
        <v>200937</v>
      </c>
      <c r="H179" s="3" t="str">
        <f>HYPERLINK("http://funmeta.oebiotech.com/network/200937", "http://funmeta.oebiotech.com/network/200937")</f>
      </c>
      <c r="I179" s="2" t="s">
        <v>18356</v>
      </c>
      <c r="J179" s="2" t="s">
        <v>18357</v>
      </c>
      <c r="K179" s="2"/>
      <c r="L179" s="2"/>
      <c r="M179" s="2" t="s">
        <v>18358</v>
      </c>
      <c r="N179" s="2" t="s">
        <v>18359</v>
      </c>
      <c r="O179" s="2"/>
      <c r="P179" s="2" t="s">
        <v>18360</v>
      </c>
      <c r="Q179" s="2" t="s">
        <v>18361</v>
      </c>
      <c r="R179" s="2" t="s">
        <v>114</v>
      </c>
      <c r="S179" s="2" t="s">
        <v>730</v>
      </c>
      <c r="T179" s="2" t="s">
        <v>731</v>
      </c>
      <c r="U179" s="2" t="s">
        <v>18353</v>
      </c>
      <c r="V179" s="2" t="s">
        <v>17198</v>
      </c>
      <c r="W179" s="2"/>
    </row>
    <row r="180">
      <c r="A180" s="2" t="n">
        <v>118</v>
      </c>
      <c r="B180" s="2" t="s">
        <v>12479</v>
      </c>
      <c r="C180" s="2" t="s">
        <v>18362</v>
      </c>
      <c r="D180" s="2" t="n">
        <v>174.997713637</v>
      </c>
      <c r="E180" s="2" t="n">
        <v>4.04166218141863</v>
      </c>
      <c r="F180" s="2" t="s">
        <v>18364</v>
      </c>
      <c r="G180" s="2" t="n">
        <v>210284</v>
      </c>
      <c r="H180" s="3" t="str">
        <f>HYPERLINK("http://funmeta.oebiotech.com/network/210284", "http://funmeta.oebiotech.com/network/210284")</f>
      </c>
      <c r="I180" s="2" t="s">
        <v>18366</v>
      </c>
      <c r="J180" s="2"/>
      <c r="K180" s="2"/>
      <c r="L180" s="2"/>
      <c r="M180" s="2"/>
      <c r="N180" s="2" t="s">
        <v>18367</v>
      </c>
      <c r="O180" s="2"/>
      <c r="P180" s="2" t="s">
        <v>18368</v>
      </c>
      <c r="Q180" s="2" t="s">
        <v>18369</v>
      </c>
      <c r="R180" s="2" t="s">
        <v>186</v>
      </c>
      <c r="S180" s="2" t="s">
        <v>187</v>
      </c>
      <c r="T180" s="2" t="s">
        <v>215</v>
      </c>
      <c r="U180" s="2" t="s">
        <v>18363</v>
      </c>
      <c r="V180" s="2" t="s">
        <v>17137</v>
      </c>
      <c r="W180" s="2"/>
    </row>
    <row r="181">
      <c r="A181" s="2" t="n">
        <v>119</v>
      </c>
      <c r="B181" s="2" t="s">
        <v>12480</v>
      </c>
      <c r="C181" s="2" t="s">
        <v>18370</v>
      </c>
      <c r="D181" s="2" t="n">
        <v>175.026820888</v>
      </c>
      <c r="E181" s="2" t="n">
        <v>4.9655379675448</v>
      </c>
      <c r="F181" s="2" t="s">
        <v>18372</v>
      </c>
      <c r="G181" s="2" t="n">
        <v>48033</v>
      </c>
      <c r="H181" s="3" t="str">
        <f>HYPERLINK("http://funmeta.oebiotech.com/network/48033", "http://funmeta.oebiotech.com/network/48033")</f>
      </c>
      <c r="I181" s="2" t="s">
        <v>18374</v>
      </c>
      <c r="J181" s="2" t="s">
        <v>18375</v>
      </c>
      <c r="K181" s="2"/>
      <c r="L181" s="2"/>
      <c r="M181" s="2" t="s">
        <v>18376</v>
      </c>
      <c r="N181" s="2" t="s">
        <v>12194</v>
      </c>
      <c r="O181" s="2" t="s">
        <v>18377</v>
      </c>
      <c r="P181" s="2" t="s">
        <v>18378</v>
      </c>
      <c r="Q181" s="2" t="s">
        <v>18379</v>
      </c>
      <c r="R181" s="2" t="s">
        <v>114</v>
      </c>
      <c r="S181" s="2" t="s">
        <v>936</v>
      </c>
      <c r="T181" s="2" t="s">
        <v>1749</v>
      </c>
      <c r="U181" s="2" t="s">
        <v>18371</v>
      </c>
      <c r="V181" s="2" t="s">
        <v>17406</v>
      </c>
      <c r="W181" s="2" t="s">
        <v>56</v>
      </c>
    </row>
    <row r="182">
      <c r="A182" s="2" t="n">
        <v>120</v>
      </c>
      <c r="B182" s="2" t="s">
        <v>12481</v>
      </c>
      <c r="C182" s="2" t="s">
        <v>18380</v>
      </c>
      <c r="D182" s="2" t="n">
        <v>175.166570606</v>
      </c>
      <c r="E182" s="2" t="n">
        <v>17.021083734118</v>
      </c>
      <c r="F182" s="2" t="s">
        <v>18383</v>
      </c>
      <c r="G182" s="2" t="n">
        <v>199412</v>
      </c>
      <c r="H182" s="3" t="str">
        <f>HYPERLINK("http://funmeta.oebiotech.com/network/199412", "http://funmeta.oebiotech.com/network/199412")</f>
      </c>
      <c r="I182" s="2" t="s">
        <v>18385</v>
      </c>
      <c r="J182" s="2"/>
      <c r="K182" s="2"/>
      <c r="L182" s="2"/>
      <c r="M182" s="2"/>
      <c r="N182" s="2" t="s">
        <v>18386</v>
      </c>
      <c r="O182" s="2"/>
      <c r="P182" s="2" t="s">
        <v>18387</v>
      </c>
      <c r="Q182" s="2" t="s">
        <v>18388</v>
      </c>
      <c r="R182" s="2" t="s">
        <v>601</v>
      </c>
      <c r="S182" s="2" t="s">
        <v>602</v>
      </c>
      <c r="T182" s="2" t="s">
        <v>1969</v>
      </c>
      <c r="U182" s="2" t="s">
        <v>18381</v>
      </c>
      <c r="V182" s="2" t="s">
        <v>18382</v>
      </c>
      <c r="W182" s="2"/>
    </row>
    <row r="183">
      <c r="A183" s="2" t="n">
        <v>121</v>
      </c>
      <c r="B183" s="2" t="s">
        <v>12482</v>
      </c>
      <c r="C183" s="2" t="s">
        <v>18389</v>
      </c>
      <c r="D183" s="2" t="n">
        <v>176.010836473</v>
      </c>
      <c r="E183" s="2" t="n">
        <v>3.56792425010353</v>
      </c>
      <c r="F183" s="2" t="s">
        <v>26074</v>
      </c>
      <c r="G183" s="2" t="n">
        <v>47275</v>
      </c>
      <c r="H183" s="3" t="str">
        <f>HYPERLINK("http://funmeta.oebiotech.com/network/47275", "http://funmeta.oebiotech.com/network/47275")</f>
      </c>
      <c r="I183" s="2" t="s">
        <v>26075</v>
      </c>
      <c r="J183" s="2" t="s">
        <v>25474</v>
      </c>
      <c r="K183" s="2"/>
      <c r="L183" s="2" t="s">
        <v>26076</v>
      </c>
      <c r="M183" s="2" t="s">
        <v>26077</v>
      </c>
      <c r="N183" s="2" t="s">
        <v>26078</v>
      </c>
      <c r="O183" s="2" t="s">
        <v>26079</v>
      </c>
      <c r="P183" s="2" t="s">
        <v>26080</v>
      </c>
      <c r="Q183" s="2" t="s">
        <v>26081</v>
      </c>
      <c r="R183" s="2" t="s">
        <v>3003</v>
      </c>
      <c r="S183" s="2" t="s">
        <v>215</v>
      </c>
      <c r="T183" s="2" t="s">
        <v>215</v>
      </c>
      <c r="U183" s="2" t="s">
        <v>18390</v>
      </c>
      <c r="V183" s="2" t="s">
        <v>17406</v>
      </c>
      <c r="W183" s="2" t="s">
        <v>56</v>
      </c>
    </row>
    <row r="184">
      <c r="A184" s="2" t="n">
        <v>121</v>
      </c>
      <c r="B184" s="2" t="s">
        <v>26082</v>
      </c>
      <c r="C184" s="2" t="s">
        <v>18389</v>
      </c>
      <c r="D184" s="2" t="n">
        <v>176.010836473</v>
      </c>
      <c r="E184" s="2" t="n">
        <v>3.56792425010353</v>
      </c>
      <c r="F184" s="2" t="s">
        <v>26083</v>
      </c>
      <c r="G184" s="2" t="n">
        <v>47405</v>
      </c>
      <c r="H184" s="3" t="str">
        <f>HYPERLINK("http://funmeta.oebiotech.com/network/47405", "http://funmeta.oebiotech.com/network/47405")</f>
      </c>
      <c r="I184" s="2" t="s">
        <v>26084</v>
      </c>
      <c r="J184" s="2" t="s">
        <v>26085</v>
      </c>
      <c r="K184" s="2"/>
      <c r="L184" s="2" t="s">
        <v>26086</v>
      </c>
      <c r="M184" s="2" t="s">
        <v>26087</v>
      </c>
      <c r="N184" s="2" t="s">
        <v>26088</v>
      </c>
      <c r="O184" s="2" t="s">
        <v>26089</v>
      </c>
      <c r="P184" s="2" t="s">
        <v>26090</v>
      </c>
      <c r="Q184" s="2" t="s">
        <v>26091</v>
      </c>
      <c r="R184" s="2" t="s">
        <v>186</v>
      </c>
      <c r="S184" s="2" t="s">
        <v>187</v>
      </c>
      <c r="T184" s="2" t="s">
        <v>3454</v>
      </c>
      <c r="U184" s="2" t="s">
        <v>18390</v>
      </c>
      <c r="V184" s="2" t="s">
        <v>17406</v>
      </c>
      <c r="W184" s="2" t="s">
        <v>56</v>
      </c>
    </row>
    <row r="185">
      <c r="A185" s="2" t="n">
        <v>121</v>
      </c>
      <c r="B185" s="2" t="s">
        <v>26092</v>
      </c>
      <c r="C185" s="2" t="s">
        <v>18389</v>
      </c>
      <c r="D185" s="2" t="n">
        <v>176.010836473</v>
      </c>
      <c r="E185" s="2" t="n">
        <v>3.56792425010353</v>
      </c>
      <c r="F185" s="2" t="s">
        <v>26093</v>
      </c>
      <c r="G185" s="2" t="n">
        <v>47557</v>
      </c>
      <c r="H185" s="3" t="str">
        <f>HYPERLINK("http://funmeta.oebiotech.com/network/47557", "http://funmeta.oebiotech.com/network/47557")</f>
      </c>
      <c r="I185" s="2" t="s">
        <v>26094</v>
      </c>
      <c r="J185" s="2" t="s">
        <v>26095</v>
      </c>
      <c r="K185" s="2"/>
      <c r="L185" s="2" t="s">
        <v>26096</v>
      </c>
      <c r="M185" s="2" t="s">
        <v>26097</v>
      </c>
      <c r="N185" s="2" t="s">
        <v>26098</v>
      </c>
      <c r="O185" s="2" t="s">
        <v>26099</v>
      </c>
      <c r="P185" s="2" t="s">
        <v>26100</v>
      </c>
      <c r="Q185" s="2" t="s">
        <v>26101</v>
      </c>
      <c r="R185" s="2" t="s">
        <v>186</v>
      </c>
      <c r="S185" s="2" t="s">
        <v>187</v>
      </c>
      <c r="T185" s="2" t="s">
        <v>3454</v>
      </c>
      <c r="U185" s="2" t="s">
        <v>18390</v>
      </c>
      <c r="V185" s="2" t="s">
        <v>17406</v>
      </c>
      <c r="W185" s="2" t="s">
        <v>56</v>
      </c>
    </row>
    <row r="186">
      <c r="A186" s="2" t="n">
        <v>122</v>
      </c>
      <c r="B186" s="2" t="s">
        <v>12483</v>
      </c>
      <c r="C186" s="2" t="s">
        <v>18404</v>
      </c>
      <c r="D186" s="2" t="n">
        <v>177.006085446</v>
      </c>
      <c r="E186" s="2" t="n">
        <v>17.8022318951541</v>
      </c>
      <c r="F186" s="2" t="s">
        <v>18406</v>
      </c>
      <c r="G186" s="2" t="n">
        <v>46985</v>
      </c>
      <c r="H186" s="3" t="str">
        <f>HYPERLINK("http://funmeta.oebiotech.com/network/46985", "http://funmeta.oebiotech.com/network/46985")</f>
      </c>
      <c r="I186" s="2" t="s">
        <v>18408</v>
      </c>
      <c r="J186" s="2" t="s">
        <v>18409</v>
      </c>
      <c r="K186" s="2"/>
      <c r="L186" s="2" t="s">
        <v>18410</v>
      </c>
      <c r="M186" s="2" t="s">
        <v>18411</v>
      </c>
      <c r="N186" s="2" t="s">
        <v>18412</v>
      </c>
      <c r="O186" s="2" t="s">
        <v>18413</v>
      </c>
      <c r="P186" s="2" t="s">
        <v>18414</v>
      </c>
      <c r="Q186" s="2" t="s">
        <v>18415</v>
      </c>
      <c r="R186" s="2" t="s">
        <v>114</v>
      </c>
      <c r="S186" s="2" t="s">
        <v>172</v>
      </c>
      <c r="T186" s="2" t="s">
        <v>173</v>
      </c>
      <c r="U186" s="2" t="s">
        <v>18405</v>
      </c>
      <c r="V186" s="2" t="s">
        <v>17406</v>
      </c>
      <c r="W186" s="2" t="s">
        <v>56</v>
      </c>
    </row>
    <row r="187">
      <c r="A187" s="2" t="n">
        <v>123</v>
      </c>
      <c r="B187" s="2" t="s">
        <v>12508</v>
      </c>
      <c r="C187" s="2" t="s">
        <v>18416</v>
      </c>
      <c r="D187" s="2" t="n">
        <v>177.055208808</v>
      </c>
      <c r="E187" s="2" t="n">
        <v>6.29891909441124</v>
      </c>
      <c r="F187" s="2" t="s">
        <v>18418</v>
      </c>
      <c r="G187" s="2" t="n">
        <v>47315</v>
      </c>
      <c r="H187" s="3" t="str">
        <f>HYPERLINK("http://funmeta.oebiotech.com/network/47315", "http://funmeta.oebiotech.com/network/47315")</f>
      </c>
      <c r="I187" s="2" t="s">
        <v>18420</v>
      </c>
      <c r="J187" s="2" t="s">
        <v>18421</v>
      </c>
      <c r="K187" s="2"/>
      <c r="L187" s="2" t="s">
        <v>18422</v>
      </c>
      <c r="M187" s="2" t="s">
        <v>18423</v>
      </c>
      <c r="N187" s="2" t="s">
        <v>18424</v>
      </c>
      <c r="O187" s="2" t="s">
        <v>18425</v>
      </c>
      <c r="P187" s="2" t="s">
        <v>18426</v>
      </c>
      <c r="Q187" s="2" t="s">
        <v>18427</v>
      </c>
      <c r="R187" s="2" t="s">
        <v>1355</v>
      </c>
      <c r="S187" s="2" t="s">
        <v>6741</v>
      </c>
      <c r="T187" s="2" t="s">
        <v>6742</v>
      </c>
      <c r="U187" s="2" t="s">
        <v>18417</v>
      </c>
      <c r="V187" s="2" t="s">
        <v>17039</v>
      </c>
      <c r="W187" s="2" t="s">
        <v>56</v>
      </c>
    </row>
    <row r="188">
      <c r="A188" s="2" t="n">
        <v>124</v>
      </c>
      <c r="B188" s="2" t="s">
        <v>12509</v>
      </c>
      <c r="C188" s="2" t="s">
        <v>18428</v>
      </c>
      <c r="D188" s="2" t="n">
        <v>177.12797982</v>
      </c>
      <c r="E188" s="2" t="n">
        <v>7.68795561059389</v>
      </c>
      <c r="F188" s="2" t="s">
        <v>18430</v>
      </c>
      <c r="G188" s="2" t="n">
        <v>52556</v>
      </c>
      <c r="H188" s="3" t="str">
        <f>HYPERLINK("http://funmeta.oebiotech.com/network/52556", "http://funmeta.oebiotech.com/network/52556")</f>
      </c>
      <c r="I188" s="2" t="s">
        <v>18432</v>
      </c>
      <c r="J188" s="2" t="s">
        <v>18433</v>
      </c>
      <c r="K188" s="2"/>
      <c r="L188" s="2"/>
      <c r="M188" s="2" t="s">
        <v>18434</v>
      </c>
      <c r="N188" s="2" t="s">
        <v>18435</v>
      </c>
      <c r="O188" s="2" t="s">
        <v>18436</v>
      </c>
      <c r="P188" s="2" t="s">
        <v>18437</v>
      </c>
      <c r="Q188" s="2" t="s">
        <v>18438</v>
      </c>
      <c r="R188" s="2" t="s">
        <v>186</v>
      </c>
      <c r="S188" s="2" t="s">
        <v>187</v>
      </c>
      <c r="T188" s="2" t="s">
        <v>18439</v>
      </c>
      <c r="U188" s="2" t="s">
        <v>18429</v>
      </c>
      <c r="V188" s="2" t="s">
        <v>17039</v>
      </c>
      <c r="W188" s="2" t="s">
        <v>56</v>
      </c>
    </row>
    <row r="189">
      <c r="A189" s="2" t="n">
        <v>125</v>
      </c>
      <c r="B189" s="2" t="s">
        <v>12524</v>
      </c>
      <c r="C189" s="2" t="s">
        <v>18440</v>
      </c>
      <c r="D189" s="2" t="n">
        <v>178.062872043</v>
      </c>
      <c r="E189" s="2" t="n">
        <v>8.50098388431356</v>
      </c>
      <c r="F189" s="2" t="s">
        <v>26102</v>
      </c>
      <c r="G189" s="2" t="n">
        <v>54526</v>
      </c>
      <c r="H189" s="3" t="str">
        <f>HYPERLINK("http://funmeta.oebiotech.com/network/54526", "http://funmeta.oebiotech.com/network/54526")</f>
      </c>
      <c r="I189" s="2" t="s">
        <v>26103</v>
      </c>
      <c r="J189" s="2" t="s">
        <v>26104</v>
      </c>
      <c r="K189" s="2"/>
      <c r="L189" s="2"/>
      <c r="M189" s="2"/>
      <c r="N189" s="2" t="s">
        <v>26105</v>
      </c>
      <c r="O189" s="2" t="s">
        <v>26106</v>
      </c>
      <c r="P189" s="2" t="s">
        <v>26107</v>
      </c>
      <c r="Q189" s="2" t="s">
        <v>26108</v>
      </c>
      <c r="R189" s="2" t="s">
        <v>114</v>
      </c>
      <c r="S189" s="2" t="s">
        <v>4121</v>
      </c>
      <c r="T189" s="2" t="s">
        <v>17565</v>
      </c>
      <c r="U189" s="2" t="s">
        <v>18441</v>
      </c>
      <c r="V189" s="2" t="s">
        <v>17406</v>
      </c>
      <c r="W189" s="2" t="s">
        <v>56</v>
      </c>
    </row>
    <row r="190">
      <c r="A190" s="2" t="n">
        <v>125</v>
      </c>
      <c r="B190" s="2" t="s">
        <v>12530</v>
      </c>
      <c r="C190" s="2" t="s">
        <v>18440</v>
      </c>
      <c r="D190" s="2" t="n">
        <v>178.062872043</v>
      </c>
      <c r="E190" s="2" t="n">
        <v>8.50098388431356</v>
      </c>
      <c r="F190" s="2" t="s">
        <v>26109</v>
      </c>
      <c r="G190" s="2" t="n">
        <v>61352</v>
      </c>
      <c r="H190" s="3" t="str">
        <f>HYPERLINK("http://funmeta.oebiotech.com/network/61352", "http://funmeta.oebiotech.com/network/61352")</f>
      </c>
      <c r="I190" s="2" t="s">
        <v>26110</v>
      </c>
      <c r="J190" s="2" t="s">
        <v>26111</v>
      </c>
      <c r="K190" s="2"/>
      <c r="L190" s="2"/>
      <c r="M190" s="2"/>
      <c r="N190" s="2" t="s">
        <v>26112</v>
      </c>
      <c r="O190" s="2" t="s">
        <v>26113</v>
      </c>
      <c r="P190" s="2" t="s">
        <v>26114</v>
      </c>
      <c r="Q190" s="2" t="s">
        <v>26115</v>
      </c>
      <c r="R190" s="2" t="s">
        <v>114</v>
      </c>
      <c r="S190" s="2" t="s">
        <v>172</v>
      </c>
      <c r="T190" s="2" t="s">
        <v>4240</v>
      </c>
      <c r="U190" s="2" t="s">
        <v>18441</v>
      </c>
      <c r="V190" s="2" t="s">
        <v>17406</v>
      </c>
      <c r="W190" s="2" t="s">
        <v>56</v>
      </c>
    </row>
    <row r="191">
      <c r="A191" s="2" t="n">
        <v>126</v>
      </c>
      <c r="B191" s="2" t="s">
        <v>12542</v>
      </c>
      <c r="C191" s="2" t="s">
        <v>18452</v>
      </c>
      <c r="D191" s="2" t="n">
        <v>179.063745504</v>
      </c>
      <c r="E191" s="2" t="n">
        <v>5.16601774188511</v>
      </c>
      <c r="F191" s="2" t="s">
        <v>18454</v>
      </c>
      <c r="G191" s="2" t="n">
        <v>200130</v>
      </c>
      <c r="H191" s="3" t="str">
        <f>HYPERLINK("http://funmeta.oebiotech.com/network/200130", "http://funmeta.oebiotech.com/network/200130")</f>
      </c>
      <c r="I191" s="2" t="s">
        <v>18456</v>
      </c>
      <c r="J191" s="2"/>
      <c r="K191" s="2"/>
      <c r="L191" s="2"/>
      <c r="M191" s="2"/>
      <c r="N191" s="2"/>
      <c r="O191" s="2"/>
      <c r="P191" s="2" t="s">
        <v>18457</v>
      </c>
      <c r="Q191" s="2" t="s">
        <v>18458</v>
      </c>
      <c r="R191" s="2" t="s">
        <v>114</v>
      </c>
      <c r="S191" s="2" t="s">
        <v>2325</v>
      </c>
      <c r="T191" s="2" t="s">
        <v>215</v>
      </c>
      <c r="U191" s="2" t="s">
        <v>18453</v>
      </c>
      <c r="V191" s="2" t="s">
        <v>17137</v>
      </c>
      <c r="W191" s="2"/>
    </row>
    <row r="192">
      <c r="A192" s="2" t="n">
        <v>127</v>
      </c>
      <c r="B192" s="2" t="s">
        <v>12543</v>
      </c>
      <c r="C192" s="2" t="s">
        <v>18459</v>
      </c>
      <c r="D192" s="2" t="n">
        <v>181.089291549</v>
      </c>
      <c r="E192" s="2" t="n">
        <v>4.10851989609101</v>
      </c>
      <c r="F192" s="2" t="s">
        <v>18461</v>
      </c>
      <c r="G192" s="2" t="n">
        <v>199422</v>
      </c>
      <c r="H192" s="3" t="str">
        <f>HYPERLINK("http://funmeta.oebiotech.com/network/199422", "http://funmeta.oebiotech.com/network/199422")</f>
      </c>
      <c r="I192" s="2" t="s">
        <v>18463</v>
      </c>
      <c r="J192" s="2"/>
      <c r="K192" s="2"/>
      <c r="L192" s="2"/>
      <c r="M192" s="2"/>
      <c r="N192" s="2" t="s">
        <v>18464</v>
      </c>
      <c r="O192" s="2"/>
      <c r="P192" s="2" t="s">
        <v>18465</v>
      </c>
      <c r="Q192" s="2" t="s">
        <v>18466</v>
      </c>
      <c r="R192" s="2" t="s">
        <v>36</v>
      </c>
      <c r="S192" s="2" t="s">
        <v>344</v>
      </c>
      <c r="T192" s="2" t="s">
        <v>345</v>
      </c>
      <c r="U192" s="2" t="s">
        <v>18460</v>
      </c>
      <c r="V192" s="2" t="s">
        <v>17137</v>
      </c>
      <c r="W192" s="2"/>
    </row>
    <row r="193">
      <c r="A193" s="2" t="n">
        <v>128</v>
      </c>
      <c r="B193" s="2" t="s">
        <v>12544</v>
      </c>
      <c r="C193" s="2" t="s">
        <v>18467</v>
      </c>
      <c r="D193" s="2" t="n">
        <v>181.159279948</v>
      </c>
      <c r="E193" s="2" t="n">
        <v>9.04839249492744</v>
      </c>
      <c r="F193" s="2" t="s">
        <v>26116</v>
      </c>
      <c r="G193" s="2" t="n">
        <v>553</v>
      </c>
      <c r="H193" s="3" t="str">
        <f>HYPERLINK("http://funmeta.oebiotech.com/network/553", "http://funmeta.oebiotech.com/network/553")</f>
      </c>
      <c r="I193" s="2" t="s">
        <v>26117</v>
      </c>
      <c r="J193" s="2" t="s">
        <v>26118</v>
      </c>
      <c r="K193" s="2" t="s">
        <v>26119</v>
      </c>
      <c r="L193" s="2"/>
      <c r="M193" s="2" t="s">
        <v>26120</v>
      </c>
      <c r="N193" s="2" t="s">
        <v>26121</v>
      </c>
      <c r="O193" s="2" t="s">
        <v>26122</v>
      </c>
      <c r="P193" s="2" t="s">
        <v>26123</v>
      </c>
      <c r="Q193" s="2" t="s">
        <v>26124</v>
      </c>
      <c r="R193" s="2" t="s">
        <v>794</v>
      </c>
      <c r="S193" s="2" t="s">
        <v>795</v>
      </c>
      <c r="T193" s="2" t="s">
        <v>796</v>
      </c>
      <c r="U193" s="2" t="s">
        <v>18468</v>
      </c>
      <c r="V193" s="2" t="s">
        <v>17039</v>
      </c>
      <c r="W193" s="2" t="s">
        <v>56</v>
      </c>
    </row>
    <row r="194">
      <c r="A194" s="2" t="n">
        <v>128</v>
      </c>
      <c r="B194" s="2" t="s">
        <v>26125</v>
      </c>
      <c r="C194" s="2" t="s">
        <v>18467</v>
      </c>
      <c r="D194" s="2" t="n">
        <v>181.159279948</v>
      </c>
      <c r="E194" s="2" t="n">
        <v>9.04839249492744</v>
      </c>
      <c r="F194" s="2" t="s">
        <v>26126</v>
      </c>
      <c r="G194" s="2" t="n">
        <v>721</v>
      </c>
      <c r="H194" s="3" t="str">
        <f>HYPERLINK("http://funmeta.oebiotech.com/network/721", "http://funmeta.oebiotech.com/network/721")</f>
      </c>
      <c r="I194" s="2" t="s">
        <v>26127</v>
      </c>
      <c r="J194" s="2" t="s">
        <v>26128</v>
      </c>
      <c r="K194" s="2" t="s">
        <v>26129</v>
      </c>
      <c r="L194" s="2"/>
      <c r="M194" s="2" t="s">
        <v>26130</v>
      </c>
      <c r="N194" s="2" t="s">
        <v>26131</v>
      </c>
      <c r="O194" s="2" t="s">
        <v>26132</v>
      </c>
      <c r="P194" s="2" t="s">
        <v>26133</v>
      </c>
      <c r="Q194" s="2" t="s">
        <v>26134</v>
      </c>
      <c r="R194" s="2" t="s">
        <v>794</v>
      </c>
      <c r="S194" s="2" t="s">
        <v>795</v>
      </c>
      <c r="T194" s="2" t="s">
        <v>796</v>
      </c>
      <c r="U194" s="2" t="s">
        <v>18468</v>
      </c>
      <c r="V194" s="2" t="s">
        <v>17039</v>
      </c>
      <c r="W194" s="2" t="s">
        <v>56</v>
      </c>
    </row>
    <row r="195">
      <c r="A195" s="2" t="n">
        <v>128</v>
      </c>
      <c r="B195" s="2" t="s">
        <v>26135</v>
      </c>
      <c r="C195" s="2" t="s">
        <v>18467</v>
      </c>
      <c r="D195" s="2" t="n">
        <v>181.159279948</v>
      </c>
      <c r="E195" s="2" t="n">
        <v>9.04839249492744</v>
      </c>
      <c r="F195" s="2" t="s">
        <v>26136</v>
      </c>
      <c r="G195" s="2" t="n">
        <v>1200</v>
      </c>
      <c r="H195" s="3" t="str">
        <f>HYPERLINK("http://funmeta.oebiotech.com/network/1200", "http://funmeta.oebiotech.com/network/1200")</f>
      </c>
      <c r="I195" s="2" t="s">
        <v>26137</v>
      </c>
      <c r="J195" s="2" t="s">
        <v>26138</v>
      </c>
      <c r="K195" s="2" t="s">
        <v>26139</v>
      </c>
      <c r="L195" s="2"/>
      <c r="M195" s="2"/>
      <c r="N195" s="2" t="s">
        <v>26140</v>
      </c>
      <c r="O195" s="2"/>
      <c r="P195" s="2" t="s">
        <v>26141</v>
      </c>
      <c r="Q195" s="2" t="s">
        <v>26142</v>
      </c>
      <c r="R195" s="2" t="s">
        <v>794</v>
      </c>
      <c r="S195" s="2" t="s">
        <v>795</v>
      </c>
      <c r="T195" s="2" t="s">
        <v>796</v>
      </c>
      <c r="U195" s="2" t="s">
        <v>18468</v>
      </c>
      <c r="V195" s="2" t="s">
        <v>17039</v>
      </c>
      <c r="W195" s="2" t="s">
        <v>56</v>
      </c>
    </row>
    <row r="196">
      <c r="A196" s="2" t="n">
        <v>129</v>
      </c>
      <c r="B196" s="2" t="s">
        <v>12545</v>
      </c>
      <c r="C196" s="2" t="s">
        <v>18479</v>
      </c>
      <c r="D196" s="2" t="n">
        <v>182.057670389</v>
      </c>
      <c r="E196" s="2" t="n">
        <v>4.95134544902829</v>
      </c>
      <c r="F196" s="2" t="s">
        <v>18481</v>
      </c>
      <c r="G196" s="2" t="n">
        <v>207232</v>
      </c>
      <c r="H196" s="3" t="str">
        <f>HYPERLINK("http://funmeta.oebiotech.com/network/207232", "http://funmeta.oebiotech.com/network/207232")</f>
      </c>
      <c r="I196" s="2" t="s">
        <v>18483</v>
      </c>
      <c r="J196" s="2"/>
      <c r="K196" s="2"/>
      <c r="L196" s="2" t="s">
        <v>18484</v>
      </c>
      <c r="M196" s="2" t="s">
        <v>18485</v>
      </c>
      <c r="N196" s="2" t="s">
        <v>18486</v>
      </c>
      <c r="O196" s="2"/>
      <c r="P196" s="2" t="s">
        <v>18487</v>
      </c>
      <c r="Q196" s="2" t="s">
        <v>18488</v>
      </c>
      <c r="R196" s="2" t="s">
        <v>36</v>
      </c>
      <c r="S196" s="2" t="s">
        <v>37</v>
      </c>
      <c r="T196" s="2" t="s">
        <v>69</v>
      </c>
      <c r="U196" s="2" t="s">
        <v>18480</v>
      </c>
      <c r="V196" s="2" t="s">
        <v>17137</v>
      </c>
      <c r="W196" s="2" t="s">
        <v>101</v>
      </c>
    </row>
    <row r="197">
      <c r="A197" s="2" t="n">
        <v>130</v>
      </c>
      <c r="B197" s="2" t="s">
        <v>12546</v>
      </c>
      <c r="C197" s="2" t="s">
        <v>18489</v>
      </c>
      <c r="D197" s="2" t="n">
        <v>182.190914429</v>
      </c>
      <c r="E197" s="2" t="n">
        <v>6.14760545117206</v>
      </c>
      <c r="F197" s="2" t="s">
        <v>18491</v>
      </c>
      <c r="G197" s="2" t="n">
        <v>8564</v>
      </c>
      <c r="H197" s="3" t="str">
        <f>HYPERLINK("http://funmeta.oebiotech.com/network/8564", "http://funmeta.oebiotech.com/network/8564")</f>
      </c>
      <c r="I197" s="2" t="s">
        <v>18493</v>
      </c>
      <c r="J197" s="2" t="s">
        <v>18494</v>
      </c>
      <c r="K197" s="2" t="s">
        <v>18495</v>
      </c>
      <c r="L197" s="2" t="s">
        <v>18496</v>
      </c>
      <c r="M197" s="2" t="s">
        <v>18497</v>
      </c>
      <c r="N197" s="2" t="s">
        <v>18498</v>
      </c>
      <c r="O197" s="2"/>
      <c r="P197" s="2" t="s">
        <v>18499</v>
      </c>
      <c r="Q197" s="2" t="s">
        <v>18500</v>
      </c>
      <c r="R197" s="2" t="s">
        <v>794</v>
      </c>
      <c r="S197" s="2" t="s">
        <v>795</v>
      </c>
      <c r="T197" s="2" t="s">
        <v>5115</v>
      </c>
      <c r="U197" s="2" t="s">
        <v>18490</v>
      </c>
      <c r="V197" s="2" t="s">
        <v>17039</v>
      </c>
      <c r="W197" s="2" t="s">
        <v>101</v>
      </c>
    </row>
    <row r="198">
      <c r="A198" s="2" t="n">
        <v>131</v>
      </c>
      <c r="B198" s="2" t="s">
        <v>12547</v>
      </c>
      <c r="C198" s="2" t="s">
        <v>18501</v>
      </c>
      <c r="D198" s="2" t="n">
        <v>183.079175822</v>
      </c>
      <c r="E198" s="2" t="n">
        <v>1.2342922945199</v>
      </c>
      <c r="F198" s="2" t="s">
        <v>18503</v>
      </c>
      <c r="G198" s="2" t="n">
        <v>201900</v>
      </c>
      <c r="H198" s="3" t="str">
        <f>HYPERLINK("http://funmeta.oebiotech.com/network/201900", "http://funmeta.oebiotech.com/network/201900")</f>
      </c>
      <c r="I198" s="2" t="s">
        <v>18505</v>
      </c>
      <c r="J198" s="2"/>
      <c r="K198" s="2"/>
      <c r="L198" s="2"/>
      <c r="M198" s="2"/>
      <c r="N198" s="2"/>
      <c r="O198" s="2"/>
      <c r="P198" s="2" t="s">
        <v>18506</v>
      </c>
      <c r="Q198" s="2" t="s">
        <v>18507</v>
      </c>
      <c r="R198" s="2" t="s">
        <v>794</v>
      </c>
      <c r="S198" s="2" t="s">
        <v>795</v>
      </c>
      <c r="T198" s="2" t="s">
        <v>796</v>
      </c>
      <c r="U198" s="2" t="s">
        <v>18502</v>
      </c>
      <c r="V198" s="2" t="s">
        <v>17198</v>
      </c>
      <c r="W198" s="2"/>
    </row>
    <row r="199">
      <c r="A199" s="2" t="n">
        <v>132</v>
      </c>
      <c r="B199" s="2" t="s">
        <v>12548</v>
      </c>
      <c r="C199" s="2" t="s">
        <v>18508</v>
      </c>
      <c r="D199" s="2" t="n">
        <v>183.102159</v>
      </c>
      <c r="E199" s="2" t="n">
        <v>2.39298470048223</v>
      </c>
      <c r="F199" s="2" t="s">
        <v>26143</v>
      </c>
      <c r="G199" s="2" t="n">
        <v>2859</v>
      </c>
      <c r="H199" s="3" t="str">
        <f>HYPERLINK("http://funmeta.oebiotech.com/network/2859", "http://funmeta.oebiotech.com/network/2859")</f>
      </c>
      <c r="I199" s="2" t="s">
        <v>26144</v>
      </c>
      <c r="J199" s="2" t="s">
        <v>26145</v>
      </c>
      <c r="K199" s="2" t="s">
        <v>26146</v>
      </c>
      <c r="L199" s="2"/>
      <c r="M199" s="2" t="s">
        <v>26147</v>
      </c>
      <c r="N199" s="2" t="s">
        <v>26148</v>
      </c>
      <c r="O199" s="2" t="s">
        <v>26149</v>
      </c>
      <c r="P199" s="2" t="s">
        <v>26150</v>
      </c>
      <c r="Q199" s="2" t="s">
        <v>26151</v>
      </c>
      <c r="R199" s="2" t="s">
        <v>794</v>
      </c>
      <c r="S199" s="2" t="s">
        <v>795</v>
      </c>
      <c r="T199" s="2" t="s">
        <v>796</v>
      </c>
      <c r="U199" s="2" t="s">
        <v>18509</v>
      </c>
      <c r="V199" s="2" t="s">
        <v>17039</v>
      </c>
      <c r="W199" s="2" t="s">
        <v>56</v>
      </c>
    </row>
    <row r="200">
      <c r="A200" s="2" t="n">
        <v>132</v>
      </c>
      <c r="B200" s="2" t="s">
        <v>12558</v>
      </c>
      <c r="C200" s="2" t="s">
        <v>18508</v>
      </c>
      <c r="D200" s="2" t="n">
        <v>183.102159</v>
      </c>
      <c r="E200" s="2" t="n">
        <v>2.39298470048223</v>
      </c>
      <c r="F200" s="2" t="s">
        <v>26152</v>
      </c>
      <c r="G200" s="2" t="n">
        <v>52219</v>
      </c>
      <c r="H200" s="3" t="str">
        <f>HYPERLINK("http://funmeta.oebiotech.com/network/52219", "http://funmeta.oebiotech.com/network/52219")</f>
      </c>
      <c r="I200" s="2" t="s">
        <v>26153</v>
      </c>
      <c r="J200" s="2"/>
      <c r="K200" s="2"/>
      <c r="L200" s="2"/>
      <c r="M200" s="2" t="s">
        <v>26154</v>
      </c>
      <c r="N200" s="2" t="s">
        <v>26155</v>
      </c>
      <c r="O200" s="2"/>
      <c r="P200" s="2" t="s">
        <v>26156</v>
      </c>
      <c r="Q200" s="2" t="s">
        <v>26157</v>
      </c>
      <c r="R200" s="2" t="s">
        <v>794</v>
      </c>
      <c r="S200" s="2" t="s">
        <v>795</v>
      </c>
      <c r="T200" s="2" t="s">
        <v>796</v>
      </c>
      <c r="U200" s="2" t="s">
        <v>18509</v>
      </c>
      <c r="V200" s="2" t="s">
        <v>17039</v>
      </c>
      <c r="W200" s="2" t="s">
        <v>56</v>
      </c>
    </row>
    <row r="201">
      <c r="A201" s="2" t="n">
        <v>132</v>
      </c>
      <c r="B201" s="2" t="s">
        <v>26158</v>
      </c>
      <c r="C201" s="2" t="s">
        <v>18508</v>
      </c>
      <c r="D201" s="2" t="n">
        <v>183.102159</v>
      </c>
      <c r="E201" s="2" t="n">
        <v>2.39298470048223</v>
      </c>
      <c r="F201" s="2" t="s">
        <v>26159</v>
      </c>
      <c r="G201" s="2" t="n">
        <v>55677</v>
      </c>
      <c r="H201" s="3" t="str">
        <f>HYPERLINK("http://funmeta.oebiotech.com/network/55677", "http://funmeta.oebiotech.com/network/55677")</f>
      </c>
      <c r="I201" s="2" t="s">
        <v>26160</v>
      </c>
      <c r="J201" s="2" t="s">
        <v>26161</v>
      </c>
      <c r="K201" s="2"/>
      <c r="L201" s="2"/>
      <c r="M201" s="2" t="s">
        <v>26162</v>
      </c>
      <c r="N201" s="2" t="s">
        <v>26163</v>
      </c>
      <c r="O201" s="2"/>
      <c r="P201" s="2" t="s">
        <v>26164</v>
      </c>
      <c r="Q201" s="2" t="s">
        <v>26165</v>
      </c>
      <c r="R201" s="2" t="s">
        <v>114</v>
      </c>
      <c r="S201" s="2" t="s">
        <v>1646</v>
      </c>
      <c r="T201" s="2" t="s">
        <v>1647</v>
      </c>
      <c r="U201" s="2" t="s">
        <v>18509</v>
      </c>
      <c r="V201" s="2" t="s">
        <v>17039</v>
      </c>
      <c r="W201" s="2" t="s">
        <v>56</v>
      </c>
    </row>
    <row r="202">
      <c r="A202" s="2" t="n">
        <v>133</v>
      </c>
      <c r="B202" s="2" t="s">
        <v>12568</v>
      </c>
      <c r="C202" s="2" t="s">
        <v>18522</v>
      </c>
      <c r="D202" s="2" t="n">
        <v>184.073869485</v>
      </c>
      <c r="E202" s="2" t="n">
        <v>6.40507297253771</v>
      </c>
      <c r="F202" s="2" t="s">
        <v>18524</v>
      </c>
      <c r="G202" s="2" t="n">
        <v>47656</v>
      </c>
      <c r="H202" s="3" t="str">
        <f>HYPERLINK("http://funmeta.oebiotech.com/network/47656", "http://funmeta.oebiotech.com/network/47656")</f>
      </c>
      <c r="I202" s="2" t="s">
        <v>18526</v>
      </c>
      <c r="J202" s="2" t="s">
        <v>18527</v>
      </c>
      <c r="K202" s="2"/>
      <c r="L202" s="2" t="s">
        <v>18528</v>
      </c>
      <c r="M202" s="2" t="s">
        <v>18529</v>
      </c>
      <c r="N202" s="2" t="s">
        <v>18530</v>
      </c>
      <c r="O202" s="2" t="s">
        <v>18531</v>
      </c>
      <c r="P202" s="2" t="s">
        <v>18532</v>
      </c>
      <c r="Q202" s="2" t="s">
        <v>18533</v>
      </c>
      <c r="R202" s="2" t="s">
        <v>601</v>
      </c>
      <c r="S202" s="2" t="s">
        <v>602</v>
      </c>
      <c r="T202" s="2" t="s">
        <v>8583</v>
      </c>
      <c r="U202" s="2" t="s">
        <v>18523</v>
      </c>
      <c r="V202" s="2" t="s">
        <v>17117</v>
      </c>
      <c r="W202" s="2" t="s">
        <v>56</v>
      </c>
    </row>
    <row r="203">
      <c r="A203" s="2" t="n">
        <v>134</v>
      </c>
      <c r="B203" s="2" t="s">
        <v>12569</v>
      </c>
      <c r="C203" s="2" t="s">
        <v>18534</v>
      </c>
      <c r="D203" s="2" t="n">
        <v>185.032145446</v>
      </c>
      <c r="E203" s="2" t="n">
        <v>5.51350593837659</v>
      </c>
      <c r="F203" s="2" t="s">
        <v>18536</v>
      </c>
      <c r="G203" s="2" t="n">
        <v>57190</v>
      </c>
      <c r="H203" s="3" t="str">
        <f>HYPERLINK("http://funmeta.oebiotech.com/network/57190", "http://funmeta.oebiotech.com/network/57190")</f>
      </c>
      <c r="I203" s="2" t="s">
        <v>18538</v>
      </c>
      <c r="J203" s="2" t="s">
        <v>18539</v>
      </c>
      <c r="K203" s="2"/>
      <c r="L203" s="2"/>
      <c r="M203" s="2"/>
      <c r="N203" s="2" t="s">
        <v>18540</v>
      </c>
      <c r="O203" s="2" t="s">
        <v>18541</v>
      </c>
      <c r="P203" s="2" t="s">
        <v>18542</v>
      </c>
      <c r="Q203" s="2" t="s">
        <v>18543</v>
      </c>
      <c r="R203" s="2" t="s">
        <v>114</v>
      </c>
      <c r="S203" s="2" t="s">
        <v>1254</v>
      </c>
      <c r="T203" s="2" t="s">
        <v>1255</v>
      </c>
      <c r="U203" s="2" t="s">
        <v>18535</v>
      </c>
      <c r="V203" s="2" t="s">
        <v>17198</v>
      </c>
      <c r="W203" s="2" t="s">
        <v>56</v>
      </c>
    </row>
    <row r="204">
      <c r="A204" s="2" t="n">
        <v>135</v>
      </c>
      <c r="B204" s="2" t="s">
        <v>12570</v>
      </c>
      <c r="C204" s="2" t="s">
        <v>18544</v>
      </c>
      <c r="D204" s="2" t="n">
        <v>185.080834872</v>
      </c>
      <c r="E204" s="2" t="n">
        <v>0.00115294506047119</v>
      </c>
      <c r="F204" s="2" t="s">
        <v>18546</v>
      </c>
      <c r="G204" s="2" t="n">
        <v>47611</v>
      </c>
      <c r="H204" s="3" t="str">
        <f>HYPERLINK("http://funmeta.oebiotech.com/network/47611", "http://funmeta.oebiotech.com/network/47611")</f>
      </c>
      <c r="I204" s="2" t="s">
        <v>18548</v>
      </c>
      <c r="J204" s="2" t="s">
        <v>18549</v>
      </c>
      <c r="K204" s="2"/>
      <c r="L204" s="2" t="s">
        <v>18550</v>
      </c>
      <c r="M204" s="2"/>
      <c r="N204" s="2" t="s">
        <v>18551</v>
      </c>
      <c r="O204" s="2" t="s">
        <v>18552</v>
      </c>
      <c r="P204" s="2" t="s">
        <v>18553</v>
      </c>
      <c r="Q204" s="2" t="s">
        <v>18554</v>
      </c>
      <c r="R204" s="2" t="s">
        <v>186</v>
      </c>
      <c r="S204" s="2" t="s">
        <v>357</v>
      </c>
      <c r="T204" s="2" t="s">
        <v>5859</v>
      </c>
      <c r="U204" s="2" t="s">
        <v>18545</v>
      </c>
      <c r="V204" s="2" t="s">
        <v>17137</v>
      </c>
      <c r="W204" s="2" t="s">
        <v>56</v>
      </c>
    </row>
    <row r="205">
      <c r="A205" s="2" t="n">
        <v>136</v>
      </c>
      <c r="B205" s="2" t="s">
        <v>12602</v>
      </c>
      <c r="C205" s="2" t="s">
        <v>18555</v>
      </c>
      <c r="D205" s="2" t="n">
        <v>185.117220378</v>
      </c>
      <c r="E205" s="2" t="n">
        <v>2.34360906307729</v>
      </c>
      <c r="F205" s="2" t="s">
        <v>26166</v>
      </c>
      <c r="G205" s="2" t="n">
        <v>1341</v>
      </c>
      <c r="H205" s="3" t="str">
        <f>HYPERLINK("http://funmeta.oebiotech.com/network/1341", "http://funmeta.oebiotech.com/network/1341")</f>
      </c>
      <c r="I205" s="2" t="s">
        <v>26167</v>
      </c>
      <c r="J205" s="2" t="s">
        <v>26168</v>
      </c>
      <c r="K205" s="2" t="s">
        <v>26169</v>
      </c>
      <c r="L205" s="2"/>
      <c r="M205" s="2"/>
      <c r="N205" s="2" t="s">
        <v>26170</v>
      </c>
      <c r="O205" s="2" t="s">
        <v>26171</v>
      </c>
      <c r="P205" s="2" t="s">
        <v>26172</v>
      </c>
      <c r="Q205" s="2" t="s">
        <v>26173</v>
      </c>
      <c r="R205" s="2" t="s">
        <v>794</v>
      </c>
      <c r="S205" s="2" t="s">
        <v>795</v>
      </c>
      <c r="T205" s="2" t="s">
        <v>796</v>
      </c>
      <c r="U205" s="2" t="s">
        <v>18556</v>
      </c>
      <c r="V205" s="2" t="s">
        <v>17137</v>
      </c>
      <c r="W205" s="2" t="s">
        <v>56</v>
      </c>
    </row>
    <row r="206">
      <c r="A206" s="2" t="n">
        <v>136</v>
      </c>
      <c r="B206" s="2" t="s">
        <v>26174</v>
      </c>
      <c r="C206" s="2" t="s">
        <v>18555</v>
      </c>
      <c r="D206" s="2" t="n">
        <v>185.117220378</v>
      </c>
      <c r="E206" s="2" t="n">
        <v>2.34360906307729</v>
      </c>
      <c r="F206" s="2" t="s">
        <v>26175</v>
      </c>
      <c r="G206" s="2" t="n">
        <v>59910</v>
      </c>
      <c r="H206" s="3" t="str">
        <f>HYPERLINK("http://funmeta.oebiotech.com/network/59910", "http://funmeta.oebiotech.com/network/59910")</f>
      </c>
      <c r="I206" s="2" t="s">
        <v>26176</v>
      </c>
      <c r="J206" s="2" t="s">
        <v>26177</v>
      </c>
      <c r="K206" s="2"/>
      <c r="L206" s="2"/>
      <c r="M206" s="2" t="s">
        <v>26178</v>
      </c>
      <c r="N206" s="2" t="s">
        <v>26179</v>
      </c>
      <c r="O206" s="2" t="s">
        <v>26180</v>
      </c>
      <c r="P206" s="2" t="s">
        <v>26181</v>
      </c>
      <c r="Q206" s="2" t="s">
        <v>26182</v>
      </c>
      <c r="R206" s="2" t="s">
        <v>794</v>
      </c>
      <c r="S206" s="2" t="s">
        <v>1098</v>
      </c>
      <c r="T206" s="2" t="s">
        <v>1099</v>
      </c>
      <c r="U206" s="2" t="s">
        <v>18556</v>
      </c>
      <c r="V206" s="2" t="s">
        <v>17137</v>
      </c>
      <c r="W206" s="2" t="s">
        <v>56</v>
      </c>
    </row>
    <row r="207">
      <c r="A207" s="2" t="n">
        <v>137</v>
      </c>
      <c r="B207" s="2" t="s">
        <v>12603</v>
      </c>
      <c r="C207" s="2" t="s">
        <v>18568</v>
      </c>
      <c r="D207" s="2" t="n">
        <v>186.013754095</v>
      </c>
      <c r="E207" s="2" t="n">
        <v>10.9101675197586</v>
      </c>
      <c r="F207" s="2" t="s">
        <v>18570</v>
      </c>
      <c r="G207" s="2" t="n">
        <v>2182</v>
      </c>
      <c r="H207" s="3" t="str">
        <f>HYPERLINK("http://funmeta.oebiotech.com/network/2182", "http://funmeta.oebiotech.com/network/2182")</f>
      </c>
      <c r="I207" s="2" t="s">
        <v>18572</v>
      </c>
      <c r="J207" s="2" t="s">
        <v>18573</v>
      </c>
      <c r="K207" s="2" t="s">
        <v>18574</v>
      </c>
      <c r="L207" s="2" t="s">
        <v>18575</v>
      </c>
      <c r="M207" s="2" t="s">
        <v>18576</v>
      </c>
      <c r="N207" s="2" t="s">
        <v>18577</v>
      </c>
      <c r="O207" s="2" t="s">
        <v>18578</v>
      </c>
      <c r="P207" s="2" t="s">
        <v>18579</v>
      </c>
      <c r="Q207" s="2" t="s">
        <v>18580</v>
      </c>
      <c r="R207" s="2" t="s">
        <v>36</v>
      </c>
      <c r="S207" s="2" t="s">
        <v>37</v>
      </c>
      <c r="T207" s="2" t="s">
        <v>69</v>
      </c>
      <c r="U207" s="2" t="s">
        <v>18569</v>
      </c>
      <c r="V207" s="2" t="s">
        <v>17970</v>
      </c>
      <c r="W207" s="2" t="s">
        <v>56</v>
      </c>
    </row>
    <row r="208">
      <c r="A208" s="2" t="n">
        <v>138</v>
      </c>
      <c r="B208" s="2" t="s">
        <v>12604</v>
      </c>
      <c r="C208" s="2" t="s">
        <v>18581</v>
      </c>
      <c r="D208" s="2" t="n">
        <v>186.221625873</v>
      </c>
      <c r="E208" s="2" t="n">
        <v>5.57268978550515</v>
      </c>
      <c r="F208" s="2" t="s">
        <v>26183</v>
      </c>
      <c r="G208" s="2" t="n">
        <v>206184</v>
      </c>
      <c r="H208" s="3" t="str">
        <f>HYPERLINK("http://funmeta.oebiotech.com/network/206184", "http://funmeta.oebiotech.com/network/206184")</f>
      </c>
      <c r="I208" s="2" t="s">
        <v>26184</v>
      </c>
      <c r="J208" s="2"/>
      <c r="K208" s="2"/>
      <c r="L208" s="2"/>
      <c r="M208" s="2"/>
      <c r="N208" s="2"/>
      <c r="O208" s="2"/>
      <c r="P208" s="2" t="s">
        <v>26185</v>
      </c>
      <c r="Q208" s="2" t="s">
        <v>26186</v>
      </c>
      <c r="R208" s="2" t="s">
        <v>601</v>
      </c>
      <c r="S208" s="2" t="s">
        <v>602</v>
      </c>
      <c r="T208" s="2" t="s">
        <v>1800</v>
      </c>
      <c r="U208" s="2" t="s">
        <v>18582</v>
      </c>
      <c r="V208" s="2" t="s">
        <v>17137</v>
      </c>
      <c r="W208" s="2"/>
    </row>
    <row r="209">
      <c r="A209" s="2" t="n">
        <v>138</v>
      </c>
      <c r="B209" s="2" t="s">
        <v>12613</v>
      </c>
      <c r="C209" s="2" t="s">
        <v>18581</v>
      </c>
      <c r="D209" s="2" t="n">
        <v>186.221625873</v>
      </c>
      <c r="E209" s="2" t="n">
        <v>5.57268978550515</v>
      </c>
      <c r="F209" s="2" t="s">
        <v>26187</v>
      </c>
      <c r="G209" s="2" t="n">
        <v>212568</v>
      </c>
      <c r="H209" s="3" t="str">
        <f>HYPERLINK("http://funmeta.oebiotech.com/network/212568", "http://funmeta.oebiotech.com/network/212568")</f>
      </c>
      <c r="I209" s="2" t="s">
        <v>26188</v>
      </c>
      <c r="J209" s="2"/>
      <c r="K209" s="2"/>
      <c r="L209" s="2"/>
      <c r="M209" s="2" t="s">
        <v>26189</v>
      </c>
      <c r="N209" s="2"/>
      <c r="O209" s="2"/>
      <c r="P209" s="2" t="s">
        <v>26190</v>
      </c>
      <c r="Q209" s="2" t="s">
        <v>26191</v>
      </c>
      <c r="R209" s="2" t="s">
        <v>601</v>
      </c>
      <c r="S209" s="2" t="s">
        <v>602</v>
      </c>
      <c r="T209" s="2" t="s">
        <v>1800</v>
      </c>
      <c r="U209" s="2" t="s">
        <v>18582</v>
      </c>
      <c r="V209" s="2" t="s">
        <v>17137</v>
      </c>
      <c r="W209" s="2"/>
    </row>
    <row r="210">
      <c r="A210" s="2" t="n">
        <v>139</v>
      </c>
      <c r="B210" s="2" t="s">
        <v>12629</v>
      </c>
      <c r="C210" s="2" t="s">
        <v>18589</v>
      </c>
      <c r="D210" s="2" t="n">
        <v>187.075355564</v>
      </c>
      <c r="E210" s="2" t="n">
        <v>4.23353581032861</v>
      </c>
      <c r="F210" s="2" t="s">
        <v>26192</v>
      </c>
      <c r="G210" s="2" t="n">
        <v>254902</v>
      </c>
      <c r="H210" s="3" t="str">
        <f>HYPERLINK("http://funmeta.oebiotech.com/network/254902", "http://funmeta.oebiotech.com/network/254902")</f>
      </c>
      <c r="I210" s="2" t="s">
        <v>26193</v>
      </c>
      <c r="J210" s="2" t="s">
        <v>26194</v>
      </c>
      <c r="K210" s="2"/>
      <c r="L210" s="2" t="s">
        <v>26195</v>
      </c>
      <c r="M210" s="2"/>
      <c r="N210" s="2" t="s">
        <v>26196</v>
      </c>
      <c r="O210" s="2" t="s">
        <v>26197</v>
      </c>
      <c r="P210" s="2" t="s">
        <v>26198</v>
      </c>
      <c r="Q210" s="2" t="s">
        <v>26199</v>
      </c>
      <c r="R210" s="2" t="s">
        <v>129</v>
      </c>
      <c r="S210" s="2" t="s">
        <v>130</v>
      </c>
      <c r="T210" s="2" t="s">
        <v>131</v>
      </c>
      <c r="U210" s="2" t="s">
        <v>18590</v>
      </c>
      <c r="V210" s="2" t="s">
        <v>17137</v>
      </c>
      <c r="W210" s="2" t="s">
        <v>101</v>
      </c>
    </row>
    <row r="211">
      <c r="A211" s="2" t="n">
        <v>139</v>
      </c>
      <c r="B211" s="2" t="s">
        <v>26200</v>
      </c>
      <c r="C211" s="2" t="s">
        <v>18589</v>
      </c>
      <c r="D211" s="2" t="n">
        <v>187.075355564</v>
      </c>
      <c r="E211" s="2" t="n">
        <v>4.23353581032861</v>
      </c>
      <c r="F211" s="2" t="s">
        <v>26201</v>
      </c>
      <c r="G211" s="2" t="n">
        <v>56983</v>
      </c>
      <c r="H211" s="3" t="str">
        <f>HYPERLINK("http://funmeta.oebiotech.com/network/56983", "http://funmeta.oebiotech.com/network/56983")</f>
      </c>
      <c r="I211" s="2" t="s">
        <v>26202</v>
      </c>
      <c r="J211" s="2" t="s">
        <v>26203</v>
      </c>
      <c r="K211" s="2"/>
      <c r="L211" s="2" t="s">
        <v>26204</v>
      </c>
      <c r="M211" s="2" t="s">
        <v>26205</v>
      </c>
      <c r="N211" s="2" t="s">
        <v>26206</v>
      </c>
      <c r="O211" s="2" t="s">
        <v>26207</v>
      </c>
      <c r="P211" s="2" t="s">
        <v>26208</v>
      </c>
      <c r="Q211" s="2" t="s">
        <v>26209</v>
      </c>
      <c r="R211" s="2" t="s">
        <v>186</v>
      </c>
      <c r="S211" s="2" t="s">
        <v>4086</v>
      </c>
      <c r="T211" s="2" t="s">
        <v>215</v>
      </c>
      <c r="U211" s="2" t="s">
        <v>18590</v>
      </c>
      <c r="V211" s="2" t="s">
        <v>17137</v>
      </c>
      <c r="W211" s="2" t="s">
        <v>101</v>
      </c>
    </row>
    <row r="212">
      <c r="A212" s="2" t="n">
        <v>140</v>
      </c>
      <c r="B212" s="2" t="s">
        <v>12630</v>
      </c>
      <c r="C212" s="2" t="s">
        <v>18604</v>
      </c>
      <c r="D212" s="2" t="n">
        <v>187.122974458</v>
      </c>
      <c r="E212" s="2" t="n">
        <v>13.9589308791669</v>
      </c>
      <c r="F212" s="2" t="s">
        <v>18606</v>
      </c>
      <c r="G212" s="2" t="n">
        <v>54722</v>
      </c>
      <c r="H212" s="3" t="str">
        <f>HYPERLINK("http://funmeta.oebiotech.com/network/54722", "http://funmeta.oebiotech.com/network/54722")</f>
      </c>
      <c r="I212" s="2" t="s">
        <v>18608</v>
      </c>
      <c r="J212" s="2" t="s">
        <v>18609</v>
      </c>
      <c r="K212" s="2"/>
      <c r="L212" s="2"/>
      <c r="M212" s="2" t="s">
        <v>18610</v>
      </c>
      <c r="N212" s="2" t="s">
        <v>18611</v>
      </c>
      <c r="O212" s="2" t="s">
        <v>18612</v>
      </c>
      <c r="P212" s="2" t="s">
        <v>18613</v>
      </c>
      <c r="Q212" s="2" t="s">
        <v>18614</v>
      </c>
      <c r="R212" s="2" t="s">
        <v>114</v>
      </c>
      <c r="S212" s="2" t="s">
        <v>994</v>
      </c>
      <c r="T212" s="2" t="s">
        <v>14555</v>
      </c>
      <c r="U212" s="2" t="s">
        <v>18605</v>
      </c>
      <c r="V212" s="2" t="s">
        <v>17137</v>
      </c>
      <c r="W212" s="2" t="s">
        <v>56</v>
      </c>
    </row>
    <row r="213">
      <c r="A213" s="2" t="n">
        <v>141</v>
      </c>
      <c r="B213" s="2" t="s">
        <v>12663</v>
      </c>
      <c r="C213" s="2" t="s">
        <v>18615</v>
      </c>
      <c r="D213" s="2" t="n">
        <v>188.143375549</v>
      </c>
      <c r="E213" s="2" t="n">
        <v>8.68810805531916</v>
      </c>
      <c r="F213" s="2" t="s">
        <v>18617</v>
      </c>
      <c r="G213" s="2" t="n">
        <v>53276</v>
      </c>
      <c r="H213" s="3" t="str">
        <f>HYPERLINK("http://funmeta.oebiotech.com/network/53276", "http://funmeta.oebiotech.com/network/53276")</f>
      </c>
      <c r="I213" s="2" t="s">
        <v>18619</v>
      </c>
      <c r="J213" s="2"/>
      <c r="K213" s="2"/>
      <c r="L213" s="2" t="s">
        <v>18620</v>
      </c>
      <c r="M213" s="2" t="s">
        <v>18621</v>
      </c>
      <c r="N213" s="2" t="s">
        <v>18622</v>
      </c>
      <c r="O213" s="2" t="s">
        <v>18623</v>
      </c>
      <c r="P213" s="2" t="s">
        <v>18624</v>
      </c>
      <c r="Q213" s="2" t="s">
        <v>18625</v>
      </c>
      <c r="R213" s="2" t="s">
        <v>186</v>
      </c>
      <c r="S213" s="2" t="s">
        <v>187</v>
      </c>
      <c r="T213" s="2" t="s">
        <v>11522</v>
      </c>
      <c r="U213" s="2" t="s">
        <v>18616</v>
      </c>
      <c r="V213" s="2" t="s">
        <v>17137</v>
      </c>
      <c r="W213" s="2" t="s">
        <v>56</v>
      </c>
    </row>
    <row r="214">
      <c r="A214" s="2" t="n">
        <v>142</v>
      </c>
      <c r="B214" s="2" t="s">
        <v>12664</v>
      </c>
      <c r="C214" s="2" t="s">
        <v>18626</v>
      </c>
      <c r="D214" s="2" t="n">
        <v>189.054620122</v>
      </c>
      <c r="E214" s="2" t="n">
        <v>4.4989199789325</v>
      </c>
      <c r="F214" s="2" t="s">
        <v>18628</v>
      </c>
      <c r="G214" s="2" t="n">
        <v>59174</v>
      </c>
      <c r="H214" s="3" t="str">
        <f>HYPERLINK("http://funmeta.oebiotech.com/network/59174", "http://funmeta.oebiotech.com/network/59174")</f>
      </c>
      <c r="I214" s="2" t="s">
        <v>18630</v>
      </c>
      <c r="J214" s="2" t="s">
        <v>18631</v>
      </c>
      <c r="K214" s="2"/>
      <c r="L214" s="2"/>
      <c r="M214" s="2" t="s">
        <v>18632</v>
      </c>
      <c r="N214" s="2" t="s">
        <v>18633</v>
      </c>
      <c r="O214" s="2" t="s">
        <v>18634</v>
      </c>
      <c r="P214" s="2" t="s">
        <v>18635</v>
      </c>
      <c r="Q214" s="2" t="s">
        <v>18636</v>
      </c>
      <c r="R214" s="2" t="s">
        <v>186</v>
      </c>
      <c r="S214" s="2" t="s">
        <v>4086</v>
      </c>
      <c r="T214" s="2" t="s">
        <v>4181</v>
      </c>
      <c r="U214" s="2" t="s">
        <v>18627</v>
      </c>
      <c r="V214" s="2" t="s">
        <v>17137</v>
      </c>
      <c r="W214" s="2" t="s">
        <v>56</v>
      </c>
    </row>
    <row r="215">
      <c r="A215" s="2" t="n">
        <v>143</v>
      </c>
      <c r="B215" s="2" t="s">
        <v>12665</v>
      </c>
      <c r="C215" s="2" t="s">
        <v>18637</v>
      </c>
      <c r="D215" s="2" t="n">
        <v>191.02794868</v>
      </c>
      <c r="E215" s="2" t="n">
        <v>11.1014174450547</v>
      </c>
      <c r="F215" s="2" t="s">
        <v>18639</v>
      </c>
      <c r="G215" s="2" t="n">
        <v>207993</v>
      </c>
      <c r="H215" s="3" t="str">
        <f>HYPERLINK("http://funmeta.oebiotech.com/network/207993", "http://funmeta.oebiotech.com/network/207993")</f>
      </c>
      <c r="I215" s="2" t="s">
        <v>18641</v>
      </c>
      <c r="J215" s="2"/>
      <c r="K215" s="2"/>
      <c r="L215" s="2"/>
      <c r="M215" s="2"/>
      <c r="N215" s="2" t="s">
        <v>18642</v>
      </c>
      <c r="O215" s="2"/>
      <c r="P215" s="2" t="s">
        <v>18643</v>
      </c>
      <c r="Q215" s="2" t="s">
        <v>18644</v>
      </c>
      <c r="R215" s="2" t="s">
        <v>114</v>
      </c>
      <c r="S215" s="2" t="s">
        <v>5053</v>
      </c>
      <c r="T215" s="2" t="s">
        <v>215</v>
      </c>
      <c r="U215" s="2" t="s">
        <v>18638</v>
      </c>
      <c r="V215" s="2" t="s">
        <v>17039</v>
      </c>
      <c r="W215" s="2"/>
    </row>
    <row r="216">
      <c r="A216" s="2" t="n">
        <v>144</v>
      </c>
      <c r="B216" s="2" t="s">
        <v>12666</v>
      </c>
      <c r="C216" s="2" t="s">
        <v>18645</v>
      </c>
      <c r="D216" s="2" t="n">
        <v>192.032504948</v>
      </c>
      <c r="E216" s="2" t="n">
        <v>2.35586025965578</v>
      </c>
      <c r="F216" s="2" t="s">
        <v>18647</v>
      </c>
      <c r="G216" s="2" t="n">
        <v>200224</v>
      </c>
      <c r="H216" s="3" t="str">
        <f>HYPERLINK("http://funmeta.oebiotech.com/network/200224", "http://funmeta.oebiotech.com/network/200224")</f>
      </c>
      <c r="I216" s="2" t="s">
        <v>18649</v>
      </c>
      <c r="J216" s="2"/>
      <c r="K216" s="2"/>
      <c r="L216" s="2"/>
      <c r="M216" s="2"/>
      <c r="N216" s="2" t="s">
        <v>18650</v>
      </c>
      <c r="O216" s="2"/>
      <c r="P216" s="2" t="s">
        <v>18651</v>
      </c>
      <c r="Q216" s="2" t="s">
        <v>18652</v>
      </c>
      <c r="R216" s="2" t="s">
        <v>36</v>
      </c>
      <c r="S216" s="2" t="s">
        <v>37</v>
      </c>
      <c r="T216" s="2" t="s">
        <v>69</v>
      </c>
      <c r="U216" s="2" t="s">
        <v>18646</v>
      </c>
      <c r="V216" s="2" t="s">
        <v>17137</v>
      </c>
      <c r="W216" s="2"/>
    </row>
    <row r="217">
      <c r="A217" s="2" t="n">
        <v>145</v>
      </c>
      <c r="B217" s="2" t="s">
        <v>12667</v>
      </c>
      <c r="C217" s="2" t="s">
        <v>18653</v>
      </c>
      <c r="D217" s="2" t="n">
        <v>192.138290171</v>
      </c>
      <c r="E217" s="2" t="n">
        <v>8.41618810413753</v>
      </c>
      <c r="F217" s="2" t="s">
        <v>18655</v>
      </c>
      <c r="G217" s="2" t="n">
        <v>56921</v>
      </c>
      <c r="H217" s="3" t="str">
        <f>HYPERLINK("http://funmeta.oebiotech.com/network/56921", "http://funmeta.oebiotech.com/network/56921")</f>
      </c>
      <c r="I217" s="2" t="s">
        <v>18657</v>
      </c>
      <c r="J217" s="2" t="s">
        <v>18658</v>
      </c>
      <c r="K217" s="2"/>
      <c r="L217" s="2" t="s">
        <v>18659</v>
      </c>
      <c r="M217" s="2"/>
      <c r="N217" s="2" t="s">
        <v>18660</v>
      </c>
      <c r="O217" s="2" t="s">
        <v>18661</v>
      </c>
      <c r="P217" s="2" t="s">
        <v>18662</v>
      </c>
      <c r="Q217" s="2" t="s">
        <v>18663</v>
      </c>
      <c r="R217" s="2" t="s">
        <v>186</v>
      </c>
      <c r="S217" s="2" t="s">
        <v>187</v>
      </c>
      <c r="T217" s="2" t="s">
        <v>7013</v>
      </c>
      <c r="U217" s="2" t="s">
        <v>18654</v>
      </c>
      <c r="V217" s="2" t="s">
        <v>17137</v>
      </c>
      <c r="W217" s="2" t="s">
        <v>56</v>
      </c>
    </row>
    <row r="218">
      <c r="A218" s="2" t="n">
        <v>146</v>
      </c>
      <c r="B218" s="2" t="s">
        <v>12668</v>
      </c>
      <c r="C218" s="2" t="s">
        <v>18664</v>
      </c>
      <c r="D218" s="2" t="n">
        <v>193.133539144</v>
      </c>
      <c r="E218" s="2" t="n">
        <v>0.417169247302622</v>
      </c>
      <c r="F218" s="2" t="s">
        <v>18666</v>
      </c>
      <c r="G218" s="2" t="n">
        <v>53291</v>
      </c>
      <c r="H218" s="3" t="str">
        <f>HYPERLINK("http://funmeta.oebiotech.com/network/53291", "http://funmeta.oebiotech.com/network/53291")</f>
      </c>
      <c r="I218" s="2" t="s">
        <v>18668</v>
      </c>
      <c r="J218" s="2" t="s">
        <v>18669</v>
      </c>
      <c r="K218" s="2"/>
      <c r="L218" s="2" t="s">
        <v>18670</v>
      </c>
      <c r="M218" s="2" t="s">
        <v>18671</v>
      </c>
      <c r="N218" s="2" t="s">
        <v>18672</v>
      </c>
      <c r="O218" s="2" t="s">
        <v>18673</v>
      </c>
      <c r="P218" s="2" t="s">
        <v>18674</v>
      </c>
      <c r="Q218" s="2" t="s">
        <v>18675</v>
      </c>
      <c r="R218" s="2" t="s">
        <v>186</v>
      </c>
      <c r="S218" s="2" t="s">
        <v>187</v>
      </c>
      <c r="T218" s="2" t="s">
        <v>18676</v>
      </c>
      <c r="U218" s="2" t="s">
        <v>18665</v>
      </c>
      <c r="V218" s="2" t="s">
        <v>17137</v>
      </c>
      <c r="W218" s="2" t="s">
        <v>56</v>
      </c>
    </row>
    <row r="219">
      <c r="A219" s="2" t="n">
        <v>147</v>
      </c>
      <c r="B219" s="2" t="s">
        <v>12692</v>
      </c>
      <c r="C219" s="2" t="s">
        <v>18677</v>
      </c>
      <c r="D219" s="2" t="n">
        <v>193.159279948</v>
      </c>
      <c r="E219" s="2" t="n">
        <v>5.64992497878605</v>
      </c>
      <c r="F219" s="2" t="s">
        <v>26210</v>
      </c>
      <c r="G219" s="2" t="n">
        <v>7626</v>
      </c>
      <c r="H219" s="3" t="str">
        <f>HYPERLINK("http://funmeta.oebiotech.com/network/7626", "http://funmeta.oebiotech.com/network/7626")</f>
      </c>
      <c r="I219" s="2" t="s">
        <v>26211</v>
      </c>
      <c r="J219" s="2" t="s">
        <v>26212</v>
      </c>
      <c r="K219" s="2" t="s">
        <v>26213</v>
      </c>
      <c r="L219" s="2"/>
      <c r="M219" s="2"/>
      <c r="N219" s="2" t="s">
        <v>26214</v>
      </c>
      <c r="O219" s="2" t="s">
        <v>26215</v>
      </c>
      <c r="P219" s="2" t="s">
        <v>26216</v>
      </c>
      <c r="Q219" s="2" t="s">
        <v>26217</v>
      </c>
      <c r="R219" s="2" t="s">
        <v>794</v>
      </c>
      <c r="S219" s="2" t="s">
        <v>795</v>
      </c>
      <c r="T219" s="2" t="s">
        <v>1370</v>
      </c>
      <c r="U219" s="2" t="s">
        <v>18678</v>
      </c>
      <c r="V219" s="2" t="s">
        <v>17039</v>
      </c>
      <c r="W219" s="2" t="s">
        <v>56</v>
      </c>
    </row>
    <row r="220">
      <c r="A220" s="2" t="n">
        <v>147</v>
      </c>
      <c r="B220" s="2" t="s">
        <v>26218</v>
      </c>
      <c r="C220" s="2" t="s">
        <v>18677</v>
      </c>
      <c r="D220" s="2" t="n">
        <v>193.159279948</v>
      </c>
      <c r="E220" s="2" t="n">
        <v>5.64992497878605</v>
      </c>
      <c r="F220" s="2" t="s">
        <v>26219</v>
      </c>
      <c r="G220" s="2" t="n">
        <v>7642</v>
      </c>
      <c r="H220" s="3" t="str">
        <f>HYPERLINK("http://funmeta.oebiotech.com/network/7642", "http://funmeta.oebiotech.com/network/7642")</f>
      </c>
      <c r="I220" s="2" t="s">
        <v>26220</v>
      </c>
      <c r="J220" s="2" t="s">
        <v>26221</v>
      </c>
      <c r="K220" s="2" t="s">
        <v>26222</v>
      </c>
      <c r="L220" s="2"/>
      <c r="M220" s="2"/>
      <c r="N220" s="2" t="s">
        <v>26223</v>
      </c>
      <c r="O220" s="2"/>
      <c r="P220" s="2" t="s">
        <v>26224</v>
      </c>
      <c r="Q220" s="2" t="s">
        <v>26225</v>
      </c>
      <c r="R220" s="2" t="s">
        <v>794</v>
      </c>
      <c r="S220" s="2" t="s">
        <v>795</v>
      </c>
      <c r="T220" s="2" t="s">
        <v>1870</v>
      </c>
      <c r="U220" s="2" t="s">
        <v>18678</v>
      </c>
      <c r="V220" s="2" t="s">
        <v>17039</v>
      </c>
      <c r="W220" s="2" t="s">
        <v>56</v>
      </c>
    </row>
    <row r="221">
      <c r="A221" s="2" t="n">
        <v>147</v>
      </c>
      <c r="B221" s="2" t="s">
        <v>26226</v>
      </c>
      <c r="C221" s="2" t="s">
        <v>18677</v>
      </c>
      <c r="D221" s="2" t="n">
        <v>193.159279948</v>
      </c>
      <c r="E221" s="2" t="n">
        <v>5.64992497878605</v>
      </c>
      <c r="F221" s="2" t="s">
        <v>26227</v>
      </c>
      <c r="G221" s="2" t="n">
        <v>56503</v>
      </c>
      <c r="H221" s="3" t="str">
        <f>HYPERLINK("http://funmeta.oebiotech.com/network/56503", "http://funmeta.oebiotech.com/network/56503")</f>
      </c>
      <c r="I221" s="2" t="s">
        <v>26228</v>
      </c>
      <c r="J221" s="2" t="s">
        <v>26229</v>
      </c>
      <c r="K221" s="2"/>
      <c r="L221" s="2"/>
      <c r="M221" s="2"/>
      <c r="N221" s="2" t="s">
        <v>26230</v>
      </c>
      <c r="O221" s="2" t="s">
        <v>26231</v>
      </c>
      <c r="P221" s="2" t="s">
        <v>26232</v>
      </c>
      <c r="Q221" s="2" t="s">
        <v>26233</v>
      </c>
      <c r="R221" s="2" t="s">
        <v>794</v>
      </c>
      <c r="S221" s="2" t="s">
        <v>1098</v>
      </c>
      <c r="T221" s="2" t="s">
        <v>1099</v>
      </c>
      <c r="U221" s="2" t="s">
        <v>18678</v>
      </c>
      <c r="V221" s="2" t="s">
        <v>17039</v>
      </c>
      <c r="W221" s="2" t="s">
        <v>56</v>
      </c>
    </row>
    <row r="222">
      <c r="A222" s="2" t="n">
        <v>148</v>
      </c>
      <c r="B222" s="2" t="s">
        <v>12693</v>
      </c>
      <c r="C222" s="2" t="s">
        <v>18689</v>
      </c>
      <c r="D222" s="2" t="n">
        <v>195.004235857</v>
      </c>
      <c r="E222" s="2" t="n">
        <v>2.13902948680291</v>
      </c>
      <c r="F222" s="2" t="s">
        <v>18691</v>
      </c>
      <c r="G222" s="2" t="n">
        <v>201439</v>
      </c>
      <c r="H222" s="3" t="str">
        <f>HYPERLINK("http://funmeta.oebiotech.com/network/201439", "http://funmeta.oebiotech.com/network/201439")</f>
      </c>
      <c r="I222" s="2" t="s">
        <v>18693</v>
      </c>
      <c r="J222" s="2" t="s">
        <v>18694</v>
      </c>
      <c r="K222" s="2"/>
      <c r="L222" s="2"/>
      <c r="M222" s="2" t="s">
        <v>18695</v>
      </c>
      <c r="N222" s="2" t="s">
        <v>18696</v>
      </c>
      <c r="O222" s="2"/>
      <c r="P222" s="2" t="s">
        <v>18697</v>
      </c>
      <c r="Q222" s="2" t="s">
        <v>18698</v>
      </c>
      <c r="R222" s="2" t="s">
        <v>186</v>
      </c>
      <c r="S222" s="2" t="s">
        <v>187</v>
      </c>
      <c r="T222" s="2" t="s">
        <v>3454</v>
      </c>
      <c r="U222" s="2" t="s">
        <v>18690</v>
      </c>
      <c r="V222" s="2" t="s">
        <v>17039</v>
      </c>
      <c r="W222" s="2"/>
    </row>
    <row r="223">
      <c r="A223" s="2" t="n">
        <v>149</v>
      </c>
      <c r="B223" s="2" t="s">
        <v>12712</v>
      </c>
      <c r="C223" s="2" t="s">
        <v>18699</v>
      </c>
      <c r="D223" s="2" t="n">
        <v>196.073281979</v>
      </c>
      <c r="E223" s="2" t="n">
        <v>0.178224033864462</v>
      </c>
      <c r="F223" s="2" t="s">
        <v>18701</v>
      </c>
      <c r="G223" s="2" t="n">
        <v>60759</v>
      </c>
      <c r="H223" s="3" t="str">
        <f>HYPERLINK("http://funmeta.oebiotech.com/network/60759", "http://funmeta.oebiotech.com/network/60759")</f>
      </c>
      <c r="I223" s="2" t="s">
        <v>18703</v>
      </c>
      <c r="J223" s="2" t="s">
        <v>18704</v>
      </c>
      <c r="K223" s="2"/>
      <c r="L223" s="2" t="s">
        <v>18705</v>
      </c>
      <c r="M223" s="2" t="s">
        <v>18706</v>
      </c>
      <c r="N223" s="2" t="s">
        <v>18707</v>
      </c>
      <c r="O223" s="2" t="s">
        <v>18708</v>
      </c>
      <c r="P223" s="2" t="s">
        <v>18709</v>
      </c>
      <c r="Q223" s="2" t="s">
        <v>18710</v>
      </c>
      <c r="R223" s="2" t="s">
        <v>114</v>
      </c>
      <c r="S223" s="2" t="s">
        <v>2057</v>
      </c>
      <c r="T223" s="2" t="s">
        <v>5603</v>
      </c>
      <c r="U223" s="2" t="s">
        <v>18700</v>
      </c>
      <c r="V223" s="2" t="s">
        <v>17198</v>
      </c>
      <c r="W223" s="2" t="s">
        <v>56</v>
      </c>
    </row>
    <row r="224">
      <c r="A224" s="2" t="n">
        <v>150</v>
      </c>
      <c r="B224" s="2" t="s">
        <v>12713</v>
      </c>
      <c r="C224" s="2" t="s">
        <v>18711</v>
      </c>
      <c r="D224" s="2" t="n">
        <v>196.169590299</v>
      </c>
      <c r="E224" s="2" t="n">
        <v>5.94211384531357</v>
      </c>
      <c r="F224" s="2" t="s">
        <v>26234</v>
      </c>
      <c r="G224" s="2" t="n">
        <v>82568</v>
      </c>
      <c r="H224" s="3" t="str">
        <f>HYPERLINK("http://funmeta.oebiotech.com/network/82568", "http://funmeta.oebiotech.com/network/82568")</f>
      </c>
      <c r="I224" s="2" t="s">
        <v>26235</v>
      </c>
      <c r="J224" s="2"/>
      <c r="K224" s="2"/>
      <c r="L224" s="2"/>
      <c r="M224" s="2"/>
      <c r="N224" s="2" t="s">
        <v>26236</v>
      </c>
      <c r="O224" s="2"/>
      <c r="P224" s="2" t="s">
        <v>26237</v>
      </c>
      <c r="Q224" s="2" t="s">
        <v>26238</v>
      </c>
      <c r="R224" s="2" t="s">
        <v>129</v>
      </c>
      <c r="S224" s="2" t="s">
        <v>130</v>
      </c>
      <c r="T224" s="2" t="s">
        <v>4133</v>
      </c>
      <c r="U224" s="2" t="s">
        <v>18712</v>
      </c>
      <c r="V224" s="2" t="s">
        <v>17137</v>
      </c>
      <c r="W224" s="2" t="s">
        <v>56</v>
      </c>
    </row>
    <row r="225">
      <c r="A225" s="2" t="n">
        <v>150</v>
      </c>
      <c r="B225" s="2" t="s">
        <v>26239</v>
      </c>
      <c r="C225" s="2" t="s">
        <v>18711</v>
      </c>
      <c r="D225" s="2" t="n">
        <v>196.169590299</v>
      </c>
      <c r="E225" s="2" t="n">
        <v>5.94211384531357</v>
      </c>
      <c r="F225" s="2" t="s">
        <v>26240</v>
      </c>
      <c r="G225" s="2" t="n">
        <v>82602</v>
      </c>
      <c r="H225" s="3" t="str">
        <f>HYPERLINK("http://funmeta.oebiotech.com/network/82602", "http://funmeta.oebiotech.com/network/82602")</f>
      </c>
      <c r="I225" s="2" t="s">
        <v>26241</v>
      </c>
      <c r="J225" s="2"/>
      <c r="K225" s="2"/>
      <c r="L225" s="2"/>
      <c r="M225" s="2"/>
      <c r="N225" s="2" t="s">
        <v>26242</v>
      </c>
      <c r="O225" s="2"/>
      <c r="P225" s="2" t="s">
        <v>26243</v>
      </c>
      <c r="Q225" s="2" t="s">
        <v>26244</v>
      </c>
      <c r="R225" s="2" t="s">
        <v>129</v>
      </c>
      <c r="S225" s="2" t="s">
        <v>130</v>
      </c>
      <c r="T225" s="2" t="s">
        <v>4133</v>
      </c>
      <c r="U225" s="2" t="s">
        <v>18712</v>
      </c>
      <c r="V225" s="2" t="s">
        <v>17137</v>
      </c>
      <c r="W225" s="2" t="s">
        <v>56</v>
      </c>
    </row>
    <row r="226">
      <c r="A226" s="2" t="n">
        <v>151</v>
      </c>
      <c r="B226" s="2" t="s">
        <v>12714</v>
      </c>
      <c r="C226" s="2" t="s">
        <v>18719</v>
      </c>
      <c r="D226" s="2" t="n">
        <v>197.097053888</v>
      </c>
      <c r="E226" s="2" t="n">
        <v>0.704210841412101</v>
      </c>
      <c r="F226" s="2" t="s">
        <v>18721</v>
      </c>
      <c r="G226" s="2" t="n">
        <v>62742</v>
      </c>
      <c r="H226" s="3" t="str">
        <f>HYPERLINK("http://funmeta.oebiotech.com/network/62742", "http://funmeta.oebiotech.com/network/62742")</f>
      </c>
      <c r="I226" s="2" t="s">
        <v>18723</v>
      </c>
      <c r="J226" s="2" t="s">
        <v>18724</v>
      </c>
      <c r="K226" s="2"/>
      <c r="L226" s="2"/>
      <c r="M226" s="2"/>
      <c r="N226" s="2" t="s">
        <v>18725</v>
      </c>
      <c r="O226" s="2" t="s">
        <v>18726</v>
      </c>
      <c r="P226" s="2" t="s">
        <v>18727</v>
      </c>
      <c r="Q226" s="2" t="s">
        <v>18728</v>
      </c>
      <c r="R226" s="2" t="s">
        <v>794</v>
      </c>
      <c r="S226" s="2" t="s">
        <v>795</v>
      </c>
      <c r="T226" s="2" t="s">
        <v>18729</v>
      </c>
      <c r="U226" s="2" t="s">
        <v>18720</v>
      </c>
      <c r="V226" s="2" t="s">
        <v>17198</v>
      </c>
      <c r="W226" s="2" t="s">
        <v>56</v>
      </c>
    </row>
    <row r="227">
      <c r="A227" s="2" t="n">
        <v>152</v>
      </c>
      <c r="B227" s="2" t="s">
        <v>12733</v>
      </c>
      <c r="C227" s="2" t="s">
        <v>18730</v>
      </c>
      <c r="D227" s="2" t="n">
        <v>198.048523791</v>
      </c>
      <c r="E227" s="2" t="n">
        <v>11.8916246656635</v>
      </c>
      <c r="F227" s="2" t="s">
        <v>18732</v>
      </c>
      <c r="G227" s="2" t="n">
        <v>48035</v>
      </c>
      <c r="H227" s="3" t="str">
        <f>HYPERLINK("http://funmeta.oebiotech.com/network/48035", "http://funmeta.oebiotech.com/network/48035")</f>
      </c>
      <c r="I227" s="2" t="s">
        <v>18734</v>
      </c>
      <c r="J227" s="2" t="s">
        <v>18735</v>
      </c>
      <c r="K227" s="2"/>
      <c r="L227" s="2" t="s">
        <v>18736</v>
      </c>
      <c r="M227" s="2" t="s">
        <v>18737</v>
      </c>
      <c r="N227" s="2" t="s">
        <v>18738</v>
      </c>
      <c r="O227" s="2" t="s">
        <v>18739</v>
      </c>
      <c r="P227" s="2" t="s">
        <v>18740</v>
      </c>
      <c r="Q227" s="2" t="s">
        <v>18741</v>
      </c>
      <c r="R227" s="2" t="s">
        <v>36</v>
      </c>
      <c r="S227" s="2" t="s">
        <v>37</v>
      </c>
      <c r="T227" s="2" t="s">
        <v>69</v>
      </c>
      <c r="U227" s="2" t="s">
        <v>18731</v>
      </c>
      <c r="V227" s="2" t="s">
        <v>17198</v>
      </c>
      <c r="W227" s="2" t="s">
        <v>56</v>
      </c>
    </row>
    <row r="228">
      <c r="A228" s="2" t="n">
        <v>153</v>
      </c>
      <c r="B228" s="2" t="s">
        <v>12734</v>
      </c>
      <c r="C228" s="2" t="s">
        <v>18742</v>
      </c>
      <c r="D228" s="2" t="n">
        <v>199.097073622</v>
      </c>
      <c r="E228" s="2" t="n">
        <v>0.0491919911856504</v>
      </c>
      <c r="F228" s="2" t="s">
        <v>18744</v>
      </c>
      <c r="G228" s="2" t="n">
        <v>254899</v>
      </c>
      <c r="H228" s="3" t="str">
        <f>HYPERLINK("http://funmeta.oebiotech.com/network/254899", "http://funmeta.oebiotech.com/network/254899")</f>
      </c>
      <c r="I228" s="2" t="s">
        <v>18746</v>
      </c>
      <c r="J228" s="2"/>
      <c r="K228" s="2"/>
      <c r="L228" s="2"/>
      <c r="M228" s="2"/>
      <c r="N228" s="2"/>
      <c r="O228" s="2"/>
      <c r="P228" s="2" t="s">
        <v>18747</v>
      </c>
      <c r="Q228" s="2" t="s">
        <v>18748</v>
      </c>
      <c r="R228" s="2" t="s">
        <v>794</v>
      </c>
      <c r="S228" s="2" t="s">
        <v>795</v>
      </c>
      <c r="T228" s="2" t="s">
        <v>796</v>
      </c>
      <c r="U228" s="2" t="s">
        <v>18743</v>
      </c>
      <c r="V228" s="2" t="s">
        <v>17039</v>
      </c>
      <c r="W228" s="2"/>
    </row>
    <row r="229">
      <c r="A229" s="2" t="n">
        <v>154</v>
      </c>
      <c r="B229" s="2" t="s">
        <v>12735</v>
      </c>
      <c r="C229" s="2" t="s">
        <v>18749</v>
      </c>
      <c r="D229" s="2" t="n">
        <v>200.045452413</v>
      </c>
      <c r="E229" s="2" t="n">
        <v>1.73287763342515</v>
      </c>
      <c r="F229" s="2" t="s">
        <v>18751</v>
      </c>
      <c r="G229" s="2" t="n">
        <v>201122</v>
      </c>
      <c r="H229" s="3" t="str">
        <f>HYPERLINK("http://funmeta.oebiotech.com/network/201122", "http://funmeta.oebiotech.com/network/201122")</f>
      </c>
      <c r="I229" s="2" t="s">
        <v>18753</v>
      </c>
      <c r="J229" s="2"/>
      <c r="K229" s="2"/>
      <c r="L229" s="2"/>
      <c r="M229" s="2"/>
      <c r="N229" s="2" t="s">
        <v>18754</v>
      </c>
      <c r="O229" s="2"/>
      <c r="P229" s="2" t="s">
        <v>18755</v>
      </c>
      <c r="Q229" s="2" t="s">
        <v>18756</v>
      </c>
      <c r="R229" s="2" t="s">
        <v>186</v>
      </c>
      <c r="S229" s="2" t="s">
        <v>187</v>
      </c>
      <c r="T229" s="2" t="s">
        <v>1206</v>
      </c>
      <c r="U229" s="2" t="s">
        <v>18750</v>
      </c>
      <c r="V229" s="2" t="s">
        <v>17137</v>
      </c>
      <c r="W229" s="2"/>
    </row>
    <row r="230">
      <c r="A230" s="2" t="n">
        <v>155</v>
      </c>
      <c r="B230" s="2" t="s">
        <v>12736</v>
      </c>
      <c r="C230" s="2" t="s">
        <v>18757</v>
      </c>
      <c r="D230" s="2" t="n">
        <v>200.068196601</v>
      </c>
      <c r="E230" s="2" t="n">
        <v>0.80363879408353</v>
      </c>
      <c r="F230" s="2" t="s">
        <v>26245</v>
      </c>
      <c r="G230" s="2" t="n">
        <v>47676</v>
      </c>
      <c r="H230" s="3" t="str">
        <f>HYPERLINK("http://funmeta.oebiotech.com/network/47676", "http://funmeta.oebiotech.com/network/47676")</f>
      </c>
      <c r="I230" s="2" t="s">
        <v>26246</v>
      </c>
      <c r="J230" s="2" t="s">
        <v>26247</v>
      </c>
      <c r="K230" s="2"/>
      <c r="L230" s="2"/>
      <c r="M230" s="2"/>
      <c r="N230" s="2" t="s">
        <v>26248</v>
      </c>
      <c r="O230" s="2" t="s">
        <v>26249</v>
      </c>
      <c r="P230" s="2" t="s">
        <v>26250</v>
      </c>
      <c r="Q230" s="2" t="s">
        <v>26251</v>
      </c>
      <c r="R230" s="2" t="s">
        <v>114</v>
      </c>
      <c r="S230" s="2" t="s">
        <v>994</v>
      </c>
      <c r="T230" s="2" t="s">
        <v>26252</v>
      </c>
      <c r="U230" s="2" t="s">
        <v>18758</v>
      </c>
      <c r="V230" s="2" t="s">
        <v>17198</v>
      </c>
      <c r="W230" s="2" t="s">
        <v>56</v>
      </c>
    </row>
    <row r="231">
      <c r="A231" s="2" t="n">
        <v>155</v>
      </c>
      <c r="B231" s="2" t="s">
        <v>26253</v>
      </c>
      <c r="C231" s="2" t="s">
        <v>18757</v>
      </c>
      <c r="D231" s="2" t="n">
        <v>200.068196601</v>
      </c>
      <c r="E231" s="2" t="n">
        <v>0.80363879408353</v>
      </c>
      <c r="F231" s="2" t="s">
        <v>26254</v>
      </c>
      <c r="G231" s="2" t="n">
        <v>52028</v>
      </c>
      <c r="H231" s="3" t="str">
        <f>HYPERLINK("http://funmeta.oebiotech.com/network/52028", "http://funmeta.oebiotech.com/network/52028")</f>
      </c>
      <c r="I231" s="2" t="s">
        <v>26255</v>
      </c>
      <c r="J231" s="2"/>
      <c r="K231" s="2"/>
      <c r="L231" s="2"/>
      <c r="M231" s="2" t="s">
        <v>26256</v>
      </c>
      <c r="N231" s="2" t="s">
        <v>26257</v>
      </c>
      <c r="O231" s="2" t="s">
        <v>26258</v>
      </c>
      <c r="P231" s="2" t="s">
        <v>26259</v>
      </c>
      <c r="Q231" s="2" t="s">
        <v>26260</v>
      </c>
      <c r="R231" s="2" t="s">
        <v>114</v>
      </c>
      <c r="S231" s="2" t="s">
        <v>26261</v>
      </c>
      <c r="T231" s="2" t="s">
        <v>215</v>
      </c>
      <c r="U231" s="2" t="s">
        <v>18758</v>
      </c>
      <c r="V231" s="2" t="s">
        <v>17198</v>
      </c>
      <c r="W231" s="2" t="s">
        <v>56</v>
      </c>
    </row>
    <row r="232">
      <c r="A232" s="2" t="n">
        <v>156</v>
      </c>
      <c r="B232" s="2" t="s">
        <v>12737</v>
      </c>
      <c r="C232" s="2" t="s">
        <v>18770</v>
      </c>
      <c r="D232" s="2" t="n">
        <v>201.088752442</v>
      </c>
      <c r="E232" s="2" t="n">
        <v>2.50416413388841</v>
      </c>
      <c r="F232" s="2" t="s">
        <v>18772</v>
      </c>
      <c r="G232" s="2" t="n">
        <v>57837</v>
      </c>
      <c r="H232" s="3" t="str">
        <f>HYPERLINK("http://funmeta.oebiotech.com/network/57837", "http://funmeta.oebiotech.com/network/57837")</f>
      </c>
      <c r="I232" s="2" t="s">
        <v>18774</v>
      </c>
      <c r="J232" s="2"/>
      <c r="K232" s="2"/>
      <c r="L232" s="2"/>
      <c r="M232" s="2" t="s">
        <v>18775</v>
      </c>
      <c r="N232" s="2" t="s">
        <v>18776</v>
      </c>
      <c r="O232" s="2" t="s">
        <v>18777</v>
      </c>
      <c r="P232" s="2" t="s">
        <v>18778</v>
      </c>
      <c r="Q232" s="2" t="s">
        <v>18779</v>
      </c>
      <c r="R232" s="2" t="s">
        <v>794</v>
      </c>
      <c r="S232" s="2" t="s">
        <v>795</v>
      </c>
      <c r="T232" s="2" t="s">
        <v>3273</v>
      </c>
      <c r="U232" s="2" t="s">
        <v>18771</v>
      </c>
      <c r="V232" s="2" t="s">
        <v>17406</v>
      </c>
      <c r="W232" s="2" t="s">
        <v>56</v>
      </c>
    </row>
    <row r="233">
      <c r="A233" s="2" t="n">
        <v>157</v>
      </c>
      <c r="B233" s="2" t="s">
        <v>12738</v>
      </c>
      <c r="C233" s="2" t="s">
        <v>18780</v>
      </c>
      <c r="D233" s="2" t="n">
        <v>201.164365326</v>
      </c>
      <c r="E233" s="2" t="n">
        <v>18.4613606056026</v>
      </c>
      <c r="F233" s="2" t="s">
        <v>26262</v>
      </c>
      <c r="G233" s="2" t="n">
        <v>59625</v>
      </c>
      <c r="H233" s="3" t="str">
        <f>HYPERLINK("http://funmeta.oebiotech.com/network/59625", "http://funmeta.oebiotech.com/network/59625")</f>
      </c>
      <c r="I233" s="2" t="s">
        <v>26263</v>
      </c>
      <c r="J233" s="2"/>
      <c r="K233" s="2"/>
      <c r="L233" s="2"/>
      <c r="M233" s="2"/>
      <c r="N233" s="2" t="s">
        <v>26264</v>
      </c>
      <c r="O233" s="2" t="s">
        <v>26265</v>
      </c>
      <c r="P233" s="2" t="s">
        <v>26266</v>
      </c>
      <c r="Q233" s="2" t="s">
        <v>26267</v>
      </c>
      <c r="R233" s="2" t="s">
        <v>794</v>
      </c>
      <c r="S233" s="2" t="s">
        <v>1098</v>
      </c>
      <c r="T233" s="2" t="s">
        <v>3079</v>
      </c>
      <c r="U233" s="2" t="s">
        <v>18781</v>
      </c>
      <c r="V233" s="2" t="s">
        <v>17039</v>
      </c>
      <c r="W233" s="2" t="s">
        <v>56</v>
      </c>
    </row>
    <row r="234">
      <c r="A234" s="2" t="n">
        <v>157</v>
      </c>
      <c r="B234" s="2" t="s">
        <v>12748</v>
      </c>
      <c r="C234" s="2" t="s">
        <v>18780</v>
      </c>
      <c r="D234" s="2" t="n">
        <v>201.164365326</v>
      </c>
      <c r="E234" s="2" t="n">
        <v>18.4613606056026</v>
      </c>
      <c r="F234" s="2" t="s">
        <v>26268</v>
      </c>
      <c r="G234" s="2" t="n">
        <v>59905</v>
      </c>
      <c r="H234" s="3" t="str">
        <f>HYPERLINK("http://funmeta.oebiotech.com/network/59905", "http://funmeta.oebiotech.com/network/59905")</f>
      </c>
      <c r="I234" s="2" t="s">
        <v>26269</v>
      </c>
      <c r="J234" s="2" t="s">
        <v>26270</v>
      </c>
      <c r="K234" s="2"/>
      <c r="L234" s="2"/>
      <c r="M234" s="2"/>
      <c r="N234" s="2" t="s">
        <v>26271</v>
      </c>
      <c r="O234" s="2" t="s">
        <v>26272</v>
      </c>
      <c r="P234" s="2" t="s">
        <v>26273</v>
      </c>
      <c r="Q234" s="2" t="s">
        <v>26274</v>
      </c>
      <c r="R234" s="2" t="s">
        <v>794</v>
      </c>
      <c r="S234" s="2" t="s">
        <v>1098</v>
      </c>
      <c r="T234" s="2" t="s">
        <v>3079</v>
      </c>
      <c r="U234" s="2" t="s">
        <v>18781</v>
      </c>
      <c r="V234" s="2" t="s">
        <v>17039</v>
      </c>
      <c r="W234" s="2" t="s">
        <v>56</v>
      </c>
    </row>
    <row r="235">
      <c r="A235" s="2" t="n">
        <v>157</v>
      </c>
      <c r="B235" s="2" t="s">
        <v>26275</v>
      </c>
      <c r="C235" s="2" t="s">
        <v>18780</v>
      </c>
      <c r="D235" s="2" t="n">
        <v>201.164365326</v>
      </c>
      <c r="E235" s="2" t="n">
        <v>18.4613606056026</v>
      </c>
      <c r="F235" s="2" t="s">
        <v>26276</v>
      </c>
      <c r="G235" s="2" t="n">
        <v>60709</v>
      </c>
      <c r="H235" s="3" t="str">
        <f>HYPERLINK("http://funmeta.oebiotech.com/network/60709", "http://funmeta.oebiotech.com/network/60709")</f>
      </c>
      <c r="I235" s="2" t="s">
        <v>26277</v>
      </c>
      <c r="J235" s="2" t="s">
        <v>26278</v>
      </c>
      <c r="K235" s="2"/>
      <c r="L235" s="2"/>
      <c r="M235" s="2"/>
      <c r="N235" s="2" t="s">
        <v>26279</v>
      </c>
      <c r="O235" s="2" t="s">
        <v>26280</v>
      </c>
      <c r="P235" s="2" t="s">
        <v>26281</v>
      </c>
      <c r="Q235" s="2" t="s">
        <v>26282</v>
      </c>
      <c r="R235" s="2" t="s">
        <v>794</v>
      </c>
      <c r="S235" s="2" t="s">
        <v>1098</v>
      </c>
      <c r="T235" s="2" t="s">
        <v>3079</v>
      </c>
      <c r="U235" s="2" t="s">
        <v>18781</v>
      </c>
      <c r="V235" s="2" t="s">
        <v>17039</v>
      </c>
      <c r="W235" s="2" t="s">
        <v>56</v>
      </c>
    </row>
    <row r="236">
      <c r="A236" s="2" t="n">
        <v>158</v>
      </c>
      <c r="B236" s="2" t="s">
        <v>12758</v>
      </c>
      <c r="C236" s="2" t="s">
        <v>18790</v>
      </c>
      <c r="D236" s="2" t="n">
        <v>201.207372789</v>
      </c>
      <c r="E236" s="2" t="n">
        <v>9.65320468735573</v>
      </c>
      <c r="F236" s="2" t="s">
        <v>26283</v>
      </c>
      <c r="G236" s="2" t="n">
        <v>199747</v>
      </c>
      <c r="H236" s="3" t="str">
        <f>HYPERLINK("http://funmeta.oebiotech.com/network/199747", "http://funmeta.oebiotech.com/network/199747")</f>
      </c>
      <c r="I236" s="2" t="s">
        <v>26284</v>
      </c>
      <c r="J236" s="2"/>
      <c r="K236" s="2"/>
      <c r="L236" s="2"/>
      <c r="M236" s="2" t="s">
        <v>26285</v>
      </c>
      <c r="N236" s="2"/>
      <c r="O236" s="2"/>
      <c r="P236" s="2" t="s">
        <v>26286</v>
      </c>
      <c r="Q236" s="2" t="s">
        <v>26287</v>
      </c>
      <c r="R236" s="2" t="s">
        <v>601</v>
      </c>
      <c r="S236" s="2" t="s">
        <v>602</v>
      </c>
      <c r="T236" s="2" t="s">
        <v>1800</v>
      </c>
      <c r="U236" s="2" t="s">
        <v>18791</v>
      </c>
      <c r="V236" s="2" t="s">
        <v>17137</v>
      </c>
      <c r="W236" s="2"/>
    </row>
    <row r="237">
      <c r="A237" s="2" t="n">
        <v>158</v>
      </c>
      <c r="B237" s="2" t="s">
        <v>26288</v>
      </c>
      <c r="C237" s="2" t="s">
        <v>18790</v>
      </c>
      <c r="D237" s="2" t="n">
        <v>201.207372789</v>
      </c>
      <c r="E237" s="2" t="n">
        <v>9.65320468735573</v>
      </c>
      <c r="F237" s="2" t="s">
        <v>26289</v>
      </c>
      <c r="G237" s="2" t="n">
        <v>202569</v>
      </c>
      <c r="H237" s="3" t="str">
        <f>HYPERLINK("http://funmeta.oebiotech.com/network/202569", "http://funmeta.oebiotech.com/network/202569")</f>
      </c>
      <c r="I237" s="2" t="s">
        <v>26290</v>
      </c>
      <c r="J237" s="2"/>
      <c r="K237" s="2"/>
      <c r="L237" s="2"/>
      <c r="M237" s="2"/>
      <c r="N237" s="2" t="s">
        <v>26291</v>
      </c>
      <c r="O237" s="2"/>
      <c r="P237" s="2" t="s">
        <v>26292</v>
      </c>
      <c r="Q237" s="2" t="s">
        <v>26293</v>
      </c>
      <c r="R237" s="2" t="s">
        <v>114</v>
      </c>
      <c r="S237" s="2" t="s">
        <v>1038</v>
      </c>
      <c r="T237" s="2" t="s">
        <v>1039</v>
      </c>
      <c r="U237" s="2" t="s">
        <v>18791</v>
      </c>
      <c r="V237" s="2" t="s">
        <v>17137</v>
      </c>
      <c r="W237" s="2"/>
    </row>
    <row r="238">
      <c r="A238" s="2" t="n">
        <v>159</v>
      </c>
      <c r="B238" s="2" t="s">
        <v>12759</v>
      </c>
      <c r="C238" s="2" t="s">
        <v>18802</v>
      </c>
      <c r="D238" s="2" t="n">
        <v>201.939327789</v>
      </c>
      <c r="E238" s="2" t="n">
        <v>17.9148175222452</v>
      </c>
      <c r="F238" s="2" t="s">
        <v>18804</v>
      </c>
      <c r="G238" s="2" t="n">
        <v>64857</v>
      </c>
      <c r="H238" s="3" t="str">
        <f>HYPERLINK("http://funmeta.oebiotech.com/network/64857", "http://funmeta.oebiotech.com/network/64857")</f>
      </c>
      <c r="I238" s="2" t="s">
        <v>18806</v>
      </c>
      <c r="J238" s="2" t="s">
        <v>18807</v>
      </c>
      <c r="K238" s="2"/>
      <c r="L238" s="2"/>
      <c r="M238" s="2" t="s">
        <v>18808</v>
      </c>
      <c r="N238" s="2" t="s">
        <v>18809</v>
      </c>
      <c r="O238" s="2" t="s">
        <v>18810</v>
      </c>
      <c r="P238" s="2" t="s">
        <v>18811</v>
      </c>
      <c r="Q238" s="2" t="s">
        <v>18812</v>
      </c>
      <c r="R238" s="2" t="s">
        <v>36</v>
      </c>
      <c r="S238" s="2" t="s">
        <v>37</v>
      </c>
      <c r="T238" s="2" t="s">
        <v>69</v>
      </c>
      <c r="U238" s="2" t="s">
        <v>18803</v>
      </c>
      <c r="V238" s="2" t="s">
        <v>17406</v>
      </c>
      <c r="W238" s="2" t="s">
        <v>56</v>
      </c>
    </row>
    <row r="239">
      <c r="A239" s="2" t="n">
        <v>160</v>
      </c>
      <c r="B239" s="2" t="s">
        <v>12760</v>
      </c>
      <c r="C239" s="2" t="s">
        <v>18813</v>
      </c>
      <c r="D239" s="2" t="n">
        <v>202.1596143</v>
      </c>
      <c r="E239" s="2" t="n">
        <v>4.08315556515041</v>
      </c>
      <c r="F239" s="2" t="s">
        <v>18815</v>
      </c>
      <c r="G239" s="2" t="n">
        <v>201351</v>
      </c>
      <c r="H239" s="3" t="str">
        <f>HYPERLINK("http://funmeta.oebiotech.com/network/201351", "http://funmeta.oebiotech.com/network/201351")</f>
      </c>
      <c r="I239" s="2" t="s">
        <v>18817</v>
      </c>
      <c r="J239" s="2"/>
      <c r="K239" s="2"/>
      <c r="L239" s="2"/>
      <c r="M239" s="2" t="s">
        <v>18818</v>
      </c>
      <c r="N239" s="2" t="s">
        <v>18819</v>
      </c>
      <c r="O239" s="2"/>
      <c r="P239" s="2" t="s">
        <v>18820</v>
      </c>
      <c r="Q239" s="2" t="s">
        <v>18821</v>
      </c>
      <c r="R239" s="2" t="s">
        <v>114</v>
      </c>
      <c r="S239" s="2" t="s">
        <v>4121</v>
      </c>
      <c r="T239" s="2" t="s">
        <v>5334</v>
      </c>
      <c r="U239" s="2" t="s">
        <v>18814</v>
      </c>
      <c r="V239" s="2" t="s">
        <v>17039</v>
      </c>
      <c r="W239" s="2"/>
    </row>
    <row r="240">
      <c r="A240" s="2" t="n">
        <v>161</v>
      </c>
      <c r="B240" s="2" t="s">
        <v>12761</v>
      </c>
      <c r="C240" s="2" t="s">
        <v>18822</v>
      </c>
      <c r="D240" s="2" t="n">
        <v>203.022878321</v>
      </c>
      <c r="E240" s="2" t="n">
        <v>4.56741527175305</v>
      </c>
      <c r="F240" s="2" t="s">
        <v>18824</v>
      </c>
      <c r="G240" s="2" t="n">
        <v>201771</v>
      </c>
      <c r="H240" s="3" t="str">
        <f>HYPERLINK("http://funmeta.oebiotech.com/network/201771", "http://funmeta.oebiotech.com/network/201771")</f>
      </c>
      <c r="I240" s="2" t="s">
        <v>18826</v>
      </c>
      <c r="J240" s="2"/>
      <c r="K240" s="2"/>
      <c r="L240" s="2"/>
      <c r="M240" s="2"/>
      <c r="N240" s="2" t="s">
        <v>18827</v>
      </c>
      <c r="O240" s="2"/>
      <c r="P240" s="2" t="s">
        <v>18828</v>
      </c>
      <c r="Q240" s="2" t="s">
        <v>18829</v>
      </c>
      <c r="R240" s="2" t="s">
        <v>36</v>
      </c>
      <c r="S240" s="2" t="s">
        <v>37</v>
      </c>
      <c r="T240" s="2" t="s">
        <v>69</v>
      </c>
      <c r="U240" s="2" t="s">
        <v>18823</v>
      </c>
      <c r="V240" s="2" t="s">
        <v>17406</v>
      </c>
      <c r="W240" s="2"/>
    </row>
    <row r="241">
      <c r="A241" s="2" t="n">
        <v>162</v>
      </c>
      <c r="B241" s="2" t="s">
        <v>12762</v>
      </c>
      <c r="C241" s="2" t="s">
        <v>18830</v>
      </c>
      <c r="D241" s="2" t="n">
        <v>203.055014052</v>
      </c>
      <c r="E241" s="2" t="n">
        <v>2.79147193871538</v>
      </c>
      <c r="F241" s="2" t="s">
        <v>26294</v>
      </c>
      <c r="G241" s="2" t="n">
        <v>197023</v>
      </c>
      <c r="H241" s="3" t="str">
        <f>HYPERLINK("http://funmeta.oebiotech.com/network/197023", "http://funmeta.oebiotech.com/network/197023")</f>
      </c>
      <c r="I241" s="2" t="s">
        <v>26295</v>
      </c>
      <c r="J241" s="2" t="s">
        <v>26296</v>
      </c>
      <c r="K241" s="2"/>
      <c r="L241" s="2"/>
      <c r="M241" s="2" t="s">
        <v>26297</v>
      </c>
      <c r="N241" s="2" t="s">
        <v>26298</v>
      </c>
      <c r="O241" s="2" t="s">
        <v>26299</v>
      </c>
      <c r="P241" s="2" t="s">
        <v>26300</v>
      </c>
      <c r="Q241" s="2" t="s">
        <v>26301</v>
      </c>
      <c r="R241" s="2" t="s">
        <v>36</v>
      </c>
      <c r="S241" s="2" t="s">
        <v>271</v>
      </c>
      <c r="T241" s="2" t="s">
        <v>2534</v>
      </c>
      <c r="U241" s="2" t="s">
        <v>18831</v>
      </c>
      <c r="V241" s="2" t="s">
        <v>17137</v>
      </c>
      <c r="W241" s="2" t="s">
        <v>56</v>
      </c>
    </row>
    <row r="242">
      <c r="A242" s="2" t="n">
        <v>162</v>
      </c>
      <c r="B242" s="2" t="s">
        <v>26302</v>
      </c>
      <c r="C242" s="2" t="s">
        <v>18830</v>
      </c>
      <c r="D242" s="2" t="n">
        <v>203.055014052</v>
      </c>
      <c r="E242" s="2" t="n">
        <v>2.79147193871538</v>
      </c>
      <c r="F242" s="2" t="s">
        <v>26303</v>
      </c>
      <c r="G242" s="2" t="n">
        <v>63475</v>
      </c>
      <c r="H242" s="3" t="str">
        <f>HYPERLINK("http://funmeta.oebiotech.com/network/63475", "http://funmeta.oebiotech.com/network/63475")</f>
      </c>
      <c r="I242" s="2" t="s">
        <v>26304</v>
      </c>
      <c r="J242" s="2" t="s">
        <v>26305</v>
      </c>
      <c r="K242" s="2"/>
      <c r="L242" s="2"/>
      <c r="M242" s="2"/>
      <c r="N242" s="2" t="s">
        <v>26306</v>
      </c>
      <c r="O242" s="2" t="s">
        <v>26307</v>
      </c>
      <c r="P242" s="2" t="s">
        <v>26308</v>
      </c>
      <c r="Q242" s="2" t="s">
        <v>26309</v>
      </c>
      <c r="R242" s="2" t="s">
        <v>36</v>
      </c>
      <c r="S242" s="2" t="s">
        <v>37</v>
      </c>
      <c r="T242" s="2" t="s">
        <v>2336</v>
      </c>
      <c r="U242" s="2" t="s">
        <v>18831</v>
      </c>
      <c r="V242" s="2" t="s">
        <v>17137</v>
      </c>
      <c r="W242" s="2" t="s">
        <v>56</v>
      </c>
    </row>
    <row r="243">
      <c r="A243" s="2" t="n">
        <v>163</v>
      </c>
      <c r="B243" s="2" t="s">
        <v>12763</v>
      </c>
      <c r="C243" s="2" t="s">
        <v>18843</v>
      </c>
      <c r="D243" s="2" t="n">
        <v>203.928221477</v>
      </c>
      <c r="E243" s="2" t="n">
        <v>19.1215797548792</v>
      </c>
      <c r="F243" s="2" t="s">
        <v>18845</v>
      </c>
      <c r="G243" s="2" t="n">
        <v>57226</v>
      </c>
      <c r="H243" s="3" t="str">
        <f>HYPERLINK("http://funmeta.oebiotech.com/network/57226", "http://funmeta.oebiotech.com/network/57226")</f>
      </c>
      <c r="I243" s="2" t="s">
        <v>18847</v>
      </c>
      <c r="J243" s="2" t="s">
        <v>18848</v>
      </c>
      <c r="K243" s="2"/>
      <c r="L243" s="2"/>
      <c r="M243" s="2"/>
      <c r="N243" s="2" t="s">
        <v>18849</v>
      </c>
      <c r="O243" s="2" t="s">
        <v>18850</v>
      </c>
      <c r="P243" s="2" t="s">
        <v>18851</v>
      </c>
      <c r="Q243" s="2" t="s">
        <v>18852</v>
      </c>
      <c r="R243" s="2" t="s">
        <v>129</v>
      </c>
      <c r="S243" s="2" t="s">
        <v>130</v>
      </c>
      <c r="T243" s="2" t="s">
        <v>131</v>
      </c>
      <c r="U243" s="2" t="s">
        <v>18844</v>
      </c>
      <c r="V243" s="2" t="s">
        <v>17520</v>
      </c>
      <c r="W243" s="2" t="s">
        <v>56</v>
      </c>
    </row>
    <row r="244">
      <c r="A244" s="2" t="n">
        <v>164</v>
      </c>
      <c r="B244" s="2" t="s">
        <v>12764</v>
      </c>
      <c r="C244" s="2" t="s">
        <v>18853</v>
      </c>
      <c r="D244" s="2" t="n">
        <v>204.0580417</v>
      </c>
      <c r="E244" s="2" t="n">
        <v>4.61521553967402</v>
      </c>
      <c r="F244" s="2" t="s">
        <v>18855</v>
      </c>
      <c r="G244" s="2" t="n">
        <v>202173</v>
      </c>
      <c r="H244" s="3" t="str">
        <f>HYPERLINK("http://funmeta.oebiotech.com/network/202173", "http://funmeta.oebiotech.com/network/202173")</f>
      </c>
      <c r="I244" s="2" t="s">
        <v>18857</v>
      </c>
      <c r="J244" s="2" t="s">
        <v>18858</v>
      </c>
      <c r="K244" s="2"/>
      <c r="L244" s="2"/>
      <c r="M244" s="2"/>
      <c r="N244" s="2" t="s">
        <v>18859</v>
      </c>
      <c r="O244" s="2" t="s">
        <v>18860</v>
      </c>
      <c r="P244" s="2" t="s">
        <v>18861</v>
      </c>
      <c r="Q244" s="2" t="s">
        <v>18862</v>
      </c>
      <c r="R244" s="2" t="s">
        <v>186</v>
      </c>
      <c r="S244" s="2" t="s">
        <v>187</v>
      </c>
      <c r="T244" s="2" t="s">
        <v>2791</v>
      </c>
      <c r="U244" s="2" t="s">
        <v>18854</v>
      </c>
      <c r="V244" s="2" t="s">
        <v>17039</v>
      </c>
      <c r="W244" s="2"/>
    </row>
    <row r="245">
      <c r="A245" s="2" t="n">
        <v>165</v>
      </c>
      <c r="B245" s="2" t="s">
        <v>12765</v>
      </c>
      <c r="C245" s="2" t="s">
        <v>18863</v>
      </c>
      <c r="D245" s="2" t="n">
        <v>204.123583069</v>
      </c>
      <c r="E245" s="2" t="n">
        <v>8.25335005033796</v>
      </c>
      <c r="F245" s="2" t="s">
        <v>18865</v>
      </c>
      <c r="G245" s="2" t="n">
        <v>46926</v>
      </c>
      <c r="H245" s="3" t="str">
        <f>HYPERLINK("http://funmeta.oebiotech.com/network/46926", "http://funmeta.oebiotech.com/network/46926")</f>
      </c>
      <c r="I245" s="2" t="s">
        <v>18867</v>
      </c>
      <c r="J245" s="2"/>
      <c r="K245" s="2"/>
      <c r="L245" s="2"/>
      <c r="M245" s="2" t="s">
        <v>18868</v>
      </c>
      <c r="N245" s="2"/>
      <c r="O245" s="2" t="s">
        <v>18869</v>
      </c>
      <c r="P245" s="2" t="s">
        <v>18870</v>
      </c>
      <c r="Q245" s="2" t="s">
        <v>18871</v>
      </c>
      <c r="R245" s="2" t="s">
        <v>794</v>
      </c>
      <c r="S245" s="2" t="s">
        <v>795</v>
      </c>
      <c r="T245" s="2" t="s">
        <v>1870</v>
      </c>
      <c r="U245" s="2" t="s">
        <v>18864</v>
      </c>
      <c r="V245" s="2" t="s">
        <v>17117</v>
      </c>
      <c r="W245" s="2" t="s">
        <v>39</v>
      </c>
    </row>
    <row r="246">
      <c r="A246" s="2" t="n">
        <v>166</v>
      </c>
      <c r="B246" s="2" t="s">
        <v>12766</v>
      </c>
      <c r="C246" s="2" t="s">
        <v>18872</v>
      </c>
      <c r="D246" s="2" t="n">
        <v>205.05985235</v>
      </c>
      <c r="E246" s="2" t="n">
        <v>0.957148151378121</v>
      </c>
      <c r="F246" s="2" t="s">
        <v>18874</v>
      </c>
      <c r="G246" s="2" t="n">
        <v>54744</v>
      </c>
      <c r="H246" s="3" t="str">
        <f>HYPERLINK("http://funmeta.oebiotech.com/network/54744", "http://funmeta.oebiotech.com/network/54744")</f>
      </c>
      <c r="I246" s="2" t="s">
        <v>18876</v>
      </c>
      <c r="J246" s="2" t="s">
        <v>18877</v>
      </c>
      <c r="K246" s="2"/>
      <c r="L246" s="2" t="s">
        <v>18878</v>
      </c>
      <c r="M246" s="2" t="s">
        <v>18879</v>
      </c>
      <c r="N246" s="2" t="s">
        <v>18880</v>
      </c>
      <c r="O246" s="2" t="s">
        <v>18881</v>
      </c>
      <c r="P246" s="2" t="s">
        <v>18882</v>
      </c>
      <c r="Q246" s="2" t="s">
        <v>18883</v>
      </c>
      <c r="R246" s="2" t="s">
        <v>114</v>
      </c>
      <c r="S246" s="2" t="s">
        <v>2206</v>
      </c>
      <c r="T246" s="2" t="s">
        <v>3383</v>
      </c>
      <c r="U246" s="2" t="s">
        <v>18873</v>
      </c>
      <c r="V246" s="2" t="s">
        <v>17406</v>
      </c>
      <c r="W246" s="2" t="s">
        <v>101</v>
      </c>
    </row>
    <row r="247">
      <c r="A247" s="2" t="n">
        <v>167</v>
      </c>
      <c r="B247" s="2" t="s">
        <v>12767</v>
      </c>
      <c r="C247" s="2" t="s">
        <v>18884</v>
      </c>
      <c r="D247" s="2" t="n">
        <v>205.087646304</v>
      </c>
      <c r="E247" s="2" t="n">
        <v>0.254616601320254</v>
      </c>
      <c r="F247" s="2" t="s">
        <v>18886</v>
      </c>
      <c r="G247" s="2" t="n">
        <v>208821</v>
      </c>
      <c r="H247" s="3" t="str">
        <f>HYPERLINK("http://funmeta.oebiotech.com/network/208821", "http://funmeta.oebiotech.com/network/208821")</f>
      </c>
      <c r="I247" s="2" t="s">
        <v>18888</v>
      </c>
      <c r="J247" s="2" t="s">
        <v>18889</v>
      </c>
      <c r="K247" s="2"/>
      <c r="L247" s="2" t="s">
        <v>18890</v>
      </c>
      <c r="M247" s="2"/>
      <c r="N247" s="2" t="s">
        <v>18891</v>
      </c>
      <c r="O247" s="2" t="s">
        <v>18892</v>
      </c>
      <c r="P247" s="2" t="s">
        <v>18893</v>
      </c>
      <c r="Q247" s="2" t="s">
        <v>18894</v>
      </c>
      <c r="R247" s="2" t="s">
        <v>36</v>
      </c>
      <c r="S247" s="2" t="s">
        <v>2572</v>
      </c>
      <c r="T247" s="2" t="s">
        <v>18895</v>
      </c>
      <c r="U247" s="2" t="s">
        <v>18885</v>
      </c>
      <c r="V247" s="2" t="s">
        <v>17198</v>
      </c>
      <c r="W247" s="2" t="s">
        <v>101</v>
      </c>
    </row>
    <row r="248">
      <c r="A248" s="2" t="n">
        <v>168</v>
      </c>
      <c r="B248" s="2" t="s">
        <v>12784</v>
      </c>
      <c r="C248" s="2" t="s">
        <v>18896</v>
      </c>
      <c r="D248" s="2" t="n">
        <v>206.055224979</v>
      </c>
      <c r="E248" s="2" t="n">
        <v>1.43651901200691</v>
      </c>
      <c r="F248" s="2" t="s">
        <v>26310</v>
      </c>
      <c r="G248" s="2" t="n">
        <v>55090</v>
      </c>
      <c r="H248" s="3" t="str">
        <f>HYPERLINK("http://funmeta.oebiotech.com/network/55090", "http://funmeta.oebiotech.com/network/55090")</f>
      </c>
      <c r="I248" s="2" t="s">
        <v>26311</v>
      </c>
      <c r="J248" s="2"/>
      <c r="K248" s="2"/>
      <c r="L248" s="2" t="s">
        <v>26312</v>
      </c>
      <c r="M248" s="2" t="s">
        <v>26313</v>
      </c>
      <c r="N248" s="2" t="s">
        <v>26314</v>
      </c>
      <c r="O248" s="2" t="s">
        <v>26315</v>
      </c>
      <c r="P248" s="2" t="s">
        <v>26316</v>
      </c>
      <c r="Q248" s="2" t="s">
        <v>26317</v>
      </c>
      <c r="R248" s="2" t="s">
        <v>114</v>
      </c>
      <c r="S248" s="2" t="s">
        <v>936</v>
      </c>
      <c r="T248" s="2" t="s">
        <v>12449</v>
      </c>
      <c r="U248" s="2" t="s">
        <v>18897</v>
      </c>
      <c r="V248" s="2" t="s">
        <v>17970</v>
      </c>
      <c r="W248" s="2" t="s">
        <v>56</v>
      </c>
    </row>
    <row r="249">
      <c r="A249" s="2" t="n">
        <v>168</v>
      </c>
      <c r="B249" s="2" t="s">
        <v>26318</v>
      </c>
      <c r="C249" s="2" t="s">
        <v>18896</v>
      </c>
      <c r="D249" s="2" t="n">
        <v>206.055224979</v>
      </c>
      <c r="E249" s="2" t="n">
        <v>1.43651901200691</v>
      </c>
      <c r="F249" s="2" t="s">
        <v>26319</v>
      </c>
      <c r="G249" s="2" t="n">
        <v>48105</v>
      </c>
      <c r="H249" s="3" t="str">
        <f>HYPERLINK("http://funmeta.oebiotech.com/network/48105", "http://funmeta.oebiotech.com/network/48105")</f>
      </c>
      <c r="I249" s="2" t="s">
        <v>26320</v>
      </c>
      <c r="J249" s="2" t="s">
        <v>26321</v>
      </c>
      <c r="K249" s="2"/>
      <c r="L249" s="2" t="s">
        <v>26322</v>
      </c>
      <c r="M249" s="2" t="s">
        <v>26323</v>
      </c>
      <c r="N249" s="2" t="s">
        <v>26324</v>
      </c>
      <c r="O249" s="2" t="s">
        <v>26325</v>
      </c>
      <c r="P249" s="2" t="s">
        <v>26326</v>
      </c>
      <c r="Q249" s="2" t="s">
        <v>26327</v>
      </c>
      <c r="R249" s="2" t="s">
        <v>114</v>
      </c>
      <c r="S249" s="2" t="s">
        <v>994</v>
      </c>
      <c r="T249" s="2" t="s">
        <v>1468</v>
      </c>
      <c r="U249" s="2" t="s">
        <v>18897</v>
      </c>
      <c r="V249" s="2" t="s">
        <v>17970</v>
      </c>
      <c r="W249" s="2" t="s">
        <v>56</v>
      </c>
    </row>
    <row r="250">
      <c r="A250" s="2" t="n">
        <v>169</v>
      </c>
      <c r="B250" s="2" t="s">
        <v>12785</v>
      </c>
      <c r="C250" s="2" t="s">
        <v>18910</v>
      </c>
      <c r="D250" s="2" t="n">
        <v>207.014131838</v>
      </c>
      <c r="E250" s="2" t="n">
        <v>8.93638010650391</v>
      </c>
      <c r="F250" s="2" t="s">
        <v>18912</v>
      </c>
      <c r="G250" s="2" t="n">
        <v>209407</v>
      </c>
      <c r="H250" s="3" t="str">
        <f>HYPERLINK("http://funmeta.oebiotech.com/network/209407", "http://funmeta.oebiotech.com/network/209407")</f>
      </c>
      <c r="I250" s="2" t="s">
        <v>18914</v>
      </c>
      <c r="J250" s="2"/>
      <c r="K250" s="2"/>
      <c r="L250" s="2"/>
      <c r="M250" s="2"/>
      <c r="N250" s="2" t="s">
        <v>18915</v>
      </c>
      <c r="O250" s="2"/>
      <c r="P250" s="2" t="s">
        <v>18916</v>
      </c>
      <c r="Q250" s="2" t="s">
        <v>18917</v>
      </c>
      <c r="R250" s="2" t="s">
        <v>36</v>
      </c>
      <c r="S250" s="2" t="s">
        <v>82</v>
      </c>
      <c r="T250" s="2" t="s">
        <v>1594</v>
      </c>
      <c r="U250" s="2" t="s">
        <v>18911</v>
      </c>
      <c r="V250" s="2" t="s">
        <v>17039</v>
      </c>
      <c r="W250" s="2"/>
    </row>
    <row r="251">
      <c r="A251" s="2" t="n">
        <v>170</v>
      </c>
      <c r="B251" s="2" t="s">
        <v>12786</v>
      </c>
      <c r="C251" s="2" t="s">
        <v>18918</v>
      </c>
      <c r="D251" s="2" t="n">
        <v>207.078033006</v>
      </c>
      <c r="E251" s="2" t="n">
        <v>2.38446482628486</v>
      </c>
      <c r="F251" s="2" t="s">
        <v>18920</v>
      </c>
      <c r="G251" s="2" t="n">
        <v>204093</v>
      </c>
      <c r="H251" s="3" t="str">
        <f>HYPERLINK("http://funmeta.oebiotech.com/network/204093", "http://funmeta.oebiotech.com/network/204093")</f>
      </c>
      <c r="I251" s="2" t="s">
        <v>18922</v>
      </c>
      <c r="J251" s="2"/>
      <c r="K251" s="2"/>
      <c r="L251" s="2"/>
      <c r="M251" s="2"/>
      <c r="N251" s="2"/>
      <c r="O251" s="2"/>
      <c r="P251" s="2" t="s">
        <v>18923</v>
      </c>
      <c r="Q251" s="2" t="s">
        <v>18924</v>
      </c>
      <c r="R251" s="2" t="s">
        <v>186</v>
      </c>
      <c r="S251" s="2" t="s">
        <v>911</v>
      </c>
      <c r="T251" s="2" t="s">
        <v>215</v>
      </c>
      <c r="U251" s="2" t="s">
        <v>18919</v>
      </c>
      <c r="V251" s="2" t="s">
        <v>17198</v>
      </c>
      <c r="W251" s="2"/>
    </row>
    <row r="252">
      <c r="A252" s="2" t="n">
        <v>171</v>
      </c>
      <c r="B252" s="2" t="s">
        <v>12787</v>
      </c>
      <c r="C252" s="2" t="s">
        <v>18925</v>
      </c>
      <c r="D252" s="2" t="n">
        <v>208.007253566</v>
      </c>
      <c r="E252" s="2" t="n">
        <v>0.600031776004744</v>
      </c>
      <c r="F252" s="2" t="s">
        <v>18927</v>
      </c>
      <c r="G252" s="2" t="n">
        <v>211272</v>
      </c>
      <c r="H252" s="3" t="str">
        <f>HYPERLINK("http://funmeta.oebiotech.com/network/211272", "http://funmeta.oebiotech.com/network/211272")</f>
      </c>
      <c r="I252" s="2" t="s">
        <v>18929</v>
      </c>
      <c r="J252" s="2"/>
      <c r="K252" s="2"/>
      <c r="L252" s="2"/>
      <c r="M252" s="2"/>
      <c r="N252" s="2" t="s">
        <v>18930</v>
      </c>
      <c r="O252" s="2"/>
      <c r="P252" s="2" t="s">
        <v>18931</v>
      </c>
      <c r="Q252" s="2" t="s">
        <v>18932</v>
      </c>
      <c r="R252" s="2" t="s">
        <v>36</v>
      </c>
      <c r="S252" s="2" t="s">
        <v>344</v>
      </c>
      <c r="T252" s="2" t="s">
        <v>345</v>
      </c>
      <c r="U252" s="2" t="s">
        <v>18926</v>
      </c>
      <c r="V252" s="2" t="s">
        <v>17198</v>
      </c>
      <c r="W252" s="2"/>
    </row>
    <row r="253">
      <c r="A253" s="2" t="n">
        <v>172</v>
      </c>
      <c r="B253" s="2" t="s">
        <v>12788</v>
      </c>
      <c r="C253" s="2" t="s">
        <v>18933</v>
      </c>
      <c r="D253" s="2" t="n">
        <v>209.003174282</v>
      </c>
      <c r="E253" s="2" t="n">
        <v>12.0812308244538</v>
      </c>
      <c r="F253" s="2" t="s">
        <v>18935</v>
      </c>
      <c r="G253" s="2" t="n">
        <v>207510</v>
      </c>
      <c r="H253" s="3" t="str">
        <f>HYPERLINK("http://funmeta.oebiotech.com/network/207510", "http://funmeta.oebiotech.com/network/207510")</f>
      </c>
      <c r="I253" s="2" t="s">
        <v>18937</v>
      </c>
      <c r="J253" s="2" t="s">
        <v>18938</v>
      </c>
      <c r="K253" s="2"/>
      <c r="L253" s="2"/>
      <c r="M253" s="2"/>
      <c r="N253" s="2" t="s">
        <v>18939</v>
      </c>
      <c r="O253" s="2"/>
      <c r="P253" s="2" t="s">
        <v>18940</v>
      </c>
      <c r="Q253" s="2" t="s">
        <v>18941</v>
      </c>
      <c r="R253" s="2" t="s">
        <v>129</v>
      </c>
      <c r="S253" s="2" t="s">
        <v>130</v>
      </c>
      <c r="T253" s="2" t="s">
        <v>131</v>
      </c>
      <c r="U253" s="2" t="s">
        <v>18934</v>
      </c>
      <c r="V253" s="2" t="s">
        <v>17137</v>
      </c>
      <c r="W253" s="2"/>
    </row>
    <row r="254">
      <c r="A254" s="2" t="n">
        <v>173</v>
      </c>
      <c r="B254" s="2" t="s">
        <v>12789</v>
      </c>
      <c r="C254" s="2" t="s">
        <v>18942</v>
      </c>
      <c r="D254" s="2" t="n">
        <v>209.117220378</v>
      </c>
      <c r="E254" s="2" t="n">
        <v>4.59796708180273</v>
      </c>
      <c r="F254" s="2" t="s">
        <v>26328</v>
      </c>
      <c r="G254" s="2" t="n">
        <v>55022</v>
      </c>
      <c r="H254" s="3" t="str">
        <f>HYPERLINK("http://funmeta.oebiotech.com/network/55022", "http://funmeta.oebiotech.com/network/55022")</f>
      </c>
      <c r="I254" s="2" t="s">
        <v>26329</v>
      </c>
      <c r="J254" s="2" t="s">
        <v>26330</v>
      </c>
      <c r="K254" s="2"/>
      <c r="L254" s="2"/>
      <c r="M254" s="2" t="s">
        <v>26331</v>
      </c>
      <c r="N254" s="2" t="s">
        <v>26332</v>
      </c>
      <c r="O254" s="2" t="s">
        <v>26333</v>
      </c>
      <c r="P254" s="2" t="s">
        <v>26334</v>
      </c>
      <c r="Q254" s="2" t="s">
        <v>26335</v>
      </c>
      <c r="R254" s="2" t="s">
        <v>129</v>
      </c>
      <c r="S254" s="2" t="s">
        <v>130</v>
      </c>
      <c r="T254" s="2" t="s">
        <v>131</v>
      </c>
      <c r="U254" s="2" t="s">
        <v>18943</v>
      </c>
      <c r="V254" s="2" t="s">
        <v>17137</v>
      </c>
      <c r="W254" s="2" t="s">
        <v>56</v>
      </c>
    </row>
    <row r="255">
      <c r="A255" s="2" t="n">
        <v>173</v>
      </c>
      <c r="B255" s="2" t="s">
        <v>26336</v>
      </c>
      <c r="C255" s="2" t="s">
        <v>18942</v>
      </c>
      <c r="D255" s="2" t="n">
        <v>209.117220378</v>
      </c>
      <c r="E255" s="2" t="n">
        <v>4.59796708180273</v>
      </c>
      <c r="F255" s="2" t="s">
        <v>26337</v>
      </c>
      <c r="G255" s="2" t="n">
        <v>55449</v>
      </c>
      <c r="H255" s="3" t="str">
        <f>HYPERLINK("http://funmeta.oebiotech.com/network/55449", "http://funmeta.oebiotech.com/network/55449")</f>
      </c>
      <c r="I255" s="2" t="s">
        <v>26338</v>
      </c>
      <c r="J255" s="2" t="s">
        <v>26339</v>
      </c>
      <c r="K255" s="2"/>
      <c r="L255" s="2"/>
      <c r="M255" s="2" t="s">
        <v>26340</v>
      </c>
      <c r="N255" s="2" t="s">
        <v>26341</v>
      </c>
      <c r="O255" s="2"/>
      <c r="P255" s="2" t="s">
        <v>26342</v>
      </c>
      <c r="Q255" s="2" t="s">
        <v>26343</v>
      </c>
      <c r="R255" s="2" t="s">
        <v>114</v>
      </c>
      <c r="S255" s="2" t="s">
        <v>1779</v>
      </c>
      <c r="T255" s="2" t="s">
        <v>1780</v>
      </c>
      <c r="U255" s="2" t="s">
        <v>18943</v>
      </c>
      <c r="V255" s="2" t="s">
        <v>17137</v>
      </c>
      <c r="W255" s="2" t="s">
        <v>56</v>
      </c>
    </row>
    <row r="256">
      <c r="A256" s="2" t="n">
        <v>173</v>
      </c>
      <c r="B256" s="2" t="s">
        <v>26344</v>
      </c>
      <c r="C256" s="2" t="s">
        <v>18942</v>
      </c>
      <c r="D256" s="2" t="n">
        <v>209.117220378</v>
      </c>
      <c r="E256" s="2" t="n">
        <v>4.59796708180273</v>
      </c>
      <c r="F256" s="2" t="s">
        <v>26345</v>
      </c>
      <c r="G256" s="2" t="n">
        <v>54981</v>
      </c>
      <c r="H256" s="3" t="str">
        <f>HYPERLINK("http://funmeta.oebiotech.com/network/54981", "http://funmeta.oebiotech.com/network/54981")</f>
      </c>
      <c r="I256" s="2" t="s">
        <v>26346</v>
      </c>
      <c r="J256" s="2" t="s">
        <v>26347</v>
      </c>
      <c r="K256" s="2"/>
      <c r="L256" s="2"/>
      <c r="M256" s="2" t="s">
        <v>26348</v>
      </c>
      <c r="N256" s="2" t="s">
        <v>26349</v>
      </c>
      <c r="O256" s="2" t="s">
        <v>26350</v>
      </c>
      <c r="P256" s="2" t="s">
        <v>26351</v>
      </c>
      <c r="Q256" s="2" t="s">
        <v>26352</v>
      </c>
      <c r="R256" s="2" t="s">
        <v>114</v>
      </c>
      <c r="S256" s="2" t="s">
        <v>26353</v>
      </c>
      <c r="T256" s="2" t="s">
        <v>215</v>
      </c>
      <c r="U256" s="2" t="s">
        <v>18943</v>
      </c>
      <c r="V256" s="2" t="s">
        <v>17137</v>
      </c>
      <c r="W256" s="2" t="s">
        <v>56</v>
      </c>
    </row>
    <row r="257">
      <c r="A257" s="2" t="n">
        <v>174</v>
      </c>
      <c r="B257" s="2" t="s">
        <v>12790</v>
      </c>
      <c r="C257" s="2" t="s">
        <v>18955</v>
      </c>
      <c r="D257" s="2" t="n">
        <v>210.091339979</v>
      </c>
      <c r="E257" s="2" t="n">
        <v>0.714681107978347</v>
      </c>
      <c r="F257" s="2" t="s">
        <v>18957</v>
      </c>
      <c r="G257" s="2" t="n">
        <v>35098</v>
      </c>
      <c r="H257" s="3" t="str">
        <f>HYPERLINK("http://funmeta.oebiotech.com/network/35098", "http://funmeta.oebiotech.com/network/35098")</f>
      </c>
      <c r="I257" s="2" t="s">
        <v>18959</v>
      </c>
      <c r="J257" s="2" t="s">
        <v>18960</v>
      </c>
      <c r="K257" s="2" t="s">
        <v>18961</v>
      </c>
      <c r="L257" s="2" t="s">
        <v>18962</v>
      </c>
      <c r="M257" s="2" t="s">
        <v>18963</v>
      </c>
      <c r="N257" s="2" t="s">
        <v>18964</v>
      </c>
      <c r="O257" s="2"/>
      <c r="P257" s="2" t="s">
        <v>18965</v>
      </c>
      <c r="Q257" s="2" t="s">
        <v>18966</v>
      </c>
      <c r="R257" s="2" t="s">
        <v>114</v>
      </c>
      <c r="S257" s="2" t="s">
        <v>3757</v>
      </c>
      <c r="T257" s="2" t="s">
        <v>3758</v>
      </c>
      <c r="U257" s="2" t="s">
        <v>18956</v>
      </c>
      <c r="V257" s="2" t="s">
        <v>17137</v>
      </c>
      <c r="W257" s="2" t="s">
        <v>56</v>
      </c>
    </row>
    <row r="258">
      <c r="A258" s="2" t="n">
        <v>175</v>
      </c>
      <c r="B258" s="2" t="s">
        <v>12791</v>
      </c>
      <c r="C258" s="2" t="s">
        <v>18967</v>
      </c>
      <c r="D258" s="2" t="n">
        <v>210.123702739</v>
      </c>
      <c r="E258" s="2" t="n">
        <v>9.94333636908379</v>
      </c>
      <c r="F258" s="2" t="s">
        <v>18969</v>
      </c>
      <c r="G258" s="2" t="n">
        <v>64861</v>
      </c>
      <c r="H258" s="3" t="str">
        <f>HYPERLINK("http://funmeta.oebiotech.com/network/64861", "http://funmeta.oebiotech.com/network/64861")</f>
      </c>
      <c r="I258" s="2" t="s">
        <v>18971</v>
      </c>
      <c r="J258" s="2" t="s">
        <v>18972</v>
      </c>
      <c r="K258" s="2"/>
      <c r="L258" s="2" t="s">
        <v>18973</v>
      </c>
      <c r="M258" s="2" t="s">
        <v>18974</v>
      </c>
      <c r="N258" s="2" t="s">
        <v>18975</v>
      </c>
      <c r="O258" s="2" t="s">
        <v>18976</v>
      </c>
      <c r="P258" s="2" t="s">
        <v>18977</v>
      </c>
      <c r="Q258" s="2" t="s">
        <v>18978</v>
      </c>
      <c r="R258" s="2" t="s">
        <v>114</v>
      </c>
      <c r="S258" s="2" t="s">
        <v>936</v>
      </c>
      <c r="T258" s="2" t="s">
        <v>215</v>
      </c>
      <c r="U258" s="2" t="s">
        <v>18968</v>
      </c>
      <c r="V258" s="2" t="s">
        <v>17137</v>
      </c>
      <c r="W258" s="2" t="s">
        <v>56</v>
      </c>
    </row>
    <row r="259">
      <c r="A259" s="2" t="n">
        <v>176</v>
      </c>
      <c r="B259" s="2" t="s">
        <v>12815</v>
      </c>
      <c r="C259" s="2" t="s">
        <v>18979</v>
      </c>
      <c r="D259" s="2" t="n">
        <v>210.992088666</v>
      </c>
      <c r="E259" s="2" t="n">
        <v>5.4691065250567</v>
      </c>
      <c r="F259" s="2" t="s">
        <v>18981</v>
      </c>
      <c r="G259" s="2" t="n">
        <v>56333</v>
      </c>
      <c r="H259" s="3" t="str">
        <f>HYPERLINK("http://funmeta.oebiotech.com/network/56333", "http://funmeta.oebiotech.com/network/56333")</f>
      </c>
      <c r="I259" s="2" t="s">
        <v>18983</v>
      </c>
      <c r="J259" s="2" t="s">
        <v>18984</v>
      </c>
      <c r="K259" s="2"/>
      <c r="L259" s="2"/>
      <c r="M259" s="2" t="s">
        <v>18985</v>
      </c>
      <c r="N259" s="2" t="s">
        <v>18986</v>
      </c>
      <c r="O259" s="2" t="s">
        <v>18987</v>
      </c>
      <c r="P259" s="2" t="s">
        <v>18988</v>
      </c>
      <c r="Q259" s="2" t="s">
        <v>18989</v>
      </c>
      <c r="R259" s="2" t="s">
        <v>186</v>
      </c>
      <c r="S259" s="2" t="s">
        <v>187</v>
      </c>
      <c r="T259" s="2" t="s">
        <v>215</v>
      </c>
      <c r="U259" s="2" t="s">
        <v>18980</v>
      </c>
      <c r="V259" s="2" t="s">
        <v>17406</v>
      </c>
      <c r="W259" s="2" t="s">
        <v>56</v>
      </c>
    </row>
    <row r="260">
      <c r="A260" s="2" t="n">
        <v>177</v>
      </c>
      <c r="B260" s="2" t="s">
        <v>12847</v>
      </c>
      <c r="C260" s="2" t="s">
        <v>18990</v>
      </c>
      <c r="D260" s="2" t="n">
        <v>211.099855754</v>
      </c>
      <c r="E260" s="2" t="n">
        <v>10.6194018699566</v>
      </c>
      <c r="F260" s="2" t="s">
        <v>18992</v>
      </c>
      <c r="G260" s="2" t="n">
        <v>57615</v>
      </c>
      <c r="H260" s="3" t="str">
        <f>HYPERLINK("http://funmeta.oebiotech.com/network/57615", "http://funmeta.oebiotech.com/network/57615")</f>
      </c>
      <c r="I260" s="2" t="s">
        <v>18994</v>
      </c>
      <c r="J260" s="2" t="s">
        <v>18995</v>
      </c>
      <c r="K260" s="2"/>
      <c r="L260" s="2"/>
      <c r="M260" s="2" t="s">
        <v>18996</v>
      </c>
      <c r="N260" s="2" t="s">
        <v>18997</v>
      </c>
      <c r="O260" s="2" t="s">
        <v>18998</v>
      </c>
      <c r="P260" s="2" t="s">
        <v>18999</v>
      </c>
      <c r="Q260" s="2" t="s">
        <v>19000</v>
      </c>
      <c r="R260" s="2" t="s">
        <v>36</v>
      </c>
      <c r="S260" s="2" t="s">
        <v>1857</v>
      </c>
      <c r="T260" s="2" t="s">
        <v>19001</v>
      </c>
      <c r="U260" s="2" t="s">
        <v>18991</v>
      </c>
      <c r="V260" s="2" t="s">
        <v>17137</v>
      </c>
      <c r="W260" s="2"/>
    </row>
    <row r="261">
      <c r="A261" s="2" t="n">
        <v>178</v>
      </c>
      <c r="B261" s="2" t="s">
        <v>12848</v>
      </c>
      <c r="C261" s="2" t="s">
        <v>19002</v>
      </c>
      <c r="D261" s="2" t="n">
        <v>211.169844634</v>
      </c>
      <c r="E261" s="2" t="n">
        <v>4.45927742324114</v>
      </c>
      <c r="F261" s="2" t="s">
        <v>26354</v>
      </c>
      <c r="G261" s="2" t="n">
        <v>1909</v>
      </c>
      <c r="H261" s="3" t="str">
        <f>HYPERLINK("http://funmeta.oebiotech.com/network/1909", "http://funmeta.oebiotech.com/network/1909")</f>
      </c>
      <c r="I261" s="2" t="s">
        <v>26355</v>
      </c>
      <c r="J261" s="2" t="s">
        <v>26356</v>
      </c>
      <c r="K261" s="2" t="s">
        <v>26357</v>
      </c>
      <c r="L261" s="2"/>
      <c r="M261" s="2"/>
      <c r="N261" s="2" t="s">
        <v>26358</v>
      </c>
      <c r="O261" s="2" t="s">
        <v>26359</v>
      </c>
      <c r="P261" s="2" t="s">
        <v>26360</v>
      </c>
      <c r="Q261" s="2" t="s">
        <v>26361</v>
      </c>
      <c r="R261" s="2" t="s">
        <v>794</v>
      </c>
      <c r="S261" s="2" t="s">
        <v>795</v>
      </c>
      <c r="T261" s="2" t="s">
        <v>796</v>
      </c>
      <c r="U261" s="2" t="s">
        <v>19003</v>
      </c>
      <c r="V261" s="2" t="s">
        <v>17039</v>
      </c>
      <c r="W261" s="2" t="s">
        <v>56</v>
      </c>
    </row>
    <row r="262">
      <c r="A262" s="2" t="n">
        <v>178</v>
      </c>
      <c r="B262" s="2" t="s">
        <v>26362</v>
      </c>
      <c r="C262" s="2" t="s">
        <v>19002</v>
      </c>
      <c r="D262" s="2" t="n">
        <v>211.169844634</v>
      </c>
      <c r="E262" s="2" t="n">
        <v>4.45927742324114</v>
      </c>
      <c r="F262" s="2" t="s">
        <v>26363</v>
      </c>
      <c r="G262" s="2" t="n">
        <v>59930</v>
      </c>
      <c r="H262" s="3" t="str">
        <f>HYPERLINK("http://funmeta.oebiotech.com/network/59930", "http://funmeta.oebiotech.com/network/59930")</f>
      </c>
      <c r="I262" s="2" t="s">
        <v>26364</v>
      </c>
      <c r="J262" s="2" t="s">
        <v>26365</v>
      </c>
      <c r="K262" s="2"/>
      <c r="L262" s="2"/>
      <c r="M262" s="2"/>
      <c r="N262" s="2" t="s">
        <v>26366</v>
      </c>
      <c r="O262" s="2" t="s">
        <v>26367</v>
      </c>
      <c r="P262" s="2" t="s">
        <v>26368</v>
      </c>
      <c r="Q262" s="2" t="s">
        <v>26369</v>
      </c>
      <c r="R262" s="2" t="s">
        <v>794</v>
      </c>
      <c r="S262" s="2" t="s">
        <v>1098</v>
      </c>
      <c r="T262" s="2" t="s">
        <v>1099</v>
      </c>
      <c r="U262" s="2" t="s">
        <v>19003</v>
      </c>
      <c r="V262" s="2" t="s">
        <v>17039</v>
      </c>
      <c r="W262" s="2" t="s">
        <v>56</v>
      </c>
    </row>
    <row r="263">
      <c r="A263" s="2" t="n">
        <v>178</v>
      </c>
      <c r="B263" s="2" t="s">
        <v>26370</v>
      </c>
      <c r="C263" s="2" t="s">
        <v>19002</v>
      </c>
      <c r="D263" s="2" t="n">
        <v>211.169844634</v>
      </c>
      <c r="E263" s="2" t="n">
        <v>4.45927742324114</v>
      </c>
      <c r="F263" s="2" t="s">
        <v>26371</v>
      </c>
      <c r="G263" s="2" t="n">
        <v>60833</v>
      </c>
      <c r="H263" s="3" t="str">
        <f>HYPERLINK("http://funmeta.oebiotech.com/network/60833", "http://funmeta.oebiotech.com/network/60833")</f>
      </c>
      <c r="I263" s="2" t="s">
        <v>26372</v>
      </c>
      <c r="J263" s="2" t="s">
        <v>26373</v>
      </c>
      <c r="K263" s="2"/>
      <c r="L263" s="2"/>
      <c r="M263" s="2"/>
      <c r="N263" s="2" t="s">
        <v>26374</v>
      </c>
      <c r="O263" s="2" t="s">
        <v>26375</v>
      </c>
      <c r="P263" s="2" t="s">
        <v>26376</v>
      </c>
      <c r="Q263" s="2" t="s">
        <v>26377</v>
      </c>
      <c r="R263" s="2" t="s">
        <v>794</v>
      </c>
      <c r="S263" s="2" t="s">
        <v>1098</v>
      </c>
      <c r="T263" s="2" t="s">
        <v>1099</v>
      </c>
      <c r="U263" s="2" t="s">
        <v>19003</v>
      </c>
      <c r="V263" s="2" t="s">
        <v>17039</v>
      </c>
      <c r="W263" s="2" t="s">
        <v>56</v>
      </c>
    </row>
    <row r="264">
      <c r="A264" s="2" t="n">
        <v>179</v>
      </c>
      <c r="B264" s="2" t="s">
        <v>12849</v>
      </c>
      <c r="C264" s="2" t="s">
        <v>19014</v>
      </c>
      <c r="D264" s="2" t="n">
        <v>213.113472404</v>
      </c>
      <c r="E264" s="2" t="n">
        <v>1.23348756958385</v>
      </c>
      <c r="F264" s="2" t="s">
        <v>19016</v>
      </c>
      <c r="G264" s="2" t="n">
        <v>54607</v>
      </c>
      <c r="H264" s="3" t="str">
        <f>HYPERLINK("http://funmeta.oebiotech.com/network/54607", "http://funmeta.oebiotech.com/network/54607")</f>
      </c>
      <c r="I264" s="2" t="s">
        <v>19018</v>
      </c>
      <c r="J264" s="2" t="s">
        <v>19019</v>
      </c>
      <c r="K264" s="2"/>
      <c r="L264" s="2" t="s">
        <v>19020</v>
      </c>
      <c r="M264" s="2"/>
      <c r="N264" s="2" t="s">
        <v>19021</v>
      </c>
      <c r="O264" s="2" t="s">
        <v>19022</v>
      </c>
      <c r="P264" s="2" t="s">
        <v>19023</v>
      </c>
      <c r="Q264" s="2" t="s">
        <v>19024</v>
      </c>
      <c r="R264" s="2" t="s">
        <v>114</v>
      </c>
      <c r="S264" s="2" t="s">
        <v>2057</v>
      </c>
      <c r="T264" s="2" t="s">
        <v>215</v>
      </c>
      <c r="U264" s="2" t="s">
        <v>19015</v>
      </c>
      <c r="V264" s="2" t="s">
        <v>17137</v>
      </c>
      <c r="W264" s="2" t="s">
        <v>56</v>
      </c>
    </row>
    <row r="265">
      <c r="A265" s="2" t="n">
        <v>180</v>
      </c>
      <c r="B265" s="2" t="s">
        <v>12850</v>
      </c>
      <c r="C265" s="2" t="s">
        <v>19025</v>
      </c>
      <c r="D265" s="2" t="n">
        <v>215.071233549</v>
      </c>
      <c r="E265" s="2" t="n">
        <v>1.95350650941314</v>
      </c>
      <c r="F265" s="2" t="s">
        <v>19027</v>
      </c>
      <c r="G265" s="2" t="n">
        <v>202269</v>
      </c>
      <c r="H265" s="3" t="str">
        <f>HYPERLINK("http://funmeta.oebiotech.com/network/202269", "http://funmeta.oebiotech.com/network/202269")</f>
      </c>
      <c r="I265" s="2" t="s">
        <v>19029</v>
      </c>
      <c r="J265" s="2"/>
      <c r="K265" s="2"/>
      <c r="L265" s="2"/>
      <c r="M265" s="2"/>
      <c r="N265" s="2" t="s">
        <v>19030</v>
      </c>
      <c r="O265" s="2"/>
      <c r="P265" s="2" t="s">
        <v>19031</v>
      </c>
      <c r="Q265" s="2" t="s">
        <v>19032</v>
      </c>
      <c r="R265" s="2" t="s">
        <v>794</v>
      </c>
      <c r="S265" s="2" t="s">
        <v>795</v>
      </c>
      <c r="T265" s="2" t="s">
        <v>1870</v>
      </c>
      <c r="U265" s="2" t="s">
        <v>19026</v>
      </c>
      <c r="V265" s="2" t="s">
        <v>17198</v>
      </c>
      <c r="W265" s="2"/>
    </row>
    <row r="266">
      <c r="A266" s="2" t="n">
        <v>181</v>
      </c>
      <c r="B266" s="2" t="s">
        <v>12851</v>
      </c>
      <c r="C266" s="2" t="s">
        <v>19033</v>
      </c>
      <c r="D266" s="2" t="n">
        <v>216.019111139</v>
      </c>
      <c r="E266" s="2" t="n">
        <v>6.84537872265502</v>
      </c>
      <c r="F266" s="2" t="s">
        <v>19035</v>
      </c>
      <c r="G266" s="2" t="n">
        <v>204787</v>
      </c>
      <c r="H266" s="3" t="str">
        <f>HYPERLINK("http://funmeta.oebiotech.com/network/204787", "http://funmeta.oebiotech.com/network/204787")</f>
      </c>
      <c r="I266" s="2" t="s">
        <v>19037</v>
      </c>
      <c r="J266" s="2"/>
      <c r="K266" s="2"/>
      <c r="L266" s="2"/>
      <c r="M266" s="2"/>
      <c r="N266" s="2" t="s">
        <v>19038</v>
      </c>
      <c r="O266" s="2"/>
      <c r="P266" s="2" t="s">
        <v>19039</v>
      </c>
      <c r="Q266" s="2" t="s">
        <v>19040</v>
      </c>
      <c r="R266" s="2" t="s">
        <v>36</v>
      </c>
      <c r="S266" s="2" t="s">
        <v>1108</v>
      </c>
      <c r="T266" s="2" t="s">
        <v>19041</v>
      </c>
      <c r="U266" s="2" t="s">
        <v>19034</v>
      </c>
      <c r="V266" s="2" t="s">
        <v>17039</v>
      </c>
      <c r="W266" s="2"/>
    </row>
    <row r="267">
      <c r="A267" s="2" t="n">
        <v>182</v>
      </c>
      <c r="B267" s="2" t="s">
        <v>12852</v>
      </c>
      <c r="C267" s="2" t="s">
        <v>19042</v>
      </c>
      <c r="D267" s="2" t="n">
        <v>216.055136551</v>
      </c>
      <c r="E267" s="2" t="n">
        <v>11.6678519736513</v>
      </c>
      <c r="F267" s="2" t="s">
        <v>19044</v>
      </c>
      <c r="G267" s="2" t="n">
        <v>210818</v>
      </c>
      <c r="H267" s="3" t="str">
        <f>HYPERLINK("http://funmeta.oebiotech.com/network/210818", "http://funmeta.oebiotech.com/network/210818")</f>
      </c>
      <c r="I267" s="2" t="s">
        <v>19046</v>
      </c>
      <c r="J267" s="2"/>
      <c r="K267" s="2"/>
      <c r="L267" s="2"/>
      <c r="M267" s="2" t="s">
        <v>19047</v>
      </c>
      <c r="N267" s="2" t="s">
        <v>19048</v>
      </c>
      <c r="O267" s="2"/>
      <c r="P267" s="2" t="s">
        <v>19049</v>
      </c>
      <c r="Q267" s="2" t="s">
        <v>19050</v>
      </c>
      <c r="R267" s="2" t="s">
        <v>114</v>
      </c>
      <c r="S267" s="2" t="s">
        <v>19051</v>
      </c>
      <c r="T267" s="2" t="s">
        <v>215</v>
      </c>
      <c r="U267" s="2" t="s">
        <v>19043</v>
      </c>
      <c r="V267" s="2" t="s">
        <v>17520</v>
      </c>
      <c r="W267" s="2"/>
    </row>
    <row r="268">
      <c r="A268" s="2" t="n">
        <v>183</v>
      </c>
      <c r="B268" s="2" t="s">
        <v>12874</v>
      </c>
      <c r="C268" s="2" t="s">
        <v>19052</v>
      </c>
      <c r="D268" s="2" t="n">
        <v>216.126302795</v>
      </c>
      <c r="E268" s="2" t="n">
        <v>19.7499244782658</v>
      </c>
      <c r="F268" s="2" t="s">
        <v>19054</v>
      </c>
      <c r="G268" s="2" t="n">
        <v>200278</v>
      </c>
      <c r="H268" s="3" t="str">
        <f>HYPERLINK("http://funmeta.oebiotech.com/network/200278", "http://funmeta.oebiotech.com/network/200278")</f>
      </c>
      <c r="I268" s="2" t="s">
        <v>19056</v>
      </c>
      <c r="J268" s="2"/>
      <c r="K268" s="2"/>
      <c r="L268" s="2"/>
      <c r="M268" s="2"/>
      <c r="N268" s="2" t="s">
        <v>19057</v>
      </c>
      <c r="O268" s="2"/>
      <c r="P268" s="2" t="s">
        <v>19058</v>
      </c>
      <c r="Q268" s="2" t="s">
        <v>19059</v>
      </c>
      <c r="R268" s="2" t="s">
        <v>186</v>
      </c>
      <c r="S268" s="2" t="s">
        <v>187</v>
      </c>
      <c r="T268" s="2" t="s">
        <v>215</v>
      </c>
      <c r="U268" s="2" t="s">
        <v>19053</v>
      </c>
      <c r="V268" s="2" t="s">
        <v>17039</v>
      </c>
      <c r="W268" s="2"/>
    </row>
    <row r="269">
      <c r="A269" s="2" t="n">
        <v>184</v>
      </c>
      <c r="B269" s="2" t="s">
        <v>12875</v>
      </c>
      <c r="C269" s="2" t="s">
        <v>19060</v>
      </c>
      <c r="D269" s="2" t="n">
        <v>217.047165282</v>
      </c>
      <c r="E269" s="2" t="n">
        <v>1.92940761593985</v>
      </c>
      <c r="F269" s="2" t="s">
        <v>19062</v>
      </c>
      <c r="G269" s="2" t="n">
        <v>256887</v>
      </c>
      <c r="H269" s="3" t="str">
        <f>HYPERLINK("http://funmeta.oebiotech.com/network/256887", "http://funmeta.oebiotech.com/network/256887")</f>
      </c>
      <c r="I269" s="2" t="s">
        <v>19064</v>
      </c>
      <c r="J269" s="2" t="s">
        <v>19065</v>
      </c>
      <c r="K269" s="2"/>
      <c r="L269" s="2" t="s">
        <v>19066</v>
      </c>
      <c r="M269" s="2" t="s">
        <v>19067</v>
      </c>
      <c r="N269" s="2" t="s">
        <v>19068</v>
      </c>
      <c r="O269" s="2"/>
      <c r="P269" s="2" t="s">
        <v>19069</v>
      </c>
      <c r="Q269" s="2" t="s">
        <v>19070</v>
      </c>
      <c r="R269" s="2" t="s">
        <v>36</v>
      </c>
      <c r="S269" s="2" t="s">
        <v>2572</v>
      </c>
      <c r="T269" s="2" t="s">
        <v>2637</v>
      </c>
      <c r="U269" s="2" t="s">
        <v>19061</v>
      </c>
      <c r="V269" s="2" t="s">
        <v>17137</v>
      </c>
      <c r="W269" s="2" t="s">
        <v>101</v>
      </c>
    </row>
    <row r="270">
      <c r="A270" s="2" t="n">
        <v>185</v>
      </c>
      <c r="B270" s="2" t="s">
        <v>12876</v>
      </c>
      <c r="C270" s="2" t="s">
        <v>19071</v>
      </c>
      <c r="D270" s="2" t="n">
        <v>218.103166993</v>
      </c>
      <c r="E270" s="2" t="n">
        <v>0.887579035984538</v>
      </c>
      <c r="F270" s="2" t="s">
        <v>19073</v>
      </c>
      <c r="G270" s="2" t="n">
        <v>61834</v>
      </c>
      <c r="H270" s="3" t="str">
        <f>HYPERLINK("http://funmeta.oebiotech.com/network/61834", "http://funmeta.oebiotech.com/network/61834")</f>
      </c>
      <c r="I270" s="2" t="s">
        <v>19075</v>
      </c>
      <c r="J270" s="2" t="s">
        <v>19076</v>
      </c>
      <c r="K270" s="2"/>
      <c r="L270" s="2"/>
      <c r="M270" s="2" t="s">
        <v>19077</v>
      </c>
      <c r="N270" s="2" t="s">
        <v>19078</v>
      </c>
      <c r="O270" s="2" t="s">
        <v>19079</v>
      </c>
      <c r="P270" s="2" t="s">
        <v>19080</v>
      </c>
      <c r="Q270" s="2" t="s">
        <v>19081</v>
      </c>
      <c r="R270" s="2" t="s">
        <v>644</v>
      </c>
      <c r="S270" s="2" t="s">
        <v>645</v>
      </c>
      <c r="T270" s="2" t="s">
        <v>215</v>
      </c>
      <c r="U270" s="2" t="s">
        <v>19072</v>
      </c>
      <c r="V270" s="2" t="s">
        <v>17137</v>
      </c>
      <c r="W270" s="2" t="s">
        <v>56</v>
      </c>
    </row>
    <row r="271">
      <c r="A271" s="2" t="n">
        <v>186</v>
      </c>
      <c r="B271" s="2" t="s">
        <v>12877</v>
      </c>
      <c r="C271" s="2" t="s">
        <v>19082</v>
      </c>
      <c r="D271" s="2" t="n">
        <v>219.026391366</v>
      </c>
      <c r="E271" s="2" t="n">
        <v>6.86870745802724</v>
      </c>
      <c r="F271" s="2" t="s">
        <v>19084</v>
      </c>
      <c r="G271" s="2" t="n">
        <v>81847</v>
      </c>
      <c r="H271" s="3" t="str">
        <f>HYPERLINK("http://funmeta.oebiotech.com/network/81847", "http://funmeta.oebiotech.com/network/81847")</f>
      </c>
      <c r="I271" s="2" t="s">
        <v>19086</v>
      </c>
      <c r="J271" s="2"/>
      <c r="K271" s="2"/>
      <c r="L271" s="2"/>
      <c r="M271" s="2" t="s">
        <v>19087</v>
      </c>
      <c r="N271" s="2" t="s">
        <v>19088</v>
      </c>
      <c r="O271" s="2"/>
      <c r="P271" s="2" t="s">
        <v>19089</v>
      </c>
      <c r="Q271" s="2" t="s">
        <v>19090</v>
      </c>
      <c r="R271" s="2" t="s">
        <v>186</v>
      </c>
      <c r="S271" s="2" t="s">
        <v>8491</v>
      </c>
      <c r="T271" s="2" t="s">
        <v>215</v>
      </c>
      <c r="U271" s="2" t="s">
        <v>19083</v>
      </c>
      <c r="V271" s="2" t="s">
        <v>17198</v>
      </c>
      <c r="W271" s="2" t="s">
        <v>39</v>
      </c>
    </row>
    <row r="272">
      <c r="A272" s="2" t="n">
        <v>187</v>
      </c>
      <c r="B272" s="2" t="s">
        <v>12891</v>
      </c>
      <c r="C272" s="2" t="s">
        <v>19091</v>
      </c>
      <c r="D272" s="2" t="n">
        <v>219.060369936</v>
      </c>
      <c r="E272" s="2" t="n">
        <v>6.13722151536472</v>
      </c>
      <c r="F272" s="2" t="s">
        <v>19093</v>
      </c>
      <c r="G272" s="2" t="n">
        <v>2816</v>
      </c>
      <c r="H272" s="3" t="str">
        <f>HYPERLINK("http://funmeta.oebiotech.com/network/2816", "http://funmeta.oebiotech.com/network/2816")</f>
      </c>
      <c r="I272" s="2" t="s">
        <v>19095</v>
      </c>
      <c r="J272" s="2" t="s">
        <v>19096</v>
      </c>
      <c r="K272" s="2" t="s">
        <v>19097</v>
      </c>
      <c r="L272" s="2" t="s">
        <v>19098</v>
      </c>
      <c r="M272" s="2" t="s">
        <v>19099</v>
      </c>
      <c r="N272" s="2" t="s">
        <v>19100</v>
      </c>
      <c r="O272" s="2" t="s">
        <v>19101</v>
      </c>
      <c r="P272" s="2" t="s">
        <v>19102</v>
      </c>
      <c r="Q272" s="2" t="s">
        <v>19103</v>
      </c>
      <c r="R272" s="2" t="s">
        <v>794</v>
      </c>
      <c r="S272" s="2" t="s">
        <v>795</v>
      </c>
      <c r="T272" s="2" t="s">
        <v>796</v>
      </c>
      <c r="U272" s="2" t="s">
        <v>19092</v>
      </c>
      <c r="V272" s="2" t="s">
        <v>17970</v>
      </c>
      <c r="W272" s="2" t="s">
        <v>39</v>
      </c>
    </row>
    <row r="273">
      <c r="A273" s="2" t="n">
        <v>188</v>
      </c>
      <c r="B273" s="2" t="s">
        <v>12905</v>
      </c>
      <c r="C273" s="2" t="s">
        <v>19104</v>
      </c>
      <c r="D273" s="2" t="n">
        <v>220.031258901</v>
      </c>
      <c r="E273" s="2" t="n">
        <v>2.43990464401099</v>
      </c>
      <c r="F273" s="2" t="s">
        <v>19106</v>
      </c>
      <c r="G273" s="2" t="n">
        <v>205295</v>
      </c>
      <c r="H273" s="3" t="str">
        <f>HYPERLINK("http://funmeta.oebiotech.com/network/205295", "http://funmeta.oebiotech.com/network/205295")</f>
      </c>
      <c r="I273" s="2" t="s">
        <v>19108</v>
      </c>
      <c r="J273" s="2"/>
      <c r="K273" s="2"/>
      <c r="L273" s="2"/>
      <c r="M273" s="2"/>
      <c r="N273" s="2" t="s">
        <v>19109</v>
      </c>
      <c r="O273" s="2"/>
      <c r="P273" s="2" t="s">
        <v>19110</v>
      </c>
      <c r="Q273" s="2" t="s">
        <v>19111</v>
      </c>
      <c r="R273" s="2" t="s">
        <v>36</v>
      </c>
      <c r="S273" s="2" t="s">
        <v>37</v>
      </c>
      <c r="T273" s="2" t="s">
        <v>69</v>
      </c>
      <c r="U273" s="2" t="s">
        <v>19105</v>
      </c>
      <c r="V273" s="2" t="s">
        <v>17137</v>
      </c>
      <c r="W273" s="2"/>
    </row>
    <row r="274">
      <c r="A274" s="2" t="n">
        <v>189</v>
      </c>
      <c r="B274" s="2" t="s">
        <v>12906</v>
      </c>
      <c r="C274" s="2" t="s">
        <v>19112</v>
      </c>
      <c r="D274" s="2" t="n">
        <v>220.99591469</v>
      </c>
      <c r="E274" s="2" t="n">
        <v>2.66627134677586</v>
      </c>
      <c r="F274" s="2" t="s">
        <v>26378</v>
      </c>
      <c r="G274" s="2" t="n">
        <v>200949</v>
      </c>
      <c r="H274" s="3" t="str">
        <f>HYPERLINK("http://funmeta.oebiotech.com/network/200949", "http://funmeta.oebiotech.com/network/200949")</f>
      </c>
      <c r="I274" s="2" t="s">
        <v>26379</v>
      </c>
      <c r="J274" s="2" t="s">
        <v>26380</v>
      </c>
      <c r="K274" s="2"/>
      <c r="L274" s="2" t="s">
        <v>26381</v>
      </c>
      <c r="M274" s="2" t="s">
        <v>26382</v>
      </c>
      <c r="N274" s="2" t="s">
        <v>26383</v>
      </c>
      <c r="O274" s="2" t="s">
        <v>26384</v>
      </c>
      <c r="P274" s="2" t="s">
        <v>26385</v>
      </c>
      <c r="Q274" s="2" t="s">
        <v>26386</v>
      </c>
      <c r="R274" s="2" t="s">
        <v>186</v>
      </c>
      <c r="S274" s="2" t="s">
        <v>187</v>
      </c>
      <c r="T274" s="2" t="s">
        <v>188</v>
      </c>
      <c r="U274" s="2" t="s">
        <v>19113</v>
      </c>
      <c r="V274" s="2" t="s">
        <v>17406</v>
      </c>
      <c r="W274" s="2" t="s">
        <v>101</v>
      </c>
    </row>
    <row r="275">
      <c r="A275" s="2" t="n">
        <v>189</v>
      </c>
      <c r="B275" s="2" t="s">
        <v>12917</v>
      </c>
      <c r="C275" s="2" t="s">
        <v>19112</v>
      </c>
      <c r="D275" s="2" t="n">
        <v>220.99591469</v>
      </c>
      <c r="E275" s="2" t="n">
        <v>2.66627134677586</v>
      </c>
      <c r="F275" s="2" t="s">
        <v>26387</v>
      </c>
      <c r="G275" s="2" t="n">
        <v>200893</v>
      </c>
      <c r="H275" s="3" t="str">
        <f>HYPERLINK("http://funmeta.oebiotech.com/network/200893", "http://funmeta.oebiotech.com/network/200893")</f>
      </c>
      <c r="I275" s="2" t="s">
        <v>26388</v>
      </c>
      <c r="J275" s="2" t="s">
        <v>26389</v>
      </c>
      <c r="K275" s="2"/>
      <c r="L275" s="2" t="s">
        <v>26390</v>
      </c>
      <c r="M275" s="2" t="s">
        <v>26391</v>
      </c>
      <c r="N275" s="2" t="s">
        <v>26392</v>
      </c>
      <c r="O275" s="2" t="s">
        <v>26393</v>
      </c>
      <c r="P275" s="2" t="s">
        <v>26394</v>
      </c>
      <c r="Q275" s="2" t="s">
        <v>26395</v>
      </c>
      <c r="R275" s="2" t="s">
        <v>186</v>
      </c>
      <c r="S275" s="2" t="s">
        <v>187</v>
      </c>
      <c r="T275" s="2" t="s">
        <v>188</v>
      </c>
      <c r="U275" s="2" t="s">
        <v>19113</v>
      </c>
      <c r="V275" s="2" t="s">
        <v>17406</v>
      </c>
      <c r="W275" s="2" t="s">
        <v>101</v>
      </c>
    </row>
    <row r="276">
      <c r="A276" s="2" t="n">
        <v>190</v>
      </c>
      <c r="B276" s="2" t="s">
        <v>12939</v>
      </c>
      <c r="C276" s="2" t="s">
        <v>19125</v>
      </c>
      <c r="D276" s="2" t="n">
        <v>221.031119322</v>
      </c>
      <c r="E276" s="2" t="n">
        <v>3.061002641152</v>
      </c>
      <c r="F276" s="2" t="s">
        <v>19127</v>
      </c>
      <c r="G276" s="2" t="n">
        <v>53001</v>
      </c>
      <c r="H276" s="3" t="str">
        <f>HYPERLINK("http://funmeta.oebiotech.com/network/53001", "http://funmeta.oebiotech.com/network/53001")</f>
      </c>
      <c r="I276" s="2" t="s">
        <v>19129</v>
      </c>
      <c r="J276" s="2"/>
      <c r="K276" s="2"/>
      <c r="L276" s="2"/>
      <c r="M276" s="2" t="s">
        <v>19130</v>
      </c>
      <c r="N276" s="2" t="s">
        <v>19131</v>
      </c>
      <c r="O276" s="2" t="s">
        <v>19132</v>
      </c>
      <c r="P276" s="2" t="s">
        <v>19133</v>
      </c>
      <c r="Q276" s="2" t="s">
        <v>19134</v>
      </c>
      <c r="R276" s="2" t="s">
        <v>114</v>
      </c>
      <c r="S276" s="2" t="s">
        <v>1050</v>
      </c>
      <c r="T276" s="2" t="s">
        <v>1122</v>
      </c>
      <c r="U276" s="2" t="s">
        <v>19126</v>
      </c>
      <c r="V276" s="2" t="s">
        <v>17039</v>
      </c>
      <c r="W276" s="2" t="s">
        <v>56</v>
      </c>
    </row>
    <row r="277">
      <c r="A277" s="2" t="n">
        <v>191</v>
      </c>
      <c r="B277" s="2" t="s">
        <v>12940</v>
      </c>
      <c r="C277" s="2" t="s">
        <v>19135</v>
      </c>
      <c r="D277" s="2" t="n">
        <v>222.031571914</v>
      </c>
      <c r="E277" s="2" t="n">
        <v>0.897657346462126</v>
      </c>
      <c r="F277" s="2" t="s">
        <v>26396</v>
      </c>
      <c r="G277" s="2" t="n">
        <v>210276</v>
      </c>
      <c r="H277" s="3" t="str">
        <f>HYPERLINK("http://funmeta.oebiotech.com/network/210276", "http://funmeta.oebiotech.com/network/210276")</f>
      </c>
      <c r="I277" s="2" t="s">
        <v>26397</v>
      </c>
      <c r="J277" s="2" t="s">
        <v>26398</v>
      </c>
      <c r="K277" s="2"/>
      <c r="L277" s="2"/>
      <c r="M277" s="2" t="s">
        <v>26399</v>
      </c>
      <c r="N277" s="2" t="s">
        <v>26400</v>
      </c>
      <c r="O277" s="2"/>
      <c r="P277" s="2" t="s">
        <v>26401</v>
      </c>
      <c r="Q277" s="2" t="s">
        <v>26402</v>
      </c>
      <c r="R277" s="2" t="s">
        <v>114</v>
      </c>
      <c r="S277" s="2" t="s">
        <v>3933</v>
      </c>
      <c r="T277" s="2" t="s">
        <v>3934</v>
      </c>
      <c r="U277" s="2" t="s">
        <v>19136</v>
      </c>
      <c r="V277" s="2" t="s">
        <v>17406</v>
      </c>
      <c r="W277" s="2"/>
    </row>
    <row r="278">
      <c r="A278" s="2" t="n">
        <v>191</v>
      </c>
      <c r="B278" s="2" t="s">
        <v>26403</v>
      </c>
      <c r="C278" s="2" t="s">
        <v>19135</v>
      </c>
      <c r="D278" s="2" t="n">
        <v>222.031571914</v>
      </c>
      <c r="E278" s="2" t="n">
        <v>0.897657346462126</v>
      </c>
      <c r="F278" s="2" t="s">
        <v>26404</v>
      </c>
      <c r="G278" s="2" t="n">
        <v>201618</v>
      </c>
      <c r="H278" s="3" t="str">
        <f>HYPERLINK("http://funmeta.oebiotech.com/network/201618", "http://funmeta.oebiotech.com/network/201618")</f>
      </c>
      <c r="I278" s="2" t="s">
        <v>26405</v>
      </c>
      <c r="J278" s="2"/>
      <c r="K278" s="2"/>
      <c r="L278" s="2"/>
      <c r="M278" s="2"/>
      <c r="N278" s="2" t="s">
        <v>26406</v>
      </c>
      <c r="O278" s="2"/>
      <c r="P278" s="2" t="s">
        <v>26407</v>
      </c>
      <c r="Q278" s="2" t="s">
        <v>26408</v>
      </c>
      <c r="R278" s="2" t="s">
        <v>114</v>
      </c>
      <c r="S278" s="2" t="s">
        <v>3933</v>
      </c>
      <c r="T278" s="2" t="s">
        <v>3934</v>
      </c>
      <c r="U278" s="2" t="s">
        <v>19136</v>
      </c>
      <c r="V278" s="2" t="s">
        <v>17406</v>
      </c>
      <c r="W278" s="2"/>
    </row>
    <row r="279">
      <c r="A279" s="2" t="n">
        <v>192</v>
      </c>
      <c r="B279" s="2" t="s">
        <v>12941</v>
      </c>
      <c r="C279" s="2" t="s">
        <v>19147</v>
      </c>
      <c r="D279" s="2" t="n">
        <v>222.9897035</v>
      </c>
      <c r="E279" s="2" t="n">
        <v>0.768209723594738</v>
      </c>
      <c r="F279" s="2" t="s">
        <v>19149</v>
      </c>
      <c r="G279" s="2" t="n">
        <v>202400</v>
      </c>
      <c r="H279" s="3" t="str">
        <f>HYPERLINK("http://funmeta.oebiotech.com/network/202400", "http://funmeta.oebiotech.com/network/202400")</f>
      </c>
      <c r="I279" s="2" t="s">
        <v>19151</v>
      </c>
      <c r="J279" s="2" t="s">
        <v>19152</v>
      </c>
      <c r="K279" s="2"/>
      <c r="L279" s="2"/>
      <c r="M279" s="2"/>
      <c r="N279" s="2" t="s">
        <v>19153</v>
      </c>
      <c r="O279" s="2"/>
      <c r="P279" s="2" t="s">
        <v>19154</v>
      </c>
      <c r="Q279" s="2" t="s">
        <v>19155</v>
      </c>
      <c r="R279" s="2" t="s">
        <v>186</v>
      </c>
      <c r="S279" s="2" t="s">
        <v>4086</v>
      </c>
      <c r="T279" s="2" t="s">
        <v>19156</v>
      </c>
      <c r="U279" s="2" t="s">
        <v>19148</v>
      </c>
      <c r="V279" s="2" t="s">
        <v>17970</v>
      </c>
      <c r="W279" s="2"/>
    </row>
    <row r="280">
      <c r="A280" s="2" t="n">
        <v>193</v>
      </c>
      <c r="B280" s="2" t="s">
        <v>12960</v>
      </c>
      <c r="C280" s="2" t="s">
        <v>19157</v>
      </c>
      <c r="D280" s="2" t="n">
        <v>223.051818258</v>
      </c>
      <c r="E280" s="2" t="n">
        <v>0.188815872927454</v>
      </c>
      <c r="F280" s="2" t="s">
        <v>19159</v>
      </c>
      <c r="G280" s="2" t="n">
        <v>204029</v>
      </c>
      <c r="H280" s="3" t="str">
        <f>HYPERLINK("http://funmeta.oebiotech.com/network/204029", "http://funmeta.oebiotech.com/network/204029")</f>
      </c>
      <c r="I280" s="2" t="s">
        <v>19161</v>
      </c>
      <c r="J280" s="2"/>
      <c r="K280" s="2"/>
      <c r="L280" s="2"/>
      <c r="M280" s="2"/>
      <c r="N280" s="2" t="s">
        <v>19162</v>
      </c>
      <c r="O280" s="2"/>
      <c r="P280" s="2" t="s">
        <v>19163</v>
      </c>
      <c r="Q280" s="2" t="s">
        <v>19164</v>
      </c>
      <c r="R280" s="2" t="s">
        <v>186</v>
      </c>
      <c r="S280" s="2" t="s">
        <v>9353</v>
      </c>
      <c r="T280" s="2" t="s">
        <v>215</v>
      </c>
      <c r="U280" s="2" t="s">
        <v>19158</v>
      </c>
      <c r="V280" s="2" t="s">
        <v>17198</v>
      </c>
      <c r="W280" s="2"/>
    </row>
    <row r="281">
      <c r="A281" s="2" t="n">
        <v>194</v>
      </c>
      <c r="B281" s="2" t="s">
        <v>12961</v>
      </c>
      <c r="C281" s="2" t="s">
        <v>19165</v>
      </c>
      <c r="D281" s="2" t="n">
        <v>223.975260579</v>
      </c>
      <c r="E281" s="2" t="n">
        <v>5.51523773724032</v>
      </c>
      <c r="F281" s="2" t="s">
        <v>19167</v>
      </c>
      <c r="G281" s="2" t="n">
        <v>212440</v>
      </c>
      <c r="H281" s="3" t="str">
        <f>HYPERLINK("http://funmeta.oebiotech.com/network/212440", "http://funmeta.oebiotech.com/network/212440")</f>
      </c>
      <c r="I281" s="2" t="s">
        <v>19169</v>
      </c>
      <c r="J281" s="2"/>
      <c r="K281" s="2"/>
      <c r="L281" s="2"/>
      <c r="M281" s="2"/>
      <c r="N281" s="2" t="s">
        <v>19170</v>
      </c>
      <c r="O281" s="2"/>
      <c r="P281" s="2" t="s">
        <v>19171</v>
      </c>
      <c r="Q281" s="2" t="s">
        <v>19172</v>
      </c>
      <c r="R281" s="2" t="s">
        <v>114</v>
      </c>
      <c r="S281" s="2" t="s">
        <v>6004</v>
      </c>
      <c r="T281" s="2" t="s">
        <v>19173</v>
      </c>
      <c r="U281" s="2" t="s">
        <v>19166</v>
      </c>
      <c r="V281" s="2" t="s">
        <v>17970</v>
      </c>
      <c r="W281" s="2"/>
    </row>
    <row r="282">
      <c r="A282" s="2" t="n">
        <v>195</v>
      </c>
      <c r="B282" s="2" t="s">
        <v>12962</v>
      </c>
      <c r="C282" s="2" t="s">
        <v>19174</v>
      </c>
      <c r="D282" s="2" t="n">
        <v>224.093659994</v>
      </c>
      <c r="E282" s="2" t="n">
        <v>13.1254760090957</v>
      </c>
      <c r="F282" s="2" t="s">
        <v>26409</v>
      </c>
      <c r="G282" s="2" t="n">
        <v>202267</v>
      </c>
      <c r="H282" s="3" t="str">
        <f>HYPERLINK("http://funmeta.oebiotech.com/network/202267", "http://funmeta.oebiotech.com/network/202267")</f>
      </c>
      <c r="I282" s="2" t="s">
        <v>26410</v>
      </c>
      <c r="J282" s="2"/>
      <c r="K282" s="2"/>
      <c r="L282" s="2"/>
      <c r="M282" s="2"/>
      <c r="N282" s="2" t="s">
        <v>26411</v>
      </c>
      <c r="O282" s="2"/>
      <c r="P282" s="2" t="s">
        <v>26412</v>
      </c>
      <c r="Q282" s="2" t="s">
        <v>26413</v>
      </c>
      <c r="R282" s="2" t="s">
        <v>114</v>
      </c>
      <c r="S282" s="2" t="s">
        <v>730</v>
      </c>
      <c r="T282" s="2" t="s">
        <v>731</v>
      </c>
      <c r="U282" s="2" t="s">
        <v>19175</v>
      </c>
      <c r="V282" s="2" t="s">
        <v>17039</v>
      </c>
      <c r="W282" s="2"/>
    </row>
    <row r="283">
      <c r="A283" s="2" t="n">
        <v>195</v>
      </c>
      <c r="B283" s="2" t="s">
        <v>26414</v>
      </c>
      <c r="C283" s="2" t="s">
        <v>19174</v>
      </c>
      <c r="D283" s="2" t="n">
        <v>224.093659999</v>
      </c>
      <c r="E283" s="2" t="n">
        <v>13.1254760090957</v>
      </c>
      <c r="F283" s="2" t="s">
        <v>26415</v>
      </c>
      <c r="G283" s="2" t="n">
        <v>209799</v>
      </c>
      <c r="H283" s="3" t="str">
        <f>HYPERLINK("http://funmeta.oebiotech.com/network/209799", "http://funmeta.oebiotech.com/network/209799")</f>
      </c>
      <c r="I283" s="2" t="s">
        <v>26416</v>
      </c>
      <c r="J283" s="2" t="s">
        <v>26417</v>
      </c>
      <c r="K283" s="2"/>
      <c r="L283" s="2"/>
      <c r="M283" s="2"/>
      <c r="N283" s="2" t="s">
        <v>9203</v>
      </c>
      <c r="O283" s="2"/>
      <c r="P283" s="2" t="s">
        <v>26418</v>
      </c>
      <c r="Q283" s="2" t="s">
        <v>26419</v>
      </c>
      <c r="R283" s="2" t="s">
        <v>114</v>
      </c>
      <c r="S283" s="2" t="s">
        <v>730</v>
      </c>
      <c r="T283" s="2" t="s">
        <v>731</v>
      </c>
      <c r="U283" s="2" t="s">
        <v>19175</v>
      </c>
      <c r="V283" s="2" t="s">
        <v>17039</v>
      </c>
      <c r="W283" s="2"/>
    </row>
    <row r="284">
      <c r="A284" s="2" t="n">
        <v>195</v>
      </c>
      <c r="B284" s="2" t="s">
        <v>26420</v>
      </c>
      <c r="C284" s="2" t="s">
        <v>19174</v>
      </c>
      <c r="D284" s="2" t="n">
        <v>224.093659999</v>
      </c>
      <c r="E284" s="2" t="n">
        <v>13.1254760090957</v>
      </c>
      <c r="F284" s="2" t="s">
        <v>26421</v>
      </c>
      <c r="G284" s="2" t="n">
        <v>210085</v>
      </c>
      <c r="H284" s="3" t="str">
        <f>HYPERLINK("http://funmeta.oebiotech.com/network/210085", "http://funmeta.oebiotech.com/network/210085")</f>
      </c>
      <c r="I284" s="2" t="s">
        <v>26422</v>
      </c>
      <c r="J284" s="2" t="s">
        <v>26423</v>
      </c>
      <c r="K284" s="2"/>
      <c r="L284" s="2"/>
      <c r="M284" s="2"/>
      <c r="N284" s="2" t="s">
        <v>26424</v>
      </c>
      <c r="O284" s="2"/>
      <c r="P284" s="2" t="s">
        <v>26425</v>
      </c>
      <c r="Q284" s="2" t="s">
        <v>26426</v>
      </c>
      <c r="R284" s="2" t="s">
        <v>114</v>
      </c>
      <c r="S284" s="2" t="s">
        <v>1289</v>
      </c>
      <c r="T284" s="2" t="s">
        <v>215</v>
      </c>
      <c r="U284" s="2" t="s">
        <v>19175</v>
      </c>
      <c r="V284" s="2" t="s">
        <v>17039</v>
      </c>
      <c r="W284" s="2"/>
    </row>
    <row r="285">
      <c r="A285" s="2" t="n">
        <v>196</v>
      </c>
      <c r="B285" s="2" t="s">
        <v>12963</v>
      </c>
      <c r="C285" s="2" t="s">
        <v>19185</v>
      </c>
      <c r="D285" s="2" t="n">
        <v>224.118223431</v>
      </c>
      <c r="E285" s="2" t="n">
        <v>2.28474904970955</v>
      </c>
      <c r="F285" s="2" t="s">
        <v>19187</v>
      </c>
      <c r="G285" s="2" t="n">
        <v>208564</v>
      </c>
      <c r="H285" s="3" t="str">
        <f>HYPERLINK("http://funmeta.oebiotech.com/network/208564", "http://funmeta.oebiotech.com/network/208564")</f>
      </c>
      <c r="I285" s="2" t="s">
        <v>19189</v>
      </c>
      <c r="J285" s="2" t="s">
        <v>19190</v>
      </c>
      <c r="K285" s="2"/>
      <c r="L285" s="2" t="s">
        <v>19191</v>
      </c>
      <c r="M285" s="2" t="s">
        <v>19192</v>
      </c>
      <c r="N285" s="2" t="s">
        <v>19193</v>
      </c>
      <c r="O285" s="2" t="s">
        <v>19194</v>
      </c>
      <c r="P285" s="2" t="s">
        <v>19195</v>
      </c>
      <c r="Q285" s="2" t="s">
        <v>19196</v>
      </c>
      <c r="R285" s="2" t="s">
        <v>186</v>
      </c>
      <c r="S285" s="2" t="s">
        <v>187</v>
      </c>
      <c r="T285" s="2" t="s">
        <v>5455</v>
      </c>
      <c r="U285" s="2" t="s">
        <v>19186</v>
      </c>
      <c r="V285" s="2" t="s">
        <v>17137</v>
      </c>
      <c r="W285" s="2" t="s">
        <v>101</v>
      </c>
    </row>
    <row r="286">
      <c r="A286" s="2" t="n">
        <v>197</v>
      </c>
      <c r="B286" s="2" t="s">
        <v>12964</v>
      </c>
      <c r="C286" s="2" t="s">
        <v>19197</v>
      </c>
      <c r="D286" s="2" t="n">
        <v>224.985809087</v>
      </c>
      <c r="E286" s="2" t="n">
        <v>6.60892007178402</v>
      </c>
      <c r="F286" s="2" t="s">
        <v>19199</v>
      </c>
      <c r="G286" s="2" t="n">
        <v>198635</v>
      </c>
      <c r="H286" s="3" t="str">
        <f>HYPERLINK("http://funmeta.oebiotech.com/network/198635", "http://funmeta.oebiotech.com/network/198635")</f>
      </c>
      <c r="I286" s="2" t="s">
        <v>19201</v>
      </c>
      <c r="J286" s="2"/>
      <c r="K286" s="2"/>
      <c r="L286" s="2"/>
      <c r="M286" s="2" t="s">
        <v>19202</v>
      </c>
      <c r="N286" s="2" t="s">
        <v>19203</v>
      </c>
      <c r="O286" s="2"/>
      <c r="P286" s="2" t="s">
        <v>19204</v>
      </c>
      <c r="Q286" s="2" t="s">
        <v>19205</v>
      </c>
      <c r="R286" s="2" t="s">
        <v>1355</v>
      </c>
      <c r="S286" s="2" t="s">
        <v>3298</v>
      </c>
      <c r="T286" s="2" t="s">
        <v>215</v>
      </c>
      <c r="U286" s="2" t="s">
        <v>19198</v>
      </c>
      <c r="V286" s="2" t="s">
        <v>17039</v>
      </c>
      <c r="W286" s="2"/>
    </row>
    <row r="287">
      <c r="A287" s="2" t="n">
        <v>198</v>
      </c>
      <c r="B287" s="2" t="s">
        <v>12965</v>
      </c>
      <c r="C287" s="2" t="s">
        <v>19206</v>
      </c>
      <c r="D287" s="2" t="n">
        <v>225.039363988</v>
      </c>
      <c r="E287" s="2" t="n">
        <v>7.5608406442816</v>
      </c>
      <c r="F287" s="2" t="s">
        <v>19208</v>
      </c>
      <c r="G287" s="2" t="n">
        <v>60078</v>
      </c>
      <c r="H287" s="3" t="str">
        <f>HYPERLINK("http://funmeta.oebiotech.com/network/60078", "http://funmeta.oebiotech.com/network/60078")</f>
      </c>
      <c r="I287" s="2" t="s">
        <v>19210</v>
      </c>
      <c r="J287" s="2" t="s">
        <v>19211</v>
      </c>
      <c r="K287" s="2"/>
      <c r="L287" s="2"/>
      <c r="M287" s="2"/>
      <c r="N287" s="2" t="s">
        <v>19212</v>
      </c>
      <c r="O287" s="2" t="s">
        <v>19213</v>
      </c>
      <c r="P287" s="2" t="s">
        <v>19214</v>
      </c>
      <c r="Q287" s="2" t="s">
        <v>19215</v>
      </c>
      <c r="R287" s="2" t="s">
        <v>186</v>
      </c>
      <c r="S287" s="2" t="s">
        <v>187</v>
      </c>
      <c r="T287" s="2" t="s">
        <v>6601</v>
      </c>
      <c r="U287" s="2" t="s">
        <v>19207</v>
      </c>
      <c r="V287" s="2" t="s">
        <v>17137</v>
      </c>
      <c r="W287" s="2" t="s">
        <v>56</v>
      </c>
    </row>
    <row r="288">
      <c r="A288" s="2" t="n">
        <v>199</v>
      </c>
      <c r="B288" s="2" t="s">
        <v>12966</v>
      </c>
      <c r="C288" s="2" t="s">
        <v>19216</v>
      </c>
      <c r="D288" s="2" t="n">
        <v>225.091594314</v>
      </c>
      <c r="E288" s="2" t="n">
        <v>8.58341377740905</v>
      </c>
      <c r="F288" s="2" t="s">
        <v>19218</v>
      </c>
      <c r="G288" s="2" t="n">
        <v>47861</v>
      </c>
      <c r="H288" s="3" t="str">
        <f>HYPERLINK("http://funmeta.oebiotech.com/network/47861", "http://funmeta.oebiotech.com/network/47861")</f>
      </c>
      <c r="I288" s="2" t="s">
        <v>19220</v>
      </c>
      <c r="J288" s="2" t="s">
        <v>19221</v>
      </c>
      <c r="K288" s="2"/>
      <c r="L288" s="2" t="s">
        <v>19222</v>
      </c>
      <c r="M288" s="2" t="s">
        <v>19223</v>
      </c>
      <c r="N288" s="2" t="s">
        <v>19224</v>
      </c>
      <c r="O288" s="2" t="s">
        <v>19225</v>
      </c>
      <c r="P288" s="2" t="s">
        <v>19226</v>
      </c>
      <c r="Q288" s="2" t="s">
        <v>19227</v>
      </c>
      <c r="R288" s="2" t="s">
        <v>1355</v>
      </c>
      <c r="S288" s="2" t="s">
        <v>3653</v>
      </c>
      <c r="T288" s="2" t="s">
        <v>9177</v>
      </c>
      <c r="U288" s="2" t="s">
        <v>19217</v>
      </c>
      <c r="V288" s="2" t="s">
        <v>17039</v>
      </c>
      <c r="W288" s="2" t="s">
        <v>56</v>
      </c>
    </row>
    <row r="289">
      <c r="A289" s="2" t="n">
        <v>200</v>
      </c>
      <c r="B289" s="2" t="s">
        <v>12967</v>
      </c>
      <c r="C289" s="2" t="s">
        <v>19228</v>
      </c>
      <c r="D289" s="2" t="n">
        <v>228.062085086</v>
      </c>
      <c r="E289" s="2" t="n">
        <v>9.40449512136221</v>
      </c>
      <c r="F289" s="2" t="s">
        <v>19230</v>
      </c>
      <c r="G289" s="2" t="n">
        <v>202318</v>
      </c>
      <c r="H289" s="3" t="str">
        <f>HYPERLINK("http://funmeta.oebiotech.com/network/202318", "http://funmeta.oebiotech.com/network/202318")</f>
      </c>
      <c r="I289" s="2" t="s">
        <v>19232</v>
      </c>
      <c r="J289" s="2"/>
      <c r="K289" s="2"/>
      <c r="L289" s="2"/>
      <c r="M289" s="2"/>
      <c r="N289" s="2" t="s">
        <v>19233</v>
      </c>
      <c r="O289" s="2"/>
      <c r="P289" s="2" t="s">
        <v>19234</v>
      </c>
      <c r="Q289" s="2" t="s">
        <v>19235</v>
      </c>
      <c r="R289" s="2" t="s">
        <v>129</v>
      </c>
      <c r="S289" s="2" t="s">
        <v>130</v>
      </c>
      <c r="T289" s="2" t="s">
        <v>1681</v>
      </c>
      <c r="U289" s="2" t="s">
        <v>19229</v>
      </c>
      <c r="V289" s="2" t="s">
        <v>17039</v>
      </c>
      <c r="W289" s="2"/>
    </row>
    <row r="290">
      <c r="A290" s="2" t="n">
        <v>201</v>
      </c>
      <c r="B290" s="2" t="s">
        <v>12968</v>
      </c>
      <c r="C290" s="2" t="s">
        <v>19236</v>
      </c>
      <c r="D290" s="2" t="n">
        <v>228.954200796</v>
      </c>
      <c r="E290" s="2" t="n">
        <v>3.31814195471435</v>
      </c>
      <c r="F290" s="2" t="s">
        <v>19238</v>
      </c>
      <c r="G290" s="2" t="n">
        <v>200938</v>
      </c>
      <c r="H290" s="3" t="str">
        <f>HYPERLINK("http://funmeta.oebiotech.com/network/200938", "http://funmeta.oebiotech.com/network/200938")</f>
      </c>
      <c r="I290" s="2" t="s">
        <v>19240</v>
      </c>
      <c r="J290" s="2" t="s">
        <v>19241</v>
      </c>
      <c r="K290" s="2"/>
      <c r="L290" s="2" t="s">
        <v>19242</v>
      </c>
      <c r="M290" s="2" t="s">
        <v>19243</v>
      </c>
      <c r="N290" s="2" t="s">
        <v>19244</v>
      </c>
      <c r="O290" s="2" t="s">
        <v>19245</v>
      </c>
      <c r="P290" s="2" t="s">
        <v>19246</v>
      </c>
      <c r="Q290" s="2" t="s">
        <v>19247</v>
      </c>
      <c r="R290" s="2" t="s">
        <v>186</v>
      </c>
      <c r="S290" s="2" t="s">
        <v>187</v>
      </c>
      <c r="T290" s="2" t="s">
        <v>1206</v>
      </c>
      <c r="U290" s="2" t="s">
        <v>19237</v>
      </c>
      <c r="V290" s="2" t="s">
        <v>17198</v>
      </c>
      <c r="W290" s="2" t="s">
        <v>101</v>
      </c>
    </row>
    <row r="291">
      <c r="A291" s="2" t="n">
        <v>202</v>
      </c>
      <c r="B291" s="2" t="s">
        <v>12969</v>
      </c>
      <c r="C291" s="2" t="s">
        <v>19248</v>
      </c>
      <c r="D291" s="2" t="n">
        <v>228.978596464</v>
      </c>
      <c r="E291" s="2" t="n">
        <v>1.88077544598465</v>
      </c>
      <c r="F291" s="2" t="s">
        <v>19250</v>
      </c>
      <c r="G291" s="2" t="n">
        <v>256136</v>
      </c>
      <c r="H291" s="3" t="str">
        <f>HYPERLINK("http://funmeta.oebiotech.com/network/256136", "http://funmeta.oebiotech.com/network/256136")</f>
      </c>
      <c r="I291" s="2" t="s">
        <v>19252</v>
      </c>
      <c r="J291" s="2"/>
      <c r="K291" s="2"/>
      <c r="L291" s="2"/>
      <c r="M291" s="2"/>
      <c r="N291" s="2" t="s">
        <v>19253</v>
      </c>
      <c r="O291" s="2"/>
      <c r="P291" s="2" t="s">
        <v>19254</v>
      </c>
      <c r="Q291" s="2" t="s">
        <v>19255</v>
      </c>
      <c r="R291" s="2" t="s">
        <v>114</v>
      </c>
      <c r="S291" s="2" t="s">
        <v>877</v>
      </c>
      <c r="T291" s="2" t="s">
        <v>215</v>
      </c>
      <c r="U291" s="2" t="s">
        <v>19249</v>
      </c>
      <c r="V291" s="2" t="s">
        <v>17198</v>
      </c>
      <c r="W291" s="2"/>
    </row>
    <row r="292">
      <c r="A292" s="2" t="n">
        <v>203</v>
      </c>
      <c r="B292" s="2" t="s">
        <v>12970</v>
      </c>
      <c r="C292" s="2" t="s">
        <v>19256</v>
      </c>
      <c r="D292" s="2" t="n">
        <v>229.143435128</v>
      </c>
      <c r="E292" s="2" t="n">
        <v>12.0854637193774</v>
      </c>
      <c r="F292" s="2" t="s">
        <v>19258</v>
      </c>
      <c r="G292" s="2" t="n">
        <v>2817</v>
      </c>
      <c r="H292" s="3" t="str">
        <f>HYPERLINK("http://funmeta.oebiotech.com/network/2817", "http://funmeta.oebiotech.com/network/2817")</f>
      </c>
      <c r="I292" s="2" t="s">
        <v>19260</v>
      </c>
      <c r="J292" s="2" t="s">
        <v>19261</v>
      </c>
      <c r="K292" s="2" t="s">
        <v>19262</v>
      </c>
      <c r="L292" s="2" t="s">
        <v>19263</v>
      </c>
      <c r="M292" s="2" t="s">
        <v>19264</v>
      </c>
      <c r="N292" s="2" t="s">
        <v>19265</v>
      </c>
      <c r="O292" s="2" t="s">
        <v>19266</v>
      </c>
      <c r="P292" s="2" t="s">
        <v>19267</v>
      </c>
      <c r="Q292" s="2" t="s">
        <v>19268</v>
      </c>
      <c r="R292" s="2" t="s">
        <v>794</v>
      </c>
      <c r="S292" s="2" t="s">
        <v>795</v>
      </c>
      <c r="T292" s="2" t="s">
        <v>796</v>
      </c>
      <c r="U292" s="2" t="s">
        <v>19257</v>
      </c>
      <c r="V292" s="2" t="s">
        <v>17137</v>
      </c>
      <c r="W292" s="2" t="s">
        <v>56</v>
      </c>
    </row>
    <row r="293">
      <c r="A293" s="2" t="n">
        <v>204</v>
      </c>
      <c r="B293" s="2" t="s">
        <v>12971</v>
      </c>
      <c r="C293" s="2" t="s">
        <v>19269</v>
      </c>
      <c r="D293" s="2" t="n">
        <v>231.058659642</v>
      </c>
      <c r="E293" s="2" t="n">
        <v>4.44657328195077</v>
      </c>
      <c r="F293" s="2" t="s">
        <v>19271</v>
      </c>
      <c r="G293" s="2" t="n">
        <v>61999</v>
      </c>
      <c r="H293" s="3" t="str">
        <f>HYPERLINK("http://funmeta.oebiotech.com/network/61999", "http://funmeta.oebiotech.com/network/61999")</f>
      </c>
      <c r="I293" s="2" t="s">
        <v>19273</v>
      </c>
      <c r="J293" s="2" t="s">
        <v>19274</v>
      </c>
      <c r="K293" s="2"/>
      <c r="L293" s="2"/>
      <c r="M293" s="2" t="s">
        <v>19275</v>
      </c>
      <c r="N293" s="2" t="s">
        <v>19276</v>
      </c>
      <c r="O293" s="2" t="s">
        <v>19277</v>
      </c>
      <c r="P293" s="2" t="s">
        <v>19278</v>
      </c>
      <c r="Q293" s="2" t="s">
        <v>19279</v>
      </c>
      <c r="R293" s="2" t="s">
        <v>114</v>
      </c>
      <c r="S293" s="2" t="s">
        <v>994</v>
      </c>
      <c r="T293" s="2" t="s">
        <v>1468</v>
      </c>
      <c r="U293" s="2" t="s">
        <v>19270</v>
      </c>
      <c r="V293" s="2" t="s">
        <v>17137</v>
      </c>
      <c r="W293" s="2" t="s">
        <v>56</v>
      </c>
    </row>
    <row r="294">
      <c r="A294" s="2" t="n">
        <v>205</v>
      </c>
      <c r="B294" s="2" t="s">
        <v>12988</v>
      </c>
      <c r="C294" s="2" t="s">
        <v>19280</v>
      </c>
      <c r="D294" s="2" t="n">
        <v>231.101570314</v>
      </c>
      <c r="E294" s="2" t="n">
        <v>7.36876143747404</v>
      </c>
      <c r="F294" s="2" t="s">
        <v>19282</v>
      </c>
      <c r="G294" s="2" t="n">
        <v>47714</v>
      </c>
      <c r="H294" s="3" t="str">
        <f>HYPERLINK("http://funmeta.oebiotech.com/network/47714", "http://funmeta.oebiotech.com/network/47714")</f>
      </c>
      <c r="I294" s="2" t="s">
        <v>19284</v>
      </c>
      <c r="J294" s="2" t="s">
        <v>19285</v>
      </c>
      <c r="K294" s="2"/>
      <c r="L294" s="2" t="s">
        <v>19286</v>
      </c>
      <c r="M294" s="2" t="s">
        <v>19287</v>
      </c>
      <c r="N294" s="2" t="s">
        <v>19288</v>
      </c>
      <c r="O294" s="2" t="s">
        <v>19289</v>
      </c>
      <c r="P294" s="2" t="s">
        <v>19290</v>
      </c>
      <c r="Q294" s="2" t="s">
        <v>19291</v>
      </c>
      <c r="R294" s="2" t="s">
        <v>186</v>
      </c>
      <c r="S294" s="2" t="s">
        <v>4086</v>
      </c>
      <c r="T294" s="2" t="s">
        <v>215</v>
      </c>
      <c r="U294" s="2" t="s">
        <v>19281</v>
      </c>
      <c r="V294" s="2" t="s">
        <v>17137</v>
      </c>
      <c r="W294" s="2" t="s">
        <v>101</v>
      </c>
    </row>
    <row r="295">
      <c r="A295" s="2" t="n">
        <v>206</v>
      </c>
      <c r="B295" s="2" t="s">
        <v>12989</v>
      </c>
      <c r="C295" s="2" t="s">
        <v>19292</v>
      </c>
      <c r="D295" s="2" t="n">
        <v>231.149189208</v>
      </c>
      <c r="E295" s="2" t="n">
        <v>0.149423898085013</v>
      </c>
      <c r="F295" s="2" t="s">
        <v>19294</v>
      </c>
      <c r="G295" s="2" t="n">
        <v>53648</v>
      </c>
      <c r="H295" s="3" t="str">
        <f>HYPERLINK("http://funmeta.oebiotech.com/network/53648", "http://funmeta.oebiotech.com/network/53648")</f>
      </c>
      <c r="I295" s="2" t="s">
        <v>19295</v>
      </c>
      <c r="J295" s="2" t="s">
        <v>19296</v>
      </c>
      <c r="K295" s="2"/>
      <c r="L295" s="2"/>
      <c r="M295" s="2" t="s">
        <v>19297</v>
      </c>
      <c r="N295" s="2" t="s">
        <v>19298</v>
      </c>
      <c r="O295" s="2" t="s">
        <v>19299</v>
      </c>
      <c r="P295" s="2" t="s">
        <v>19300</v>
      </c>
      <c r="Q295" s="2" t="s">
        <v>19301</v>
      </c>
      <c r="R295" s="2" t="s">
        <v>114</v>
      </c>
      <c r="S295" s="2" t="s">
        <v>19302</v>
      </c>
      <c r="T295" s="2" t="s">
        <v>215</v>
      </c>
      <c r="U295" s="2" t="s">
        <v>19293</v>
      </c>
      <c r="V295" s="2" t="s">
        <v>17137</v>
      </c>
      <c r="W295" s="2" t="s">
        <v>56</v>
      </c>
    </row>
    <row r="296">
      <c r="A296" s="2" t="n">
        <v>207</v>
      </c>
      <c r="B296" s="2" t="s">
        <v>12990</v>
      </c>
      <c r="C296" s="2" t="s">
        <v>19303</v>
      </c>
      <c r="D296" s="2" t="n">
        <v>233.079764338</v>
      </c>
      <c r="E296" s="2" t="n">
        <v>2.22966680373675</v>
      </c>
      <c r="F296" s="2" t="s">
        <v>19305</v>
      </c>
      <c r="G296" s="2" t="n">
        <v>210258</v>
      </c>
      <c r="H296" s="3" t="str">
        <f>HYPERLINK("http://funmeta.oebiotech.com/network/210258", "http://funmeta.oebiotech.com/network/210258")</f>
      </c>
      <c r="I296" s="2" t="s">
        <v>19307</v>
      </c>
      <c r="J296" s="2"/>
      <c r="K296" s="2"/>
      <c r="L296" s="2"/>
      <c r="M296" s="2"/>
      <c r="N296" s="2"/>
      <c r="O296" s="2"/>
      <c r="P296" s="2" t="s">
        <v>19308</v>
      </c>
      <c r="Q296" s="2" t="s">
        <v>19309</v>
      </c>
      <c r="R296" s="2" t="s">
        <v>114</v>
      </c>
      <c r="S296" s="2" t="s">
        <v>1254</v>
      </c>
      <c r="T296" s="2" t="s">
        <v>1255</v>
      </c>
      <c r="U296" s="2" t="s">
        <v>19304</v>
      </c>
      <c r="V296" s="2" t="s">
        <v>17198</v>
      </c>
      <c r="W296" s="2"/>
    </row>
    <row r="297">
      <c r="A297" s="2" t="n">
        <v>208</v>
      </c>
      <c r="B297" s="2" t="s">
        <v>12991</v>
      </c>
      <c r="C297" s="2" t="s">
        <v>19310</v>
      </c>
      <c r="D297" s="2" t="n">
        <v>234.100380478</v>
      </c>
      <c r="E297" s="2" t="n">
        <v>3.38415770921246</v>
      </c>
      <c r="F297" s="2" t="s">
        <v>19312</v>
      </c>
      <c r="G297" s="2" t="n">
        <v>53420</v>
      </c>
      <c r="H297" s="3" t="str">
        <f>HYPERLINK("http://funmeta.oebiotech.com/network/53420", "http://funmeta.oebiotech.com/network/53420")</f>
      </c>
      <c r="I297" s="2" t="s">
        <v>19314</v>
      </c>
      <c r="J297" s="2" t="s">
        <v>19315</v>
      </c>
      <c r="K297" s="2"/>
      <c r="L297" s="2" t="s">
        <v>19316</v>
      </c>
      <c r="M297" s="2" t="s">
        <v>19317</v>
      </c>
      <c r="N297" s="2" t="s">
        <v>19318</v>
      </c>
      <c r="O297" s="2" t="s">
        <v>19319</v>
      </c>
      <c r="P297" s="2" t="s">
        <v>19320</v>
      </c>
      <c r="Q297" s="2" t="s">
        <v>19321</v>
      </c>
      <c r="R297" s="2" t="s">
        <v>36</v>
      </c>
      <c r="S297" s="2" t="s">
        <v>282</v>
      </c>
      <c r="T297" s="2" t="s">
        <v>283</v>
      </c>
      <c r="U297" s="2" t="s">
        <v>19311</v>
      </c>
      <c r="V297" s="2" t="s">
        <v>17137</v>
      </c>
      <c r="W297" s="2" t="s">
        <v>101</v>
      </c>
    </row>
    <row r="298">
      <c r="A298" s="2" t="n">
        <v>209</v>
      </c>
      <c r="B298" s="2" t="s">
        <v>12992</v>
      </c>
      <c r="C298" s="2" t="s">
        <v>19322</v>
      </c>
      <c r="D298" s="2" t="n">
        <v>235.081817475</v>
      </c>
      <c r="E298" s="2" t="n">
        <v>0.0838418584283286</v>
      </c>
      <c r="F298" s="2" t="s">
        <v>26427</v>
      </c>
      <c r="G298" s="2" t="n">
        <v>211629</v>
      </c>
      <c r="H298" s="3" t="str">
        <f>HYPERLINK("http://funmeta.oebiotech.com/network/211629", "http://funmeta.oebiotech.com/network/211629")</f>
      </c>
      <c r="I298" s="2" t="s">
        <v>26428</v>
      </c>
      <c r="J298" s="2"/>
      <c r="K298" s="2"/>
      <c r="L298" s="2"/>
      <c r="M298" s="2"/>
      <c r="N298" s="2"/>
      <c r="O298" s="2"/>
      <c r="P298" s="2" t="s">
        <v>26429</v>
      </c>
      <c r="Q298" s="2" t="s">
        <v>26430</v>
      </c>
      <c r="R298" s="2" t="s">
        <v>794</v>
      </c>
      <c r="S298" s="2" t="s">
        <v>795</v>
      </c>
      <c r="T298" s="2" t="s">
        <v>3273</v>
      </c>
      <c r="U298" s="2" t="s">
        <v>19323</v>
      </c>
      <c r="V298" s="2" t="s">
        <v>17039</v>
      </c>
      <c r="W298" s="2"/>
    </row>
    <row r="299">
      <c r="A299" s="2" t="n">
        <v>209</v>
      </c>
      <c r="B299" s="2" t="s">
        <v>26431</v>
      </c>
      <c r="C299" s="2" t="s">
        <v>19322</v>
      </c>
      <c r="D299" s="2" t="n">
        <v>235.081817475</v>
      </c>
      <c r="E299" s="2" t="n">
        <v>0.0838418584283286</v>
      </c>
      <c r="F299" s="2" t="s">
        <v>26432</v>
      </c>
      <c r="G299" s="2" t="n">
        <v>207221</v>
      </c>
      <c r="H299" s="3" t="str">
        <f>HYPERLINK("http://funmeta.oebiotech.com/network/207221", "http://funmeta.oebiotech.com/network/207221")</f>
      </c>
      <c r="I299" s="2" t="s">
        <v>26433</v>
      </c>
      <c r="J299" s="2"/>
      <c r="K299" s="2"/>
      <c r="L299" s="2"/>
      <c r="M299" s="2"/>
      <c r="N299" s="2"/>
      <c r="O299" s="2"/>
      <c r="P299" s="2" t="s">
        <v>26434</v>
      </c>
      <c r="Q299" s="2" t="s">
        <v>26435</v>
      </c>
      <c r="R299" s="2" t="s">
        <v>129</v>
      </c>
      <c r="S299" s="2" t="s">
        <v>130</v>
      </c>
      <c r="T299" s="2" t="s">
        <v>1681</v>
      </c>
      <c r="U299" s="2" t="s">
        <v>19323</v>
      </c>
      <c r="V299" s="2" t="s">
        <v>17039</v>
      </c>
      <c r="W299" s="2"/>
    </row>
    <row r="300">
      <c r="A300" s="2" t="n">
        <v>210</v>
      </c>
      <c r="B300" s="2" t="s">
        <v>12993</v>
      </c>
      <c r="C300" s="2" t="s">
        <v>19332</v>
      </c>
      <c r="D300" s="2" t="n">
        <v>236.990829312</v>
      </c>
      <c r="E300" s="2" t="n">
        <v>0.116895974454016</v>
      </c>
      <c r="F300" s="2" t="s">
        <v>19334</v>
      </c>
      <c r="G300" s="2" t="n">
        <v>200660</v>
      </c>
      <c r="H300" s="3" t="str">
        <f>HYPERLINK("http://funmeta.oebiotech.com/network/200660", "http://funmeta.oebiotech.com/network/200660")</f>
      </c>
      <c r="I300" s="2" t="s">
        <v>19336</v>
      </c>
      <c r="J300" s="2" t="s">
        <v>19337</v>
      </c>
      <c r="K300" s="2"/>
      <c r="L300" s="2" t="s">
        <v>19338</v>
      </c>
      <c r="M300" s="2" t="s">
        <v>19339</v>
      </c>
      <c r="N300" s="2" t="s">
        <v>19340</v>
      </c>
      <c r="O300" s="2" t="s">
        <v>19341</v>
      </c>
      <c r="P300" s="2" t="s">
        <v>19342</v>
      </c>
      <c r="Q300" s="2" t="s">
        <v>19343</v>
      </c>
      <c r="R300" s="2" t="s">
        <v>186</v>
      </c>
      <c r="S300" s="2" t="s">
        <v>357</v>
      </c>
      <c r="T300" s="2" t="s">
        <v>1149</v>
      </c>
      <c r="U300" s="2" t="s">
        <v>19333</v>
      </c>
      <c r="V300" s="2" t="s">
        <v>17406</v>
      </c>
      <c r="W300" s="2" t="s">
        <v>101</v>
      </c>
    </row>
    <row r="301">
      <c r="A301" s="2" t="n">
        <v>211</v>
      </c>
      <c r="B301" s="2" t="s">
        <v>12994</v>
      </c>
      <c r="C301" s="2" t="s">
        <v>19344</v>
      </c>
      <c r="D301" s="2" t="n">
        <v>237.114061087</v>
      </c>
      <c r="E301" s="2" t="n">
        <v>0.0768027283350776</v>
      </c>
      <c r="F301" s="2" t="s">
        <v>19346</v>
      </c>
      <c r="G301" s="2" t="n">
        <v>205040</v>
      </c>
      <c r="H301" s="3" t="str">
        <f>HYPERLINK("http://funmeta.oebiotech.com/network/205040", "http://funmeta.oebiotech.com/network/205040")</f>
      </c>
      <c r="I301" s="2" t="s">
        <v>19348</v>
      </c>
      <c r="J301" s="2"/>
      <c r="K301" s="2"/>
      <c r="L301" s="2"/>
      <c r="M301" s="2"/>
      <c r="N301" s="2" t="s">
        <v>19349</v>
      </c>
      <c r="O301" s="2"/>
      <c r="P301" s="2" t="s">
        <v>19350</v>
      </c>
      <c r="Q301" s="2" t="s">
        <v>19351</v>
      </c>
      <c r="R301" s="2" t="s">
        <v>114</v>
      </c>
      <c r="S301" s="2" t="s">
        <v>172</v>
      </c>
      <c r="T301" s="2" t="s">
        <v>173</v>
      </c>
      <c r="U301" s="2" t="s">
        <v>19345</v>
      </c>
      <c r="V301" s="2" t="s">
        <v>17039</v>
      </c>
      <c r="W301" s="2"/>
    </row>
    <row r="302">
      <c r="A302" s="2" t="n">
        <v>212</v>
      </c>
      <c r="B302" s="2" t="s">
        <v>13011</v>
      </c>
      <c r="C302" s="2" t="s">
        <v>19352</v>
      </c>
      <c r="D302" s="2" t="n">
        <v>237.149109188</v>
      </c>
      <c r="E302" s="2" t="n">
        <v>2.94479349327779</v>
      </c>
      <c r="F302" s="2" t="s">
        <v>19354</v>
      </c>
      <c r="G302" s="2" t="n">
        <v>204453</v>
      </c>
      <c r="H302" s="3" t="str">
        <f>HYPERLINK("http://funmeta.oebiotech.com/network/204453", "http://funmeta.oebiotech.com/network/204453")</f>
      </c>
      <c r="I302" s="2" t="s">
        <v>19356</v>
      </c>
      <c r="J302" s="2" t="s">
        <v>19357</v>
      </c>
      <c r="K302" s="2"/>
      <c r="L302" s="2"/>
      <c r="M302" s="2"/>
      <c r="N302" s="2" t="s">
        <v>19358</v>
      </c>
      <c r="O302" s="2" t="s">
        <v>19359</v>
      </c>
      <c r="P302" s="2" t="s">
        <v>19360</v>
      </c>
      <c r="Q302" s="2" t="s">
        <v>19361</v>
      </c>
      <c r="R302" s="2" t="s">
        <v>114</v>
      </c>
      <c r="S302" s="2" t="s">
        <v>1646</v>
      </c>
      <c r="T302" s="2" t="s">
        <v>1647</v>
      </c>
      <c r="U302" s="2" t="s">
        <v>19353</v>
      </c>
      <c r="V302" s="2" t="s">
        <v>17039</v>
      </c>
      <c r="W302" s="2"/>
    </row>
    <row r="303">
      <c r="A303" s="2" t="n">
        <v>213</v>
      </c>
      <c r="B303" s="2" t="s">
        <v>13030</v>
      </c>
      <c r="C303" s="2" t="s">
        <v>19362</v>
      </c>
      <c r="D303" s="2" t="n">
        <v>238.152594931</v>
      </c>
      <c r="E303" s="2" t="n">
        <v>15.1385461342888</v>
      </c>
      <c r="F303" s="2" t="s">
        <v>19364</v>
      </c>
      <c r="G303" s="2" t="n">
        <v>82675</v>
      </c>
      <c r="H303" s="3" t="str">
        <f>HYPERLINK("http://funmeta.oebiotech.com/network/82675", "http://funmeta.oebiotech.com/network/82675")</f>
      </c>
      <c r="I303" s="2" t="s">
        <v>19366</v>
      </c>
      <c r="J303" s="2" t="s">
        <v>19367</v>
      </c>
      <c r="K303" s="2"/>
      <c r="L303" s="2"/>
      <c r="M303" s="2"/>
      <c r="N303" s="2" t="s">
        <v>19368</v>
      </c>
      <c r="O303" s="2" t="s">
        <v>19369</v>
      </c>
      <c r="P303" s="2" t="s">
        <v>19370</v>
      </c>
      <c r="Q303" s="2" t="s">
        <v>19371</v>
      </c>
      <c r="R303" s="2" t="s">
        <v>114</v>
      </c>
      <c r="S303" s="2" t="s">
        <v>1038</v>
      </c>
      <c r="T303" s="2" t="s">
        <v>1039</v>
      </c>
      <c r="U303" s="2" t="s">
        <v>19363</v>
      </c>
      <c r="V303" s="2" t="s">
        <v>17198</v>
      </c>
      <c r="W303" s="2"/>
    </row>
    <row r="304">
      <c r="A304" s="2" t="n">
        <v>214</v>
      </c>
      <c r="B304" s="2" t="s">
        <v>13031</v>
      </c>
      <c r="C304" s="2" t="s">
        <v>19372</v>
      </c>
      <c r="D304" s="2" t="n">
        <v>239.070858872</v>
      </c>
      <c r="E304" s="2" t="n">
        <v>2.81142844759124</v>
      </c>
      <c r="F304" s="2" t="s">
        <v>26436</v>
      </c>
      <c r="G304" s="2" t="n">
        <v>34395</v>
      </c>
      <c r="H304" s="3" t="str">
        <f>HYPERLINK("http://funmeta.oebiotech.com/network/34395", "http://funmeta.oebiotech.com/network/34395")</f>
      </c>
      <c r="I304" s="2" t="s">
        <v>26437</v>
      </c>
      <c r="J304" s="2" t="s">
        <v>26438</v>
      </c>
      <c r="K304" s="2" t="s">
        <v>26439</v>
      </c>
      <c r="L304" s="2" t="s">
        <v>26440</v>
      </c>
      <c r="M304" s="2" t="s">
        <v>26441</v>
      </c>
      <c r="N304" s="2" t="s">
        <v>26442</v>
      </c>
      <c r="O304" s="2" t="s">
        <v>26443</v>
      </c>
      <c r="P304" s="2" t="s">
        <v>26444</v>
      </c>
      <c r="Q304" s="2" t="s">
        <v>26445</v>
      </c>
      <c r="R304" s="2" t="s">
        <v>1355</v>
      </c>
      <c r="S304" s="2" t="s">
        <v>5199</v>
      </c>
      <c r="T304" s="2" t="s">
        <v>5200</v>
      </c>
      <c r="U304" s="2" t="s">
        <v>19373</v>
      </c>
      <c r="V304" s="2" t="s">
        <v>17039</v>
      </c>
      <c r="W304" s="2" t="s">
        <v>56</v>
      </c>
    </row>
    <row r="305">
      <c r="A305" s="2" t="n">
        <v>214</v>
      </c>
      <c r="B305" s="2" t="s">
        <v>13037</v>
      </c>
      <c r="C305" s="2" t="s">
        <v>19372</v>
      </c>
      <c r="D305" s="2" t="n">
        <v>239.070858872</v>
      </c>
      <c r="E305" s="2" t="n">
        <v>2.81142844759124</v>
      </c>
      <c r="F305" s="2" t="s">
        <v>26446</v>
      </c>
      <c r="G305" s="2" t="n">
        <v>34243</v>
      </c>
      <c r="H305" s="3" t="str">
        <f>HYPERLINK("http://funmeta.oebiotech.com/network/34243", "http://funmeta.oebiotech.com/network/34243")</f>
      </c>
      <c r="I305" s="2" t="s">
        <v>26447</v>
      </c>
      <c r="J305" s="2" t="s">
        <v>26448</v>
      </c>
      <c r="K305" s="2" t="s">
        <v>26449</v>
      </c>
      <c r="L305" s="2" t="s">
        <v>26450</v>
      </c>
      <c r="M305" s="2" t="s">
        <v>26451</v>
      </c>
      <c r="N305" s="2" t="s">
        <v>26452</v>
      </c>
      <c r="O305" s="2" t="s">
        <v>26453</v>
      </c>
      <c r="P305" s="2" t="s">
        <v>26454</v>
      </c>
      <c r="Q305" s="2" t="s">
        <v>26455</v>
      </c>
      <c r="R305" s="2" t="s">
        <v>1355</v>
      </c>
      <c r="S305" s="2" t="s">
        <v>5199</v>
      </c>
      <c r="T305" s="2" t="s">
        <v>5200</v>
      </c>
      <c r="U305" s="2" t="s">
        <v>19373</v>
      </c>
      <c r="V305" s="2" t="s">
        <v>17039</v>
      </c>
      <c r="W305" s="2" t="s">
        <v>56</v>
      </c>
    </row>
    <row r="306">
      <c r="A306" s="2" t="n">
        <v>215</v>
      </c>
      <c r="B306" s="2" t="s">
        <v>13049</v>
      </c>
      <c r="C306" s="2" t="s">
        <v>19386</v>
      </c>
      <c r="D306" s="2" t="n">
        <v>239.161762634</v>
      </c>
      <c r="E306" s="2" t="n">
        <v>3.7188343115083</v>
      </c>
      <c r="F306" s="2" t="s">
        <v>19388</v>
      </c>
      <c r="G306" s="2" t="n">
        <v>1684</v>
      </c>
      <c r="H306" s="3" t="str">
        <f>HYPERLINK("http://funmeta.oebiotech.com/network/1684", "http://funmeta.oebiotech.com/network/1684")</f>
      </c>
      <c r="I306" s="2" t="s">
        <v>19390</v>
      </c>
      <c r="J306" s="2" t="s">
        <v>19391</v>
      </c>
      <c r="K306" s="2" t="s">
        <v>19392</v>
      </c>
      <c r="L306" s="2" t="s">
        <v>19393</v>
      </c>
      <c r="M306" s="2" t="s">
        <v>19394</v>
      </c>
      <c r="N306" s="2" t="s">
        <v>19395</v>
      </c>
      <c r="O306" s="2" t="s">
        <v>19396</v>
      </c>
      <c r="P306" s="2" t="s">
        <v>19397</v>
      </c>
      <c r="Q306" s="2" t="s">
        <v>19398</v>
      </c>
      <c r="R306" s="2" t="s">
        <v>36</v>
      </c>
      <c r="S306" s="2" t="s">
        <v>82</v>
      </c>
      <c r="T306" s="2" t="s">
        <v>1594</v>
      </c>
      <c r="U306" s="2" t="s">
        <v>19387</v>
      </c>
      <c r="V306" s="2" t="s">
        <v>17198</v>
      </c>
      <c r="W306" s="2" t="s">
        <v>56</v>
      </c>
    </row>
    <row r="307">
      <c r="A307" s="2" t="n">
        <v>216</v>
      </c>
      <c r="B307" s="2" t="s">
        <v>13050</v>
      </c>
      <c r="C307" s="2" t="s">
        <v>19399</v>
      </c>
      <c r="D307" s="2" t="n">
        <v>241.010583576</v>
      </c>
      <c r="E307" s="2" t="n">
        <v>0.885677668783742</v>
      </c>
      <c r="F307" s="2" t="s">
        <v>19401</v>
      </c>
      <c r="G307" s="2" t="n">
        <v>52698</v>
      </c>
      <c r="H307" s="3" t="str">
        <f>HYPERLINK("http://funmeta.oebiotech.com/network/52698", "http://funmeta.oebiotech.com/network/52698")</f>
      </c>
      <c r="I307" s="2" t="s">
        <v>19403</v>
      </c>
      <c r="J307" s="2" t="s">
        <v>19404</v>
      </c>
      <c r="K307" s="2"/>
      <c r="L307" s="2"/>
      <c r="M307" s="2" t="s">
        <v>19405</v>
      </c>
      <c r="N307" s="2" t="s">
        <v>19406</v>
      </c>
      <c r="O307" s="2" t="s">
        <v>19407</v>
      </c>
      <c r="P307" s="2" t="s">
        <v>19408</v>
      </c>
      <c r="Q307" s="2" t="s">
        <v>19409</v>
      </c>
      <c r="R307" s="2" t="s">
        <v>114</v>
      </c>
      <c r="S307" s="2" t="s">
        <v>4262</v>
      </c>
      <c r="T307" s="2" t="s">
        <v>215</v>
      </c>
      <c r="U307" s="2" t="s">
        <v>19400</v>
      </c>
      <c r="V307" s="2" t="s">
        <v>17039</v>
      </c>
      <c r="W307" s="2" t="s">
        <v>56</v>
      </c>
    </row>
    <row r="308">
      <c r="A308" s="2" t="n">
        <v>217</v>
      </c>
      <c r="B308" s="2" t="s">
        <v>13051</v>
      </c>
      <c r="C308" s="2" t="s">
        <v>19410</v>
      </c>
      <c r="D308" s="2" t="n">
        <v>241.177412698</v>
      </c>
      <c r="E308" s="2" t="n">
        <v>10.8362611839212</v>
      </c>
      <c r="F308" s="2" t="s">
        <v>19412</v>
      </c>
      <c r="G308" s="2" t="n">
        <v>63429</v>
      </c>
      <c r="H308" s="3" t="str">
        <f>HYPERLINK("http://funmeta.oebiotech.com/network/63429", "http://funmeta.oebiotech.com/network/63429")</f>
      </c>
      <c r="I308" s="2" t="s">
        <v>19414</v>
      </c>
      <c r="J308" s="2" t="s">
        <v>19415</v>
      </c>
      <c r="K308" s="2"/>
      <c r="L308" s="2"/>
      <c r="M308" s="2"/>
      <c r="N308" s="2" t="s">
        <v>19416</v>
      </c>
      <c r="O308" s="2" t="s">
        <v>19417</v>
      </c>
      <c r="P308" s="2" t="s">
        <v>19418</v>
      </c>
      <c r="Q308" s="2" t="s">
        <v>19419</v>
      </c>
      <c r="R308" s="2" t="s">
        <v>129</v>
      </c>
      <c r="S308" s="2" t="s">
        <v>130</v>
      </c>
      <c r="T308" s="2" t="s">
        <v>4133</v>
      </c>
      <c r="U308" s="2" t="s">
        <v>19411</v>
      </c>
      <c r="V308" s="2" t="s">
        <v>17198</v>
      </c>
      <c r="W308" s="2" t="s">
        <v>56</v>
      </c>
    </row>
    <row r="309">
      <c r="A309" s="2" t="n">
        <v>218</v>
      </c>
      <c r="B309" s="2" t="s">
        <v>13052</v>
      </c>
      <c r="C309" s="2" t="s">
        <v>19420</v>
      </c>
      <c r="D309" s="2" t="n">
        <v>242.284226125</v>
      </c>
      <c r="E309" s="2" t="n">
        <v>6.65210875106727</v>
      </c>
      <c r="F309" s="2" t="s">
        <v>26456</v>
      </c>
      <c r="G309" s="2" t="n">
        <v>206050</v>
      </c>
      <c r="H309" s="3" t="str">
        <f>HYPERLINK("http://funmeta.oebiotech.com/network/206050", "http://funmeta.oebiotech.com/network/206050")</f>
      </c>
      <c r="I309" s="2" t="s">
        <v>26457</v>
      </c>
      <c r="J309" s="2" t="s">
        <v>26458</v>
      </c>
      <c r="K309" s="2"/>
      <c r="L309" s="2"/>
      <c r="M309" s="2" t="s">
        <v>26459</v>
      </c>
      <c r="N309" s="2" t="s">
        <v>26460</v>
      </c>
      <c r="O309" s="2"/>
      <c r="P309" s="2" t="s">
        <v>26461</v>
      </c>
      <c r="Q309" s="2" t="s">
        <v>26462</v>
      </c>
      <c r="R309" s="2" t="s">
        <v>601</v>
      </c>
      <c r="S309" s="2" t="s">
        <v>602</v>
      </c>
      <c r="T309" s="2" t="s">
        <v>1800</v>
      </c>
      <c r="U309" s="2" t="s">
        <v>19421</v>
      </c>
      <c r="V309" s="2" t="s">
        <v>17137</v>
      </c>
      <c r="W309" s="2"/>
    </row>
    <row r="310">
      <c r="A310" s="2" t="n">
        <v>218</v>
      </c>
      <c r="B310" s="2" t="s">
        <v>26463</v>
      </c>
      <c r="C310" s="2" t="s">
        <v>19420</v>
      </c>
      <c r="D310" s="2" t="n">
        <v>242.284226131</v>
      </c>
      <c r="E310" s="2" t="n">
        <v>6.65210875106727</v>
      </c>
      <c r="F310" s="2" t="s">
        <v>26464</v>
      </c>
      <c r="G310" s="2" t="n">
        <v>199426</v>
      </c>
      <c r="H310" s="3" t="str">
        <f>HYPERLINK("http://funmeta.oebiotech.com/network/199426", "http://funmeta.oebiotech.com/network/199426")</f>
      </c>
      <c r="I310" s="2" t="s">
        <v>26465</v>
      </c>
      <c r="J310" s="2" t="s">
        <v>26466</v>
      </c>
      <c r="K310" s="2"/>
      <c r="L310" s="2"/>
      <c r="M310" s="2"/>
      <c r="N310" s="2" t="s">
        <v>26467</v>
      </c>
      <c r="O310" s="2" t="s">
        <v>26468</v>
      </c>
      <c r="P310" s="2" t="s">
        <v>26469</v>
      </c>
      <c r="Q310" s="2" t="s">
        <v>26470</v>
      </c>
      <c r="R310" s="2" t="s">
        <v>601</v>
      </c>
      <c r="S310" s="2" t="s">
        <v>602</v>
      </c>
      <c r="T310" s="2" t="s">
        <v>1800</v>
      </c>
      <c r="U310" s="2" t="s">
        <v>19421</v>
      </c>
      <c r="V310" s="2" t="s">
        <v>17137</v>
      </c>
      <c r="W310" s="2"/>
    </row>
    <row r="311">
      <c r="A311" s="2" t="n">
        <v>219</v>
      </c>
      <c r="B311" s="2" t="s">
        <v>13053</v>
      </c>
      <c r="C311" s="2" t="s">
        <v>19431</v>
      </c>
      <c r="D311" s="2" t="n">
        <v>243.0198662</v>
      </c>
      <c r="E311" s="2" t="n">
        <v>1.35795903578854</v>
      </c>
      <c r="F311" s="2" t="s">
        <v>26471</v>
      </c>
      <c r="G311" s="2" t="n">
        <v>255092</v>
      </c>
      <c r="H311" s="3" t="str">
        <f>HYPERLINK("http://funmeta.oebiotech.com/network/255092", "http://funmeta.oebiotech.com/network/255092")</f>
      </c>
      <c r="I311" s="2" t="s">
        <v>26472</v>
      </c>
      <c r="J311" s="2"/>
      <c r="K311" s="2"/>
      <c r="L311" s="2"/>
      <c r="M311" s="2"/>
      <c r="N311" s="2" t="s">
        <v>26473</v>
      </c>
      <c r="O311" s="2"/>
      <c r="P311" s="2" t="s">
        <v>26474</v>
      </c>
      <c r="Q311" s="2" t="s">
        <v>26475</v>
      </c>
      <c r="R311" s="2" t="s">
        <v>114</v>
      </c>
      <c r="S311" s="2" t="s">
        <v>994</v>
      </c>
      <c r="T311" s="2" t="s">
        <v>26252</v>
      </c>
      <c r="U311" s="2" t="s">
        <v>19432</v>
      </c>
      <c r="V311" s="2" t="s">
        <v>17198</v>
      </c>
      <c r="W311" s="2"/>
    </row>
    <row r="312">
      <c r="A312" s="2" t="n">
        <v>219</v>
      </c>
      <c r="B312" s="2" t="s">
        <v>13059</v>
      </c>
      <c r="C312" s="2" t="s">
        <v>19431</v>
      </c>
      <c r="D312" s="2" t="n">
        <v>243.01986668</v>
      </c>
      <c r="E312" s="2" t="n">
        <v>1.35795903578854</v>
      </c>
      <c r="F312" s="2" t="s">
        <v>26476</v>
      </c>
      <c r="G312" s="2" t="n">
        <v>212740</v>
      </c>
      <c r="H312" s="3" t="str">
        <f>HYPERLINK("http://funmeta.oebiotech.com/network/212740", "http://funmeta.oebiotech.com/network/212740")</f>
      </c>
      <c r="I312" s="2" t="s">
        <v>26477</v>
      </c>
      <c r="J312" s="2"/>
      <c r="K312" s="2"/>
      <c r="L312" s="2"/>
      <c r="M312" s="2"/>
      <c r="N312" s="2" t="s">
        <v>26478</v>
      </c>
      <c r="O312" s="2"/>
      <c r="P312" s="2" t="s">
        <v>26479</v>
      </c>
      <c r="Q312" s="2" t="s">
        <v>26480</v>
      </c>
      <c r="R312" s="2" t="s">
        <v>186</v>
      </c>
      <c r="S312" s="2" t="s">
        <v>357</v>
      </c>
      <c r="T312" s="2" t="s">
        <v>15974</v>
      </c>
      <c r="U312" s="2" t="s">
        <v>19432</v>
      </c>
      <c r="V312" s="2" t="s">
        <v>17198</v>
      </c>
      <c r="W312" s="2"/>
    </row>
    <row r="313">
      <c r="A313" s="2" t="n">
        <v>220</v>
      </c>
      <c r="B313" s="2" t="s">
        <v>13064</v>
      </c>
      <c r="C313" s="2" t="s">
        <v>19441</v>
      </c>
      <c r="D313" s="2" t="n">
        <v>244.0135742</v>
      </c>
      <c r="E313" s="2" t="n">
        <v>7.70666118793241</v>
      </c>
      <c r="F313" s="2" t="s">
        <v>19443</v>
      </c>
      <c r="G313" s="2" t="n">
        <v>210813</v>
      </c>
      <c r="H313" s="3" t="str">
        <f>HYPERLINK("http://funmeta.oebiotech.com/network/210813", "http://funmeta.oebiotech.com/network/210813")</f>
      </c>
      <c r="I313" s="2" t="s">
        <v>19445</v>
      </c>
      <c r="J313" s="2" t="s">
        <v>19446</v>
      </c>
      <c r="K313" s="2"/>
      <c r="L313" s="2" t="s">
        <v>19447</v>
      </c>
      <c r="M313" s="2" t="s">
        <v>19448</v>
      </c>
      <c r="N313" s="2" t="s">
        <v>19449</v>
      </c>
      <c r="O313" s="2" t="s">
        <v>19450</v>
      </c>
      <c r="P313" s="2" t="s">
        <v>19451</v>
      </c>
      <c r="Q313" s="2" t="s">
        <v>19452</v>
      </c>
      <c r="R313" s="2" t="s">
        <v>114</v>
      </c>
      <c r="S313" s="2" t="s">
        <v>2057</v>
      </c>
      <c r="T313" s="2" t="s">
        <v>3625</v>
      </c>
      <c r="U313" s="2" t="s">
        <v>19442</v>
      </c>
      <c r="V313" s="2" t="s">
        <v>17198</v>
      </c>
      <c r="W313" s="2" t="s">
        <v>101</v>
      </c>
    </row>
    <row r="314">
      <c r="A314" s="2" t="n">
        <v>221</v>
      </c>
      <c r="B314" s="2" t="s">
        <v>13065</v>
      </c>
      <c r="C314" s="2" t="s">
        <v>19453</v>
      </c>
      <c r="D314" s="2" t="n">
        <v>244.092796541</v>
      </c>
      <c r="E314" s="2" t="n">
        <v>2.08190978744035</v>
      </c>
      <c r="F314" s="2" t="s">
        <v>26481</v>
      </c>
      <c r="G314" s="2" t="n">
        <v>46865</v>
      </c>
      <c r="H314" s="3" t="str">
        <f>HYPERLINK("http://funmeta.oebiotech.com/network/46865", "http://funmeta.oebiotech.com/network/46865")</f>
      </c>
      <c r="I314" s="2" t="s">
        <v>26482</v>
      </c>
      <c r="J314" s="2" t="s">
        <v>26483</v>
      </c>
      <c r="K314" s="2"/>
      <c r="L314" s="2" t="s">
        <v>26484</v>
      </c>
      <c r="M314" s="2" t="s">
        <v>26485</v>
      </c>
      <c r="N314" s="2" t="s">
        <v>26486</v>
      </c>
      <c r="O314" s="2" t="s">
        <v>26487</v>
      </c>
      <c r="P314" s="2" t="s">
        <v>26488</v>
      </c>
      <c r="Q314" s="2" t="s">
        <v>26489</v>
      </c>
      <c r="R314" s="2" t="s">
        <v>2416</v>
      </c>
      <c r="S314" s="2" t="s">
        <v>2417</v>
      </c>
      <c r="T314" s="2" t="s">
        <v>215</v>
      </c>
      <c r="U314" s="2" t="s">
        <v>19454</v>
      </c>
      <c r="V314" s="2" t="s">
        <v>17137</v>
      </c>
      <c r="W314" s="2" t="s">
        <v>56</v>
      </c>
    </row>
    <row r="315">
      <c r="A315" s="2" t="n">
        <v>221</v>
      </c>
      <c r="B315" s="2" t="s">
        <v>26490</v>
      </c>
      <c r="C315" s="2" t="s">
        <v>19453</v>
      </c>
      <c r="D315" s="2" t="n">
        <v>244.092796541</v>
      </c>
      <c r="E315" s="2" t="n">
        <v>2.08190978744035</v>
      </c>
      <c r="F315" s="2" t="s">
        <v>26491</v>
      </c>
      <c r="G315" s="2" t="n">
        <v>53235</v>
      </c>
      <c r="H315" s="3" t="str">
        <f>HYPERLINK("http://funmeta.oebiotech.com/network/53235", "http://funmeta.oebiotech.com/network/53235")</f>
      </c>
      <c r="I315" s="2" t="s">
        <v>26492</v>
      </c>
      <c r="J315" s="2" t="s">
        <v>26493</v>
      </c>
      <c r="K315" s="2"/>
      <c r="L315" s="2" t="s">
        <v>26494</v>
      </c>
      <c r="M315" s="2" t="s">
        <v>26495</v>
      </c>
      <c r="N315" s="2" t="s">
        <v>26496</v>
      </c>
      <c r="O315" s="2" t="s">
        <v>26497</v>
      </c>
      <c r="P315" s="2" t="s">
        <v>26498</v>
      </c>
      <c r="Q315" s="2" t="s">
        <v>26499</v>
      </c>
      <c r="R315" s="2" t="s">
        <v>2416</v>
      </c>
      <c r="S315" s="2" t="s">
        <v>2417</v>
      </c>
      <c r="T315" s="2" t="s">
        <v>215</v>
      </c>
      <c r="U315" s="2" t="s">
        <v>19454</v>
      </c>
      <c r="V315" s="2" t="s">
        <v>17137</v>
      </c>
      <c r="W315" s="2" t="s">
        <v>56</v>
      </c>
    </row>
    <row r="316">
      <c r="A316" s="2" t="n">
        <v>222</v>
      </c>
      <c r="B316" s="2" t="s">
        <v>13066</v>
      </c>
      <c r="C316" s="2" t="s">
        <v>19466</v>
      </c>
      <c r="D316" s="2" t="n">
        <v>245.117220378</v>
      </c>
      <c r="E316" s="2" t="n">
        <v>4.08864798620352</v>
      </c>
      <c r="F316" s="2" t="s">
        <v>19468</v>
      </c>
      <c r="G316" s="2" t="n">
        <v>35099</v>
      </c>
      <c r="H316" s="3" t="str">
        <f>HYPERLINK("http://funmeta.oebiotech.com/network/35099", "http://funmeta.oebiotech.com/network/35099")</f>
      </c>
      <c r="I316" s="2" t="s">
        <v>19470</v>
      </c>
      <c r="J316" s="2" t="s">
        <v>19471</v>
      </c>
      <c r="K316" s="2" t="s">
        <v>19472</v>
      </c>
      <c r="L316" s="2" t="s">
        <v>19473</v>
      </c>
      <c r="M316" s="2"/>
      <c r="N316" s="2" t="s">
        <v>19474</v>
      </c>
      <c r="O316" s="2" t="s">
        <v>19475</v>
      </c>
      <c r="P316" s="2" t="s">
        <v>19476</v>
      </c>
      <c r="Q316" s="2" t="s">
        <v>19477</v>
      </c>
      <c r="R316" s="2" t="s">
        <v>1355</v>
      </c>
      <c r="S316" s="2" t="s">
        <v>3249</v>
      </c>
      <c r="T316" s="2" t="s">
        <v>215</v>
      </c>
      <c r="U316" s="2" t="s">
        <v>19467</v>
      </c>
      <c r="V316" s="2" t="s">
        <v>17137</v>
      </c>
      <c r="W316" s="2" t="s">
        <v>56</v>
      </c>
    </row>
    <row r="317">
      <c r="A317" s="2" t="n">
        <v>223</v>
      </c>
      <c r="B317" s="2" t="s">
        <v>13086</v>
      </c>
      <c r="C317" s="2" t="s">
        <v>19478</v>
      </c>
      <c r="D317" s="2" t="n">
        <v>245.175323942</v>
      </c>
      <c r="E317" s="2" t="n">
        <v>9.24994177306584</v>
      </c>
      <c r="F317" s="2" t="s">
        <v>19480</v>
      </c>
      <c r="G317" s="2" t="n">
        <v>56681</v>
      </c>
      <c r="H317" s="3" t="str">
        <f>HYPERLINK("http://funmeta.oebiotech.com/network/56681", "http://funmeta.oebiotech.com/network/56681")</f>
      </c>
      <c r="I317" s="2" t="s">
        <v>19482</v>
      </c>
      <c r="J317" s="2" t="s">
        <v>19483</v>
      </c>
      <c r="K317" s="2"/>
      <c r="L317" s="2"/>
      <c r="M317" s="2" t="s">
        <v>19484</v>
      </c>
      <c r="N317" s="2" t="s">
        <v>19485</v>
      </c>
      <c r="O317" s="2" t="s">
        <v>19486</v>
      </c>
      <c r="P317" s="2" t="s">
        <v>19487</v>
      </c>
      <c r="Q317" s="2" t="s">
        <v>19488</v>
      </c>
      <c r="R317" s="2" t="s">
        <v>794</v>
      </c>
      <c r="S317" s="2" t="s">
        <v>795</v>
      </c>
      <c r="T317" s="2" t="s">
        <v>3273</v>
      </c>
      <c r="U317" s="2" t="s">
        <v>19479</v>
      </c>
      <c r="V317" s="2" t="s">
        <v>17039</v>
      </c>
      <c r="W317" s="2" t="s">
        <v>56</v>
      </c>
    </row>
    <row r="318">
      <c r="A318" s="2" t="n">
        <v>224</v>
      </c>
      <c r="B318" s="2" t="s">
        <v>13087</v>
      </c>
      <c r="C318" s="2" t="s">
        <v>19489</v>
      </c>
      <c r="D318" s="2" t="n">
        <v>245.226965582</v>
      </c>
      <c r="E318" s="2" t="n">
        <v>6.93143381752833</v>
      </c>
      <c r="F318" s="2" t="s">
        <v>19491</v>
      </c>
      <c r="G318" s="2" t="n">
        <v>58497</v>
      </c>
      <c r="H318" s="3" t="str">
        <f>HYPERLINK("http://funmeta.oebiotech.com/network/58497", "http://funmeta.oebiotech.com/network/58497")</f>
      </c>
      <c r="I318" s="2" t="s">
        <v>19493</v>
      </c>
      <c r="J318" s="2" t="s">
        <v>19494</v>
      </c>
      <c r="K318" s="2"/>
      <c r="L318" s="2"/>
      <c r="M318" s="2"/>
      <c r="N318" s="2" t="s">
        <v>19495</v>
      </c>
      <c r="O318" s="2" t="s">
        <v>19496</v>
      </c>
      <c r="P318" s="2" t="s">
        <v>19497</v>
      </c>
      <c r="Q318" s="2" t="s">
        <v>19498</v>
      </c>
      <c r="R318" s="2" t="s">
        <v>794</v>
      </c>
      <c r="S318" s="2" t="s">
        <v>1098</v>
      </c>
      <c r="T318" s="2" t="s">
        <v>4662</v>
      </c>
      <c r="U318" s="2" t="s">
        <v>19490</v>
      </c>
      <c r="V318" s="2" t="s">
        <v>17039</v>
      </c>
      <c r="W318" s="2" t="s">
        <v>56</v>
      </c>
    </row>
    <row r="319">
      <c r="A319" s="2" t="n">
        <v>225</v>
      </c>
      <c r="B319" s="2" t="s">
        <v>13088</v>
      </c>
      <c r="C319" s="2" t="s">
        <v>19499</v>
      </c>
      <c r="D319" s="2" t="n">
        <v>245.952494466</v>
      </c>
      <c r="E319" s="2" t="n">
        <v>8.19334509886234</v>
      </c>
      <c r="F319" s="2" t="s">
        <v>19501</v>
      </c>
      <c r="G319" s="2" t="n">
        <v>63379</v>
      </c>
      <c r="H319" s="3" t="str">
        <f>HYPERLINK("http://funmeta.oebiotech.com/network/63379", "http://funmeta.oebiotech.com/network/63379")</f>
      </c>
      <c r="I319" s="2" t="s">
        <v>19503</v>
      </c>
      <c r="J319" s="2" t="s">
        <v>19504</v>
      </c>
      <c r="K319" s="2"/>
      <c r="L319" s="2"/>
      <c r="M319" s="2"/>
      <c r="N319" s="2" t="s">
        <v>19505</v>
      </c>
      <c r="O319" s="2" t="s">
        <v>19506</v>
      </c>
      <c r="P319" s="2" t="s">
        <v>19507</v>
      </c>
      <c r="Q319" s="2" t="s">
        <v>19508</v>
      </c>
      <c r="R319" s="2" t="s">
        <v>114</v>
      </c>
      <c r="S319" s="2" t="s">
        <v>994</v>
      </c>
      <c r="T319" s="2" t="s">
        <v>1468</v>
      </c>
      <c r="U319" s="2" t="s">
        <v>19500</v>
      </c>
      <c r="V319" s="2" t="s">
        <v>17198</v>
      </c>
      <c r="W319" s="2"/>
    </row>
    <row r="320">
      <c r="A320" s="2" t="n">
        <v>226</v>
      </c>
      <c r="B320" s="2" t="s">
        <v>13113</v>
      </c>
      <c r="C320" s="2" t="s">
        <v>19509</v>
      </c>
      <c r="D320" s="2" t="n">
        <v>246.071231119</v>
      </c>
      <c r="E320" s="2" t="n">
        <v>3.55407620253412</v>
      </c>
      <c r="F320" s="2" t="s">
        <v>19511</v>
      </c>
      <c r="G320" s="2" t="n">
        <v>213422</v>
      </c>
      <c r="H320" s="3" t="str">
        <f>HYPERLINK("http://funmeta.oebiotech.com/network/213422", "http://funmeta.oebiotech.com/network/213422")</f>
      </c>
      <c r="I320" s="2" t="s">
        <v>19513</v>
      </c>
      <c r="J320" s="2"/>
      <c r="K320" s="2"/>
      <c r="L320" s="2"/>
      <c r="M320" s="2"/>
      <c r="N320" s="2" t="s">
        <v>19514</v>
      </c>
      <c r="O320" s="2"/>
      <c r="P320" s="2" t="s">
        <v>19515</v>
      </c>
      <c r="Q320" s="2" t="s">
        <v>19516</v>
      </c>
      <c r="R320" s="2" t="s">
        <v>12052</v>
      </c>
      <c r="S320" s="2" t="s">
        <v>12053</v>
      </c>
      <c r="T320" s="2" t="s">
        <v>12061</v>
      </c>
      <c r="U320" s="2" t="s">
        <v>19510</v>
      </c>
      <c r="V320" s="2" t="s">
        <v>17198</v>
      </c>
      <c r="W320" s="2"/>
    </row>
    <row r="321">
      <c r="A321" s="2" t="n">
        <v>227</v>
      </c>
      <c r="B321" s="2" t="s">
        <v>13133</v>
      </c>
      <c r="C321" s="2" t="s">
        <v>19517</v>
      </c>
      <c r="D321" s="2" t="n">
        <v>246.100320181</v>
      </c>
      <c r="E321" s="2" t="n">
        <v>0.714856122120491</v>
      </c>
      <c r="F321" s="2" t="s">
        <v>19519</v>
      </c>
      <c r="G321" s="2" t="n">
        <v>55173</v>
      </c>
      <c r="H321" s="3" t="str">
        <f>HYPERLINK("http://funmeta.oebiotech.com/network/55173", "http://funmeta.oebiotech.com/network/55173")</f>
      </c>
      <c r="I321" s="2" t="s">
        <v>19521</v>
      </c>
      <c r="J321" s="2"/>
      <c r="K321" s="2"/>
      <c r="L321" s="2" t="s">
        <v>19522</v>
      </c>
      <c r="M321" s="2"/>
      <c r="N321" s="2" t="s">
        <v>19523</v>
      </c>
      <c r="O321" s="2" t="s">
        <v>19524</v>
      </c>
      <c r="P321" s="2" t="s">
        <v>19525</v>
      </c>
      <c r="Q321" s="2" t="s">
        <v>19526</v>
      </c>
      <c r="R321" s="2" t="s">
        <v>114</v>
      </c>
      <c r="S321" s="2" t="s">
        <v>369</v>
      </c>
      <c r="T321" s="2" t="s">
        <v>370</v>
      </c>
      <c r="U321" s="2" t="s">
        <v>19518</v>
      </c>
      <c r="V321" s="2" t="s">
        <v>17406</v>
      </c>
      <c r="W321" s="2" t="s">
        <v>56</v>
      </c>
    </row>
    <row r="322">
      <c r="A322" s="2" t="n">
        <v>228</v>
      </c>
      <c r="B322" s="2" t="s">
        <v>13161</v>
      </c>
      <c r="C322" s="2" t="s">
        <v>19527</v>
      </c>
      <c r="D322" s="2" t="n">
        <v>247.051973006</v>
      </c>
      <c r="E322" s="2" t="n">
        <v>0.54110894843554</v>
      </c>
      <c r="F322" s="2" t="s">
        <v>26500</v>
      </c>
      <c r="G322" s="2" t="n">
        <v>48021</v>
      </c>
      <c r="H322" s="3" t="str">
        <f>HYPERLINK("http://funmeta.oebiotech.com/network/48021", "http://funmeta.oebiotech.com/network/48021")</f>
      </c>
      <c r="I322" s="2" t="s">
        <v>26501</v>
      </c>
      <c r="J322" s="2" t="s">
        <v>26502</v>
      </c>
      <c r="K322" s="2"/>
      <c r="L322" s="2" t="s">
        <v>26503</v>
      </c>
      <c r="M322" s="2" t="s">
        <v>26504</v>
      </c>
      <c r="N322" s="2" t="s">
        <v>26505</v>
      </c>
      <c r="O322" s="2" t="s">
        <v>26506</v>
      </c>
      <c r="P322" s="2" t="s">
        <v>26507</v>
      </c>
      <c r="Q322" s="2" t="s">
        <v>26508</v>
      </c>
      <c r="R322" s="2" t="s">
        <v>1355</v>
      </c>
      <c r="S322" s="2" t="s">
        <v>9900</v>
      </c>
      <c r="T322" s="2" t="s">
        <v>9901</v>
      </c>
      <c r="U322" s="2" t="s">
        <v>19528</v>
      </c>
      <c r="V322" s="2" t="s">
        <v>17406</v>
      </c>
      <c r="W322" s="2" t="s">
        <v>101</v>
      </c>
    </row>
    <row r="323">
      <c r="A323" s="2" t="n">
        <v>228</v>
      </c>
      <c r="B323" s="2" t="s">
        <v>26509</v>
      </c>
      <c r="C323" s="2" t="s">
        <v>19527</v>
      </c>
      <c r="D323" s="2" t="n">
        <v>247.051973006</v>
      </c>
      <c r="E323" s="2" t="n">
        <v>0.54110894843554</v>
      </c>
      <c r="F323" s="2" t="s">
        <v>26510</v>
      </c>
      <c r="G323" s="2" t="n">
        <v>82235</v>
      </c>
      <c r="H323" s="3" t="str">
        <f>HYPERLINK("http://funmeta.oebiotech.com/network/82235", "http://funmeta.oebiotech.com/network/82235")</f>
      </c>
      <c r="I323" s="2" t="s">
        <v>26511</v>
      </c>
      <c r="J323" s="2" t="s">
        <v>26512</v>
      </c>
      <c r="K323" s="2"/>
      <c r="L323" s="2" t="s">
        <v>26513</v>
      </c>
      <c r="M323" s="2" t="s">
        <v>26514</v>
      </c>
      <c r="N323" s="2" t="s">
        <v>26515</v>
      </c>
      <c r="O323" s="2" t="s">
        <v>26516</v>
      </c>
      <c r="P323" s="2" t="s">
        <v>26517</v>
      </c>
      <c r="Q323" s="2" t="s">
        <v>26518</v>
      </c>
      <c r="R323" s="2" t="s">
        <v>186</v>
      </c>
      <c r="S323" s="2" t="s">
        <v>3770</v>
      </c>
      <c r="T323" s="2" t="s">
        <v>215</v>
      </c>
      <c r="U323" s="2" t="s">
        <v>19528</v>
      </c>
      <c r="V323" s="2" t="s">
        <v>17406</v>
      </c>
      <c r="W323" s="2" t="s">
        <v>101</v>
      </c>
    </row>
    <row r="324">
      <c r="A324" s="2" t="n">
        <v>229</v>
      </c>
      <c r="B324" s="2" t="s">
        <v>13162</v>
      </c>
      <c r="C324" s="2" t="s">
        <v>19542</v>
      </c>
      <c r="D324" s="2" t="n">
        <v>247.092462179</v>
      </c>
      <c r="E324" s="2" t="n">
        <v>0.0860094704135983</v>
      </c>
      <c r="F324" s="2" t="s">
        <v>26519</v>
      </c>
      <c r="G324" s="2" t="n">
        <v>51178</v>
      </c>
      <c r="H324" s="3" t="str">
        <f>HYPERLINK("http://funmeta.oebiotech.com/network/51178", "http://funmeta.oebiotech.com/network/51178")</f>
      </c>
      <c r="I324" s="2" t="s">
        <v>26520</v>
      </c>
      <c r="J324" s="2" t="s">
        <v>26521</v>
      </c>
      <c r="K324" s="2"/>
      <c r="L324" s="2"/>
      <c r="M324" s="2"/>
      <c r="N324" s="2" t="s">
        <v>26522</v>
      </c>
      <c r="O324" s="2" t="s">
        <v>26523</v>
      </c>
      <c r="P324" s="2" t="s">
        <v>26524</v>
      </c>
      <c r="Q324" s="2" t="s">
        <v>26525</v>
      </c>
      <c r="R324" s="2" t="s">
        <v>36</v>
      </c>
      <c r="S324" s="2" t="s">
        <v>37</v>
      </c>
      <c r="T324" s="2" t="s">
        <v>69</v>
      </c>
      <c r="U324" s="2" t="s">
        <v>19543</v>
      </c>
      <c r="V324" s="2" t="s">
        <v>17137</v>
      </c>
      <c r="W324" s="2" t="s">
        <v>56</v>
      </c>
    </row>
    <row r="325">
      <c r="A325" s="2" t="n">
        <v>229</v>
      </c>
      <c r="B325" s="2" t="s">
        <v>13171</v>
      </c>
      <c r="C325" s="2" t="s">
        <v>19542</v>
      </c>
      <c r="D325" s="2" t="n">
        <v>247.09246219</v>
      </c>
      <c r="E325" s="2" t="n">
        <v>0.0860094704135983</v>
      </c>
      <c r="F325" s="2" t="s">
        <v>26526</v>
      </c>
      <c r="G325" s="2" t="n">
        <v>47063</v>
      </c>
      <c r="H325" s="3" t="str">
        <f>HYPERLINK("http://funmeta.oebiotech.com/network/47063", "http://funmeta.oebiotech.com/network/47063")</f>
      </c>
      <c r="I325" s="2" t="s">
        <v>26527</v>
      </c>
      <c r="J325" s="2" t="s">
        <v>26528</v>
      </c>
      <c r="K325" s="2"/>
      <c r="L325" s="2"/>
      <c r="M325" s="2" t="s">
        <v>26529</v>
      </c>
      <c r="N325" s="2" t="s">
        <v>26530</v>
      </c>
      <c r="O325" s="2" t="s">
        <v>26531</v>
      </c>
      <c r="P325" s="2" t="s">
        <v>26532</v>
      </c>
      <c r="Q325" s="2" t="s">
        <v>26533</v>
      </c>
      <c r="R325" s="2" t="s">
        <v>129</v>
      </c>
      <c r="S325" s="2" t="s">
        <v>130</v>
      </c>
      <c r="T325" s="2" t="s">
        <v>1681</v>
      </c>
      <c r="U325" s="2" t="s">
        <v>19543</v>
      </c>
      <c r="V325" s="2" t="s">
        <v>17137</v>
      </c>
      <c r="W325" s="2" t="s">
        <v>56</v>
      </c>
    </row>
    <row r="326">
      <c r="A326" s="2" t="n">
        <v>230</v>
      </c>
      <c r="B326" s="2" t="s">
        <v>13179</v>
      </c>
      <c r="C326" s="2" t="s">
        <v>19556</v>
      </c>
      <c r="D326" s="2" t="n">
        <v>248.114789363</v>
      </c>
      <c r="E326" s="2" t="n">
        <v>10.0343324487398</v>
      </c>
      <c r="F326" s="2" t="s">
        <v>19558</v>
      </c>
      <c r="G326" s="2" t="n">
        <v>200299</v>
      </c>
      <c r="H326" s="3" t="str">
        <f>HYPERLINK("http://funmeta.oebiotech.com/network/200299", "http://funmeta.oebiotech.com/network/200299")</f>
      </c>
      <c r="I326" s="2" t="s">
        <v>19560</v>
      </c>
      <c r="J326" s="2"/>
      <c r="K326" s="2"/>
      <c r="L326" s="2"/>
      <c r="M326" s="2"/>
      <c r="N326" s="2" t="s">
        <v>19561</v>
      </c>
      <c r="O326" s="2"/>
      <c r="P326" s="2" t="s">
        <v>19562</v>
      </c>
      <c r="Q326" s="2" t="s">
        <v>19563</v>
      </c>
      <c r="R326" s="2" t="s">
        <v>2416</v>
      </c>
      <c r="S326" s="2" t="s">
        <v>19564</v>
      </c>
      <c r="T326" s="2" t="s">
        <v>19565</v>
      </c>
      <c r="U326" s="2" t="s">
        <v>19557</v>
      </c>
      <c r="V326" s="2" t="s">
        <v>17039</v>
      </c>
      <c r="W326" s="2"/>
    </row>
    <row r="327">
      <c r="A327" s="2" t="n">
        <v>231</v>
      </c>
      <c r="B327" s="2" t="s">
        <v>13180</v>
      </c>
      <c r="C327" s="2" t="s">
        <v>19566</v>
      </c>
      <c r="D327" s="2" t="n">
        <v>248.938320838</v>
      </c>
      <c r="E327" s="2" t="n">
        <v>8.42110231496943</v>
      </c>
      <c r="F327" s="2" t="s">
        <v>19568</v>
      </c>
      <c r="G327" s="2" t="n">
        <v>212605</v>
      </c>
      <c r="H327" s="3" t="str">
        <f>HYPERLINK("http://funmeta.oebiotech.com/network/212605", "http://funmeta.oebiotech.com/network/212605")</f>
      </c>
      <c r="I327" s="2" t="s">
        <v>19570</v>
      </c>
      <c r="J327" s="2"/>
      <c r="K327" s="2"/>
      <c r="L327" s="2"/>
      <c r="M327" s="2"/>
      <c r="N327" s="2"/>
      <c r="O327" s="2"/>
      <c r="P327" s="2" t="s">
        <v>19571</v>
      </c>
      <c r="Q327" s="2" t="s">
        <v>19572</v>
      </c>
      <c r="R327" s="2" t="s">
        <v>36</v>
      </c>
      <c r="S327" s="2" t="s">
        <v>37</v>
      </c>
      <c r="T327" s="2" t="s">
        <v>242</v>
      </c>
      <c r="U327" s="2" t="s">
        <v>19567</v>
      </c>
      <c r="V327" s="2" t="s">
        <v>17406</v>
      </c>
      <c r="W327" s="2"/>
    </row>
    <row r="328">
      <c r="A328" s="2" t="n">
        <v>232</v>
      </c>
      <c r="B328" s="2" t="s">
        <v>13181</v>
      </c>
      <c r="C328" s="2" t="s">
        <v>19573</v>
      </c>
      <c r="D328" s="2" t="n">
        <v>249.070839625</v>
      </c>
      <c r="E328" s="2" t="n">
        <v>1.3789611655426</v>
      </c>
      <c r="F328" s="2" t="s">
        <v>19575</v>
      </c>
      <c r="G328" s="2" t="n">
        <v>200726</v>
      </c>
      <c r="H328" s="3" t="str">
        <f>HYPERLINK("http://funmeta.oebiotech.com/network/200726", "http://funmeta.oebiotech.com/network/200726")</f>
      </c>
      <c r="I328" s="2" t="s">
        <v>19577</v>
      </c>
      <c r="J328" s="2"/>
      <c r="K328" s="2"/>
      <c r="L328" s="2"/>
      <c r="M328" s="2"/>
      <c r="N328" s="2" t="s">
        <v>19578</v>
      </c>
      <c r="O328" s="2"/>
      <c r="P328" s="2" t="s">
        <v>19579</v>
      </c>
      <c r="Q328" s="2" t="s">
        <v>19580</v>
      </c>
      <c r="R328" s="2" t="s">
        <v>114</v>
      </c>
      <c r="S328" s="2" t="s">
        <v>19581</v>
      </c>
      <c r="T328" s="2" t="s">
        <v>19582</v>
      </c>
      <c r="U328" s="2" t="s">
        <v>19574</v>
      </c>
      <c r="V328" s="2" t="s">
        <v>17198</v>
      </c>
      <c r="W328" s="2"/>
    </row>
    <row r="329">
      <c r="A329" s="2" t="n">
        <v>233</v>
      </c>
      <c r="B329" s="2" t="s">
        <v>13209</v>
      </c>
      <c r="C329" s="2" t="s">
        <v>19583</v>
      </c>
      <c r="D329" s="2" t="n">
        <v>249.120960452</v>
      </c>
      <c r="E329" s="2" t="n">
        <v>4.93371958679536</v>
      </c>
      <c r="F329" s="2" t="s">
        <v>26534</v>
      </c>
      <c r="G329" s="2" t="n">
        <v>52699</v>
      </c>
      <c r="H329" s="3" t="str">
        <f>HYPERLINK("http://funmeta.oebiotech.com/network/52699", "http://funmeta.oebiotech.com/network/52699")</f>
      </c>
      <c r="I329" s="2" t="s">
        <v>26535</v>
      </c>
      <c r="J329" s="2" t="s">
        <v>26536</v>
      </c>
      <c r="K329" s="2"/>
      <c r="L329" s="2" t="s">
        <v>26537</v>
      </c>
      <c r="M329" s="2" t="s">
        <v>26538</v>
      </c>
      <c r="N329" s="2" t="s">
        <v>26539</v>
      </c>
      <c r="O329" s="2" t="s">
        <v>26540</v>
      </c>
      <c r="P329" s="2" t="s">
        <v>26541</v>
      </c>
      <c r="Q329" s="2" t="s">
        <v>26542</v>
      </c>
      <c r="R329" s="2" t="s">
        <v>114</v>
      </c>
      <c r="S329" s="2" t="s">
        <v>369</v>
      </c>
      <c r="T329" s="2" t="s">
        <v>370</v>
      </c>
      <c r="U329" s="2" t="s">
        <v>19584</v>
      </c>
      <c r="V329" s="2" t="s">
        <v>17198</v>
      </c>
      <c r="W329" s="2" t="s">
        <v>56</v>
      </c>
    </row>
    <row r="330">
      <c r="A330" s="2" t="n">
        <v>233</v>
      </c>
      <c r="B330" s="2" t="s">
        <v>26543</v>
      </c>
      <c r="C330" s="2" t="s">
        <v>19583</v>
      </c>
      <c r="D330" s="2" t="n">
        <v>249.120960452</v>
      </c>
      <c r="E330" s="2" t="n">
        <v>4.93371958679536</v>
      </c>
      <c r="F330" s="2" t="s">
        <v>26544</v>
      </c>
      <c r="G330" s="2" t="n">
        <v>53510</v>
      </c>
      <c r="H330" s="3" t="str">
        <f>HYPERLINK("http://funmeta.oebiotech.com/network/53510", "http://funmeta.oebiotech.com/network/53510")</f>
      </c>
      <c r="I330" s="2" t="s">
        <v>26545</v>
      </c>
      <c r="J330" s="2" t="s">
        <v>26546</v>
      </c>
      <c r="K330" s="2"/>
      <c r="L330" s="2" t="s">
        <v>26547</v>
      </c>
      <c r="M330" s="2" t="s">
        <v>26548</v>
      </c>
      <c r="N330" s="2" t="s">
        <v>17958</v>
      </c>
      <c r="O330" s="2" t="s">
        <v>26549</v>
      </c>
      <c r="P330" s="2" t="s">
        <v>26550</v>
      </c>
      <c r="Q330" s="2" t="s">
        <v>26551</v>
      </c>
      <c r="R330" s="2" t="s">
        <v>114</v>
      </c>
      <c r="S330" s="2" t="s">
        <v>369</v>
      </c>
      <c r="T330" s="2" t="s">
        <v>370</v>
      </c>
      <c r="U330" s="2" t="s">
        <v>19584</v>
      </c>
      <c r="V330" s="2" t="s">
        <v>17198</v>
      </c>
      <c r="W330" s="2" t="s">
        <v>56</v>
      </c>
    </row>
    <row r="331">
      <c r="A331" s="2" t="n">
        <v>234</v>
      </c>
      <c r="B331" s="2" t="s">
        <v>13210</v>
      </c>
      <c r="C331" s="2" t="s">
        <v>19596</v>
      </c>
      <c r="D331" s="2" t="n">
        <v>249.148520506</v>
      </c>
      <c r="E331" s="2" t="n">
        <v>3.47153325594994</v>
      </c>
      <c r="F331" s="2" t="s">
        <v>19598</v>
      </c>
      <c r="G331" s="2" t="n">
        <v>60323</v>
      </c>
      <c r="H331" s="3" t="str">
        <f>HYPERLINK("http://funmeta.oebiotech.com/network/60323", "http://funmeta.oebiotech.com/network/60323")</f>
      </c>
      <c r="I331" s="2" t="s">
        <v>19600</v>
      </c>
      <c r="J331" s="2"/>
      <c r="K331" s="2"/>
      <c r="L331" s="2" t="s">
        <v>19601</v>
      </c>
      <c r="M331" s="2"/>
      <c r="N331" s="2" t="s">
        <v>19602</v>
      </c>
      <c r="O331" s="2" t="s">
        <v>19603</v>
      </c>
      <c r="P331" s="2" t="s">
        <v>19604</v>
      </c>
      <c r="Q331" s="2" t="s">
        <v>19605</v>
      </c>
      <c r="R331" s="2" t="s">
        <v>114</v>
      </c>
      <c r="S331" s="2" t="s">
        <v>1646</v>
      </c>
      <c r="T331" s="2" t="s">
        <v>1647</v>
      </c>
      <c r="U331" s="2" t="s">
        <v>19597</v>
      </c>
      <c r="V331" s="2" t="s">
        <v>17137</v>
      </c>
      <c r="W331" s="2" t="s">
        <v>56</v>
      </c>
    </row>
    <row r="332">
      <c r="A332" s="2" t="n">
        <v>235</v>
      </c>
      <c r="B332" s="2" t="s">
        <v>13211</v>
      </c>
      <c r="C332" s="2" t="s">
        <v>19606</v>
      </c>
      <c r="D332" s="2" t="n">
        <v>250.086254598</v>
      </c>
      <c r="E332" s="2" t="n">
        <v>3.89903542352562</v>
      </c>
      <c r="F332" s="2" t="s">
        <v>19608</v>
      </c>
      <c r="G332" s="2" t="n">
        <v>205076</v>
      </c>
      <c r="H332" s="3" t="str">
        <f>HYPERLINK("http://funmeta.oebiotech.com/network/205076", "http://funmeta.oebiotech.com/network/205076")</f>
      </c>
      <c r="I332" s="2" t="s">
        <v>19610</v>
      </c>
      <c r="J332" s="2"/>
      <c r="K332" s="2"/>
      <c r="L332" s="2"/>
      <c r="M332" s="2"/>
      <c r="N332" s="2" t="s">
        <v>19611</v>
      </c>
      <c r="O332" s="2"/>
      <c r="P332" s="2" t="s">
        <v>19612</v>
      </c>
      <c r="Q332" s="2" t="s">
        <v>19613</v>
      </c>
      <c r="R332" s="2" t="s">
        <v>114</v>
      </c>
      <c r="S332" s="2" t="s">
        <v>2057</v>
      </c>
      <c r="T332" s="2" t="s">
        <v>19614</v>
      </c>
      <c r="U332" s="2" t="s">
        <v>19607</v>
      </c>
      <c r="V332" s="2" t="s">
        <v>17137</v>
      </c>
      <c r="W332" s="2"/>
    </row>
    <row r="333">
      <c r="A333" s="2" t="n">
        <v>236</v>
      </c>
      <c r="B333" s="2" t="s">
        <v>13212</v>
      </c>
      <c r="C333" s="2" t="s">
        <v>19615</v>
      </c>
      <c r="D333" s="2" t="n">
        <v>250.13119342</v>
      </c>
      <c r="E333" s="2" t="n">
        <v>4.4964306300233</v>
      </c>
      <c r="F333" s="2" t="s">
        <v>19617</v>
      </c>
      <c r="G333" s="2" t="n">
        <v>82076</v>
      </c>
      <c r="H333" s="3" t="str">
        <f>HYPERLINK("http://funmeta.oebiotech.com/network/82076", "http://funmeta.oebiotech.com/network/82076")</f>
      </c>
      <c r="I333" s="2" t="s">
        <v>19619</v>
      </c>
      <c r="J333" s="2"/>
      <c r="K333" s="2"/>
      <c r="L333" s="2"/>
      <c r="M333" s="2"/>
      <c r="N333" s="2" t="s">
        <v>19620</v>
      </c>
      <c r="O333" s="2"/>
      <c r="P333" s="2" t="s">
        <v>19621</v>
      </c>
      <c r="Q333" s="2" t="s">
        <v>19622</v>
      </c>
      <c r="R333" s="2" t="s">
        <v>114</v>
      </c>
      <c r="S333" s="2" t="s">
        <v>994</v>
      </c>
      <c r="T333" s="2" t="s">
        <v>1028</v>
      </c>
      <c r="U333" s="2" t="s">
        <v>19616</v>
      </c>
      <c r="V333" s="2" t="s">
        <v>17137</v>
      </c>
      <c r="W333" s="2"/>
    </row>
    <row r="334">
      <c r="A334" s="2" t="n">
        <v>237</v>
      </c>
      <c r="B334" s="2" t="s">
        <v>13213</v>
      </c>
      <c r="C334" s="2" t="s">
        <v>19623</v>
      </c>
      <c r="D334" s="2" t="n">
        <v>251.002301865</v>
      </c>
      <c r="E334" s="2" t="n">
        <v>1.51321242406542</v>
      </c>
      <c r="F334" s="2" t="s">
        <v>19625</v>
      </c>
      <c r="G334" s="2" t="n">
        <v>212972</v>
      </c>
      <c r="H334" s="3" t="str">
        <f>HYPERLINK("http://funmeta.oebiotech.com/network/212972", "http://funmeta.oebiotech.com/network/212972")</f>
      </c>
      <c r="I334" s="2" t="s">
        <v>19627</v>
      </c>
      <c r="J334" s="2"/>
      <c r="K334" s="2"/>
      <c r="L334" s="2"/>
      <c r="M334" s="2"/>
      <c r="N334" s="2" t="s">
        <v>19628</v>
      </c>
      <c r="O334" s="2"/>
      <c r="P334" s="2" t="s">
        <v>19629</v>
      </c>
      <c r="Q334" s="2" t="s">
        <v>19630</v>
      </c>
      <c r="R334" s="2" t="s">
        <v>114</v>
      </c>
      <c r="S334" s="2" t="s">
        <v>730</v>
      </c>
      <c r="T334" s="2" t="s">
        <v>731</v>
      </c>
      <c r="U334" s="2" t="s">
        <v>19624</v>
      </c>
      <c r="V334" s="2" t="s">
        <v>17198</v>
      </c>
      <c r="W334" s="2"/>
    </row>
    <row r="335">
      <c r="A335" s="2" t="n">
        <v>238</v>
      </c>
      <c r="B335" s="2" t="s">
        <v>13214</v>
      </c>
      <c r="C335" s="2" t="s">
        <v>19631</v>
      </c>
      <c r="D335" s="2" t="n">
        <v>251.050258446</v>
      </c>
      <c r="E335" s="2" t="n">
        <v>0.693352570985556</v>
      </c>
      <c r="F335" s="2" t="s">
        <v>19633</v>
      </c>
      <c r="G335" s="2" t="n">
        <v>60788</v>
      </c>
      <c r="H335" s="3" t="str">
        <f>HYPERLINK("http://funmeta.oebiotech.com/network/60788", "http://funmeta.oebiotech.com/network/60788")</f>
      </c>
      <c r="I335" s="2" t="s">
        <v>19635</v>
      </c>
      <c r="J335" s="2" t="s">
        <v>19636</v>
      </c>
      <c r="K335" s="2"/>
      <c r="L335" s="2"/>
      <c r="M335" s="2"/>
      <c r="N335" s="2" t="s">
        <v>19637</v>
      </c>
      <c r="O335" s="2" t="s">
        <v>19638</v>
      </c>
      <c r="P335" s="2" t="s">
        <v>19639</v>
      </c>
      <c r="Q335" s="2" t="s">
        <v>19640</v>
      </c>
      <c r="R335" s="2" t="s">
        <v>644</v>
      </c>
      <c r="S335" s="2" t="s">
        <v>12701</v>
      </c>
      <c r="T335" s="2" t="s">
        <v>12702</v>
      </c>
      <c r="U335" s="2" t="s">
        <v>19632</v>
      </c>
      <c r="V335" s="2" t="s">
        <v>17406</v>
      </c>
      <c r="W335" s="2" t="s">
        <v>56</v>
      </c>
    </row>
    <row r="336">
      <c r="A336" s="2" t="n">
        <v>239</v>
      </c>
      <c r="B336" s="2" t="s">
        <v>13230</v>
      </c>
      <c r="C336" s="2" t="s">
        <v>19641</v>
      </c>
      <c r="D336" s="2" t="n">
        <v>252.951011712</v>
      </c>
      <c r="E336" s="2" t="n">
        <v>1.63611981141365</v>
      </c>
      <c r="F336" s="2" t="s">
        <v>19643</v>
      </c>
      <c r="G336" s="2" t="n">
        <v>48881</v>
      </c>
      <c r="H336" s="3" t="str">
        <f>HYPERLINK("http://funmeta.oebiotech.com/network/48881", "http://funmeta.oebiotech.com/network/48881")</f>
      </c>
      <c r="I336" s="2" t="s">
        <v>19645</v>
      </c>
      <c r="J336" s="2" t="s">
        <v>19646</v>
      </c>
      <c r="K336" s="2"/>
      <c r="L336" s="2" t="s">
        <v>19647</v>
      </c>
      <c r="M336" s="2" t="s">
        <v>19648</v>
      </c>
      <c r="N336" s="2" t="s">
        <v>19649</v>
      </c>
      <c r="O336" s="2"/>
      <c r="P336" s="2" t="s">
        <v>19650</v>
      </c>
      <c r="Q336" s="2" t="s">
        <v>19651</v>
      </c>
      <c r="R336" s="2" t="s">
        <v>36</v>
      </c>
      <c r="S336" s="2" t="s">
        <v>271</v>
      </c>
      <c r="T336" s="2" t="s">
        <v>272</v>
      </c>
      <c r="U336" s="2" t="s">
        <v>19642</v>
      </c>
      <c r="V336" s="2" t="s">
        <v>17406</v>
      </c>
      <c r="W336" s="2" t="s">
        <v>56</v>
      </c>
    </row>
    <row r="337">
      <c r="A337" s="2" t="n">
        <v>240</v>
      </c>
      <c r="B337" s="2" t="s">
        <v>13231</v>
      </c>
      <c r="C337" s="2" t="s">
        <v>19652</v>
      </c>
      <c r="D337" s="2" t="n">
        <v>253.040756392</v>
      </c>
      <c r="E337" s="2" t="n">
        <v>6.03984851936004</v>
      </c>
      <c r="F337" s="2" t="s">
        <v>19654</v>
      </c>
      <c r="G337" s="2" t="n">
        <v>48317</v>
      </c>
      <c r="H337" s="3" t="str">
        <f>HYPERLINK("http://funmeta.oebiotech.com/network/48317", "http://funmeta.oebiotech.com/network/48317")</f>
      </c>
      <c r="I337" s="2" t="s">
        <v>19656</v>
      </c>
      <c r="J337" s="2" t="s">
        <v>19657</v>
      </c>
      <c r="K337" s="2"/>
      <c r="L337" s="2"/>
      <c r="M337" s="2" t="s">
        <v>19658</v>
      </c>
      <c r="N337" s="2" t="s">
        <v>19659</v>
      </c>
      <c r="O337" s="2" t="s">
        <v>19660</v>
      </c>
      <c r="P337" s="2" t="s">
        <v>19661</v>
      </c>
      <c r="Q337" s="2" t="s">
        <v>19662</v>
      </c>
      <c r="R337" s="2" t="s">
        <v>114</v>
      </c>
      <c r="S337" s="2" t="s">
        <v>19663</v>
      </c>
      <c r="T337" s="2" t="s">
        <v>215</v>
      </c>
      <c r="U337" s="2" t="s">
        <v>19653</v>
      </c>
      <c r="V337" s="2" t="s">
        <v>17406</v>
      </c>
      <c r="W337" s="2" t="s">
        <v>56</v>
      </c>
    </row>
    <row r="338">
      <c r="A338" s="2" t="n">
        <v>241</v>
      </c>
      <c r="B338" s="2" t="s">
        <v>13232</v>
      </c>
      <c r="C338" s="2" t="s">
        <v>19664</v>
      </c>
      <c r="D338" s="2" t="n">
        <v>253.122991232</v>
      </c>
      <c r="E338" s="2" t="n">
        <v>5.40563471294117</v>
      </c>
      <c r="F338" s="2" t="s">
        <v>19666</v>
      </c>
      <c r="G338" s="2" t="n">
        <v>52848</v>
      </c>
      <c r="H338" s="3" t="str">
        <f>HYPERLINK("http://funmeta.oebiotech.com/network/52848", "http://funmeta.oebiotech.com/network/52848")</f>
      </c>
      <c r="I338" s="2" t="s">
        <v>19668</v>
      </c>
      <c r="J338" s="2" t="s">
        <v>19669</v>
      </c>
      <c r="K338" s="2"/>
      <c r="L338" s="2" t="s">
        <v>19670</v>
      </c>
      <c r="M338" s="2" t="s">
        <v>19671</v>
      </c>
      <c r="N338" s="2" t="s">
        <v>19672</v>
      </c>
      <c r="O338" s="2" t="s">
        <v>19673</v>
      </c>
      <c r="P338" s="2" t="s">
        <v>19674</v>
      </c>
      <c r="Q338" s="2" t="s">
        <v>19675</v>
      </c>
      <c r="R338" s="2" t="s">
        <v>114</v>
      </c>
      <c r="S338" s="2" t="s">
        <v>172</v>
      </c>
      <c r="T338" s="2" t="s">
        <v>173</v>
      </c>
      <c r="U338" s="2" t="s">
        <v>19665</v>
      </c>
      <c r="V338" s="2" t="s">
        <v>17137</v>
      </c>
      <c r="W338" s="2" t="s">
        <v>56</v>
      </c>
    </row>
    <row r="339">
      <c r="A339" s="2" t="n">
        <v>242</v>
      </c>
      <c r="B339" s="2" t="s">
        <v>13233</v>
      </c>
      <c r="C339" s="2" t="s">
        <v>19676</v>
      </c>
      <c r="D339" s="2" t="n">
        <v>254.018839469</v>
      </c>
      <c r="E339" s="2" t="n">
        <v>1.53249725934868</v>
      </c>
      <c r="F339" s="2" t="s">
        <v>19678</v>
      </c>
      <c r="G339" s="2" t="n">
        <v>203798</v>
      </c>
      <c r="H339" s="3" t="str">
        <f>HYPERLINK("http://funmeta.oebiotech.com/network/203798", "http://funmeta.oebiotech.com/network/203798")</f>
      </c>
      <c r="I339" s="2" t="s">
        <v>19680</v>
      </c>
      <c r="J339" s="2"/>
      <c r="K339" s="2"/>
      <c r="L339" s="2"/>
      <c r="M339" s="2"/>
      <c r="N339" s="2" t="s">
        <v>19681</v>
      </c>
      <c r="O339" s="2"/>
      <c r="P339" s="2" t="s">
        <v>19682</v>
      </c>
      <c r="Q339" s="2" t="s">
        <v>19683</v>
      </c>
      <c r="R339" s="2" t="s">
        <v>114</v>
      </c>
      <c r="S339" s="2" t="s">
        <v>5053</v>
      </c>
      <c r="T339" s="2" t="s">
        <v>5054</v>
      </c>
      <c r="U339" s="2" t="s">
        <v>19677</v>
      </c>
      <c r="V339" s="2" t="s">
        <v>17970</v>
      </c>
      <c r="W339" s="2"/>
    </row>
    <row r="340">
      <c r="A340" s="2" t="n">
        <v>243</v>
      </c>
      <c r="B340" s="2" t="s">
        <v>13250</v>
      </c>
      <c r="C340" s="2" t="s">
        <v>19684</v>
      </c>
      <c r="D340" s="2" t="n">
        <v>254.122357427</v>
      </c>
      <c r="E340" s="2" t="n">
        <v>7.07480551395415</v>
      </c>
      <c r="F340" s="2" t="s">
        <v>26552</v>
      </c>
      <c r="G340" s="2" t="n">
        <v>53748</v>
      </c>
      <c r="H340" s="3" t="str">
        <f>HYPERLINK("http://funmeta.oebiotech.com/network/53748", "http://funmeta.oebiotech.com/network/53748")</f>
      </c>
      <c r="I340" s="2" t="s">
        <v>26553</v>
      </c>
      <c r="J340" s="2" t="s">
        <v>26554</v>
      </c>
      <c r="K340" s="2"/>
      <c r="L340" s="2"/>
      <c r="M340" s="2"/>
      <c r="N340" s="2" t="s">
        <v>26555</v>
      </c>
      <c r="O340" s="2" t="s">
        <v>26556</v>
      </c>
      <c r="P340" s="2" t="s">
        <v>26557</v>
      </c>
      <c r="Q340" s="2" t="s">
        <v>26558</v>
      </c>
      <c r="R340" s="2" t="s">
        <v>36</v>
      </c>
      <c r="S340" s="2" t="s">
        <v>37</v>
      </c>
      <c r="T340" s="2" t="s">
        <v>69</v>
      </c>
      <c r="U340" s="2" t="s">
        <v>19685</v>
      </c>
      <c r="V340" s="2" t="s">
        <v>17198</v>
      </c>
      <c r="W340" s="2" t="s">
        <v>56</v>
      </c>
    </row>
    <row r="341">
      <c r="A341" s="2" t="n">
        <v>243</v>
      </c>
      <c r="B341" s="2" t="s">
        <v>13259</v>
      </c>
      <c r="C341" s="2" t="s">
        <v>19684</v>
      </c>
      <c r="D341" s="2" t="n">
        <v>254.122357435</v>
      </c>
      <c r="E341" s="2" t="n">
        <v>7.07480551395415</v>
      </c>
      <c r="F341" s="2" t="s">
        <v>26559</v>
      </c>
      <c r="G341" s="2" t="n">
        <v>53866</v>
      </c>
      <c r="H341" s="3" t="str">
        <f>HYPERLINK("http://funmeta.oebiotech.com/network/53866", "http://funmeta.oebiotech.com/network/53866")</f>
      </c>
      <c r="I341" s="2" t="s">
        <v>26560</v>
      </c>
      <c r="J341" s="2"/>
      <c r="K341" s="2"/>
      <c r="L341" s="2"/>
      <c r="M341" s="2"/>
      <c r="N341" s="2" t="s">
        <v>26561</v>
      </c>
      <c r="O341" s="2"/>
      <c r="P341" s="2" t="s">
        <v>26562</v>
      </c>
      <c r="Q341" s="2" t="s">
        <v>26563</v>
      </c>
      <c r="R341" s="2" t="s">
        <v>36</v>
      </c>
      <c r="S341" s="2" t="s">
        <v>37</v>
      </c>
      <c r="T341" s="2" t="s">
        <v>69</v>
      </c>
      <c r="U341" s="2" t="s">
        <v>19685</v>
      </c>
      <c r="V341" s="2" t="s">
        <v>17198</v>
      </c>
      <c r="W341" s="2" t="s">
        <v>56</v>
      </c>
    </row>
    <row r="342">
      <c r="A342" s="2" t="n">
        <v>244</v>
      </c>
      <c r="B342" s="2" t="s">
        <v>13278</v>
      </c>
      <c r="C342" s="2" t="s">
        <v>19694</v>
      </c>
      <c r="D342" s="2" t="n">
        <v>254.9989523</v>
      </c>
      <c r="E342" s="2" t="n">
        <v>3.45118865628362</v>
      </c>
      <c r="F342" s="2" t="s">
        <v>19696</v>
      </c>
      <c r="G342" s="2" t="n">
        <v>202777</v>
      </c>
      <c r="H342" s="3" t="str">
        <f>HYPERLINK("http://funmeta.oebiotech.com/network/202777", "http://funmeta.oebiotech.com/network/202777")</f>
      </c>
      <c r="I342" s="2" t="s">
        <v>19698</v>
      </c>
      <c r="J342" s="2"/>
      <c r="K342" s="2"/>
      <c r="L342" s="2"/>
      <c r="M342" s="2"/>
      <c r="N342" s="2"/>
      <c r="O342" s="2"/>
      <c r="P342" s="2" t="s">
        <v>19699</v>
      </c>
      <c r="Q342" s="2" t="s">
        <v>19700</v>
      </c>
      <c r="R342" s="2" t="s">
        <v>186</v>
      </c>
      <c r="S342" s="2" t="s">
        <v>187</v>
      </c>
      <c r="T342" s="2" t="s">
        <v>1206</v>
      </c>
      <c r="U342" s="2" t="s">
        <v>19695</v>
      </c>
      <c r="V342" s="2" t="s">
        <v>17137</v>
      </c>
      <c r="W342" s="2"/>
    </row>
    <row r="343">
      <c r="A343" s="2" t="n">
        <v>245</v>
      </c>
      <c r="B343" s="2" t="s">
        <v>13279</v>
      </c>
      <c r="C343" s="2" t="s">
        <v>19701</v>
      </c>
      <c r="D343" s="2" t="n">
        <v>255.06573384</v>
      </c>
      <c r="E343" s="2" t="n">
        <v>5.03424383542104</v>
      </c>
      <c r="F343" s="2" t="s">
        <v>19703</v>
      </c>
      <c r="G343" s="2" t="n">
        <v>255964</v>
      </c>
      <c r="H343" s="3" t="str">
        <f>HYPERLINK("http://funmeta.oebiotech.com/network/255964", "http://funmeta.oebiotech.com/network/255964")</f>
      </c>
      <c r="I343" s="2" t="s">
        <v>19705</v>
      </c>
      <c r="J343" s="2"/>
      <c r="K343" s="2"/>
      <c r="L343" s="2" t="s">
        <v>19706</v>
      </c>
      <c r="M343" s="2" t="s">
        <v>19707</v>
      </c>
      <c r="N343" s="2" t="s">
        <v>19708</v>
      </c>
      <c r="O343" s="2"/>
      <c r="P343" s="2" t="s">
        <v>19709</v>
      </c>
      <c r="Q343" s="2" t="s">
        <v>19710</v>
      </c>
      <c r="R343" s="2" t="s">
        <v>1355</v>
      </c>
      <c r="S343" s="2" t="s">
        <v>5199</v>
      </c>
      <c r="T343" s="2" t="s">
        <v>19711</v>
      </c>
      <c r="U343" s="2" t="s">
        <v>19702</v>
      </c>
      <c r="V343" s="2" t="s">
        <v>17117</v>
      </c>
      <c r="W343" s="2" t="s">
        <v>101</v>
      </c>
    </row>
    <row r="344">
      <c r="A344" s="2" t="n">
        <v>246</v>
      </c>
      <c r="B344" s="2" t="s">
        <v>13280</v>
      </c>
      <c r="C344" s="2" t="s">
        <v>19712</v>
      </c>
      <c r="D344" s="2" t="n">
        <v>255.141326638</v>
      </c>
      <c r="E344" s="2" t="n">
        <v>4.11863538760036</v>
      </c>
      <c r="F344" s="2" t="s">
        <v>26564</v>
      </c>
      <c r="G344" s="2" t="n">
        <v>60789</v>
      </c>
      <c r="H344" s="3" t="str">
        <f>HYPERLINK("http://funmeta.oebiotech.com/network/60789", "http://funmeta.oebiotech.com/network/60789")</f>
      </c>
      <c r="I344" s="2" t="s">
        <v>26565</v>
      </c>
      <c r="J344" s="2" t="s">
        <v>26566</v>
      </c>
      <c r="K344" s="2"/>
      <c r="L344" s="2"/>
      <c r="M344" s="2"/>
      <c r="N344" s="2" t="s">
        <v>26567</v>
      </c>
      <c r="O344" s="2" t="s">
        <v>26568</v>
      </c>
      <c r="P344" s="2" t="s">
        <v>26569</v>
      </c>
      <c r="Q344" s="2" t="s">
        <v>26570</v>
      </c>
      <c r="R344" s="2" t="s">
        <v>644</v>
      </c>
      <c r="S344" s="2" t="s">
        <v>12701</v>
      </c>
      <c r="T344" s="2" t="s">
        <v>12702</v>
      </c>
      <c r="U344" s="2" t="s">
        <v>19713</v>
      </c>
      <c r="V344" s="2" t="s">
        <v>17137</v>
      </c>
      <c r="W344" s="2" t="s">
        <v>56</v>
      </c>
    </row>
    <row r="345">
      <c r="A345" s="2" t="n">
        <v>246</v>
      </c>
      <c r="B345" s="2" t="s">
        <v>26571</v>
      </c>
      <c r="C345" s="2" t="s">
        <v>19712</v>
      </c>
      <c r="D345" s="2" t="n">
        <v>255.141326638</v>
      </c>
      <c r="E345" s="2" t="n">
        <v>4.11863538760036</v>
      </c>
      <c r="F345" s="2" t="s">
        <v>26572</v>
      </c>
      <c r="G345" s="2" t="n">
        <v>60779</v>
      </c>
      <c r="H345" s="3" t="str">
        <f>HYPERLINK("http://funmeta.oebiotech.com/network/60779", "http://funmeta.oebiotech.com/network/60779")</f>
      </c>
      <c r="I345" s="2" t="s">
        <v>26573</v>
      </c>
      <c r="J345" s="2" t="s">
        <v>26574</v>
      </c>
      <c r="K345" s="2"/>
      <c r="L345" s="2"/>
      <c r="M345" s="2" t="s">
        <v>26575</v>
      </c>
      <c r="N345" s="2" t="s">
        <v>26576</v>
      </c>
      <c r="O345" s="2" t="s">
        <v>26577</v>
      </c>
      <c r="P345" s="2" t="s">
        <v>26578</v>
      </c>
      <c r="Q345" s="2" t="s">
        <v>26579</v>
      </c>
      <c r="R345" s="2" t="s">
        <v>644</v>
      </c>
      <c r="S345" s="2" t="s">
        <v>12701</v>
      </c>
      <c r="T345" s="2" t="s">
        <v>12702</v>
      </c>
      <c r="U345" s="2" t="s">
        <v>19713</v>
      </c>
      <c r="V345" s="2" t="s">
        <v>17137</v>
      </c>
      <c r="W345" s="2" t="s">
        <v>56</v>
      </c>
    </row>
    <row r="346">
      <c r="A346" s="2" t="n">
        <v>247</v>
      </c>
      <c r="B346" s="2" t="s">
        <v>13281</v>
      </c>
      <c r="C346" s="2" t="s">
        <v>19724</v>
      </c>
      <c r="D346" s="2" t="n">
        <v>256.015126663</v>
      </c>
      <c r="E346" s="2" t="n">
        <v>6.08276967742999</v>
      </c>
      <c r="F346" s="2" t="s">
        <v>19726</v>
      </c>
      <c r="G346" s="2" t="n">
        <v>52890</v>
      </c>
      <c r="H346" s="3" t="str">
        <f>HYPERLINK("http://funmeta.oebiotech.com/network/52890", "http://funmeta.oebiotech.com/network/52890")</f>
      </c>
      <c r="I346" s="2" t="s">
        <v>19728</v>
      </c>
      <c r="J346" s="2" t="s">
        <v>19729</v>
      </c>
      <c r="K346" s="2"/>
      <c r="L346" s="2" t="s">
        <v>19730</v>
      </c>
      <c r="M346" s="2" t="s">
        <v>19731</v>
      </c>
      <c r="N346" s="2" t="s">
        <v>19732</v>
      </c>
      <c r="O346" s="2" t="s">
        <v>19733</v>
      </c>
      <c r="P346" s="2" t="s">
        <v>19734</v>
      </c>
      <c r="Q346" s="2" t="s">
        <v>19735</v>
      </c>
      <c r="R346" s="2" t="s">
        <v>186</v>
      </c>
      <c r="S346" s="2" t="s">
        <v>187</v>
      </c>
      <c r="T346" s="2" t="s">
        <v>2791</v>
      </c>
      <c r="U346" s="2" t="s">
        <v>19725</v>
      </c>
      <c r="V346" s="2" t="s">
        <v>17137</v>
      </c>
      <c r="W346" s="2" t="s">
        <v>101</v>
      </c>
    </row>
    <row r="347">
      <c r="A347" s="2" t="n">
        <v>248</v>
      </c>
      <c r="B347" s="2" t="s">
        <v>13298</v>
      </c>
      <c r="C347" s="2" t="s">
        <v>19736</v>
      </c>
      <c r="D347" s="2" t="n">
        <v>256.136576094</v>
      </c>
      <c r="E347" s="2" t="n">
        <v>1.2624450268757</v>
      </c>
      <c r="F347" s="2" t="s">
        <v>19738</v>
      </c>
      <c r="G347" s="2" t="n">
        <v>201152</v>
      </c>
      <c r="H347" s="3" t="str">
        <f>HYPERLINK("http://funmeta.oebiotech.com/network/201152", "http://funmeta.oebiotech.com/network/201152")</f>
      </c>
      <c r="I347" s="2" t="s">
        <v>19740</v>
      </c>
      <c r="J347" s="2"/>
      <c r="K347" s="2"/>
      <c r="L347" s="2"/>
      <c r="M347" s="2"/>
      <c r="N347" s="2" t="s">
        <v>19741</v>
      </c>
      <c r="O347" s="2"/>
      <c r="P347" s="2" t="s">
        <v>19742</v>
      </c>
      <c r="Q347" s="2" t="s">
        <v>19743</v>
      </c>
      <c r="R347" s="2" t="s">
        <v>186</v>
      </c>
      <c r="S347" s="2" t="s">
        <v>187</v>
      </c>
      <c r="T347" s="2" t="s">
        <v>3552</v>
      </c>
      <c r="U347" s="2" t="s">
        <v>19737</v>
      </c>
      <c r="V347" s="2" t="s">
        <v>17137</v>
      </c>
      <c r="W347" s="2"/>
    </row>
    <row r="348">
      <c r="A348" s="2" t="n">
        <v>249</v>
      </c>
      <c r="B348" s="2" t="s">
        <v>13299</v>
      </c>
      <c r="C348" s="2" t="s">
        <v>19744</v>
      </c>
      <c r="D348" s="2" t="n">
        <v>256.263490683</v>
      </c>
      <c r="E348" s="2" t="n">
        <v>11.8927186228401</v>
      </c>
      <c r="F348" s="2" t="s">
        <v>19746</v>
      </c>
      <c r="G348" s="2" t="n">
        <v>8572</v>
      </c>
      <c r="H348" s="3" t="str">
        <f>HYPERLINK("http://funmeta.oebiotech.com/network/8572", "http://funmeta.oebiotech.com/network/8572")</f>
      </c>
      <c r="I348" s="2" t="s">
        <v>19748</v>
      </c>
      <c r="J348" s="2" t="s">
        <v>19749</v>
      </c>
      <c r="K348" s="2" t="s">
        <v>19750</v>
      </c>
      <c r="L348" s="2"/>
      <c r="M348" s="2" t="s">
        <v>19751</v>
      </c>
      <c r="N348" s="2" t="s">
        <v>19752</v>
      </c>
      <c r="O348" s="2" t="s">
        <v>19753</v>
      </c>
      <c r="P348" s="2" t="s">
        <v>19754</v>
      </c>
      <c r="Q348" s="2" t="s">
        <v>19755</v>
      </c>
      <c r="R348" s="2" t="s">
        <v>794</v>
      </c>
      <c r="S348" s="2" t="s">
        <v>795</v>
      </c>
      <c r="T348" s="2" t="s">
        <v>5115</v>
      </c>
      <c r="U348" s="2" t="s">
        <v>19745</v>
      </c>
      <c r="V348" s="2" t="s">
        <v>17137</v>
      </c>
      <c r="W348" s="2" t="s">
        <v>39</v>
      </c>
    </row>
    <row r="349">
      <c r="A349" s="2" t="n">
        <v>250</v>
      </c>
      <c r="B349" s="2" t="s">
        <v>13300</v>
      </c>
      <c r="C349" s="2" t="s">
        <v>19756</v>
      </c>
      <c r="D349" s="2" t="n">
        <v>256.98376252</v>
      </c>
      <c r="E349" s="2" t="n">
        <v>1.752187054214</v>
      </c>
      <c r="F349" s="2" t="s">
        <v>26580</v>
      </c>
      <c r="G349" s="2" t="n">
        <v>47681</v>
      </c>
      <c r="H349" s="3" t="str">
        <f>HYPERLINK("http://funmeta.oebiotech.com/network/47681", "http://funmeta.oebiotech.com/network/47681")</f>
      </c>
      <c r="I349" s="2" t="s">
        <v>26581</v>
      </c>
      <c r="J349" s="2" t="s">
        <v>26582</v>
      </c>
      <c r="K349" s="2"/>
      <c r="L349" s="2" t="s">
        <v>26583</v>
      </c>
      <c r="M349" s="2" t="s">
        <v>26584</v>
      </c>
      <c r="N349" s="2" t="s">
        <v>26585</v>
      </c>
      <c r="O349" s="2" t="s">
        <v>26586</v>
      </c>
      <c r="P349" s="2" t="s">
        <v>26587</v>
      </c>
      <c r="Q349" s="2" t="s">
        <v>26588</v>
      </c>
      <c r="R349" s="2" t="s">
        <v>114</v>
      </c>
      <c r="S349" s="2" t="s">
        <v>730</v>
      </c>
      <c r="T349" s="2" t="s">
        <v>731</v>
      </c>
      <c r="U349" s="2" t="s">
        <v>19757</v>
      </c>
      <c r="V349" s="2" t="s">
        <v>17520</v>
      </c>
      <c r="W349" s="2" t="s">
        <v>56</v>
      </c>
    </row>
    <row r="350">
      <c r="A350" s="2" t="n">
        <v>250</v>
      </c>
      <c r="B350" s="2" t="s">
        <v>26589</v>
      </c>
      <c r="C350" s="2" t="s">
        <v>19756</v>
      </c>
      <c r="D350" s="2" t="n">
        <v>256.98376252</v>
      </c>
      <c r="E350" s="2" t="n">
        <v>1.752187054214</v>
      </c>
      <c r="F350" s="2" t="s">
        <v>26590</v>
      </c>
      <c r="G350" s="2" t="n">
        <v>47991</v>
      </c>
      <c r="H350" s="3" t="str">
        <f>HYPERLINK("http://funmeta.oebiotech.com/network/47991", "http://funmeta.oebiotech.com/network/47991")</f>
      </c>
      <c r="I350" s="2" t="s">
        <v>26591</v>
      </c>
      <c r="J350" s="2" t="s">
        <v>26064</v>
      </c>
      <c r="K350" s="2"/>
      <c r="L350" s="2" t="s">
        <v>26592</v>
      </c>
      <c r="M350" s="2" t="s">
        <v>26593</v>
      </c>
      <c r="N350" s="2" t="s">
        <v>26594</v>
      </c>
      <c r="O350" s="2" t="s">
        <v>26595</v>
      </c>
      <c r="P350" s="2" t="s">
        <v>26596</v>
      </c>
      <c r="Q350" s="2" t="s">
        <v>26597</v>
      </c>
      <c r="R350" s="2" t="s">
        <v>114</v>
      </c>
      <c r="S350" s="2" t="s">
        <v>730</v>
      </c>
      <c r="T350" s="2" t="s">
        <v>731</v>
      </c>
      <c r="U350" s="2" t="s">
        <v>19757</v>
      </c>
      <c r="V350" s="2" t="s">
        <v>17520</v>
      </c>
      <c r="W350" s="2" t="s">
        <v>56</v>
      </c>
    </row>
    <row r="351">
      <c r="A351" s="2" t="n">
        <v>250</v>
      </c>
      <c r="B351" s="2" t="s">
        <v>26598</v>
      </c>
      <c r="C351" s="2" t="s">
        <v>19756</v>
      </c>
      <c r="D351" s="2" t="n">
        <v>256.98376252</v>
      </c>
      <c r="E351" s="2" t="n">
        <v>1.752187054214</v>
      </c>
      <c r="F351" s="2" t="s">
        <v>26599</v>
      </c>
      <c r="G351" s="2" t="n">
        <v>47696</v>
      </c>
      <c r="H351" s="3" t="str">
        <f>HYPERLINK("http://funmeta.oebiotech.com/network/47696", "http://funmeta.oebiotech.com/network/47696")</f>
      </c>
      <c r="I351" s="2" t="s">
        <v>26600</v>
      </c>
      <c r="J351" s="2" t="s">
        <v>26601</v>
      </c>
      <c r="K351" s="2"/>
      <c r="L351" s="2" t="s">
        <v>26602</v>
      </c>
      <c r="M351" s="2" t="s">
        <v>26603</v>
      </c>
      <c r="N351" s="2" t="s">
        <v>21409</v>
      </c>
      <c r="O351" s="2" t="s">
        <v>26604</v>
      </c>
      <c r="P351" s="2" t="s">
        <v>26605</v>
      </c>
      <c r="Q351" s="2" t="s">
        <v>26606</v>
      </c>
      <c r="R351" s="2" t="s">
        <v>114</v>
      </c>
      <c r="S351" s="2" t="s">
        <v>730</v>
      </c>
      <c r="T351" s="2" t="s">
        <v>731</v>
      </c>
      <c r="U351" s="2" t="s">
        <v>19757</v>
      </c>
      <c r="V351" s="2" t="s">
        <v>17520</v>
      </c>
      <c r="W351" s="2" t="s">
        <v>56</v>
      </c>
    </row>
    <row r="352">
      <c r="A352" s="2" t="n">
        <v>251</v>
      </c>
      <c r="B352" s="2" t="s">
        <v>13301</v>
      </c>
      <c r="C352" s="2" t="s">
        <v>19770</v>
      </c>
      <c r="D352" s="2" t="n">
        <v>257.081423558</v>
      </c>
      <c r="E352" s="2" t="n">
        <v>0.491629967921789</v>
      </c>
      <c r="F352" s="2" t="s">
        <v>26607</v>
      </c>
      <c r="G352" s="2" t="n">
        <v>28856</v>
      </c>
      <c r="H352" s="3" t="str">
        <f>HYPERLINK("http://funmeta.oebiotech.com/network/28856", "http://funmeta.oebiotech.com/network/28856")</f>
      </c>
      <c r="I352" s="2" t="s">
        <v>26608</v>
      </c>
      <c r="J352" s="2" t="s">
        <v>26609</v>
      </c>
      <c r="K352" s="2" t="s">
        <v>26610</v>
      </c>
      <c r="L352" s="2" t="s">
        <v>26611</v>
      </c>
      <c r="M352" s="2" t="s">
        <v>26612</v>
      </c>
      <c r="N352" s="2" t="s">
        <v>26613</v>
      </c>
      <c r="O352" s="2" t="s">
        <v>26614</v>
      </c>
      <c r="P352" s="2" t="s">
        <v>26615</v>
      </c>
      <c r="Q352" s="2" t="s">
        <v>26616</v>
      </c>
      <c r="R352" s="2" t="s">
        <v>1355</v>
      </c>
      <c r="S352" s="2" t="s">
        <v>5199</v>
      </c>
      <c r="T352" s="2" t="s">
        <v>5200</v>
      </c>
      <c r="U352" s="2" t="s">
        <v>19771</v>
      </c>
      <c r="V352" s="2" t="s">
        <v>17039</v>
      </c>
      <c r="W352" s="2" t="s">
        <v>56</v>
      </c>
    </row>
    <row r="353">
      <c r="A353" s="2" t="n">
        <v>251</v>
      </c>
      <c r="B353" s="2" t="s">
        <v>26617</v>
      </c>
      <c r="C353" s="2" t="s">
        <v>19770</v>
      </c>
      <c r="D353" s="2" t="n">
        <v>257.081423558</v>
      </c>
      <c r="E353" s="2" t="n">
        <v>0.491629967921789</v>
      </c>
      <c r="F353" s="2" t="s">
        <v>26618</v>
      </c>
      <c r="G353" s="2" t="n">
        <v>34015</v>
      </c>
      <c r="H353" s="3" t="str">
        <f>HYPERLINK("http://funmeta.oebiotech.com/network/34015", "http://funmeta.oebiotech.com/network/34015")</f>
      </c>
      <c r="I353" s="2" t="s">
        <v>26619</v>
      </c>
      <c r="J353" s="2" t="s">
        <v>26620</v>
      </c>
      <c r="K353" s="2" t="s">
        <v>26621</v>
      </c>
      <c r="L353" s="2" t="s">
        <v>26622</v>
      </c>
      <c r="M353" s="2" t="s">
        <v>26623</v>
      </c>
      <c r="N353" s="2" t="s">
        <v>14697</v>
      </c>
      <c r="O353" s="2" t="s">
        <v>26624</v>
      </c>
      <c r="P353" s="2" t="s">
        <v>26625</v>
      </c>
      <c r="Q353" s="2" t="s">
        <v>26626</v>
      </c>
      <c r="R353" s="2" t="s">
        <v>1355</v>
      </c>
      <c r="S353" s="2" t="s">
        <v>9900</v>
      </c>
      <c r="T353" s="2" t="s">
        <v>9901</v>
      </c>
      <c r="U353" s="2" t="s">
        <v>19771</v>
      </c>
      <c r="V353" s="2" t="s">
        <v>17039</v>
      </c>
      <c r="W353" s="2" t="s">
        <v>56</v>
      </c>
    </row>
    <row r="354">
      <c r="A354" s="2" t="n">
        <v>252</v>
      </c>
      <c r="B354" s="2" t="s">
        <v>13302</v>
      </c>
      <c r="C354" s="2" t="s">
        <v>19785</v>
      </c>
      <c r="D354" s="2" t="n">
        <v>257.148791012</v>
      </c>
      <c r="E354" s="2" t="n">
        <v>8.39379743323403</v>
      </c>
      <c r="F354" s="2" t="s">
        <v>26627</v>
      </c>
      <c r="G354" s="2" t="n">
        <v>7506</v>
      </c>
      <c r="H354" s="3" t="str">
        <f>HYPERLINK("http://funmeta.oebiotech.com/network/7506", "http://funmeta.oebiotech.com/network/7506")</f>
      </c>
      <c r="I354" s="2" t="s">
        <v>26628</v>
      </c>
      <c r="J354" s="2" t="s">
        <v>26629</v>
      </c>
      <c r="K354" s="2" t="s">
        <v>26630</v>
      </c>
      <c r="L354" s="2"/>
      <c r="M354" s="2"/>
      <c r="N354" s="2" t="s">
        <v>26631</v>
      </c>
      <c r="O354" s="2" t="s">
        <v>26632</v>
      </c>
      <c r="P354" s="2" t="s">
        <v>26633</v>
      </c>
      <c r="Q354" s="2" t="s">
        <v>26634</v>
      </c>
      <c r="R354" s="2" t="s">
        <v>794</v>
      </c>
      <c r="S354" s="2" t="s">
        <v>795</v>
      </c>
      <c r="T354" s="2" t="s">
        <v>1370</v>
      </c>
      <c r="U354" s="2" t="s">
        <v>19786</v>
      </c>
      <c r="V354" s="2" t="s">
        <v>17970</v>
      </c>
      <c r="W354" s="2" t="s">
        <v>56</v>
      </c>
    </row>
    <row r="355">
      <c r="A355" s="2" t="n">
        <v>252</v>
      </c>
      <c r="B355" s="2" t="s">
        <v>13311</v>
      </c>
      <c r="C355" s="2" t="s">
        <v>19785</v>
      </c>
      <c r="D355" s="2" t="n">
        <v>257.148791012</v>
      </c>
      <c r="E355" s="2" t="n">
        <v>8.39379743323403</v>
      </c>
      <c r="F355" s="2" t="s">
        <v>26635</v>
      </c>
      <c r="G355" s="2" t="n">
        <v>7521</v>
      </c>
      <c r="H355" s="3" t="str">
        <f>HYPERLINK("http://funmeta.oebiotech.com/network/7521", "http://funmeta.oebiotech.com/network/7521")</f>
      </c>
      <c r="I355" s="2" t="s">
        <v>26636</v>
      </c>
      <c r="J355" s="2" t="s">
        <v>26637</v>
      </c>
      <c r="K355" s="2" t="s">
        <v>26638</v>
      </c>
      <c r="L355" s="2"/>
      <c r="M355" s="2"/>
      <c r="N355" s="2" t="s">
        <v>26639</v>
      </c>
      <c r="O355" s="2" t="s">
        <v>26640</v>
      </c>
      <c r="P355" s="2" t="s">
        <v>26641</v>
      </c>
      <c r="Q355" s="2" t="s">
        <v>26642</v>
      </c>
      <c r="R355" s="2" t="s">
        <v>794</v>
      </c>
      <c r="S355" s="2" t="s">
        <v>795</v>
      </c>
      <c r="T355" s="2" t="s">
        <v>1870</v>
      </c>
      <c r="U355" s="2" t="s">
        <v>19786</v>
      </c>
      <c r="V355" s="2" t="s">
        <v>17970</v>
      </c>
      <c r="W355" s="2" t="s">
        <v>56</v>
      </c>
    </row>
    <row r="356">
      <c r="A356" s="2" t="n">
        <v>252</v>
      </c>
      <c r="B356" s="2" t="s">
        <v>13320</v>
      </c>
      <c r="C356" s="2" t="s">
        <v>19785</v>
      </c>
      <c r="D356" s="2" t="n">
        <v>257.148791012</v>
      </c>
      <c r="E356" s="2" t="n">
        <v>8.39379743323403</v>
      </c>
      <c r="F356" s="2" t="s">
        <v>26643</v>
      </c>
      <c r="G356" s="2" t="n">
        <v>7586</v>
      </c>
      <c r="H356" s="3" t="str">
        <f>HYPERLINK("http://funmeta.oebiotech.com/network/7586", "http://funmeta.oebiotech.com/network/7586")</f>
      </c>
      <c r="I356" s="2" t="s">
        <v>26644</v>
      </c>
      <c r="J356" s="2" t="s">
        <v>26645</v>
      </c>
      <c r="K356" s="2" t="s">
        <v>26646</v>
      </c>
      <c r="L356" s="2"/>
      <c r="M356" s="2"/>
      <c r="N356" s="2" t="s">
        <v>26647</v>
      </c>
      <c r="O356" s="2" t="s">
        <v>26648</v>
      </c>
      <c r="P356" s="2" t="s">
        <v>26649</v>
      </c>
      <c r="Q356" s="2" t="s">
        <v>26650</v>
      </c>
      <c r="R356" s="2" t="s">
        <v>794</v>
      </c>
      <c r="S356" s="2" t="s">
        <v>795</v>
      </c>
      <c r="T356" s="2" t="s">
        <v>1870</v>
      </c>
      <c r="U356" s="2" t="s">
        <v>19786</v>
      </c>
      <c r="V356" s="2" t="s">
        <v>17970</v>
      </c>
      <c r="W356" s="2" t="s">
        <v>56</v>
      </c>
    </row>
    <row r="357">
      <c r="A357" s="2" t="n">
        <v>253</v>
      </c>
      <c r="B357" s="2" t="s">
        <v>13326</v>
      </c>
      <c r="C357" s="2" t="s">
        <v>19797</v>
      </c>
      <c r="D357" s="2" t="n">
        <v>259.085937024</v>
      </c>
      <c r="E357" s="2" t="n">
        <v>2.46409338166199</v>
      </c>
      <c r="F357" s="2" t="s">
        <v>26651</v>
      </c>
      <c r="G357" s="2" t="n">
        <v>53813</v>
      </c>
      <c r="H357" s="3" t="str">
        <f>HYPERLINK("http://funmeta.oebiotech.com/network/53813", "http://funmeta.oebiotech.com/network/53813")</f>
      </c>
      <c r="I357" s="2" t="s">
        <v>26652</v>
      </c>
      <c r="J357" s="2"/>
      <c r="K357" s="2"/>
      <c r="L357" s="2"/>
      <c r="M357" s="2"/>
      <c r="N357" s="2" t="s">
        <v>26653</v>
      </c>
      <c r="O357" s="2"/>
      <c r="P357" s="2" t="s">
        <v>26654</v>
      </c>
      <c r="Q357" s="2" t="s">
        <v>26655</v>
      </c>
      <c r="R357" s="2" t="s">
        <v>36</v>
      </c>
      <c r="S357" s="2" t="s">
        <v>37</v>
      </c>
      <c r="T357" s="2" t="s">
        <v>69</v>
      </c>
      <c r="U357" s="2" t="s">
        <v>19798</v>
      </c>
      <c r="V357" s="2" t="s">
        <v>17137</v>
      </c>
      <c r="W357" s="2" t="s">
        <v>56</v>
      </c>
    </row>
    <row r="358">
      <c r="A358" s="2" t="n">
        <v>253</v>
      </c>
      <c r="B358" s="2" t="s">
        <v>26656</v>
      </c>
      <c r="C358" s="2" t="s">
        <v>19797</v>
      </c>
      <c r="D358" s="2" t="n">
        <v>259.085937501</v>
      </c>
      <c r="E358" s="2" t="n">
        <v>2.46409338166199</v>
      </c>
      <c r="F358" s="2" t="s">
        <v>26657</v>
      </c>
      <c r="G358" s="2" t="n">
        <v>53906</v>
      </c>
      <c r="H358" s="3" t="str">
        <f>HYPERLINK("http://funmeta.oebiotech.com/network/53906", "http://funmeta.oebiotech.com/network/53906")</f>
      </c>
      <c r="I358" s="2" t="s">
        <v>26658</v>
      </c>
      <c r="J358" s="2" t="s">
        <v>26659</v>
      </c>
      <c r="K358" s="2"/>
      <c r="L358" s="2"/>
      <c r="M358" s="2"/>
      <c r="N358" s="2" t="s">
        <v>26660</v>
      </c>
      <c r="O358" s="2" t="s">
        <v>26661</v>
      </c>
      <c r="P358" s="2" t="s">
        <v>26662</v>
      </c>
      <c r="Q358" s="2" t="s">
        <v>26663</v>
      </c>
      <c r="R358" s="2" t="s">
        <v>36</v>
      </c>
      <c r="S358" s="2" t="s">
        <v>37</v>
      </c>
      <c r="T358" s="2" t="s">
        <v>69</v>
      </c>
      <c r="U358" s="2" t="s">
        <v>19798</v>
      </c>
      <c r="V358" s="2" t="s">
        <v>17137</v>
      </c>
      <c r="W358" s="2" t="s">
        <v>56</v>
      </c>
    </row>
    <row r="359">
      <c r="A359" s="2" t="n">
        <v>254</v>
      </c>
      <c r="B359" s="2" t="s">
        <v>13327</v>
      </c>
      <c r="C359" s="2" t="s">
        <v>19807</v>
      </c>
      <c r="D359" s="2" t="n">
        <v>259.9875745</v>
      </c>
      <c r="E359" s="2" t="n">
        <v>3.40075999643831</v>
      </c>
      <c r="F359" s="2" t="s">
        <v>26664</v>
      </c>
      <c r="G359" s="2" t="n">
        <v>199943</v>
      </c>
      <c r="H359" s="3" t="str">
        <f>HYPERLINK("http://funmeta.oebiotech.com/network/199943", "http://funmeta.oebiotech.com/network/199943")</f>
      </c>
      <c r="I359" s="2" t="s">
        <v>26665</v>
      </c>
      <c r="J359" s="2"/>
      <c r="K359" s="2"/>
      <c r="L359" s="2"/>
      <c r="M359" s="2"/>
      <c r="N359" s="2" t="s">
        <v>26666</v>
      </c>
      <c r="O359" s="2"/>
      <c r="P359" s="2" t="s">
        <v>26667</v>
      </c>
      <c r="Q359" s="2" t="s">
        <v>26668</v>
      </c>
      <c r="R359" s="2" t="s">
        <v>114</v>
      </c>
      <c r="S359" s="2" t="s">
        <v>6004</v>
      </c>
      <c r="T359" s="2" t="s">
        <v>26669</v>
      </c>
      <c r="U359" s="2" t="s">
        <v>19808</v>
      </c>
      <c r="V359" s="2" t="s">
        <v>17137</v>
      </c>
      <c r="W359" s="2"/>
    </row>
    <row r="360">
      <c r="A360" s="2" t="n">
        <v>254</v>
      </c>
      <c r="B360" s="2" t="s">
        <v>26670</v>
      </c>
      <c r="C360" s="2" t="s">
        <v>19807</v>
      </c>
      <c r="D360" s="2" t="n">
        <v>259.9875745</v>
      </c>
      <c r="E360" s="2" t="n">
        <v>3.40075999643831</v>
      </c>
      <c r="F360" s="2" t="s">
        <v>26671</v>
      </c>
      <c r="G360" s="2" t="n">
        <v>213372</v>
      </c>
      <c r="H360" s="3" t="str">
        <f>HYPERLINK("http://funmeta.oebiotech.com/network/213372", "http://funmeta.oebiotech.com/network/213372")</f>
      </c>
      <c r="I360" s="2" t="s">
        <v>26672</v>
      </c>
      <c r="J360" s="2"/>
      <c r="K360" s="2"/>
      <c r="L360" s="2"/>
      <c r="M360" s="2"/>
      <c r="N360" s="2" t="s">
        <v>26673</v>
      </c>
      <c r="O360" s="2"/>
      <c r="P360" s="2" t="s">
        <v>26674</v>
      </c>
      <c r="Q360" s="2" t="s">
        <v>26675</v>
      </c>
      <c r="R360" s="2" t="s">
        <v>114</v>
      </c>
      <c r="S360" s="2" t="s">
        <v>397</v>
      </c>
      <c r="T360" s="2" t="s">
        <v>6158</v>
      </c>
      <c r="U360" s="2" t="s">
        <v>19808</v>
      </c>
      <c r="V360" s="2" t="s">
        <v>17137</v>
      </c>
      <c r="W360" s="2"/>
    </row>
    <row r="361">
      <c r="A361" s="2" t="n">
        <v>255</v>
      </c>
      <c r="B361" s="2" t="s">
        <v>13328</v>
      </c>
      <c r="C361" s="2" t="s">
        <v>19817</v>
      </c>
      <c r="D361" s="2" t="n">
        <v>260.052978941</v>
      </c>
      <c r="E361" s="2" t="n">
        <v>1.81163575444607</v>
      </c>
      <c r="F361" s="2" t="s">
        <v>19819</v>
      </c>
      <c r="G361" s="2" t="n">
        <v>47474</v>
      </c>
      <c r="H361" s="3" t="str">
        <f>HYPERLINK("http://funmeta.oebiotech.com/network/47474", "http://funmeta.oebiotech.com/network/47474")</f>
      </c>
      <c r="I361" s="2" t="s">
        <v>19821</v>
      </c>
      <c r="J361" s="2" t="s">
        <v>19822</v>
      </c>
      <c r="K361" s="2"/>
      <c r="L361" s="2" t="s">
        <v>19823</v>
      </c>
      <c r="M361" s="2" t="s">
        <v>19824</v>
      </c>
      <c r="N361" s="2" t="s">
        <v>19825</v>
      </c>
      <c r="O361" s="2" t="s">
        <v>19826</v>
      </c>
      <c r="P361" s="2" t="s">
        <v>19827</v>
      </c>
      <c r="Q361" s="2" t="s">
        <v>19828</v>
      </c>
      <c r="R361" s="2" t="s">
        <v>129</v>
      </c>
      <c r="S361" s="2" t="s">
        <v>130</v>
      </c>
      <c r="T361" s="2" t="s">
        <v>1681</v>
      </c>
      <c r="U361" s="2" t="s">
        <v>19818</v>
      </c>
      <c r="V361" s="2" t="s">
        <v>17137</v>
      </c>
      <c r="W361" s="2" t="s">
        <v>56</v>
      </c>
    </row>
    <row r="362">
      <c r="A362" s="2" t="n">
        <v>256</v>
      </c>
      <c r="B362" s="2" t="s">
        <v>13329</v>
      </c>
      <c r="C362" s="2" t="s">
        <v>19829</v>
      </c>
      <c r="D362" s="2" t="n">
        <v>260.114320365</v>
      </c>
      <c r="E362" s="2" t="n">
        <v>0.563723918255811</v>
      </c>
      <c r="F362" s="2" t="s">
        <v>19831</v>
      </c>
      <c r="G362" s="2" t="n">
        <v>8585</v>
      </c>
      <c r="H362" s="3" t="str">
        <f>HYPERLINK("http://funmeta.oebiotech.com/network/8585", "http://funmeta.oebiotech.com/network/8585")</f>
      </c>
      <c r="I362" s="2" t="s">
        <v>19833</v>
      </c>
      <c r="J362" s="2" t="s">
        <v>19834</v>
      </c>
      <c r="K362" s="2" t="s">
        <v>19835</v>
      </c>
      <c r="L362" s="2" t="s">
        <v>19836</v>
      </c>
      <c r="M362" s="2" t="s">
        <v>19837</v>
      </c>
      <c r="N362" s="2" t="s">
        <v>19838</v>
      </c>
      <c r="O362" s="2"/>
      <c r="P362" s="2" t="s">
        <v>19839</v>
      </c>
      <c r="Q362" s="2" t="s">
        <v>19840</v>
      </c>
      <c r="R362" s="2" t="s">
        <v>794</v>
      </c>
      <c r="S362" s="2" t="s">
        <v>795</v>
      </c>
      <c r="T362" s="2" t="s">
        <v>5115</v>
      </c>
      <c r="U362" s="2" t="s">
        <v>19830</v>
      </c>
      <c r="V362" s="2" t="s">
        <v>17039</v>
      </c>
      <c r="W362" s="2" t="s">
        <v>56</v>
      </c>
    </row>
    <row r="363">
      <c r="A363" s="2" t="n">
        <v>257</v>
      </c>
      <c r="B363" s="2" t="s">
        <v>13330</v>
      </c>
      <c r="C363" s="2" t="s">
        <v>19841</v>
      </c>
      <c r="D363" s="2" t="n">
        <v>261.043613765</v>
      </c>
      <c r="E363" s="2" t="n">
        <v>5.50714944325853</v>
      </c>
      <c r="F363" s="2" t="s">
        <v>19843</v>
      </c>
      <c r="G363" s="2" t="n">
        <v>202337</v>
      </c>
      <c r="H363" s="3" t="str">
        <f>HYPERLINK("http://funmeta.oebiotech.com/network/202337", "http://funmeta.oebiotech.com/network/202337")</f>
      </c>
      <c r="I363" s="2" t="s">
        <v>19845</v>
      </c>
      <c r="J363" s="2"/>
      <c r="K363" s="2"/>
      <c r="L363" s="2"/>
      <c r="M363" s="2"/>
      <c r="N363" s="2" t="s">
        <v>19846</v>
      </c>
      <c r="O363" s="2"/>
      <c r="P363" s="2" t="s">
        <v>19847</v>
      </c>
      <c r="Q363" s="2" t="s">
        <v>19848</v>
      </c>
      <c r="R363" s="2" t="s">
        <v>114</v>
      </c>
      <c r="S363" s="2" t="s">
        <v>994</v>
      </c>
      <c r="T363" s="2" t="s">
        <v>19849</v>
      </c>
      <c r="U363" s="2" t="s">
        <v>19842</v>
      </c>
      <c r="V363" s="2" t="s">
        <v>17406</v>
      </c>
      <c r="W363" s="2"/>
    </row>
    <row r="364">
      <c r="A364" s="2" t="n">
        <v>258</v>
      </c>
      <c r="B364" s="2" t="s">
        <v>13331</v>
      </c>
      <c r="C364" s="2" t="s">
        <v>19850</v>
      </c>
      <c r="D364" s="2" t="n">
        <v>261.070656206</v>
      </c>
      <c r="E364" s="2" t="n">
        <v>0.473532994192163</v>
      </c>
      <c r="F364" s="2" t="s">
        <v>19852</v>
      </c>
      <c r="G364" s="2" t="n">
        <v>209313</v>
      </c>
      <c r="H364" s="3" t="str">
        <f>HYPERLINK("http://funmeta.oebiotech.com/network/209313", "http://funmeta.oebiotech.com/network/209313")</f>
      </c>
      <c r="I364" s="2" t="s">
        <v>19854</v>
      </c>
      <c r="J364" s="2" t="s">
        <v>19855</v>
      </c>
      <c r="K364" s="2"/>
      <c r="L364" s="2"/>
      <c r="M364" s="2"/>
      <c r="N364" s="2" t="s">
        <v>19856</v>
      </c>
      <c r="O364" s="2"/>
      <c r="P364" s="2" t="s">
        <v>19857</v>
      </c>
      <c r="Q364" s="2" t="s">
        <v>19858</v>
      </c>
      <c r="R364" s="2" t="s">
        <v>114</v>
      </c>
      <c r="S364" s="2" t="s">
        <v>730</v>
      </c>
      <c r="T364" s="2" t="s">
        <v>731</v>
      </c>
      <c r="U364" s="2" t="s">
        <v>19851</v>
      </c>
      <c r="V364" s="2" t="s">
        <v>17198</v>
      </c>
      <c r="W364" s="2"/>
    </row>
    <row r="365">
      <c r="A365" s="2" t="n">
        <v>259</v>
      </c>
      <c r="B365" s="2" t="s">
        <v>13332</v>
      </c>
      <c r="C365" s="2" t="s">
        <v>19859</v>
      </c>
      <c r="D365" s="2" t="n">
        <v>261.104008576</v>
      </c>
      <c r="E365" s="2" t="n">
        <v>0.579558181334453</v>
      </c>
      <c r="F365" s="2" t="s">
        <v>19861</v>
      </c>
      <c r="G365" s="2" t="n">
        <v>55854</v>
      </c>
      <c r="H365" s="3" t="str">
        <f>HYPERLINK("http://funmeta.oebiotech.com/network/55854", "http://funmeta.oebiotech.com/network/55854")</f>
      </c>
      <c r="I365" s="2" t="s">
        <v>19863</v>
      </c>
      <c r="J365" s="2" t="s">
        <v>19864</v>
      </c>
      <c r="K365" s="2"/>
      <c r="L365" s="2"/>
      <c r="M365" s="2"/>
      <c r="N365" s="2" t="s">
        <v>19865</v>
      </c>
      <c r="O365" s="2" t="s">
        <v>19866</v>
      </c>
      <c r="P365" s="2" t="s">
        <v>19867</v>
      </c>
      <c r="Q365" s="2" t="s">
        <v>19868</v>
      </c>
      <c r="R365" s="2" t="s">
        <v>501</v>
      </c>
      <c r="S365" s="2" t="s">
        <v>502</v>
      </c>
      <c r="T365" s="2" t="s">
        <v>3612</v>
      </c>
      <c r="U365" s="2" t="s">
        <v>19860</v>
      </c>
      <c r="V365" s="2" t="s">
        <v>17406</v>
      </c>
      <c r="W365" s="2" t="s">
        <v>56</v>
      </c>
    </row>
    <row r="366">
      <c r="A366" s="2" t="n">
        <v>260</v>
      </c>
      <c r="B366" s="2" t="s">
        <v>13333</v>
      </c>
      <c r="C366" s="2" t="s">
        <v>19869</v>
      </c>
      <c r="D366" s="2" t="n">
        <v>261.127327892</v>
      </c>
      <c r="E366" s="2" t="n">
        <v>1.36561895649877</v>
      </c>
      <c r="F366" s="2" t="s">
        <v>19871</v>
      </c>
      <c r="G366" s="2" t="n">
        <v>48100</v>
      </c>
      <c r="H366" s="3" t="str">
        <f>HYPERLINK("http://funmeta.oebiotech.com/network/48100", "http://funmeta.oebiotech.com/network/48100")</f>
      </c>
      <c r="I366" s="2" t="s">
        <v>19873</v>
      </c>
      <c r="J366" s="2" t="s">
        <v>19874</v>
      </c>
      <c r="K366" s="2"/>
      <c r="L366" s="2" t="s">
        <v>19875</v>
      </c>
      <c r="M366" s="2" t="s">
        <v>19876</v>
      </c>
      <c r="N366" s="2" t="s">
        <v>19877</v>
      </c>
      <c r="O366" s="2" t="s">
        <v>19878</v>
      </c>
      <c r="P366" s="2" t="s">
        <v>19879</v>
      </c>
      <c r="Q366" s="2" t="s">
        <v>19880</v>
      </c>
      <c r="R366" s="2" t="s">
        <v>36</v>
      </c>
      <c r="S366" s="2" t="s">
        <v>37</v>
      </c>
      <c r="T366" s="2" t="s">
        <v>69</v>
      </c>
      <c r="U366" s="2" t="s">
        <v>19870</v>
      </c>
      <c r="V366" s="2" t="s">
        <v>17039</v>
      </c>
      <c r="W366" s="2" t="s">
        <v>56</v>
      </c>
    </row>
    <row r="367">
      <c r="A367" s="2" t="n">
        <v>261</v>
      </c>
      <c r="B367" s="2" t="s">
        <v>13334</v>
      </c>
      <c r="C367" s="2" t="s">
        <v>19881</v>
      </c>
      <c r="D367" s="2" t="n">
        <v>261.927960505</v>
      </c>
      <c r="E367" s="2" t="n">
        <v>0.0132067181724911</v>
      </c>
      <c r="F367" s="2" t="s">
        <v>26676</v>
      </c>
      <c r="G367" s="2" t="n">
        <v>47663</v>
      </c>
      <c r="H367" s="3" t="str">
        <f>HYPERLINK("http://funmeta.oebiotech.com/network/47663", "http://funmeta.oebiotech.com/network/47663")</f>
      </c>
      <c r="I367" s="2" t="s">
        <v>26677</v>
      </c>
      <c r="J367" s="2" t="s">
        <v>26678</v>
      </c>
      <c r="K367" s="2"/>
      <c r="L367" s="2" t="s">
        <v>26679</v>
      </c>
      <c r="M367" s="2" t="s">
        <v>26680</v>
      </c>
      <c r="N367" s="2" t="s">
        <v>26681</v>
      </c>
      <c r="O367" s="2" t="s">
        <v>26682</v>
      </c>
      <c r="P367" s="2" t="s">
        <v>26683</v>
      </c>
      <c r="Q367" s="2" t="s">
        <v>26684</v>
      </c>
      <c r="R367" s="2" t="s">
        <v>36</v>
      </c>
      <c r="S367" s="2" t="s">
        <v>37</v>
      </c>
      <c r="T367" s="2" t="s">
        <v>69</v>
      </c>
      <c r="U367" s="2" t="s">
        <v>19882</v>
      </c>
      <c r="V367" s="2" t="s">
        <v>17520</v>
      </c>
      <c r="W367" s="2" t="s">
        <v>56</v>
      </c>
    </row>
    <row r="368">
      <c r="A368" s="2" t="n">
        <v>261</v>
      </c>
      <c r="B368" s="2" t="s">
        <v>13342</v>
      </c>
      <c r="C368" s="2" t="s">
        <v>19881</v>
      </c>
      <c r="D368" s="2" t="n">
        <v>261.927960505</v>
      </c>
      <c r="E368" s="2" t="n">
        <v>0.0132067181724911</v>
      </c>
      <c r="F368" s="2" t="s">
        <v>26685</v>
      </c>
      <c r="G368" s="2" t="n">
        <v>46968</v>
      </c>
      <c r="H368" s="3" t="str">
        <f>HYPERLINK("http://funmeta.oebiotech.com/network/46968", "http://funmeta.oebiotech.com/network/46968")</f>
      </c>
      <c r="I368" s="2" t="s">
        <v>26686</v>
      </c>
      <c r="J368" s="2" t="s">
        <v>26687</v>
      </c>
      <c r="K368" s="2"/>
      <c r="L368" s="2" t="s">
        <v>26679</v>
      </c>
      <c r="M368" s="2" t="s">
        <v>26688</v>
      </c>
      <c r="N368" s="2" t="s">
        <v>26689</v>
      </c>
      <c r="O368" s="2" t="s">
        <v>26690</v>
      </c>
      <c r="P368" s="2" t="s">
        <v>26691</v>
      </c>
      <c r="Q368" s="2" t="s">
        <v>26692</v>
      </c>
      <c r="R368" s="2" t="s">
        <v>36</v>
      </c>
      <c r="S368" s="2" t="s">
        <v>37</v>
      </c>
      <c r="T368" s="2" t="s">
        <v>69</v>
      </c>
      <c r="U368" s="2" t="s">
        <v>19882</v>
      </c>
      <c r="V368" s="2" t="s">
        <v>17520</v>
      </c>
      <c r="W368" s="2" t="s">
        <v>56</v>
      </c>
    </row>
    <row r="369">
      <c r="A369" s="2" t="n">
        <v>262</v>
      </c>
      <c r="B369" s="2" t="s">
        <v>13359</v>
      </c>
      <c r="C369" s="2" t="s">
        <v>19893</v>
      </c>
      <c r="D369" s="2" t="n">
        <v>262.128513788</v>
      </c>
      <c r="E369" s="2" t="n">
        <v>16.8773657121158</v>
      </c>
      <c r="F369" s="2" t="s">
        <v>19895</v>
      </c>
      <c r="G369" s="2" t="n">
        <v>52190</v>
      </c>
      <c r="H369" s="3" t="str">
        <f>HYPERLINK("http://funmeta.oebiotech.com/network/52190", "http://funmeta.oebiotech.com/network/52190")</f>
      </c>
      <c r="I369" s="2" t="s">
        <v>19897</v>
      </c>
      <c r="J369" s="2"/>
      <c r="K369" s="2"/>
      <c r="L369" s="2"/>
      <c r="M369" s="2"/>
      <c r="N369" s="2"/>
      <c r="O369" s="2" t="s">
        <v>19898</v>
      </c>
      <c r="P369" s="2" t="s">
        <v>19899</v>
      </c>
      <c r="Q369" s="2" t="s">
        <v>19900</v>
      </c>
      <c r="R369" s="2" t="s">
        <v>794</v>
      </c>
      <c r="S369" s="2" t="s">
        <v>795</v>
      </c>
      <c r="T369" s="2" t="s">
        <v>1870</v>
      </c>
      <c r="U369" s="2" t="s">
        <v>19894</v>
      </c>
      <c r="V369" s="2" t="s">
        <v>17117</v>
      </c>
      <c r="W369" s="2" t="s">
        <v>56</v>
      </c>
    </row>
    <row r="370">
      <c r="A370" s="2" t="n">
        <v>263</v>
      </c>
      <c r="B370" s="2" t="s">
        <v>13360</v>
      </c>
      <c r="C370" s="2" t="s">
        <v>19901</v>
      </c>
      <c r="D370" s="2" t="n">
        <v>263.06031096</v>
      </c>
      <c r="E370" s="2" t="n">
        <v>2.59271526379735</v>
      </c>
      <c r="F370" s="2" t="s">
        <v>19903</v>
      </c>
      <c r="G370" s="2" t="n">
        <v>52975</v>
      </c>
      <c r="H370" s="3" t="str">
        <f>HYPERLINK("http://funmeta.oebiotech.com/network/52975", "http://funmeta.oebiotech.com/network/52975")</f>
      </c>
      <c r="I370" s="2" t="s">
        <v>19905</v>
      </c>
      <c r="J370" s="2" t="s">
        <v>19906</v>
      </c>
      <c r="K370" s="2"/>
      <c r="L370" s="2" t="s">
        <v>19907</v>
      </c>
      <c r="M370" s="2" t="s">
        <v>19908</v>
      </c>
      <c r="N370" s="2" t="s">
        <v>19909</v>
      </c>
      <c r="O370" s="2" t="s">
        <v>19910</v>
      </c>
      <c r="P370" s="2" t="s">
        <v>19911</v>
      </c>
      <c r="Q370" s="2" t="s">
        <v>19912</v>
      </c>
      <c r="R370" s="2" t="s">
        <v>186</v>
      </c>
      <c r="S370" s="2" t="s">
        <v>187</v>
      </c>
      <c r="T370" s="2" t="s">
        <v>3996</v>
      </c>
      <c r="U370" s="2" t="s">
        <v>19902</v>
      </c>
      <c r="V370" s="2" t="s">
        <v>17039</v>
      </c>
      <c r="W370" s="2" t="s">
        <v>56</v>
      </c>
    </row>
    <row r="371">
      <c r="A371" s="2" t="n">
        <v>264</v>
      </c>
      <c r="B371" s="2" t="s">
        <v>13361</v>
      </c>
      <c r="C371" s="2" t="s">
        <v>19913</v>
      </c>
      <c r="D371" s="2" t="n">
        <v>263.085463078</v>
      </c>
      <c r="E371" s="2" t="n">
        <v>3.96798890227838</v>
      </c>
      <c r="F371" s="2" t="s">
        <v>19915</v>
      </c>
      <c r="G371" s="2" t="n">
        <v>82700</v>
      </c>
      <c r="H371" s="3" t="str">
        <f>HYPERLINK("http://funmeta.oebiotech.com/network/82700", "http://funmeta.oebiotech.com/network/82700")</f>
      </c>
      <c r="I371" s="2" t="s">
        <v>19917</v>
      </c>
      <c r="J371" s="2"/>
      <c r="K371" s="2"/>
      <c r="L371" s="2"/>
      <c r="M371" s="2"/>
      <c r="N371" s="2" t="s">
        <v>19918</v>
      </c>
      <c r="O371" s="2"/>
      <c r="P371" s="2" t="s">
        <v>19919</v>
      </c>
      <c r="Q371" s="2" t="s">
        <v>19920</v>
      </c>
      <c r="R371" s="2" t="s">
        <v>186</v>
      </c>
      <c r="S371" s="2" t="s">
        <v>911</v>
      </c>
      <c r="T371" s="2" t="s">
        <v>215</v>
      </c>
      <c r="U371" s="2" t="s">
        <v>19914</v>
      </c>
      <c r="V371" s="2" t="s">
        <v>17039</v>
      </c>
      <c r="W371" s="2" t="s">
        <v>56</v>
      </c>
    </row>
    <row r="372">
      <c r="A372" s="2" t="n">
        <v>265</v>
      </c>
      <c r="B372" s="2" t="s">
        <v>13362</v>
      </c>
      <c r="C372" s="2" t="s">
        <v>19921</v>
      </c>
      <c r="D372" s="2" t="n">
        <v>265.026152186</v>
      </c>
      <c r="E372" s="2" t="n">
        <v>4.09779860339217</v>
      </c>
      <c r="F372" s="2" t="s">
        <v>26693</v>
      </c>
      <c r="G372" s="2" t="n">
        <v>57260</v>
      </c>
      <c r="H372" s="3" t="str">
        <f>HYPERLINK("http://funmeta.oebiotech.com/network/57260", "http://funmeta.oebiotech.com/network/57260")</f>
      </c>
      <c r="I372" s="2" t="s">
        <v>26694</v>
      </c>
      <c r="J372" s="2" t="s">
        <v>26695</v>
      </c>
      <c r="K372" s="2"/>
      <c r="L372" s="2"/>
      <c r="M372" s="2"/>
      <c r="N372" s="2" t="s">
        <v>26696</v>
      </c>
      <c r="O372" s="2" t="s">
        <v>26697</v>
      </c>
      <c r="P372" s="2" t="s">
        <v>26698</v>
      </c>
      <c r="Q372" s="2" t="s">
        <v>26699</v>
      </c>
      <c r="R372" s="2" t="s">
        <v>114</v>
      </c>
      <c r="S372" s="2" t="s">
        <v>6312</v>
      </c>
      <c r="T372" s="2" t="s">
        <v>6313</v>
      </c>
      <c r="U372" s="2" t="s">
        <v>19922</v>
      </c>
      <c r="V372" s="2" t="s">
        <v>17406</v>
      </c>
      <c r="W372" s="2" t="s">
        <v>56</v>
      </c>
    </row>
    <row r="373">
      <c r="A373" s="2" t="n">
        <v>265</v>
      </c>
      <c r="B373" s="2" t="s">
        <v>26700</v>
      </c>
      <c r="C373" s="2" t="s">
        <v>19921</v>
      </c>
      <c r="D373" s="2" t="n">
        <v>265.026152186</v>
      </c>
      <c r="E373" s="2" t="n">
        <v>4.09779860339217</v>
      </c>
      <c r="F373" s="2" t="s">
        <v>26701</v>
      </c>
      <c r="G373" s="2" t="n">
        <v>58076</v>
      </c>
      <c r="H373" s="3" t="str">
        <f>HYPERLINK("http://funmeta.oebiotech.com/network/58076", "http://funmeta.oebiotech.com/network/58076")</f>
      </c>
      <c r="I373" s="2" t="s">
        <v>26702</v>
      </c>
      <c r="J373" s="2" t="s">
        <v>26703</v>
      </c>
      <c r="K373" s="2"/>
      <c r="L373" s="2"/>
      <c r="M373" s="2"/>
      <c r="N373" s="2" t="s">
        <v>26704</v>
      </c>
      <c r="O373" s="2" t="s">
        <v>26705</v>
      </c>
      <c r="P373" s="2" t="s">
        <v>26706</v>
      </c>
      <c r="Q373" s="2" t="s">
        <v>26707</v>
      </c>
      <c r="R373" s="2" t="s">
        <v>1355</v>
      </c>
      <c r="S373" s="2" t="s">
        <v>3298</v>
      </c>
      <c r="T373" s="2" t="s">
        <v>3299</v>
      </c>
      <c r="U373" s="2" t="s">
        <v>19922</v>
      </c>
      <c r="V373" s="2" t="s">
        <v>17406</v>
      </c>
      <c r="W373" s="2" t="s">
        <v>56</v>
      </c>
    </row>
    <row r="374">
      <c r="A374" s="2" t="n">
        <v>266</v>
      </c>
      <c r="B374" s="2" t="s">
        <v>13363</v>
      </c>
      <c r="C374" s="2" t="s">
        <v>19934</v>
      </c>
      <c r="D374" s="2" t="n">
        <v>265.066381884</v>
      </c>
      <c r="E374" s="2" t="n">
        <v>1.11808254331177</v>
      </c>
      <c r="F374" s="2" t="s">
        <v>19936</v>
      </c>
      <c r="G374" s="2" t="n">
        <v>211038</v>
      </c>
      <c r="H374" s="3" t="str">
        <f>HYPERLINK("http://funmeta.oebiotech.com/network/211038", "http://funmeta.oebiotech.com/network/211038")</f>
      </c>
      <c r="I374" s="2" t="s">
        <v>19938</v>
      </c>
      <c r="J374" s="2" t="s">
        <v>19939</v>
      </c>
      <c r="K374" s="2"/>
      <c r="L374" s="2"/>
      <c r="M374" s="2"/>
      <c r="N374" s="2" t="s">
        <v>19940</v>
      </c>
      <c r="O374" s="2"/>
      <c r="P374" s="2" t="s">
        <v>19941</v>
      </c>
      <c r="Q374" s="2" t="s">
        <v>19942</v>
      </c>
      <c r="R374" s="2" t="s">
        <v>36</v>
      </c>
      <c r="S374" s="2" t="s">
        <v>19943</v>
      </c>
      <c r="T374" s="2" t="s">
        <v>19944</v>
      </c>
      <c r="U374" s="2" t="s">
        <v>19935</v>
      </c>
      <c r="V374" s="2" t="s">
        <v>17039</v>
      </c>
      <c r="W374" s="2"/>
    </row>
    <row r="375">
      <c r="A375" s="2" t="n">
        <v>267</v>
      </c>
      <c r="B375" s="2" t="s">
        <v>13364</v>
      </c>
      <c r="C375" s="2" t="s">
        <v>19945</v>
      </c>
      <c r="D375" s="2" t="n">
        <v>266.053763919</v>
      </c>
      <c r="E375" s="2" t="n">
        <v>5.90427614869411</v>
      </c>
      <c r="F375" s="2" t="s">
        <v>19947</v>
      </c>
      <c r="G375" s="2" t="n">
        <v>46826</v>
      </c>
      <c r="H375" s="3" t="str">
        <f>HYPERLINK("http://funmeta.oebiotech.com/network/46826", "http://funmeta.oebiotech.com/network/46826")</f>
      </c>
      <c r="I375" s="2" t="s">
        <v>19949</v>
      </c>
      <c r="J375" s="2" t="s">
        <v>19950</v>
      </c>
      <c r="K375" s="2"/>
      <c r="L375" s="2" t="s">
        <v>19951</v>
      </c>
      <c r="M375" s="2" t="s">
        <v>19952</v>
      </c>
      <c r="N375" s="2" t="s">
        <v>19953</v>
      </c>
      <c r="O375" s="2" t="s">
        <v>19954</v>
      </c>
      <c r="P375" s="2" t="s">
        <v>19955</v>
      </c>
      <c r="Q375" s="2" t="s">
        <v>19956</v>
      </c>
      <c r="R375" s="2" t="s">
        <v>2416</v>
      </c>
      <c r="S375" s="2" t="s">
        <v>2417</v>
      </c>
      <c r="T375" s="2" t="s">
        <v>2848</v>
      </c>
      <c r="U375" s="2" t="s">
        <v>19946</v>
      </c>
      <c r="V375" s="2" t="s">
        <v>17406</v>
      </c>
      <c r="W375" s="2" t="s">
        <v>56</v>
      </c>
    </row>
    <row r="376">
      <c r="A376" s="2" t="n">
        <v>268</v>
      </c>
      <c r="B376" s="2" t="s">
        <v>13365</v>
      </c>
      <c r="C376" s="2" t="s">
        <v>19957</v>
      </c>
      <c r="D376" s="2" t="n">
        <v>267.058754126</v>
      </c>
      <c r="E376" s="2" t="n">
        <v>1.93828845372127</v>
      </c>
      <c r="F376" s="2" t="s">
        <v>19959</v>
      </c>
      <c r="G376" s="2" t="n">
        <v>46982</v>
      </c>
      <c r="H376" s="3" t="str">
        <f>HYPERLINK("http://funmeta.oebiotech.com/network/46982", "http://funmeta.oebiotech.com/network/46982")</f>
      </c>
      <c r="I376" s="2" t="s">
        <v>19961</v>
      </c>
      <c r="J376" s="2" t="s">
        <v>19962</v>
      </c>
      <c r="K376" s="2"/>
      <c r="L376" s="2" t="s">
        <v>19963</v>
      </c>
      <c r="M376" s="2" t="s">
        <v>19964</v>
      </c>
      <c r="N376" s="2" t="s">
        <v>19965</v>
      </c>
      <c r="O376" s="2" t="s">
        <v>19966</v>
      </c>
      <c r="P376" s="2" t="s">
        <v>19967</v>
      </c>
      <c r="Q376" s="2" t="s">
        <v>19968</v>
      </c>
      <c r="R376" s="2" t="s">
        <v>2416</v>
      </c>
      <c r="S376" s="2" t="s">
        <v>2417</v>
      </c>
      <c r="T376" s="2" t="s">
        <v>215</v>
      </c>
      <c r="U376" s="2" t="s">
        <v>19958</v>
      </c>
      <c r="V376" s="2" t="s">
        <v>17198</v>
      </c>
      <c r="W376" s="2" t="s">
        <v>39</v>
      </c>
    </row>
    <row r="377">
      <c r="A377" s="2" t="n">
        <v>269</v>
      </c>
      <c r="B377" s="2" t="s">
        <v>13366</v>
      </c>
      <c r="C377" s="2" t="s">
        <v>19969</v>
      </c>
      <c r="D377" s="2" t="n">
        <v>268.052307358</v>
      </c>
      <c r="E377" s="2" t="n">
        <v>4.79944580757347</v>
      </c>
      <c r="F377" s="2" t="s">
        <v>19971</v>
      </c>
      <c r="G377" s="2" t="n">
        <v>202077</v>
      </c>
      <c r="H377" s="3" t="str">
        <f>HYPERLINK("http://funmeta.oebiotech.com/network/202077", "http://funmeta.oebiotech.com/network/202077")</f>
      </c>
      <c r="I377" s="2" t="s">
        <v>19973</v>
      </c>
      <c r="J377" s="2"/>
      <c r="K377" s="2"/>
      <c r="L377" s="2"/>
      <c r="M377" s="2"/>
      <c r="N377" s="2" t="s">
        <v>19974</v>
      </c>
      <c r="O377" s="2"/>
      <c r="P377" s="2" t="s">
        <v>19975</v>
      </c>
      <c r="Q377" s="2" t="s">
        <v>19976</v>
      </c>
      <c r="R377" s="2" t="s">
        <v>114</v>
      </c>
      <c r="S377" s="2" t="s">
        <v>2057</v>
      </c>
      <c r="T377" s="2" t="s">
        <v>3067</v>
      </c>
      <c r="U377" s="2" t="s">
        <v>19970</v>
      </c>
      <c r="V377" s="2" t="s">
        <v>17406</v>
      </c>
      <c r="W377" s="2"/>
    </row>
    <row r="378">
      <c r="A378" s="2" t="n">
        <v>270</v>
      </c>
      <c r="B378" s="2" t="s">
        <v>13367</v>
      </c>
      <c r="C378" s="2" t="s">
        <v>19977</v>
      </c>
      <c r="D378" s="2" t="n">
        <v>268.104029929</v>
      </c>
      <c r="E378" s="2" t="n">
        <v>3.80031229289617</v>
      </c>
      <c r="F378" s="2" t="s">
        <v>26708</v>
      </c>
      <c r="G378" s="2" t="n">
        <v>52842</v>
      </c>
      <c r="H378" s="3" t="str">
        <f>HYPERLINK("http://funmeta.oebiotech.com/network/52842", "http://funmeta.oebiotech.com/network/52842")</f>
      </c>
      <c r="I378" s="2" t="s">
        <v>26709</v>
      </c>
      <c r="J378" s="2" t="s">
        <v>26710</v>
      </c>
      <c r="K378" s="2"/>
      <c r="L378" s="2" t="s">
        <v>26711</v>
      </c>
      <c r="M378" s="2" t="s">
        <v>475</v>
      </c>
      <c r="N378" s="2" t="s">
        <v>26712</v>
      </c>
      <c r="O378" s="2" t="s">
        <v>26713</v>
      </c>
      <c r="P378" s="2" t="s">
        <v>26714</v>
      </c>
      <c r="Q378" s="2" t="s">
        <v>26715</v>
      </c>
      <c r="R378" s="2" t="s">
        <v>2416</v>
      </c>
      <c r="S378" s="2" t="s">
        <v>2417</v>
      </c>
      <c r="T378" s="2" t="s">
        <v>2418</v>
      </c>
      <c r="U378" s="2" t="s">
        <v>19978</v>
      </c>
      <c r="V378" s="2" t="s">
        <v>17137</v>
      </c>
      <c r="W378" s="2" t="s">
        <v>39</v>
      </c>
    </row>
    <row r="379">
      <c r="A379" s="2" t="n">
        <v>270</v>
      </c>
      <c r="B379" s="2" t="s">
        <v>13375</v>
      </c>
      <c r="C379" s="2" t="s">
        <v>19977</v>
      </c>
      <c r="D379" s="2" t="n">
        <v>268.104029929</v>
      </c>
      <c r="E379" s="2" t="n">
        <v>3.80031229289617</v>
      </c>
      <c r="F379" s="2" t="s">
        <v>26716</v>
      </c>
      <c r="G379" s="2" t="n">
        <v>46843</v>
      </c>
      <c r="H379" s="3" t="str">
        <f>HYPERLINK("http://funmeta.oebiotech.com/network/46843", "http://funmeta.oebiotech.com/network/46843")</f>
      </c>
      <c r="I379" s="2" t="s">
        <v>26717</v>
      </c>
      <c r="J379" s="2" t="s">
        <v>26718</v>
      </c>
      <c r="K379" s="2"/>
      <c r="L379" s="2" t="s">
        <v>26719</v>
      </c>
      <c r="M379" s="2" t="s">
        <v>26720</v>
      </c>
      <c r="N379" s="2" t="s">
        <v>26721</v>
      </c>
      <c r="O379" s="2" t="s">
        <v>26722</v>
      </c>
      <c r="P379" s="2" t="s">
        <v>26723</v>
      </c>
      <c r="Q379" s="2" t="s">
        <v>26724</v>
      </c>
      <c r="R379" s="2" t="s">
        <v>2416</v>
      </c>
      <c r="S379" s="2" t="s">
        <v>6560</v>
      </c>
      <c r="T379" s="2" t="s">
        <v>215</v>
      </c>
      <c r="U379" s="2" t="s">
        <v>19978</v>
      </c>
      <c r="V379" s="2" t="s">
        <v>17137</v>
      </c>
      <c r="W379" s="2" t="s">
        <v>39</v>
      </c>
    </row>
    <row r="380">
      <c r="A380" s="2" t="n">
        <v>271</v>
      </c>
      <c r="B380" s="2" t="s">
        <v>13384</v>
      </c>
      <c r="C380" s="2" t="s">
        <v>19991</v>
      </c>
      <c r="D380" s="2" t="n">
        <v>269.110789688</v>
      </c>
      <c r="E380" s="2" t="n">
        <v>2.55550605775146</v>
      </c>
      <c r="F380" s="2" t="s">
        <v>26725</v>
      </c>
      <c r="G380" s="2" t="n">
        <v>51190</v>
      </c>
      <c r="H380" s="3" t="str">
        <f>HYPERLINK("http://funmeta.oebiotech.com/network/51190", "http://funmeta.oebiotech.com/network/51190")</f>
      </c>
      <c r="I380" s="2" t="s">
        <v>26726</v>
      </c>
      <c r="J380" s="2" t="s">
        <v>26727</v>
      </c>
      <c r="K380" s="2"/>
      <c r="L380" s="2"/>
      <c r="M380" s="2" t="s">
        <v>26728</v>
      </c>
      <c r="N380" s="2" t="s">
        <v>26729</v>
      </c>
      <c r="O380" s="2" t="s">
        <v>26730</v>
      </c>
      <c r="P380" s="2" t="s">
        <v>26731</v>
      </c>
      <c r="Q380" s="2" t="s">
        <v>26732</v>
      </c>
      <c r="R380" s="2" t="s">
        <v>36</v>
      </c>
      <c r="S380" s="2" t="s">
        <v>37</v>
      </c>
      <c r="T380" s="2" t="s">
        <v>69</v>
      </c>
      <c r="U380" s="2" t="s">
        <v>19992</v>
      </c>
      <c r="V380" s="2" t="s">
        <v>17198</v>
      </c>
      <c r="W380" s="2" t="s">
        <v>39</v>
      </c>
    </row>
    <row r="381">
      <c r="A381" s="2" t="n">
        <v>271</v>
      </c>
      <c r="B381" s="2" t="s">
        <v>13390</v>
      </c>
      <c r="C381" s="2" t="s">
        <v>19991</v>
      </c>
      <c r="D381" s="2" t="n">
        <v>269.110789696</v>
      </c>
      <c r="E381" s="2" t="n">
        <v>2.55550605775146</v>
      </c>
      <c r="F381" s="2" t="s">
        <v>26733</v>
      </c>
      <c r="G381" s="2" t="n">
        <v>53794</v>
      </c>
      <c r="H381" s="3" t="str">
        <f>HYPERLINK("http://funmeta.oebiotech.com/network/53794", "http://funmeta.oebiotech.com/network/53794")</f>
      </c>
      <c r="I381" s="2" t="s">
        <v>26734</v>
      </c>
      <c r="J381" s="2"/>
      <c r="K381" s="2"/>
      <c r="L381" s="2"/>
      <c r="M381" s="2"/>
      <c r="N381" s="2" t="s">
        <v>26735</v>
      </c>
      <c r="O381" s="2"/>
      <c r="P381" s="2" t="s">
        <v>26736</v>
      </c>
      <c r="Q381" s="2" t="s">
        <v>26737</v>
      </c>
      <c r="R381" s="2" t="s">
        <v>36</v>
      </c>
      <c r="S381" s="2" t="s">
        <v>37</v>
      </c>
      <c r="T381" s="2" t="s">
        <v>69</v>
      </c>
      <c r="U381" s="2" t="s">
        <v>19992</v>
      </c>
      <c r="V381" s="2" t="s">
        <v>17198</v>
      </c>
      <c r="W381" s="2" t="s">
        <v>39</v>
      </c>
    </row>
    <row r="382">
      <c r="A382" s="2" t="n">
        <v>271</v>
      </c>
      <c r="B382" s="2" t="s">
        <v>26738</v>
      </c>
      <c r="C382" s="2" t="s">
        <v>19991</v>
      </c>
      <c r="D382" s="2" t="n">
        <v>269.110789696</v>
      </c>
      <c r="E382" s="2" t="n">
        <v>2.55550605775146</v>
      </c>
      <c r="F382" s="2" t="s">
        <v>26739</v>
      </c>
      <c r="G382" s="2" t="n">
        <v>53795</v>
      </c>
      <c r="H382" s="3" t="str">
        <f>HYPERLINK("http://funmeta.oebiotech.com/network/53795", "http://funmeta.oebiotech.com/network/53795")</f>
      </c>
      <c r="I382" s="2" t="s">
        <v>26740</v>
      </c>
      <c r="J382" s="2"/>
      <c r="K382" s="2"/>
      <c r="L382" s="2"/>
      <c r="M382" s="2"/>
      <c r="N382" s="2" t="s">
        <v>26741</v>
      </c>
      <c r="O382" s="2"/>
      <c r="P382" s="2" t="s">
        <v>26742</v>
      </c>
      <c r="Q382" s="2" t="s">
        <v>26743</v>
      </c>
      <c r="R382" s="2" t="s">
        <v>36</v>
      </c>
      <c r="S382" s="2" t="s">
        <v>37</v>
      </c>
      <c r="T382" s="2" t="s">
        <v>69</v>
      </c>
      <c r="U382" s="2" t="s">
        <v>19992</v>
      </c>
      <c r="V382" s="2" t="s">
        <v>17198</v>
      </c>
      <c r="W382" s="2" t="s">
        <v>39</v>
      </c>
    </row>
    <row r="383">
      <c r="A383" s="2" t="n">
        <v>272</v>
      </c>
      <c r="B383" s="2" t="s">
        <v>13399</v>
      </c>
      <c r="C383" s="2" t="s">
        <v>20002</v>
      </c>
      <c r="D383" s="2" t="n">
        <v>270.279140747</v>
      </c>
      <c r="E383" s="2" t="n">
        <v>13.682616555958</v>
      </c>
      <c r="F383" s="2" t="s">
        <v>20004</v>
      </c>
      <c r="G383" s="2" t="n">
        <v>64056</v>
      </c>
      <c r="H383" s="3" t="str">
        <f>HYPERLINK("http://funmeta.oebiotech.com/network/64056", "http://funmeta.oebiotech.com/network/64056")</f>
      </c>
      <c r="I383" s="2" t="s">
        <v>20006</v>
      </c>
      <c r="J383" s="2" t="s">
        <v>20007</v>
      </c>
      <c r="K383" s="2"/>
      <c r="L383" s="2" t="s">
        <v>20008</v>
      </c>
      <c r="M383" s="2"/>
      <c r="N383" s="2" t="s">
        <v>20009</v>
      </c>
      <c r="O383" s="2" t="s">
        <v>20010</v>
      </c>
      <c r="P383" s="2" t="s">
        <v>20011</v>
      </c>
      <c r="Q383" s="2" t="s">
        <v>20012</v>
      </c>
      <c r="R383" s="2" t="s">
        <v>36</v>
      </c>
      <c r="S383" s="2" t="s">
        <v>37</v>
      </c>
      <c r="T383" s="2" t="s">
        <v>1217</v>
      </c>
      <c r="U383" s="2" t="s">
        <v>20003</v>
      </c>
      <c r="V383" s="2" t="s">
        <v>17137</v>
      </c>
      <c r="W383" s="2" t="s">
        <v>56</v>
      </c>
    </row>
    <row r="384">
      <c r="A384" s="2" t="n">
        <v>273</v>
      </c>
      <c r="B384" s="2" t="s">
        <v>13400</v>
      </c>
      <c r="C384" s="2" t="s">
        <v>20013</v>
      </c>
      <c r="D384" s="2" t="n">
        <v>271.13287044</v>
      </c>
      <c r="E384" s="2" t="n">
        <v>1.84675645484854</v>
      </c>
      <c r="F384" s="2" t="s">
        <v>26744</v>
      </c>
      <c r="G384" s="2" t="n">
        <v>201045</v>
      </c>
      <c r="H384" s="3" t="str">
        <f>HYPERLINK("http://funmeta.oebiotech.com/network/201045", "http://funmeta.oebiotech.com/network/201045")</f>
      </c>
      <c r="I384" s="2" t="s">
        <v>26745</v>
      </c>
      <c r="J384" s="2"/>
      <c r="K384" s="2"/>
      <c r="L384" s="2"/>
      <c r="M384" s="2"/>
      <c r="N384" s="2" t="s">
        <v>26746</v>
      </c>
      <c r="O384" s="2"/>
      <c r="P384" s="2" t="s">
        <v>26747</v>
      </c>
      <c r="Q384" s="2" t="s">
        <v>26748</v>
      </c>
      <c r="R384" s="2" t="s">
        <v>1355</v>
      </c>
      <c r="S384" s="2" t="s">
        <v>3249</v>
      </c>
      <c r="T384" s="2" t="s">
        <v>215</v>
      </c>
      <c r="U384" s="2" t="s">
        <v>20014</v>
      </c>
      <c r="V384" s="2" t="s">
        <v>17137</v>
      </c>
      <c r="W384" s="2"/>
    </row>
    <row r="385">
      <c r="A385" s="2" t="n">
        <v>273</v>
      </c>
      <c r="B385" s="2" t="s">
        <v>26749</v>
      </c>
      <c r="C385" s="2" t="s">
        <v>20013</v>
      </c>
      <c r="D385" s="2" t="n">
        <v>271.132870442</v>
      </c>
      <c r="E385" s="2" t="n">
        <v>1.84675645484854</v>
      </c>
      <c r="F385" s="2" t="s">
        <v>26750</v>
      </c>
      <c r="G385" s="2" t="n">
        <v>64410</v>
      </c>
      <c r="H385" s="3" t="str">
        <f>HYPERLINK("http://funmeta.oebiotech.com/network/64410", "http://funmeta.oebiotech.com/network/64410")</f>
      </c>
      <c r="I385" s="2" t="s">
        <v>26751</v>
      </c>
      <c r="J385" s="2" t="s">
        <v>26752</v>
      </c>
      <c r="K385" s="2"/>
      <c r="L385" s="2"/>
      <c r="M385" s="2"/>
      <c r="N385" s="2" t="s">
        <v>26753</v>
      </c>
      <c r="O385" s="2" t="s">
        <v>26754</v>
      </c>
      <c r="P385" s="2" t="s">
        <v>26755</v>
      </c>
      <c r="Q385" s="2" t="s">
        <v>26756</v>
      </c>
      <c r="R385" s="2" t="s">
        <v>1355</v>
      </c>
      <c r="S385" s="2" t="s">
        <v>5582</v>
      </c>
      <c r="T385" s="2" t="s">
        <v>215</v>
      </c>
      <c r="U385" s="2" t="s">
        <v>20014</v>
      </c>
      <c r="V385" s="2" t="s">
        <v>17137</v>
      </c>
      <c r="W385" s="2"/>
    </row>
    <row r="386">
      <c r="A386" s="2" t="n">
        <v>274</v>
      </c>
      <c r="B386" s="2" t="s">
        <v>13401</v>
      </c>
      <c r="C386" s="2" t="s">
        <v>20024</v>
      </c>
      <c r="D386" s="2" t="n">
        <v>272.186222973</v>
      </c>
      <c r="E386" s="2" t="n">
        <v>8.36238411352396</v>
      </c>
      <c r="F386" s="2" t="s">
        <v>26757</v>
      </c>
      <c r="G386" s="2" t="n">
        <v>198207</v>
      </c>
      <c r="H386" s="3" t="str">
        <f>HYPERLINK("http://funmeta.oebiotech.com/network/198207", "http://funmeta.oebiotech.com/network/198207")</f>
      </c>
      <c r="I386" s="2" t="s">
        <v>26758</v>
      </c>
      <c r="J386" s="2"/>
      <c r="K386" s="2"/>
      <c r="L386" s="2"/>
      <c r="M386" s="2"/>
      <c r="N386" s="2"/>
      <c r="O386" s="2"/>
      <c r="P386" s="2" t="s">
        <v>26759</v>
      </c>
      <c r="Q386" s="2" t="s">
        <v>26760</v>
      </c>
      <c r="R386" s="2" t="s">
        <v>794</v>
      </c>
      <c r="S386" s="2" t="s">
        <v>795</v>
      </c>
      <c r="T386" s="2" t="s">
        <v>1870</v>
      </c>
      <c r="U386" s="2" t="s">
        <v>20025</v>
      </c>
      <c r="V386" s="2" t="s">
        <v>17039</v>
      </c>
      <c r="W386" s="2"/>
    </row>
    <row r="387">
      <c r="A387" s="2" t="n">
        <v>274</v>
      </c>
      <c r="B387" s="2" t="s">
        <v>26761</v>
      </c>
      <c r="C387" s="2" t="s">
        <v>20024</v>
      </c>
      <c r="D387" s="2" t="n">
        <v>272.186222973</v>
      </c>
      <c r="E387" s="2" t="n">
        <v>8.36238411352396</v>
      </c>
      <c r="F387" s="2" t="s">
        <v>26762</v>
      </c>
      <c r="G387" s="2" t="n">
        <v>198208</v>
      </c>
      <c r="H387" s="3" t="str">
        <f>HYPERLINK("http://funmeta.oebiotech.com/network/198208", "http://funmeta.oebiotech.com/network/198208")</f>
      </c>
      <c r="I387" s="2" t="s">
        <v>26763</v>
      </c>
      <c r="J387" s="2"/>
      <c r="K387" s="2"/>
      <c r="L387" s="2"/>
      <c r="M387" s="2"/>
      <c r="N387" s="2"/>
      <c r="O387" s="2"/>
      <c r="P387" s="2" t="s">
        <v>26764</v>
      </c>
      <c r="Q387" s="2" t="s">
        <v>26765</v>
      </c>
      <c r="R387" s="2" t="s">
        <v>794</v>
      </c>
      <c r="S387" s="2" t="s">
        <v>795</v>
      </c>
      <c r="T387" s="2" t="s">
        <v>1870</v>
      </c>
      <c r="U387" s="2" t="s">
        <v>20025</v>
      </c>
      <c r="V387" s="2" t="s">
        <v>17039</v>
      </c>
      <c r="W387" s="2"/>
    </row>
    <row r="388">
      <c r="A388" s="2" t="n">
        <v>274</v>
      </c>
      <c r="B388" s="2" t="s">
        <v>26766</v>
      </c>
      <c r="C388" s="2" t="s">
        <v>20024</v>
      </c>
      <c r="D388" s="2" t="n">
        <v>272.186222979</v>
      </c>
      <c r="E388" s="2" t="n">
        <v>8.36238411352396</v>
      </c>
      <c r="F388" s="2" t="s">
        <v>26767</v>
      </c>
      <c r="G388" s="2" t="n">
        <v>198206</v>
      </c>
      <c r="H388" s="3" t="str">
        <f>HYPERLINK("http://funmeta.oebiotech.com/network/198206", "http://funmeta.oebiotech.com/network/198206")</f>
      </c>
      <c r="I388" s="2" t="s">
        <v>26768</v>
      </c>
      <c r="J388" s="2"/>
      <c r="K388" s="2"/>
      <c r="L388" s="2"/>
      <c r="M388" s="2" t="s">
        <v>26769</v>
      </c>
      <c r="N388" s="2" t="s">
        <v>26770</v>
      </c>
      <c r="O388" s="2"/>
      <c r="P388" s="2" t="s">
        <v>26771</v>
      </c>
      <c r="Q388" s="2" t="s">
        <v>26772</v>
      </c>
      <c r="R388" s="2" t="s">
        <v>794</v>
      </c>
      <c r="S388" s="2" t="s">
        <v>795</v>
      </c>
      <c r="T388" s="2" t="s">
        <v>1870</v>
      </c>
      <c r="U388" s="2" t="s">
        <v>20025</v>
      </c>
      <c r="V388" s="2" t="s">
        <v>17039</v>
      </c>
      <c r="W388" s="2"/>
    </row>
    <row r="389">
      <c r="A389" s="2" t="n">
        <v>275</v>
      </c>
      <c r="B389" s="2" t="s">
        <v>13402</v>
      </c>
      <c r="C389" s="2" t="s">
        <v>20033</v>
      </c>
      <c r="D389" s="2" t="n">
        <v>273.119934328</v>
      </c>
      <c r="E389" s="2" t="n">
        <v>6.57309655073455</v>
      </c>
      <c r="F389" s="2" t="s">
        <v>20035</v>
      </c>
      <c r="G389" s="2" t="n">
        <v>46845</v>
      </c>
      <c r="H389" s="3" t="str">
        <f>HYPERLINK("http://funmeta.oebiotech.com/network/46845", "http://funmeta.oebiotech.com/network/46845")</f>
      </c>
      <c r="I389" s="2" t="s">
        <v>20037</v>
      </c>
      <c r="J389" s="2" t="s">
        <v>20038</v>
      </c>
      <c r="K389" s="2"/>
      <c r="L389" s="2" t="s">
        <v>20039</v>
      </c>
      <c r="M389" s="2" t="s">
        <v>20040</v>
      </c>
      <c r="N389" s="2" t="s">
        <v>20041</v>
      </c>
      <c r="O389" s="2" t="s">
        <v>20042</v>
      </c>
      <c r="P389" s="2" t="s">
        <v>20043</v>
      </c>
      <c r="Q389" s="2" t="s">
        <v>20044</v>
      </c>
      <c r="R389" s="2" t="s">
        <v>36</v>
      </c>
      <c r="S389" s="2" t="s">
        <v>37</v>
      </c>
      <c r="T389" s="2" t="s">
        <v>69</v>
      </c>
      <c r="U389" s="2" t="s">
        <v>20034</v>
      </c>
      <c r="V389" s="2" t="s">
        <v>17039</v>
      </c>
      <c r="W389" s="2" t="s">
        <v>56</v>
      </c>
    </row>
    <row r="390">
      <c r="A390" s="2" t="n">
        <v>276</v>
      </c>
      <c r="B390" s="2" t="s">
        <v>13427</v>
      </c>
      <c r="C390" s="2" t="s">
        <v>20045</v>
      </c>
      <c r="D390" s="2" t="n">
        <v>273.170238564</v>
      </c>
      <c r="E390" s="2" t="n">
        <v>1.55167560155462</v>
      </c>
      <c r="F390" s="2" t="s">
        <v>20047</v>
      </c>
      <c r="G390" s="2" t="n">
        <v>57222</v>
      </c>
      <c r="H390" s="3" t="str">
        <f>HYPERLINK("http://funmeta.oebiotech.com/network/57222", "http://funmeta.oebiotech.com/network/57222")</f>
      </c>
      <c r="I390" s="2" t="s">
        <v>20049</v>
      </c>
      <c r="J390" s="2" t="s">
        <v>20050</v>
      </c>
      <c r="K390" s="2"/>
      <c r="L390" s="2"/>
      <c r="M390" s="2" t="s">
        <v>20051</v>
      </c>
      <c r="N390" s="2" t="s">
        <v>20052</v>
      </c>
      <c r="O390" s="2" t="s">
        <v>20053</v>
      </c>
      <c r="P390" s="2" t="s">
        <v>20054</v>
      </c>
      <c r="Q390" s="2" t="s">
        <v>20055</v>
      </c>
      <c r="R390" s="2" t="s">
        <v>794</v>
      </c>
      <c r="S390" s="2" t="s">
        <v>795</v>
      </c>
      <c r="T390" s="2" t="s">
        <v>8424</v>
      </c>
      <c r="U390" s="2" t="s">
        <v>20046</v>
      </c>
      <c r="V390" s="2" t="s">
        <v>17039</v>
      </c>
      <c r="W390" s="2" t="s">
        <v>39</v>
      </c>
    </row>
    <row r="391">
      <c r="A391" s="2" t="n">
        <v>277</v>
      </c>
      <c r="B391" s="2" t="s">
        <v>13444</v>
      </c>
      <c r="C391" s="2" t="s">
        <v>20056</v>
      </c>
      <c r="D391" s="2" t="n">
        <v>274.06293234</v>
      </c>
      <c r="E391" s="2" t="n">
        <v>0.838533281337773</v>
      </c>
      <c r="F391" s="2" t="s">
        <v>20058</v>
      </c>
      <c r="G391" s="2" t="n">
        <v>53103</v>
      </c>
      <c r="H391" s="3" t="str">
        <f>HYPERLINK("http://funmeta.oebiotech.com/network/53103", "http://funmeta.oebiotech.com/network/53103")</f>
      </c>
      <c r="I391" s="2" t="s">
        <v>20060</v>
      </c>
      <c r="J391" s="2" t="s">
        <v>20061</v>
      </c>
      <c r="K391" s="2"/>
      <c r="L391" s="2" t="s">
        <v>20062</v>
      </c>
      <c r="M391" s="2" t="s">
        <v>20063</v>
      </c>
      <c r="N391" s="2" t="s">
        <v>20064</v>
      </c>
      <c r="O391" s="2" t="s">
        <v>20065</v>
      </c>
      <c r="P391" s="2" t="s">
        <v>20066</v>
      </c>
      <c r="Q391" s="2" t="s">
        <v>20067</v>
      </c>
      <c r="R391" s="2" t="s">
        <v>114</v>
      </c>
      <c r="S391" s="2" t="s">
        <v>994</v>
      </c>
      <c r="T391" s="2" t="s">
        <v>3328</v>
      </c>
      <c r="U391" s="2" t="s">
        <v>20057</v>
      </c>
      <c r="V391" s="2" t="s">
        <v>17137</v>
      </c>
      <c r="W391" s="2" t="s">
        <v>101</v>
      </c>
    </row>
    <row r="392">
      <c r="A392" s="2" t="n">
        <v>278</v>
      </c>
      <c r="B392" s="2" t="s">
        <v>13459</v>
      </c>
      <c r="C392" s="2" t="s">
        <v>20068</v>
      </c>
      <c r="D392" s="2" t="n">
        <v>275.118580302</v>
      </c>
      <c r="E392" s="2" t="n">
        <v>2.22804963273915</v>
      </c>
      <c r="F392" s="2" t="s">
        <v>20070</v>
      </c>
      <c r="G392" s="2" t="n">
        <v>256999</v>
      </c>
      <c r="H392" s="3" t="str">
        <f>HYPERLINK("http://funmeta.oebiotech.com/network/256999", "http://funmeta.oebiotech.com/network/256999")</f>
      </c>
      <c r="I392" s="2" t="s">
        <v>20072</v>
      </c>
      <c r="J392" s="2"/>
      <c r="K392" s="2"/>
      <c r="L392" s="2"/>
      <c r="M392" s="2"/>
      <c r="N392" s="2"/>
      <c r="O392" s="2"/>
      <c r="P392" s="2" t="s">
        <v>20073</v>
      </c>
      <c r="Q392" s="2" t="s">
        <v>20074</v>
      </c>
      <c r="R392" s="2" t="s">
        <v>36</v>
      </c>
      <c r="S392" s="2" t="s">
        <v>37</v>
      </c>
      <c r="T392" s="2" t="s">
        <v>69</v>
      </c>
      <c r="U392" s="2" t="s">
        <v>20069</v>
      </c>
      <c r="V392" s="2" t="s">
        <v>17137</v>
      </c>
      <c r="W392" s="2"/>
    </row>
    <row r="393">
      <c r="A393" s="2" t="n">
        <v>279</v>
      </c>
      <c r="B393" s="2" t="s">
        <v>13460</v>
      </c>
      <c r="C393" s="2" t="s">
        <v>20075</v>
      </c>
      <c r="D393" s="2" t="n">
        <v>275.147843904</v>
      </c>
      <c r="E393" s="2" t="n">
        <v>3.7397502619208</v>
      </c>
      <c r="F393" s="2" t="s">
        <v>20077</v>
      </c>
      <c r="G393" s="2" t="n">
        <v>207530</v>
      </c>
      <c r="H393" s="3" t="str">
        <f>HYPERLINK("http://funmeta.oebiotech.com/network/207530", "http://funmeta.oebiotech.com/network/207530")</f>
      </c>
      <c r="I393" s="2" t="s">
        <v>20079</v>
      </c>
      <c r="J393" s="2" t="s">
        <v>20080</v>
      </c>
      <c r="K393" s="2"/>
      <c r="L393" s="2" t="s">
        <v>20081</v>
      </c>
      <c r="M393" s="2"/>
      <c r="N393" s="2" t="s">
        <v>20082</v>
      </c>
      <c r="O393" s="2" t="s">
        <v>20083</v>
      </c>
      <c r="P393" s="2" t="s">
        <v>20084</v>
      </c>
      <c r="Q393" s="2" t="s">
        <v>20085</v>
      </c>
      <c r="R393" s="2" t="s">
        <v>601</v>
      </c>
      <c r="S393" s="2" t="s">
        <v>602</v>
      </c>
      <c r="T393" s="2" t="s">
        <v>1800</v>
      </c>
      <c r="U393" s="2" t="s">
        <v>20076</v>
      </c>
      <c r="V393" s="2" t="s">
        <v>17198</v>
      </c>
      <c r="W393" s="2" t="s">
        <v>101</v>
      </c>
    </row>
    <row r="394">
      <c r="A394" s="2" t="n">
        <v>280</v>
      </c>
      <c r="B394" s="2" t="s">
        <v>13461</v>
      </c>
      <c r="C394" s="2" t="s">
        <v>20086</v>
      </c>
      <c r="D394" s="2" t="n">
        <v>275.999216</v>
      </c>
      <c r="E394" s="2" t="n">
        <v>0.805429700752581</v>
      </c>
      <c r="F394" s="2" t="s">
        <v>26773</v>
      </c>
      <c r="G394" s="2" t="n">
        <v>207848</v>
      </c>
      <c r="H394" s="3" t="str">
        <f>HYPERLINK("http://funmeta.oebiotech.com/network/207848", "http://funmeta.oebiotech.com/network/207848")</f>
      </c>
      <c r="I394" s="2" t="s">
        <v>26774</v>
      </c>
      <c r="J394" s="2"/>
      <c r="K394" s="2"/>
      <c r="L394" s="2"/>
      <c r="M394" s="2"/>
      <c r="N394" s="2" t="s">
        <v>26775</v>
      </c>
      <c r="O394" s="2"/>
      <c r="P394" s="2" t="s">
        <v>26776</v>
      </c>
      <c r="Q394" s="2" t="s">
        <v>26777</v>
      </c>
      <c r="R394" s="2" t="s">
        <v>186</v>
      </c>
      <c r="S394" s="2" t="s">
        <v>187</v>
      </c>
      <c r="T394" s="2" t="s">
        <v>215</v>
      </c>
      <c r="U394" s="2" t="s">
        <v>20087</v>
      </c>
      <c r="V394" s="2" t="s">
        <v>17137</v>
      </c>
      <c r="W394" s="2"/>
    </row>
    <row r="395">
      <c r="A395" s="2" t="n">
        <v>280</v>
      </c>
      <c r="B395" s="2" t="s">
        <v>26778</v>
      </c>
      <c r="C395" s="2" t="s">
        <v>20086</v>
      </c>
      <c r="D395" s="2" t="n">
        <v>275.999216755</v>
      </c>
      <c r="E395" s="2" t="n">
        <v>0.805429700752581</v>
      </c>
      <c r="F395" s="2" t="s">
        <v>26779</v>
      </c>
      <c r="G395" s="2" t="n">
        <v>207834</v>
      </c>
      <c r="H395" s="3" t="str">
        <f>HYPERLINK("http://funmeta.oebiotech.com/network/207834", "http://funmeta.oebiotech.com/network/207834")</f>
      </c>
      <c r="I395" s="2" t="s">
        <v>26780</v>
      </c>
      <c r="J395" s="2" t="s">
        <v>26781</v>
      </c>
      <c r="K395" s="2"/>
      <c r="L395" s="2"/>
      <c r="M395" s="2"/>
      <c r="N395" s="2" t="s">
        <v>26782</v>
      </c>
      <c r="O395" s="2"/>
      <c r="P395" s="2" t="s">
        <v>26783</v>
      </c>
      <c r="Q395" s="2" t="s">
        <v>26784</v>
      </c>
      <c r="R395" s="2" t="s">
        <v>186</v>
      </c>
      <c r="S395" s="2" t="s">
        <v>187</v>
      </c>
      <c r="T395" s="2" t="s">
        <v>2791</v>
      </c>
      <c r="U395" s="2" t="s">
        <v>20087</v>
      </c>
      <c r="V395" s="2" t="s">
        <v>17137</v>
      </c>
      <c r="W395" s="2"/>
    </row>
    <row r="396">
      <c r="A396" s="2" t="n">
        <v>281</v>
      </c>
      <c r="B396" s="2" t="s">
        <v>13462</v>
      </c>
      <c r="C396" s="2" t="s">
        <v>20096</v>
      </c>
      <c r="D396" s="2" t="n">
        <v>277.107049615</v>
      </c>
      <c r="E396" s="2" t="n">
        <v>1.37161537347954</v>
      </c>
      <c r="F396" s="2" t="s">
        <v>26785</v>
      </c>
      <c r="G396" s="2" t="n">
        <v>59649</v>
      </c>
      <c r="H396" s="3" t="str">
        <f>HYPERLINK("http://funmeta.oebiotech.com/network/59649", "http://funmeta.oebiotech.com/network/59649")</f>
      </c>
      <c r="I396" s="2" t="s">
        <v>26786</v>
      </c>
      <c r="J396" s="2"/>
      <c r="K396" s="2"/>
      <c r="L396" s="2" t="s">
        <v>26787</v>
      </c>
      <c r="M396" s="2"/>
      <c r="N396" s="2" t="s">
        <v>26788</v>
      </c>
      <c r="O396" s="2" t="s">
        <v>26789</v>
      </c>
      <c r="P396" s="2" t="s">
        <v>26790</v>
      </c>
      <c r="Q396" s="2" t="s">
        <v>26791</v>
      </c>
      <c r="R396" s="2" t="s">
        <v>114</v>
      </c>
      <c r="S396" s="2" t="s">
        <v>1646</v>
      </c>
      <c r="T396" s="2" t="s">
        <v>1647</v>
      </c>
      <c r="U396" s="2" t="s">
        <v>20097</v>
      </c>
      <c r="V396" s="2" t="s">
        <v>17137</v>
      </c>
      <c r="W396" s="2" t="s">
        <v>56</v>
      </c>
    </row>
    <row r="397">
      <c r="A397" s="2" t="n">
        <v>281</v>
      </c>
      <c r="B397" s="2" t="s">
        <v>13471</v>
      </c>
      <c r="C397" s="2" t="s">
        <v>20096</v>
      </c>
      <c r="D397" s="2" t="n">
        <v>277.107049622</v>
      </c>
      <c r="E397" s="2" t="n">
        <v>1.37161537347954</v>
      </c>
      <c r="F397" s="2" t="s">
        <v>26792</v>
      </c>
      <c r="G397" s="2" t="n">
        <v>55531</v>
      </c>
      <c r="H397" s="3" t="str">
        <f>HYPERLINK("http://funmeta.oebiotech.com/network/55531", "http://funmeta.oebiotech.com/network/55531")</f>
      </c>
      <c r="I397" s="2" t="s">
        <v>26793</v>
      </c>
      <c r="J397" s="2"/>
      <c r="K397" s="2"/>
      <c r="L397" s="2" t="s">
        <v>26794</v>
      </c>
      <c r="M397" s="2" t="s">
        <v>26795</v>
      </c>
      <c r="N397" s="2" t="s">
        <v>26796</v>
      </c>
      <c r="O397" s="2" t="s">
        <v>26797</v>
      </c>
      <c r="P397" s="2" t="s">
        <v>26798</v>
      </c>
      <c r="Q397" s="2" t="s">
        <v>26799</v>
      </c>
      <c r="R397" s="2" t="s">
        <v>1355</v>
      </c>
      <c r="S397" s="2" t="s">
        <v>20922</v>
      </c>
      <c r="T397" s="2" t="s">
        <v>215</v>
      </c>
      <c r="U397" s="2" t="s">
        <v>20097</v>
      </c>
      <c r="V397" s="2" t="s">
        <v>17137</v>
      </c>
      <c r="W397" s="2" t="s">
        <v>56</v>
      </c>
    </row>
    <row r="398">
      <c r="A398" s="2" t="n">
        <v>282</v>
      </c>
      <c r="B398" s="2" t="s">
        <v>13491</v>
      </c>
      <c r="C398" s="2" t="s">
        <v>20109</v>
      </c>
      <c r="D398" s="2" t="n">
        <v>277.167516716</v>
      </c>
      <c r="E398" s="2" t="n">
        <v>1.38588873543422</v>
      </c>
      <c r="F398" s="2" t="s">
        <v>20111</v>
      </c>
      <c r="G398" s="2" t="n">
        <v>196994</v>
      </c>
      <c r="H398" s="3" t="str">
        <f>HYPERLINK("http://funmeta.oebiotech.com/network/196994", "http://funmeta.oebiotech.com/network/196994")</f>
      </c>
      <c r="I398" s="2" t="s">
        <v>20113</v>
      </c>
      <c r="J398" s="2"/>
      <c r="K398" s="2"/>
      <c r="L398" s="2"/>
      <c r="M398" s="2"/>
      <c r="N398" s="2"/>
      <c r="O398" s="2" t="s">
        <v>20114</v>
      </c>
      <c r="P398" s="2" t="s">
        <v>20115</v>
      </c>
      <c r="Q398" s="2" t="s">
        <v>20116</v>
      </c>
      <c r="R398" s="2" t="s">
        <v>186</v>
      </c>
      <c r="S398" s="2" t="s">
        <v>187</v>
      </c>
      <c r="T398" s="2" t="s">
        <v>20117</v>
      </c>
      <c r="U398" s="2" t="s">
        <v>20110</v>
      </c>
      <c r="V398" s="2" t="s">
        <v>17198</v>
      </c>
      <c r="W398" s="2" t="s">
        <v>56</v>
      </c>
    </row>
    <row r="399">
      <c r="A399" s="2" t="n">
        <v>283</v>
      </c>
      <c r="B399" s="2" t="s">
        <v>13492</v>
      </c>
      <c r="C399" s="2" t="s">
        <v>20118</v>
      </c>
      <c r="D399" s="2" t="n">
        <v>279.043992194</v>
      </c>
      <c r="E399" s="2" t="n">
        <v>1.44646822847316</v>
      </c>
      <c r="F399" s="2" t="s">
        <v>20120</v>
      </c>
      <c r="G399" s="2" t="n">
        <v>52029</v>
      </c>
      <c r="H399" s="3" t="str">
        <f>HYPERLINK("http://funmeta.oebiotech.com/network/52029", "http://funmeta.oebiotech.com/network/52029")</f>
      </c>
      <c r="I399" s="2" t="s">
        <v>20122</v>
      </c>
      <c r="J399" s="2"/>
      <c r="K399" s="2"/>
      <c r="L399" s="2"/>
      <c r="M399" s="2"/>
      <c r="N399" s="2" t="s">
        <v>20123</v>
      </c>
      <c r="O399" s="2"/>
      <c r="P399" s="2" t="s">
        <v>20124</v>
      </c>
      <c r="Q399" s="2" t="s">
        <v>20125</v>
      </c>
      <c r="R399" s="2" t="s">
        <v>114</v>
      </c>
      <c r="S399" s="2" t="s">
        <v>5831</v>
      </c>
      <c r="T399" s="2" t="s">
        <v>215</v>
      </c>
      <c r="U399" s="2" t="s">
        <v>20119</v>
      </c>
      <c r="V399" s="2" t="s">
        <v>17039</v>
      </c>
      <c r="W399" s="2"/>
    </row>
    <row r="400">
      <c r="A400" s="2" t="n">
        <v>284</v>
      </c>
      <c r="B400" s="2" t="s">
        <v>13493</v>
      </c>
      <c r="C400" s="2" t="s">
        <v>20126</v>
      </c>
      <c r="D400" s="2" t="n">
        <v>279.156677256</v>
      </c>
      <c r="E400" s="2" t="n">
        <v>15.9019778035012</v>
      </c>
      <c r="F400" s="2" t="s">
        <v>20128</v>
      </c>
      <c r="G400" s="2" t="n">
        <v>55681</v>
      </c>
      <c r="H400" s="3" t="str">
        <f>HYPERLINK("http://funmeta.oebiotech.com/network/55681", "http://funmeta.oebiotech.com/network/55681")</f>
      </c>
      <c r="I400" s="2" t="s">
        <v>20130</v>
      </c>
      <c r="J400" s="2" t="s">
        <v>20131</v>
      </c>
      <c r="K400" s="2"/>
      <c r="L400" s="2"/>
      <c r="M400" s="2" t="s">
        <v>20132</v>
      </c>
      <c r="N400" s="2" t="s">
        <v>20133</v>
      </c>
      <c r="O400" s="2"/>
      <c r="P400" s="2" t="s">
        <v>20134</v>
      </c>
      <c r="Q400" s="2" t="s">
        <v>20135</v>
      </c>
      <c r="R400" s="2" t="s">
        <v>114</v>
      </c>
      <c r="S400" s="2" t="s">
        <v>1646</v>
      </c>
      <c r="T400" s="2" t="s">
        <v>1647</v>
      </c>
      <c r="U400" s="2" t="s">
        <v>20127</v>
      </c>
      <c r="V400" s="2" t="s">
        <v>17198</v>
      </c>
      <c r="W400" s="2" t="s">
        <v>56</v>
      </c>
    </row>
    <row r="401">
      <c r="A401" s="2" t="n">
        <v>285</v>
      </c>
      <c r="B401" s="2" t="s">
        <v>13494</v>
      </c>
      <c r="C401" s="2" t="s">
        <v>20136</v>
      </c>
      <c r="D401" s="2" t="n">
        <v>280.145026864</v>
      </c>
      <c r="E401" s="2" t="n">
        <v>1.10009839387788</v>
      </c>
      <c r="F401" s="2" t="s">
        <v>20138</v>
      </c>
      <c r="G401" s="2" t="n">
        <v>207265</v>
      </c>
      <c r="H401" s="3" t="str">
        <f>HYPERLINK("http://funmeta.oebiotech.com/network/207265", "http://funmeta.oebiotech.com/network/207265")</f>
      </c>
      <c r="I401" s="2" t="s">
        <v>20140</v>
      </c>
      <c r="J401" s="2"/>
      <c r="K401" s="2"/>
      <c r="L401" s="2"/>
      <c r="M401" s="2"/>
      <c r="N401" s="2" t="s">
        <v>20141</v>
      </c>
      <c r="O401" s="2"/>
      <c r="P401" s="2" t="s">
        <v>20142</v>
      </c>
      <c r="Q401" s="2" t="s">
        <v>20143</v>
      </c>
      <c r="R401" s="2" t="s">
        <v>36</v>
      </c>
      <c r="S401" s="2" t="s">
        <v>37</v>
      </c>
      <c r="T401" s="2" t="s">
        <v>69</v>
      </c>
      <c r="U401" s="2" t="s">
        <v>20137</v>
      </c>
      <c r="V401" s="2" t="s">
        <v>17039</v>
      </c>
      <c r="W401" s="2"/>
    </row>
    <row r="402">
      <c r="A402" s="2" t="n">
        <v>286</v>
      </c>
      <c r="B402" s="2" t="s">
        <v>13495</v>
      </c>
      <c r="C402" s="2" t="s">
        <v>20144</v>
      </c>
      <c r="D402" s="2" t="n">
        <v>281.051915699</v>
      </c>
      <c r="E402" s="2" t="n">
        <v>2.39860673454829</v>
      </c>
      <c r="F402" s="2" t="s">
        <v>20146</v>
      </c>
      <c r="G402" s="2" t="n">
        <v>201109</v>
      </c>
      <c r="H402" s="3" t="str">
        <f>HYPERLINK("http://funmeta.oebiotech.com/network/201109", "http://funmeta.oebiotech.com/network/201109")</f>
      </c>
      <c r="I402" s="2" t="s">
        <v>20148</v>
      </c>
      <c r="J402" s="2"/>
      <c r="K402" s="2"/>
      <c r="L402" s="2"/>
      <c r="M402" s="2"/>
      <c r="N402" s="2"/>
      <c r="O402" s="2"/>
      <c r="P402" s="2" t="s">
        <v>20149</v>
      </c>
      <c r="Q402" s="2" t="s">
        <v>20150</v>
      </c>
      <c r="R402" s="2" t="s">
        <v>114</v>
      </c>
      <c r="S402" s="2" t="s">
        <v>4262</v>
      </c>
      <c r="T402" s="2" t="s">
        <v>215</v>
      </c>
      <c r="U402" s="2" t="s">
        <v>20145</v>
      </c>
      <c r="V402" s="2" t="s">
        <v>17198</v>
      </c>
      <c r="W402" s="2"/>
    </row>
    <row r="403">
      <c r="A403" s="2" t="n">
        <v>287</v>
      </c>
      <c r="B403" s="2" t="s">
        <v>13496</v>
      </c>
      <c r="C403" s="2" t="s">
        <v>20151</v>
      </c>
      <c r="D403" s="2" t="n">
        <v>281.110789696</v>
      </c>
      <c r="E403" s="2" t="n">
        <v>3.42499653419511</v>
      </c>
      <c r="F403" s="2" t="s">
        <v>26800</v>
      </c>
      <c r="G403" s="2" t="n">
        <v>62040</v>
      </c>
      <c r="H403" s="3" t="str">
        <f>HYPERLINK("http://funmeta.oebiotech.com/network/62040", "http://funmeta.oebiotech.com/network/62040")</f>
      </c>
      <c r="I403" s="2" t="s">
        <v>26801</v>
      </c>
      <c r="J403" s="2" t="s">
        <v>26802</v>
      </c>
      <c r="K403" s="2"/>
      <c r="L403" s="2"/>
      <c r="M403" s="2" t="s">
        <v>26803</v>
      </c>
      <c r="N403" s="2" t="s">
        <v>26804</v>
      </c>
      <c r="O403" s="2" t="s">
        <v>26805</v>
      </c>
      <c r="P403" s="2" t="s">
        <v>26806</v>
      </c>
      <c r="Q403" s="2" t="s">
        <v>26807</v>
      </c>
      <c r="R403" s="2" t="s">
        <v>36</v>
      </c>
      <c r="S403" s="2" t="s">
        <v>37</v>
      </c>
      <c r="T403" s="2" t="s">
        <v>69</v>
      </c>
      <c r="U403" s="2" t="s">
        <v>20152</v>
      </c>
      <c r="V403" s="2" t="s">
        <v>17198</v>
      </c>
      <c r="W403" s="2" t="s">
        <v>56</v>
      </c>
    </row>
    <row r="404">
      <c r="A404" s="2" t="n">
        <v>287</v>
      </c>
      <c r="B404" s="2" t="s">
        <v>26808</v>
      </c>
      <c r="C404" s="2" t="s">
        <v>20151</v>
      </c>
      <c r="D404" s="2" t="n">
        <v>281.110789696</v>
      </c>
      <c r="E404" s="2" t="n">
        <v>3.42499653419511</v>
      </c>
      <c r="F404" s="2" t="s">
        <v>26809</v>
      </c>
      <c r="G404" s="2" t="n">
        <v>61981</v>
      </c>
      <c r="H404" s="3" t="str">
        <f>HYPERLINK("http://funmeta.oebiotech.com/network/61981", "http://funmeta.oebiotech.com/network/61981")</f>
      </c>
      <c r="I404" s="2" t="s">
        <v>26810</v>
      </c>
      <c r="J404" s="2" t="s">
        <v>26811</v>
      </c>
      <c r="K404" s="2"/>
      <c r="L404" s="2"/>
      <c r="M404" s="2" t="s">
        <v>26812</v>
      </c>
      <c r="N404" s="2" t="s">
        <v>26813</v>
      </c>
      <c r="O404" s="2"/>
      <c r="P404" s="2" t="s">
        <v>26814</v>
      </c>
      <c r="Q404" s="2" t="s">
        <v>26815</v>
      </c>
      <c r="R404" s="2" t="s">
        <v>36</v>
      </c>
      <c r="S404" s="2" t="s">
        <v>37</v>
      </c>
      <c r="T404" s="2" t="s">
        <v>69</v>
      </c>
      <c r="U404" s="2" t="s">
        <v>20152</v>
      </c>
      <c r="V404" s="2" t="s">
        <v>17198</v>
      </c>
      <c r="W404" s="2" t="s">
        <v>56</v>
      </c>
    </row>
    <row r="405">
      <c r="A405" s="2" t="n">
        <v>288</v>
      </c>
      <c r="B405" s="2" t="s">
        <v>13497</v>
      </c>
      <c r="C405" s="2" t="s">
        <v>20162</v>
      </c>
      <c r="D405" s="2" t="n">
        <v>282.050353648</v>
      </c>
      <c r="E405" s="2" t="n">
        <v>2.21772909657535</v>
      </c>
      <c r="F405" s="2" t="s">
        <v>20164</v>
      </c>
      <c r="G405" s="2" t="n">
        <v>205132</v>
      </c>
      <c r="H405" s="3" t="str">
        <f>HYPERLINK("http://funmeta.oebiotech.com/network/205132", "http://funmeta.oebiotech.com/network/205132")</f>
      </c>
      <c r="I405" s="2" t="s">
        <v>20166</v>
      </c>
      <c r="J405" s="2" t="s">
        <v>20167</v>
      </c>
      <c r="K405" s="2"/>
      <c r="L405" s="2" t="s">
        <v>20168</v>
      </c>
      <c r="M405" s="2"/>
      <c r="N405" s="2" t="s">
        <v>20169</v>
      </c>
      <c r="O405" s="2" t="s">
        <v>20170</v>
      </c>
      <c r="P405" s="2" t="s">
        <v>20171</v>
      </c>
      <c r="Q405" s="2" t="s">
        <v>20172</v>
      </c>
      <c r="R405" s="2" t="s">
        <v>186</v>
      </c>
      <c r="S405" s="2" t="s">
        <v>187</v>
      </c>
      <c r="T405" s="2" t="s">
        <v>2781</v>
      </c>
      <c r="U405" s="2" t="s">
        <v>20163</v>
      </c>
      <c r="V405" s="2" t="s">
        <v>17198</v>
      </c>
      <c r="W405" s="2" t="s">
        <v>101</v>
      </c>
    </row>
    <row r="406">
      <c r="A406" s="2" t="n">
        <v>289</v>
      </c>
      <c r="B406" s="2" t="s">
        <v>13498</v>
      </c>
      <c r="C406" s="2" t="s">
        <v>20173</v>
      </c>
      <c r="D406" s="2" t="n">
        <v>282.149443543</v>
      </c>
      <c r="E406" s="2" t="n">
        <v>1.89074939800936</v>
      </c>
      <c r="F406" s="2" t="s">
        <v>26816</v>
      </c>
      <c r="G406" s="2" t="n">
        <v>55072</v>
      </c>
      <c r="H406" s="3" t="str">
        <f>HYPERLINK("http://funmeta.oebiotech.com/network/55072", "http://funmeta.oebiotech.com/network/55072")</f>
      </c>
      <c r="I406" s="2" t="s">
        <v>26817</v>
      </c>
      <c r="J406" s="2"/>
      <c r="K406" s="2"/>
      <c r="L406" s="2" t="s">
        <v>26818</v>
      </c>
      <c r="M406" s="2"/>
      <c r="N406" s="2" t="s">
        <v>26819</v>
      </c>
      <c r="O406" s="2" t="s">
        <v>26820</v>
      </c>
      <c r="P406" s="2" t="s">
        <v>26821</v>
      </c>
      <c r="Q406" s="2" t="s">
        <v>26822</v>
      </c>
      <c r="R406" s="2" t="s">
        <v>186</v>
      </c>
      <c r="S406" s="2" t="s">
        <v>3770</v>
      </c>
      <c r="T406" s="2" t="s">
        <v>215</v>
      </c>
      <c r="U406" s="2" t="s">
        <v>20174</v>
      </c>
      <c r="V406" s="2" t="s">
        <v>17039</v>
      </c>
      <c r="W406" s="2" t="s">
        <v>56</v>
      </c>
    </row>
    <row r="407">
      <c r="A407" s="2" t="n">
        <v>289</v>
      </c>
      <c r="B407" s="2" t="s">
        <v>26823</v>
      </c>
      <c r="C407" s="2" t="s">
        <v>20173</v>
      </c>
      <c r="D407" s="2" t="n">
        <v>282.149443543</v>
      </c>
      <c r="E407" s="2" t="n">
        <v>1.89074939800936</v>
      </c>
      <c r="F407" s="2" t="s">
        <v>26824</v>
      </c>
      <c r="G407" s="2" t="n">
        <v>48440</v>
      </c>
      <c r="H407" s="3" t="str">
        <f>HYPERLINK("http://funmeta.oebiotech.com/network/48440", "http://funmeta.oebiotech.com/network/48440")</f>
      </c>
      <c r="I407" s="2" t="s">
        <v>26825</v>
      </c>
      <c r="J407" s="2" t="s">
        <v>26826</v>
      </c>
      <c r="K407" s="2"/>
      <c r="L407" s="2" t="s">
        <v>26827</v>
      </c>
      <c r="M407" s="2" t="s">
        <v>26828</v>
      </c>
      <c r="N407" s="2" t="s">
        <v>26829</v>
      </c>
      <c r="O407" s="2" t="s">
        <v>26830</v>
      </c>
      <c r="P407" s="2" t="s">
        <v>26831</v>
      </c>
      <c r="Q407" s="2" t="s">
        <v>26832</v>
      </c>
      <c r="R407" s="2" t="s">
        <v>3003</v>
      </c>
      <c r="S407" s="2" t="s">
        <v>9267</v>
      </c>
      <c r="T407" s="2" t="s">
        <v>215</v>
      </c>
      <c r="U407" s="2" t="s">
        <v>20174</v>
      </c>
      <c r="V407" s="2" t="s">
        <v>17039</v>
      </c>
      <c r="W407" s="2" t="s">
        <v>56</v>
      </c>
    </row>
    <row r="408">
      <c r="A408" s="2" t="n">
        <v>290</v>
      </c>
      <c r="B408" s="2" t="s">
        <v>13499</v>
      </c>
      <c r="C408" s="2" t="s">
        <v>20187</v>
      </c>
      <c r="D408" s="2" t="n">
        <v>282.279729433</v>
      </c>
      <c r="E408" s="2" t="n">
        <v>7.65382856376034</v>
      </c>
      <c r="F408" s="2" t="s">
        <v>20189</v>
      </c>
      <c r="G408" s="2" t="n">
        <v>38921</v>
      </c>
      <c r="H408" s="3" t="str">
        <f>HYPERLINK("http://funmeta.oebiotech.com/network/38921", "http://funmeta.oebiotech.com/network/38921")</f>
      </c>
      <c r="I408" s="2" t="s">
        <v>20191</v>
      </c>
      <c r="J408" s="2"/>
      <c r="K408" s="2" t="s">
        <v>20192</v>
      </c>
      <c r="L408" s="2" t="s">
        <v>20193</v>
      </c>
      <c r="M408" s="2" t="s">
        <v>20194</v>
      </c>
      <c r="N408" s="2" t="s">
        <v>20195</v>
      </c>
      <c r="O408" s="2" t="s">
        <v>20196</v>
      </c>
      <c r="P408" s="2" t="s">
        <v>20197</v>
      </c>
      <c r="Q408" s="2" t="s">
        <v>20198</v>
      </c>
      <c r="R408" s="2" t="s">
        <v>601</v>
      </c>
      <c r="S408" s="2" t="s">
        <v>602</v>
      </c>
      <c r="T408" s="2" t="s">
        <v>1800</v>
      </c>
      <c r="U408" s="2" t="s">
        <v>20188</v>
      </c>
      <c r="V408" s="2" t="s">
        <v>17039</v>
      </c>
      <c r="W408" s="2" t="s">
        <v>39</v>
      </c>
    </row>
    <row r="409">
      <c r="A409" s="2" t="n">
        <v>291</v>
      </c>
      <c r="B409" s="2" t="s">
        <v>13500</v>
      </c>
      <c r="C409" s="2" t="s">
        <v>20199</v>
      </c>
      <c r="D409" s="2" t="n">
        <v>283.130462506</v>
      </c>
      <c r="E409" s="2" t="n">
        <v>3.08869567421126</v>
      </c>
      <c r="F409" s="2" t="s">
        <v>20201</v>
      </c>
      <c r="G409" s="2" t="n">
        <v>60210</v>
      </c>
      <c r="H409" s="3" t="str">
        <f>HYPERLINK("http://funmeta.oebiotech.com/network/60210", "http://funmeta.oebiotech.com/network/60210")</f>
      </c>
      <c r="I409" s="2" t="s">
        <v>20203</v>
      </c>
      <c r="J409" s="2"/>
      <c r="K409" s="2"/>
      <c r="L409" s="2" t="s">
        <v>20204</v>
      </c>
      <c r="M409" s="2" t="s">
        <v>20205</v>
      </c>
      <c r="N409" s="2" t="s">
        <v>20206</v>
      </c>
      <c r="O409" s="2" t="s">
        <v>20207</v>
      </c>
      <c r="P409" s="2" t="s">
        <v>20208</v>
      </c>
      <c r="Q409" s="2" t="s">
        <v>20209</v>
      </c>
      <c r="R409" s="2" t="s">
        <v>794</v>
      </c>
      <c r="S409" s="2" t="s">
        <v>1098</v>
      </c>
      <c r="T409" s="2" t="s">
        <v>3079</v>
      </c>
      <c r="U409" s="2" t="s">
        <v>20200</v>
      </c>
      <c r="V409" s="2" t="s">
        <v>17198</v>
      </c>
      <c r="W409" s="2" t="s">
        <v>56</v>
      </c>
    </row>
    <row r="410">
      <c r="A410" s="2" t="n">
        <v>292</v>
      </c>
      <c r="B410" s="2" t="s">
        <v>13501</v>
      </c>
      <c r="C410" s="2" t="s">
        <v>20210</v>
      </c>
      <c r="D410" s="2" t="n">
        <v>284.136944867</v>
      </c>
      <c r="E410" s="2" t="n">
        <v>2.37614500890207</v>
      </c>
      <c r="F410" s="2" t="s">
        <v>20212</v>
      </c>
      <c r="G410" s="2" t="n">
        <v>82968</v>
      </c>
      <c r="H410" s="3" t="str">
        <f>HYPERLINK("http://funmeta.oebiotech.com/network/82968", "http://funmeta.oebiotech.com/network/82968")</f>
      </c>
      <c r="I410" s="2" t="s">
        <v>20214</v>
      </c>
      <c r="J410" s="2"/>
      <c r="K410" s="2"/>
      <c r="L410" s="2"/>
      <c r="M410" s="2"/>
      <c r="N410" s="2" t="s">
        <v>20215</v>
      </c>
      <c r="O410" s="2"/>
      <c r="P410" s="2" t="s">
        <v>20216</v>
      </c>
      <c r="Q410" s="2" t="s">
        <v>20217</v>
      </c>
      <c r="R410" s="2" t="s">
        <v>114</v>
      </c>
      <c r="S410" s="2" t="s">
        <v>994</v>
      </c>
      <c r="T410" s="2" t="s">
        <v>3328</v>
      </c>
      <c r="U410" s="2" t="s">
        <v>20211</v>
      </c>
      <c r="V410" s="2" t="s">
        <v>17198</v>
      </c>
      <c r="W410" s="2" t="s">
        <v>56</v>
      </c>
    </row>
    <row r="411">
      <c r="A411" s="2" t="n">
        <v>293</v>
      </c>
      <c r="B411" s="2" t="s">
        <v>13502</v>
      </c>
      <c r="C411" s="2" t="s">
        <v>20218</v>
      </c>
      <c r="D411" s="2" t="n">
        <v>285.055678488</v>
      </c>
      <c r="E411" s="2" t="n">
        <v>2.36282409182303</v>
      </c>
      <c r="F411" s="2" t="s">
        <v>20220</v>
      </c>
      <c r="G411" s="2" t="n">
        <v>54818</v>
      </c>
      <c r="H411" s="3" t="str">
        <f>HYPERLINK("http://funmeta.oebiotech.com/network/54818", "http://funmeta.oebiotech.com/network/54818")</f>
      </c>
      <c r="I411" s="2" t="s">
        <v>20222</v>
      </c>
      <c r="J411" s="2"/>
      <c r="K411" s="2"/>
      <c r="L411" s="2"/>
      <c r="M411" s="2" t="s">
        <v>20223</v>
      </c>
      <c r="N411" s="2" t="s">
        <v>20224</v>
      </c>
      <c r="O411" s="2"/>
      <c r="P411" s="2" t="s">
        <v>20225</v>
      </c>
      <c r="Q411" s="2" t="s">
        <v>20226</v>
      </c>
      <c r="R411" s="2" t="s">
        <v>129</v>
      </c>
      <c r="S411" s="2" t="s">
        <v>130</v>
      </c>
      <c r="T411" s="2" t="s">
        <v>1681</v>
      </c>
      <c r="U411" s="2" t="s">
        <v>20219</v>
      </c>
      <c r="V411" s="2" t="s">
        <v>17970</v>
      </c>
      <c r="W411" s="2" t="s">
        <v>56</v>
      </c>
    </row>
    <row r="412">
      <c r="A412" s="2" t="n">
        <v>294</v>
      </c>
      <c r="B412" s="2" t="s">
        <v>13529</v>
      </c>
      <c r="C412" s="2" t="s">
        <v>20227</v>
      </c>
      <c r="D412" s="2" t="n">
        <v>285.135190456</v>
      </c>
      <c r="E412" s="2" t="n">
        <v>0.220748793992251</v>
      </c>
      <c r="F412" s="2" t="s">
        <v>20229</v>
      </c>
      <c r="G412" s="2" t="n">
        <v>53916</v>
      </c>
      <c r="H412" s="3" t="str">
        <f>HYPERLINK("http://funmeta.oebiotech.com/network/53916", "http://funmeta.oebiotech.com/network/53916")</f>
      </c>
      <c r="I412" s="2" t="s">
        <v>20231</v>
      </c>
      <c r="J412" s="2" t="s">
        <v>20232</v>
      </c>
      <c r="K412" s="2"/>
      <c r="L412" s="2"/>
      <c r="M412" s="2" t="s">
        <v>20233</v>
      </c>
      <c r="N412" s="2" t="s">
        <v>20234</v>
      </c>
      <c r="O412" s="2" t="s">
        <v>20235</v>
      </c>
      <c r="P412" s="2" t="s">
        <v>20236</v>
      </c>
      <c r="Q412" s="2" t="s">
        <v>20237</v>
      </c>
      <c r="R412" s="2" t="s">
        <v>36</v>
      </c>
      <c r="S412" s="2" t="s">
        <v>37</v>
      </c>
      <c r="T412" s="2" t="s">
        <v>69</v>
      </c>
      <c r="U412" s="2" t="s">
        <v>20228</v>
      </c>
      <c r="V412" s="2" t="s">
        <v>17039</v>
      </c>
      <c r="W412" s="2" t="s">
        <v>56</v>
      </c>
    </row>
    <row r="413">
      <c r="A413" s="2" t="n">
        <v>295</v>
      </c>
      <c r="B413" s="2" t="s">
        <v>13530</v>
      </c>
      <c r="C413" s="2" t="s">
        <v>20238</v>
      </c>
      <c r="D413" s="2" t="n">
        <v>285.185494697</v>
      </c>
      <c r="E413" s="2" t="n">
        <v>0.139014237906698</v>
      </c>
      <c r="F413" s="2" t="s">
        <v>20240</v>
      </c>
      <c r="G413" s="2" t="n">
        <v>199104</v>
      </c>
      <c r="H413" s="3" t="str">
        <f>HYPERLINK("http://funmeta.oebiotech.com/network/199104", "http://funmeta.oebiotech.com/network/199104")</f>
      </c>
      <c r="I413" s="2" t="s">
        <v>20242</v>
      </c>
      <c r="J413" s="2"/>
      <c r="K413" s="2"/>
      <c r="L413" s="2"/>
      <c r="M413" s="2"/>
      <c r="N413" s="2" t="s">
        <v>20243</v>
      </c>
      <c r="O413" s="2"/>
      <c r="P413" s="2" t="s">
        <v>20244</v>
      </c>
      <c r="Q413" s="2" t="s">
        <v>20245</v>
      </c>
      <c r="R413" s="2" t="s">
        <v>794</v>
      </c>
      <c r="S413" s="2" t="s">
        <v>2971</v>
      </c>
      <c r="T413" s="2" t="s">
        <v>3921</v>
      </c>
      <c r="U413" s="2" t="s">
        <v>20239</v>
      </c>
      <c r="V413" s="2" t="s">
        <v>17039</v>
      </c>
      <c r="W413" s="2" t="s">
        <v>39</v>
      </c>
    </row>
    <row r="414">
      <c r="A414" s="2" t="n">
        <v>296</v>
      </c>
      <c r="B414" s="2" t="s">
        <v>13531</v>
      </c>
      <c r="C414" s="2" t="s">
        <v>20246</v>
      </c>
      <c r="D414" s="2" t="n">
        <v>286.8918962</v>
      </c>
      <c r="E414" s="2" t="n">
        <v>5.59746795548518</v>
      </c>
      <c r="F414" s="2" t="s">
        <v>20248</v>
      </c>
      <c r="G414" s="2" t="n">
        <v>201422</v>
      </c>
      <c r="H414" s="3" t="str">
        <f>HYPERLINK("http://funmeta.oebiotech.com/network/201422", "http://funmeta.oebiotech.com/network/201422")</f>
      </c>
      <c r="I414" s="2" t="s">
        <v>20250</v>
      </c>
      <c r="J414" s="2" t="s">
        <v>20251</v>
      </c>
      <c r="K414" s="2"/>
      <c r="L414" s="2"/>
      <c r="M414" s="2"/>
      <c r="N414" s="2" t="s">
        <v>20252</v>
      </c>
      <c r="O414" s="2"/>
      <c r="P414" s="2" t="s">
        <v>20253</v>
      </c>
      <c r="Q414" s="2" t="s">
        <v>20254</v>
      </c>
      <c r="R414" s="2" t="s">
        <v>186</v>
      </c>
      <c r="S414" s="2" t="s">
        <v>187</v>
      </c>
      <c r="T414" s="2" t="s">
        <v>1950</v>
      </c>
      <c r="U414" s="2" t="s">
        <v>20247</v>
      </c>
      <c r="V414" s="2" t="s">
        <v>17970</v>
      </c>
      <c r="W414" s="2"/>
    </row>
    <row r="415">
      <c r="A415" s="2" t="n">
        <v>297</v>
      </c>
      <c r="B415" s="2" t="s">
        <v>13532</v>
      </c>
      <c r="C415" s="2" t="s">
        <v>20255</v>
      </c>
      <c r="D415" s="2" t="n">
        <v>286.9904167</v>
      </c>
      <c r="E415" s="2" t="n">
        <v>3.97503278922762</v>
      </c>
      <c r="F415" s="2" t="s">
        <v>20257</v>
      </c>
      <c r="G415" s="2" t="n">
        <v>200277</v>
      </c>
      <c r="H415" s="3" t="str">
        <f>HYPERLINK("http://funmeta.oebiotech.com/network/200277", "http://funmeta.oebiotech.com/network/200277")</f>
      </c>
      <c r="I415" s="2" t="s">
        <v>20259</v>
      </c>
      <c r="J415" s="2" t="s">
        <v>20260</v>
      </c>
      <c r="K415" s="2"/>
      <c r="L415" s="2"/>
      <c r="M415" s="2"/>
      <c r="N415" s="2" t="s">
        <v>20261</v>
      </c>
      <c r="O415" s="2"/>
      <c r="P415" s="2" t="s">
        <v>20262</v>
      </c>
      <c r="Q415" s="2" t="s">
        <v>20263</v>
      </c>
      <c r="R415" s="2" t="s">
        <v>794</v>
      </c>
      <c r="S415" s="2" t="s">
        <v>795</v>
      </c>
      <c r="T415" s="2" t="s">
        <v>1870</v>
      </c>
      <c r="U415" s="2" t="s">
        <v>20256</v>
      </c>
      <c r="V415" s="2" t="s">
        <v>17137</v>
      </c>
      <c r="W415" s="2"/>
    </row>
    <row r="416">
      <c r="A416" s="2" t="n">
        <v>298</v>
      </c>
      <c r="B416" s="2" t="s">
        <v>13533</v>
      </c>
      <c r="C416" s="2" t="s">
        <v>20264</v>
      </c>
      <c r="D416" s="2" t="n">
        <v>287.161485228</v>
      </c>
      <c r="E416" s="2" t="n">
        <v>0.455665198141144</v>
      </c>
      <c r="F416" s="2" t="s">
        <v>20266</v>
      </c>
      <c r="G416" s="2" t="n">
        <v>53286</v>
      </c>
      <c r="H416" s="3" t="str">
        <f>HYPERLINK("http://funmeta.oebiotech.com/network/53286", "http://funmeta.oebiotech.com/network/53286")</f>
      </c>
      <c r="I416" s="2" t="s">
        <v>20268</v>
      </c>
      <c r="J416" s="2" t="s">
        <v>20269</v>
      </c>
      <c r="K416" s="2"/>
      <c r="L416" s="2" t="s">
        <v>20270</v>
      </c>
      <c r="M416" s="2" t="s">
        <v>20271</v>
      </c>
      <c r="N416" s="2" t="s">
        <v>20272</v>
      </c>
      <c r="O416" s="2" t="s">
        <v>20273</v>
      </c>
      <c r="P416" s="2" t="s">
        <v>20274</v>
      </c>
      <c r="Q416" s="2" t="s">
        <v>20275</v>
      </c>
      <c r="R416" s="2" t="s">
        <v>2416</v>
      </c>
      <c r="S416" s="2" t="s">
        <v>19564</v>
      </c>
      <c r="T416" s="2" t="s">
        <v>19565</v>
      </c>
      <c r="U416" s="2" t="s">
        <v>20265</v>
      </c>
      <c r="V416" s="2" t="s">
        <v>17137</v>
      </c>
      <c r="W416" s="2" t="s">
        <v>56</v>
      </c>
    </row>
    <row r="417">
      <c r="A417" s="2" t="n">
        <v>299</v>
      </c>
      <c r="B417" s="2" t="s">
        <v>13534</v>
      </c>
      <c r="C417" s="2" t="s">
        <v>20276</v>
      </c>
      <c r="D417" s="2" t="n">
        <v>287.23212671</v>
      </c>
      <c r="E417" s="2" t="n">
        <v>18.0266261849896</v>
      </c>
      <c r="F417" s="2" t="s">
        <v>20278</v>
      </c>
      <c r="G417" s="2" t="n">
        <v>6041</v>
      </c>
      <c r="H417" s="3" t="str">
        <f>HYPERLINK("http://funmeta.oebiotech.com/network/6041", "http://funmeta.oebiotech.com/network/6041")</f>
      </c>
      <c r="I417" s="2" t="s">
        <v>20280</v>
      </c>
      <c r="J417" s="2" t="s">
        <v>20281</v>
      </c>
      <c r="K417" s="2" t="s">
        <v>20282</v>
      </c>
      <c r="L417" s="2" t="s">
        <v>20283</v>
      </c>
      <c r="M417" s="2" t="s">
        <v>20284</v>
      </c>
      <c r="N417" s="2" t="s">
        <v>20285</v>
      </c>
      <c r="O417" s="2" t="s">
        <v>20286</v>
      </c>
      <c r="P417" s="2" t="s">
        <v>20287</v>
      </c>
      <c r="Q417" s="2" t="s">
        <v>20288</v>
      </c>
      <c r="R417" s="2" t="s">
        <v>794</v>
      </c>
      <c r="S417" s="2" t="s">
        <v>795</v>
      </c>
      <c r="T417" s="2" t="s">
        <v>3273</v>
      </c>
      <c r="U417" s="2" t="s">
        <v>20277</v>
      </c>
      <c r="V417" s="2" t="s">
        <v>17970</v>
      </c>
      <c r="W417" s="2" t="s">
        <v>101</v>
      </c>
    </row>
    <row r="418">
      <c r="A418" s="2" t="n">
        <v>300</v>
      </c>
      <c r="B418" s="2" t="s">
        <v>13535</v>
      </c>
      <c r="C418" s="2" t="s">
        <v>20289</v>
      </c>
      <c r="D418" s="2" t="n">
        <v>288.160008225</v>
      </c>
      <c r="E418" s="2" t="n">
        <v>4.35646325723909</v>
      </c>
      <c r="F418" s="2" t="s">
        <v>20291</v>
      </c>
      <c r="G418" s="2" t="n">
        <v>204718</v>
      </c>
      <c r="H418" s="3" t="str">
        <f>HYPERLINK("http://funmeta.oebiotech.com/network/204718", "http://funmeta.oebiotech.com/network/204718")</f>
      </c>
      <c r="I418" s="2" t="s">
        <v>20293</v>
      </c>
      <c r="J418" s="2" t="s">
        <v>20294</v>
      </c>
      <c r="K418" s="2"/>
      <c r="L418" s="2" t="s">
        <v>20295</v>
      </c>
      <c r="M418" s="2" t="s">
        <v>20296</v>
      </c>
      <c r="N418" s="2" t="s">
        <v>20297</v>
      </c>
      <c r="O418" s="2" t="s">
        <v>20298</v>
      </c>
      <c r="P418" s="2" t="s">
        <v>20299</v>
      </c>
      <c r="Q418" s="2" t="s">
        <v>20300</v>
      </c>
      <c r="R418" s="2" t="s">
        <v>1355</v>
      </c>
      <c r="S418" s="2" t="s">
        <v>1356</v>
      </c>
      <c r="T418" s="2" t="s">
        <v>215</v>
      </c>
      <c r="U418" s="2" t="s">
        <v>20290</v>
      </c>
      <c r="V418" s="2" t="s">
        <v>17039</v>
      </c>
      <c r="W418" s="2" t="s">
        <v>101</v>
      </c>
    </row>
    <row r="419">
      <c r="A419" s="2" t="n">
        <v>301</v>
      </c>
      <c r="B419" s="2" t="s">
        <v>13536</v>
      </c>
      <c r="C419" s="2" t="s">
        <v>20301</v>
      </c>
      <c r="D419" s="2" t="n">
        <v>289.13749913</v>
      </c>
      <c r="E419" s="2" t="n">
        <v>5.1877346627823</v>
      </c>
      <c r="F419" s="2" t="s">
        <v>20303</v>
      </c>
      <c r="G419" s="2" t="n">
        <v>209056</v>
      </c>
      <c r="H419" s="3" t="str">
        <f>HYPERLINK("http://funmeta.oebiotech.com/network/209056", "http://funmeta.oebiotech.com/network/209056")</f>
      </c>
      <c r="I419" s="2" t="s">
        <v>20305</v>
      </c>
      <c r="J419" s="2"/>
      <c r="K419" s="2"/>
      <c r="L419" s="2"/>
      <c r="M419" s="2"/>
      <c r="N419" s="2" t="s">
        <v>20306</v>
      </c>
      <c r="O419" s="2"/>
      <c r="P419" s="2" t="s">
        <v>20307</v>
      </c>
      <c r="Q419" s="2" t="s">
        <v>20308</v>
      </c>
      <c r="R419" s="2" t="s">
        <v>186</v>
      </c>
      <c r="S419" s="2" t="s">
        <v>4086</v>
      </c>
      <c r="T419" s="2" t="s">
        <v>4087</v>
      </c>
      <c r="U419" s="2" t="s">
        <v>20302</v>
      </c>
      <c r="V419" s="2" t="s">
        <v>17039</v>
      </c>
      <c r="W419" s="2"/>
    </row>
    <row r="420">
      <c r="A420" s="2" t="n">
        <v>302</v>
      </c>
      <c r="B420" s="2" t="s">
        <v>13537</v>
      </c>
      <c r="C420" s="2" t="s">
        <v>20309</v>
      </c>
      <c r="D420" s="2" t="n">
        <v>291.06865011</v>
      </c>
      <c r="E420" s="2" t="n">
        <v>1.20156467683348</v>
      </c>
      <c r="F420" s="2" t="s">
        <v>20311</v>
      </c>
      <c r="G420" s="2" t="n">
        <v>47027</v>
      </c>
      <c r="H420" s="3" t="str">
        <f>HYPERLINK("http://funmeta.oebiotech.com/network/47027", "http://funmeta.oebiotech.com/network/47027")</f>
      </c>
      <c r="I420" s="2" t="s">
        <v>20313</v>
      </c>
      <c r="J420" s="2" t="s">
        <v>20314</v>
      </c>
      <c r="K420" s="2"/>
      <c r="L420" s="2"/>
      <c r="M420" s="2"/>
      <c r="N420" s="2" t="s">
        <v>20315</v>
      </c>
      <c r="O420" s="2" t="s">
        <v>20316</v>
      </c>
      <c r="P420" s="2" t="s">
        <v>20317</v>
      </c>
      <c r="Q420" s="2" t="s">
        <v>20318</v>
      </c>
      <c r="R420" s="2" t="s">
        <v>129</v>
      </c>
      <c r="S420" s="2" t="s">
        <v>130</v>
      </c>
      <c r="T420" s="2" t="s">
        <v>1681</v>
      </c>
      <c r="U420" s="2" t="s">
        <v>20310</v>
      </c>
      <c r="V420" s="2" t="s">
        <v>17198</v>
      </c>
      <c r="W420" s="2" t="s">
        <v>56</v>
      </c>
    </row>
    <row r="421">
      <c r="A421" s="2" t="n">
        <v>303</v>
      </c>
      <c r="B421" s="2" t="s">
        <v>13553</v>
      </c>
      <c r="C421" s="2" t="s">
        <v>20319</v>
      </c>
      <c r="D421" s="2" t="n">
        <v>291.149777894</v>
      </c>
      <c r="E421" s="2" t="n">
        <v>6.4402452894106</v>
      </c>
      <c r="F421" s="2" t="s">
        <v>20321</v>
      </c>
      <c r="G421" s="2" t="n">
        <v>53095</v>
      </c>
      <c r="H421" s="3" t="str">
        <f>HYPERLINK("http://funmeta.oebiotech.com/network/53095", "http://funmeta.oebiotech.com/network/53095")</f>
      </c>
      <c r="I421" s="2" t="s">
        <v>20323</v>
      </c>
      <c r="J421" s="2" t="s">
        <v>20324</v>
      </c>
      <c r="K421" s="2"/>
      <c r="L421" s="2" t="s">
        <v>20325</v>
      </c>
      <c r="M421" s="2" t="s">
        <v>20326</v>
      </c>
      <c r="N421" s="2" t="s">
        <v>20327</v>
      </c>
      <c r="O421" s="2" t="s">
        <v>20328</v>
      </c>
      <c r="P421" s="2" t="s">
        <v>20329</v>
      </c>
      <c r="Q421" s="2" t="s">
        <v>20330</v>
      </c>
      <c r="R421" s="2" t="s">
        <v>186</v>
      </c>
      <c r="S421" s="2" t="s">
        <v>187</v>
      </c>
      <c r="T421" s="2" t="s">
        <v>215</v>
      </c>
      <c r="U421" s="2" t="s">
        <v>20320</v>
      </c>
      <c r="V421" s="2" t="s">
        <v>17039</v>
      </c>
      <c r="W421" s="2" t="s">
        <v>56</v>
      </c>
    </row>
    <row r="422">
      <c r="A422" s="2" t="n">
        <v>304</v>
      </c>
      <c r="B422" s="2" t="s">
        <v>13554</v>
      </c>
      <c r="C422" s="2" t="s">
        <v>20331</v>
      </c>
      <c r="D422" s="2" t="n">
        <v>291.974910697</v>
      </c>
      <c r="E422" s="2" t="n">
        <v>2.52203310399502</v>
      </c>
      <c r="F422" s="2" t="s">
        <v>20333</v>
      </c>
      <c r="G422" s="2" t="n">
        <v>81746</v>
      </c>
      <c r="H422" s="3" t="str">
        <f>HYPERLINK("http://funmeta.oebiotech.com/network/81746", "http://funmeta.oebiotech.com/network/81746")</f>
      </c>
      <c r="I422" s="2" t="s">
        <v>20335</v>
      </c>
      <c r="J422" s="2" t="s">
        <v>20336</v>
      </c>
      <c r="K422" s="2"/>
      <c r="L422" s="2"/>
      <c r="M422" s="2" t="s">
        <v>20337</v>
      </c>
      <c r="N422" s="2" t="s">
        <v>20338</v>
      </c>
      <c r="O422" s="2"/>
      <c r="P422" s="2" t="s">
        <v>20339</v>
      </c>
      <c r="Q422" s="2" t="s">
        <v>20340</v>
      </c>
      <c r="R422" s="2" t="s">
        <v>794</v>
      </c>
      <c r="S422" s="2" t="s">
        <v>7122</v>
      </c>
      <c r="T422" s="2" t="s">
        <v>8042</v>
      </c>
      <c r="U422" s="2" t="s">
        <v>20332</v>
      </c>
      <c r="V422" s="2" t="s">
        <v>17520</v>
      </c>
      <c r="W422" s="2" t="s">
        <v>39</v>
      </c>
    </row>
    <row r="423">
      <c r="A423" s="2" t="n">
        <v>305</v>
      </c>
      <c r="B423" s="2" t="s">
        <v>13555</v>
      </c>
      <c r="C423" s="2" t="s">
        <v>20341</v>
      </c>
      <c r="D423" s="2" t="n">
        <v>293.090803134</v>
      </c>
      <c r="E423" s="2" t="n">
        <v>3.44905280155687</v>
      </c>
      <c r="F423" s="2" t="s">
        <v>20343</v>
      </c>
      <c r="G423" s="2" t="n">
        <v>206691</v>
      </c>
      <c r="H423" s="3" t="str">
        <f>HYPERLINK("http://funmeta.oebiotech.com/network/206691", "http://funmeta.oebiotech.com/network/206691")</f>
      </c>
      <c r="I423" s="2" t="s">
        <v>20345</v>
      </c>
      <c r="J423" s="2"/>
      <c r="K423" s="2"/>
      <c r="L423" s="2"/>
      <c r="M423" s="2"/>
      <c r="N423" s="2" t="s">
        <v>20346</v>
      </c>
      <c r="O423" s="2"/>
      <c r="P423" s="2" t="s">
        <v>20347</v>
      </c>
      <c r="Q423" s="2" t="s">
        <v>20348</v>
      </c>
      <c r="R423" s="2" t="s">
        <v>114</v>
      </c>
      <c r="S423" s="2" t="s">
        <v>369</v>
      </c>
      <c r="T423" s="2" t="s">
        <v>370</v>
      </c>
      <c r="U423" s="2" t="s">
        <v>20342</v>
      </c>
      <c r="V423" s="2" t="s">
        <v>17198</v>
      </c>
      <c r="W423" s="2"/>
    </row>
    <row r="424">
      <c r="A424" s="2" t="n">
        <v>306</v>
      </c>
      <c r="B424" s="2" t="s">
        <v>13556</v>
      </c>
      <c r="C424" s="2" t="s">
        <v>20349</v>
      </c>
      <c r="D424" s="2" t="n">
        <v>293.173664724</v>
      </c>
      <c r="E424" s="2" t="n">
        <v>1.40529040005072</v>
      </c>
      <c r="F424" s="2" t="s">
        <v>20351</v>
      </c>
      <c r="G424" s="2" t="n">
        <v>255497</v>
      </c>
      <c r="H424" s="3" t="str">
        <f>HYPERLINK("http://funmeta.oebiotech.com/network/255497", "http://funmeta.oebiotech.com/network/255497")</f>
      </c>
      <c r="I424" s="2" t="s">
        <v>20353</v>
      </c>
      <c r="J424" s="2"/>
      <c r="K424" s="2"/>
      <c r="L424" s="2"/>
      <c r="M424" s="2"/>
      <c r="N424" s="2" t="s">
        <v>20354</v>
      </c>
      <c r="O424" s="2"/>
      <c r="P424" s="2" t="s">
        <v>20355</v>
      </c>
      <c r="Q424" s="2" t="s">
        <v>20356</v>
      </c>
      <c r="R424" s="2" t="s">
        <v>186</v>
      </c>
      <c r="S424" s="2" t="s">
        <v>187</v>
      </c>
      <c r="T424" s="2" t="s">
        <v>8700</v>
      </c>
      <c r="U424" s="2" t="s">
        <v>20350</v>
      </c>
      <c r="V424" s="2" t="s">
        <v>17198</v>
      </c>
      <c r="W424" s="2"/>
    </row>
    <row r="425">
      <c r="A425" s="2" t="n">
        <v>307</v>
      </c>
      <c r="B425" s="2" t="s">
        <v>13557</v>
      </c>
      <c r="C425" s="2" t="s">
        <v>20357</v>
      </c>
      <c r="D425" s="2" t="n">
        <v>294.171321633</v>
      </c>
      <c r="E425" s="2" t="n">
        <v>1.52487413653167</v>
      </c>
      <c r="F425" s="2" t="s">
        <v>20359</v>
      </c>
      <c r="G425" s="2" t="n">
        <v>53429</v>
      </c>
      <c r="H425" s="3" t="str">
        <f>HYPERLINK("http://funmeta.oebiotech.com/network/53429", "http://funmeta.oebiotech.com/network/53429")</f>
      </c>
      <c r="I425" s="2" t="s">
        <v>20361</v>
      </c>
      <c r="J425" s="2" t="s">
        <v>20362</v>
      </c>
      <c r="K425" s="2"/>
      <c r="L425" s="2" t="s">
        <v>20363</v>
      </c>
      <c r="M425" s="2" t="s">
        <v>20364</v>
      </c>
      <c r="N425" s="2" t="s">
        <v>20365</v>
      </c>
      <c r="O425" s="2" t="s">
        <v>20366</v>
      </c>
      <c r="P425" s="2" t="s">
        <v>20367</v>
      </c>
      <c r="Q425" s="2" t="s">
        <v>20368</v>
      </c>
      <c r="R425" s="2" t="s">
        <v>186</v>
      </c>
      <c r="S425" s="2" t="s">
        <v>187</v>
      </c>
      <c r="T425" s="2" t="s">
        <v>1895</v>
      </c>
      <c r="U425" s="2" t="s">
        <v>20358</v>
      </c>
      <c r="V425" s="2" t="s">
        <v>17137</v>
      </c>
      <c r="W425" s="2" t="s">
        <v>56</v>
      </c>
    </row>
    <row r="426">
      <c r="A426" s="2" t="n">
        <v>308</v>
      </c>
      <c r="B426" s="2" t="s">
        <v>13558</v>
      </c>
      <c r="C426" s="2" t="s">
        <v>20369</v>
      </c>
      <c r="D426" s="2" t="n">
        <v>294.196473753</v>
      </c>
      <c r="E426" s="2" t="n">
        <v>5.60315159471494</v>
      </c>
      <c r="F426" s="2" t="s">
        <v>20371</v>
      </c>
      <c r="G426" s="2" t="n">
        <v>203446</v>
      </c>
      <c r="H426" s="3" t="str">
        <f>HYPERLINK("http://funmeta.oebiotech.com/network/203446", "http://funmeta.oebiotech.com/network/203446")</f>
      </c>
      <c r="I426" s="2" t="s">
        <v>20373</v>
      </c>
      <c r="J426" s="2" t="s">
        <v>20374</v>
      </c>
      <c r="K426" s="2"/>
      <c r="L426" s="2" t="s">
        <v>20375</v>
      </c>
      <c r="M426" s="2" t="s">
        <v>11507</v>
      </c>
      <c r="N426" s="2" t="s">
        <v>20376</v>
      </c>
      <c r="O426" s="2" t="s">
        <v>20377</v>
      </c>
      <c r="P426" s="2" t="s">
        <v>20378</v>
      </c>
      <c r="Q426" s="2" t="s">
        <v>20379</v>
      </c>
      <c r="R426" s="2" t="s">
        <v>186</v>
      </c>
      <c r="S426" s="2" t="s">
        <v>187</v>
      </c>
      <c r="T426" s="2" t="s">
        <v>18676</v>
      </c>
      <c r="U426" s="2" t="s">
        <v>20370</v>
      </c>
      <c r="V426" s="2" t="s">
        <v>17137</v>
      </c>
      <c r="W426" s="2" t="s">
        <v>101</v>
      </c>
    </row>
    <row r="427">
      <c r="A427" s="2" t="n">
        <v>309</v>
      </c>
      <c r="B427" s="2" t="s">
        <v>13559</v>
      </c>
      <c r="C427" s="2" t="s">
        <v>20380</v>
      </c>
      <c r="D427" s="2" t="n">
        <v>295.078820866</v>
      </c>
      <c r="E427" s="2" t="n">
        <v>3.81676766891059</v>
      </c>
      <c r="F427" s="2" t="s">
        <v>20382</v>
      </c>
      <c r="G427" s="2" t="n">
        <v>54810</v>
      </c>
      <c r="H427" s="3" t="str">
        <f>HYPERLINK("http://funmeta.oebiotech.com/network/54810", "http://funmeta.oebiotech.com/network/54810")</f>
      </c>
      <c r="I427" s="2" t="s">
        <v>20384</v>
      </c>
      <c r="J427" s="2" t="s">
        <v>20385</v>
      </c>
      <c r="K427" s="2"/>
      <c r="L427" s="2" t="s">
        <v>20386</v>
      </c>
      <c r="M427" s="2" t="s">
        <v>20387</v>
      </c>
      <c r="N427" s="2" t="s">
        <v>20388</v>
      </c>
      <c r="O427" s="2" t="s">
        <v>20389</v>
      </c>
      <c r="P427" s="2" t="s">
        <v>20390</v>
      </c>
      <c r="Q427" s="2" t="s">
        <v>20391</v>
      </c>
      <c r="R427" s="2" t="s">
        <v>129</v>
      </c>
      <c r="S427" s="2" t="s">
        <v>130</v>
      </c>
      <c r="T427" s="2" t="s">
        <v>1681</v>
      </c>
      <c r="U427" s="2" t="s">
        <v>20381</v>
      </c>
      <c r="V427" s="2" t="s">
        <v>17198</v>
      </c>
      <c r="W427" s="2" t="s">
        <v>56</v>
      </c>
    </row>
    <row r="428">
      <c r="A428" s="2" t="n">
        <v>310</v>
      </c>
      <c r="B428" s="2" t="s">
        <v>13560</v>
      </c>
      <c r="C428" s="2" t="s">
        <v>20392</v>
      </c>
      <c r="D428" s="2" t="n">
        <v>296.068351351</v>
      </c>
      <c r="E428" s="2" t="n">
        <v>1.85246104347865</v>
      </c>
      <c r="F428" s="2" t="s">
        <v>20394</v>
      </c>
      <c r="G428" s="2" t="n">
        <v>52847</v>
      </c>
      <c r="H428" s="3" t="str">
        <f>HYPERLINK("http://funmeta.oebiotech.com/network/52847", "http://funmeta.oebiotech.com/network/52847")</f>
      </c>
      <c r="I428" s="2" t="s">
        <v>20396</v>
      </c>
      <c r="J428" s="2" t="s">
        <v>20397</v>
      </c>
      <c r="K428" s="2"/>
      <c r="L428" s="2" t="s">
        <v>20398</v>
      </c>
      <c r="M428" s="2" t="s">
        <v>20399</v>
      </c>
      <c r="N428" s="2" t="s">
        <v>20400</v>
      </c>
      <c r="O428" s="2" t="s">
        <v>20401</v>
      </c>
      <c r="P428" s="2" t="s">
        <v>20402</v>
      </c>
      <c r="Q428" s="2" t="s">
        <v>20403</v>
      </c>
      <c r="R428" s="2" t="s">
        <v>129</v>
      </c>
      <c r="S428" s="2" t="s">
        <v>130</v>
      </c>
      <c r="T428" s="2" t="s">
        <v>131</v>
      </c>
      <c r="U428" s="2" t="s">
        <v>20393</v>
      </c>
      <c r="V428" s="2" t="s">
        <v>17406</v>
      </c>
      <c r="W428" s="2" t="s">
        <v>56</v>
      </c>
    </row>
    <row r="429">
      <c r="A429" s="2" t="n">
        <v>311</v>
      </c>
      <c r="B429" s="2" t="s">
        <v>13586</v>
      </c>
      <c r="C429" s="2" t="s">
        <v>20404</v>
      </c>
      <c r="D429" s="2" t="n">
        <v>296.183226357</v>
      </c>
      <c r="E429" s="2" t="n">
        <v>1.16493297627387</v>
      </c>
      <c r="F429" s="2" t="s">
        <v>20406</v>
      </c>
      <c r="G429" s="2" t="n">
        <v>8350</v>
      </c>
      <c r="H429" s="3" t="str">
        <f>HYPERLINK("http://funmeta.oebiotech.com/network/8350", "http://funmeta.oebiotech.com/network/8350")</f>
      </c>
      <c r="I429" s="2" t="s">
        <v>20408</v>
      </c>
      <c r="J429" s="2"/>
      <c r="K429" s="2" t="s">
        <v>20409</v>
      </c>
      <c r="L429" s="2"/>
      <c r="M429" s="2" t="s">
        <v>20410</v>
      </c>
      <c r="N429" s="2" t="s">
        <v>20411</v>
      </c>
      <c r="O429" s="2"/>
      <c r="P429" s="2" t="s">
        <v>20412</v>
      </c>
      <c r="Q429" s="2" t="s">
        <v>20413</v>
      </c>
      <c r="R429" s="2" t="s">
        <v>794</v>
      </c>
      <c r="S429" s="2" t="s">
        <v>795</v>
      </c>
      <c r="T429" s="2" t="s">
        <v>1870</v>
      </c>
      <c r="U429" s="2" t="s">
        <v>20405</v>
      </c>
      <c r="V429" s="2" t="s">
        <v>17198</v>
      </c>
      <c r="W429" s="2" t="s">
        <v>39</v>
      </c>
    </row>
    <row r="430">
      <c r="A430" s="2" t="n">
        <v>312</v>
      </c>
      <c r="B430" s="2" t="s">
        <v>13587</v>
      </c>
      <c r="C430" s="2" t="s">
        <v>20414</v>
      </c>
      <c r="D430" s="2" t="n">
        <v>297.01598143</v>
      </c>
      <c r="E430" s="2" t="n">
        <v>0.135141079598154</v>
      </c>
      <c r="F430" s="2" t="s">
        <v>26833</v>
      </c>
      <c r="G430" s="2" t="n">
        <v>55563</v>
      </c>
      <c r="H430" s="3" t="str">
        <f>HYPERLINK("http://funmeta.oebiotech.com/network/55563", "http://funmeta.oebiotech.com/network/55563")</f>
      </c>
      <c r="I430" s="2" t="s">
        <v>26834</v>
      </c>
      <c r="J430" s="2" t="s">
        <v>26835</v>
      </c>
      <c r="K430" s="2"/>
      <c r="L430" s="2" t="s">
        <v>26836</v>
      </c>
      <c r="M430" s="2" t="s">
        <v>26837</v>
      </c>
      <c r="N430" s="2" t="s">
        <v>26838</v>
      </c>
      <c r="O430" s="2" t="s">
        <v>26839</v>
      </c>
      <c r="P430" s="2" t="s">
        <v>26840</v>
      </c>
      <c r="Q430" s="2" t="s">
        <v>26841</v>
      </c>
      <c r="R430" s="2" t="s">
        <v>1355</v>
      </c>
      <c r="S430" s="2" t="s">
        <v>3298</v>
      </c>
      <c r="T430" s="2" t="s">
        <v>215</v>
      </c>
      <c r="U430" s="2" t="s">
        <v>20415</v>
      </c>
      <c r="V430" s="2" t="s">
        <v>17406</v>
      </c>
      <c r="W430" s="2" t="s">
        <v>56</v>
      </c>
    </row>
    <row r="431">
      <c r="A431" s="2" t="n">
        <v>312</v>
      </c>
      <c r="B431" s="2" t="s">
        <v>26842</v>
      </c>
      <c r="C431" s="2" t="s">
        <v>20414</v>
      </c>
      <c r="D431" s="2" t="n">
        <v>297.01598143</v>
      </c>
      <c r="E431" s="2" t="n">
        <v>0.135141079598154</v>
      </c>
      <c r="F431" s="2" t="s">
        <v>26843</v>
      </c>
      <c r="G431" s="2" t="n">
        <v>56232</v>
      </c>
      <c r="H431" s="3" t="str">
        <f>HYPERLINK("http://funmeta.oebiotech.com/network/56232", "http://funmeta.oebiotech.com/network/56232")</f>
      </c>
      <c r="I431" s="2" t="s">
        <v>26844</v>
      </c>
      <c r="J431" s="2" t="s">
        <v>26845</v>
      </c>
      <c r="K431" s="2"/>
      <c r="L431" s="2" t="s">
        <v>26846</v>
      </c>
      <c r="M431" s="2" t="s">
        <v>26847</v>
      </c>
      <c r="N431" s="2" t="s">
        <v>26848</v>
      </c>
      <c r="O431" s="2" t="s">
        <v>26849</v>
      </c>
      <c r="P431" s="2" t="s">
        <v>26850</v>
      </c>
      <c r="Q431" s="2" t="s">
        <v>26851</v>
      </c>
      <c r="R431" s="2" t="s">
        <v>114</v>
      </c>
      <c r="S431" s="2" t="s">
        <v>6312</v>
      </c>
      <c r="T431" s="2" t="s">
        <v>6313</v>
      </c>
      <c r="U431" s="2" t="s">
        <v>20415</v>
      </c>
      <c r="V431" s="2" t="s">
        <v>17406</v>
      </c>
      <c r="W431" s="2" t="s">
        <v>56</v>
      </c>
    </row>
    <row r="432">
      <c r="A432" s="2" t="n">
        <v>312</v>
      </c>
      <c r="B432" s="2" t="s">
        <v>26852</v>
      </c>
      <c r="C432" s="2" t="s">
        <v>20414</v>
      </c>
      <c r="D432" s="2" t="n">
        <v>297.01598143</v>
      </c>
      <c r="E432" s="2" t="n">
        <v>0.135141079598154</v>
      </c>
      <c r="F432" s="2" t="s">
        <v>26853</v>
      </c>
      <c r="G432" s="2" t="n">
        <v>55592</v>
      </c>
      <c r="H432" s="3" t="str">
        <f>HYPERLINK("http://funmeta.oebiotech.com/network/55592", "http://funmeta.oebiotech.com/network/55592")</f>
      </c>
      <c r="I432" s="2" t="s">
        <v>26854</v>
      </c>
      <c r="J432" s="2" t="s">
        <v>26855</v>
      </c>
      <c r="K432" s="2"/>
      <c r="L432" s="2" t="s">
        <v>26856</v>
      </c>
      <c r="M432" s="2" t="s">
        <v>20976</v>
      </c>
      <c r="N432" s="2" t="s">
        <v>26857</v>
      </c>
      <c r="O432" s="2" t="s">
        <v>26858</v>
      </c>
      <c r="P432" s="2" t="s">
        <v>26859</v>
      </c>
      <c r="Q432" s="2" t="s">
        <v>26860</v>
      </c>
      <c r="R432" s="2" t="s">
        <v>114</v>
      </c>
      <c r="S432" s="2" t="s">
        <v>6312</v>
      </c>
      <c r="T432" s="2" t="s">
        <v>6313</v>
      </c>
      <c r="U432" s="2" t="s">
        <v>20415</v>
      </c>
      <c r="V432" s="2" t="s">
        <v>17406</v>
      </c>
      <c r="W432" s="2" t="s">
        <v>56</v>
      </c>
    </row>
    <row r="433">
      <c r="A433" s="2" t="n">
        <v>313</v>
      </c>
      <c r="B433" s="2" t="s">
        <v>13588</v>
      </c>
      <c r="C433" s="2" t="s">
        <v>20429</v>
      </c>
      <c r="D433" s="2" t="n">
        <v>297.072595146</v>
      </c>
      <c r="E433" s="2" t="n">
        <v>0.663681682561996</v>
      </c>
      <c r="F433" s="2" t="s">
        <v>20431</v>
      </c>
      <c r="G433" s="2" t="n">
        <v>64169</v>
      </c>
      <c r="H433" s="3" t="str">
        <f>HYPERLINK("http://funmeta.oebiotech.com/network/64169", "http://funmeta.oebiotech.com/network/64169")</f>
      </c>
      <c r="I433" s="2" t="s">
        <v>20433</v>
      </c>
      <c r="J433" s="2" t="s">
        <v>20434</v>
      </c>
      <c r="K433" s="2"/>
      <c r="L433" s="2"/>
      <c r="M433" s="2" t="s">
        <v>20435</v>
      </c>
      <c r="N433" s="2" t="s">
        <v>20436</v>
      </c>
      <c r="O433" s="2" t="s">
        <v>20437</v>
      </c>
      <c r="P433" s="2" t="s">
        <v>20438</v>
      </c>
      <c r="Q433" s="2" t="s">
        <v>20439</v>
      </c>
      <c r="R433" s="2" t="s">
        <v>114</v>
      </c>
      <c r="S433" s="2" t="s">
        <v>994</v>
      </c>
      <c r="T433" s="2" t="s">
        <v>215</v>
      </c>
      <c r="U433" s="2" t="s">
        <v>20430</v>
      </c>
      <c r="V433" s="2" t="s">
        <v>17137</v>
      </c>
      <c r="W433" s="2"/>
    </row>
    <row r="434">
      <c r="A434" s="2" t="n">
        <v>314</v>
      </c>
      <c r="B434" s="2" t="s">
        <v>13589</v>
      </c>
      <c r="C434" s="2" t="s">
        <v>20440</v>
      </c>
      <c r="D434" s="2" t="n">
        <v>297.148520506</v>
      </c>
      <c r="E434" s="2" t="n">
        <v>4.86202808399205</v>
      </c>
      <c r="F434" s="2" t="s">
        <v>20442</v>
      </c>
      <c r="G434" s="2" t="n">
        <v>59110</v>
      </c>
      <c r="H434" s="3" t="str">
        <f>HYPERLINK("http://funmeta.oebiotech.com/network/59110", "http://funmeta.oebiotech.com/network/59110")</f>
      </c>
      <c r="I434" s="2" t="s">
        <v>20444</v>
      </c>
      <c r="J434" s="2" t="s">
        <v>20445</v>
      </c>
      <c r="K434" s="2"/>
      <c r="L434" s="2"/>
      <c r="M434" s="2"/>
      <c r="N434" s="2" t="s">
        <v>20446</v>
      </c>
      <c r="O434" s="2" t="s">
        <v>20447</v>
      </c>
      <c r="P434" s="2" t="s">
        <v>20448</v>
      </c>
      <c r="Q434" s="2" t="s">
        <v>20449</v>
      </c>
      <c r="R434" s="2" t="s">
        <v>794</v>
      </c>
      <c r="S434" s="2" t="s">
        <v>1098</v>
      </c>
      <c r="T434" s="2" t="s">
        <v>4662</v>
      </c>
      <c r="U434" s="2" t="s">
        <v>20441</v>
      </c>
      <c r="V434" s="2" t="s">
        <v>17137</v>
      </c>
      <c r="W434" s="2" t="s">
        <v>56</v>
      </c>
    </row>
    <row r="435">
      <c r="A435" s="2" t="n">
        <v>315</v>
      </c>
      <c r="B435" s="2" t="s">
        <v>13590</v>
      </c>
      <c r="C435" s="2" t="s">
        <v>20450</v>
      </c>
      <c r="D435" s="2" t="n">
        <v>298.120386921</v>
      </c>
      <c r="E435" s="2" t="n">
        <v>3.69125564318348</v>
      </c>
      <c r="F435" s="2" t="s">
        <v>26861</v>
      </c>
      <c r="G435" s="2" t="n">
        <v>54716</v>
      </c>
      <c r="H435" s="3" t="str">
        <f>HYPERLINK("http://funmeta.oebiotech.com/network/54716", "http://funmeta.oebiotech.com/network/54716")</f>
      </c>
      <c r="I435" s="2" t="s">
        <v>26862</v>
      </c>
      <c r="J435" s="2"/>
      <c r="K435" s="2"/>
      <c r="L435" s="2"/>
      <c r="M435" s="2"/>
      <c r="N435" s="2" t="s">
        <v>26863</v>
      </c>
      <c r="O435" s="2" t="s">
        <v>26864</v>
      </c>
      <c r="P435" s="2" t="s">
        <v>26865</v>
      </c>
      <c r="Q435" s="2" t="s">
        <v>26866</v>
      </c>
      <c r="R435" s="2" t="s">
        <v>114</v>
      </c>
      <c r="S435" s="2" t="s">
        <v>26867</v>
      </c>
      <c r="T435" s="2" t="s">
        <v>215</v>
      </c>
      <c r="U435" s="2" t="s">
        <v>20451</v>
      </c>
      <c r="V435" s="2" t="s">
        <v>17406</v>
      </c>
      <c r="W435" s="2" t="s">
        <v>56</v>
      </c>
    </row>
    <row r="436">
      <c r="A436" s="2" t="n">
        <v>315</v>
      </c>
      <c r="B436" s="2" t="s">
        <v>13600</v>
      </c>
      <c r="C436" s="2" t="s">
        <v>20450</v>
      </c>
      <c r="D436" s="2" t="n">
        <v>298.120386921</v>
      </c>
      <c r="E436" s="2" t="n">
        <v>3.69125564318348</v>
      </c>
      <c r="F436" s="2" t="s">
        <v>26868</v>
      </c>
      <c r="G436" s="2" t="n">
        <v>64963</v>
      </c>
      <c r="H436" s="3" t="str">
        <f>HYPERLINK("http://funmeta.oebiotech.com/network/64963", "http://funmeta.oebiotech.com/network/64963")</f>
      </c>
      <c r="I436" s="2" t="s">
        <v>26869</v>
      </c>
      <c r="J436" s="2" t="s">
        <v>26870</v>
      </c>
      <c r="K436" s="2"/>
      <c r="L436" s="2"/>
      <c r="M436" s="2"/>
      <c r="N436" s="2" t="s">
        <v>26871</v>
      </c>
      <c r="O436" s="2" t="s">
        <v>26872</v>
      </c>
      <c r="P436" s="2" t="s">
        <v>26873</v>
      </c>
      <c r="Q436" s="2" t="s">
        <v>26874</v>
      </c>
      <c r="R436" s="2" t="s">
        <v>186</v>
      </c>
      <c r="S436" s="2" t="s">
        <v>3770</v>
      </c>
      <c r="T436" s="2" t="s">
        <v>215</v>
      </c>
      <c r="U436" s="2" t="s">
        <v>20451</v>
      </c>
      <c r="V436" s="2" t="s">
        <v>17406</v>
      </c>
      <c r="W436" s="2" t="s">
        <v>56</v>
      </c>
    </row>
    <row r="437">
      <c r="A437" s="2" t="n">
        <v>316</v>
      </c>
      <c r="B437" s="2" t="s">
        <v>13610</v>
      </c>
      <c r="C437" s="2" t="s">
        <v>20461</v>
      </c>
      <c r="D437" s="2" t="n">
        <v>298.152594931</v>
      </c>
      <c r="E437" s="2" t="n">
        <v>3.31603599710635</v>
      </c>
      <c r="F437" s="2" t="s">
        <v>20463</v>
      </c>
      <c r="G437" s="2" t="n">
        <v>53231</v>
      </c>
      <c r="H437" s="3" t="str">
        <f>HYPERLINK("http://funmeta.oebiotech.com/network/53231", "http://funmeta.oebiotech.com/network/53231")</f>
      </c>
      <c r="I437" s="2" t="s">
        <v>20465</v>
      </c>
      <c r="J437" s="2" t="s">
        <v>20466</v>
      </c>
      <c r="K437" s="2"/>
      <c r="L437" s="2" t="s">
        <v>20467</v>
      </c>
      <c r="M437" s="2" t="s">
        <v>20468</v>
      </c>
      <c r="N437" s="2" t="s">
        <v>20469</v>
      </c>
      <c r="O437" s="2" t="s">
        <v>20470</v>
      </c>
      <c r="P437" s="2" t="s">
        <v>20471</v>
      </c>
      <c r="Q437" s="2" t="s">
        <v>20472</v>
      </c>
      <c r="R437" s="2" t="s">
        <v>114</v>
      </c>
      <c r="S437" s="2" t="s">
        <v>994</v>
      </c>
      <c r="T437" s="2" t="s">
        <v>20473</v>
      </c>
      <c r="U437" s="2" t="s">
        <v>20462</v>
      </c>
      <c r="V437" s="2" t="s">
        <v>17198</v>
      </c>
      <c r="W437" s="2" t="s">
        <v>101</v>
      </c>
    </row>
    <row r="438">
      <c r="A438" s="2" t="n">
        <v>317</v>
      </c>
      <c r="B438" s="2" t="s">
        <v>13611</v>
      </c>
      <c r="C438" s="2" t="s">
        <v>20474</v>
      </c>
      <c r="D438" s="2" t="n">
        <v>299.119620578</v>
      </c>
      <c r="E438" s="2" t="n">
        <v>1.22133375882213</v>
      </c>
      <c r="F438" s="2" t="s">
        <v>20476</v>
      </c>
      <c r="G438" s="2" t="n">
        <v>204432</v>
      </c>
      <c r="H438" s="3" t="str">
        <f>HYPERLINK("http://funmeta.oebiotech.com/network/204432", "http://funmeta.oebiotech.com/network/204432")</f>
      </c>
      <c r="I438" s="2" t="s">
        <v>20478</v>
      </c>
      <c r="J438" s="2"/>
      <c r="K438" s="2"/>
      <c r="L438" s="2"/>
      <c r="M438" s="2" t="s">
        <v>20479</v>
      </c>
      <c r="N438" s="2" t="s">
        <v>20480</v>
      </c>
      <c r="O438" s="2"/>
      <c r="P438" s="2" t="s">
        <v>20481</v>
      </c>
      <c r="Q438" s="2" t="s">
        <v>20482</v>
      </c>
      <c r="R438" s="2" t="s">
        <v>186</v>
      </c>
      <c r="S438" s="2" t="s">
        <v>187</v>
      </c>
      <c r="T438" s="2" t="s">
        <v>6895</v>
      </c>
      <c r="U438" s="2" t="s">
        <v>20475</v>
      </c>
      <c r="V438" s="2" t="s">
        <v>17039</v>
      </c>
      <c r="W438" s="2"/>
    </row>
    <row r="439">
      <c r="A439" s="2" t="n">
        <v>318</v>
      </c>
      <c r="B439" s="2" t="s">
        <v>13632</v>
      </c>
      <c r="C439" s="2" t="s">
        <v>20483</v>
      </c>
      <c r="D439" s="2" t="n">
        <v>299.157646343</v>
      </c>
      <c r="E439" s="2" t="n">
        <v>16.192466890074</v>
      </c>
      <c r="F439" s="2" t="s">
        <v>20485</v>
      </c>
      <c r="G439" s="2" t="n">
        <v>197002</v>
      </c>
      <c r="H439" s="3" t="str">
        <f>HYPERLINK("http://funmeta.oebiotech.com/network/197002", "http://funmeta.oebiotech.com/network/197002")</f>
      </c>
      <c r="I439" s="2" t="s">
        <v>20487</v>
      </c>
      <c r="J439" s="2"/>
      <c r="K439" s="2"/>
      <c r="L439" s="2"/>
      <c r="M439" s="2"/>
      <c r="N439" s="2"/>
      <c r="O439" s="2" t="s">
        <v>20488</v>
      </c>
      <c r="P439" s="2" t="s">
        <v>20489</v>
      </c>
      <c r="Q439" s="2" t="s">
        <v>20490</v>
      </c>
      <c r="R439" s="2" t="s">
        <v>114</v>
      </c>
      <c r="S439" s="2" t="s">
        <v>5831</v>
      </c>
      <c r="T439" s="2" t="s">
        <v>5832</v>
      </c>
      <c r="U439" s="2" t="s">
        <v>20484</v>
      </c>
      <c r="V439" s="2" t="s">
        <v>17117</v>
      </c>
      <c r="W439" s="2" t="s">
        <v>56</v>
      </c>
    </row>
    <row r="440">
      <c r="A440" s="2" t="n">
        <v>319</v>
      </c>
      <c r="B440" s="2" t="s">
        <v>13649</v>
      </c>
      <c r="C440" s="2" t="s">
        <v>20491</v>
      </c>
      <c r="D440" s="2" t="n">
        <v>302.0666724</v>
      </c>
      <c r="E440" s="2" t="n">
        <v>2.42823299573895</v>
      </c>
      <c r="F440" s="2" t="s">
        <v>20493</v>
      </c>
      <c r="G440" s="2" t="n">
        <v>207747</v>
      </c>
      <c r="H440" s="3" t="str">
        <f>HYPERLINK("http://funmeta.oebiotech.com/network/207747", "http://funmeta.oebiotech.com/network/207747")</f>
      </c>
      <c r="I440" s="2" t="s">
        <v>20495</v>
      </c>
      <c r="J440" s="2" t="s">
        <v>20496</v>
      </c>
      <c r="K440" s="2"/>
      <c r="L440" s="2"/>
      <c r="M440" s="2"/>
      <c r="N440" s="2" t="s">
        <v>20497</v>
      </c>
      <c r="O440" s="2"/>
      <c r="P440" s="2" t="s">
        <v>20498</v>
      </c>
      <c r="Q440" s="2" t="s">
        <v>20499</v>
      </c>
      <c r="R440" s="2" t="s">
        <v>186</v>
      </c>
      <c r="S440" s="2" t="s">
        <v>187</v>
      </c>
      <c r="T440" s="2" t="s">
        <v>2791</v>
      </c>
      <c r="U440" s="2" t="s">
        <v>20492</v>
      </c>
      <c r="V440" s="2" t="s">
        <v>17198</v>
      </c>
      <c r="W440" s="2"/>
    </row>
    <row r="441">
      <c r="A441" s="2" t="n">
        <v>320</v>
      </c>
      <c r="B441" s="2" t="s">
        <v>13650</v>
      </c>
      <c r="C441" s="2" t="s">
        <v>20500</v>
      </c>
      <c r="D441" s="2" t="n">
        <v>304.157705463</v>
      </c>
      <c r="E441" s="2" t="n">
        <v>1.12561503674868</v>
      </c>
      <c r="F441" s="2" t="s">
        <v>20502</v>
      </c>
      <c r="G441" s="2" t="n">
        <v>209337</v>
      </c>
      <c r="H441" s="3" t="str">
        <f>HYPERLINK("http://funmeta.oebiotech.com/network/209337", "http://funmeta.oebiotech.com/network/209337")</f>
      </c>
      <c r="I441" s="2" t="s">
        <v>20504</v>
      </c>
      <c r="J441" s="2"/>
      <c r="K441" s="2"/>
      <c r="L441" s="2"/>
      <c r="M441" s="2"/>
      <c r="N441" s="2"/>
      <c r="O441" s="2"/>
      <c r="P441" s="2" t="s">
        <v>20505</v>
      </c>
      <c r="Q441" s="2" t="s">
        <v>20506</v>
      </c>
      <c r="R441" s="2" t="s">
        <v>36</v>
      </c>
      <c r="S441" s="2" t="s">
        <v>37</v>
      </c>
      <c r="T441" s="2" t="s">
        <v>69</v>
      </c>
      <c r="U441" s="2" t="s">
        <v>20501</v>
      </c>
      <c r="V441" s="2" t="s">
        <v>17137</v>
      </c>
      <c r="W441" s="2"/>
    </row>
    <row r="442">
      <c r="A442" s="2" t="n">
        <v>321</v>
      </c>
      <c r="B442" s="2" t="s">
        <v>13651</v>
      </c>
      <c r="C442" s="2" t="s">
        <v>20507</v>
      </c>
      <c r="D442" s="2" t="n">
        <v>305.10844251</v>
      </c>
      <c r="E442" s="2" t="n">
        <v>4.42142226293708</v>
      </c>
      <c r="F442" s="2" t="s">
        <v>20509</v>
      </c>
      <c r="G442" s="2" t="n">
        <v>203401</v>
      </c>
      <c r="H442" s="3" t="str">
        <f>HYPERLINK("http://funmeta.oebiotech.com/network/203401", "http://funmeta.oebiotech.com/network/203401")</f>
      </c>
      <c r="I442" s="2" t="s">
        <v>20511</v>
      </c>
      <c r="J442" s="2"/>
      <c r="K442" s="2"/>
      <c r="L442" s="2"/>
      <c r="M442" s="2"/>
      <c r="N442" s="2" t="s">
        <v>20512</v>
      </c>
      <c r="O442" s="2"/>
      <c r="P442" s="2" t="s">
        <v>20513</v>
      </c>
      <c r="Q442" s="2" t="s">
        <v>20514</v>
      </c>
      <c r="R442" s="2" t="s">
        <v>794</v>
      </c>
      <c r="S442" s="2" t="s">
        <v>1098</v>
      </c>
      <c r="T442" s="2" t="s">
        <v>1099</v>
      </c>
      <c r="U442" s="2" t="s">
        <v>20508</v>
      </c>
      <c r="V442" s="2" t="s">
        <v>17406</v>
      </c>
      <c r="W442" s="2"/>
    </row>
    <row r="443">
      <c r="A443" s="2" t="n">
        <v>322</v>
      </c>
      <c r="B443" s="2" t="s">
        <v>13652</v>
      </c>
      <c r="C443" s="2" t="s">
        <v>20515</v>
      </c>
      <c r="D443" s="2" t="n">
        <v>305.172049908</v>
      </c>
      <c r="E443" s="2" t="n">
        <v>1.15945428524811</v>
      </c>
      <c r="F443" s="2" t="s">
        <v>20517</v>
      </c>
      <c r="G443" s="2" t="n">
        <v>201078</v>
      </c>
      <c r="H443" s="3" t="str">
        <f>HYPERLINK("http://funmeta.oebiotech.com/network/201078", "http://funmeta.oebiotech.com/network/201078")</f>
      </c>
      <c r="I443" s="2" t="s">
        <v>20519</v>
      </c>
      <c r="J443" s="2"/>
      <c r="K443" s="2"/>
      <c r="L443" s="2"/>
      <c r="M443" s="2"/>
      <c r="N443" s="2"/>
      <c r="O443" s="2"/>
      <c r="P443" s="2" t="s">
        <v>20520</v>
      </c>
      <c r="Q443" s="2" t="s">
        <v>20521</v>
      </c>
      <c r="R443" s="2" t="s">
        <v>114</v>
      </c>
      <c r="S443" s="2" t="s">
        <v>1038</v>
      </c>
      <c r="T443" s="2" t="s">
        <v>1039</v>
      </c>
      <c r="U443" s="2" t="s">
        <v>20516</v>
      </c>
      <c r="V443" s="2" t="s">
        <v>17137</v>
      </c>
      <c r="W443" s="2"/>
    </row>
    <row r="444">
      <c r="A444" s="2" t="n">
        <v>323</v>
      </c>
      <c r="B444" s="2" t="s">
        <v>13653</v>
      </c>
      <c r="C444" s="2" t="s">
        <v>20522</v>
      </c>
      <c r="D444" s="2" t="n">
        <v>307.047143582</v>
      </c>
      <c r="E444" s="2" t="n">
        <v>0.916912329076133</v>
      </c>
      <c r="F444" s="2" t="s">
        <v>26875</v>
      </c>
      <c r="G444" s="2" t="n">
        <v>82651</v>
      </c>
      <c r="H444" s="3" t="str">
        <f>HYPERLINK("http://funmeta.oebiotech.com/network/82651", "http://funmeta.oebiotech.com/network/82651")</f>
      </c>
      <c r="I444" s="2" t="s">
        <v>26876</v>
      </c>
      <c r="J444" s="2" t="s">
        <v>26877</v>
      </c>
      <c r="K444" s="2"/>
      <c r="L444" s="2"/>
      <c r="M444" s="2"/>
      <c r="N444" s="2" t="s">
        <v>26878</v>
      </c>
      <c r="O444" s="2"/>
      <c r="P444" s="2" t="s">
        <v>26879</v>
      </c>
      <c r="Q444" s="2" t="s">
        <v>26880</v>
      </c>
      <c r="R444" s="2" t="s">
        <v>2416</v>
      </c>
      <c r="S444" s="2" t="s">
        <v>6560</v>
      </c>
      <c r="T444" s="2" t="s">
        <v>215</v>
      </c>
      <c r="U444" s="2" t="s">
        <v>20523</v>
      </c>
      <c r="V444" s="2" t="s">
        <v>17198</v>
      </c>
      <c r="W444" s="2"/>
    </row>
    <row r="445">
      <c r="A445" s="2" t="n">
        <v>323</v>
      </c>
      <c r="B445" s="2" t="s">
        <v>26881</v>
      </c>
      <c r="C445" s="2" t="s">
        <v>20522</v>
      </c>
      <c r="D445" s="2" t="n">
        <v>307.047144056</v>
      </c>
      <c r="E445" s="2" t="n">
        <v>0.916912329076133</v>
      </c>
      <c r="F445" s="2" t="s">
        <v>26882</v>
      </c>
      <c r="G445" s="2" t="n">
        <v>209732</v>
      </c>
      <c r="H445" s="3" t="str">
        <f>HYPERLINK("http://funmeta.oebiotech.com/network/209732", "http://funmeta.oebiotech.com/network/209732")</f>
      </c>
      <c r="I445" s="2" t="s">
        <v>26883</v>
      </c>
      <c r="J445" s="2"/>
      <c r="K445" s="2"/>
      <c r="L445" s="2"/>
      <c r="M445" s="2"/>
      <c r="N445" s="2" t="s">
        <v>26884</v>
      </c>
      <c r="O445" s="2"/>
      <c r="P445" s="2" t="s">
        <v>26885</v>
      </c>
      <c r="Q445" s="2" t="s">
        <v>26886</v>
      </c>
      <c r="R445" s="2" t="s">
        <v>2416</v>
      </c>
      <c r="S445" s="2" t="s">
        <v>6560</v>
      </c>
      <c r="T445" s="2" t="s">
        <v>215</v>
      </c>
      <c r="U445" s="2" t="s">
        <v>20523</v>
      </c>
      <c r="V445" s="2" t="s">
        <v>17198</v>
      </c>
      <c r="W445" s="2"/>
    </row>
    <row r="446">
      <c r="A446" s="2" t="n">
        <v>324</v>
      </c>
      <c r="B446" s="2" t="s">
        <v>13654</v>
      </c>
      <c r="C446" s="2" t="s">
        <v>20531</v>
      </c>
      <c r="D446" s="2" t="n">
        <v>307.190385317</v>
      </c>
      <c r="E446" s="2" t="n">
        <v>4.34815998523361</v>
      </c>
      <c r="F446" s="2" t="s">
        <v>20533</v>
      </c>
      <c r="G446" s="2" t="n">
        <v>52079</v>
      </c>
      <c r="H446" s="3" t="str">
        <f>HYPERLINK("http://funmeta.oebiotech.com/network/52079", "http://funmeta.oebiotech.com/network/52079")</f>
      </c>
      <c r="I446" s="2" t="s">
        <v>20535</v>
      </c>
      <c r="J446" s="2"/>
      <c r="K446" s="2"/>
      <c r="L446" s="2"/>
      <c r="M446" s="2"/>
      <c r="N446" s="2" t="s">
        <v>20536</v>
      </c>
      <c r="O446" s="2" t="s">
        <v>20537</v>
      </c>
      <c r="P446" s="2" t="s">
        <v>20538</v>
      </c>
      <c r="Q446" s="2" t="s">
        <v>20539</v>
      </c>
      <c r="R446" s="2" t="s">
        <v>114</v>
      </c>
      <c r="S446" s="2" t="s">
        <v>6312</v>
      </c>
      <c r="T446" s="2" t="s">
        <v>6313</v>
      </c>
      <c r="U446" s="2" t="s">
        <v>20532</v>
      </c>
      <c r="V446" s="2" t="s">
        <v>17137</v>
      </c>
      <c r="W446" s="2" t="s">
        <v>56</v>
      </c>
    </row>
    <row r="447">
      <c r="A447" s="2" t="n">
        <v>325</v>
      </c>
      <c r="B447" s="2" t="s">
        <v>13655</v>
      </c>
      <c r="C447" s="2" t="s">
        <v>20540</v>
      </c>
      <c r="D447" s="2" t="n">
        <v>308.044187293</v>
      </c>
      <c r="E447" s="2" t="n">
        <v>5.50177675449628</v>
      </c>
      <c r="F447" s="2" t="s">
        <v>20542</v>
      </c>
      <c r="G447" s="2" t="n">
        <v>202045</v>
      </c>
      <c r="H447" s="3" t="str">
        <f>HYPERLINK("http://funmeta.oebiotech.com/network/202045", "http://funmeta.oebiotech.com/network/202045")</f>
      </c>
      <c r="I447" s="2" t="s">
        <v>20544</v>
      </c>
      <c r="J447" s="2"/>
      <c r="K447" s="2"/>
      <c r="L447" s="2"/>
      <c r="M447" s="2"/>
      <c r="N447" s="2" t="s">
        <v>20545</v>
      </c>
      <c r="O447" s="2"/>
      <c r="P447" s="2" t="s">
        <v>20546</v>
      </c>
      <c r="Q447" s="2" t="s">
        <v>20547</v>
      </c>
      <c r="R447" s="2" t="s">
        <v>114</v>
      </c>
      <c r="S447" s="2" t="s">
        <v>172</v>
      </c>
      <c r="T447" s="2" t="s">
        <v>8675</v>
      </c>
      <c r="U447" s="2" t="s">
        <v>20541</v>
      </c>
      <c r="V447" s="2" t="s">
        <v>17198</v>
      </c>
      <c r="W447" s="2"/>
    </row>
    <row r="448">
      <c r="A448" s="2" t="n">
        <v>326</v>
      </c>
      <c r="B448" s="2" t="s">
        <v>13656</v>
      </c>
      <c r="C448" s="2" t="s">
        <v>20548</v>
      </c>
      <c r="D448" s="2" t="n">
        <v>308.092696791</v>
      </c>
      <c r="E448" s="2" t="n">
        <v>8.1808968022321</v>
      </c>
      <c r="F448" s="2" t="s">
        <v>20550</v>
      </c>
      <c r="G448" s="2" t="n">
        <v>53271</v>
      </c>
      <c r="H448" s="3" t="str">
        <f>HYPERLINK("http://funmeta.oebiotech.com/network/53271", "http://funmeta.oebiotech.com/network/53271")</f>
      </c>
      <c r="I448" s="2" t="s">
        <v>20552</v>
      </c>
      <c r="J448" s="2" t="s">
        <v>20553</v>
      </c>
      <c r="K448" s="2"/>
      <c r="L448" s="2" t="s">
        <v>20554</v>
      </c>
      <c r="M448" s="2" t="s">
        <v>20555</v>
      </c>
      <c r="N448" s="2" t="s">
        <v>20556</v>
      </c>
      <c r="O448" s="2" t="s">
        <v>20557</v>
      </c>
      <c r="P448" s="2" t="s">
        <v>20558</v>
      </c>
      <c r="Q448" s="2" t="s">
        <v>20559</v>
      </c>
      <c r="R448" s="2" t="s">
        <v>186</v>
      </c>
      <c r="S448" s="2" t="s">
        <v>187</v>
      </c>
      <c r="T448" s="2" t="s">
        <v>3996</v>
      </c>
      <c r="U448" s="2" t="s">
        <v>20549</v>
      </c>
      <c r="V448" s="2" t="s">
        <v>17198</v>
      </c>
      <c r="W448" s="2" t="s">
        <v>56</v>
      </c>
    </row>
    <row r="449">
      <c r="A449" s="2" t="n">
        <v>327</v>
      </c>
      <c r="B449" s="2" t="s">
        <v>13657</v>
      </c>
      <c r="C449" s="2" t="s">
        <v>20560</v>
      </c>
      <c r="D449" s="2" t="n">
        <v>308.197456361</v>
      </c>
      <c r="E449" s="2" t="n">
        <v>6.99044592294165</v>
      </c>
      <c r="F449" s="2" t="s">
        <v>26887</v>
      </c>
      <c r="G449" s="2" t="n">
        <v>207419</v>
      </c>
      <c r="H449" s="3" t="str">
        <f>HYPERLINK("http://funmeta.oebiotech.com/network/207419", "http://funmeta.oebiotech.com/network/207419")</f>
      </c>
      <c r="I449" s="2" t="s">
        <v>26888</v>
      </c>
      <c r="J449" s="2"/>
      <c r="K449" s="2"/>
      <c r="L449" s="2"/>
      <c r="M449" s="2"/>
      <c r="N449" s="2" t="s">
        <v>26889</v>
      </c>
      <c r="O449" s="2"/>
      <c r="P449" s="2" t="s">
        <v>26890</v>
      </c>
      <c r="Q449" s="2" t="s">
        <v>26891</v>
      </c>
      <c r="R449" s="2" t="s">
        <v>36</v>
      </c>
      <c r="S449" s="2" t="s">
        <v>37</v>
      </c>
      <c r="T449" s="2" t="s">
        <v>69</v>
      </c>
      <c r="U449" s="2" t="s">
        <v>20561</v>
      </c>
      <c r="V449" s="2" t="s">
        <v>17039</v>
      </c>
      <c r="W449" s="2"/>
    </row>
    <row r="450">
      <c r="A450" s="2" t="n">
        <v>327</v>
      </c>
      <c r="B450" s="2" t="s">
        <v>13663</v>
      </c>
      <c r="C450" s="2" t="s">
        <v>20560</v>
      </c>
      <c r="D450" s="2" t="n">
        <v>308.197456361</v>
      </c>
      <c r="E450" s="2" t="n">
        <v>6.99044592294165</v>
      </c>
      <c r="F450" s="2" t="s">
        <v>26892</v>
      </c>
      <c r="G450" s="2" t="n">
        <v>207418</v>
      </c>
      <c r="H450" s="3" t="str">
        <f>HYPERLINK("http://funmeta.oebiotech.com/network/207418", "http://funmeta.oebiotech.com/network/207418")</f>
      </c>
      <c r="I450" s="2" t="s">
        <v>26893</v>
      </c>
      <c r="J450" s="2" t="s">
        <v>26894</v>
      </c>
      <c r="K450" s="2"/>
      <c r="L450" s="2"/>
      <c r="M450" s="2"/>
      <c r="N450" s="2" t="s">
        <v>26895</v>
      </c>
      <c r="O450" s="2"/>
      <c r="P450" s="2" t="s">
        <v>26896</v>
      </c>
      <c r="Q450" s="2" t="s">
        <v>26897</v>
      </c>
      <c r="R450" s="2" t="s">
        <v>36</v>
      </c>
      <c r="S450" s="2" t="s">
        <v>37</v>
      </c>
      <c r="T450" s="2" t="s">
        <v>69</v>
      </c>
      <c r="U450" s="2" t="s">
        <v>20561</v>
      </c>
      <c r="V450" s="2" t="s">
        <v>17039</v>
      </c>
      <c r="W450" s="2"/>
    </row>
    <row r="451">
      <c r="A451" s="2" t="n">
        <v>328</v>
      </c>
      <c r="B451" s="2" t="s">
        <v>13673</v>
      </c>
      <c r="C451" s="2" t="s">
        <v>20569</v>
      </c>
      <c r="D451" s="2" t="n">
        <v>309.048227914</v>
      </c>
      <c r="E451" s="2" t="n">
        <v>5.00964688400457</v>
      </c>
      <c r="F451" s="2" t="s">
        <v>20571</v>
      </c>
      <c r="G451" s="2" t="n">
        <v>47566</v>
      </c>
      <c r="H451" s="3" t="str">
        <f>HYPERLINK("http://funmeta.oebiotech.com/network/47566", "http://funmeta.oebiotech.com/network/47566")</f>
      </c>
      <c r="I451" s="2" t="s">
        <v>20573</v>
      </c>
      <c r="J451" s="2" t="s">
        <v>20574</v>
      </c>
      <c r="K451" s="2"/>
      <c r="L451" s="2" t="s">
        <v>20575</v>
      </c>
      <c r="M451" s="2" t="s">
        <v>20576</v>
      </c>
      <c r="N451" s="2" t="s">
        <v>20577</v>
      </c>
      <c r="O451" s="2" t="s">
        <v>20578</v>
      </c>
      <c r="P451" s="2" t="s">
        <v>20579</v>
      </c>
      <c r="Q451" s="2" t="s">
        <v>20580</v>
      </c>
      <c r="R451" s="2" t="s">
        <v>2416</v>
      </c>
      <c r="S451" s="2" t="s">
        <v>10012</v>
      </c>
      <c r="T451" s="2" t="s">
        <v>11031</v>
      </c>
      <c r="U451" s="2" t="s">
        <v>20570</v>
      </c>
      <c r="V451" s="2" t="s">
        <v>17137</v>
      </c>
      <c r="W451" s="2" t="s">
        <v>56</v>
      </c>
    </row>
    <row r="452">
      <c r="A452" s="2" t="n">
        <v>329</v>
      </c>
      <c r="B452" s="2" t="s">
        <v>13689</v>
      </c>
      <c r="C452" s="2" t="s">
        <v>20581</v>
      </c>
      <c r="D452" s="2" t="n">
        <v>310.139746724</v>
      </c>
      <c r="E452" s="2" t="n">
        <v>4.85356209297281</v>
      </c>
      <c r="F452" s="2" t="s">
        <v>26898</v>
      </c>
      <c r="G452" s="2" t="n">
        <v>53845</v>
      </c>
      <c r="H452" s="3" t="str">
        <f>HYPERLINK("http://funmeta.oebiotech.com/network/53845", "http://funmeta.oebiotech.com/network/53845")</f>
      </c>
      <c r="I452" s="2" t="s">
        <v>26899</v>
      </c>
      <c r="J452" s="2" t="s">
        <v>26900</v>
      </c>
      <c r="K452" s="2"/>
      <c r="L452" s="2"/>
      <c r="M452" s="2" t="s">
        <v>26901</v>
      </c>
      <c r="N452" s="2" t="s">
        <v>26902</v>
      </c>
      <c r="O452" s="2" t="s">
        <v>26903</v>
      </c>
      <c r="P452" s="2" t="s">
        <v>26904</v>
      </c>
      <c r="Q452" s="2" t="s">
        <v>26905</v>
      </c>
      <c r="R452" s="2" t="s">
        <v>36</v>
      </c>
      <c r="S452" s="2" t="s">
        <v>37</v>
      </c>
      <c r="T452" s="2" t="s">
        <v>69</v>
      </c>
      <c r="U452" s="2" t="s">
        <v>20582</v>
      </c>
      <c r="V452" s="2" t="s">
        <v>17137</v>
      </c>
      <c r="W452" s="2" t="s">
        <v>56</v>
      </c>
    </row>
    <row r="453">
      <c r="A453" s="2" t="n">
        <v>329</v>
      </c>
      <c r="B453" s="2" t="s">
        <v>26906</v>
      </c>
      <c r="C453" s="2" t="s">
        <v>20581</v>
      </c>
      <c r="D453" s="2" t="n">
        <v>310.139746733</v>
      </c>
      <c r="E453" s="2" t="n">
        <v>4.85356209297281</v>
      </c>
      <c r="F453" s="2" t="s">
        <v>26907</v>
      </c>
      <c r="G453" s="2" t="n">
        <v>54114</v>
      </c>
      <c r="H453" s="3" t="str">
        <f>HYPERLINK("http://funmeta.oebiotech.com/network/54114", "http://funmeta.oebiotech.com/network/54114")</f>
      </c>
      <c r="I453" s="2" t="s">
        <v>26908</v>
      </c>
      <c r="J453" s="2"/>
      <c r="K453" s="2"/>
      <c r="L453" s="2"/>
      <c r="M453" s="2"/>
      <c r="N453" s="2" t="s">
        <v>26909</v>
      </c>
      <c r="O453" s="2"/>
      <c r="P453" s="2" t="s">
        <v>26910</v>
      </c>
      <c r="Q453" s="2" t="s">
        <v>26911</v>
      </c>
      <c r="R453" s="2" t="s">
        <v>36</v>
      </c>
      <c r="S453" s="2" t="s">
        <v>37</v>
      </c>
      <c r="T453" s="2" t="s">
        <v>69</v>
      </c>
      <c r="U453" s="2" t="s">
        <v>20582</v>
      </c>
      <c r="V453" s="2" t="s">
        <v>17137</v>
      </c>
      <c r="W453" s="2" t="s">
        <v>56</v>
      </c>
    </row>
    <row r="454">
      <c r="A454" s="2" t="n">
        <v>329</v>
      </c>
      <c r="B454" s="2" t="s">
        <v>26912</v>
      </c>
      <c r="C454" s="2" t="s">
        <v>20581</v>
      </c>
      <c r="D454" s="2" t="n">
        <v>310.139746733</v>
      </c>
      <c r="E454" s="2" t="n">
        <v>4.85356209297281</v>
      </c>
      <c r="F454" s="2" t="s">
        <v>26913</v>
      </c>
      <c r="G454" s="2" t="n">
        <v>54130</v>
      </c>
      <c r="H454" s="3" t="str">
        <f>HYPERLINK("http://funmeta.oebiotech.com/network/54130", "http://funmeta.oebiotech.com/network/54130")</f>
      </c>
      <c r="I454" s="2" t="s">
        <v>26914</v>
      </c>
      <c r="J454" s="2" t="s">
        <v>26915</v>
      </c>
      <c r="K454" s="2"/>
      <c r="L454" s="2"/>
      <c r="M454" s="2" t="s">
        <v>26916</v>
      </c>
      <c r="N454" s="2" t="s">
        <v>26917</v>
      </c>
      <c r="O454" s="2"/>
      <c r="P454" s="2" t="s">
        <v>26918</v>
      </c>
      <c r="Q454" s="2" t="s">
        <v>26919</v>
      </c>
      <c r="R454" s="2" t="s">
        <v>36</v>
      </c>
      <c r="S454" s="2" t="s">
        <v>37</v>
      </c>
      <c r="T454" s="2" t="s">
        <v>69</v>
      </c>
      <c r="U454" s="2" t="s">
        <v>20582</v>
      </c>
      <c r="V454" s="2" t="s">
        <v>17137</v>
      </c>
      <c r="W454" s="2" t="s">
        <v>56</v>
      </c>
    </row>
    <row r="455">
      <c r="A455" s="2" t="n">
        <v>330</v>
      </c>
      <c r="B455" s="2" t="s">
        <v>13690</v>
      </c>
      <c r="C455" s="2" t="s">
        <v>20592</v>
      </c>
      <c r="D455" s="2" t="n">
        <v>311.058385345</v>
      </c>
      <c r="E455" s="2" t="n">
        <v>3.41388056331641</v>
      </c>
      <c r="F455" s="2" t="s">
        <v>26920</v>
      </c>
      <c r="G455" s="2" t="n">
        <v>197158</v>
      </c>
      <c r="H455" s="3" t="str">
        <f>HYPERLINK("http://funmeta.oebiotech.com/network/197158", "http://funmeta.oebiotech.com/network/197158")</f>
      </c>
      <c r="I455" s="2" t="s">
        <v>26921</v>
      </c>
      <c r="J455" s="2"/>
      <c r="K455" s="2"/>
      <c r="L455" s="2"/>
      <c r="M455" s="2"/>
      <c r="N455" s="2" t="s">
        <v>26922</v>
      </c>
      <c r="O455" s="2"/>
      <c r="P455" s="2" t="s">
        <v>26923</v>
      </c>
      <c r="Q455" s="2" t="s">
        <v>26924</v>
      </c>
      <c r="R455" s="2" t="s">
        <v>1355</v>
      </c>
      <c r="S455" s="2" t="s">
        <v>3249</v>
      </c>
      <c r="T455" s="2" t="s">
        <v>215</v>
      </c>
      <c r="U455" s="2" t="s">
        <v>20593</v>
      </c>
      <c r="V455" s="2" t="s">
        <v>17137</v>
      </c>
      <c r="W455" s="2"/>
    </row>
    <row r="456">
      <c r="A456" s="2" t="n">
        <v>330</v>
      </c>
      <c r="B456" s="2" t="s">
        <v>26925</v>
      </c>
      <c r="C456" s="2" t="s">
        <v>20592</v>
      </c>
      <c r="D456" s="2" t="n">
        <v>311.058385345</v>
      </c>
      <c r="E456" s="2" t="n">
        <v>3.41388056331641</v>
      </c>
      <c r="F456" s="2" t="s">
        <v>26926</v>
      </c>
      <c r="G456" s="2" t="n">
        <v>197156</v>
      </c>
      <c r="H456" s="3" t="str">
        <f>HYPERLINK("http://funmeta.oebiotech.com/network/197156", "http://funmeta.oebiotech.com/network/197156")</f>
      </c>
      <c r="I456" s="2" t="s">
        <v>26927</v>
      </c>
      <c r="J456" s="2"/>
      <c r="K456" s="2"/>
      <c r="L456" s="2"/>
      <c r="M456" s="2" t="s">
        <v>26928</v>
      </c>
      <c r="N456" s="2"/>
      <c r="O456" s="2"/>
      <c r="P456" s="2" t="s">
        <v>26929</v>
      </c>
      <c r="Q456" s="2" t="s">
        <v>26930</v>
      </c>
      <c r="R456" s="2" t="s">
        <v>1355</v>
      </c>
      <c r="S456" s="2" t="s">
        <v>3249</v>
      </c>
      <c r="T456" s="2" t="s">
        <v>215</v>
      </c>
      <c r="U456" s="2" t="s">
        <v>20593</v>
      </c>
      <c r="V456" s="2" t="s">
        <v>17137</v>
      </c>
      <c r="W456" s="2"/>
    </row>
    <row r="457">
      <c r="A457" s="2" t="n">
        <v>331</v>
      </c>
      <c r="B457" s="2" t="s">
        <v>13691</v>
      </c>
      <c r="C457" s="2" t="s">
        <v>20602</v>
      </c>
      <c r="D457" s="2" t="n">
        <v>313.212772074</v>
      </c>
      <c r="E457" s="2" t="n">
        <v>1.42889268060499</v>
      </c>
      <c r="F457" s="2" t="s">
        <v>20604</v>
      </c>
      <c r="G457" s="2" t="n">
        <v>198388</v>
      </c>
      <c r="H457" s="3" t="str">
        <f>HYPERLINK("http://funmeta.oebiotech.com/network/198388", "http://funmeta.oebiotech.com/network/198388")</f>
      </c>
      <c r="I457" s="2" t="s">
        <v>20606</v>
      </c>
      <c r="J457" s="2"/>
      <c r="K457" s="2"/>
      <c r="L457" s="2"/>
      <c r="M457" s="2"/>
      <c r="N457" s="2"/>
      <c r="O457" s="2"/>
      <c r="P457" s="2" t="s">
        <v>20607</v>
      </c>
      <c r="Q457" s="2" t="s">
        <v>20608</v>
      </c>
      <c r="R457" s="2" t="s">
        <v>794</v>
      </c>
      <c r="S457" s="2" t="s">
        <v>795</v>
      </c>
      <c r="T457" s="2" t="s">
        <v>1870</v>
      </c>
      <c r="U457" s="2" t="s">
        <v>20603</v>
      </c>
      <c r="V457" s="2" t="s">
        <v>17039</v>
      </c>
      <c r="W457" s="2"/>
    </row>
    <row r="458">
      <c r="A458" s="2" t="n">
        <v>332</v>
      </c>
      <c r="B458" s="2" t="s">
        <v>13692</v>
      </c>
      <c r="C458" s="2" t="s">
        <v>20609</v>
      </c>
      <c r="D458" s="2" t="n">
        <v>313.274309704</v>
      </c>
      <c r="E458" s="2" t="n">
        <v>1.58176991299404</v>
      </c>
      <c r="F458" s="2" t="s">
        <v>26931</v>
      </c>
      <c r="G458" s="2" t="n">
        <v>93668</v>
      </c>
      <c r="H458" s="3" t="str">
        <f>HYPERLINK("http://funmeta.oebiotech.com/network/93668", "http://funmeta.oebiotech.com/network/93668")</f>
      </c>
      <c r="I458" s="2" t="s">
        <v>26932</v>
      </c>
      <c r="J458" s="2"/>
      <c r="K458" s="2"/>
      <c r="L458" s="2"/>
      <c r="M458" s="2"/>
      <c r="N458" s="2" t="s">
        <v>26933</v>
      </c>
      <c r="O458" s="2"/>
      <c r="P458" s="2" t="s">
        <v>26934</v>
      </c>
      <c r="Q458" s="2" t="s">
        <v>26935</v>
      </c>
      <c r="R458" s="2" t="s">
        <v>794</v>
      </c>
      <c r="S458" s="2" t="s">
        <v>2600</v>
      </c>
      <c r="T458" s="2" t="s">
        <v>2601</v>
      </c>
      <c r="U458" s="2" t="s">
        <v>20610</v>
      </c>
      <c r="V458" s="2" t="s">
        <v>17039</v>
      </c>
      <c r="W458" s="2" t="s">
        <v>56</v>
      </c>
    </row>
    <row r="459">
      <c r="A459" s="2" t="n">
        <v>332</v>
      </c>
      <c r="B459" s="2" t="s">
        <v>13700</v>
      </c>
      <c r="C459" s="2" t="s">
        <v>20609</v>
      </c>
      <c r="D459" s="2" t="n">
        <v>313.274309704</v>
      </c>
      <c r="E459" s="2" t="n">
        <v>1.58176991299404</v>
      </c>
      <c r="F459" s="2" t="s">
        <v>26936</v>
      </c>
      <c r="G459" s="2" t="n">
        <v>10442</v>
      </c>
      <c r="H459" s="3" t="str">
        <f>HYPERLINK("http://funmeta.oebiotech.com/network/10442", "http://funmeta.oebiotech.com/network/10442")</f>
      </c>
      <c r="I459" s="2" t="s">
        <v>26937</v>
      </c>
      <c r="J459" s="2" t="s">
        <v>26938</v>
      </c>
      <c r="K459" s="2" t="s">
        <v>26939</v>
      </c>
      <c r="L459" s="2"/>
      <c r="M459" s="2" t="s">
        <v>26940</v>
      </c>
      <c r="N459" s="2" t="s">
        <v>26941</v>
      </c>
      <c r="O459" s="2"/>
      <c r="P459" s="2" t="s">
        <v>26942</v>
      </c>
      <c r="Q459" s="2" t="s">
        <v>26943</v>
      </c>
      <c r="R459" s="2" t="s">
        <v>794</v>
      </c>
      <c r="S459" s="2" t="s">
        <v>2600</v>
      </c>
      <c r="T459" s="2" t="s">
        <v>2601</v>
      </c>
      <c r="U459" s="2" t="s">
        <v>20610</v>
      </c>
      <c r="V459" s="2" t="s">
        <v>17039</v>
      </c>
      <c r="W459" s="2" t="s">
        <v>56</v>
      </c>
    </row>
    <row r="460">
      <c r="A460" s="2" t="n">
        <v>333</v>
      </c>
      <c r="B460" s="2" t="s">
        <v>13716</v>
      </c>
      <c r="C460" s="2" t="s">
        <v>20621</v>
      </c>
      <c r="D460" s="2" t="n">
        <v>315.155651132</v>
      </c>
      <c r="E460" s="2" t="n">
        <v>0.308161998930503</v>
      </c>
      <c r="F460" s="2" t="s">
        <v>20623</v>
      </c>
      <c r="G460" s="2" t="n">
        <v>53180</v>
      </c>
      <c r="H460" s="3" t="str">
        <f>HYPERLINK("http://funmeta.oebiotech.com/network/53180", "http://funmeta.oebiotech.com/network/53180")</f>
      </c>
      <c r="I460" s="2" t="s">
        <v>20625</v>
      </c>
      <c r="J460" s="2" t="s">
        <v>20626</v>
      </c>
      <c r="K460" s="2"/>
      <c r="L460" s="2" t="s">
        <v>20627</v>
      </c>
      <c r="M460" s="2" t="s">
        <v>20628</v>
      </c>
      <c r="N460" s="2" t="s">
        <v>20629</v>
      </c>
      <c r="O460" s="2" t="s">
        <v>20630</v>
      </c>
      <c r="P460" s="2" t="s">
        <v>20631</v>
      </c>
      <c r="Q460" s="2" t="s">
        <v>20632</v>
      </c>
      <c r="R460" s="2" t="s">
        <v>114</v>
      </c>
      <c r="S460" s="2" t="s">
        <v>7162</v>
      </c>
      <c r="T460" s="2" t="s">
        <v>7163</v>
      </c>
      <c r="U460" s="2" t="s">
        <v>20622</v>
      </c>
      <c r="V460" s="2" t="s">
        <v>17039</v>
      </c>
      <c r="W460" s="2" t="s">
        <v>56</v>
      </c>
    </row>
    <row r="461">
      <c r="A461" s="2" t="n">
        <v>334</v>
      </c>
      <c r="B461" s="2" t="s">
        <v>13717</v>
      </c>
      <c r="C461" s="2" t="s">
        <v>20633</v>
      </c>
      <c r="D461" s="2" t="n">
        <v>316.998040384</v>
      </c>
      <c r="E461" s="2" t="n">
        <v>5.07116737165682</v>
      </c>
      <c r="F461" s="2" t="s">
        <v>20635</v>
      </c>
      <c r="G461" s="2" t="n">
        <v>56996</v>
      </c>
      <c r="H461" s="3" t="str">
        <f>HYPERLINK("http://funmeta.oebiotech.com/network/56996", "http://funmeta.oebiotech.com/network/56996")</f>
      </c>
      <c r="I461" s="2" t="s">
        <v>20637</v>
      </c>
      <c r="J461" s="2" t="s">
        <v>20638</v>
      </c>
      <c r="K461" s="2"/>
      <c r="L461" s="2"/>
      <c r="M461" s="2"/>
      <c r="N461" s="2" t="s">
        <v>20639</v>
      </c>
      <c r="O461" s="2" t="s">
        <v>20640</v>
      </c>
      <c r="P461" s="2" t="s">
        <v>20641</v>
      </c>
      <c r="Q461" s="2" t="s">
        <v>20642</v>
      </c>
      <c r="R461" s="2" t="s">
        <v>186</v>
      </c>
      <c r="S461" s="2" t="s">
        <v>4086</v>
      </c>
      <c r="T461" s="2" t="s">
        <v>215</v>
      </c>
      <c r="U461" s="2" t="s">
        <v>20634</v>
      </c>
      <c r="V461" s="2" t="s">
        <v>17039</v>
      </c>
      <c r="W461" s="2" t="s">
        <v>56</v>
      </c>
    </row>
    <row r="462">
      <c r="A462" s="2" t="n">
        <v>335</v>
      </c>
      <c r="B462" s="2" t="s">
        <v>13718</v>
      </c>
      <c r="C462" s="2" t="s">
        <v>20643</v>
      </c>
      <c r="D462" s="2" t="n">
        <v>317.11780906</v>
      </c>
      <c r="E462" s="2" t="n">
        <v>2.3009448049401</v>
      </c>
      <c r="F462" s="2" t="s">
        <v>20645</v>
      </c>
      <c r="G462" s="2" t="n">
        <v>210687</v>
      </c>
      <c r="H462" s="3" t="str">
        <f>HYPERLINK("http://funmeta.oebiotech.com/network/210687", "http://funmeta.oebiotech.com/network/210687")</f>
      </c>
      <c r="I462" s="2" t="s">
        <v>20647</v>
      </c>
      <c r="J462" s="2"/>
      <c r="K462" s="2"/>
      <c r="L462" s="2"/>
      <c r="M462" s="2"/>
      <c r="N462" s="2"/>
      <c r="O462" s="2"/>
      <c r="P462" s="2" t="s">
        <v>20648</v>
      </c>
      <c r="Q462" s="2" t="s">
        <v>20649</v>
      </c>
      <c r="R462" s="2" t="s">
        <v>1355</v>
      </c>
      <c r="S462" s="2" t="s">
        <v>3298</v>
      </c>
      <c r="T462" s="2" t="s">
        <v>3299</v>
      </c>
      <c r="U462" s="2" t="s">
        <v>20644</v>
      </c>
      <c r="V462" s="2" t="s">
        <v>17039</v>
      </c>
      <c r="W462" s="2"/>
    </row>
    <row r="463">
      <c r="A463" s="2" t="n">
        <v>336</v>
      </c>
      <c r="B463" s="2" t="s">
        <v>13736</v>
      </c>
      <c r="C463" s="2" t="s">
        <v>20650</v>
      </c>
      <c r="D463" s="2" t="n">
        <v>317.187738204</v>
      </c>
      <c r="E463" s="2" t="n">
        <v>3.2088467143102</v>
      </c>
      <c r="F463" s="2" t="s">
        <v>20652</v>
      </c>
      <c r="G463" s="2" t="n">
        <v>657</v>
      </c>
      <c r="H463" s="3" t="str">
        <f>HYPERLINK("http://funmeta.oebiotech.com/network/657", "http://funmeta.oebiotech.com/network/657")</f>
      </c>
      <c r="I463" s="2" t="s">
        <v>20654</v>
      </c>
      <c r="J463" s="2" t="s">
        <v>20655</v>
      </c>
      <c r="K463" s="2" t="s">
        <v>20656</v>
      </c>
      <c r="L463" s="2" t="s">
        <v>20657</v>
      </c>
      <c r="M463" s="2" t="s">
        <v>20658</v>
      </c>
      <c r="N463" s="2" t="s">
        <v>20659</v>
      </c>
      <c r="O463" s="2" t="s">
        <v>20660</v>
      </c>
      <c r="P463" s="2" t="s">
        <v>20661</v>
      </c>
      <c r="Q463" s="2" t="s">
        <v>20662</v>
      </c>
      <c r="R463" s="2" t="s">
        <v>794</v>
      </c>
      <c r="S463" s="2" t="s">
        <v>795</v>
      </c>
      <c r="T463" s="2" t="s">
        <v>2391</v>
      </c>
      <c r="U463" s="2" t="s">
        <v>20651</v>
      </c>
      <c r="V463" s="2" t="s">
        <v>17406</v>
      </c>
      <c r="W463" s="2" t="s">
        <v>39</v>
      </c>
    </row>
    <row r="464">
      <c r="A464" s="2" t="n">
        <v>337</v>
      </c>
      <c r="B464" s="2" t="s">
        <v>13761</v>
      </c>
      <c r="C464" s="2" t="s">
        <v>20663</v>
      </c>
      <c r="D464" s="2" t="n">
        <v>319.115206372</v>
      </c>
      <c r="E464" s="2" t="n">
        <v>0.512484079604575</v>
      </c>
      <c r="F464" s="2" t="s">
        <v>20665</v>
      </c>
      <c r="G464" s="2" t="n">
        <v>59946</v>
      </c>
      <c r="H464" s="3" t="str">
        <f>HYPERLINK("http://funmeta.oebiotech.com/network/59946", "http://funmeta.oebiotech.com/network/59946")</f>
      </c>
      <c r="I464" s="2" t="s">
        <v>20667</v>
      </c>
      <c r="J464" s="2"/>
      <c r="K464" s="2"/>
      <c r="L464" s="2" t="s">
        <v>20668</v>
      </c>
      <c r="M464" s="2"/>
      <c r="N464" s="2" t="s">
        <v>20669</v>
      </c>
      <c r="O464" s="2" t="s">
        <v>20670</v>
      </c>
      <c r="P464" s="2" t="s">
        <v>20671</v>
      </c>
      <c r="Q464" s="2" t="s">
        <v>20672</v>
      </c>
      <c r="R464" s="2" t="s">
        <v>794</v>
      </c>
      <c r="S464" s="2" t="s">
        <v>1098</v>
      </c>
      <c r="T464" s="2" t="s">
        <v>3079</v>
      </c>
      <c r="U464" s="2" t="s">
        <v>20664</v>
      </c>
      <c r="V464" s="2" t="s">
        <v>17198</v>
      </c>
      <c r="W464" s="2" t="s">
        <v>56</v>
      </c>
    </row>
    <row r="465">
      <c r="A465" s="2" t="n">
        <v>338</v>
      </c>
      <c r="B465" s="2" t="s">
        <v>13762</v>
      </c>
      <c r="C465" s="2" t="s">
        <v>20673</v>
      </c>
      <c r="D465" s="2" t="n">
        <v>320.124096669</v>
      </c>
      <c r="E465" s="2" t="n">
        <v>7.86488373007582</v>
      </c>
      <c r="F465" s="2" t="s">
        <v>26944</v>
      </c>
      <c r="G465" s="2" t="n">
        <v>53801</v>
      </c>
      <c r="H465" s="3" t="str">
        <f>HYPERLINK("http://funmeta.oebiotech.com/network/53801", "http://funmeta.oebiotech.com/network/53801")</f>
      </c>
      <c r="I465" s="2" t="s">
        <v>26945</v>
      </c>
      <c r="J465" s="2"/>
      <c r="K465" s="2"/>
      <c r="L465" s="2"/>
      <c r="M465" s="2"/>
      <c r="N465" s="2" t="s">
        <v>26946</v>
      </c>
      <c r="O465" s="2"/>
      <c r="P465" s="2" t="s">
        <v>26947</v>
      </c>
      <c r="Q465" s="2" t="s">
        <v>26948</v>
      </c>
      <c r="R465" s="2" t="s">
        <v>36</v>
      </c>
      <c r="S465" s="2" t="s">
        <v>37</v>
      </c>
      <c r="T465" s="2" t="s">
        <v>69</v>
      </c>
      <c r="U465" s="2" t="s">
        <v>20674</v>
      </c>
      <c r="V465" s="2" t="s">
        <v>17137</v>
      </c>
      <c r="W465" s="2" t="s">
        <v>56</v>
      </c>
    </row>
    <row r="466">
      <c r="A466" s="2" t="n">
        <v>338</v>
      </c>
      <c r="B466" s="2" t="s">
        <v>26949</v>
      </c>
      <c r="C466" s="2" t="s">
        <v>20673</v>
      </c>
      <c r="D466" s="2" t="n">
        <v>320.124096669</v>
      </c>
      <c r="E466" s="2" t="n">
        <v>7.86488373007582</v>
      </c>
      <c r="F466" s="2" t="s">
        <v>26950</v>
      </c>
      <c r="G466" s="2" t="n">
        <v>54090</v>
      </c>
      <c r="H466" s="3" t="str">
        <f>HYPERLINK("http://funmeta.oebiotech.com/network/54090", "http://funmeta.oebiotech.com/network/54090")</f>
      </c>
      <c r="I466" s="2" t="s">
        <v>26951</v>
      </c>
      <c r="J466" s="2"/>
      <c r="K466" s="2"/>
      <c r="L466" s="2"/>
      <c r="M466" s="2"/>
      <c r="N466" s="2" t="s">
        <v>26952</v>
      </c>
      <c r="O466" s="2"/>
      <c r="P466" s="2" t="s">
        <v>26953</v>
      </c>
      <c r="Q466" s="2" t="s">
        <v>26954</v>
      </c>
      <c r="R466" s="2" t="s">
        <v>36</v>
      </c>
      <c r="S466" s="2" t="s">
        <v>37</v>
      </c>
      <c r="T466" s="2" t="s">
        <v>69</v>
      </c>
      <c r="U466" s="2" t="s">
        <v>20674</v>
      </c>
      <c r="V466" s="2" t="s">
        <v>17137</v>
      </c>
      <c r="W466" s="2" t="s">
        <v>56</v>
      </c>
    </row>
    <row r="467">
      <c r="A467" s="2" t="n">
        <v>339</v>
      </c>
      <c r="B467" s="2" t="s">
        <v>13763</v>
      </c>
      <c r="C467" s="2" t="s">
        <v>20681</v>
      </c>
      <c r="D467" s="2" t="n">
        <v>320.198637241</v>
      </c>
      <c r="E467" s="2" t="n">
        <v>9.09195005721992</v>
      </c>
      <c r="F467" s="2" t="s">
        <v>20683</v>
      </c>
      <c r="G467" s="2" t="n">
        <v>57062</v>
      </c>
      <c r="H467" s="3" t="str">
        <f>HYPERLINK("http://funmeta.oebiotech.com/network/57062", "http://funmeta.oebiotech.com/network/57062")</f>
      </c>
      <c r="I467" s="2" t="s">
        <v>20685</v>
      </c>
      <c r="J467" s="2" t="s">
        <v>20686</v>
      </c>
      <c r="K467" s="2"/>
      <c r="L467" s="2"/>
      <c r="M467" s="2"/>
      <c r="N467" s="2" t="s">
        <v>20687</v>
      </c>
      <c r="O467" s="2" t="s">
        <v>20688</v>
      </c>
      <c r="P467" s="2" t="s">
        <v>20689</v>
      </c>
      <c r="Q467" s="2" t="s">
        <v>20690</v>
      </c>
      <c r="R467" s="2" t="s">
        <v>794</v>
      </c>
      <c r="S467" s="2" t="s">
        <v>795</v>
      </c>
      <c r="T467" s="2" t="s">
        <v>1870</v>
      </c>
      <c r="U467" s="2" t="s">
        <v>20682</v>
      </c>
      <c r="V467" s="2" t="s">
        <v>17406</v>
      </c>
      <c r="W467" s="2" t="s">
        <v>56</v>
      </c>
    </row>
    <row r="468">
      <c r="A468" s="2" t="n">
        <v>340</v>
      </c>
      <c r="B468" s="2" t="s">
        <v>13764</v>
      </c>
      <c r="C468" s="2" t="s">
        <v>20691</v>
      </c>
      <c r="D468" s="2" t="n">
        <v>321.133264372</v>
      </c>
      <c r="E468" s="2" t="n">
        <v>0.416701558712093</v>
      </c>
      <c r="F468" s="2" t="s">
        <v>20693</v>
      </c>
      <c r="G468" s="2" t="n">
        <v>55492</v>
      </c>
      <c r="H468" s="3" t="str">
        <f>HYPERLINK("http://funmeta.oebiotech.com/network/55492", "http://funmeta.oebiotech.com/network/55492")</f>
      </c>
      <c r="I468" s="2" t="s">
        <v>20695</v>
      </c>
      <c r="J468" s="2" t="s">
        <v>20696</v>
      </c>
      <c r="K468" s="2"/>
      <c r="L468" s="2"/>
      <c r="M468" s="2" t="s">
        <v>20697</v>
      </c>
      <c r="N468" s="2" t="s">
        <v>20698</v>
      </c>
      <c r="O468" s="2" t="s">
        <v>20699</v>
      </c>
      <c r="P468" s="2" t="s">
        <v>20700</v>
      </c>
      <c r="Q468" s="2" t="s">
        <v>20701</v>
      </c>
      <c r="R468" s="2" t="s">
        <v>114</v>
      </c>
      <c r="S468" s="2" t="s">
        <v>1779</v>
      </c>
      <c r="T468" s="2" t="s">
        <v>1780</v>
      </c>
      <c r="U468" s="2" t="s">
        <v>20692</v>
      </c>
      <c r="V468" s="2" t="s">
        <v>17137</v>
      </c>
      <c r="W468" s="2" t="s">
        <v>56</v>
      </c>
    </row>
    <row r="469">
      <c r="A469" s="2" t="n">
        <v>341</v>
      </c>
      <c r="B469" s="2" t="s">
        <v>13765</v>
      </c>
      <c r="C469" s="2" t="s">
        <v>20702</v>
      </c>
      <c r="D469" s="2" t="n">
        <v>321.221880204</v>
      </c>
      <c r="E469" s="2" t="n">
        <v>3.95432167471805</v>
      </c>
      <c r="F469" s="2" t="s">
        <v>26955</v>
      </c>
      <c r="G469" s="2" t="n">
        <v>56824</v>
      </c>
      <c r="H469" s="3" t="str">
        <f>HYPERLINK("http://funmeta.oebiotech.com/network/56824", "http://funmeta.oebiotech.com/network/56824")</f>
      </c>
      <c r="I469" s="2" t="s">
        <v>26956</v>
      </c>
      <c r="J469" s="2"/>
      <c r="K469" s="2"/>
      <c r="L469" s="2"/>
      <c r="M469" s="2" t="s">
        <v>26957</v>
      </c>
      <c r="N469" s="2" t="s">
        <v>26958</v>
      </c>
      <c r="O469" s="2" t="s">
        <v>26959</v>
      </c>
      <c r="P469" s="2" t="s">
        <v>26960</v>
      </c>
      <c r="Q469" s="2" t="s">
        <v>26961</v>
      </c>
      <c r="R469" s="2" t="s">
        <v>794</v>
      </c>
      <c r="S469" s="2" t="s">
        <v>1098</v>
      </c>
      <c r="T469" s="2" t="s">
        <v>3079</v>
      </c>
      <c r="U469" s="2" t="s">
        <v>20703</v>
      </c>
      <c r="V469" s="2" t="s">
        <v>17039</v>
      </c>
      <c r="W469" s="2" t="s">
        <v>56</v>
      </c>
    </row>
    <row r="470">
      <c r="A470" s="2" t="n">
        <v>341</v>
      </c>
      <c r="B470" s="2" t="s">
        <v>26962</v>
      </c>
      <c r="C470" s="2" t="s">
        <v>20702</v>
      </c>
      <c r="D470" s="2" t="n">
        <v>321.221880204</v>
      </c>
      <c r="E470" s="2" t="n">
        <v>3.95432167471805</v>
      </c>
      <c r="F470" s="2" t="s">
        <v>26963</v>
      </c>
      <c r="G470" s="2" t="n">
        <v>60831</v>
      </c>
      <c r="H470" s="3" t="str">
        <f>HYPERLINK("http://funmeta.oebiotech.com/network/60831", "http://funmeta.oebiotech.com/network/60831")</f>
      </c>
      <c r="I470" s="2" t="s">
        <v>26964</v>
      </c>
      <c r="J470" s="2"/>
      <c r="K470" s="2"/>
      <c r="L470" s="2"/>
      <c r="M470" s="2" t="s">
        <v>26965</v>
      </c>
      <c r="N470" s="2" t="s">
        <v>26966</v>
      </c>
      <c r="O470" s="2"/>
      <c r="P470" s="2" t="s">
        <v>26967</v>
      </c>
      <c r="Q470" s="2" t="s">
        <v>26968</v>
      </c>
      <c r="R470" s="2" t="s">
        <v>794</v>
      </c>
      <c r="S470" s="2" t="s">
        <v>1098</v>
      </c>
      <c r="T470" s="2" t="s">
        <v>3079</v>
      </c>
      <c r="U470" s="2" t="s">
        <v>20703</v>
      </c>
      <c r="V470" s="2" t="s">
        <v>17039</v>
      </c>
      <c r="W470" s="2" t="s">
        <v>56</v>
      </c>
    </row>
    <row r="471">
      <c r="A471" s="2" t="n">
        <v>342</v>
      </c>
      <c r="B471" s="2" t="s">
        <v>13766</v>
      </c>
      <c r="C471" s="2" t="s">
        <v>20713</v>
      </c>
      <c r="D471" s="2" t="n">
        <v>322.131884639</v>
      </c>
      <c r="E471" s="2" t="n">
        <v>9.52204191396839</v>
      </c>
      <c r="F471" s="2" t="s">
        <v>20715</v>
      </c>
      <c r="G471" s="2" t="n">
        <v>198387</v>
      </c>
      <c r="H471" s="3" t="str">
        <f>HYPERLINK("http://funmeta.oebiotech.com/network/198387", "http://funmeta.oebiotech.com/network/198387")</f>
      </c>
      <c r="I471" s="2" t="s">
        <v>20717</v>
      </c>
      <c r="J471" s="2"/>
      <c r="K471" s="2"/>
      <c r="L471" s="2"/>
      <c r="M471" s="2"/>
      <c r="N471" s="2"/>
      <c r="O471" s="2"/>
      <c r="P471" s="2" t="s">
        <v>20718</v>
      </c>
      <c r="Q471" s="2" t="s">
        <v>20719</v>
      </c>
      <c r="R471" s="2" t="s">
        <v>794</v>
      </c>
      <c r="S471" s="2" t="s">
        <v>795</v>
      </c>
      <c r="T471" s="2" t="s">
        <v>1870</v>
      </c>
      <c r="U471" s="2" t="s">
        <v>20714</v>
      </c>
      <c r="V471" s="2" t="s">
        <v>17137</v>
      </c>
      <c r="W471" s="2"/>
    </row>
    <row r="472">
      <c r="A472" s="2" t="n">
        <v>343</v>
      </c>
      <c r="B472" s="2" t="s">
        <v>13767</v>
      </c>
      <c r="C472" s="2" t="s">
        <v>20720</v>
      </c>
      <c r="D472" s="2" t="n">
        <v>323.042058204</v>
      </c>
      <c r="E472" s="2" t="n">
        <v>0.0288215013547553</v>
      </c>
      <c r="F472" s="2" t="s">
        <v>20722</v>
      </c>
      <c r="G472" s="2" t="n">
        <v>53589</v>
      </c>
      <c r="H472" s="3" t="str">
        <f>HYPERLINK("http://funmeta.oebiotech.com/network/53589", "http://funmeta.oebiotech.com/network/53589")</f>
      </c>
      <c r="I472" s="2" t="s">
        <v>20724</v>
      </c>
      <c r="J472" s="2" t="s">
        <v>20725</v>
      </c>
      <c r="K472" s="2"/>
      <c r="L472" s="2" t="s">
        <v>20726</v>
      </c>
      <c r="M472" s="2" t="s">
        <v>20727</v>
      </c>
      <c r="N472" s="2" t="s">
        <v>20728</v>
      </c>
      <c r="O472" s="2" t="s">
        <v>20729</v>
      </c>
      <c r="P472" s="2" t="s">
        <v>20730</v>
      </c>
      <c r="Q472" s="2" t="s">
        <v>20731</v>
      </c>
      <c r="R472" s="2" t="s">
        <v>36</v>
      </c>
      <c r="S472" s="2" t="s">
        <v>37</v>
      </c>
      <c r="T472" s="2" t="s">
        <v>69</v>
      </c>
      <c r="U472" s="2" t="s">
        <v>20721</v>
      </c>
      <c r="V472" s="2" t="s">
        <v>17198</v>
      </c>
      <c r="W472" s="2" t="s">
        <v>56</v>
      </c>
    </row>
    <row r="473">
      <c r="A473" s="2" t="n">
        <v>344</v>
      </c>
      <c r="B473" s="2" t="s">
        <v>13768</v>
      </c>
      <c r="C473" s="2" t="s">
        <v>20732</v>
      </c>
      <c r="D473" s="2" t="n">
        <v>323.127785064</v>
      </c>
      <c r="E473" s="2" t="n">
        <v>0.140798881379711</v>
      </c>
      <c r="F473" s="2" t="s">
        <v>20734</v>
      </c>
      <c r="G473" s="2" t="n">
        <v>54468</v>
      </c>
      <c r="H473" s="3" t="str">
        <f>HYPERLINK("http://funmeta.oebiotech.com/network/54468", "http://funmeta.oebiotech.com/network/54468")</f>
      </c>
      <c r="I473" s="2" t="s">
        <v>20736</v>
      </c>
      <c r="J473" s="2" t="s">
        <v>20737</v>
      </c>
      <c r="K473" s="2"/>
      <c r="L473" s="2"/>
      <c r="M473" s="2" t="s">
        <v>20738</v>
      </c>
      <c r="N473" s="2" t="s">
        <v>20739</v>
      </c>
      <c r="O473" s="2" t="s">
        <v>20740</v>
      </c>
      <c r="P473" s="2" t="s">
        <v>20741</v>
      </c>
      <c r="Q473" s="2" t="s">
        <v>20742</v>
      </c>
      <c r="R473" s="2" t="s">
        <v>1355</v>
      </c>
      <c r="S473" s="2" t="s">
        <v>3653</v>
      </c>
      <c r="T473" s="2" t="s">
        <v>20743</v>
      </c>
      <c r="U473" s="2" t="s">
        <v>20733</v>
      </c>
      <c r="V473" s="2" t="s">
        <v>17137</v>
      </c>
      <c r="W473" s="2" t="s">
        <v>56</v>
      </c>
    </row>
    <row r="474">
      <c r="A474" s="2" t="n">
        <v>345</v>
      </c>
      <c r="B474" s="2" t="s">
        <v>13769</v>
      </c>
      <c r="C474" s="2" t="s">
        <v>20744</v>
      </c>
      <c r="D474" s="2" t="n">
        <v>323.187226032</v>
      </c>
      <c r="E474" s="2" t="n">
        <v>0.613854105418849</v>
      </c>
      <c r="F474" s="2" t="s">
        <v>20746</v>
      </c>
      <c r="G474" s="2" t="n">
        <v>53034</v>
      </c>
      <c r="H474" s="3" t="str">
        <f>HYPERLINK("http://funmeta.oebiotech.com/network/53034", "http://funmeta.oebiotech.com/network/53034")</f>
      </c>
      <c r="I474" s="2" t="s">
        <v>20748</v>
      </c>
      <c r="J474" s="2" t="s">
        <v>20749</v>
      </c>
      <c r="K474" s="2"/>
      <c r="L474" s="2" t="s">
        <v>20750</v>
      </c>
      <c r="M474" s="2" t="s">
        <v>20751</v>
      </c>
      <c r="N474" s="2" t="s">
        <v>20752</v>
      </c>
      <c r="O474" s="2" t="s">
        <v>20753</v>
      </c>
      <c r="P474" s="2" t="s">
        <v>20754</v>
      </c>
      <c r="Q474" s="2" t="s">
        <v>20755</v>
      </c>
      <c r="R474" s="2" t="s">
        <v>186</v>
      </c>
      <c r="S474" s="2" t="s">
        <v>911</v>
      </c>
      <c r="T474" s="2" t="s">
        <v>215</v>
      </c>
      <c r="U474" s="2" t="s">
        <v>20745</v>
      </c>
      <c r="V474" s="2" t="s">
        <v>17039</v>
      </c>
      <c r="W474" s="2" t="s">
        <v>56</v>
      </c>
    </row>
    <row r="475">
      <c r="A475" s="2" t="n">
        <v>346</v>
      </c>
      <c r="B475" s="2" t="s">
        <v>13770</v>
      </c>
      <c r="C475" s="2" t="s">
        <v>20756</v>
      </c>
      <c r="D475" s="2" t="n">
        <v>324.193397113</v>
      </c>
      <c r="E475" s="2" t="n">
        <v>0.84916814819168</v>
      </c>
      <c r="F475" s="2" t="s">
        <v>20758</v>
      </c>
      <c r="G475" s="2" t="n">
        <v>198799</v>
      </c>
      <c r="H475" s="3" t="str">
        <f>HYPERLINK("http://funmeta.oebiotech.com/network/198799", "http://funmeta.oebiotech.com/network/198799")</f>
      </c>
      <c r="I475" s="2" t="s">
        <v>20760</v>
      </c>
      <c r="J475" s="2"/>
      <c r="K475" s="2"/>
      <c r="L475" s="2"/>
      <c r="M475" s="2"/>
      <c r="N475" s="2" t="s">
        <v>20761</v>
      </c>
      <c r="O475" s="2"/>
      <c r="P475" s="2" t="s">
        <v>20762</v>
      </c>
      <c r="Q475" s="2" t="s">
        <v>20763</v>
      </c>
      <c r="R475" s="2" t="s">
        <v>3003</v>
      </c>
      <c r="S475" s="2" t="s">
        <v>20764</v>
      </c>
      <c r="T475" s="2" t="s">
        <v>20765</v>
      </c>
      <c r="U475" s="2" t="s">
        <v>20757</v>
      </c>
      <c r="V475" s="2" t="s">
        <v>17198</v>
      </c>
      <c r="W475" s="2"/>
    </row>
    <row r="476">
      <c r="A476" s="2" t="n">
        <v>347</v>
      </c>
      <c r="B476" s="2" t="s">
        <v>13771</v>
      </c>
      <c r="C476" s="2" t="s">
        <v>20766</v>
      </c>
      <c r="D476" s="2" t="n">
        <v>325.107049622</v>
      </c>
      <c r="E476" s="2" t="n">
        <v>2.92975905420533</v>
      </c>
      <c r="F476" s="2" t="s">
        <v>26969</v>
      </c>
      <c r="G476" s="2" t="n">
        <v>52493</v>
      </c>
      <c r="H476" s="3" t="str">
        <f>HYPERLINK("http://funmeta.oebiotech.com/network/52493", "http://funmeta.oebiotech.com/network/52493")</f>
      </c>
      <c r="I476" s="2" t="s">
        <v>26970</v>
      </c>
      <c r="J476" s="2"/>
      <c r="K476" s="2"/>
      <c r="L476" s="2"/>
      <c r="M476" s="2"/>
      <c r="N476" s="2" t="s">
        <v>26971</v>
      </c>
      <c r="O476" s="2"/>
      <c r="P476" s="2" t="s">
        <v>26972</v>
      </c>
      <c r="Q476" s="2" t="s">
        <v>26973</v>
      </c>
      <c r="R476" s="2" t="s">
        <v>1355</v>
      </c>
      <c r="S476" s="2" t="s">
        <v>26974</v>
      </c>
      <c r="T476" s="2" t="s">
        <v>26975</v>
      </c>
      <c r="U476" s="2" t="s">
        <v>20767</v>
      </c>
      <c r="V476" s="2" t="s">
        <v>17137</v>
      </c>
      <c r="W476" s="2" t="s">
        <v>56</v>
      </c>
    </row>
    <row r="477">
      <c r="A477" s="2" t="n">
        <v>347</v>
      </c>
      <c r="B477" s="2" t="s">
        <v>26976</v>
      </c>
      <c r="C477" s="2" t="s">
        <v>20766</v>
      </c>
      <c r="D477" s="2" t="n">
        <v>325.107049622</v>
      </c>
      <c r="E477" s="2" t="n">
        <v>2.92975905420533</v>
      </c>
      <c r="F477" s="2" t="s">
        <v>26977</v>
      </c>
      <c r="G477" s="2" t="n">
        <v>52494</v>
      </c>
      <c r="H477" s="3" t="str">
        <f>HYPERLINK("http://funmeta.oebiotech.com/network/52494", "http://funmeta.oebiotech.com/network/52494")</f>
      </c>
      <c r="I477" s="2" t="s">
        <v>26978</v>
      </c>
      <c r="J477" s="2"/>
      <c r="K477" s="2"/>
      <c r="L477" s="2"/>
      <c r="M477" s="2"/>
      <c r="N477" s="2" t="s">
        <v>26979</v>
      </c>
      <c r="O477" s="2"/>
      <c r="P477" s="2" t="s">
        <v>26980</v>
      </c>
      <c r="Q477" s="2" t="s">
        <v>26981</v>
      </c>
      <c r="R477" s="2" t="s">
        <v>1355</v>
      </c>
      <c r="S477" s="2" t="s">
        <v>26974</v>
      </c>
      <c r="T477" s="2" t="s">
        <v>26975</v>
      </c>
      <c r="U477" s="2" t="s">
        <v>20767</v>
      </c>
      <c r="V477" s="2" t="s">
        <v>17137</v>
      </c>
      <c r="W477" s="2" t="s">
        <v>56</v>
      </c>
    </row>
    <row r="478">
      <c r="A478" s="2" t="n">
        <v>347</v>
      </c>
      <c r="B478" s="2" t="s">
        <v>26982</v>
      </c>
      <c r="C478" s="2" t="s">
        <v>20766</v>
      </c>
      <c r="D478" s="2" t="n">
        <v>325.107049622</v>
      </c>
      <c r="E478" s="2" t="n">
        <v>2.92975905420533</v>
      </c>
      <c r="F478" s="2" t="s">
        <v>26983</v>
      </c>
      <c r="G478" s="2" t="n">
        <v>52495</v>
      </c>
      <c r="H478" s="3" t="str">
        <f>HYPERLINK("http://funmeta.oebiotech.com/network/52495", "http://funmeta.oebiotech.com/network/52495")</f>
      </c>
      <c r="I478" s="2" t="s">
        <v>26984</v>
      </c>
      <c r="J478" s="2"/>
      <c r="K478" s="2"/>
      <c r="L478" s="2"/>
      <c r="M478" s="2"/>
      <c r="N478" s="2" t="s">
        <v>26985</v>
      </c>
      <c r="O478" s="2"/>
      <c r="P478" s="2" t="s">
        <v>26986</v>
      </c>
      <c r="Q478" s="2" t="s">
        <v>26987</v>
      </c>
      <c r="R478" s="2" t="s">
        <v>1355</v>
      </c>
      <c r="S478" s="2" t="s">
        <v>26974</v>
      </c>
      <c r="T478" s="2" t="s">
        <v>26975</v>
      </c>
      <c r="U478" s="2" t="s">
        <v>20767</v>
      </c>
      <c r="V478" s="2" t="s">
        <v>17137</v>
      </c>
      <c r="W478" s="2" t="s">
        <v>56</v>
      </c>
    </row>
    <row r="479">
      <c r="A479" s="2" t="n">
        <v>348</v>
      </c>
      <c r="B479" s="2" t="s">
        <v>13772</v>
      </c>
      <c r="C479" s="2" t="s">
        <v>20776</v>
      </c>
      <c r="D479" s="2" t="n">
        <v>325.179820634</v>
      </c>
      <c r="E479" s="2" t="n">
        <v>0.0221267611990811</v>
      </c>
      <c r="F479" s="2" t="s">
        <v>20778</v>
      </c>
      <c r="G479" s="2" t="n">
        <v>82269</v>
      </c>
      <c r="H479" s="3" t="str">
        <f>HYPERLINK("http://funmeta.oebiotech.com/network/82269", "http://funmeta.oebiotech.com/network/82269")</f>
      </c>
      <c r="I479" s="2" t="s">
        <v>20780</v>
      </c>
      <c r="J479" s="2"/>
      <c r="K479" s="2"/>
      <c r="L479" s="2" t="s">
        <v>20781</v>
      </c>
      <c r="M479" s="2"/>
      <c r="N479" s="2" t="s">
        <v>20782</v>
      </c>
      <c r="O479" s="2"/>
      <c r="P479" s="2" t="s">
        <v>20783</v>
      </c>
      <c r="Q479" s="2" t="s">
        <v>20784</v>
      </c>
      <c r="R479" s="2" t="s">
        <v>794</v>
      </c>
      <c r="S479" s="2" t="s">
        <v>1098</v>
      </c>
      <c r="T479" s="2" t="s">
        <v>9336</v>
      </c>
      <c r="U479" s="2" t="s">
        <v>20777</v>
      </c>
      <c r="V479" s="2" t="s">
        <v>17137</v>
      </c>
      <c r="W479" s="2" t="s">
        <v>56</v>
      </c>
    </row>
    <row r="480">
      <c r="A480" s="2" t="n">
        <v>349</v>
      </c>
      <c r="B480" s="2" t="s">
        <v>13802</v>
      </c>
      <c r="C480" s="2" t="s">
        <v>20785</v>
      </c>
      <c r="D480" s="2" t="n">
        <v>326.111124047</v>
      </c>
      <c r="E480" s="2" t="n">
        <v>2.81773506235658</v>
      </c>
      <c r="F480" s="2" t="s">
        <v>20787</v>
      </c>
      <c r="G480" s="2" t="n">
        <v>52225</v>
      </c>
      <c r="H480" s="3" t="str">
        <f>HYPERLINK("http://funmeta.oebiotech.com/network/52225", "http://funmeta.oebiotech.com/network/52225")</f>
      </c>
      <c r="I480" s="2" t="s">
        <v>20789</v>
      </c>
      <c r="J480" s="2"/>
      <c r="K480" s="2"/>
      <c r="L480" s="2"/>
      <c r="M480" s="2" t="s">
        <v>20790</v>
      </c>
      <c r="N480" s="2" t="s">
        <v>20791</v>
      </c>
      <c r="O480" s="2" t="s">
        <v>20792</v>
      </c>
      <c r="P480" s="2" t="s">
        <v>20793</v>
      </c>
      <c r="Q480" s="2" t="s">
        <v>20794</v>
      </c>
      <c r="R480" s="2" t="s">
        <v>36</v>
      </c>
      <c r="S480" s="2" t="s">
        <v>37</v>
      </c>
      <c r="T480" s="2" t="s">
        <v>69</v>
      </c>
      <c r="U480" s="2" t="s">
        <v>20786</v>
      </c>
      <c r="V480" s="2" t="s">
        <v>17198</v>
      </c>
      <c r="W480" s="2" t="s">
        <v>56</v>
      </c>
    </row>
    <row r="481">
      <c r="A481" s="2" t="n">
        <v>350</v>
      </c>
      <c r="B481" s="2" t="s">
        <v>13803</v>
      </c>
      <c r="C481" s="2" t="s">
        <v>20795</v>
      </c>
      <c r="D481" s="2" t="n">
        <v>326.186302995</v>
      </c>
      <c r="E481" s="2" t="n">
        <v>4.34594527662293</v>
      </c>
      <c r="F481" s="2" t="s">
        <v>20797</v>
      </c>
      <c r="G481" s="2" t="n">
        <v>53458</v>
      </c>
      <c r="H481" s="3" t="str">
        <f>HYPERLINK("http://funmeta.oebiotech.com/network/53458", "http://funmeta.oebiotech.com/network/53458")</f>
      </c>
      <c r="I481" s="2" t="s">
        <v>20799</v>
      </c>
      <c r="J481" s="2" t="s">
        <v>20800</v>
      </c>
      <c r="K481" s="2"/>
      <c r="L481" s="2" t="s">
        <v>20801</v>
      </c>
      <c r="M481" s="2" t="s">
        <v>20802</v>
      </c>
      <c r="N481" s="2" t="s">
        <v>20803</v>
      </c>
      <c r="O481" s="2" t="s">
        <v>20804</v>
      </c>
      <c r="P481" s="2" t="s">
        <v>20805</v>
      </c>
      <c r="Q481" s="2" t="s">
        <v>20806</v>
      </c>
      <c r="R481" s="2" t="s">
        <v>3003</v>
      </c>
      <c r="S481" s="2" t="s">
        <v>4720</v>
      </c>
      <c r="T481" s="2" t="s">
        <v>4721</v>
      </c>
      <c r="U481" s="2" t="s">
        <v>20796</v>
      </c>
      <c r="V481" s="2" t="s">
        <v>17137</v>
      </c>
      <c r="W481" s="2" t="s">
        <v>56</v>
      </c>
    </row>
    <row r="482">
      <c r="A482" s="2" t="n">
        <v>351</v>
      </c>
      <c r="B482" s="2" t="s">
        <v>13821</v>
      </c>
      <c r="C482" s="2" t="s">
        <v>20807</v>
      </c>
      <c r="D482" s="2" t="n">
        <v>327.009726864</v>
      </c>
      <c r="E482" s="2" t="n">
        <v>0.477817739747294</v>
      </c>
      <c r="F482" s="2" t="s">
        <v>20809</v>
      </c>
      <c r="G482" s="2" t="n">
        <v>82978</v>
      </c>
      <c r="H482" s="3" t="str">
        <f>HYPERLINK("http://funmeta.oebiotech.com/network/82978", "http://funmeta.oebiotech.com/network/82978")</f>
      </c>
      <c r="I482" s="2" t="s">
        <v>20811</v>
      </c>
      <c r="J482" s="2"/>
      <c r="K482" s="2"/>
      <c r="L482" s="2"/>
      <c r="M482" s="2"/>
      <c r="N482" s="2" t="s">
        <v>20812</v>
      </c>
      <c r="O482" s="2"/>
      <c r="P482" s="2" t="s">
        <v>20813</v>
      </c>
      <c r="Q482" s="2" t="s">
        <v>20814</v>
      </c>
      <c r="R482" s="2" t="s">
        <v>114</v>
      </c>
      <c r="S482" s="2" t="s">
        <v>4523</v>
      </c>
      <c r="T482" s="2" t="s">
        <v>4524</v>
      </c>
      <c r="U482" s="2" t="s">
        <v>20808</v>
      </c>
      <c r="V482" s="2" t="s">
        <v>17406</v>
      </c>
      <c r="W482" s="2"/>
    </row>
    <row r="483">
      <c r="A483" s="2" t="n">
        <v>352</v>
      </c>
      <c r="B483" s="2" t="s">
        <v>13822</v>
      </c>
      <c r="C483" s="2" t="s">
        <v>20815</v>
      </c>
      <c r="D483" s="2" t="n">
        <v>327.0921874</v>
      </c>
      <c r="E483" s="2" t="n">
        <v>5.60480165368556</v>
      </c>
      <c r="F483" s="2" t="s">
        <v>26988</v>
      </c>
      <c r="G483" s="2" t="n">
        <v>207215</v>
      </c>
      <c r="H483" s="3" t="str">
        <f>HYPERLINK("http://funmeta.oebiotech.com/network/207215", "http://funmeta.oebiotech.com/network/207215")</f>
      </c>
      <c r="I483" s="2" t="s">
        <v>26989</v>
      </c>
      <c r="J483" s="2"/>
      <c r="K483" s="2"/>
      <c r="L483" s="2"/>
      <c r="M483" s="2"/>
      <c r="N483" s="2"/>
      <c r="O483" s="2"/>
      <c r="P483" s="2" t="s">
        <v>26990</v>
      </c>
      <c r="Q483" s="2" t="s">
        <v>26991</v>
      </c>
      <c r="R483" s="2" t="s">
        <v>129</v>
      </c>
      <c r="S483" s="2" t="s">
        <v>130</v>
      </c>
      <c r="T483" s="2" t="s">
        <v>1681</v>
      </c>
      <c r="U483" s="2" t="s">
        <v>20816</v>
      </c>
      <c r="V483" s="2" t="s">
        <v>17137</v>
      </c>
      <c r="W483" s="2"/>
    </row>
    <row r="484">
      <c r="A484" s="2" t="n">
        <v>352</v>
      </c>
      <c r="B484" s="2" t="s">
        <v>26992</v>
      </c>
      <c r="C484" s="2" t="s">
        <v>20815</v>
      </c>
      <c r="D484" s="2" t="n">
        <v>327.092187418</v>
      </c>
      <c r="E484" s="2" t="n">
        <v>5.60480165368556</v>
      </c>
      <c r="F484" s="2" t="s">
        <v>26993</v>
      </c>
      <c r="G484" s="2" t="n">
        <v>62980</v>
      </c>
      <c r="H484" s="3" t="str">
        <f>HYPERLINK("http://funmeta.oebiotech.com/network/62980", "http://funmeta.oebiotech.com/network/62980")</f>
      </c>
      <c r="I484" s="2" t="s">
        <v>26994</v>
      </c>
      <c r="J484" s="2"/>
      <c r="K484" s="2"/>
      <c r="L484" s="2"/>
      <c r="M484" s="2" t="s">
        <v>26995</v>
      </c>
      <c r="N484" s="2" t="s">
        <v>26996</v>
      </c>
      <c r="O484" s="2" t="s">
        <v>26997</v>
      </c>
      <c r="P484" s="2" t="s">
        <v>26998</v>
      </c>
      <c r="Q484" s="2" t="s">
        <v>26999</v>
      </c>
      <c r="R484" s="2" t="s">
        <v>129</v>
      </c>
      <c r="S484" s="2" t="s">
        <v>130</v>
      </c>
      <c r="T484" s="2" t="s">
        <v>1681</v>
      </c>
      <c r="U484" s="2" t="s">
        <v>20816</v>
      </c>
      <c r="V484" s="2" t="s">
        <v>17137</v>
      </c>
      <c r="W484" s="2"/>
    </row>
    <row r="485">
      <c r="A485" s="2" t="n">
        <v>352</v>
      </c>
      <c r="B485" s="2" t="s">
        <v>27000</v>
      </c>
      <c r="C485" s="2" t="s">
        <v>20815</v>
      </c>
      <c r="D485" s="2" t="n">
        <v>327.092187418</v>
      </c>
      <c r="E485" s="2" t="n">
        <v>5.60480165368556</v>
      </c>
      <c r="F485" s="2" t="s">
        <v>27001</v>
      </c>
      <c r="G485" s="2" t="n">
        <v>63874</v>
      </c>
      <c r="H485" s="3" t="str">
        <f>HYPERLINK("http://funmeta.oebiotech.com/network/63874", "http://funmeta.oebiotech.com/network/63874")</f>
      </c>
      <c r="I485" s="2" t="s">
        <v>27002</v>
      </c>
      <c r="J485" s="2"/>
      <c r="K485" s="2"/>
      <c r="L485" s="2"/>
      <c r="M485" s="2" t="s">
        <v>27003</v>
      </c>
      <c r="N485" s="2" t="s">
        <v>27004</v>
      </c>
      <c r="O485" s="2" t="s">
        <v>27005</v>
      </c>
      <c r="P485" s="2" t="s">
        <v>27006</v>
      </c>
      <c r="Q485" s="2" t="s">
        <v>27007</v>
      </c>
      <c r="R485" s="2" t="s">
        <v>129</v>
      </c>
      <c r="S485" s="2" t="s">
        <v>130</v>
      </c>
      <c r="T485" s="2" t="s">
        <v>1681</v>
      </c>
      <c r="U485" s="2" t="s">
        <v>20816</v>
      </c>
      <c r="V485" s="2" t="s">
        <v>17137</v>
      </c>
      <c r="W485" s="2"/>
    </row>
    <row r="486">
      <c r="A486" s="2" t="n">
        <v>353</v>
      </c>
      <c r="B486" s="2" t="s">
        <v>13823</v>
      </c>
      <c r="C486" s="2" t="s">
        <v>20825</v>
      </c>
      <c r="D486" s="2" t="n">
        <v>327.12750238</v>
      </c>
      <c r="E486" s="2" t="n">
        <v>0.245203090990822</v>
      </c>
      <c r="F486" s="2" t="s">
        <v>20827</v>
      </c>
      <c r="G486" s="2" t="n">
        <v>202605</v>
      </c>
      <c r="H486" s="3" t="str">
        <f>HYPERLINK("http://funmeta.oebiotech.com/network/202605", "http://funmeta.oebiotech.com/network/202605")</f>
      </c>
      <c r="I486" s="2" t="s">
        <v>20829</v>
      </c>
      <c r="J486" s="2"/>
      <c r="K486" s="2"/>
      <c r="L486" s="2"/>
      <c r="M486" s="2"/>
      <c r="N486" s="2" t="s">
        <v>20830</v>
      </c>
      <c r="O486" s="2"/>
      <c r="P486" s="2" t="s">
        <v>20831</v>
      </c>
      <c r="Q486" s="2" t="s">
        <v>20832</v>
      </c>
      <c r="R486" s="2" t="s">
        <v>36</v>
      </c>
      <c r="S486" s="2" t="s">
        <v>37</v>
      </c>
      <c r="T486" s="2" t="s">
        <v>69</v>
      </c>
      <c r="U486" s="2" t="s">
        <v>20826</v>
      </c>
      <c r="V486" s="2" t="s">
        <v>17198</v>
      </c>
      <c r="W486" s="2"/>
    </row>
    <row r="487">
      <c r="A487" s="2" t="n">
        <v>354</v>
      </c>
      <c r="B487" s="2" t="s">
        <v>13824</v>
      </c>
      <c r="C487" s="2" t="s">
        <v>20833</v>
      </c>
      <c r="D487" s="2" t="n">
        <v>327.183166781</v>
      </c>
      <c r="E487" s="2" t="n">
        <v>0.551202401392185</v>
      </c>
      <c r="F487" s="2" t="s">
        <v>20835</v>
      </c>
      <c r="G487" s="2" t="n">
        <v>210827</v>
      </c>
      <c r="H487" s="3" t="str">
        <f>HYPERLINK("http://funmeta.oebiotech.com/network/210827", "http://funmeta.oebiotech.com/network/210827")</f>
      </c>
      <c r="I487" s="2" t="s">
        <v>20837</v>
      </c>
      <c r="J487" s="2"/>
      <c r="K487" s="2"/>
      <c r="L487" s="2"/>
      <c r="M487" s="2"/>
      <c r="N487" s="2"/>
      <c r="O487" s="2"/>
      <c r="P487" s="2" t="s">
        <v>20838</v>
      </c>
      <c r="Q487" s="2" t="s">
        <v>20839</v>
      </c>
      <c r="R487" s="2" t="s">
        <v>114</v>
      </c>
      <c r="S487" s="2" t="s">
        <v>3757</v>
      </c>
      <c r="T487" s="2" t="s">
        <v>3758</v>
      </c>
      <c r="U487" s="2" t="s">
        <v>20834</v>
      </c>
      <c r="V487" s="2" t="s">
        <v>17198</v>
      </c>
      <c r="W487" s="2"/>
    </row>
    <row r="488">
      <c r="A488" s="2" t="n">
        <v>355</v>
      </c>
      <c r="B488" s="2" t="s">
        <v>13825</v>
      </c>
      <c r="C488" s="2" t="s">
        <v>20840</v>
      </c>
      <c r="D488" s="2" t="n">
        <v>327.244859152</v>
      </c>
      <c r="E488" s="2" t="n">
        <v>2.34732416444139</v>
      </c>
      <c r="F488" s="2" t="s">
        <v>27008</v>
      </c>
      <c r="G488" s="2" t="n">
        <v>202300</v>
      </c>
      <c r="H488" s="3" t="str">
        <f>HYPERLINK("http://funmeta.oebiotech.com/network/202300", "http://funmeta.oebiotech.com/network/202300")</f>
      </c>
      <c r="I488" s="2" t="s">
        <v>27009</v>
      </c>
      <c r="J488" s="2"/>
      <c r="K488" s="2"/>
      <c r="L488" s="2"/>
      <c r="M488" s="2" t="s">
        <v>27010</v>
      </c>
      <c r="N488" s="2"/>
      <c r="O488" s="2"/>
      <c r="P488" s="2" t="s">
        <v>27011</v>
      </c>
      <c r="Q488" s="2" t="s">
        <v>27012</v>
      </c>
      <c r="R488" s="2" t="s">
        <v>794</v>
      </c>
      <c r="S488" s="2" t="s">
        <v>2971</v>
      </c>
      <c r="T488" s="2" t="s">
        <v>5393</v>
      </c>
      <c r="U488" s="2" t="s">
        <v>20841</v>
      </c>
      <c r="V488" s="2" t="s">
        <v>17406</v>
      </c>
      <c r="W488" s="2"/>
    </row>
    <row r="489">
      <c r="A489" s="2" t="n">
        <v>355</v>
      </c>
      <c r="B489" s="2" t="s">
        <v>27013</v>
      </c>
      <c r="C489" s="2" t="s">
        <v>20840</v>
      </c>
      <c r="D489" s="2" t="n">
        <v>327.244859152</v>
      </c>
      <c r="E489" s="2" t="n">
        <v>2.34732416444139</v>
      </c>
      <c r="F489" s="2" t="s">
        <v>27014</v>
      </c>
      <c r="G489" s="2" t="n">
        <v>63403</v>
      </c>
      <c r="H489" s="3" t="str">
        <f>HYPERLINK("http://funmeta.oebiotech.com/network/63403", "http://funmeta.oebiotech.com/network/63403")</f>
      </c>
      <c r="I489" s="2" t="s">
        <v>27015</v>
      </c>
      <c r="J489" s="2" t="s">
        <v>27016</v>
      </c>
      <c r="K489" s="2"/>
      <c r="L489" s="2"/>
      <c r="M489" s="2"/>
      <c r="N489" s="2" t="s">
        <v>27017</v>
      </c>
      <c r="O489" s="2" t="s">
        <v>27018</v>
      </c>
      <c r="P489" s="2" t="s">
        <v>27019</v>
      </c>
      <c r="Q489" s="2" t="s">
        <v>27020</v>
      </c>
      <c r="R489" s="2" t="s">
        <v>186</v>
      </c>
      <c r="S489" s="2" t="s">
        <v>187</v>
      </c>
      <c r="T489" s="2" t="s">
        <v>215</v>
      </c>
      <c r="U489" s="2" t="s">
        <v>20841</v>
      </c>
      <c r="V489" s="2" t="s">
        <v>17406</v>
      </c>
      <c r="W489" s="2"/>
    </row>
    <row r="490">
      <c r="A490" s="2" t="n">
        <v>356</v>
      </c>
      <c r="B490" s="2" t="s">
        <v>13826</v>
      </c>
      <c r="C490" s="2" t="s">
        <v>20853</v>
      </c>
      <c r="D490" s="2" t="n">
        <v>328.203567873</v>
      </c>
      <c r="E490" s="2" t="n">
        <v>8.41571474943488</v>
      </c>
      <c r="F490" s="2" t="s">
        <v>27021</v>
      </c>
      <c r="G490" s="2" t="n">
        <v>209658</v>
      </c>
      <c r="H490" s="3" t="str">
        <f>HYPERLINK("http://funmeta.oebiotech.com/network/209658", "http://funmeta.oebiotech.com/network/209658")</f>
      </c>
      <c r="I490" s="2" t="s">
        <v>27022</v>
      </c>
      <c r="J490" s="2"/>
      <c r="K490" s="2"/>
      <c r="L490" s="2"/>
      <c r="M490" s="2"/>
      <c r="N490" s="2" t="s">
        <v>27023</v>
      </c>
      <c r="O490" s="2"/>
      <c r="P490" s="2" t="s">
        <v>27024</v>
      </c>
      <c r="Q490" s="2" t="s">
        <v>27025</v>
      </c>
      <c r="R490" s="2" t="s">
        <v>114</v>
      </c>
      <c r="S490" s="2" t="s">
        <v>2057</v>
      </c>
      <c r="T490" s="2" t="s">
        <v>3067</v>
      </c>
      <c r="U490" s="2" t="s">
        <v>20854</v>
      </c>
      <c r="V490" s="2" t="s">
        <v>17198</v>
      </c>
      <c r="W490" s="2"/>
    </row>
    <row r="491">
      <c r="A491" s="2" t="n">
        <v>356</v>
      </c>
      <c r="B491" s="2" t="s">
        <v>27026</v>
      </c>
      <c r="C491" s="2" t="s">
        <v>20853</v>
      </c>
      <c r="D491" s="2" t="n">
        <v>328.203567873</v>
      </c>
      <c r="E491" s="2" t="n">
        <v>8.41571474943488</v>
      </c>
      <c r="F491" s="2" t="s">
        <v>27027</v>
      </c>
      <c r="G491" s="2" t="n">
        <v>207791</v>
      </c>
      <c r="H491" s="3" t="str">
        <f>HYPERLINK("http://funmeta.oebiotech.com/network/207791", "http://funmeta.oebiotech.com/network/207791")</f>
      </c>
      <c r="I491" s="2" t="s">
        <v>27028</v>
      </c>
      <c r="J491" s="2"/>
      <c r="K491" s="2"/>
      <c r="L491" s="2"/>
      <c r="M491" s="2"/>
      <c r="N491" s="2" t="s">
        <v>27029</v>
      </c>
      <c r="O491" s="2"/>
      <c r="P491" s="2" t="s">
        <v>27030</v>
      </c>
      <c r="Q491" s="2" t="s">
        <v>27031</v>
      </c>
      <c r="R491" s="2" t="s">
        <v>186</v>
      </c>
      <c r="S491" s="2" t="s">
        <v>3046</v>
      </c>
      <c r="T491" s="2" t="s">
        <v>215</v>
      </c>
      <c r="U491" s="2" t="s">
        <v>20854</v>
      </c>
      <c r="V491" s="2" t="s">
        <v>17198</v>
      </c>
      <c r="W491" s="2"/>
    </row>
    <row r="492">
      <c r="A492" s="2" t="n">
        <v>357</v>
      </c>
      <c r="B492" s="2" t="s">
        <v>13827</v>
      </c>
      <c r="C492" s="2" t="s">
        <v>20863</v>
      </c>
      <c r="D492" s="2" t="n">
        <v>329.012553268</v>
      </c>
      <c r="E492" s="2" t="n">
        <v>1.4648212386955</v>
      </c>
      <c r="F492" s="2" t="s">
        <v>20865</v>
      </c>
      <c r="G492" s="2" t="n">
        <v>212079</v>
      </c>
      <c r="H492" s="3" t="str">
        <f>HYPERLINK("http://funmeta.oebiotech.com/network/212079", "http://funmeta.oebiotech.com/network/212079")</f>
      </c>
      <c r="I492" s="2" t="s">
        <v>20867</v>
      </c>
      <c r="J492" s="2"/>
      <c r="K492" s="2"/>
      <c r="L492" s="2"/>
      <c r="M492" s="2"/>
      <c r="N492" s="2" t="s">
        <v>20868</v>
      </c>
      <c r="O492" s="2"/>
      <c r="P492" s="2" t="s">
        <v>20869</v>
      </c>
      <c r="Q492" s="2" t="s">
        <v>20870</v>
      </c>
      <c r="R492" s="2" t="s">
        <v>36</v>
      </c>
      <c r="S492" s="2" t="s">
        <v>344</v>
      </c>
      <c r="T492" s="2" t="s">
        <v>345</v>
      </c>
      <c r="U492" s="2" t="s">
        <v>20864</v>
      </c>
      <c r="V492" s="2" t="s">
        <v>17406</v>
      </c>
      <c r="W492" s="2"/>
    </row>
    <row r="493">
      <c r="A493" s="2" t="n">
        <v>358</v>
      </c>
      <c r="B493" s="2" t="s">
        <v>13828</v>
      </c>
      <c r="C493" s="2" t="s">
        <v>20871</v>
      </c>
      <c r="D493" s="2" t="n">
        <v>329.168211027</v>
      </c>
      <c r="E493" s="2" t="n">
        <v>0.577876730948546</v>
      </c>
      <c r="F493" s="2" t="s">
        <v>20873</v>
      </c>
      <c r="G493" s="2" t="n">
        <v>196996</v>
      </c>
      <c r="H493" s="3" t="str">
        <f>HYPERLINK("http://funmeta.oebiotech.com/network/196996", "http://funmeta.oebiotech.com/network/196996")</f>
      </c>
      <c r="I493" s="2" t="s">
        <v>20875</v>
      </c>
      <c r="J493" s="2"/>
      <c r="K493" s="2"/>
      <c r="L493" s="2"/>
      <c r="M493" s="2"/>
      <c r="N493" s="2"/>
      <c r="O493" s="2" t="s">
        <v>20876</v>
      </c>
      <c r="P493" s="2" t="s">
        <v>20877</v>
      </c>
      <c r="Q493" s="2" t="s">
        <v>20878</v>
      </c>
      <c r="R493" s="2" t="s">
        <v>114</v>
      </c>
      <c r="S493" s="2" t="s">
        <v>5831</v>
      </c>
      <c r="T493" s="2" t="s">
        <v>5832</v>
      </c>
      <c r="U493" s="2" t="s">
        <v>20872</v>
      </c>
      <c r="V493" s="2" t="s">
        <v>17117</v>
      </c>
      <c r="W493" s="2" t="s">
        <v>56</v>
      </c>
    </row>
    <row r="494">
      <c r="A494" s="2" t="n">
        <v>359</v>
      </c>
      <c r="B494" s="2" t="s">
        <v>13829</v>
      </c>
      <c r="C494" s="2" t="s">
        <v>20879</v>
      </c>
      <c r="D494" s="2" t="n">
        <v>329.211120762</v>
      </c>
      <c r="E494" s="2" t="n">
        <v>0.230267321424835</v>
      </c>
      <c r="F494" s="2" t="s">
        <v>20881</v>
      </c>
      <c r="G494" s="2" t="n">
        <v>61783</v>
      </c>
      <c r="H494" s="3" t="str">
        <f>HYPERLINK("http://funmeta.oebiotech.com/network/61783", "http://funmeta.oebiotech.com/network/61783")</f>
      </c>
      <c r="I494" s="2" t="s">
        <v>20883</v>
      </c>
      <c r="J494" s="2" t="s">
        <v>20884</v>
      </c>
      <c r="K494" s="2"/>
      <c r="L494" s="2"/>
      <c r="M494" s="2"/>
      <c r="N494" s="2" t="s">
        <v>20885</v>
      </c>
      <c r="O494" s="2"/>
      <c r="P494" s="2" t="s">
        <v>20886</v>
      </c>
      <c r="Q494" s="2" t="s">
        <v>20887</v>
      </c>
      <c r="R494" s="2" t="s">
        <v>186</v>
      </c>
      <c r="S494" s="2" t="s">
        <v>3770</v>
      </c>
      <c r="T494" s="2" t="s">
        <v>215</v>
      </c>
      <c r="U494" s="2" t="s">
        <v>20880</v>
      </c>
      <c r="V494" s="2" t="s">
        <v>17137</v>
      </c>
      <c r="W494" s="2" t="s">
        <v>56</v>
      </c>
    </row>
    <row r="495">
      <c r="A495" s="2" t="n">
        <v>360</v>
      </c>
      <c r="B495" s="2" t="s">
        <v>13830</v>
      </c>
      <c r="C495" s="2" t="s">
        <v>20888</v>
      </c>
      <c r="D495" s="2" t="n">
        <v>330.076672523</v>
      </c>
      <c r="E495" s="2" t="n">
        <v>8.45984322261255</v>
      </c>
      <c r="F495" s="2" t="s">
        <v>20890</v>
      </c>
      <c r="G495" s="2" t="n">
        <v>207650</v>
      </c>
      <c r="H495" s="3" t="str">
        <f>HYPERLINK("http://funmeta.oebiotech.com/network/207650", "http://funmeta.oebiotech.com/network/207650")</f>
      </c>
      <c r="I495" s="2" t="s">
        <v>20892</v>
      </c>
      <c r="J495" s="2" t="s">
        <v>20893</v>
      </c>
      <c r="K495" s="2"/>
      <c r="L495" s="2" t="s">
        <v>20894</v>
      </c>
      <c r="M495" s="2"/>
      <c r="N495" s="2" t="s">
        <v>20895</v>
      </c>
      <c r="O495" s="2" t="s">
        <v>20896</v>
      </c>
      <c r="P495" s="2" t="s">
        <v>20897</v>
      </c>
      <c r="Q495" s="2" t="s">
        <v>20898</v>
      </c>
      <c r="R495" s="2" t="s">
        <v>114</v>
      </c>
      <c r="S495" s="2" t="s">
        <v>2057</v>
      </c>
      <c r="T495" s="2" t="s">
        <v>3067</v>
      </c>
      <c r="U495" s="2" t="s">
        <v>20889</v>
      </c>
      <c r="V495" s="2" t="s">
        <v>17039</v>
      </c>
      <c r="W495" s="2" t="s">
        <v>101</v>
      </c>
    </row>
    <row r="496">
      <c r="A496" s="2" t="n">
        <v>361</v>
      </c>
      <c r="B496" s="2" t="s">
        <v>13831</v>
      </c>
      <c r="C496" s="2" t="s">
        <v>20899</v>
      </c>
      <c r="D496" s="2" t="n">
        <v>331.006204604</v>
      </c>
      <c r="E496" s="2" t="n">
        <v>0.778867037457924</v>
      </c>
      <c r="F496" s="2" t="s">
        <v>20901</v>
      </c>
      <c r="G496" s="2" t="n">
        <v>46929</v>
      </c>
      <c r="H496" s="3" t="str">
        <f>HYPERLINK("http://funmeta.oebiotech.com/network/46929", "http://funmeta.oebiotech.com/network/46929")</f>
      </c>
      <c r="I496" s="2" t="s">
        <v>20903</v>
      </c>
      <c r="J496" s="2" t="s">
        <v>20904</v>
      </c>
      <c r="K496" s="2"/>
      <c r="L496" s="2" t="s">
        <v>20905</v>
      </c>
      <c r="M496" s="2" t="s">
        <v>20906</v>
      </c>
      <c r="N496" s="2" t="s">
        <v>20907</v>
      </c>
      <c r="O496" s="2" t="s">
        <v>20908</v>
      </c>
      <c r="P496" s="2" t="s">
        <v>20909</v>
      </c>
      <c r="Q496" s="2" t="s">
        <v>20910</v>
      </c>
      <c r="R496" s="2" t="s">
        <v>36</v>
      </c>
      <c r="S496" s="2" t="s">
        <v>271</v>
      </c>
      <c r="T496" s="2" t="s">
        <v>2066</v>
      </c>
      <c r="U496" s="2" t="s">
        <v>20900</v>
      </c>
      <c r="V496" s="2" t="s">
        <v>17227</v>
      </c>
      <c r="W496" s="2" t="s">
        <v>39</v>
      </c>
    </row>
    <row r="497">
      <c r="A497" s="2" t="n">
        <v>362</v>
      </c>
      <c r="B497" s="2" t="s">
        <v>13843</v>
      </c>
      <c r="C497" s="2" t="s">
        <v>20911</v>
      </c>
      <c r="D497" s="2" t="n">
        <v>331.09423175</v>
      </c>
      <c r="E497" s="2" t="n">
        <v>1.21199021580965</v>
      </c>
      <c r="F497" s="2" t="s">
        <v>20913</v>
      </c>
      <c r="G497" s="2" t="n">
        <v>55514</v>
      </c>
      <c r="H497" s="3" t="str">
        <f>HYPERLINK("http://funmeta.oebiotech.com/network/55514", "http://funmeta.oebiotech.com/network/55514")</f>
      </c>
      <c r="I497" s="2" t="s">
        <v>20915</v>
      </c>
      <c r="J497" s="2" t="s">
        <v>20916</v>
      </c>
      <c r="K497" s="2"/>
      <c r="L497" s="2"/>
      <c r="M497" s="2" t="s">
        <v>20917</v>
      </c>
      <c r="N497" s="2" t="s">
        <v>20918</v>
      </c>
      <c r="O497" s="2" t="s">
        <v>20919</v>
      </c>
      <c r="P497" s="2" t="s">
        <v>20920</v>
      </c>
      <c r="Q497" s="2" t="s">
        <v>20921</v>
      </c>
      <c r="R497" s="2" t="s">
        <v>1355</v>
      </c>
      <c r="S497" s="2" t="s">
        <v>20922</v>
      </c>
      <c r="T497" s="2" t="s">
        <v>215</v>
      </c>
      <c r="U497" s="2" t="s">
        <v>20912</v>
      </c>
      <c r="V497" s="2" t="s">
        <v>17406</v>
      </c>
      <c r="W497" s="2" t="s">
        <v>56</v>
      </c>
    </row>
    <row r="498">
      <c r="A498" s="2" t="n">
        <v>363</v>
      </c>
      <c r="B498" s="2" t="s">
        <v>13844</v>
      </c>
      <c r="C498" s="2" t="s">
        <v>20923</v>
      </c>
      <c r="D498" s="2" t="n">
        <v>331.144103828</v>
      </c>
      <c r="E498" s="2" t="n">
        <v>0.600730140283773</v>
      </c>
      <c r="F498" s="2" t="s">
        <v>20925</v>
      </c>
      <c r="G498" s="2" t="n">
        <v>204805</v>
      </c>
      <c r="H498" s="3" t="str">
        <f>HYPERLINK("http://funmeta.oebiotech.com/network/204805", "http://funmeta.oebiotech.com/network/204805")</f>
      </c>
      <c r="I498" s="2" t="s">
        <v>20927</v>
      </c>
      <c r="J498" s="2"/>
      <c r="K498" s="2"/>
      <c r="L498" s="2"/>
      <c r="M498" s="2"/>
      <c r="N498" s="2" t="s">
        <v>20928</v>
      </c>
      <c r="O498" s="2"/>
      <c r="P498" s="2" t="s">
        <v>20929</v>
      </c>
      <c r="Q498" s="2" t="s">
        <v>20930</v>
      </c>
      <c r="R498" s="2" t="s">
        <v>186</v>
      </c>
      <c r="S498" s="2" t="s">
        <v>3770</v>
      </c>
      <c r="T498" s="2" t="s">
        <v>20931</v>
      </c>
      <c r="U498" s="2" t="s">
        <v>20924</v>
      </c>
      <c r="V498" s="2" t="s">
        <v>17137</v>
      </c>
      <c r="W498" s="2"/>
    </row>
    <row r="499">
      <c r="A499" s="2" t="n">
        <v>364</v>
      </c>
      <c r="B499" s="2" t="s">
        <v>13845</v>
      </c>
      <c r="C499" s="2" t="s">
        <v>20932</v>
      </c>
      <c r="D499" s="2" t="n">
        <v>331.210444158</v>
      </c>
      <c r="E499" s="2" t="n">
        <v>1.19001718727352</v>
      </c>
      <c r="F499" s="2" t="s">
        <v>20934</v>
      </c>
      <c r="G499" s="2" t="n">
        <v>200185</v>
      </c>
      <c r="H499" s="3" t="str">
        <f>HYPERLINK("http://funmeta.oebiotech.com/network/200185", "http://funmeta.oebiotech.com/network/200185")</f>
      </c>
      <c r="I499" s="2" t="s">
        <v>20936</v>
      </c>
      <c r="J499" s="2"/>
      <c r="K499" s="2"/>
      <c r="L499" s="2"/>
      <c r="M499" s="2"/>
      <c r="N499" s="2" t="s">
        <v>20937</v>
      </c>
      <c r="O499" s="2"/>
      <c r="P499" s="2" t="s">
        <v>20938</v>
      </c>
      <c r="Q499" s="2" t="s">
        <v>20939</v>
      </c>
      <c r="R499" s="2" t="s">
        <v>601</v>
      </c>
      <c r="S499" s="2" t="s">
        <v>602</v>
      </c>
      <c r="T499" s="2" t="s">
        <v>20940</v>
      </c>
      <c r="U499" s="2" t="s">
        <v>20933</v>
      </c>
      <c r="V499" s="2" t="s">
        <v>17198</v>
      </c>
      <c r="W499" s="2"/>
    </row>
    <row r="500">
      <c r="A500" s="2" t="n">
        <v>365</v>
      </c>
      <c r="B500" s="2" t="s">
        <v>13846</v>
      </c>
      <c r="C500" s="2" t="s">
        <v>20941</v>
      </c>
      <c r="D500" s="2" t="n">
        <v>333.109881814</v>
      </c>
      <c r="E500" s="2" t="n">
        <v>1.19118981063698</v>
      </c>
      <c r="F500" s="2" t="s">
        <v>20943</v>
      </c>
      <c r="G500" s="2" t="n">
        <v>55349</v>
      </c>
      <c r="H500" s="3" t="str">
        <f>HYPERLINK("http://funmeta.oebiotech.com/network/55349", "http://funmeta.oebiotech.com/network/55349")</f>
      </c>
      <c r="I500" s="2" t="s">
        <v>20945</v>
      </c>
      <c r="J500" s="2" t="s">
        <v>20946</v>
      </c>
      <c r="K500" s="2"/>
      <c r="L500" s="2"/>
      <c r="M500" s="2" t="s">
        <v>20947</v>
      </c>
      <c r="N500" s="2" t="s">
        <v>20948</v>
      </c>
      <c r="O500" s="2" t="s">
        <v>20949</v>
      </c>
      <c r="P500" s="2" t="s">
        <v>20950</v>
      </c>
      <c r="Q500" s="2" t="s">
        <v>20951</v>
      </c>
      <c r="R500" s="2" t="s">
        <v>794</v>
      </c>
      <c r="S500" s="2" t="s">
        <v>1098</v>
      </c>
      <c r="T500" s="2" t="s">
        <v>3079</v>
      </c>
      <c r="U500" s="2" t="s">
        <v>20942</v>
      </c>
      <c r="V500" s="2" t="s">
        <v>17406</v>
      </c>
      <c r="W500" s="2" t="s">
        <v>56</v>
      </c>
    </row>
    <row r="501">
      <c r="A501" s="2" t="n">
        <v>366</v>
      </c>
      <c r="B501" s="2" t="s">
        <v>13847</v>
      </c>
      <c r="C501" s="2" t="s">
        <v>20952</v>
      </c>
      <c r="D501" s="2" t="n">
        <v>333.164835006</v>
      </c>
      <c r="E501" s="2" t="n">
        <v>1.04123120684493</v>
      </c>
      <c r="F501" s="2" t="s">
        <v>20954</v>
      </c>
      <c r="G501" s="2" t="n">
        <v>56350</v>
      </c>
      <c r="H501" s="3" t="str">
        <f>HYPERLINK("http://funmeta.oebiotech.com/network/56350", "http://funmeta.oebiotech.com/network/56350")</f>
      </c>
      <c r="I501" s="2" t="s">
        <v>20956</v>
      </c>
      <c r="J501" s="2" t="s">
        <v>20957</v>
      </c>
      <c r="K501" s="2"/>
      <c r="L501" s="2"/>
      <c r="M501" s="2" t="s">
        <v>20958</v>
      </c>
      <c r="N501" s="2" t="s">
        <v>20959</v>
      </c>
      <c r="O501" s="2" t="s">
        <v>20960</v>
      </c>
      <c r="P501" s="2" t="s">
        <v>20961</v>
      </c>
      <c r="Q501" s="2" t="s">
        <v>20962</v>
      </c>
      <c r="R501" s="2" t="s">
        <v>794</v>
      </c>
      <c r="S501" s="2" t="s">
        <v>795</v>
      </c>
      <c r="T501" s="2" t="s">
        <v>796</v>
      </c>
      <c r="U501" s="2" t="s">
        <v>20953</v>
      </c>
      <c r="V501" s="2" t="s">
        <v>17970</v>
      </c>
      <c r="W501" s="2" t="s">
        <v>56</v>
      </c>
    </row>
    <row r="502">
      <c r="A502" s="2" t="n">
        <v>367</v>
      </c>
      <c r="B502" s="2" t="s">
        <v>13864</v>
      </c>
      <c r="C502" s="2" t="s">
        <v>20963</v>
      </c>
      <c r="D502" s="2" t="n">
        <v>333.206035384</v>
      </c>
      <c r="E502" s="2" t="n">
        <v>8.10159873222955</v>
      </c>
      <c r="F502" s="2" t="s">
        <v>20965</v>
      </c>
      <c r="G502" s="2" t="n">
        <v>60378</v>
      </c>
      <c r="H502" s="3" t="str">
        <f>HYPERLINK("http://funmeta.oebiotech.com/network/60378", "http://funmeta.oebiotech.com/network/60378")</f>
      </c>
      <c r="I502" s="2" t="s">
        <v>20967</v>
      </c>
      <c r="J502" s="2"/>
      <c r="K502" s="2"/>
      <c r="L502" s="2" t="s">
        <v>20968</v>
      </c>
      <c r="M502" s="2"/>
      <c r="N502" s="2" t="s">
        <v>20969</v>
      </c>
      <c r="O502" s="2" t="s">
        <v>20970</v>
      </c>
      <c r="P502" s="2" t="s">
        <v>20971</v>
      </c>
      <c r="Q502" s="2" t="s">
        <v>20972</v>
      </c>
      <c r="R502" s="2" t="s">
        <v>794</v>
      </c>
      <c r="S502" s="2" t="s">
        <v>1098</v>
      </c>
      <c r="T502" s="2" t="s">
        <v>3308</v>
      </c>
      <c r="U502" s="2" t="s">
        <v>20964</v>
      </c>
      <c r="V502" s="2" t="s">
        <v>17137</v>
      </c>
      <c r="W502" s="2" t="s">
        <v>56</v>
      </c>
    </row>
    <row r="503">
      <c r="A503" s="2" t="n">
        <v>368</v>
      </c>
      <c r="B503" s="2" t="s">
        <v>13865</v>
      </c>
      <c r="C503" s="2" t="s">
        <v>20973</v>
      </c>
      <c r="D503" s="2" t="n">
        <v>335.117465751</v>
      </c>
      <c r="E503" s="2" t="n">
        <v>3.96968968710726</v>
      </c>
      <c r="F503" s="2" t="s">
        <v>20975</v>
      </c>
      <c r="G503" s="2" t="n">
        <v>6017</v>
      </c>
      <c r="H503" s="3" t="str">
        <f>HYPERLINK("http://funmeta.oebiotech.com/network/6017", "http://funmeta.oebiotech.com/network/6017")</f>
      </c>
      <c r="I503" s="2" t="s">
        <v>20977</v>
      </c>
      <c r="J503" s="2" t="s">
        <v>20978</v>
      </c>
      <c r="K503" s="2" t="s">
        <v>20979</v>
      </c>
      <c r="L503" s="2"/>
      <c r="M503" s="2"/>
      <c r="N503" s="2" t="s">
        <v>20980</v>
      </c>
      <c r="O503" s="2" t="s">
        <v>20981</v>
      </c>
      <c r="P503" s="2" t="s">
        <v>20982</v>
      </c>
      <c r="Q503" s="2" t="s">
        <v>20983</v>
      </c>
      <c r="R503" s="2" t="s">
        <v>213</v>
      </c>
      <c r="S503" s="2" t="s">
        <v>20984</v>
      </c>
      <c r="T503" s="2" t="s">
        <v>20985</v>
      </c>
      <c r="U503" s="2" t="s">
        <v>20974</v>
      </c>
      <c r="V503" s="2" t="s">
        <v>17406</v>
      </c>
      <c r="W503" s="2"/>
    </row>
    <row r="504">
      <c r="A504" s="2" t="n">
        <v>369</v>
      </c>
      <c r="B504" s="2" t="s">
        <v>13866</v>
      </c>
      <c r="C504" s="2" t="s">
        <v>20986</v>
      </c>
      <c r="D504" s="2" t="n">
        <v>335.185299942</v>
      </c>
      <c r="E504" s="2" t="n">
        <v>1.51632924273751</v>
      </c>
      <c r="F504" s="2" t="s">
        <v>27032</v>
      </c>
      <c r="G504" s="2" t="n">
        <v>56979</v>
      </c>
      <c r="H504" s="3" t="str">
        <f>HYPERLINK("http://funmeta.oebiotech.com/network/56979", "http://funmeta.oebiotech.com/network/56979")</f>
      </c>
      <c r="I504" s="2" t="s">
        <v>27033</v>
      </c>
      <c r="J504" s="2" t="s">
        <v>27034</v>
      </c>
      <c r="K504" s="2"/>
      <c r="L504" s="2"/>
      <c r="M504" s="2" t="s">
        <v>27035</v>
      </c>
      <c r="N504" s="2" t="s">
        <v>27036</v>
      </c>
      <c r="O504" s="2" t="s">
        <v>27037</v>
      </c>
      <c r="P504" s="2" t="s">
        <v>27038</v>
      </c>
      <c r="Q504" s="2" t="s">
        <v>27039</v>
      </c>
      <c r="R504" s="2" t="s">
        <v>186</v>
      </c>
      <c r="S504" s="2" t="s">
        <v>8491</v>
      </c>
      <c r="T504" s="2" t="s">
        <v>215</v>
      </c>
      <c r="U504" s="2" t="s">
        <v>20987</v>
      </c>
      <c r="V504" s="2" t="s">
        <v>17137</v>
      </c>
      <c r="W504" s="2"/>
    </row>
    <row r="505">
      <c r="A505" s="2" t="n">
        <v>369</v>
      </c>
      <c r="B505" s="2" t="s">
        <v>27040</v>
      </c>
      <c r="C505" s="2" t="s">
        <v>20986</v>
      </c>
      <c r="D505" s="2" t="n">
        <v>335.185299942</v>
      </c>
      <c r="E505" s="2" t="n">
        <v>1.51632924273751</v>
      </c>
      <c r="F505" s="2" t="s">
        <v>27041</v>
      </c>
      <c r="G505" s="2" t="n">
        <v>56978</v>
      </c>
      <c r="H505" s="3" t="str">
        <f>HYPERLINK("http://funmeta.oebiotech.com/network/56978", "http://funmeta.oebiotech.com/network/56978")</f>
      </c>
      <c r="I505" s="2" t="s">
        <v>27042</v>
      </c>
      <c r="J505" s="2" t="s">
        <v>27043</v>
      </c>
      <c r="K505" s="2"/>
      <c r="L505" s="2"/>
      <c r="M505" s="2"/>
      <c r="N505" s="2" t="s">
        <v>27044</v>
      </c>
      <c r="O505" s="2" t="s">
        <v>27045</v>
      </c>
      <c r="P505" s="2" t="s">
        <v>27046</v>
      </c>
      <c r="Q505" s="2" t="s">
        <v>27047</v>
      </c>
      <c r="R505" s="2" t="s">
        <v>186</v>
      </c>
      <c r="S505" s="2" t="s">
        <v>8491</v>
      </c>
      <c r="T505" s="2" t="s">
        <v>215</v>
      </c>
      <c r="U505" s="2" t="s">
        <v>20987</v>
      </c>
      <c r="V505" s="2" t="s">
        <v>17137</v>
      </c>
      <c r="W505" s="2"/>
    </row>
    <row r="506">
      <c r="A506" s="2" t="n">
        <v>370</v>
      </c>
      <c r="B506" s="2" t="s">
        <v>13867</v>
      </c>
      <c r="C506" s="2" t="s">
        <v>20998</v>
      </c>
      <c r="D506" s="2" t="n">
        <v>336.10586465</v>
      </c>
      <c r="E506" s="2" t="n">
        <v>0.517527189055717</v>
      </c>
      <c r="F506" s="2" t="s">
        <v>21000</v>
      </c>
      <c r="G506" s="2" t="n">
        <v>206385</v>
      </c>
      <c r="H506" s="3" t="str">
        <f>HYPERLINK("http://funmeta.oebiotech.com/network/206385", "http://funmeta.oebiotech.com/network/206385")</f>
      </c>
      <c r="I506" s="2" t="s">
        <v>21002</v>
      </c>
      <c r="J506" s="2"/>
      <c r="K506" s="2"/>
      <c r="L506" s="2"/>
      <c r="M506" s="2"/>
      <c r="N506" s="2"/>
      <c r="O506" s="2"/>
      <c r="P506" s="2" t="s">
        <v>21003</v>
      </c>
      <c r="Q506" s="2" t="s">
        <v>21004</v>
      </c>
      <c r="R506" s="2" t="s">
        <v>114</v>
      </c>
      <c r="S506" s="2" t="s">
        <v>6312</v>
      </c>
      <c r="T506" s="2" t="s">
        <v>6313</v>
      </c>
      <c r="U506" s="2" t="s">
        <v>20999</v>
      </c>
      <c r="V506" s="2" t="s">
        <v>17039</v>
      </c>
      <c r="W506" s="2"/>
    </row>
    <row r="507">
      <c r="A507" s="2" t="n">
        <v>371</v>
      </c>
      <c r="B507" s="2" t="s">
        <v>13897</v>
      </c>
      <c r="C507" s="2" t="s">
        <v>21005</v>
      </c>
      <c r="D507" s="2" t="n">
        <v>337.170887532</v>
      </c>
      <c r="E507" s="2" t="n">
        <v>4.66393778259276</v>
      </c>
      <c r="F507" s="2" t="s">
        <v>21007</v>
      </c>
      <c r="G507" s="2" t="n">
        <v>53401</v>
      </c>
      <c r="H507" s="3" t="str">
        <f>HYPERLINK("http://funmeta.oebiotech.com/network/53401", "http://funmeta.oebiotech.com/network/53401")</f>
      </c>
      <c r="I507" s="2" t="s">
        <v>21009</v>
      </c>
      <c r="J507" s="2" t="s">
        <v>21010</v>
      </c>
      <c r="K507" s="2"/>
      <c r="L507" s="2" t="s">
        <v>21011</v>
      </c>
      <c r="M507" s="2" t="s">
        <v>21012</v>
      </c>
      <c r="N507" s="2" t="s">
        <v>21013</v>
      </c>
      <c r="O507" s="2" t="s">
        <v>21014</v>
      </c>
      <c r="P507" s="2" t="s">
        <v>21015</v>
      </c>
      <c r="Q507" s="2" t="s">
        <v>21016</v>
      </c>
      <c r="R507" s="2" t="s">
        <v>114</v>
      </c>
      <c r="S507" s="2" t="s">
        <v>2057</v>
      </c>
      <c r="T507" s="2" t="s">
        <v>21017</v>
      </c>
      <c r="U507" s="2" t="s">
        <v>21006</v>
      </c>
      <c r="V507" s="2" t="s">
        <v>17198</v>
      </c>
      <c r="W507" s="2" t="s">
        <v>56</v>
      </c>
    </row>
    <row r="508">
      <c r="A508" s="2" t="n">
        <v>372</v>
      </c>
      <c r="B508" s="2" t="s">
        <v>13898</v>
      </c>
      <c r="C508" s="2" t="s">
        <v>21018</v>
      </c>
      <c r="D508" s="2" t="n">
        <v>337.274309704</v>
      </c>
      <c r="E508" s="2" t="n">
        <v>2.67020455001067</v>
      </c>
      <c r="F508" s="2" t="s">
        <v>21020</v>
      </c>
      <c r="G508" s="2" t="n">
        <v>10449</v>
      </c>
      <c r="H508" s="3" t="str">
        <f>HYPERLINK("http://funmeta.oebiotech.com/network/10449", "http://funmeta.oebiotech.com/network/10449")</f>
      </c>
      <c r="I508" s="2" t="s">
        <v>21022</v>
      </c>
      <c r="J508" s="2" t="s">
        <v>21023</v>
      </c>
      <c r="K508" s="2" t="s">
        <v>21024</v>
      </c>
      <c r="L508" s="2"/>
      <c r="M508" s="2" t="s">
        <v>21025</v>
      </c>
      <c r="N508" s="2" t="s">
        <v>21026</v>
      </c>
      <c r="O508" s="2"/>
      <c r="P508" s="2" t="s">
        <v>21027</v>
      </c>
      <c r="Q508" s="2" t="s">
        <v>21028</v>
      </c>
      <c r="R508" s="2" t="s">
        <v>794</v>
      </c>
      <c r="S508" s="2" t="s">
        <v>795</v>
      </c>
      <c r="T508" s="2" t="s">
        <v>2391</v>
      </c>
      <c r="U508" s="2" t="s">
        <v>21019</v>
      </c>
      <c r="V508" s="2" t="s">
        <v>17039</v>
      </c>
      <c r="W508" s="2" t="s">
        <v>56</v>
      </c>
    </row>
    <row r="509">
      <c r="A509" s="2" t="n">
        <v>373</v>
      </c>
      <c r="B509" s="2" t="s">
        <v>13899</v>
      </c>
      <c r="C509" s="2" t="s">
        <v>21029</v>
      </c>
      <c r="D509" s="2" t="n">
        <v>338.342329689</v>
      </c>
      <c r="E509" s="2" t="n">
        <v>9.84917433069696</v>
      </c>
      <c r="F509" s="2" t="s">
        <v>21031</v>
      </c>
      <c r="G509" s="2" t="n">
        <v>9047</v>
      </c>
      <c r="H509" s="3" t="str">
        <f>HYPERLINK("http://funmeta.oebiotech.com/network/9047", "http://funmeta.oebiotech.com/network/9047")</f>
      </c>
      <c r="I509" s="2" t="s">
        <v>21032</v>
      </c>
      <c r="J509" s="2" t="s">
        <v>21033</v>
      </c>
      <c r="K509" s="2" t="s">
        <v>21034</v>
      </c>
      <c r="L509" s="2"/>
      <c r="M509" s="2" t="s">
        <v>21035</v>
      </c>
      <c r="N509" s="2" t="s">
        <v>21036</v>
      </c>
      <c r="O509" s="2" t="s">
        <v>21037</v>
      </c>
      <c r="P509" s="2" t="s">
        <v>21038</v>
      </c>
      <c r="Q509" s="2" t="s">
        <v>21039</v>
      </c>
      <c r="R509" s="2" t="s">
        <v>601</v>
      </c>
      <c r="S509" s="2" t="s">
        <v>602</v>
      </c>
      <c r="T509" s="2" t="s">
        <v>1800</v>
      </c>
      <c r="U509" s="2" t="s">
        <v>21030</v>
      </c>
      <c r="V509" s="2" t="s">
        <v>17039</v>
      </c>
      <c r="W509" s="2"/>
    </row>
    <row r="510">
      <c r="A510" s="2" t="n">
        <v>374</v>
      </c>
      <c r="B510" s="2" t="s">
        <v>13900</v>
      </c>
      <c r="C510" s="2" t="s">
        <v>21040</v>
      </c>
      <c r="D510" s="2" t="n">
        <v>339.057395004</v>
      </c>
      <c r="E510" s="2" t="n">
        <v>2.03214520649152</v>
      </c>
      <c r="F510" s="2" t="s">
        <v>21042</v>
      </c>
      <c r="G510" s="2" t="n">
        <v>204616</v>
      </c>
      <c r="H510" s="3" t="str">
        <f>HYPERLINK("http://funmeta.oebiotech.com/network/204616", "http://funmeta.oebiotech.com/network/204616")</f>
      </c>
      <c r="I510" s="2" t="s">
        <v>21044</v>
      </c>
      <c r="J510" s="2"/>
      <c r="K510" s="2"/>
      <c r="L510" s="2"/>
      <c r="M510" s="2"/>
      <c r="N510" s="2" t="s">
        <v>21045</v>
      </c>
      <c r="O510" s="2"/>
      <c r="P510" s="2" t="s">
        <v>21046</v>
      </c>
      <c r="Q510" s="2" t="s">
        <v>21047</v>
      </c>
      <c r="R510" s="2" t="s">
        <v>186</v>
      </c>
      <c r="S510" s="2" t="s">
        <v>187</v>
      </c>
      <c r="T510" s="2" t="s">
        <v>2791</v>
      </c>
      <c r="U510" s="2" t="s">
        <v>21041</v>
      </c>
      <c r="V510" s="2" t="s">
        <v>17198</v>
      </c>
      <c r="W510" s="2"/>
    </row>
    <row r="511">
      <c r="A511" s="2" t="n">
        <v>375</v>
      </c>
      <c r="B511" s="2" t="s">
        <v>13901</v>
      </c>
      <c r="C511" s="2" t="s">
        <v>21048</v>
      </c>
      <c r="D511" s="2" t="n">
        <v>339.172088142</v>
      </c>
      <c r="E511" s="2" t="n">
        <v>8.08983521775594</v>
      </c>
      <c r="F511" s="2" t="s">
        <v>21050</v>
      </c>
      <c r="G511" s="2" t="n">
        <v>37385</v>
      </c>
      <c r="H511" s="3" t="str">
        <f>HYPERLINK("http://funmeta.oebiotech.com/network/37385", "http://funmeta.oebiotech.com/network/37385")</f>
      </c>
      <c r="I511" s="2" t="s">
        <v>21052</v>
      </c>
      <c r="J511" s="2" t="s">
        <v>21053</v>
      </c>
      <c r="K511" s="2" t="s">
        <v>21054</v>
      </c>
      <c r="L511" s="2" t="s">
        <v>21055</v>
      </c>
      <c r="M511" s="2" t="s">
        <v>21056</v>
      </c>
      <c r="N511" s="2" t="s">
        <v>20260</v>
      </c>
      <c r="O511" s="2" t="s">
        <v>21057</v>
      </c>
      <c r="P511" s="2" t="s">
        <v>21058</v>
      </c>
      <c r="Q511" s="2" t="s">
        <v>21059</v>
      </c>
      <c r="R511" s="2" t="s">
        <v>794</v>
      </c>
      <c r="S511" s="2" t="s">
        <v>1098</v>
      </c>
      <c r="T511" s="2" t="s">
        <v>5036</v>
      </c>
      <c r="U511" s="2" t="s">
        <v>21049</v>
      </c>
      <c r="V511" s="2" t="s">
        <v>17406</v>
      </c>
      <c r="W511" s="2" t="s">
        <v>56</v>
      </c>
    </row>
    <row r="512">
      <c r="A512" s="2" t="n">
        <v>376</v>
      </c>
      <c r="B512" s="2" t="s">
        <v>13902</v>
      </c>
      <c r="C512" s="2" t="s">
        <v>21060</v>
      </c>
      <c r="D512" s="2" t="n">
        <v>339.286963146</v>
      </c>
      <c r="E512" s="2" t="n">
        <v>13.9340527882417</v>
      </c>
      <c r="F512" s="2" t="s">
        <v>21062</v>
      </c>
      <c r="G512" s="2" t="n">
        <v>6315</v>
      </c>
      <c r="H512" s="3" t="str">
        <f>HYPERLINK("http://funmeta.oebiotech.com/network/6315", "http://funmeta.oebiotech.com/network/6315")</f>
      </c>
      <c r="I512" s="2" t="s">
        <v>21064</v>
      </c>
      <c r="J512" s="2" t="s">
        <v>21065</v>
      </c>
      <c r="K512" s="2" t="s">
        <v>21066</v>
      </c>
      <c r="L512" s="2"/>
      <c r="M512" s="2"/>
      <c r="N512" s="2" t="s">
        <v>21067</v>
      </c>
      <c r="O512" s="2"/>
      <c r="P512" s="2" t="s">
        <v>21068</v>
      </c>
      <c r="Q512" s="2" t="s">
        <v>21069</v>
      </c>
      <c r="R512" s="2" t="s">
        <v>794</v>
      </c>
      <c r="S512" s="2" t="s">
        <v>795</v>
      </c>
      <c r="T512" s="2" t="s">
        <v>3273</v>
      </c>
      <c r="U512" s="2" t="s">
        <v>21061</v>
      </c>
      <c r="V512" s="2" t="s">
        <v>17198</v>
      </c>
      <c r="W512" s="2" t="s">
        <v>56</v>
      </c>
    </row>
    <row r="513">
      <c r="A513" s="2" t="n">
        <v>377</v>
      </c>
      <c r="B513" s="2" t="s">
        <v>13903</v>
      </c>
      <c r="C513" s="2" t="s">
        <v>21070</v>
      </c>
      <c r="D513" s="2" t="n">
        <v>339.345815432</v>
      </c>
      <c r="E513" s="2" t="n">
        <v>0.533838861256572</v>
      </c>
      <c r="F513" s="2" t="s">
        <v>21072</v>
      </c>
      <c r="G513" s="2" t="n">
        <v>211654</v>
      </c>
      <c r="H513" s="3" t="str">
        <f>HYPERLINK("http://funmeta.oebiotech.com/network/211654", "http://funmeta.oebiotech.com/network/211654")</f>
      </c>
      <c r="I513" s="2" t="s">
        <v>21074</v>
      </c>
      <c r="J513" s="2"/>
      <c r="K513" s="2"/>
      <c r="L513" s="2"/>
      <c r="M513" s="2"/>
      <c r="N513" s="2" t="s">
        <v>21075</v>
      </c>
      <c r="O513" s="2"/>
      <c r="P513" s="2" t="s">
        <v>21076</v>
      </c>
      <c r="Q513" s="2" t="s">
        <v>21077</v>
      </c>
      <c r="R513" s="2" t="s">
        <v>601</v>
      </c>
      <c r="S513" s="2" t="s">
        <v>602</v>
      </c>
      <c r="T513" s="2" t="s">
        <v>1800</v>
      </c>
      <c r="U513" s="2" t="s">
        <v>21071</v>
      </c>
      <c r="V513" s="2" t="s">
        <v>17892</v>
      </c>
      <c r="W513" s="2"/>
    </row>
    <row r="514">
      <c r="A514" s="2" t="n">
        <v>378</v>
      </c>
      <c r="B514" s="2" t="s">
        <v>13904</v>
      </c>
      <c r="C514" s="2" t="s">
        <v>21078</v>
      </c>
      <c r="D514" s="2" t="n">
        <v>341.18655733</v>
      </c>
      <c r="E514" s="2" t="n">
        <v>0.0600298287189725</v>
      </c>
      <c r="F514" s="2" t="s">
        <v>21080</v>
      </c>
      <c r="G514" s="2" t="n">
        <v>208026</v>
      </c>
      <c r="H514" s="3" t="str">
        <f>HYPERLINK("http://funmeta.oebiotech.com/network/208026", "http://funmeta.oebiotech.com/network/208026")</f>
      </c>
      <c r="I514" s="2" t="s">
        <v>21082</v>
      </c>
      <c r="J514" s="2" t="s">
        <v>21083</v>
      </c>
      <c r="K514" s="2"/>
      <c r="L514" s="2"/>
      <c r="M514" s="2"/>
      <c r="N514" s="2" t="s">
        <v>21084</v>
      </c>
      <c r="O514" s="2"/>
      <c r="P514" s="2" t="s">
        <v>21085</v>
      </c>
      <c r="Q514" s="2" t="s">
        <v>21086</v>
      </c>
      <c r="R514" s="2" t="s">
        <v>186</v>
      </c>
      <c r="S514" s="2" t="s">
        <v>187</v>
      </c>
      <c r="T514" s="2" t="s">
        <v>3454</v>
      </c>
      <c r="U514" s="2" t="s">
        <v>21079</v>
      </c>
      <c r="V514" s="2" t="s">
        <v>17039</v>
      </c>
      <c r="W514" s="2"/>
    </row>
    <row r="515">
      <c r="A515" s="2" t="n">
        <v>379</v>
      </c>
      <c r="B515" s="2" t="s">
        <v>13905</v>
      </c>
      <c r="C515" s="2" t="s">
        <v>21087</v>
      </c>
      <c r="D515" s="2" t="n">
        <v>343.143452378</v>
      </c>
      <c r="E515" s="2" t="n">
        <v>5.11432276288239</v>
      </c>
      <c r="F515" s="2" t="s">
        <v>21089</v>
      </c>
      <c r="G515" s="2" t="n">
        <v>212166</v>
      </c>
      <c r="H515" s="3" t="str">
        <f>HYPERLINK("http://funmeta.oebiotech.com/network/212166", "http://funmeta.oebiotech.com/network/212166")</f>
      </c>
      <c r="I515" s="2" t="s">
        <v>21091</v>
      </c>
      <c r="J515" s="2"/>
      <c r="K515" s="2"/>
      <c r="L515" s="2"/>
      <c r="M515" s="2"/>
      <c r="N515" s="2"/>
      <c r="O515" s="2"/>
      <c r="P515" s="2" t="s">
        <v>21092</v>
      </c>
      <c r="Q515" s="2" t="s">
        <v>21093</v>
      </c>
      <c r="R515" s="2" t="s">
        <v>36</v>
      </c>
      <c r="S515" s="2" t="s">
        <v>37</v>
      </c>
      <c r="T515" s="2" t="s">
        <v>69</v>
      </c>
      <c r="U515" s="2" t="s">
        <v>21088</v>
      </c>
      <c r="V515" s="2" t="s">
        <v>17137</v>
      </c>
      <c r="W515" s="2"/>
    </row>
    <row r="516">
      <c r="A516" s="2" t="n">
        <v>380</v>
      </c>
      <c r="B516" s="2" t="s">
        <v>13906</v>
      </c>
      <c r="C516" s="2" t="s">
        <v>21094</v>
      </c>
      <c r="D516" s="2" t="n">
        <v>343.211514692</v>
      </c>
      <c r="E516" s="2" t="n">
        <v>3.98982310083498</v>
      </c>
      <c r="F516" s="2" t="s">
        <v>21096</v>
      </c>
      <c r="G516" s="2" t="n">
        <v>82972</v>
      </c>
      <c r="H516" s="3" t="str">
        <f>HYPERLINK("http://funmeta.oebiotech.com/network/82972", "http://funmeta.oebiotech.com/network/82972")</f>
      </c>
      <c r="I516" s="2" t="s">
        <v>21098</v>
      </c>
      <c r="J516" s="2"/>
      <c r="K516" s="2"/>
      <c r="L516" s="2"/>
      <c r="M516" s="2"/>
      <c r="N516" s="2" t="s">
        <v>21099</v>
      </c>
      <c r="O516" s="2"/>
      <c r="P516" s="2" t="s">
        <v>21100</v>
      </c>
      <c r="Q516" s="2" t="s">
        <v>21101</v>
      </c>
      <c r="R516" s="2" t="s">
        <v>794</v>
      </c>
      <c r="S516" s="2" t="s">
        <v>795</v>
      </c>
      <c r="T516" s="2" t="s">
        <v>796</v>
      </c>
      <c r="U516" s="2" t="s">
        <v>21095</v>
      </c>
      <c r="V516" s="2" t="s">
        <v>17137</v>
      </c>
      <c r="W516" s="2" t="s">
        <v>56</v>
      </c>
    </row>
    <row r="517">
      <c r="A517" s="2" t="n">
        <v>381</v>
      </c>
      <c r="B517" s="2" t="s">
        <v>13920</v>
      </c>
      <c r="C517" s="2" t="s">
        <v>21102</v>
      </c>
      <c r="D517" s="2" t="n">
        <v>344.03017</v>
      </c>
      <c r="E517" s="2" t="n">
        <v>0.163990440914287</v>
      </c>
      <c r="F517" s="2" t="s">
        <v>27048</v>
      </c>
      <c r="G517" s="2" t="n">
        <v>207439</v>
      </c>
      <c r="H517" s="3" t="str">
        <f>HYPERLINK("http://funmeta.oebiotech.com/network/207439", "http://funmeta.oebiotech.com/network/207439")</f>
      </c>
      <c r="I517" s="2" t="s">
        <v>27049</v>
      </c>
      <c r="J517" s="2" t="s">
        <v>27050</v>
      </c>
      <c r="K517" s="2"/>
      <c r="L517" s="2" t="s">
        <v>27051</v>
      </c>
      <c r="M517" s="2" t="s">
        <v>27052</v>
      </c>
      <c r="N517" s="2" t="s">
        <v>27053</v>
      </c>
      <c r="O517" s="2" t="s">
        <v>27054</v>
      </c>
      <c r="P517" s="2" t="s">
        <v>27055</v>
      </c>
      <c r="Q517" s="2" t="s">
        <v>27056</v>
      </c>
      <c r="R517" s="2" t="s">
        <v>186</v>
      </c>
      <c r="S517" s="2" t="s">
        <v>187</v>
      </c>
      <c r="T517" s="2" t="s">
        <v>27057</v>
      </c>
      <c r="U517" s="2" t="s">
        <v>21103</v>
      </c>
      <c r="V517" s="2" t="s">
        <v>17039</v>
      </c>
      <c r="W517" s="2" t="s">
        <v>101</v>
      </c>
    </row>
    <row r="518">
      <c r="A518" s="2" t="n">
        <v>381</v>
      </c>
      <c r="B518" s="2" t="s">
        <v>27058</v>
      </c>
      <c r="C518" s="2" t="s">
        <v>21102</v>
      </c>
      <c r="D518" s="2" t="n">
        <v>344.030170167</v>
      </c>
      <c r="E518" s="2" t="n">
        <v>0.163990440914287</v>
      </c>
      <c r="F518" s="2" t="s">
        <v>27059</v>
      </c>
      <c r="G518" s="2" t="n">
        <v>209915</v>
      </c>
      <c r="H518" s="3" t="str">
        <f>HYPERLINK("http://funmeta.oebiotech.com/network/209915", "http://funmeta.oebiotech.com/network/209915")</f>
      </c>
      <c r="I518" s="2" t="s">
        <v>27060</v>
      </c>
      <c r="J518" s="2" t="s">
        <v>27061</v>
      </c>
      <c r="K518" s="2"/>
      <c r="L518" s="2" t="s">
        <v>27062</v>
      </c>
      <c r="M518" s="2"/>
      <c r="N518" s="2" t="s">
        <v>27063</v>
      </c>
      <c r="O518" s="2" t="s">
        <v>27064</v>
      </c>
      <c r="P518" s="2" t="s">
        <v>27065</v>
      </c>
      <c r="Q518" s="2" t="s">
        <v>27066</v>
      </c>
      <c r="R518" s="2" t="s">
        <v>186</v>
      </c>
      <c r="S518" s="2" t="s">
        <v>187</v>
      </c>
      <c r="T518" s="2" t="s">
        <v>6895</v>
      </c>
      <c r="U518" s="2" t="s">
        <v>21103</v>
      </c>
      <c r="V518" s="2" t="s">
        <v>17039</v>
      </c>
      <c r="W518" s="2" t="s">
        <v>101</v>
      </c>
    </row>
    <row r="519">
      <c r="A519" s="2" t="n">
        <v>382</v>
      </c>
      <c r="B519" s="2" t="s">
        <v>13921</v>
      </c>
      <c r="C519" s="2" t="s">
        <v>21115</v>
      </c>
      <c r="D519" s="2" t="n">
        <v>344.219611863</v>
      </c>
      <c r="E519" s="2" t="n">
        <v>0.412325928853342</v>
      </c>
      <c r="F519" s="2" t="s">
        <v>21117</v>
      </c>
      <c r="G519" s="2" t="n">
        <v>60093</v>
      </c>
      <c r="H519" s="3" t="str">
        <f>HYPERLINK("http://funmeta.oebiotech.com/network/60093", "http://funmeta.oebiotech.com/network/60093")</f>
      </c>
      <c r="I519" s="2" t="s">
        <v>21119</v>
      </c>
      <c r="J519" s="2" t="s">
        <v>21120</v>
      </c>
      <c r="K519" s="2"/>
      <c r="L519" s="2"/>
      <c r="M519" s="2"/>
      <c r="N519" s="2" t="s">
        <v>21121</v>
      </c>
      <c r="O519" s="2" t="s">
        <v>21122</v>
      </c>
      <c r="P519" s="2" t="s">
        <v>21123</v>
      </c>
      <c r="Q519" s="2" t="s">
        <v>21124</v>
      </c>
      <c r="R519" s="2" t="s">
        <v>186</v>
      </c>
      <c r="S519" s="2" t="s">
        <v>357</v>
      </c>
      <c r="T519" s="2" t="s">
        <v>5859</v>
      </c>
      <c r="U519" s="2" t="s">
        <v>21116</v>
      </c>
      <c r="V519" s="2" t="s">
        <v>17198</v>
      </c>
      <c r="W519" s="2" t="s">
        <v>56</v>
      </c>
    </row>
    <row r="520">
      <c r="A520" s="2" t="n">
        <v>383</v>
      </c>
      <c r="B520" s="2" t="s">
        <v>13922</v>
      </c>
      <c r="C520" s="2" t="s">
        <v>21125</v>
      </c>
      <c r="D520" s="2" t="n">
        <v>345.0057224</v>
      </c>
      <c r="E520" s="2" t="n">
        <v>2.33795531660133</v>
      </c>
      <c r="F520" s="2" t="s">
        <v>21127</v>
      </c>
      <c r="G520" s="2" t="n">
        <v>205896</v>
      </c>
      <c r="H520" s="3" t="str">
        <f>HYPERLINK("http://funmeta.oebiotech.com/network/205896", "http://funmeta.oebiotech.com/network/205896")</f>
      </c>
      <c r="I520" s="2" t="s">
        <v>21129</v>
      </c>
      <c r="J520" s="2"/>
      <c r="K520" s="2"/>
      <c r="L520" s="2"/>
      <c r="M520" s="2" t="s">
        <v>21130</v>
      </c>
      <c r="N520" s="2" t="s">
        <v>21131</v>
      </c>
      <c r="O520" s="2"/>
      <c r="P520" s="2" t="s">
        <v>21132</v>
      </c>
      <c r="Q520" s="2" t="s">
        <v>21133</v>
      </c>
      <c r="R520" s="2" t="s">
        <v>129</v>
      </c>
      <c r="S520" s="2" t="s">
        <v>130</v>
      </c>
      <c r="T520" s="2" t="s">
        <v>131</v>
      </c>
      <c r="U520" s="2" t="s">
        <v>21126</v>
      </c>
      <c r="V520" s="2" t="s">
        <v>17406</v>
      </c>
      <c r="W520" s="2"/>
    </row>
    <row r="521">
      <c r="A521" s="2" t="n">
        <v>384</v>
      </c>
      <c r="B521" s="2" t="s">
        <v>13944</v>
      </c>
      <c r="C521" s="2" t="s">
        <v>21134</v>
      </c>
      <c r="D521" s="2" t="n">
        <v>345.1621724</v>
      </c>
      <c r="E521" s="2" t="n">
        <v>0.00729462477479142</v>
      </c>
      <c r="F521" s="2" t="s">
        <v>21136</v>
      </c>
      <c r="G521" s="2" t="n">
        <v>204939</v>
      </c>
      <c r="H521" s="3" t="str">
        <f>HYPERLINK("http://funmeta.oebiotech.com/network/204939", "http://funmeta.oebiotech.com/network/204939")</f>
      </c>
      <c r="I521" s="2" t="s">
        <v>21138</v>
      </c>
      <c r="J521" s="2"/>
      <c r="K521" s="2"/>
      <c r="L521" s="2"/>
      <c r="M521" s="2"/>
      <c r="N521" s="2" t="s">
        <v>21139</v>
      </c>
      <c r="O521" s="2"/>
      <c r="P521" s="2" t="s">
        <v>21140</v>
      </c>
      <c r="Q521" s="2" t="s">
        <v>21141</v>
      </c>
      <c r="R521" s="2" t="s">
        <v>794</v>
      </c>
      <c r="S521" s="2" t="s">
        <v>2971</v>
      </c>
      <c r="T521" s="2" t="s">
        <v>5393</v>
      </c>
      <c r="U521" s="2" t="s">
        <v>21135</v>
      </c>
      <c r="V521" s="2" t="s">
        <v>17039</v>
      </c>
      <c r="W521" s="2"/>
    </row>
    <row r="522">
      <c r="A522" s="2" t="n">
        <v>385</v>
      </c>
      <c r="B522" s="2" t="s">
        <v>13945</v>
      </c>
      <c r="C522" s="2" t="s">
        <v>21142</v>
      </c>
      <c r="D522" s="2" t="n">
        <v>345.216514605</v>
      </c>
      <c r="E522" s="2" t="n">
        <v>8.1950467024655</v>
      </c>
      <c r="F522" s="2" t="s">
        <v>21144</v>
      </c>
      <c r="G522" s="2" t="n">
        <v>204221</v>
      </c>
      <c r="H522" s="3" t="str">
        <f>HYPERLINK("http://funmeta.oebiotech.com/network/204221", "http://funmeta.oebiotech.com/network/204221")</f>
      </c>
      <c r="I522" s="2" t="s">
        <v>21146</v>
      </c>
      <c r="J522" s="2"/>
      <c r="K522" s="2"/>
      <c r="L522" s="2"/>
      <c r="M522" s="2"/>
      <c r="N522" s="2" t="s">
        <v>21147</v>
      </c>
      <c r="O522" s="2"/>
      <c r="P522" s="2" t="s">
        <v>21148</v>
      </c>
      <c r="Q522" s="2" t="s">
        <v>21149</v>
      </c>
      <c r="R522" s="2" t="s">
        <v>36</v>
      </c>
      <c r="S522" s="2" t="s">
        <v>2572</v>
      </c>
      <c r="T522" s="2" t="s">
        <v>2637</v>
      </c>
      <c r="U522" s="2" t="s">
        <v>21143</v>
      </c>
      <c r="V522" s="2" t="s">
        <v>17198</v>
      </c>
      <c r="W522" s="2"/>
    </row>
    <row r="523">
      <c r="A523" s="2" t="n">
        <v>386</v>
      </c>
      <c r="B523" s="2" t="s">
        <v>13946</v>
      </c>
      <c r="C523" s="2" t="s">
        <v>21150</v>
      </c>
      <c r="D523" s="2" t="n">
        <v>347.052606116</v>
      </c>
      <c r="E523" s="2" t="n">
        <v>4.1392487326958</v>
      </c>
      <c r="F523" s="2" t="s">
        <v>21152</v>
      </c>
      <c r="G523" s="2" t="n">
        <v>55374</v>
      </c>
      <c r="H523" s="3" t="str">
        <f>HYPERLINK("http://funmeta.oebiotech.com/network/55374", "http://funmeta.oebiotech.com/network/55374")</f>
      </c>
      <c r="I523" s="2" t="s">
        <v>21154</v>
      </c>
      <c r="J523" s="2"/>
      <c r="K523" s="2"/>
      <c r="L523" s="2" t="s">
        <v>21155</v>
      </c>
      <c r="M523" s="2" t="s">
        <v>21156</v>
      </c>
      <c r="N523" s="2" t="s">
        <v>21157</v>
      </c>
      <c r="O523" s="2" t="s">
        <v>21158</v>
      </c>
      <c r="P523" s="2" t="s">
        <v>21159</v>
      </c>
      <c r="Q523" s="2" t="s">
        <v>21160</v>
      </c>
      <c r="R523" s="2" t="s">
        <v>1355</v>
      </c>
      <c r="S523" s="2" t="s">
        <v>21161</v>
      </c>
      <c r="T523" s="2" t="s">
        <v>215</v>
      </c>
      <c r="U523" s="2" t="s">
        <v>21151</v>
      </c>
      <c r="V523" s="2" t="s">
        <v>17198</v>
      </c>
      <c r="W523" s="2" t="s">
        <v>101</v>
      </c>
    </row>
    <row r="524">
      <c r="A524" s="2" t="n">
        <v>387</v>
      </c>
      <c r="B524" s="2" t="s">
        <v>13947</v>
      </c>
      <c r="C524" s="2" t="s">
        <v>21162</v>
      </c>
      <c r="D524" s="2" t="n">
        <v>347.185299937</v>
      </c>
      <c r="E524" s="2" t="n">
        <v>1.80588588701327</v>
      </c>
      <c r="F524" s="2" t="s">
        <v>27067</v>
      </c>
      <c r="G524" s="2" t="n">
        <v>58966</v>
      </c>
      <c r="H524" s="3" t="str">
        <f>HYPERLINK("http://funmeta.oebiotech.com/network/58966", "http://funmeta.oebiotech.com/network/58966")</f>
      </c>
      <c r="I524" s="2" t="s">
        <v>27068</v>
      </c>
      <c r="J524" s="2" t="s">
        <v>27069</v>
      </c>
      <c r="K524" s="2"/>
      <c r="L524" s="2" t="s">
        <v>27070</v>
      </c>
      <c r="M524" s="2" t="s">
        <v>27071</v>
      </c>
      <c r="N524" s="2" t="s">
        <v>27072</v>
      </c>
      <c r="O524" s="2" t="s">
        <v>27073</v>
      </c>
      <c r="P524" s="2" t="s">
        <v>27074</v>
      </c>
      <c r="Q524" s="2" t="s">
        <v>27075</v>
      </c>
      <c r="R524" s="2" t="s">
        <v>794</v>
      </c>
      <c r="S524" s="2" t="s">
        <v>1098</v>
      </c>
      <c r="T524" s="2" t="s">
        <v>4662</v>
      </c>
      <c r="U524" s="2" t="s">
        <v>21163</v>
      </c>
      <c r="V524" s="2" t="s">
        <v>17137</v>
      </c>
      <c r="W524" s="2" t="s">
        <v>56</v>
      </c>
    </row>
    <row r="525">
      <c r="A525" s="2" t="n">
        <v>387</v>
      </c>
      <c r="B525" s="2" t="s">
        <v>27076</v>
      </c>
      <c r="C525" s="2" t="s">
        <v>21162</v>
      </c>
      <c r="D525" s="2" t="n">
        <v>347.185299942</v>
      </c>
      <c r="E525" s="2" t="n">
        <v>1.80588588701327</v>
      </c>
      <c r="F525" s="2" t="s">
        <v>27077</v>
      </c>
      <c r="G525" s="2" t="n">
        <v>60566</v>
      </c>
      <c r="H525" s="3" t="str">
        <f>HYPERLINK("http://funmeta.oebiotech.com/network/60566", "http://funmeta.oebiotech.com/network/60566")</f>
      </c>
      <c r="I525" s="2" t="s">
        <v>27078</v>
      </c>
      <c r="J525" s="2" t="s">
        <v>27079</v>
      </c>
      <c r="K525" s="2"/>
      <c r="L525" s="2" t="s">
        <v>27080</v>
      </c>
      <c r="M525" s="2" t="s">
        <v>27081</v>
      </c>
      <c r="N525" s="2" t="s">
        <v>27082</v>
      </c>
      <c r="O525" s="2" t="s">
        <v>27083</v>
      </c>
      <c r="P525" s="2" t="s">
        <v>27084</v>
      </c>
      <c r="Q525" s="2" t="s">
        <v>27085</v>
      </c>
      <c r="R525" s="2" t="s">
        <v>794</v>
      </c>
      <c r="S525" s="2" t="s">
        <v>1098</v>
      </c>
      <c r="T525" s="2" t="s">
        <v>4662</v>
      </c>
      <c r="U525" s="2" t="s">
        <v>21163</v>
      </c>
      <c r="V525" s="2" t="s">
        <v>17137</v>
      </c>
      <c r="W525" s="2" t="s">
        <v>56</v>
      </c>
    </row>
    <row r="526">
      <c r="A526" s="2" t="n">
        <v>388</v>
      </c>
      <c r="B526" s="2" t="s">
        <v>13948</v>
      </c>
      <c r="C526" s="2" t="s">
        <v>21175</v>
      </c>
      <c r="D526" s="2" t="n">
        <v>348.0144205</v>
      </c>
      <c r="E526" s="2" t="n">
        <v>6.97996796966908</v>
      </c>
      <c r="F526" s="2" t="s">
        <v>21177</v>
      </c>
      <c r="G526" s="2" t="n">
        <v>202090</v>
      </c>
      <c r="H526" s="3" t="str">
        <f>HYPERLINK("http://funmeta.oebiotech.com/network/202090", "http://funmeta.oebiotech.com/network/202090")</f>
      </c>
      <c r="I526" s="2" t="s">
        <v>21179</v>
      </c>
      <c r="J526" s="2"/>
      <c r="K526" s="2"/>
      <c r="L526" s="2"/>
      <c r="M526" s="2"/>
      <c r="N526" s="2" t="s">
        <v>21180</v>
      </c>
      <c r="O526" s="2"/>
      <c r="P526" s="2" t="s">
        <v>21181</v>
      </c>
      <c r="Q526" s="2" t="s">
        <v>21182</v>
      </c>
      <c r="R526" s="2" t="s">
        <v>114</v>
      </c>
      <c r="S526" s="2" t="s">
        <v>5014</v>
      </c>
      <c r="T526" s="2" t="s">
        <v>215</v>
      </c>
      <c r="U526" s="2" t="s">
        <v>21176</v>
      </c>
      <c r="V526" s="2" t="s">
        <v>17198</v>
      </c>
      <c r="W526" s="2"/>
    </row>
    <row r="527">
      <c r="A527" s="2" t="n">
        <v>389</v>
      </c>
      <c r="B527" s="2" t="s">
        <v>13961</v>
      </c>
      <c r="C527" s="2" t="s">
        <v>21183</v>
      </c>
      <c r="D527" s="2" t="n">
        <v>348.048009839</v>
      </c>
      <c r="E527" s="2" t="n">
        <v>2.29775596751071</v>
      </c>
      <c r="F527" s="2" t="s">
        <v>21185</v>
      </c>
      <c r="G527" s="2" t="n">
        <v>50887</v>
      </c>
      <c r="H527" s="3" t="str">
        <f>HYPERLINK("http://funmeta.oebiotech.com/network/50887", "http://funmeta.oebiotech.com/network/50887")</f>
      </c>
      <c r="I527" s="2" t="s">
        <v>21187</v>
      </c>
      <c r="J527" s="2" t="s">
        <v>21188</v>
      </c>
      <c r="K527" s="2"/>
      <c r="L527" s="2" t="s">
        <v>21189</v>
      </c>
      <c r="M527" s="2" t="s">
        <v>21190</v>
      </c>
      <c r="N527" s="2" t="s">
        <v>21191</v>
      </c>
      <c r="O527" s="2" t="s">
        <v>21192</v>
      </c>
      <c r="P527" s="2" t="s">
        <v>21193</v>
      </c>
      <c r="Q527" s="2" t="s">
        <v>21194</v>
      </c>
      <c r="R527" s="2" t="s">
        <v>129</v>
      </c>
      <c r="S527" s="2" t="s">
        <v>130</v>
      </c>
      <c r="T527" s="2" t="s">
        <v>1681</v>
      </c>
      <c r="U527" s="2" t="s">
        <v>21184</v>
      </c>
      <c r="V527" s="2" t="s">
        <v>17406</v>
      </c>
      <c r="W527" s="2" t="s">
        <v>56</v>
      </c>
    </row>
    <row r="528">
      <c r="A528" s="2" t="n">
        <v>390</v>
      </c>
      <c r="B528" s="2" t="s">
        <v>13962</v>
      </c>
      <c r="C528" s="2" t="s">
        <v>21195</v>
      </c>
      <c r="D528" s="2" t="n">
        <v>348.995219659</v>
      </c>
      <c r="E528" s="2" t="n">
        <v>3.02701829405147</v>
      </c>
      <c r="F528" s="2" t="s">
        <v>21197</v>
      </c>
      <c r="G528" s="2" t="n">
        <v>56249</v>
      </c>
      <c r="H528" s="3" t="str">
        <f>HYPERLINK("http://funmeta.oebiotech.com/network/56249", "http://funmeta.oebiotech.com/network/56249")</f>
      </c>
      <c r="I528" s="2" t="s">
        <v>21199</v>
      </c>
      <c r="J528" s="2" t="s">
        <v>21200</v>
      </c>
      <c r="K528" s="2"/>
      <c r="L528" s="2" t="s">
        <v>21201</v>
      </c>
      <c r="M528" s="2" t="s">
        <v>21202</v>
      </c>
      <c r="N528" s="2" t="s">
        <v>21203</v>
      </c>
      <c r="O528" s="2" t="s">
        <v>21204</v>
      </c>
      <c r="P528" s="2" t="s">
        <v>21205</v>
      </c>
      <c r="Q528" s="2" t="s">
        <v>21206</v>
      </c>
      <c r="R528" s="2" t="s">
        <v>186</v>
      </c>
      <c r="S528" s="2" t="s">
        <v>187</v>
      </c>
      <c r="T528" s="2" t="s">
        <v>2195</v>
      </c>
      <c r="U528" s="2" t="s">
        <v>21196</v>
      </c>
      <c r="V528" s="2" t="s">
        <v>17406</v>
      </c>
      <c r="W528" s="2" t="s">
        <v>101</v>
      </c>
    </row>
    <row r="529">
      <c r="A529" s="2" t="n">
        <v>391</v>
      </c>
      <c r="B529" s="2" t="s">
        <v>13975</v>
      </c>
      <c r="C529" s="2" t="s">
        <v>21207</v>
      </c>
      <c r="D529" s="2" t="n">
        <v>351.195470698</v>
      </c>
      <c r="E529" s="2" t="n">
        <v>1.71629315488267</v>
      </c>
      <c r="F529" s="2" t="s">
        <v>21209</v>
      </c>
      <c r="G529" s="2" t="n">
        <v>198820</v>
      </c>
      <c r="H529" s="3" t="str">
        <f>HYPERLINK("http://funmeta.oebiotech.com/network/198820", "http://funmeta.oebiotech.com/network/198820")</f>
      </c>
      <c r="I529" s="2" t="s">
        <v>21211</v>
      </c>
      <c r="J529" s="2" t="s">
        <v>21212</v>
      </c>
      <c r="K529" s="2"/>
      <c r="L529" s="2" t="s">
        <v>21213</v>
      </c>
      <c r="M529" s="2" t="s">
        <v>21214</v>
      </c>
      <c r="N529" s="2" t="s">
        <v>21215</v>
      </c>
      <c r="O529" s="2" t="s">
        <v>21216</v>
      </c>
      <c r="P529" s="2" t="s">
        <v>21217</v>
      </c>
      <c r="Q529" s="2" t="s">
        <v>21218</v>
      </c>
      <c r="R529" s="2" t="s">
        <v>794</v>
      </c>
      <c r="S529" s="2" t="s">
        <v>795</v>
      </c>
      <c r="T529" s="2" t="s">
        <v>1870</v>
      </c>
      <c r="U529" s="2" t="s">
        <v>21208</v>
      </c>
      <c r="V529" s="2" t="s">
        <v>17137</v>
      </c>
      <c r="W529" s="2" t="s">
        <v>101</v>
      </c>
    </row>
    <row r="530">
      <c r="A530" s="2" t="n">
        <v>392</v>
      </c>
      <c r="B530" s="2" t="s">
        <v>13976</v>
      </c>
      <c r="C530" s="2" t="s">
        <v>21219</v>
      </c>
      <c r="D530" s="2" t="n">
        <v>351.239066842</v>
      </c>
      <c r="E530" s="2" t="n">
        <v>5.31382401524621</v>
      </c>
      <c r="F530" s="2" t="s">
        <v>21221</v>
      </c>
      <c r="G530" s="2" t="n">
        <v>203165</v>
      </c>
      <c r="H530" s="3" t="str">
        <f>HYPERLINK("http://funmeta.oebiotech.com/network/203165", "http://funmeta.oebiotech.com/network/203165")</f>
      </c>
      <c r="I530" s="2" t="s">
        <v>21223</v>
      </c>
      <c r="J530" s="2"/>
      <c r="K530" s="2"/>
      <c r="L530" s="2"/>
      <c r="M530" s="2"/>
      <c r="N530" s="2" t="s">
        <v>21224</v>
      </c>
      <c r="O530" s="2"/>
      <c r="P530" s="2" t="s">
        <v>21225</v>
      </c>
      <c r="Q530" s="2" t="s">
        <v>21226</v>
      </c>
      <c r="R530" s="2" t="s">
        <v>36</v>
      </c>
      <c r="S530" s="2" t="s">
        <v>37</v>
      </c>
      <c r="T530" s="2" t="s">
        <v>69</v>
      </c>
      <c r="U530" s="2" t="s">
        <v>21220</v>
      </c>
      <c r="V530" s="2" t="s">
        <v>17137</v>
      </c>
      <c r="W530" s="2"/>
    </row>
    <row r="531">
      <c r="A531" s="2" t="n">
        <v>393</v>
      </c>
      <c r="B531" s="2" t="s">
        <v>13977</v>
      </c>
      <c r="C531" s="2" t="s">
        <v>21227</v>
      </c>
      <c r="D531" s="2" t="n">
        <v>352.0559244</v>
      </c>
      <c r="E531" s="2" t="n">
        <v>0.93419044623247</v>
      </c>
      <c r="F531" s="2" t="s">
        <v>27086</v>
      </c>
      <c r="G531" s="2" t="n">
        <v>198390</v>
      </c>
      <c r="H531" s="3" t="str">
        <f>HYPERLINK("http://funmeta.oebiotech.com/network/198390", "http://funmeta.oebiotech.com/network/198390")</f>
      </c>
      <c r="I531" s="2" t="s">
        <v>27087</v>
      </c>
      <c r="J531" s="2"/>
      <c r="K531" s="2"/>
      <c r="L531" s="2"/>
      <c r="M531" s="2"/>
      <c r="N531" s="2"/>
      <c r="O531" s="2"/>
      <c r="P531" s="2" t="s">
        <v>27088</v>
      </c>
      <c r="Q531" s="2" t="s">
        <v>27089</v>
      </c>
      <c r="R531" s="2" t="s">
        <v>794</v>
      </c>
      <c r="S531" s="2" t="s">
        <v>795</v>
      </c>
      <c r="T531" s="2" t="s">
        <v>1870</v>
      </c>
      <c r="U531" s="2" t="s">
        <v>21228</v>
      </c>
      <c r="V531" s="2" t="s">
        <v>17520</v>
      </c>
      <c r="W531" s="2"/>
    </row>
    <row r="532">
      <c r="A532" s="2" t="n">
        <v>393</v>
      </c>
      <c r="B532" s="2" t="s">
        <v>27090</v>
      </c>
      <c r="C532" s="2" t="s">
        <v>21227</v>
      </c>
      <c r="D532" s="2" t="n">
        <v>352.0559244</v>
      </c>
      <c r="E532" s="2" t="n">
        <v>0.93419044623247</v>
      </c>
      <c r="F532" s="2" t="s">
        <v>27091</v>
      </c>
      <c r="G532" s="2" t="n">
        <v>8373</v>
      </c>
      <c r="H532" s="3" t="str">
        <f>HYPERLINK("http://funmeta.oebiotech.com/network/8373", "http://funmeta.oebiotech.com/network/8373")</f>
      </c>
      <c r="I532" s="2" t="s">
        <v>27092</v>
      </c>
      <c r="J532" s="2"/>
      <c r="K532" s="2" t="s">
        <v>27093</v>
      </c>
      <c r="L532" s="2"/>
      <c r="M532" s="2" t="s">
        <v>27094</v>
      </c>
      <c r="N532" s="2" t="s">
        <v>27095</v>
      </c>
      <c r="O532" s="2"/>
      <c r="P532" s="2" t="s">
        <v>27096</v>
      </c>
      <c r="Q532" s="2" t="s">
        <v>27097</v>
      </c>
      <c r="R532" s="2" t="s">
        <v>794</v>
      </c>
      <c r="S532" s="2" t="s">
        <v>795</v>
      </c>
      <c r="T532" s="2" t="s">
        <v>1870</v>
      </c>
      <c r="U532" s="2" t="s">
        <v>21228</v>
      </c>
      <c r="V532" s="2" t="s">
        <v>17520</v>
      </c>
      <c r="W532" s="2"/>
    </row>
    <row r="533">
      <c r="A533" s="2" t="n">
        <v>394</v>
      </c>
      <c r="B533" s="2" t="s">
        <v>13978</v>
      </c>
      <c r="C533" s="2" t="s">
        <v>21237</v>
      </c>
      <c r="D533" s="2" t="n">
        <v>353.096027764</v>
      </c>
      <c r="E533" s="2" t="n">
        <v>1.12322797937589</v>
      </c>
      <c r="F533" s="2" t="s">
        <v>27098</v>
      </c>
      <c r="G533" s="2" t="n">
        <v>212303</v>
      </c>
      <c r="H533" s="3" t="str">
        <f>HYPERLINK("http://funmeta.oebiotech.com/network/212303", "http://funmeta.oebiotech.com/network/212303")</f>
      </c>
      <c r="I533" s="2" t="s">
        <v>27099</v>
      </c>
      <c r="J533" s="2" t="s">
        <v>27100</v>
      </c>
      <c r="K533" s="2"/>
      <c r="L533" s="2"/>
      <c r="M533" s="2"/>
      <c r="N533" s="2" t="s">
        <v>27101</v>
      </c>
      <c r="O533" s="2"/>
      <c r="P533" s="2" t="s">
        <v>27102</v>
      </c>
      <c r="Q533" s="2" t="s">
        <v>27103</v>
      </c>
      <c r="R533" s="2" t="s">
        <v>114</v>
      </c>
      <c r="S533" s="2" t="s">
        <v>936</v>
      </c>
      <c r="T533" s="2" t="s">
        <v>1749</v>
      </c>
      <c r="U533" s="2" t="s">
        <v>21238</v>
      </c>
      <c r="V533" s="2" t="s">
        <v>17039</v>
      </c>
      <c r="W533" s="2"/>
    </row>
    <row r="534">
      <c r="A534" s="2" t="n">
        <v>394</v>
      </c>
      <c r="B534" s="2" t="s">
        <v>27104</v>
      </c>
      <c r="C534" s="2" t="s">
        <v>21237</v>
      </c>
      <c r="D534" s="2" t="n">
        <v>353.096027764</v>
      </c>
      <c r="E534" s="2" t="n">
        <v>1.12322797937589</v>
      </c>
      <c r="F534" s="2" t="s">
        <v>27105</v>
      </c>
      <c r="G534" s="2" t="n">
        <v>210009</v>
      </c>
      <c r="H534" s="3" t="str">
        <f>HYPERLINK("http://funmeta.oebiotech.com/network/210009", "http://funmeta.oebiotech.com/network/210009")</f>
      </c>
      <c r="I534" s="2" t="s">
        <v>27106</v>
      </c>
      <c r="J534" s="2"/>
      <c r="K534" s="2"/>
      <c r="L534" s="2"/>
      <c r="M534" s="2" t="s">
        <v>27107</v>
      </c>
      <c r="N534" s="2" t="s">
        <v>27108</v>
      </c>
      <c r="O534" s="2"/>
      <c r="P534" s="2" t="s">
        <v>27109</v>
      </c>
      <c r="Q534" s="2" t="s">
        <v>27110</v>
      </c>
      <c r="R534" s="2" t="s">
        <v>186</v>
      </c>
      <c r="S534" s="2" t="s">
        <v>187</v>
      </c>
      <c r="T534" s="2" t="s">
        <v>3996</v>
      </c>
      <c r="U534" s="2" t="s">
        <v>21238</v>
      </c>
      <c r="V534" s="2" t="s">
        <v>17039</v>
      </c>
      <c r="W534" s="2"/>
    </row>
    <row r="535">
      <c r="A535" s="2" t="n">
        <v>394</v>
      </c>
      <c r="B535" s="2" t="s">
        <v>27111</v>
      </c>
      <c r="C535" s="2" t="s">
        <v>21237</v>
      </c>
      <c r="D535" s="2" t="n">
        <v>353.096028242</v>
      </c>
      <c r="E535" s="2" t="n">
        <v>1.12322797937589</v>
      </c>
      <c r="F535" s="2" t="s">
        <v>27112</v>
      </c>
      <c r="G535" s="2" t="n">
        <v>211585</v>
      </c>
      <c r="H535" s="3" t="str">
        <f>HYPERLINK("http://funmeta.oebiotech.com/network/211585", "http://funmeta.oebiotech.com/network/211585")</f>
      </c>
      <c r="I535" s="2" t="s">
        <v>27113</v>
      </c>
      <c r="J535" s="2"/>
      <c r="K535" s="2"/>
      <c r="L535" s="2"/>
      <c r="M535" s="2"/>
      <c r="N535" s="2" t="s">
        <v>27114</v>
      </c>
      <c r="O535" s="2"/>
      <c r="P535" s="2" t="s">
        <v>27115</v>
      </c>
      <c r="Q535" s="2" t="s">
        <v>27116</v>
      </c>
      <c r="R535" s="2" t="s">
        <v>186</v>
      </c>
      <c r="S535" s="2" t="s">
        <v>187</v>
      </c>
      <c r="T535" s="2" t="s">
        <v>3996</v>
      </c>
      <c r="U535" s="2" t="s">
        <v>21238</v>
      </c>
      <c r="V535" s="2" t="s">
        <v>17039</v>
      </c>
      <c r="W535" s="2"/>
    </row>
    <row r="536">
      <c r="A536" s="2" t="n">
        <v>395</v>
      </c>
      <c r="B536" s="2" t="s">
        <v>13979</v>
      </c>
      <c r="C536" s="2" t="s">
        <v>21250</v>
      </c>
      <c r="D536" s="2" t="n">
        <v>355.155234322</v>
      </c>
      <c r="E536" s="2" t="n">
        <v>17.0612823545923</v>
      </c>
      <c r="F536" s="2" t="s">
        <v>21252</v>
      </c>
      <c r="G536" s="2" t="n">
        <v>47330</v>
      </c>
      <c r="H536" s="3" t="str">
        <f>HYPERLINK("http://funmeta.oebiotech.com/network/47330", "http://funmeta.oebiotech.com/network/47330")</f>
      </c>
      <c r="I536" s="2" t="s">
        <v>21254</v>
      </c>
      <c r="J536" s="2" t="s">
        <v>21255</v>
      </c>
      <c r="K536" s="2"/>
      <c r="L536" s="2" t="s">
        <v>21256</v>
      </c>
      <c r="M536" s="2" t="s">
        <v>21257</v>
      </c>
      <c r="N536" s="2" t="s">
        <v>21258</v>
      </c>
      <c r="O536" s="2" t="s">
        <v>21259</v>
      </c>
      <c r="P536" s="2" t="s">
        <v>21260</v>
      </c>
      <c r="Q536" s="2" t="s">
        <v>21261</v>
      </c>
      <c r="R536" s="2" t="s">
        <v>2416</v>
      </c>
      <c r="S536" s="2" t="s">
        <v>15524</v>
      </c>
      <c r="T536" s="2" t="s">
        <v>15525</v>
      </c>
      <c r="U536" s="2" t="s">
        <v>21251</v>
      </c>
      <c r="V536" s="2" t="s">
        <v>17117</v>
      </c>
      <c r="W536" s="2" t="s">
        <v>101</v>
      </c>
    </row>
    <row r="537">
      <c r="A537" s="2" t="n">
        <v>396</v>
      </c>
      <c r="B537" s="2" t="s">
        <v>13980</v>
      </c>
      <c r="C537" s="2" t="s">
        <v>21262</v>
      </c>
      <c r="D537" s="2" t="n">
        <v>355.284874388</v>
      </c>
      <c r="E537" s="2" t="n">
        <v>1.34848821760995</v>
      </c>
      <c r="F537" s="2" t="s">
        <v>21264</v>
      </c>
      <c r="G537" s="2" t="n">
        <v>113724</v>
      </c>
      <c r="H537" s="3" t="str">
        <f>HYPERLINK("http://funmeta.oebiotech.com/network/113724", "http://funmeta.oebiotech.com/network/113724")</f>
      </c>
      <c r="I537" s="2" t="s">
        <v>21266</v>
      </c>
      <c r="J537" s="2"/>
      <c r="K537" s="2"/>
      <c r="L537" s="2"/>
      <c r="M537" s="2"/>
      <c r="N537" s="2" t="s">
        <v>21267</v>
      </c>
      <c r="O537" s="2"/>
      <c r="P537" s="2" t="s">
        <v>21268</v>
      </c>
      <c r="Q537" s="2" t="s">
        <v>21269</v>
      </c>
      <c r="R537" s="2" t="s">
        <v>794</v>
      </c>
      <c r="S537" s="2" t="s">
        <v>2600</v>
      </c>
      <c r="T537" s="2" t="s">
        <v>8990</v>
      </c>
      <c r="U537" s="2" t="s">
        <v>21263</v>
      </c>
      <c r="V537" s="2" t="s">
        <v>17039</v>
      </c>
      <c r="W537" s="2" t="s">
        <v>56</v>
      </c>
    </row>
    <row r="538">
      <c r="A538" s="2" t="n">
        <v>397</v>
      </c>
      <c r="B538" s="2" t="s">
        <v>13981</v>
      </c>
      <c r="C538" s="2" t="s">
        <v>21270</v>
      </c>
      <c r="D538" s="2" t="n">
        <v>357.1621724</v>
      </c>
      <c r="E538" s="2" t="n">
        <v>3.738761678058</v>
      </c>
      <c r="F538" s="2" t="s">
        <v>27117</v>
      </c>
      <c r="G538" s="2" t="n">
        <v>205442</v>
      </c>
      <c r="H538" s="3" t="str">
        <f>HYPERLINK("http://funmeta.oebiotech.com/network/205442", "http://funmeta.oebiotech.com/network/205442")</f>
      </c>
      <c r="I538" s="2" t="s">
        <v>27118</v>
      </c>
      <c r="J538" s="2"/>
      <c r="K538" s="2"/>
      <c r="L538" s="2"/>
      <c r="M538" s="2"/>
      <c r="N538" s="2" t="s">
        <v>4368</v>
      </c>
      <c r="O538" s="2"/>
      <c r="P538" s="2" t="s">
        <v>27119</v>
      </c>
      <c r="Q538" s="2" t="s">
        <v>27120</v>
      </c>
      <c r="R538" s="2" t="s">
        <v>794</v>
      </c>
      <c r="S538" s="2" t="s">
        <v>2971</v>
      </c>
      <c r="T538" s="2" t="s">
        <v>5393</v>
      </c>
      <c r="U538" s="2" t="s">
        <v>21271</v>
      </c>
      <c r="V538" s="2" t="s">
        <v>17039</v>
      </c>
      <c r="W538" s="2"/>
    </row>
    <row r="539">
      <c r="A539" s="2" t="n">
        <v>397</v>
      </c>
      <c r="B539" s="2" t="s">
        <v>27121</v>
      </c>
      <c r="C539" s="2" t="s">
        <v>21270</v>
      </c>
      <c r="D539" s="2" t="n">
        <v>357.162172437</v>
      </c>
      <c r="E539" s="2" t="n">
        <v>3.738761678058</v>
      </c>
      <c r="F539" s="2" t="s">
        <v>27122</v>
      </c>
      <c r="G539" s="2" t="n">
        <v>53624</v>
      </c>
      <c r="H539" s="3" t="str">
        <f>HYPERLINK("http://funmeta.oebiotech.com/network/53624", "http://funmeta.oebiotech.com/network/53624")</f>
      </c>
      <c r="I539" s="2" t="s">
        <v>27123</v>
      </c>
      <c r="J539" s="2" t="s">
        <v>27124</v>
      </c>
      <c r="K539" s="2"/>
      <c r="L539" s="2"/>
      <c r="M539" s="2" t="s">
        <v>27125</v>
      </c>
      <c r="N539" s="2" t="s">
        <v>27126</v>
      </c>
      <c r="O539" s="2" t="s">
        <v>27127</v>
      </c>
      <c r="P539" s="2" t="s">
        <v>27128</v>
      </c>
      <c r="Q539" s="2" t="s">
        <v>27129</v>
      </c>
      <c r="R539" s="2" t="s">
        <v>794</v>
      </c>
      <c r="S539" s="2" t="s">
        <v>2971</v>
      </c>
      <c r="T539" s="2" t="s">
        <v>5393</v>
      </c>
      <c r="U539" s="2" t="s">
        <v>21271</v>
      </c>
      <c r="V539" s="2" t="s">
        <v>17039</v>
      </c>
      <c r="W539" s="2"/>
    </row>
    <row r="540">
      <c r="A540" s="2" t="n">
        <v>398</v>
      </c>
      <c r="B540" s="2" t="s">
        <v>13982</v>
      </c>
      <c r="C540" s="2" t="s">
        <v>21282</v>
      </c>
      <c r="D540" s="2" t="n">
        <v>361.169924652</v>
      </c>
      <c r="E540" s="2" t="n">
        <v>1.33994930600824</v>
      </c>
      <c r="F540" s="2" t="s">
        <v>21284</v>
      </c>
      <c r="G540" s="2" t="n">
        <v>200955</v>
      </c>
      <c r="H540" s="3" t="str">
        <f>HYPERLINK("http://funmeta.oebiotech.com/network/200955", "http://funmeta.oebiotech.com/network/200955")</f>
      </c>
      <c r="I540" s="2" t="s">
        <v>21286</v>
      </c>
      <c r="J540" s="2" t="s">
        <v>21287</v>
      </c>
      <c r="K540" s="2"/>
      <c r="L540" s="2"/>
      <c r="M540" s="2"/>
      <c r="N540" s="2" t="s">
        <v>21288</v>
      </c>
      <c r="O540" s="2"/>
      <c r="P540" s="2" t="s">
        <v>21289</v>
      </c>
      <c r="Q540" s="2" t="s">
        <v>21290</v>
      </c>
      <c r="R540" s="2" t="s">
        <v>114</v>
      </c>
      <c r="S540" s="2" t="s">
        <v>2057</v>
      </c>
      <c r="T540" s="2" t="s">
        <v>19614</v>
      </c>
      <c r="U540" s="2" t="s">
        <v>21283</v>
      </c>
      <c r="V540" s="2" t="s">
        <v>17137</v>
      </c>
      <c r="W540" s="2"/>
    </row>
    <row r="541">
      <c r="A541" s="2" t="n">
        <v>399</v>
      </c>
      <c r="B541" s="2" t="s">
        <v>13983</v>
      </c>
      <c r="C541" s="2" t="s">
        <v>21291</v>
      </c>
      <c r="D541" s="2" t="n">
        <v>362.230176547</v>
      </c>
      <c r="E541" s="2" t="n">
        <v>14.748233640374</v>
      </c>
      <c r="F541" s="2" t="s">
        <v>27130</v>
      </c>
      <c r="G541" s="2" t="n">
        <v>197786</v>
      </c>
      <c r="H541" s="3" t="str">
        <f>HYPERLINK("http://funmeta.oebiotech.com/network/197786", "http://funmeta.oebiotech.com/network/197786")</f>
      </c>
      <c r="I541" s="2" t="s">
        <v>27131</v>
      </c>
      <c r="J541" s="2"/>
      <c r="K541" s="2"/>
      <c r="L541" s="2"/>
      <c r="M541" s="2"/>
      <c r="N541" s="2"/>
      <c r="O541" s="2"/>
      <c r="P541" s="2" t="s">
        <v>27132</v>
      </c>
      <c r="Q541" s="2" t="s">
        <v>27133</v>
      </c>
      <c r="R541" s="2" t="s">
        <v>794</v>
      </c>
      <c r="S541" s="2" t="s">
        <v>795</v>
      </c>
      <c r="T541" s="2" t="s">
        <v>1870</v>
      </c>
      <c r="U541" s="2" t="s">
        <v>21292</v>
      </c>
      <c r="V541" s="2" t="s">
        <v>17198</v>
      </c>
      <c r="W541" s="2"/>
    </row>
    <row r="542">
      <c r="A542" s="2" t="n">
        <v>399</v>
      </c>
      <c r="B542" s="2" t="s">
        <v>27134</v>
      </c>
      <c r="C542" s="2" t="s">
        <v>21291</v>
      </c>
      <c r="D542" s="2" t="n">
        <v>362.230176547</v>
      </c>
      <c r="E542" s="2" t="n">
        <v>14.748233640374</v>
      </c>
      <c r="F542" s="2" t="s">
        <v>27135</v>
      </c>
      <c r="G542" s="2" t="n">
        <v>197787</v>
      </c>
      <c r="H542" s="3" t="str">
        <f>HYPERLINK("http://funmeta.oebiotech.com/network/197787", "http://funmeta.oebiotech.com/network/197787")</f>
      </c>
      <c r="I542" s="2" t="s">
        <v>27136</v>
      </c>
      <c r="J542" s="2"/>
      <c r="K542" s="2"/>
      <c r="L542" s="2"/>
      <c r="M542" s="2"/>
      <c r="N542" s="2"/>
      <c r="O542" s="2"/>
      <c r="P542" s="2" t="s">
        <v>27137</v>
      </c>
      <c r="Q542" s="2" t="s">
        <v>27138</v>
      </c>
      <c r="R542" s="2" t="s">
        <v>794</v>
      </c>
      <c r="S542" s="2" t="s">
        <v>795</v>
      </c>
      <c r="T542" s="2" t="s">
        <v>1870</v>
      </c>
      <c r="U542" s="2" t="s">
        <v>21292</v>
      </c>
      <c r="V542" s="2" t="s">
        <v>17198</v>
      </c>
      <c r="W542" s="2"/>
    </row>
    <row r="543">
      <c r="A543" s="2" t="n">
        <v>399</v>
      </c>
      <c r="B543" s="2" t="s">
        <v>27139</v>
      </c>
      <c r="C543" s="2" t="s">
        <v>21291</v>
      </c>
      <c r="D543" s="2" t="n">
        <v>362.230176547</v>
      </c>
      <c r="E543" s="2" t="n">
        <v>14.748233640374</v>
      </c>
      <c r="F543" s="2" t="s">
        <v>27140</v>
      </c>
      <c r="G543" s="2" t="n">
        <v>197788</v>
      </c>
      <c r="H543" s="3" t="str">
        <f>HYPERLINK("http://funmeta.oebiotech.com/network/197788", "http://funmeta.oebiotech.com/network/197788")</f>
      </c>
      <c r="I543" s="2" t="s">
        <v>27141</v>
      </c>
      <c r="J543" s="2"/>
      <c r="K543" s="2"/>
      <c r="L543" s="2"/>
      <c r="M543" s="2"/>
      <c r="N543" s="2"/>
      <c r="O543" s="2"/>
      <c r="P543" s="2" t="s">
        <v>27142</v>
      </c>
      <c r="Q543" s="2" t="s">
        <v>27143</v>
      </c>
      <c r="R543" s="2" t="s">
        <v>794</v>
      </c>
      <c r="S543" s="2" t="s">
        <v>795</v>
      </c>
      <c r="T543" s="2" t="s">
        <v>1870</v>
      </c>
      <c r="U543" s="2" t="s">
        <v>21292</v>
      </c>
      <c r="V543" s="2" t="s">
        <v>17198</v>
      </c>
      <c r="W543" s="2"/>
    </row>
    <row r="544">
      <c r="A544" s="2" t="n">
        <v>400</v>
      </c>
      <c r="B544" s="2" t="s">
        <v>13984</v>
      </c>
      <c r="C544" s="2" t="s">
        <v>21298</v>
      </c>
      <c r="D544" s="2" t="n">
        <v>363.12029175</v>
      </c>
      <c r="E544" s="2" t="n">
        <v>1.96119174784043</v>
      </c>
      <c r="F544" s="2" t="s">
        <v>21300</v>
      </c>
      <c r="G544" s="2" t="n">
        <v>55395</v>
      </c>
      <c r="H544" s="3" t="str">
        <f>HYPERLINK("http://funmeta.oebiotech.com/network/55395", "http://funmeta.oebiotech.com/network/55395")</f>
      </c>
      <c r="I544" s="2" t="s">
        <v>21302</v>
      </c>
      <c r="J544" s="2" t="s">
        <v>21303</v>
      </c>
      <c r="K544" s="2"/>
      <c r="L544" s="2" t="s">
        <v>21304</v>
      </c>
      <c r="M544" s="2" t="s">
        <v>21305</v>
      </c>
      <c r="N544" s="2" t="s">
        <v>21306</v>
      </c>
      <c r="O544" s="2" t="s">
        <v>21307</v>
      </c>
      <c r="P544" s="2" t="s">
        <v>21308</v>
      </c>
      <c r="Q544" s="2" t="s">
        <v>21309</v>
      </c>
      <c r="R544" s="2" t="s">
        <v>1355</v>
      </c>
      <c r="S544" s="2" t="s">
        <v>9900</v>
      </c>
      <c r="T544" s="2" t="s">
        <v>9901</v>
      </c>
      <c r="U544" s="2" t="s">
        <v>21299</v>
      </c>
      <c r="V544" s="2" t="s">
        <v>17198</v>
      </c>
      <c r="W544" s="2" t="s">
        <v>56</v>
      </c>
    </row>
    <row r="545">
      <c r="A545" s="2" t="n">
        <v>401</v>
      </c>
      <c r="B545" s="2" t="s">
        <v>13985</v>
      </c>
      <c r="C545" s="2" t="s">
        <v>21310</v>
      </c>
      <c r="D545" s="2" t="n">
        <v>363.17208814</v>
      </c>
      <c r="E545" s="2" t="n">
        <v>0.0344179409614218</v>
      </c>
      <c r="F545" s="2" t="s">
        <v>21312</v>
      </c>
      <c r="G545" s="2" t="n">
        <v>52682</v>
      </c>
      <c r="H545" s="3" t="str">
        <f>HYPERLINK("http://funmeta.oebiotech.com/network/52682", "http://funmeta.oebiotech.com/network/52682")</f>
      </c>
      <c r="I545" s="2" t="s">
        <v>21314</v>
      </c>
      <c r="J545" s="2" t="s">
        <v>21315</v>
      </c>
      <c r="K545" s="2"/>
      <c r="L545" s="2"/>
      <c r="M545" s="2" t="s">
        <v>21316</v>
      </c>
      <c r="N545" s="2" t="s">
        <v>21317</v>
      </c>
      <c r="O545" s="2" t="s">
        <v>21318</v>
      </c>
      <c r="P545" s="2" t="s">
        <v>21319</v>
      </c>
      <c r="Q545" s="2" t="s">
        <v>21320</v>
      </c>
      <c r="R545" s="2" t="s">
        <v>794</v>
      </c>
      <c r="S545" s="2" t="s">
        <v>2971</v>
      </c>
      <c r="T545" s="2" t="s">
        <v>5934</v>
      </c>
      <c r="U545" s="2" t="s">
        <v>21311</v>
      </c>
      <c r="V545" s="2" t="s">
        <v>17406</v>
      </c>
      <c r="W545" s="2" t="s">
        <v>56</v>
      </c>
    </row>
    <row r="546">
      <c r="A546" s="2" t="n">
        <v>402</v>
      </c>
      <c r="B546" s="2" t="s">
        <v>13999</v>
      </c>
      <c r="C546" s="2" t="s">
        <v>21321</v>
      </c>
      <c r="D546" s="2" t="n">
        <v>363.991884845</v>
      </c>
      <c r="E546" s="2" t="n">
        <v>0.507085262168828</v>
      </c>
      <c r="F546" s="2" t="s">
        <v>21323</v>
      </c>
      <c r="G546" s="2" t="n">
        <v>212101</v>
      </c>
      <c r="H546" s="3" t="str">
        <f>HYPERLINK("http://funmeta.oebiotech.com/network/212101", "http://funmeta.oebiotech.com/network/212101")</f>
      </c>
      <c r="I546" s="2" t="s">
        <v>21325</v>
      </c>
      <c r="J546" s="2" t="s">
        <v>21326</v>
      </c>
      <c r="K546" s="2"/>
      <c r="L546" s="2" t="s">
        <v>21327</v>
      </c>
      <c r="M546" s="2" t="s">
        <v>21328</v>
      </c>
      <c r="N546" s="2" t="s">
        <v>21329</v>
      </c>
      <c r="O546" s="2" t="s">
        <v>21330</v>
      </c>
      <c r="P546" s="2" t="s">
        <v>21331</v>
      </c>
      <c r="Q546" s="2" t="s">
        <v>21332</v>
      </c>
      <c r="R546" s="2" t="s">
        <v>114</v>
      </c>
      <c r="S546" s="2" t="s">
        <v>172</v>
      </c>
      <c r="T546" s="2" t="s">
        <v>173</v>
      </c>
      <c r="U546" s="2" t="s">
        <v>21322</v>
      </c>
      <c r="V546" s="2" t="s">
        <v>17520</v>
      </c>
      <c r="W546" s="2" t="s">
        <v>101</v>
      </c>
    </row>
    <row r="547">
      <c r="A547" s="2" t="n">
        <v>403</v>
      </c>
      <c r="B547" s="2" t="s">
        <v>14000</v>
      </c>
      <c r="C547" s="2" t="s">
        <v>21333</v>
      </c>
      <c r="D547" s="2" t="n">
        <v>364.966416456</v>
      </c>
      <c r="E547" s="2" t="n">
        <v>5.87903073554827</v>
      </c>
      <c r="F547" s="2" t="s">
        <v>21335</v>
      </c>
      <c r="G547" s="2" t="n">
        <v>212309</v>
      </c>
      <c r="H547" s="3" t="str">
        <f>HYPERLINK("http://funmeta.oebiotech.com/network/212309", "http://funmeta.oebiotech.com/network/212309")</f>
      </c>
      <c r="I547" s="2" t="s">
        <v>21337</v>
      </c>
      <c r="J547" s="2" t="s">
        <v>21338</v>
      </c>
      <c r="K547" s="2"/>
      <c r="L547" s="2" t="s">
        <v>21339</v>
      </c>
      <c r="M547" s="2"/>
      <c r="N547" s="2" t="s">
        <v>21340</v>
      </c>
      <c r="O547" s="2" t="s">
        <v>21341</v>
      </c>
      <c r="P547" s="2" t="s">
        <v>21342</v>
      </c>
      <c r="Q547" s="2" t="s">
        <v>21343</v>
      </c>
      <c r="R547" s="2" t="s">
        <v>186</v>
      </c>
      <c r="S547" s="2" t="s">
        <v>187</v>
      </c>
      <c r="T547" s="2" t="s">
        <v>8537</v>
      </c>
      <c r="U547" s="2" t="s">
        <v>21334</v>
      </c>
      <c r="V547" s="2" t="s">
        <v>17137</v>
      </c>
      <c r="W547" s="2" t="s">
        <v>101</v>
      </c>
    </row>
    <row r="548">
      <c r="A548" s="2" t="n">
        <v>404</v>
      </c>
      <c r="B548" s="2" t="s">
        <v>14001</v>
      </c>
      <c r="C548" s="2" t="s">
        <v>21344</v>
      </c>
      <c r="D548" s="2" t="n">
        <v>365.101964244</v>
      </c>
      <c r="E548" s="2" t="n">
        <v>3.54027740719357</v>
      </c>
      <c r="F548" s="2" t="s">
        <v>21346</v>
      </c>
      <c r="G548" s="2" t="n">
        <v>57550</v>
      </c>
      <c r="H548" s="3" t="str">
        <f>HYPERLINK("http://funmeta.oebiotech.com/network/57550", "http://funmeta.oebiotech.com/network/57550")</f>
      </c>
      <c r="I548" s="2" t="s">
        <v>21348</v>
      </c>
      <c r="J548" s="2" t="s">
        <v>21349</v>
      </c>
      <c r="K548" s="2"/>
      <c r="L548" s="2"/>
      <c r="M548" s="2" t="s">
        <v>21350</v>
      </c>
      <c r="N548" s="2" t="s">
        <v>21351</v>
      </c>
      <c r="O548" s="2" t="s">
        <v>21352</v>
      </c>
      <c r="P548" s="2" t="s">
        <v>21353</v>
      </c>
      <c r="Q548" s="2" t="s">
        <v>21354</v>
      </c>
      <c r="R548" s="2" t="s">
        <v>1355</v>
      </c>
      <c r="S548" s="2" t="s">
        <v>3298</v>
      </c>
      <c r="T548" s="2" t="s">
        <v>15265</v>
      </c>
      <c r="U548" s="2" t="s">
        <v>21345</v>
      </c>
      <c r="V548" s="2" t="s">
        <v>17137</v>
      </c>
      <c r="W548" s="2" t="s">
        <v>56</v>
      </c>
    </row>
    <row r="549">
      <c r="A549" s="2" t="n">
        <v>405</v>
      </c>
      <c r="B549" s="2" t="s">
        <v>14015</v>
      </c>
      <c r="C549" s="2" t="s">
        <v>21355</v>
      </c>
      <c r="D549" s="2" t="n">
        <v>365.157225936</v>
      </c>
      <c r="E549" s="2" t="n">
        <v>1.95924529808418</v>
      </c>
      <c r="F549" s="2" t="s">
        <v>21357</v>
      </c>
      <c r="G549" s="2" t="n">
        <v>83356</v>
      </c>
      <c r="H549" s="3" t="str">
        <f>HYPERLINK("http://funmeta.oebiotech.com/network/83356", "http://funmeta.oebiotech.com/network/83356")</f>
      </c>
      <c r="I549" s="2" t="s">
        <v>21359</v>
      </c>
      <c r="J549" s="2"/>
      <c r="K549" s="2"/>
      <c r="L549" s="2"/>
      <c r="M549" s="2" t="s">
        <v>21360</v>
      </c>
      <c r="N549" s="2" t="s">
        <v>21361</v>
      </c>
      <c r="O549" s="2" t="s">
        <v>21362</v>
      </c>
      <c r="P549" s="2" t="s">
        <v>21363</v>
      </c>
      <c r="Q549" s="2" t="s">
        <v>21364</v>
      </c>
      <c r="R549" s="2" t="s">
        <v>129</v>
      </c>
      <c r="S549" s="2" t="s">
        <v>130</v>
      </c>
      <c r="T549" s="2" t="s">
        <v>4901</v>
      </c>
      <c r="U549" s="2" t="s">
        <v>21356</v>
      </c>
      <c r="V549" s="2" t="s">
        <v>17406</v>
      </c>
      <c r="W549" s="2" t="s">
        <v>56</v>
      </c>
    </row>
    <row r="550">
      <c r="A550" s="2" t="n">
        <v>406</v>
      </c>
      <c r="B550" s="2" t="s">
        <v>14032</v>
      </c>
      <c r="C550" s="2" t="s">
        <v>21365</v>
      </c>
      <c r="D550" s="2" t="n">
        <v>366.161819743</v>
      </c>
      <c r="E550" s="2" t="n">
        <v>0.650317519442561</v>
      </c>
      <c r="F550" s="2" t="s">
        <v>21367</v>
      </c>
      <c r="G550" s="2" t="n">
        <v>208883</v>
      </c>
      <c r="H550" s="3" t="str">
        <f>HYPERLINK("http://funmeta.oebiotech.com/network/208883", "http://funmeta.oebiotech.com/network/208883")</f>
      </c>
      <c r="I550" s="2" t="s">
        <v>21369</v>
      </c>
      <c r="J550" s="2"/>
      <c r="K550" s="2"/>
      <c r="L550" s="2"/>
      <c r="M550" s="2"/>
      <c r="N550" s="2" t="s">
        <v>21370</v>
      </c>
      <c r="O550" s="2"/>
      <c r="P550" s="2" t="s">
        <v>21371</v>
      </c>
      <c r="Q550" s="2" t="s">
        <v>21372</v>
      </c>
      <c r="R550" s="2" t="s">
        <v>36</v>
      </c>
      <c r="S550" s="2" t="s">
        <v>37</v>
      </c>
      <c r="T550" s="2" t="s">
        <v>69</v>
      </c>
      <c r="U550" s="2" t="s">
        <v>21366</v>
      </c>
      <c r="V550" s="2" t="s">
        <v>17039</v>
      </c>
      <c r="W550" s="2"/>
    </row>
    <row r="551">
      <c r="A551" s="2" t="n">
        <v>407</v>
      </c>
      <c r="B551" s="2" t="s">
        <v>14033</v>
      </c>
      <c r="C551" s="2" t="s">
        <v>21373</v>
      </c>
      <c r="D551" s="2" t="n">
        <v>366.96697673</v>
      </c>
      <c r="E551" s="2" t="n">
        <v>0.186016771590383</v>
      </c>
      <c r="F551" s="2" t="s">
        <v>27144</v>
      </c>
      <c r="G551" s="2" t="n">
        <v>48237</v>
      </c>
      <c r="H551" s="3" t="str">
        <f>HYPERLINK("http://funmeta.oebiotech.com/network/48237", "http://funmeta.oebiotech.com/network/48237")</f>
      </c>
      <c r="I551" s="2" t="s">
        <v>27145</v>
      </c>
      <c r="J551" s="2" t="s">
        <v>27146</v>
      </c>
      <c r="K551" s="2"/>
      <c r="L551" s="2" t="s">
        <v>27147</v>
      </c>
      <c r="M551" s="2" t="s">
        <v>27148</v>
      </c>
      <c r="N551" s="2" t="s">
        <v>27149</v>
      </c>
      <c r="O551" s="2" t="s">
        <v>27150</v>
      </c>
      <c r="P551" s="2" t="s">
        <v>27151</v>
      </c>
      <c r="Q551" s="2" t="s">
        <v>27152</v>
      </c>
      <c r="R551" s="2" t="s">
        <v>36</v>
      </c>
      <c r="S551" s="2" t="s">
        <v>37</v>
      </c>
      <c r="T551" s="2" t="s">
        <v>69</v>
      </c>
      <c r="U551" s="2" t="s">
        <v>21374</v>
      </c>
      <c r="V551" s="2" t="s">
        <v>18382</v>
      </c>
      <c r="W551" s="2" t="s">
        <v>101</v>
      </c>
    </row>
    <row r="552">
      <c r="A552" s="2" t="n">
        <v>407</v>
      </c>
      <c r="B552" s="2" t="s">
        <v>14041</v>
      </c>
      <c r="C552" s="2" t="s">
        <v>21373</v>
      </c>
      <c r="D552" s="2" t="n">
        <v>366.966978</v>
      </c>
      <c r="E552" s="2" t="n">
        <v>0.186016771590383</v>
      </c>
      <c r="F552" s="2" t="s">
        <v>27153</v>
      </c>
      <c r="G552" s="2" t="n">
        <v>48239</v>
      </c>
      <c r="H552" s="3" t="str">
        <f>HYPERLINK("http://funmeta.oebiotech.com/network/48239", "http://funmeta.oebiotech.com/network/48239")</f>
      </c>
      <c r="I552" s="2" t="s">
        <v>27154</v>
      </c>
      <c r="J552" s="2"/>
      <c r="K552" s="2"/>
      <c r="L552" s="2" t="s">
        <v>27155</v>
      </c>
      <c r="M552" s="2" t="s">
        <v>27156</v>
      </c>
      <c r="N552" s="2" t="s">
        <v>27157</v>
      </c>
      <c r="O552" s="2" t="s">
        <v>27158</v>
      </c>
      <c r="P552" s="2" t="s">
        <v>27159</v>
      </c>
      <c r="Q552" s="2" t="s">
        <v>27160</v>
      </c>
      <c r="R552" s="2" t="s">
        <v>36</v>
      </c>
      <c r="S552" s="2" t="s">
        <v>37</v>
      </c>
      <c r="T552" s="2" t="s">
        <v>69</v>
      </c>
      <c r="U552" s="2" t="s">
        <v>21374</v>
      </c>
      <c r="V552" s="2" t="s">
        <v>18382</v>
      </c>
      <c r="W552" s="2" t="s">
        <v>101</v>
      </c>
    </row>
    <row r="553">
      <c r="A553" s="2" t="n">
        <v>408</v>
      </c>
      <c r="B553" s="2" t="s">
        <v>14049</v>
      </c>
      <c r="C553" s="2" t="s">
        <v>21385</v>
      </c>
      <c r="D553" s="2" t="n">
        <v>367.1577558</v>
      </c>
      <c r="E553" s="2" t="n">
        <v>0.875581367588154</v>
      </c>
      <c r="F553" s="2" t="s">
        <v>21387</v>
      </c>
      <c r="G553" s="2" t="n">
        <v>201629</v>
      </c>
      <c r="H553" s="3" t="str">
        <f>HYPERLINK("http://funmeta.oebiotech.com/network/201629", "http://funmeta.oebiotech.com/network/201629")</f>
      </c>
      <c r="I553" s="2" t="s">
        <v>21389</v>
      </c>
      <c r="J553" s="2"/>
      <c r="K553" s="2"/>
      <c r="L553" s="2"/>
      <c r="M553" s="2"/>
      <c r="N553" s="2" t="s">
        <v>21390</v>
      </c>
      <c r="O553" s="2"/>
      <c r="P553" s="2" t="s">
        <v>21391</v>
      </c>
      <c r="Q553" s="2" t="s">
        <v>21392</v>
      </c>
      <c r="R553" s="2" t="s">
        <v>186</v>
      </c>
      <c r="S553" s="2" t="s">
        <v>187</v>
      </c>
      <c r="T553" s="2" t="s">
        <v>11522</v>
      </c>
      <c r="U553" s="2" t="s">
        <v>21386</v>
      </c>
      <c r="V553" s="2" t="s">
        <v>17039</v>
      </c>
      <c r="W553" s="2"/>
    </row>
    <row r="554">
      <c r="A554" s="2" t="n">
        <v>409</v>
      </c>
      <c r="B554" s="2" t="s">
        <v>14050</v>
      </c>
      <c r="C554" s="2" t="s">
        <v>21393</v>
      </c>
      <c r="D554" s="2" t="n">
        <v>367.22436289</v>
      </c>
      <c r="E554" s="2" t="n">
        <v>0.638505020879827</v>
      </c>
      <c r="F554" s="2" t="s">
        <v>27161</v>
      </c>
      <c r="G554" s="2" t="n">
        <v>4847</v>
      </c>
      <c r="H554" s="3" t="str">
        <f>HYPERLINK("http://funmeta.oebiotech.com/network/4847", "http://funmeta.oebiotech.com/network/4847")</f>
      </c>
      <c r="I554" s="2" t="s">
        <v>27162</v>
      </c>
      <c r="J554" s="2"/>
      <c r="K554" s="2" t="s">
        <v>27163</v>
      </c>
      <c r="L554" s="2"/>
      <c r="M554" s="2" t="s">
        <v>27164</v>
      </c>
      <c r="N554" s="2" t="s">
        <v>27165</v>
      </c>
      <c r="O554" s="2" t="s">
        <v>27166</v>
      </c>
      <c r="P554" s="2" t="s">
        <v>27167</v>
      </c>
      <c r="Q554" s="2" t="s">
        <v>27168</v>
      </c>
      <c r="R554" s="2" t="s">
        <v>794</v>
      </c>
      <c r="S554" s="2" t="s">
        <v>795</v>
      </c>
      <c r="T554" s="2" t="s">
        <v>796</v>
      </c>
      <c r="U554" s="2" t="s">
        <v>21394</v>
      </c>
      <c r="V554" s="2" t="s">
        <v>17198</v>
      </c>
      <c r="W554" s="2" t="s">
        <v>56</v>
      </c>
    </row>
    <row r="555">
      <c r="A555" s="2" t="n">
        <v>409</v>
      </c>
      <c r="B555" s="2" t="s">
        <v>27169</v>
      </c>
      <c r="C555" s="2" t="s">
        <v>21393</v>
      </c>
      <c r="D555" s="2" t="n">
        <v>367.22436289</v>
      </c>
      <c r="E555" s="2" t="n">
        <v>0.638505020879827</v>
      </c>
      <c r="F555" s="2" t="s">
        <v>27170</v>
      </c>
      <c r="G555" s="2" t="n">
        <v>82051</v>
      </c>
      <c r="H555" s="3" t="str">
        <f>HYPERLINK("http://funmeta.oebiotech.com/network/82051", "http://funmeta.oebiotech.com/network/82051")</f>
      </c>
      <c r="I555" s="2" t="s">
        <v>27171</v>
      </c>
      <c r="J555" s="2"/>
      <c r="K555" s="2"/>
      <c r="L555" s="2"/>
      <c r="M555" s="2"/>
      <c r="N555" s="2" t="s">
        <v>27172</v>
      </c>
      <c r="O555" s="2"/>
      <c r="P555" s="2" t="s">
        <v>27173</v>
      </c>
      <c r="Q555" s="2" t="s">
        <v>27174</v>
      </c>
      <c r="R555" s="2" t="s">
        <v>794</v>
      </c>
      <c r="S555" s="2" t="s">
        <v>795</v>
      </c>
      <c r="T555" s="2" t="s">
        <v>796</v>
      </c>
      <c r="U555" s="2" t="s">
        <v>21394</v>
      </c>
      <c r="V555" s="2" t="s">
        <v>17198</v>
      </c>
      <c r="W555" s="2" t="s">
        <v>56</v>
      </c>
    </row>
    <row r="556">
      <c r="A556" s="2" t="n">
        <v>409</v>
      </c>
      <c r="B556" s="2" t="s">
        <v>27175</v>
      </c>
      <c r="C556" s="2" t="s">
        <v>21393</v>
      </c>
      <c r="D556" s="2" t="n">
        <v>367.22436289</v>
      </c>
      <c r="E556" s="2" t="n">
        <v>0.638505020879827</v>
      </c>
      <c r="F556" s="2" t="s">
        <v>27176</v>
      </c>
      <c r="G556" s="2" t="n">
        <v>82052</v>
      </c>
      <c r="H556" s="3" t="str">
        <f>HYPERLINK("http://funmeta.oebiotech.com/network/82052", "http://funmeta.oebiotech.com/network/82052")</f>
      </c>
      <c r="I556" s="2" t="s">
        <v>27177</v>
      </c>
      <c r="J556" s="2"/>
      <c r="K556" s="2"/>
      <c r="L556" s="2"/>
      <c r="M556" s="2"/>
      <c r="N556" s="2" t="s">
        <v>27178</v>
      </c>
      <c r="O556" s="2"/>
      <c r="P556" s="2" t="s">
        <v>27179</v>
      </c>
      <c r="Q556" s="2" t="s">
        <v>27180</v>
      </c>
      <c r="R556" s="2" t="s">
        <v>794</v>
      </c>
      <c r="S556" s="2" t="s">
        <v>795</v>
      </c>
      <c r="T556" s="2" t="s">
        <v>796</v>
      </c>
      <c r="U556" s="2" t="s">
        <v>21394</v>
      </c>
      <c r="V556" s="2" t="s">
        <v>17198</v>
      </c>
      <c r="W556" s="2" t="s">
        <v>56</v>
      </c>
    </row>
    <row r="557">
      <c r="A557" s="2" t="n">
        <v>410</v>
      </c>
      <c r="B557" s="2" t="s">
        <v>14051</v>
      </c>
      <c r="C557" s="2" t="s">
        <v>21404</v>
      </c>
      <c r="D557" s="2" t="n">
        <v>368.222568831</v>
      </c>
      <c r="E557" s="2" t="n">
        <v>1.24584111678457</v>
      </c>
      <c r="F557" s="2" t="s">
        <v>21406</v>
      </c>
      <c r="G557" s="2" t="n">
        <v>53069</v>
      </c>
      <c r="H557" s="3" t="str">
        <f>HYPERLINK("http://funmeta.oebiotech.com/network/53069", "http://funmeta.oebiotech.com/network/53069")</f>
      </c>
      <c r="I557" s="2" t="s">
        <v>21408</v>
      </c>
      <c r="J557" s="2" t="s">
        <v>21409</v>
      </c>
      <c r="K557" s="2"/>
      <c r="L557" s="2" t="s">
        <v>21410</v>
      </c>
      <c r="M557" s="2" t="s">
        <v>21411</v>
      </c>
      <c r="N557" s="2" t="s">
        <v>21412</v>
      </c>
      <c r="O557" s="2" t="s">
        <v>21413</v>
      </c>
      <c r="P557" s="2" t="s">
        <v>21414</v>
      </c>
      <c r="Q557" s="2" t="s">
        <v>21415</v>
      </c>
      <c r="R557" s="2" t="s">
        <v>114</v>
      </c>
      <c r="S557" s="2" t="s">
        <v>6312</v>
      </c>
      <c r="T557" s="2" t="s">
        <v>6313</v>
      </c>
      <c r="U557" s="2" t="s">
        <v>21405</v>
      </c>
      <c r="V557" s="2" t="s">
        <v>17117</v>
      </c>
      <c r="W557" s="2" t="s">
        <v>56</v>
      </c>
    </row>
    <row r="558">
      <c r="A558" s="2" t="n">
        <v>411</v>
      </c>
      <c r="B558" s="2" t="s">
        <v>14052</v>
      </c>
      <c r="C558" s="2" t="s">
        <v>21416</v>
      </c>
      <c r="D558" s="2" t="n">
        <v>368.961854052</v>
      </c>
      <c r="E558" s="2" t="n">
        <v>4.29802000943075</v>
      </c>
      <c r="F558" s="2" t="s">
        <v>21418</v>
      </c>
      <c r="G558" s="2" t="n">
        <v>47351</v>
      </c>
      <c r="H558" s="3" t="str">
        <f>HYPERLINK("http://funmeta.oebiotech.com/network/47351", "http://funmeta.oebiotech.com/network/47351")</f>
      </c>
      <c r="I558" s="2" t="s">
        <v>21420</v>
      </c>
      <c r="J558" s="2" t="s">
        <v>21421</v>
      </c>
      <c r="K558" s="2"/>
      <c r="L558" s="2" t="s">
        <v>21422</v>
      </c>
      <c r="M558" s="2" t="s">
        <v>21423</v>
      </c>
      <c r="N558" s="2" t="s">
        <v>21424</v>
      </c>
      <c r="O558" s="2" t="s">
        <v>21425</v>
      </c>
      <c r="P558" s="2" t="s">
        <v>21426</v>
      </c>
      <c r="Q558" s="2" t="s">
        <v>21427</v>
      </c>
      <c r="R558" s="2" t="s">
        <v>129</v>
      </c>
      <c r="S558" s="2" t="s">
        <v>130</v>
      </c>
      <c r="T558" s="2" t="s">
        <v>131</v>
      </c>
      <c r="U558" s="2" t="s">
        <v>21417</v>
      </c>
      <c r="V558" s="2" t="s">
        <v>18382</v>
      </c>
      <c r="W558" s="2" t="s">
        <v>56</v>
      </c>
    </row>
    <row r="559">
      <c r="A559" s="2" t="n">
        <v>412</v>
      </c>
      <c r="B559" s="2" t="s">
        <v>14053</v>
      </c>
      <c r="C559" s="2" t="s">
        <v>21428</v>
      </c>
      <c r="D559" s="2" t="n">
        <v>369.029587705</v>
      </c>
      <c r="E559" s="2" t="n">
        <v>1.01418925537385</v>
      </c>
      <c r="F559" s="2" t="s">
        <v>21430</v>
      </c>
      <c r="G559" s="2" t="n">
        <v>197039</v>
      </c>
      <c r="H559" s="3" t="str">
        <f>HYPERLINK("http://funmeta.oebiotech.com/network/197039", "http://funmeta.oebiotech.com/network/197039")</f>
      </c>
      <c r="I559" s="2" t="s">
        <v>21432</v>
      </c>
      <c r="J559" s="2"/>
      <c r="K559" s="2"/>
      <c r="L559" s="2" t="s">
        <v>21433</v>
      </c>
      <c r="M559" s="2" t="s">
        <v>21434</v>
      </c>
      <c r="N559" s="2" t="s">
        <v>21435</v>
      </c>
      <c r="O559" s="2"/>
      <c r="P559" s="2" t="s">
        <v>21436</v>
      </c>
      <c r="Q559" s="2" t="s">
        <v>21437</v>
      </c>
      <c r="R559" s="2" t="s">
        <v>186</v>
      </c>
      <c r="S559" s="2" t="s">
        <v>187</v>
      </c>
      <c r="T559" s="2" t="s">
        <v>215</v>
      </c>
      <c r="U559" s="2" t="s">
        <v>21429</v>
      </c>
      <c r="V559" s="2" t="s">
        <v>17137</v>
      </c>
      <c r="W559" s="2" t="s">
        <v>101</v>
      </c>
    </row>
    <row r="560">
      <c r="A560" s="2" t="n">
        <v>413</v>
      </c>
      <c r="B560" s="2" t="s">
        <v>14054</v>
      </c>
      <c r="C560" s="2" t="s">
        <v>21438</v>
      </c>
      <c r="D560" s="2" t="n">
        <v>369.135744586</v>
      </c>
      <c r="E560" s="2" t="n">
        <v>2.65953221178175</v>
      </c>
      <c r="F560" s="2" t="s">
        <v>21440</v>
      </c>
      <c r="G560" s="2" t="n">
        <v>208841</v>
      </c>
      <c r="H560" s="3" t="str">
        <f>HYPERLINK("http://funmeta.oebiotech.com/network/208841", "http://funmeta.oebiotech.com/network/208841")</f>
      </c>
      <c r="I560" s="2" t="s">
        <v>21442</v>
      </c>
      <c r="J560" s="2"/>
      <c r="K560" s="2"/>
      <c r="L560" s="2"/>
      <c r="M560" s="2"/>
      <c r="N560" s="2" t="s">
        <v>21443</v>
      </c>
      <c r="O560" s="2"/>
      <c r="P560" s="2" t="s">
        <v>21444</v>
      </c>
      <c r="Q560" s="2" t="s">
        <v>21445</v>
      </c>
      <c r="R560" s="2" t="s">
        <v>129</v>
      </c>
      <c r="S560" s="2" t="s">
        <v>130</v>
      </c>
      <c r="T560" s="2" t="s">
        <v>131</v>
      </c>
      <c r="U560" s="2" t="s">
        <v>21439</v>
      </c>
      <c r="V560" s="2" t="s">
        <v>17137</v>
      </c>
      <c r="W560" s="2"/>
    </row>
    <row r="561">
      <c r="A561" s="2" t="n">
        <v>414</v>
      </c>
      <c r="B561" s="2" t="s">
        <v>14055</v>
      </c>
      <c r="C561" s="2" t="s">
        <v>21446</v>
      </c>
      <c r="D561" s="2" t="n">
        <v>369.233667725</v>
      </c>
      <c r="E561" s="2" t="n">
        <v>0.896213064973321</v>
      </c>
      <c r="F561" s="2" t="s">
        <v>21448</v>
      </c>
      <c r="G561" s="2" t="n">
        <v>209050</v>
      </c>
      <c r="H561" s="3" t="str">
        <f>HYPERLINK("http://funmeta.oebiotech.com/network/209050", "http://funmeta.oebiotech.com/network/209050")</f>
      </c>
      <c r="I561" s="2" t="s">
        <v>21450</v>
      </c>
      <c r="J561" s="2"/>
      <c r="K561" s="2"/>
      <c r="L561" s="2"/>
      <c r="M561" s="2"/>
      <c r="N561" s="2" t="s">
        <v>21451</v>
      </c>
      <c r="O561" s="2"/>
      <c r="P561" s="2" t="s">
        <v>21452</v>
      </c>
      <c r="Q561" s="2" t="s">
        <v>21453</v>
      </c>
      <c r="R561" s="2" t="s">
        <v>114</v>
      </c>
      <c r="S561" s="2" t="s">
        <v>4121</v>
      </c>
      <c r="T561" s="2" t="s">
        <v>7629</v>
      </c>
      <c r="U561" s="2" t="s">
        <v>21447</v>
      </c>
      <c r="V561" s="2" t="s">
        <v>17137</v>
      </c>
      <c r="W561" s="2"/>
    </row>
    <row r="562">
      <c r="A562" s="2" t="n">
        <v>415</v>
      </c>
      <c r="B562" s="2" t="s">
        <v>14056</v>
      </c>
      <c r="C562" s="2" t="s">
        <v>21454</v>
      </c>
      <c r="D562" s="2" t="n">
        <v>371.103596306</v>
      </c>
      <c r="E562" s="2" t="n">
        <v>0.103125239294674</v>
      </c>
      <c r="F562" s="2" t="s">
        <v>21456</v>
      </c>
      <c r="G562" s="2" t="n">
        <v>205547</v>
      </c>
      <c r="H562" s="3" t="str">
        <f>HYPERLINK("http://funmeta.oebiotech.com/network/205547", "http://funmeta.oebiotech.com/network/205547")</f>
      </c>
      <c r="I562" s="2" t="s">
        <v>21458</v>
      </c>
      <c r="J562" s="2"/>
      <c r="K562" s="2"/>
      <c r="L562" s="2"/>
      <c r="M562" s="2"/>
      <c r="N562" s="2" t="s">
        <v>21459</v>
      </c>
      <c r="O562" s="2"/>
      <c r="P562" s="2" t="s">
        <v>21460</v>
      </c>
      <c r="Q562" s="2" t="s">
        <v>21461</v>
      </c>
      <c r="R562" s="2" t="s">
        <v>186</v>
      </c>
      <c r="S562" s="2" t="s">
        <v>4086</v>
      </c>
      <c r="T562" s="2" t="s">
        <v>4087</v>
      </c>
      <c r="U562" s="2" t="s">
        <v>21455</v>
      </c>
      <c r="V562" s="2" t="s">
        <v>17198</v>
      </c>
      <c r="W562" s="2"/>
    </row>
    <row r="563">
      <c r="A563" s="2" t="n">
        <v>416</v>
      </c>
      <c r="B563" s="2" t="s">
        <v>14057</v>
      </c>
      <c r="C563" s="2" t="s">
        <v>21462</v>
      </c>
      <c r="D563" s="2" t="n">
        <v>371.14532683</v>
      </c>
      <c r="E563" s="2" t="n">
        <v>1.42643718272251</v>
      </c>
      <c r="F563" s="2" t="s">
        <v>21464</v>
      </c>
      <c r="G563" s="2" t="n">
        <v>206722</v>
      </c>
      <c r="H563" s="3" t="str">
        <f>HYPERLINK("http://funmeta.oebiotech.com/network/206722", "http://funmeta.oebiotech.com/network/206722")</f>
      </c>
      <c r="I563" s="2" t="s">
        <v>21466</v>
      </c>
      <c r="J563" s="2"/>
      <c r="K563" s="2"/>
      <c r="L563" s="2"/>
      <c r="M563" s="2"/>
      <c r="N563" s="2"/>
      <c r="O563" s="2"/>
      <c r="P563" s="2" t="s">
        <v>21467</v>
      </c>
      <c r="Q563" s="2" t="s">
        <v>21468</v>
      </c>
      <c r="R563" s="2" t="s">
        <v>186</v>
      </c>
      <c r="S563" s="2" t="s">
        <v>187</v>
      </c>
      <c r="T563" s="2" t="s">
        <v>2791</v>
      </c>
      <c r="U563" s="2" t="s">
        <v>21463</v>
      </c>
      <c r="V563" s="2" t="s">
        <v>17137</v>
      </c>
      <c r="W563" s="2"/>
    </row>
    <row r="564">
      <c r="A564" s="2" t="n">
        <v>417</v>
      </c>
      <c r="B564" s="2" t="s">
        <v>14058</v>
      </c>
      <c r="C564" s="2" t="s">
        <v>21469</v>
      </c>
      <c r="D564" s="2" t="n">
        <v>371.230510898</v>
      </c>
      <c r="E564" s="2" t="n">
        <v>1.81700808372411</v>
      </c>
      <c r="F564" s="2" t="s">
        <v>21471</v>
      </c>
      <c r="G564" s="2" t="n">
        <v>203849</v>
      </c>
      <c r="H564" s="3" t="str">
        <f>HYPERLINK("http://funmeta.oebiotech.com/network/203849", "http://funmeta.oebiotech.com/network/203849")</f>
      </c>
      <c r="I564" s="2" t="s">
        <v>21473</v>
      </c>
      <c r="J564" s="2"/>
      <c r="K564" s="2"/>
      <c r="L564" s="2"/>
      <c r="M564" s="2"/>
      <c r="N564" s="2" t="s">
        <v>21474</v>
      </c>
      <c r="O564" s="2"/>
      <c r="P564" s="2" t="s">
        <v>21475</v>
      </c>
      <c r="Q564" s="2" t="s">
        <v>21476</v>
      </c>
      <c r="R564" s="2" t="s">
        <v>794</v>
      </c>
      <c r="S564" s="2" t="s">
        <v>795</v>
      </c>
      <c r="T564" s="2" t="s">
        <v>796</v>
      </c>
      <c r="U564" s="2" t="s">
        <v>21470</v>
      </c>
      <c r="V564" s="2" t="s">
        <v>17198</v>
      </c>
      <c r="W564" s="2"/>
    </row>
    <row r="565">
      <c r="A565" s="2" t="n">
        <v>418</v>
      </c>
      <c r="B565" s="2" t="s">
        <v>14059</v>
      </c>
      <c r="C565" s="2" t="s">
        <v>21477</v>
      </c>
      <c r="D565" s="2" t="n">
        <v>371.313177896</v>
      </c>
      <c r="E565" s="2" t="n">
        <v>5.38798505086614</v>
      </c>
      <c r="F565" s="2" t="s">
        <v>27181</v>
      </c>
      <c r="G565" s="2" t="n">
        <v>63470</v>
      </c>
      <c r="H565" s="3" t="str">
        <f>HYPERLINK("http://funmeta.oebiotech.com/network/63470", "http://funmeta.oebiotech.com/network/63470")</f>
      </c>
      <c r="I565" s="2" t="s">
        <v>27182</v>
      </c>
      <c r="J565" s="2" t="s">
        <v>27183</v>
      </c>
      <c r="K565" s="2"/>
      <c r="L565" s="2"/>
      <c r="M565" s="2"/>
      <c r="N565" s="2" t="s">
        <v>27184</v>
      </c>
      <c r="O565" s="2" t="s">
        <v>27185</v>
      </c>
      <c r="P565" s="2" t="s">
        <v>27186</v>
      </c>
      <c r="Q565" s="2" t="s">
        <v>27187</v>
      </c>
      <c r="R565" s="2" t="s">
        <v>129</v>
      </c>
      <c r="S565" s="2" t="s">
        <v>130</v>
      </c>
      <c r="T565" s="2" t="s">
        <v>4901</v>
      </c>
      <c r="U565" s="2" t="s">
        <v>21478</v>
      </c>
      <c r="V565" s="2" t="s">
        <v>17892</v>
      </c>
      <c r="W565" s="2" t="s">
        <v>56</v>
      </c>
    </row>
    <row r="566">
      <c r="A566" s="2" t="n">
        <v>418</v>
      </c>
      <c r="B566" s="2" t="s">
        <v>27188</v>
      </c>
      <c r="C566" s="2" t="s">
        <v>21477</v>
      </c>
      <c r="D566" s="2" t="n">
        <v>371.313177896</v>
      </c>
      <c r="E566" s="2" t="n">
        <v>5.38798505086614</v>
      </c>
      <c r="F566" s="2" t="s">
        <v>27189</v>
      </c>
      <c r="G566" s="2" t="n">
        <v>6386</v>
      </c>
      <c r="H566" s="3" t="str">
        <f>HYPERLINK("http://funmeta.oebiotech.com/network/6386", "http://funmeta.oebiotech.com/network/6386")</f>
      </c>
      <c r="I566" s="2" t="s">
        <v>27190</v>
      </c>
      <c r="J566" s="2" t="s">
        <v>27191</v>
      </c>
      <c r="K566" s="2" t="s">
        <v>27192</v>
      </c>
      <c r="L566" s="2"/>
      <c r="M566" s="2"/>
      <c r="N566" s="2" t="s">
        <v>27193</v>
      </c>
      <c r="O566" s="2"/>
      <c r="P566" s="2" t="s">
        <v>27194</v>
      </c>
      <c r="Q566" s="2" t="s">
        <v>27195</v>
      </c>
      <c r="R566" s="2" t="s">
        <v>794</v>
      </c>
      <c r="S566" s="2" t="s">
        <v>795</v>
      </c>
      <c r="T566" s="2" t="s">
        <v>3273</v>
      </c>
      <c r="U566" s="2" t="s">
        <v>21478</v>
      </c>
      <c r="V566" s="2" t="s">
        <v>17892</v>
      </c>
      <c r="W566" s="2" t="s">
        <v>56</v>
      </c>
    </row>
    <row r="567">
      <c r="A567" s="2" t="n">
        <v>419</v>
      </c>
      <c r="B567" s="2" t="s">
        <v>14060</v>
      </c>
      <c r="C567" s="2" t="s">
        <v>21491</v>
      </c>
      <c r="D567" s="2" t="n">
        <v>372.104010406</v>
      </c>
      <c r="E567" s="2" t="n">
        <v>0.168678648194222</v>
      </c>
      <c r="F567" s="2" t="s">
        <v>21493</v>
      </c>
      <c r="G567" s="2" t="n">
        <v>52575</v>
      </c>
      <c r="H567" s="3" t="str">
        <f>HYPERLINK("http://funmeta.oebiotech.com/network/52575", "http://funmeta.oebiotech.com/network/52575")</f>
      </c>
      <c r="I567" s="2" t="s">
        <v>21495</v>
      </c>
      <c r="J567" s="2"/>
      <c r="K567" s="2"/>
      <c r="L567" s="2"/>
      <c r="M567" s="2"/>
      <c r="N567" s="2" t="s">
        <v>21496</v>
      </c>
      <c r="O567" s="2" t="s">
        <v>21497</v>
      </c>
      <c r="P567" s="2" t="s">
        <v>21498</v>
      </c>
      <c r="Q567" s="2" t="s">
        <v>21499</v>
      </c>
      <c r="R567" s="2" t="s">
        <v>186</v>
      </c>
      <c r="S567" s="2" t="s">
        <v>187</v>
      </c>
      <c r="T567" s="2" t="s">
        <v>2791</v>
      </c>
      <c r="U567" s="2" t="s">
        <v>21492</v>
      </c>
      <c r="V567" s="2" t="s">
        <v>17198</v>
      </c>
      <c r="W567" s="2" t="s">
        <v>56</v>
      </c>
    </row>
    <row r="568">
      <c r="A568" s="2" t="n">
        <v>420</v>
      </c>
      <c r="B568" s="2" t="s">
        <v>14061</v>
      </c>
      <c r="C568" s="2" t="s">
        <v>21500</v>
      </c>
      <c r="D568" s="2" t="n">
        <v>375.171281944</v>
      </c>
      <c r="E568" s="2" t="n">
        <v>0.184952462985781</v>
      </c>
      <c r="F568" s="2" t="s">
        <v>27196</v>
      </c>
      <c r="G568" s="2" t="n">
        <v>203315</v>
      </c>
      <c r="H568" s="3" t="str">
        <f>HYPERLINK("http://funmeta.oebiotech.com/network/203315", "http://funmeta.oebiotech.com/network/203315")</f>
      </c>
      <c r="I568" s="2" t="s">
        <v>27197</v>
      </c>
      <c r="J568" s="2"/>
      <c r="K568" s="2"/>
      <c r="L568" s="2"/>
      <c r="M568" s="2"/>
      <c r="N568" s="2" t="s">
        <v>27198</v>
      </c>
      <c r="O568" s="2"/>
      <c r="P568" s="2" t="s">
        <v>27199</v>
      </c>
      <c r="Q568" s="2" t="s">
        <v>27200</v>
      </c>
      <c r="R568" s="2" t="s">
        <v>186</v>
      </c>
      <c r="S568" s="2" t="s">
        <v>911</v>
      </c>
      <c r="T568" s="2" t="s">
        <v>215</v>
      </c>
      <c r="U568" s="2" t="s">
        <v>21501</v>
      </c>
      <c r="V568" s="2" t="s">
        <v>17198</v>
      </c>
      <c r="W568" s="2"/>
    </row>
    <row r="569">
      <c r="A569" s="2" t="n">
        <v>420</v>
      </c>
      <c r="B569" s="2" t="s">
        <v>14067</v>
      </c>
      <c r="C569" s="2" t="s">
        <v>21500</v>
      </c>
      <c r="D569" s="2" t="n">
        <v>375.171281944</v>
      </c>
      <c r="E569" s="2" t="n">
        <v>0.184952462985781</v>
      </c>
      <c r="F569" s="2" t="s">
        <v>27201</v>
      </c>
      <c r="G569" s="2" t="n">
        <v>200996</v>
      </c>
      <c r="H569" s="3" t="str">
        <f>HYPERLINK("http://funmeta.oebiotech.com/network/200996", "http://funmeta.oebiotech.com/network/200996")</f>
      </c>
      <c r="I569" s="2" t="s">
        <v>27202</v>
      </c>
      <c r="J569" s="2"/>
      <c r="K569" s="2"/>
      <c r="L569" s="2"/>
      <c r="M569" s="2"/>
      <c r="N569" s="2" t="s">
        <v>27203</v>
      </c>
      <c r="O569" s="2"/>
      <c r="P569" s="2" t="s">
        <v>27204</v>
      </c>
      <c r="Q569" s="2" t="s">
        <v>27205</v>
      </c>
      <c r="R569" s="2" t="s">
        <v>186</v>
      </c>
      <c r="S569" s="2" t="s">
        <v>187</v>
      </c>
      <c r="T569" s="2" t="s">
        <v>3996</v>
      </c>
      <c r="U569" s="2" t="s">
        <v>21501</v>
      </c>
      <c r="V569" s="2" t="s">
        <v>17198</v>
      </c>
      <c r="W569" s="2"/>
    </row>
    <row r="570">
      <c r="A570" s="2" t="n">
        <v>421</v>
      </c>
      <c r="B570" s="2" t="s">
        <v>14075</v>
      </c>
      <c r="C570" s="2" t="s">
        <v>21510</v>
      </c>
      <c r="D570" s="2" t="n">
        <v>376.297623009</v>
      </c>
      <c r="E570" s="2" t="n">
        <v>17.2404228977875</v>
      </c>
      <c r="F570" s="2" t="s">
        <v>21512</v>
      </c>
      <c r="G570" s="2" t="n">
        <v>200006</v>
      </c>
      <c r="H570" s="3" t="str">
        <f>HYPERLINK("http://funmeta.oebiotech.com/network/200006", "http://funmeta.oebiotech.com/network/200006")</f>
      </c>
      <c r="I570" s="2" t="s">
        <v>21514</v>
      </c>
      <c r="J570" s="2"/>
      <c r="K570" s="2"/>
      <c r="L570" s="2"/>
      <c r="M570" s="2"/>
      <c r="N570" s="2" t="s">
        <v>21515</v>
      </c>
      <c r="O570" s="2"/>
      <c r="P570" s="2" t="s">
        <v>21516</v>
      </c>
      <c r="Q570" s="2" t="s">
        <v>21517</v>
      </c>
      <c r="R570" s="2" t="s">
        <v>794</v>
      </c>
      <c r="S570" s="2" t="s">
        <v>795</v>
      </c>
      <c r="T570" s="2" t="s">
        <v>5115</v>
      </c>
      <c r="U570" s="2" t="s">
        <v>21511</v>
      </c>
      <c r="V570" s="2" t="s">
        <v>17406</v>
      </c>
      <c r="W570" s="2" t="s">
        <v>39</v>
      </c>
    </row>
    <row r="571">
      <c r="A571" s="2" t="n">
        <v>422</v>
      </c>
      <c r="B571" s="2" t="s">
        <v>14076</v>
      </c>
      <c r="C571" s="2" t="s">
        <v>21518</v>
      </c>
      <c r="D571" s="2" t="n">
        <v>377.126045828</v>
      </c>
      <c r="E571" s="2" t="n">
        <v>3.58283994536602</v>
      </c>
      <c r="F571" s="2" t="s">
        <v>21520</v>
      </c>
      <c r="G571" s="2" t="n">
        <v>207949</v>
      </c>
      <c r="H571" s="3" t="str">
        <f>HYPERLINK("http://funmeta.oebiotech.com/network/207949", "http://funmeta.oebiotech.com/network/207949")</f>
      </c>
      <c r="I571" s="2" t="s">
        <v>21522</v>
      </c>
      <c r="J571" s="2"/>
      <c r="K571" s="2"/>
      <c r="L571" s="2"/>
      <c r="M571" s="2"/>
      <c r="N571" s="2" t="s">
        <v>21523</v>
      </c>
      <c r="O571" s="2"/>
      <c r="P571" s="2" t="s">
        <v>21524</v>
      </c>
      <c r="Q571" s="2" t="s">
        <v>21525</v>
      </c>
      <c r="R571" s="2" t="s">
        <v>114</v>
      </c>
      <c r="S571" s="2" t="s">
        <v>172</v>
      </c>
      <c r="T571" s="2" t="s">
        <v>4451</v>
      </c>
      <c r="U571" s="2" t="s">
        <v>21519</v>
      </c>
      <c r="V571" s="2" t="s">
        <v>17198</v>
      </c>
      <c r="W571" s="2"/>
    </row>
    <row r="572">
      <c r="A572" s="2" t="n">
        <v>423</v>
      </c>
      <c r="B572" s="2" t="s">
        <v>14077</v>
      </c>
      <c r="C572" s="2" t="s">
        <v>21526</v>
      </c>
      <c r="D572" s="2" t="n">
        <v>377.19995966</v>
      </c>
      <c r="E572" s="2" t="n">
        <v>4.38119601605238</v>
      </c>
      <c r="F572" s="2" t="s">
        <v>21528</v>
      </c>
      <c r="G572" s="2" t="n">
        <v>209935</v>
      </c>
      <c r="H572" s="3" t="str">
        <f>HYPERLINK("http://funmeta.oebiotech.com/network/209935", "http://funmeta.oebiotech.com/network/209935")</f>
      </c>
      <c r="I572" s="2" t="s">
        <v>21530</v>
      </c>
      <c r="J572" s="2" t="s">
        <v>21531</v>
      </c>
      <c r="K572" s="2"/>
      <c r="L572" s="2"/>
      <c r="M572" s="2" t="s">
        <v>21532</v>
      </c>
      <c r="N572" s="2" t="s">
        <v>21533</v>
      </c>
      <c r="O572" s="2"/>
      <c r="P572" s="2" t="s">
        <v>21534</v>
      </c>
      <c r="Q572" s="2" t="s">
        <v>21535</v>
      </c>
      <c r="R572" s="2" t="s">
        <v>114</v>
      </c>
      <c r="S572" s="2" t="s">
        <v>4121</v>
      </c>
      <c r="T572" s="2" t="s">
        <v>7629</v>
      </c>
      <c r="U572" s="2" t="s">
        <v>21527</v>
      </c>
      <c r="V572" s="2" t="s">
        <v>17198</v>
      </c>
      <c r="W572" s="2"/>
    </row>
    <row r="573">
      <c r="A573" s="2" t="n">
        <v>424</v>
      </c>
      <c r="B573" s="2" t="s">
        <v>14078</v>
      </c>
      <c r="C573" s="2" t="s">
        <v>21536</v>
      </c>
      <c r="D573" s="2" t="n">
        <v>377.264612887</v>
      </c>
      <c r="E573" s="2" t="n">
        <v>4.31111740875722</v>
      </c>
      <c r="F573" s="2" t="s">
        <v>21538</v>
      </c>
      <c r="G573" s="2" t="n">
        <v>201063</v>
      </c>
      <c r="H573" s="3" t="str">
        <f>HYPERLINK("http://funmeta.oebiotech.com/network/201063", "http://funmeta.oebiotech.com/network/201063")</f>
      </c>
      <c r="I573" s="2" t="s">
        <v>21540</v>
      </c>
      <c r="J573" s="2" t="s">
        <v>21541</v>
      </c>
      <c r="K573" s="2"/>
      <c r="L573" s="2"/>
      <c r="M573" s="2"/>
      <c r="N573" s="2" t="s">
        <v>21542</v>
      </c>
      <c r="O573" s="2"/>
      <c r="P573" s="2" t="s">
        <v>21543</v>
      </c>
      <c r="Q573" s="2" t="s">
        <v>21544</v>
      </c>
      <c r="R573" s="2" t="s">
        <v>601</v>
      </c>
      <c r="S573" s="2" t="s">
        <v>602</v>
      </c>
      <c r="T573" s="2" t="s">
        <v>1800</v>
      </c>
      <c r="U573" s="2" t="s">
        <v>21537</v>
      </c>
      <c r="V573" s="2" t="s">
        <v>17137</v>
      </c>
      <c r="W573" s="2"/>
    </row>
    <row r="574">
      <c r="A574" s="2" t="n">
        <v>425</v>
      </c>
      <c r="B574" s="2" t="s">
        <v>14079</v>
      </c>
      <c r="C574" s="2" t="s">
        <v>21545</v>
      </c>
      <c r="D574" s="2" t="n">
        <v>379.1459337</v>
      </c>
      <c r="E574" s="2" t="n">
        <v>0.364586753683934</v>
      </c>
      <c r="F574" s="2" t="s">
        <v>21547</v>
      </c>
      <c r="G574" s="2" t="n">
        <v>208382</v>
      </c>
      <c r="H574" s="3" t="str">
        <f>HYPERLINK("http://funmeta.oebiotech.com/network/208382", "http://funmeta.oebiotech.com/network/208382")</f>
      </c>
      <c r="I574" s="2" t="s">
        <v>21549</v>
      </c>
      <c r="J574" s="2"/>
      <c r="K574" s="2"/>
      <c r="L574" s="2"/>
      <c r="M574" s="2"/>
      <c r="N574" s="2" t="s">
        <v>21550</v>
      </c>
      <c r="O574" s="2"/>
      <c r="P574" s="2" t="s">
        <v>21551</v>
      </c>
      <c r="Q574" s="2" t="s">
        <v>21552</v>
      </c>
      <c r="R574" s="2" t="s">
        <v>1355</v>
      </c>
      <c r="S574" s="2" t="s">
        <v>3249</v>
      </c>
      <c r="T574" s="2" t="s">
        <v>215</v>
      </c>
      <c r="U574" s="2" t="s">
        <v>21546</v>
      </c>
      <c r="V574" s="2" t="s">
        <v>17137</v>
      </c>
      <c r="W574" s="2"/>
    </row>
    <row r="575">
      <c r="A575" s="2" t="n">
        <v>426</v>
      </c>
      <c r="B575" s="2" t="s">
        <v>14095</v>
      </c>
      <c r="C575" s="2" t="s">
        <v>21553</v>
      </c>
      <c r="D575" s="2" t="n">
        <v>379.281877768</v>
      </c>
      <c r="E575" s="2" t="n">
        <v>12.6487320550292</v>
      </c>
      <c r="F575" s="2" t="s">
        <v>27206</v>
      </c>
      <c r="G575" s="2" t="n">
        <v>58144</v>
      </c>
      <c r="H575" s="3" t="str">
        <f>HYPERLINK("http://funmeta.oebiotech.com/network/58144", "http://funmeta.oebiotech.com/network/58144")</f>
      </c>
      <c r="I575" s="2" t="s">
        <v>27207</v>
      </c>
      <c r="J575" s="2" t="s">
        <v>27208</v>
      </c>
      <c r="K575" s="2"/>
      <c r="L575" s="2"/>
      <c r="M575" s="2" t="s">
        <v>27209</v>
      </c>
      <c r="N575" s="2" t="s">
        <v>27210</v>
      </c>
      <c r="O575" s="2"/>
      <c r="P575" s="2" t="s">
        <v>27211</v>
      </c>
      <c r="Q575" s="2" t="s">
        <v>27212</v>
      </c>
      <c r="R575" s="2" t="s">
        <v>794</v>
      </c>
      <c r="S575" s="2" t="s">
        <v>2600</v>
      </c>
      <c r="T575" s="2" t="s">
        <v>8990</v>
      </c>
      <c r="U575" s="2" t="s">
        <v>21554</v>
      </c>
      <c r="V575" s="2" t="s">
        <v>17198</v>
      </c>
      <c r="W575" s="2" t="s">
        <v>56</v>
      </c>
    </row>
    <row r="576">
      <c r="A576" s="2" t="n">
        <v>426</v>
      </c>
      <c r="B576" s="2" t="s">
        <v>27213</v>
      </c>
      <c r="C576" s="2" t="s">
        <v>21553</v>
      </c>
      <c r="D576" s="2" t="n">
        <v>379.281877768</v>
      </c>
      <c r="E576" s="2" t="n">
        <v>12.6487320550292</v>
      </c>
      <c r="F576" s="2" t="s">
        <v>27214</v>
      </c>
      <c r="G576" s="2" t="n">
        <v>7660</v>
      </c>
      <c r="H576" s="3" t="str">
        <f>HYPERLINK("http://funmeta.oebiotech.com/network/7660", "http://funmeta.oebiotech.com/network/7660")</f>
      </c>
      <c r="I576" s="2" t="s">
        <v>27215</v>
      </c>
      <c r="J576" s="2" t="s">
        <v>27216</v>
      </c>
      <c r="K576" s="2" t="s">
        <v>27217</v>
      </c>
      <c r="L576" s="2"/>
      <c r="M576" s="2"/>
      <c r="N576" s="2" t="s">
        <v>27218</v>
      </c>
      <c r="O576" s="2" t="s">
        <v>27219</v>
      </c>
      <c r="P576" s="2" t="s">
        <v>27220</v>
      </c>
      <c r="Q576" s="2" t="s">
        <v>27221</v>
      </c>
      <c r="R576" s="2" t="s">
        <v>794</v>
      </c>
      <c r="S576" s="2" t="s">
        <v>795</v>
      </c>
      <c r="T576" s="2" t="s">
        <v>1870</v>
      </c>
      <c r="U576" s="2" t="s">
        <v>21554</v>
      </c>
      <c r="V576" s="2" t="s">
        <v>17198</v>
      </c>
      <c r="W576" s="2" t="s">
        <v>56</v>
      </c>
    </row>
    <row r="577">
      <c r="A577" s="2" t="n">
        <v>427</v>
      </c>
      <c r="B577" s="2" t="s">
        <v>14096</v>
      </c>
      <c r="C577" s="2" t="s">
        <v>21567</v>
      </c>
      <c r="D577" s="2" t="n">
        <v>380.29238288</v>
      </c>
      <c r="E577" s="2" t="n">
        <v>13.3043464952503</v>
      </c>
      <c r="F577" s="2" t="s">
        <v>21569</v>
      </c>
      <c r="G577" s="2" t="n">
        <v>209847</v>
      </c>
      <c r="H577" s="3" t="str">
        <f>HYPERLINK("http://funmeta.oebiotech.com/network/209847", "http://funmeta.oebiotech.com/network/209847")</f>
      </c>
      <c r="I577" s="2" t="s">
        <v>21571</v>
      </c>
      <c r="J577" s="2"/>
      <c r="K577" s="2"/>
      <c r="L577" s="2"/>
      <c r="M577" s="2"/>
      <c r="N577" s="2"/>
      <c r="O577" s="2"/>
      <c r="P577" s="2" t="s">
        <v>21572</v>
      </c>
      <c r="Q577" s="2" t="s">
        <v>21573</v>
      </c>
      <c r="R577" s="2" t="s">
        <v>186</v>
      </c>
      <c r="S577" s="2" t="s">
        <v>187</v>
      </c>
      <c r="T577" s="2" t="s">
        <v>4711</v>
      </c>
      <c r="U577" s="2" t="s">
        <v>21568</v>
      </c>
      <c r="V577" s="2" t="s">
        <v>17198</v>
      </c>
      <c r="W577" s="2"/>
    </row>
    <row r="578">
      <c r="A578" s="2" t="n">
        <v>428</v>
      </c>
      <c r="B578" s="2" t="s">
        <v>14097</v>
      </c>
      <c r="C578" s="2" t="s">
        <v>21574</v>
      </c>
      <c r="D578" s="2" t="n">
        <v>381.079369546</v>
      </c>
      <c r="E578" s="2" t="n">
        <v>4.95685132612016</v>
      </c>
      <c r="F578" s="2" t="s">
        <v>27222</v>
      </c>
      <c r="G578" s="2" t="n">
        <v>47326</v>
      </c>
      <c r="H578" s="3" t="str">
        <f>HYPERLINK("http://funmeta.oebiotech.com/network/47326", "http://funmeta.oebiotech.com/network/47326")</f>
      </c>
      <c r="I578" s="2" t="s">
        <v>27223</v>
      </c>
      <c r="J578" s="2" t="s">
        <v>27224</v>
      </c>
      <c r="K578" s="2"/>
      <c r="L578" s="2" t="s">
        <v>27225</v>
      </c>
      <c r="M578" s="2" t="s">
        <v>27226</v>
      </c>
      <c r="N578" s="2" t="s">
        <v>27227</v>
      </c>
      <c r="O578" s="2" t="s">
        <v>27228</v>
      </c>
      <c r="P578" s="2" t="s">
        <v>27229</v>
      </c>
      <c r="Q578" s="2" t="s">
        <v>27230</v>
      </c>
      <c r="R578" s="2" t="s">
        <v>129</v>
      </c>
      <c r="S578" s="2" t="s">
        <v>130</v>
      </c>
      <c r="T578" s="2" t="s">
        <v>1681</v>
      </c>
      <c r="U578" s="2" t="s">
        <v>21575</v>
      </c>
      <c r="V578" s="2" t="s">
        <v>17406</v>
      </c>
      <c r="W578" s="2" t="s">
        <v>39</v>
      </c>
    </row>
    <row r="579">
      <c r="A579" s="2" t="n">
        <v>428</v>
      </c>
      <c r="B579" s="2" t="s">
        <v>14108</v>
      </c>
      <c r="C579" s="2" t="s">
        <v>21574</v>
      </c>
      <c r="D579" s="2" t="n">
        <v>381.079369546</v>
      </c>
      <c r="E579" s="2" t="n">
        <v>4.95685132612016</v>
      </c>
      <c r="F579" s="2" t="s">
        <v>27231</v>
      </c>
      <c r="G579" s="2" t="n">
        <v>46916</v>
      </c>
      <c r="H579" s="3" t="str">
        <f>HYPERLINK("http://funmeta.oebiotech.com/network/46916", "http://funmeta.oebiotech.com/network/46916")</f>
      </c>
      <c r="I579" s="2" t="s">
        <v>27232</v>
      </c>
      <c r="J579" s="2" t="s">
        <v>27233</v>
      </c>
      <c r="K579" s="2"/>
      <c r="L579" s="2" t="s">
        <v>27234</v>
      </c>
      <c r="M579" s="2" t="s">
        <v>27235</v>
      </c>
      <c r="N579" s="2" t="s">
        <v>27236</v>
      </c>
      <c r="O579" s="2" t="s">
        <v>27237</v>
      </c>
      <c r="P579" s="2" t="s">
        <v>27238</v>
      </c>
      <c r="Q579" s="2" t="s">
        <v>27239</v>
      </c>
      <c r="R579" s="2" t="s">
        <v>129</v>
      </c>
      <c r="S579" s="2" t="s">
        <v>130</v>
      </c>
      <c r="T579" s="2" t="s">
        <v>1681</v>
      </c>
      <c r="U579" s="2" t="s">
        <v>21575</v>
      </c>
      <c r="V579" s="2" t="s">
        <v>17406</v>
      </c>
      <c r="W579" s="2" t="s">
        <v>39</v>
      </c>
    </row>
    <row r="580">
      <c r="A580" s="2" t="n">
        <v>429</v>
      </c>
      <c r="B580" s="2" t="s">
        <v>14117</v>
      </c>
      <c r="C580" s="2" t="s">
        <v>21586</v>
      </c>
      <c r="D580" s="2" t="n">
        <v>381.158122902</v>
      </c>
      <c r="E580" s="2" t="n">
        <v>1.42851549779669</v>
      </c>
      <c r="F580" s="2" t="s">
        <v>27240</v>
      </c>
      <c r="G580" s="2" t="n">
        <v>211252</v>
      </c>
      <c r="H580" s="3" t="str">
        <f>HYPERLINK("http://funmeta.oebiotech.com/network/211252", "http://funmeta.oebiotech.com/network/211252")</f>
      </c>
      <c r="I580" s="2" t="s">
        <v>27241</v>
      </c>
      <c r="J580" s="2"/>
      <c r="K580" s="2"/>
      <c r="L580" s="2"/>
      <c r="M580" s="2"/>
      <c r="N580" s="2" t="s">
        <v>27242</v>
      </c>
      <c r="O580" s="2"/>
      <c r="P580" s="2" t="s">
        <v>27243</v>
      </c>
      <c r="Q580" s="2" t="s">
        <v>27244</v>
      </c>
      <c r="R580" s="2" t="s">
        <v>36</v>
      </c>
      <c r="S580" s="2" t="s">
        <v>2572</v>
      </c>
      <c r="T580" s="2" t="s">
        <v>18895</v>
      </c>
      <c r="U580" s="2" t="s">
        <v>21587</v>
      </c>
      <c r="V580" s="2" t="s">
        <v>17406</v>
      </c>
      <c r="W580" s="2"/>
    </row>
    <row r="581">
      <c r="A581" s="2" t="n">
        <v>429</v>
      </c>
      <c r="B581" s="2" t="s">
        <v>14127</v>
      </c>
      <c r="C581" s="2" t="s">
        <v>21586</v>
      </c>
      <c r="D581" s="2" t="n">
        <v>381.158122902</v>
      </c>
      <c r="E581" s="2" t="n">
        <v>1.42851549779669</v>
      </c>
      <c r="F581" s="2" t="s">
        <v>27245</v>
      </c>
      <c r="G581" s="2" t="n">
        <v>207922</v>
      </c>
      <c r="H581" s="3" t="str">
        <f>HYPERLINK("http://funmeta.oebiotech.com/network/207922", "http://funmeta.oebiotech.com/network/207922")</f>
      </c>
      <c r="I581" s="2" t="s">
        <v>27246</v>
      </c>
      <c r="J581" s="2"/>
      <c r="K581" s="2"/>
      <c r="L581" s="2"/>
      <c r="M581" s="2"/>
      <c r="N581" s="2" t="s">
        <v>27247</v>
      </c>
      <c r="O581" s="2"/>
      <c r="P581" s="2" t="s">
        <v>27248</v>
      </c>
      <c r="Q581" s="2" t="s">
        <v>27249</v>
      </c>
      <c r="R581" s="2" t="s">
        <v>36</v>
      </c>
      <c r="S581" s="2" t="s">
        <v>2572</v>
      </c>
      <c r="T581" s="2" t="s">
        <v>18895</v>
      </c>
      <c r="U581" s="2" t="s">
        <v>21587</v>
      </c>
      <c r="V581" s="2" t="s">
        <v>17406</v>
      </c>
      <c r="W581" s="2"/>
    </row>
    <row r="582">
      <c r="A582" s="2" t="n">
        <v>430</v>
      </c>
      <c r="B582" s="2" t="s">
        <v>14137</v>
      </c>
      <c r="C582" s="2" t="s">
        <v>21596</v>
      </c>
      <c r="D582" s="2" t="n">
        <v>383.119007195</v>
      </c>
      <c r="E582" s="2" t="n">
        <v>1.28425208180665</v>
      </c>
      <c r="F582" s="2" t="s">
        <v>21598</v>
      </c>
      <c r="G582" s="2" t="n">
        <v>208641</v>
      </c>
      <c r="H582" s="3" t="str">
        <f>HYPERLINK("http://funmeta.oebiotech.com/network/208641", "http://funmeta.oebiotech.com/network/208641")</f>
      </c>
      <c r="I582" s="2" t="s">
        <v>21600</v>
      </c>
      <c r="J582" s="2" t="s">
        <v>21601</v>
      </c>
      <c r="K582" s="2"/>
      <c r="L582" s="2"/>
      <c r="M582" s="2"/>
      <c r="N582" s="2" t="s">
        <v>21602</v>
      </c>
      <c r="O582" s="2" t="s">
        <v>21603</v>
      </c>
      <c r="P582" s="2" t="s">
        <v>21604</v>
      </c>
      <c r="Q582" s="2" t="s">
        <v>21605</v>
      </c>
      <c r="R582" s="2" t="s">
        <v>114</v>
      </c>
      <c r="S582" s="2" t="s">
        <v>5831</v>
      </c>
      <c r="T582" s="2" t="s">
        <v>5832</v>
      </c>
      <c r="U582" s="2" t="s">
        <v>21597</v>
      </c>
      <c r="V582" s="2" t="s">
        <v>17406</v>
      </c>
      <c r="W582" s="2"/>
    </row>
    <row r="583">
      <c r="A583" s="2" t="n">
        <v>431</v>
      </c>
      <c r="B583" s="2" t="s">
        <v>14138</v>
      </c>
      <c r="C583" s="2" t="s">
        <v>21606</v>
      </c>
      <c r="D583" s="2" t="n">
        <v>384.003494909</v>
      </c>
      <c r="E583" s="2" t="n">
        <v>6.38709132233793</v>
      </c>
      <c r="F583" s="2" t="s">
        <v>21608</v>
      </c>
      <c r="G583" s="2" t="n">
        <v>54713</v>
      </c>
      <c r="H583" s="3" t="str">
        <f>HYPERLINK("http://funmeta.oebiotech.com/network/54713", "http://funmeta.oebiotech.com/network/54713")</f>
      </c>
      <c r="I583" s="2" t="s">
        <v>21610</v>
      </c>
      <c r="J583" s="2" t="s">
        <v>21611</v>
      </c>
      <c r="K583" s="2"/>
      <c r="L583" s="2"/>
      <c r="M583" s="2" t="s">
        <v>21612</v>
      </c>
      <c r="N583" s="2" t="s">
        <v>21613</v>
      </c>
      <c r="O583" s="2" t="s">
        <v>21614</v>
      </c>
      <c r="P583" s="2" t="s">
        <v>21615</v>
      </c>
      <c r="Q583" s="2" t="s">
        <v>21616</v>
      </c>
      <c r="R583" s="2" t="s">
        <v>114</v>
      </c>
      <c r="S583" s="2" t="s">
        <v>2057</v>
      </c>
      <c r="T583" s="2" t="s">
        <v>3067</v>
      </c>
      <c r="U583" s="2" t="s">
        <v>21607</v>
      </c>
      <c r="V583" s="2" t="s">
        <v>17520</v>
      </c>
      <c r="W583" s="2" t="s">
        <v>56</v>
      </c>
    </row>
    <row r="584">
      <c r="A584" s="2" t="n">
        <v>432</v>
      </c>
      <c r="B584" s="2" t="s">
        <v>14139</v>
      </c>
      <c r="C584" s="2" t="s">
        <v>21617</v>
      </c>
      <c r="D584" s="2" t="n">
        <v>384.994890976</v>
      </c>
      <c r="E584" s="2" t="n">
        <v>2.0459654682993</v>
      </c>
      <c r="F584" s="2" t="s">
        <v>21619</v>
      </c>
      <c r="G584" s="2" t="n">
        <v>206547</v>
      </c>
      <c r="H584" s="3" t="str">
        <f>HYPERLINK("http://funmeta.oebiotech.com/network/206547", "http://funmeta.oebiotech.com/network/206547")</f>
      </c>
      <c r="I584" s="2" t="s">
        <v>21621</v>
      </c>
      <c r="J584" s="2" t="s">
        <v>21622</v>
      </c>
      <c r="K584" s="2"/>
      <c r="L584" s="2" t="s">
        <v>21623</v>
      </c>
      <c r="M584" s="2" t="s">
        <v>21624</v>
      </c>
      <c r="N584" s="2" t="s">
        <v>21625</v>
      </c>
      <c r="O584" s="2" t="s">
        <v>21626</v>
      </c>
      <c r="P584" s="2" t="s">
        <v>21627</v>
      </c>
      <c r="Q584" s="2" t="s">
        <v>21628</v>
      </c>
      <c r="R584" s="2" t="s">
        <v>36</v>
      </c>
      <c r="S584" s="2" t="s">
        <v>21629</v>
      </c>
      <c r="T584" s="2" t="s">
        <v>21630</v>
      </c>
      <c r="U584" s="2" t="s">
        <v>21618</v>
      </c>
      <c r="V584" s="2" t="s">
        <v>17137</v>
      </c>
      <c r="W584" s="2" t="s">
        <v>101</v>
      </c>
    </row>
    <row r="585">
      <c r="A585" s="2" t="n">
        <v>433</v>
      </c>
      <c r="B585" s="2" t="s">
        <v>14156</v>
      </c>
      <c r="C585" s="2" t="s">
        <v>21631</v>
      </c>
      <c r="D585" s="2" t="n">
        <v>386.015481361</v>
      </c>
      <c r="E585" s="2" t="n">
        <v>5.25231913266162</v>
      </c>
      <c r="F585" s="2" t="s">
        <v>21633</v>
      </c>
      <c r="G585" s="2" t="n">
        <v>47646</v>
      </c>
      <c r="H585" s="3" t="str">
        <f>HYPERLINK("http://funmeta.oebiotech.com/network/47646", "http://funmeta.oebiotech.com/network/47646")</f>
      </c>
      <c r="I585" s="2" t="s">
        <v>21635</v>
      </c>
      <c r="J585" s="2" t="s">
        <v>21636</v>
      </c>
      <c r="K585" s="2"/>
      <c r="L585" s="2" t="s">
        <v>21637</v>
      </c>
      <c r="M585" s="2" t="s">
        <v>21638</v>
      </c>
      <c r="N585" s="2" t="s">
        <v>21639</v>
      </c>
      <c r="O585" s="2" t="s">
        <v>21640</v>
      </c>
      <c r="P585" s="2" t="s">
        <v>21641</v>
      </c>
      <c r="Q585" s="2" t="s">
        <v>21642</v>
      </c>
      <c r="R585" s="2" t="s">
        <v>2416</v>
      </c>
      <c r="S585" s="2" t="s">
        <v>10012</v>
      </c>
      <c r="T585" s="2" t="s">
        <v>10013</v>
      </c>
      <c r="U585" s="2" t="s">
        <v>21632</v>
      </c>
      <c r="V585" s="2" t="s">
        <v>17039</v>
      </c>
      <c r="W585" s="2" t="s">
        <v>56</v>
      </c>
    </row>
    <row r="586">
      <c r="A586" s="2" t="n">
        <v>434</v>
      </c>
      <c r="B586" s="2" t="s">
        <v>14157</v>
      </c>
      <c r="C586" s="2" t="s">
        <v>21643</v>
      </c>
      <c r="D586" s="2" t="n">
        <v>389.193179277</v>
      </c>
      <c r="E586" s="2" t="n">
        <v>8.08351917890045</v>
      </c>
      <c r="F586" s="2" t="s">
        <v>21645</v>
      </c>
      <c r="G586" s="2" t="n">
        <v>200580</v>
      </c>
      <c r="H586" s="3" t="str">
        <f>HYPERLINK("http://funmeta.oebiotech.com/network/200580", "http://funmeta.oebiotech.com/network/200580")</f>
      </c>
      <c r="I586" s="2" t="s">
        <v>21647</v>
      </c>
      <c r="J586" s="2"/>
      <c r="K586" s="2"/>
      <c r="L586" s="2"/>
      <c r="M586" s="2"/>
      <c r="N586" s="2" t="s">
        <v>21648</v>
      </c>
      <c r="O586" s="2"/>
      <c r="P586" s="2" t="s">
        <v>21649</v>
      </c>
      <c r="Q586" s="2" t="s">
        <v>21650</v>
      </c>
      <c r="R586" s="2" t="s">
        <v>2416</v>
      </c>
      <c r="S586" s="2" t="s">
        <v>6560</v>
      </c>
      <c r="T586" s="2" t="s">
        <v>215</v>
      </c>
      <c r="U586" s="2" t="s">
        <v>21644</v>
      </c>
      <c r="V586" s="2" t="s">
        <v>17137</v>
      </c>
      <c r="W586" s="2"/>
    </row>
    <row r="587">
      <c r="A587" s="2" t="n">
        <v>435</v>
      </c>
      <c r="B587" s="2" t="s">
        <v>14178</v>
      </c>
      <c r="C587" s="2" t="s">
        <v>21651</v>
      </c>
      <c r="D587" s="2" t="n">
        <v>391.219160476</v>
      </c>
      <c r="E587" s="2" t="n">
        <v>0.0163193221601118</v>
      </c>
      <c r="F587" s="2" t="s">
        <v>27250</v>
      </c>
      <c r="G587" s="2" t="n">
        <v>201638</v>
      </c>
      <c r="H587" s="3" t="str">
        <f>HYPERLINK("http://funmeta.oebiotech.com/network/201638", "http://funmeta.oebiotech.com/network/201638")</f>
      </c>
      <c r="I587" s="2" t="s">
        <v>27251</v>
      </c>
      <c r="J587" s="2"/>
      <c r="K587" s="2"/>
      <c r="L587" s="2"/>
      <c r="M587" s="2"/>
      <c r="N587" s="2" t="s">
        <v>27252</v>
      </c>
      <c r="O587" s="2"/>
      <c r="P587" s="2" t="s">
        <v>27253</v>
      </c>
      <c r="Q587" s="2" t="s">
        <v>27254</v>
      </c>
      <c r="R587" s="2" t="s">
        <v>114</v>
      </c>
      <c r="S587" s="2" t="s">
        <v>4121</v>
      </c>
      <c r="T587" s="2" t="s">
        <v>5334</v>
      </c>
      <c r="U587" s="2" t="s">
        <v>21652</v>
      </c>
      <c r="V587" s="2" t="s">
        <v>18382</v>
      </c>
      <c r="W587" s="2"/>
    </row>
    <row r="588">
      <c r="A588" s="2" t="n">
        <v>435</v>
      </c>
      <c r="B588" s="2" t="s">
        <v>27255</v>
      </c>
      <c r="C588" s="2" t="s">
        <v>21651</v>
      </c>
      <c r="D588" s="2" t="n">
        <v>391.219160476</v>
      </c>
      <c r="E588" s="2" t="n">
        <v>0.0163193221601118</v>
      </c>
      <c r="F588" s="2" t="s">
        <v>27256</v>
      </c>
      <c r="G588" s="2" t="n">
        <v>200052</v>
      </c>
      <c r="H588" s="3" t="str">
        <f>HYPERLINK("http://funmeta.oebiotech.com/network/200052", "http://funmeta.oebiotech.com/network/200052")</f>
      </c>
      <c r="I588" s="2" t="s">
        <v>27257</v>
      </c>
      <c r="J588" s="2"/>
      <c r="K588" s="2"/>
      <c r="L588" s="2"/>
      <c r="M588" s="2"/>
      <c r="N588" s="2"/>
      <c r="O588" s="2"/>
      <c r="P588" s="2" t="s">
        <v>27258</v>
      </c>
      <c r="Q588" s="2" t="s">
        <v>27259</v>
      </c>
      <c r="R588" s="2" t="s">
        <v>114</v>
      </c>
      <c r="S588" s="2" t="s">
        <v>22674</v>
      </c>
      <c r="T588" s="2" t="s">
        <v>22675</v>
      </c>
      <c r="U588" s="2" t="s">
        <v>21652</v>
      </c>
      <c r="V588" s="2" t="s">
        <v>18382</v>
      </c>
      <c r="W588" s="2"/>
    </row>
    <row r="589">
      <c r="A589" s="2" t="n">
        <v>436</v>
      </c>
      <c r="B589" s="2" t="s">
        <v>14179</v>
      </c>
      <c r="C589" s="2" t="s">
        <v>21661</v>
      </c>
      <c r="D589" s="2" t="n">
        <v>393.169649878</v>
      </c>
      <c r="E589" s="2" t="n">
        <v>2.08885545025283</v>
      </c>
      <c r="F589" s="2" t="s">
        <v>21663</v>
      </c>
      <c r="G589" s="2" t="n">
        <v>55430</v>
      </c>
      <c r="H589" s="3" t="str">
        <f>HYPERLINK("http://funmeta.oebiotech.com/network/55430", "http://funmeta.oebiotech.com/network/55430")</f>
      </c>
      <c r="I589" s="2" t="s">
        <v>21665</v>
      </c>
      <c r="J589" s="2" t="s">
        <v>21666</v>
      </c>
      <c r="K589" s="2"/>
      <c r="L589" s="2"/>
      <c r="M589" s="2"/>
      <c r="N589" s="2" t="s">
        <v>21667</v>
      </c>
      <c r="O589" s="2" t="s">
        <v>21668</v>
      </c>
      <c r="P589" s="2" t="s">
        <v>21669</v>
      </c>
      <c r="Q589" s="2" t="s">
        <v>21670</v>
      </c>
      <c r="R589" s="2" t="s">
        <v>114</v>
      </c>
      <c r="S589" s="2" t="s">
        <v>6312</v>
      </c>
      <c r="T589" s="2" t="s">
        <v>6313</v>
      </c>
      <c r="U589" s="2" t="s">
        <v>21662</v>
      </c>
      <c r="V589" s="2" t="s">
        <v>17137</v>
      </c>
      <c r="W589" s="2" t="s">
        <v>56</v>
      </c>
    </row>
    <row r="590">
      <c r="A590" s="2" t="n">
        <v>437</v>
      </c>
      <c r="B590" s="2" t="s">
        <v>14180</v>
      </c>
      <c r="C590" s="2" t="s">
        <v>21671</v>
      </c>
      <c r="D590" s="2" t="n">
        <v>393.240012954</v>
      </c>
      <c r="E590" s="2" t="n">
        <v>2.03305440419281</v>
      </c>
      <c r="F590" s="2" t="s">
        <v>21673</v>
      </c>
      <c r="G590" s="2" t="n">
        <v>46095</v>
      </c>
      <c r="H590" s="3" t="str">
        <f>HYPERLINK("http://funmeta.oebiotech.com/network/46095", "http://funmeta.oebiotech.com/network/46095")</f>
      </c>
      <c r="I590" s="2" t="s">
        <v>21675</v>
      </c>
      <c r="J590" s="2" t="s">
        <v>21676</v>
      </c>
      <c r="K590" s="2" t="s">
        <v>21677</v>
      </c>
      <c r="L590" s="2"/>
      <c r="M590" s="2" t="s">
        <v>21678</v>
      </c>
      <c r="N590" s="2" t="s">
        <v>21679</v>
      </c>
      <c r="O590" s="2" t="s">
        <v>21680</v>
      </c>
      <c r="P590" s="2" t="s">
        <v>21681</v>
      </c>
      <c r="Q590" s="2" t="s">
        <v>21682</v>
      </c>
      <c r="R590" s="2" t="s">
        <v>794</v>
      </c>
      <c r="S590" s="2" t="s">
        <v>2971</v>
      </c>
      <c r="T590" s="2" t="s">
        <v>6499</v>
      </c>
      <c r="U590" s="2" t="s">
        <v>21672</v>
      </c>
      <c r="V590" s="2" t="s">
        <v>17198</v>
      </c>
      <c r="W590" s="2" t="s">
        <v>56</v>
      </c>
    </row>
    <row r="591">
      <c r="A591" s="2" t="n">
        <v>438</v>
      </c>
      <c r="B591" s="2" t="s">
        <v>14181</v>
      </c>
      <c r="C591" s="2" t="s">
        <v>21683</v>
      </c>
      <c r="D591" s="2" t="n">
        <v>395.255701492</v>
      </c>
      <c r="E591" s="2" t="n">
        <v>8.01848895289524</v>
      </c>
      <c r="F591" s="2" t="s">
        <v>21685</v>
      </c>
      <c r="G591" s="2" t="n">
        <v>26117</v>
      </c>
      <c r="H591" s="3" t="str">
        <f>HYPERLINK("http://funmeta.oebiotech.com/network/26117", "http://funmeta.oebiotech.com/network/26117")</f>
      </c>
      <c r="I591" s="2" t="s">
        <v>21687</v>
      </c>
      <c r="J591" s="2" t="s">
        <v>21688</v>
      </c>
      <c r="K591" s="2" t="s">
        <v>21689</v>
      </c>
      <c r="L591" s="2" t="s">
        <v>21690</v>
      </c>
      <c r="M591" s="2"/>
      <c r="N591" s="2" t="s">
        <v>21691</v>
      </c>
      <c r="O591" s="2"/>
      <c r="P591" s="2" t="s">
        <v>21692</v>
      </c>
      <c r="Q591" s="2" t="s">
        <v>21693</v>
      </c>
      <c r="R591" s="2" t="s">
        <v>794</v>
      </c>
      <c r="S591" s="2" t="s">
        <v>7122</v>
      </c>
      <c r="T591" s="2" t="s">
        <v>7123</v>
      </c>
      <c r="U591" s="2" t="s">
        <v>21684</v>
      </c>
      <c r="V591" s="2" t="s">
        <v>17137</v>
      </c>
      <c r="W591" s="2" t="s">
        <v>101</v>
      </c>
    </row>
    <row r="592">
      <c r="A592" s="2" t="n">
        <v>439</v>
      </c>
      <c r="B592" s="2" t="s">
        <v>14182</v>
      </c>
      <c r="C592" s="2" t="s">
        <v>21694</v>
      </c>
      <c r="D592" s="2" t="n">
        <v>396.253908613</v>
      </c>
      <c r="E592" s="2" t="n">
        <v>9.61116853426121</v>
      </c>
      <c r="F592" s="2" t="s">
        <v>21696</v>
      </c>
      <c r="G592" s="2" t="n">
        <v>82435</v>
      </c>
      <c r="H592" s="3" t="str">
        <f>HYPERLINK("http://funmeta.oebiotech.com/network/82435", "http://funmeta.oebiotech.com/network/82435")</f>
      </c>
      <c r="I592" s="2" t="s">
        <v>21698</v>
      </c>
      <c r="J592" s="2" t="s">
        <v>21699</v>
      </c>
      <c r="K592" s="2"/>
      <c r="L592" s="2"/>
      <c r="M592" s="2"/>
      <c r="N592" s="2" t="s">
        <v>21700</v>
      </c>
      <c r="O592" s="2" t="s">
        <v>21701</v>
      </c>
      <c r="P592" s="2" t="s">
        <v>21702</v>
      </c>
      <c r="Q592" s="2" t="s">
        <v>21703</v>
      </c>
      <c r="R592" s="2" t="s">
        <v>186</v>
      </c>
      <c r="S592" s="2" t="s">
        <v>3770</v>
      </c>
      <c r="T592" s="2" t="s">
        <v>215</v>
      </c>
      <c r="U592" s="2" t="s">
        <v>21695</v>
      </c>
      <c r="V592" s="2" t="s">
        <v>17039</v>
      </c>
      <c r="W592" s="2" t="s">
        <v>56</v>
      </c>
    </row>
    <row r="593">
      <c r="A593" s="2" t="n">
        <v>440</v>
      </c>
      <c r="B593" s="2" t="s">
        <v>14199</v>
      </c>
      <c r="C593" s="2" t="s">
        <v>21704</v>
      </c>
      <c r="D593" s="2" t="n">
        <v>397.264413723</v>
      </c>
      <c r="E593" s="2" t="n">
        <v>0.647326856422128</v>
      </c>
      <c r="F593" s="2" t="s">
        <v>21706</v>
      </c>
      <c r="G593" s="2" t="n">
        <v>207107</v>
      </c>
      <c r="H593" s="3" t="str">
        <f>HYPERLINK("http://funmeta.oebiotech.com/network/207107", "http://funmeta.oebiotech.com/network/207107")</f>
      </c>
      <c r="I593" s="2" t="s">
        <v>21708</v>
      </c>
      <c r="J593" s="2"/>
      <c r="K593" s="2"/>
      <c r="L593" s="2"/>
      <c r="M593" s="2" t="s">
        <v>21709</v>
      </c>
      <c r="N593" s="2" t="s">
        <v>21710</v>
      </c>
      <c r="O593" s="2"/>
      <c r="P593" s="2" t="s">
        <v>21711</v>
      </c>
      <c r="Q593" s="2" t="s">
        <v>21712</v>
      </c>
      <c r="R593" s="2" t="s">
        <v>186</v>
      </c>
      <c r="S593" s="2" t="s">
        <v>187</v>
      </c>
      <c r="T593" s="2" t="s">
        <v>8537</v>
      </c>
      <c r="U593" s="2" t="s">
        <v>21705</v>
      </c>
      <c r="V593" s="2" t="s">
        <v>17039</v>
      </c>
      <c r="W593" s="2"/>
    </row>
    <row r="594">
      <c r="A594" s="2" t="n">
        <v>441</v>
      </c>
      <c r="B594" s="2" t="s">
        <v>14221</v>
      </c>
      <c r="C594" s="2" t="s">
        <v>21713</v>
      </c>
      <c r="D594" s="2" t="n">
        <v>398.772525156</v>
      </c>
      <c r="E594" s="2" t="n">
        <v>7.42835082003672</v>
      </c>
      <c r="F594" s="2" t="s">
        <v>21715</v>
      </c>
      <c r="G594" s="2" t="n">
        <v>55853</v>
      </c>
      <c r="H594" s="3" t="str">
        <f>HYPERLINK("http://funmeta.oebiotech.com/network/55853", "http://funmeta.oebiotech.com/network/55853")</f>
      </c>
      <c r="I594" s="2" t="s">
        <v>21717</v>
      </c>
      <c r="J594" s="2" t="s">
        <v>21718</v>
      </c>
      <c r="K594" s="2"/>
      <c r="L594" s="2" t="s">
        <v>21719</v>
      </c>
      <c r="M594" s="2" t="s">
        <v>1169</v>
      </c>
      <c r="N594" s="2" t="s">
        <v>21720</v>
      </c>
      <c r="O594" s="2" t="s">
        <v>21721</v>
      </c>
      <c r="P594" s="2" t="s">
        <v>21722</v>
      </c>
      <c r="Q594" s="2" t="s">
        <v>21723</v>
      </c>
      <c r="R594" s="2" t="s">
        <v>644</v>
      </c>
      <c r="S594" s="2" t="s">
        <v>21724</v>
      </c>
      <c r="T594" s="2" t="s">
        <v>215</v>
      </c>
      <c r="U594" s="2" t="s">
        <v>21714</v>
      </c>
      <c r="V594" s="2" t="s">
        <v>17892</v>
      </c>
      <c r="W594" s="2" t="s">
        <v>101</v>
      </c>
    </row>
    <row r="595">
      <c r="A595" s="2" t="n">
        <v>442</v>
      </c>
      <c r="B595" s="2" t="s">
        <v>14222</v>
      </c>
      <c r="C595" s="2" t="s">
        <v>21725</v>
      </c>
      <c r="D595" s="2" t="n">
        <v>399.09269484</v>
      </c>
      <c r="E595" s="2" t="n">
        <v>1.75288484405744</v>
      </c>
      <c r="F595" s="2" t="s">
        <v>27260</v>
      </c>
      <c r="G595" s="2" t="n">
        <v>213547</v>
      </c>
      <c r="H595" s="3" t="str">
        <f>HYPERLINK("http://funmeta.oebiotech.com/network/213547", "http://funmeta.oebiotech.com/network/213547")</f>
      </c>
      <c r="I595" s="2" t="s">
        <v>27261</v>
      </c>
      <c r="J595" s="2"/>
      <c r="K595" s="2"/>
      <c r="L595" s="2"/>
      <c r="M595" s="2"/>
      <c r="N595" s="2" t="s">
        <v>27262</v>
      </c>
      <c r="O595" s="2"/>
      <c r="P595" s="2" t="s">
        <v>27263</v>
      </c>
      <c r="Q595" s="2" t="s">
        <v>27264</v>
      </c>
      <c r="R595" s="2" t="s">
        <v>186</v>
      </c>
      <c r="S595" s="2" t="s">
        <v>187</v>
      </c>
      <c r="T595" s="2" t="s">
        <v>1760</v>
      </c>
      <c r="U595" s="2" t="s">
        <v>21726</v>
      </c>
      <c r="V595" s="2" t="s">
        <v>17198</v>
      </c>
      <c r="W595" s="2"/>
    </row>
    <row r="596">
      <c r="A596" s="2" t="n">
        <v>442</v>
      </c>
      <c r="B596" s="2" t="s">
        <v>27265</v>
      </c>
      <c r="C596" s="2" t="s">
        <v>21725</v>
      </c>
      <c r="D596" s="2" t="n">
        <v>399.09269484</v>
      </c>
      <c r="E596" s="2" t="n">
        <v>1.75288484405744</v>
      </c>
      <c r="F596" s="2" t="s">
        <v>27266</v>
      </c>
      <c r="G596" s="2" t="n">
        <v>211981</v>
      </c>
      <c r="H596" s="3" t="str">
        <f>HYPERLINK("http://funmeta.oebiotech.com/network/211981", "http://funmeta.oebiotech.com/network/211981")</f>
      </c>
      <c r="I596" s="2" t="s">
        <v>27267</v>
      </c>
      <c r="J596" s="2"/>
      <c r="K596" s="2"/>
      <c r="L596" s="2"/>
      <c r="M596" s="2"/>
      <c r="N596" s="2" t="s">
        <v>27268</v>
      </c>
      <c r="O596" s="2"/>
      <c r="P596" s="2" t="s">
        <v>27269</v>
      </c>
      <c r="Q596" s="2" t="s">
        <v>27270</v>
      </c>
      <c r="R596" s="2" t="s">
        <v>114</v>
      </c>
      <c r="S596" s="2" t="s">
        <v>6105</v>
      </c>
      <c r="T596" s="2" t="s">
        <v>6106</v>
      </c>
      <c r="U596" s="2" t="s">
        <v>21726</v>
      </c>
      <c r="V596" s="2" t="s">
        <v>17198</v>
      </c>
      <c r="W596" s="2"/>
    </row>
    <row r="597">
      <c r="A597" s="2" t="n">
        <v>443</v>
      </c>
      <c r="B597" s="2" t="s">
        <v>14223</v>
      </c>
      <c r="C597" s="2" t="s">
        <v>21735</v>
      </c>
      <c r="D597" s="2" t="n">
        <v>399.181551964</v>
      </c>
      <c r="E597" s="2" t="n">
        <v>2.4305346844537</v>
      </c>
      <c r="F597" s="2" t="s">
        <v>27271</v>
      </c>
      <c r="G597" s="2" t="n">
        <v>199934</v>
      </c>
      <c r="H597" s="3" t="str">
        <f>HYPERLINK("http://funmeta.oebiotech.com/network/199934", "http://funmeta.oebiotech.com/network/199934")</f>
      </c>
      <c r="I597" s="2" t="s">
        <v>27272</v>
      </c>
      <c r="J597" s="2"/>
      <c r="K597" s="2"/>
      <c r="L597" s="2"/>
      <c r="M597" s="2"/>
      <c r="N597" s="2" t="s">
        <v>27273</v>
      </c>
      <c r="O597" s="2"/>
      <c r="P597" s="2" t="s">
        <v>27274</v>
      </c>
      <c r="Q597" s="2" t="s">
        <v>27275</v>
      </c>
      <c r="R597" s="2" t="s">
        <v>114</v>
      </c>
      <c r="S597" s="2" t="s">
        <v>4523</v>
      </c>
      <c r="T597" s="2" t="s">
        <v>4524</v>
      </c>
      <c r="U597" s="2" t="s">
        <v>21736</v>
      </c>
      <c r="V597" s="2" t="s">
        <v>17137</v>
      </c>
      <c r="W597" s="2"/>
    </row>
    <row r="598">
      <c r="A598" s="2" t="n">
        <v>443</v>
      </c>
      <c r="B598" s="2" t="s">
        <v>27276</v>
      </c>
      <c r="C598" s="2" t="s">
        <v>21735</v>
      </c>
      <c r="D598" s="2" t="n">
        <v>399.181551968</v>
      </c>
      <c r="E598" s="2" t="n">
        <v>2.4305346844537</v>
      </c>
      <c r="F598" s="2" t="s">
        <v>27277</v>
      </c>
      <c r="G598" s="2" t="n">
        <v>210982</v>
      </c>
      <c r="H598" s="3" t="str">
        <f>HYPERLINK("http://funmeta.oebiotech.com/network/210982", "http://funmeta.oebiotech.com/network/210982")</f>
      </c>
      <c r="I598" s="2" t="s">
        <v>27278</v>
      </c>
      <c r="J598" s="2" t="s">
        <v>27279</v>
      </c>
      <c r="K598" s="2"/>
      <c r="L598" s="2"/>
      <c r="M598" s="2"/>
      <c r="N598" s="2" t="s">
        <v>27280</v>
      </c>
      <c r="O598" s="2" t="s">
        <v>27281</v>
      </c>
      <c r="P598" s="2" t="s">
        <v>27282</v>
      </c>
      <c r="Q598" s="2" t="s">
        <v>27283</v>
      </c>
      <c r="R598" s="2" t="s">
        <v>114</v>
      </c>
      <c r="S598" s="2" t="s">
        <v>994</v>
      </c>
      <c r="T598" s="2" t="s">
        <v>2801</v>
      </c>
      <c r="U598" s="2" t="s">
        <v>21736</v>
      </c>
      <c r="V598" s="2" t="s">
        <v>17137</v>
      </c>
      <c r="W598" s="2"/>
    </row>
    <row r="599">
      <c r="A599" s="2" t="n">
        <v>444</v>
      </c>
      <c r="B599" s="2" t="s">
        <v>14224</v>
      </c>
      <c r="C599" s="2" t="s">
        <v>21747</v>
      </c>
      <c r="D599" s="2" t="n">
        <v>399.265833774</v>
      </c>
      <c r="E599" s="2" t="n">
        <v>14.4461584337677</v>
      </c>
      <c r="F599" s="2" t="s">
        <v>21749</v>
      </c>
      <c r="G599" s="2" t="n">
        <v>81711</v>
      </c>
      <c r="H599" s="3" t="str">
        <f>HYPERLINK("http://funmeta.oebiotech.com/network/81711", "http://funmeta.oebiotech.com/network/81711")</f>
      </c>
      <c r="I599" s="2" t="s">
        <v>21751</v>
      </c>
      <c r="J599" s="2" t="s">
        <v>21752</v>
      </c>
      <c r="K599" s="2"/>
      <c r="L599" s="2"/>
      <c r="M599" s="2" t="s">
        <v>21753</v>
      </c>
      <c r="N599" s="2" t="s">
        <v>21754</v>
      </c>
      <c r="O599" s="2" t="s">
        <v>21755</v>
      </c>
      <c r="P599" s="2" t="s">
        <v>21756</v>
      </c>
      <c r="Q599" s="2" t="s">
        <v>21757</v>
      </c>
      <c r="R599" s="2" t="s">
        <v>794</v>
      </c>
      <c r="S599" s="2" t="s">
        <v>1098</v>
      </c>
      <c r="T599" s="2" t="s">
        <v>15288</v>
      </c>
      <c r="U599" s="2" t="s">
        <v>21748</v>
      </c>
      <c r="V599" s="2" t="s">
        <v>17198</v>
      </c>
      <c r="W599" s="2"/>
    </row>
    <row r="600">
      <c r="A600" s="2" t="n">
        <v>445</v>
      </c>
      <c r="B600" s="2" t="s">
        <v>14225</v>
      </c>
      <c r="C600" s="2" t="s">
        <v>21758</v>
      </c>
      <c r="D600" s="2" t="n">
        <v>401.162586085</v>
      </c>
      <c r="E600" s="2" t="n">
        <v>2.21388333280827</v>
      </c>
      <c r="F600" s="2" t="s">
        <v>21760</v>
      </c>
      <c r="G600" s="2" t="n">
        <v>204016</v>
      </c>
      <c r="H600" s="3" t="str">
        <f>HYPERLINK("http://funmeta.oebiotech.com/network/204016", "http://funmeta.oebiotech.com/network/204016")</f>
      </c>
      <c r="I600" s="2" t="s">
        <v>21762</v>
      </c>
      <c r="J600" s="2" t="s">
        <v>21763</v>
      </c>
      <c r="K600" s="2"/>
      <c r="L600" s="2"/>
      <c r="M600" s="2"/>
      <c r="N600" s="2" t="s">
        <v>21764</v>
      </c>
      <c r="O600" s="2"/>
      <c r="P600" s="2" t="s">
        <v>21765</v>
      </c>
      <c r="Q600" s="2" t="s">
        <v>21766</v>
      </c>
      <c r="R600" s="2" t="s">
        <v>114</v>
      </c>
      <c r="S600" s="2" t="s">
        <v>4121</v>
      </c>
      <c r="T600" s="2" t="s">
        <v>7480</v>
      </c>
      <c r="U600" s="2" t="s">
        <v>21759</v>
      </c>
      <c r="V600" s="2" t="s">
        <v>17406</v>
      </c>
      <c r="W600" s="2"/>
    </row>
    <row r="601">
      <c r="A601" s="2" t="n">
        <v>446</v>
      </c>
      <c r="B601" s="2" t="s">
        <v>14226</v>
      </c>
      <c r="C601" s="2" t="s">
        <v>21767</v>
      </c>
      <c r="D601" s="2" t="n">
        <v>401.266382452</v>
      </c>
      <c r="E601" s="2" t="n">
        <v>1.54320333517813</v>
      </c>
      <c r="F601" s="2" t="s">
        <v>21769</v>
      </c>
      <c r="G601" s="2" t="n">
        <v>202214</v>
      </c>
      <c r="H601" s="3" t="str">
        <f>HYPERLINK("http://funmeta.oebiotech.com/network/202214", "http://funmeta.oebiotech.com/network/202214")</f>
      </c>
      <c r="I601" s="2" t="s">
        <v>21771</v>
      </c>
      <c r="J601" s="2" t="s">
        <v>21772</v>
      </c>
      <c r="K601" s="2"/>
      <c r="L601" s="2"/>
      <c r="M601" s="2"/>
      <c r="N601" s="2" t="s">
        <v>21773</v>
      </c>
      <c r="O601" s="2"/>
      <c r="P601" s="2" t="s">
        <v>21774</v>
      </c>
      <c r="Q601" s="2" t="s">
        <v>21775</v>
      </c>
      <c r="R601" s="2" t="s">
        <v>129</v>
      </c>
      <c r="S601" s="2" t="s">
        <v>130</v>
      </c>
      <c r="T601" s="2" t="s">
        <v>4901</v>
      </c>
      <c r="U601" s="2" t="s">
        <v>21768</v>
      </c>
      <c r="V601" s="2" t="s">
        <v>17406</v>
      </c>
      <c r="W601" s="2"/>
    </row>
    <row r="602">
      <c r="A602" s="2" t="n">
        <v>447</v>
      </c>
      <c r="B602" s="2" t="s">
        <v>14239</v>
      </c>
      <c r="C602" s="2" t="s">
        <v>21776</v>
      </c>
      <c r="D602" s="2" t="n">
        <v>405.161123743</v>
      </c>
      <c r="E602" s="2" t="n">
        <v>7.39532222811606</v>
      </c>
      <c r="F602" s="2" t="s">
        <v>21778</v>
      </c>
      <c r="G602" s="2" t="n">
        <v>207331</v>
      </c>
      <c r="H602" s="3" t="str">
        <f>HYPERLINK("http://funmeta.oebiotech.com/network/207331", "http://funmeta.oebiotech.com/network/207331")</f>
      </c>
      <c r="I602" s="2" t="s">
        <v>21780</v>
      </c>
      <c r="J602" s="2"/>
      <c r="K602" s="2"/>
      <c r="L602" s="2"/>
      <c r="M602" s="2"/>
      <c r="N602" s="2" t="s">
        <v>21781</v>
      </c>
      <c r="O602" s="2"/>
      <c r="P602" s="2" t="s">
        <v>21782</v>
      </c>
      <c r="Q602" s="2" t="s">
        <v>21783</v>
      </c>
      <c r="R602" s="2" t="s">
        <v>36</v>
      </c>
      <c r="S602" s="2" t="s">
        <v>37</v>
      </c>
      <c r="T602" s="2" t="s">
        <v>69</v>
      </c>
      <c r="U602" s="2" t="s">
        <v>21777</v>
      </c>
      <c r="V602" s="2" t="s">
        <v>17406</v>
      </c>
      <c r="W602" s="2"/>
    </row>
    <row r="603">
      <c r="A603" s="2" t="n">
        <v>448</v>
      </c>
      <c r="B603" s="2" t="s">
        <v>14240</v>
      </c>
      <c r="C603" s="2" t="s">
        <v>21784</v>
      </c>
      <c r="D603" s="2" t="n">
        <v>405.219038335</v>
      </c>
      <c r="E603" s="2" t="n">
        <v>6.3751364849265</v>
      </c>
      <c r="F603" s="2" t="s">
        <v>27284</v>
      </c>
      <c r="G603" s="2" t="n">
        <v>255017</v>
      </c>
      <c r="H603" s="3" t="str">
        <f>HYPERLINK("http://funmeta.oebiotech.com/network/255017", "http://funmeta.oebiotech.com/network/255017")</f>
      </c>
      <c r="I603" s="2" t="s">
        <v>27285</v>
      </c>
      <c r="J603" s="2"/>
      <c r="K603" s="2"/>
      <c r="L603" s="2"/>
      <c r="M603" s="2" t="s">
        <v>27286</v>
      </c>
      <c r="N603" s="2"/>
      <c r="O603" s="2"/>
      <c r="P603" s="2" t="s">
        <v>27287</v>
      </c>
      <c r="Q603" s="2" t="s">
        <v>27288</v>
      </c>
      <c r="R603" s="2" t="s">
        <v>794</v>
      </c>
      <c r="S603" s="2" t="s">
        <v>1098</v>
      </c>
      <c r="T603" s="2" t="s">
        <v>4662</v>
      </c>
      <c r="U603" s="2" t="s">
        <v>21785</v>
      </c>
      <c r="V603" s="2" t="s">
        <v>17406</v>
      </c>
      <c r="W603" s="2"/>
    </row>
    <row r="604">
      <c r="A604" s="2" t="n">
        <v>448</v>
      </c>
      <c r="B604" s="2" t="s">
        <v>27289</v>
      </c>
      <c r="C604" s="2" t="s">
        <v>21784</v>
      </c>
      <c r="D604" s="2" t="n">
        <v>405.219038335</v>
      </c>
      <c r="E604" s="2" t="n">
        <v>6.3751364849265</v>
      </c>
      <c r="F604" s="2" t="s">
        <v>27290</v>
      </c>
      <c r="G604" s="2" t="n">
        <v>210809</v>
      </c>
      <c r="H604" s="3" t="str">
        <f>HYPERLINK("http://funmeta.oebiotech.com/network/210809", "http://funmeta.oebiotech.com/network/210809")</f>
      </c>
      <c r="I604" s="2" t="s">
        <v>27291</v>
      </c>
      <c r="J604" s="2"/>
      <c r="K604" s="2"/>
      <c r="L604" s="2"/>
      <c r="M604" s="2"/>
      <c r="N604" s="2" t="s">
        <v>27292</v>
      </c>
      <c r="O604" s="2"/>
      <c r="P604" s="2" t="s">
        <v>27293</v>
      </c>
      <c r="Q604" s="2" t="s">
        <v>27294</v>
      </c>
      <c r="R604" s="2" t="s">
        <v>794</v>
      </c>
      <c r="S604" s="2" t="s">
        <v>2971</v>
      </c>
      <c r="T604" s="2" t="s">
        <v>5934</v>
      </c>
      <c r="U604" s="2" t="s">
        <v>21785</v>
      </c>
      <c r="V604" s="2" t="s">
        <v>17406</v>
      </c>
      <c r="W604" s="2"/>
    </row>
    <row r="605">
      <c r="A605" s="2" t="n">
        <v>449</v>
      </c>
      <c r="B605" s="2" t="s">
        <v>14241</v>
      </c>
      <c r="C605" s="2" t="s">
        <v>21794</v>
      </c>
      <c r="D605" s="2" t="n">
        <v>405.9864085</v>
      </c>
      <c r="E605" s="2" t="n">
        <v>0.489346106495837</v>
      </c>
      <c r="F605" s="2" t="s">
        <v>21796</v>
      </c>
      <c r="G605" s="2" t="n">
        <v>203529</v>
      </c>
      <c r="H605" s="3" t="str">
        <f>HYPERLINK("http://funmeta.oebiotech.com/network/203529", "http://funmeta.oebiotech.com/network/203529")</f>
      </c>
      <c r="I605" s="2" t="s">
        <v>21798</v>
      </c>
      <c r="J605" s="2" t="s">
        <v>21799</v>
      </c>
      <c r="K605" s="2"/>
      <c r="L605" s="2" t="s">
        <v>21800</v>
      </c>
      <c r="M605" s="2"/>
      <c r="N605" s="2" t="s">
        <v>21801</v>
      </c>
      <c r="O605" s="2" t="s">
        <v>21802</v>
      </c>
      <c r="P605" s="2" t="s">
        <v>21803</v>
      </c>
      <c r="Q605" s="2" t="s">
        <v>21804</v>
      </c>
      <c r="R605" s="2" t="s">
        <v>186</v>
      </c>
      <c r="S605" s="2" t="s">
        <v>187</v>
      </c>
      <c r="T605" s="2" t="s">
        <v>4711</v>
      </c>
      <c r="U605" s="2" t="s">
        <v>21795</v>
      </c>
      <c r="V605" s="2" t="s">
        <v>17406</v>
      </c>
      <c r="W605" s="2" t="s">
        <v>101</v>
      </c>
    </row>
    <row r="606">
      <c r="A606" s="2" t="n">
        <v>450</v>
      </c>
      <c r="B606" s="2" t="s">
        <v>14259</v>
      </c>
      <c r="C606" s="2" t="s">
        <v>21805</v>
      </c>
      <c r="D606" s="2" t="n">
        <v>407.172996021</v>
      </c>
      <c r="E606" s="2" t="n">
        <v>0.432790740842624</v>
      </c>
      <c r="F606" s="2" t="s">
        <v>21807</v>
      </c>
      <c r="G606" s="2" t="n">
        <v>199824</v>
      </c>
      <c r="H606" s="3" t="str">
        <f>HYPERLINK("http://funmeta.oebiotech.com/network/199824", "http://funmeta.oebiotech.com/network/199824")</f>
      </c>
      <c r="I606" s="2" t="s">
        <v>21809</v>
      </c>
      <c r="J606" s="2" t="s">
        <v>21810</v>
      </c>
      <c r="K606" s="2"/>
      <c r="L606" s="2"/>
      <c r="M606" s="2"/>
      <c r="N606" s="2" t="s">
        <v>21811</v>
      </c>
      <c r="O606" s="2" t="s">
        <v>21812</v>
      </c>
      <c r="P606" s="2" t="s">
        <v>21813</v>
      </c>
      <c r="Q606" s="2" t="s">
        <v>21814</v>
      </c>
      <c r="R606" s="2" t="s">
        <v>114</v>
      </c>
      <c r="S606" s="2" t="s">
        <v>994</v>
      </c>
      <c r="T606" s="2" t="s">
        <v>21815</v>
      </c>
      <c r="U606" s="2" t="s">
        <v>21806</v>
      </c>
      <c r="V606" s="2" t="s">
        <v>17198</v>
      </c>
      <c r="W606" s="2"/>
    </row>
    <row r="607">
      <c r="A607" s="2" t="n">
        <v>451</v>
      </c>
      <c r="B607" s="2" t="s">
        <v>14260</v>
      </c>
      <c r="C607" s="2" t="s">
        <v>21816</v>
      </c>
      <c r="D607" s="2" t="n">
        <v>407.212752832</v>
      </c>
      <c r="E607" s="2" t="n">
        <v>3.08111810015412</v>
      </c>
      <c r="F607" s="2" t="s">
        <v>21818</v>
      </c>
      <c r="G607" s="2" t="n">
        <v>205776</v>
      </c>
      <c r="H607" s="3" t="str">
        <f>HYPERLINK("http://funmeta.oebiotech.com/network/205776", "http://funmeta.oebiotech.com/network/205776")</f>
      </c>
      <c r="I607" s="2" t="s">
        <v>21820</v>
      </c>
      <c r="J607" s="2" t="s">
        <v>21821</v>
      </c>
      <c r="K607" s="2"/>
      <c r="L607" s="2" t="s">
        <v>21822</v>
      </c>
      <c r="M607" s="2" t="s">
        <v>21823</v>
      </c>
      <c r="N607" s="2" t="s">
        <v>21824</v>
      </c>
      <c r="O607" s="2" t="s">
        <v>21825</v>
      </c>
      <c r="P607" s="2" t="s">
        <v>21826</v>
      </c>
      <c r="Q607" s="2" t="s">
        <v>21827</v>
      </c>
      <c r="R607" s="2" t="s">
        <v>186</v>
      </c>
      <c r="S607" s="2" t="s">
        <v>187</v>
      </c>
      <c r="T607" s="2" t="s">
        <v>6895</v>
      </c>
      <c r="U607" s="2" t="s">
        <v>21817</v>
      </c>
      <c r="V607" s="2" t="s">
        <v>17198</v>
      </c>
      <c r="W607" s="2" t="s">
        <v>101</v>
      </c>
    </row>
    <row r="608">
      <c r="A608" s="2" t="n">
        <v>452</v>
      </c>
      <c r="B608" s="2" t="s">
        <v>14277</v>
      </c>
      <c r="C608" s="2" t="s">
        <v>21828</v>
      </c>
      <c r="D608" s="2" t="n">
        <v>409.1789651</v>
      </c>
      <c r="E608" s="2" t="n">
        <v>0.218454275263421</v>
      </c>
      <c r="F608" s="2" t="s">
        <v>21830</v>
      </c>
      <c r="G608" s="2" t="n">
        <v>210047</v>
      </c>
      <c r="H608" s="3" t="str">
        <f>HYPERLINK("http://funmeta.oebiotech.com/network/210047", "http://funmeta.oebiotech.com/network/210047")</f>
      </c>
      <c r="I608" s="2" t="s">
        <v>21832</v>
      </c>
      <c r="J608" s="2"/>
      <c r="K608" s="2"/>
      <c r="L608" s="2"/>
      <c r="M608" s="2"/>
      <c r="N608" s="2" t="s">
        <v>21833</v>
      </c>
      <c r="O608" s="2"/>
      <c r="P608" s="2" t="s">
        <v>21834</v>
      </c>
      <c r="Q608" s="2" t="s">
        <v>21835</v>
      </c>
      <c r="R608" s="2" t="s">
        <v>114</v>
      </c>
      <c r="S608" s="2" t="s">
        <v>1038</v>
      </c>
      <c r="T608" s="2" t="s">
        <v>1039</v>
      </c>
      <c r="U608" s="2" t="s">
        <v>21829</v>
      </c>
      <c r="V608" s="2" t="s">
        <v>17137</v>
      </c>
      <c r="W608" s="2"/>
    </row>
    <row r="609">
      <c r="A609" s="2" t="n">
        <v>453</v>
      </c>
      <c r="B609" s="2" t="s">
        <v>14278</v>
      </c>
      <c r="C609" s="2" t="s">
        <v>21836</v>
      </c>
      <c r="D609" s="2" t="n">
        <v>409.268906146</v>
      </c>
      <c r="E609" s="2" t="n">
        <v>5.74301821131259</v>
      </c>
      <c r="F609" s="2" t="s">
        <v>27295</v>
      </c>
      <c r="G609" s="2" t="n">
        <v>10462</v>
      </c>
      <c r="H609" s="3" t="str">
        <f>HYPERLINK("http://funmeta.oebiotech.com/network/10462", "http://funmeta.oebiotech.com/network/10462")</f>
      </c>
      <c r="I609" s="2" t="s">
        <v>27296</v>
      </c>
      <c r="J609" s="2" t="s">
        <v>27297</v>
      </c>
      <c r="K609" s="2" t="s">
        <v>27298</v>
      </c>
      <c r="L609" s="2"/>
      <c r="M609" s="2" t="s">
        <v>27299</v>
      </c>
      <c r="N609" s="2" t="s">
        <v>27300</v>
      </c>
      <c r="O609" s="2" t="s">
        <v>27301</v>
      </c>
      <c r="P609" s="2" t="s">
        <v>27302</v>
      </c>
      <c r="Q609" s="2" t="s">
        <v>27303</v>
      </c>
      <c r="R609" s="2" t="s">
        <v>794</v>
      </c>
      <c r="S609" s="2" t="s">
        <v>15107</v>
      </c>
      <c r="T609" s="2" t="s">
        <v>215</v>
      </c>
      <c r="U609" s="2" t="s">
        <v>21837</v>
      </c>
      <c r="V609" s="2" t="s">
        <v>17970</v>
      </c>
      <c r="W609" s="2" t="s">
        <v>56</v>
      </c>
    </row>
    <row r="610">
      <c r="A610" s="2" t="n">
        <v>453</v>
      </c>
      <c r="B610" s="2" t="s">
        <v>14287</v>
      </c>
      <c r="C610" s="2" t="s">
        <v>21836</v>
      </c>
      <c r="D610" s="2" t="n">
        <v>409.268906146</v>
      </c>
      <c r="E610" s="2" t="n">
        <v>5.74301821131259</v>
      </c>
      <c r="F610" s="2" t="s">
        <v>27304</v>
      </c>
      <c r="G610" s="2" t="n">
        <v>56542</v>
      </c>
      <c r="H610" s="3" t="str">
        <f>HYPERLINK("http://funmeta.oebiotech.com/network/56542", "http://funmeta.oebiotech.com/network/56542")</f>
      </c>
      <c r="I610" s="2" t="s">
        <v>27305</v>
      </c>
      <c r="J610" s="2" t="s">
        <v>27306</v>
      </c>
      <c r="K610" s="2"/>
      <c r="L610" s="2"/>
      <c r="M610" s="2"/>
      <c r="N610" s="2" t="s">
        <v>27307</v>
      </c>
      <c r="O610" s="2" t="s">
        <v>27308</v>
      </c>
      <c r="P610" s="2" t="s">
        <v>27309</v>
      </c>
      <c r="Q610" s="2" t="s">
        <v>27310</v>
      </c>
      <c r="R610" s="2" t="s">
        <v>114</v>
      </c>
      <c r="S610" s="2" t="s">
        <v>1779</v>
      </c>
      <c r="T610" s="2" t="s">
        <v>1780</v>
      </c>
      <c r="U610" s="2" t="s">
        <v>21837</v>
      </c>
      <c r="V610" s="2" t="s">
        <v>17970</v>
      </c>
      <c r="W610" s="2" t="s">
        <v>56</v>
      </c>
    </row>
    <row r="611">
      <c r="A611" s="2" t="n">
        <v>453</v>
      </c>
      <c r="B611" s="2" t="s">
        <v>14297</v>
      </c>
      <c r="C611" s="2" t="s">
        <v>21836</v>
      </c>
      <c r="D611" s="2" t="n">
        <v>409.268906146</v>
      </c>
      <c r="E611" s="2" t="n">
        <v>5.74301821131259</v>
      </c>
      <c r="F611" s="2" t="s">
        <v>27311</v>
      </c>
      <c r="G611" s="2" t="n">
        <v>2627</v>
      </c>
      <c r="H611" s="3" t="str">
        <f>HYPERLINK("http://funmeta.oebiotech.com/network/2627", "http://funmeta.oebiotech.com/network/2627")</f>
      </c>
      <c r="I611" s="2" t="s">
        <v>27312</v>
      </c>
      <c r="J611" s="2" t="s">
        <v>27313</v>
      </c>
      <c r="K611" s="2" t="s">
        <v>27314</v>
      </c>
      <c r="L611" s="2"/>
      <c r="M611" s="2"/>
      <c r="N611" s="2" t="s">
        <v>27315</v>
      </c>
      <c r="O611" s="2" t="s">
        <v>27316</v>
      </c>
      <c r="P611" s="2" t="s">
        <v>27317</v>
      </c>
      <c r="Q611" s="2" t="s">
        <v>27318</v>
      </c>
      <c r="R611" s="2" t="s">
        <v>794</v>
      </c>
      <c r="S611" s="2" t="s">
        <v>795</v>
      </c>
      <c r="T611" s="2" t="s">
        <v>796</v>
      </c>
      <c r="U611" s="2" t="s">
        <v>21837</v>
      </c>
      <c r="V611" s="2" t="s">
        <v>17970</v>
      </c>
      <c r="W611" s="2" t="s">
        <v>56</v>
      </c>
    </row>
    <row r="612">
      <c r="A612" s="2" t="n">
        <v>454</v>
      </c>
      <c r="B612" s="2" t="s">
        <v>14306</v>
      </c>
      <c r="C612" s="2" t="s">
        <v>21850</v>
      </c>
      <c r="D612" s="2" t="n">
        <v>410.179872313</v>
      </c>
      <c r="E612" s="2" t="n">
        <v>2.73664156307552</v>
      </c>
      <c r="F612" s="2" t="s">
        <v>21852</v>
      </c>
      <c r="G612" s="2" t="n">
        <v>53380</v>
      </c>
      <c r="H612" s="3" t="str">
        <f>HYPERLINK("http://funmeta.oebiotech.com/network/53380", "http://funmeta.oebiotech.com/network/53380")</f>
      </c>
      <c r="I612" s="2" t="s">
        <v>21854</v>
      </c>
      <c r="J612" s="2" t="s">
        <v>21855</v>
      </c>
      <c r="K612" s="2"/>
      <c r="L612" s="2" t="s">
        <v>21856</v>
      </c>
      <c r="M612" s="2" t="s">
        <v>21857</v>
      </c>
      <c r="N612" s="2" t="s">
        <v>21858</v>
      </c>
      <c r="O612" s="2" t="s">
        <v>21859</v>
      </c>
      <c r="P612" s="2" t="s">
        <v>21860</v>
      </c>
      <c r="Q612" s="2" t="s">
        <v>21861</v>
      </c>
      <c r="R612" s="2" t="s">
        <v>114</v>
      </c>
      <c r="S612" s="2" t="s">
        <v>1038</v>
      </c>
      <c r="T612" s="2" t="s">
        <v>1039</v>
      </c>
      <c r="U612" s="2" t="s">
        <v>21851</v>
      </c>
      <c r="V612" s="2" t="s">
        <v>17198</v>
      </c>
      <c r="W612" s="2" t="s">
        <v>56</v>
      </c>
    </row>
    <row r="613">
      <c r="A613" s="2" t="n">
        <v>455</v>
      </c>
      <c r="B613" s="2" t="s">
        <v>14307</v>
      </c>
      <c r="C613" s="2" t="s">
        <v>21862</v>
      </c>
      <c r="D613" s="2" t="n">
        <v>410.268969991</v>
      </c>
      <c r="E613" s="2" t="n">
        <v>0.0851055302988265</v>
      </c>
      <c r="F613" s="2" t="s">
        <v>21864</v>
      </c>
      <c r="G613" s="2" t="n">
        <v>209724</v>
      </c>
      <c r="H613" s="3" t="str">
        <f>HYPERLINK("http://funmeta.oebiotech.com/network/209724", "http://funmeta.oebiotech.com/network/209724")</f>
      </c>
      <c r="I613" s="2" t="s">
        <v>21866</v>
      </c>
      <c r="J613" s="2"/>
      <c r="K613" s="2"/>
      <c r="L613" s="2"/>
      <c r="M613" s="2"/>
      <c r="N613" s="2" t="s">
        <v>21867</v>
      </c>
      <c r="O613" s="2"/>
      <c r="P613" s="2" t="s">
        <v>21868</v>
      </c>
      <c r="Q613" s="2" t="s">
        <v>21869</v>
      </c>
      <c r="R613" s="2" t="s">
        <v>794</v>
      </c>
      <c r="S613" s="2" t="s">
        <v>2971</v>
      </c>
      <c r="T613" s="2" t="s">
        <v>5393</v>
      </c>
      <c r="U613" s="2" t="s">
        <v>21863</v>
      </c>
      <c r="V613" s="2" t="s">
        <v>17137</v>
      </c>
      <c r="W613" s="2"/>
    </row>
    <row r="614">
      <c r="A614" s="2" t="n">
        <v>456</v>
      </c>
      <c r="B614" s="2" t="s">
        <v>14308</v>
      </c>
      <c r="C614" s="2" t="s">
        <v>21870</v>
      </c>
      <c r="D614" s="2" t="n">
        <v>410.7666932</v>
      </c>
      <c r="E614" s="2" t="n">
        <v>1.59301844093222</v>
      </c>
      <c r="F614" s="2" t="s">
        <v>21872</v>
      </c>
      <c r="G614" s="2" t="n">
        <v>199559</v>
      </c>
      <c r="H614" s="3" t="str">
        <f>HYPERLINK("http://funmeta.oebiotech.com/network/199559", "http://funmeta.oebiotech.com/network/199559")</f>
      </c>
      <c r="I614" s="2" t="s">
        <v>21874</v>
      </c>
      <c r="J614" s="2"/>
      <c r="K614" s="2"/>
      <c r="L614" s="2"/>
      <c r="M614" s="2"/>
      <c r="N614" s="2" t="s">
        <v>21875</v>
      </c>
      <c r="O614" s="2"/>
      <c r="P614" s="2" t="s">
        <v>21876</v>
      </c>
      <c r="Q614" s="2" t="s">
        <v>21877</v>
      </c>
      <c r="R614" s="2" t="s">
        <v>213</v>
      </c>
      <c r="S614" s="2" t="s">
        <v>3744</v>
      </c>
      <c r="T614" s="2" t="s">
        <v>21878</v>
      </c>
      <c r="U614" s="2" t="s">
        <v>21871</v>
      </c>
      <c r="V614" s="2" t="s">
        <v>17227</v>
      </c>
      <c r="W614" s="2"/>
    </row>
    <row r="615">
      <c r="A615" s="2" t="n">
        <v>457</v>
      </c>
      <c r="B615" s="2" t="s">
        <v>14309</v>
      </c>
      <c r="C615" s="2" t="s">
        <v>21879</v>
      </c>
      <c r="D615" s="2" t="n">
        <v>411.265988524</v>
      </c>
      <c r="E615" s="2" t="n">
        <v>0.0827229634718245</v>
      </c>
      <c r="F615" s="2" t="s">
        <v>27319</v>
      </c>
      <c r="G615" s="2" t="n">
        <v>59448</v>
      </c>
      <c r="H615" s="3" t="str">
        <f>HYPERLINK("http://funmeta.oebiotech.com/network/59448", "http://funmeta.oebiotech.com/network/59448")</f>
      </c>
      <c r="I615" s="2" t="s">
        <v>27320</v>
      </c>
      <c r="J615" s="2" t="s">
        <v>27321</v>
      </c>
      <c r="K615" s="2"/>
      <c r="L615" s="2"/>
      <c r="M615" s="2"/>
      <c r="N615" s="2" t="s">
        <v>27322</v>
      </c>
      <c r="O615" s="2"/>
      <c r="P615" s="2" t="s">
        <v>27323</v>
      </c>
      <c r="Q615" s="2" t="s">
        <v>27324</v>
      </c>
      <c r="R615" s="2" t="s">
        <v>129</v>
      </c>
      <c r="S615" s="2" t="s">
        <v>130</v>
      </c>
      <c r="T615" s="2" t="s">
        <v>131</v>
      </c>
      <c r="U615" s="2" t="s">
        <v>21880</v>
      </c>
      <c r="V615" s="2" t="s">
        <v>17406</v>
      </c>
      <c r="W615" s="2" t="s">
        <v>56</v>
      </c>
    </row>
    <row r="616">
      <c r="A616" s="2" t="n">
        <v>457</v>
      </c>
      <c r="B616" s="2" t="s">
        <v>27325</v>
      </c>
      <c r="C616" s="2" t="s">
        <v>21879</v>
      </c>
      <c r="D616" s="2" t="n">
        <v>411.265988524</v>
      </c>
      <c r="E616" s="2" t="n">
        <v>0.0827229634718245</v>
      </c>
      <c r="F616" s="2" t="s">
        <v>27326</v>
      </c>
      <c r="G616" s="2" t="n">
        <v>63107</v>
      </c>
      <c r="H616" s="3" t="str">
        <f>HYPERLINK("http://funmeta.oebiotech.com/network/63107", "http://funmeta.oebiotech.com/network/63107")</f>
      </c>
      <c r="I616" s="2" t="s">
        <v>27327</v>
      </c>
      <c r="J616" s="2" t="s">
        <v>27328</v>
      </c>
      <c r="K616" s="2"/>
      <c r="L616" s="2"/>
      <c r="M616" s="2"/>
      <c r="N616" s="2" t="s">
        <v>27329</v>
      </c>
      <c r="O616" s="2" t="s">
        <v>27330</v>
      </c>
      <c r="P616" s="2" t="s">
        <v>27331</v>
      </c>
      <c r="Q616" s="2" t="s">
        <v>27332</v>
      </c>
      <c r="R616" s="2" t="s">
        <v>186</v>
      </c>
      <c r="S616" s="2" t="s">
        <v>357</v>
      </c>
      <c r="T616" s="2" t="s">
        <v>15974</v>
      </c>
      <c r="U616" s="2" t="s">
        <v>21880</v>
      </c>
      <c r="V616" s="2" t="s">
        <v>17406</v>
      </c>
      <c r="W616" s="2" t="s">
        <v>56</v>
      </c>
    </row>
    <row r="617">
      <c r="A617" s="2" t="n">
        <v>458</v>
      </c>
      <c r="B617" s="2" t="s">
        <v>14310</v>
      </c>
      <c r="C617" s="2" t="s">
        <v>21891</v>
      </c>
      <c r="D617" s="2" t="n">
        <v>415.040221114</v>
      </c>
      <c r="E617" s="2" t="n">
        <v>3.43988802781162</v>
      </c>
      <c r="F617" s="2" t="s">
        <v>21893</v>
      </c>
      <c r="G617" s="2" t="n">
        <v>208423</v>
      </c>
      <c r="H617" s="3" t="str">
        <f>HYPERLINK("http://funmeta.oebiotech.com/network/208423", "http://funmeta.oebiotech.com/network/208423")</f>
      </c>
      <c r="I617" s="2" t="s">
        <v>21895</v>
      </c>
      <c r="J617" s="2"/>
      <c r="K617" s="2"/>
      <c r="L617" s="2"/>
      <c r="M617" s="2"/>
      <c r="N617" s="2" t="s">
        <v>21896</v>
      </c>
      <c r="O617" s="2"/>
      <c r="P617" s="2" t="s">
        <v>21897</v>
      </c>
      <c r="Q617" s="2" t="s">
        <v>21898</v>
      </c>
      <c r="R617" s="2" t="s">
        <v>794</v>
      </c>
      <c r="S617" s="2" t="s">
        <v>7122</v>
      </c>
      <c r="T617" s="2" t="s">
        <v>9394</v>
      </c>
      <c r="U617" s="2" t="s">
        <v>21892</v>
      </c>
      <c r="V617" s="2" t="s">
        <v>17406</v>
      </c>
      <c r="W617" s="2"/>
    </row>
    <row r="618">
      <c r="A618" s="2" t="n">
        <v>459</v>
      </c>
      <c r="B618" s="2" t="s">
        <v>14326</v>
      </c>
      <c r="C618" s="2" t="s">
        <v>21899</v>
      </c>
      <c r="D618" s="2" t="n">
        <v>415.273903101</v>
      </c>
      <c r="E618" s="2" t="n">
        <v>0.0570104927422705</v>
      </c>
      <c r="F618" s="2" t="s">
        <v>21901</v>
      </c>
      <c r="G618" s="2" t="n">
        <v>212589</v>
      </c>
      <c r="H618" s="3" t="str">
        <f>HYPERLINK("http://funmeta.oebiotech.com/network/212589", "http://funmeta.oebiotech.com/network/212589")</f>
      </c>
      <c r="I618" s="2" t="s">
        <v>21903</v>
      </c>
      <c r="J618" s="2"/>
      <c r="K618" s="2"/>
      <c r="L618" s="2"/>
      <c r="M618" s="2"/>
      <c r="N618" s="2"/>
      <c r="O618" s="2"/>
      <c r="P618" s="2" t="s">
        <v>21904</v>
      </c>
      <c r="Q618" s="2" t="s">
        <v>21905</v>
      </c>
      <c r="R618" s="2" t="s">
        <v>794</v>
      </c>
      <c r="S618" s="2" t="s">
        <v>795</v>
      </c>
      <c r="T618" s="2" t="s">
        <v>21906</v>
      </c>
      <c r="U618" s="2" t="s">
        <v>21900</v>
      </c>
      <c r="V618" s="2" t="s">
        <v>17520</v>
      </c>
      <c r="W618" s="2"/>
    </row>
    <row r="619">
      <c r="A619" s="2" t="n">
        <v>460</v>
      </c>
      <c r="B619" s="2" t="s">
        <v>14348</v>
      </c>
      <c r="C619" s="2" t="s">
        <v>21907</v>
      </c>
      <c r="D619" s="2" t="n">
        <v>417.245608774</v>
      </c>
      <c r="E619" s="2" t="n">
        <v>2.12283504966265</v>
      </c>
      <c r="F619" s="2" t="s">
        <v>21909</v>
      </c>
      <c r="G619" s="2" t="n">
        <v>207197</v>
      </c>
      <c r="H619" s="3" t="str">
        <f>HYPERLINK("http://funmeta.oebiotech.com/network/207197", "http://funmeta.oebiotech.com/network/207197")</f>
      </c>
      <c r="I619" s="2" t="s">
        <v>21911</v>
      </c>
      <c r="J619" s="2"/>
      <c r="K619" s="2"/>
      <c r="L619" s="2"/>
      <c r="M619" s="2"/>
      <c r="N619" s="2" t="s">
        <v>21912</v>
      </c>
      <c r="O619" s="2"/>
      <c r="P619" s="2" t="s">
        <v>21913</v>
      </c>
      <c r="Q619" s="2" t="s">
        <v>21914</v>
      </c>
      <c r="R619" s="2" t="s">
        <v>36</v>
      </c>
      <c r="S619" s="2" t="s">
        <v>37</v>
      </c>
      <c r="T619" s="2" t="s">
        <v>69</v>
      </c>
      <c r="U619" s="2" t="s">
        <v>21908</v>
      </c>
      <c r="V619" s="2" t="s">
        <v>17137</v>
      </c>
      <c r="W619" s="2"/>
    </row>
    <row r="620">
      <c r="A620" s="2" t="n">
        <v>461</v>
      </c>
      <c r="B620" s="2" t="s">
        <v>14349</v>
      </c>
      <c r="C620" s="2" t="s">
        <v>21915</v>
      </c>
      <c r="D620" s="2" t="n">
        <v>418.238258549</v>
      </c>
      <c r="E620" s="2" t="n">
        <v>9.78121434478556</v>
      </c>
      <c r="F620" s="2" t="s">
        <v>21917</v>
      </c>
      <c r="G620" s="2" t="n">
        <v>55142</v>
      </c>
      <c r="H620" s="3" t="str">
        <f>HYPERLINK("http://funmeta.oebiotech.com/network/55142", "http://funmeta.oebiotech.com/network/55142")</f>
      </c>
      <c r="I620" s="2" t="s">
        <v>21919</v>
      </c>
      <c r="J620" s="2" t="s">
        <v>21920</v>
      </c>
      <c r="K620" s="2"/>
      <c r="L620" s="2" t="s">
        <v>21921</v>
      </c>
      <c r="M620" s="2"/>
      <c r="N620" s="2" t="s">
        <v>21922</v>
      </c>
      <c r="O620" s="2" t="s">
        <v>21923</v>
      </c>
      <c r="P620" s="2" t="s">
        <v>21924</v>
      </c>
      <c r="Q620" s="2" t="s">
        <v>21925</v>
      </c>
      <c r="R620" s="2" t="s">
        <v>114</v>
      </c>
      <c r="S620" s="2" t="s">
        <v>8755</v>
      </c>
      <c r="T620" s="2" t="s">
        <v>215</v>
      </c>
      <c r="U620" s="2" t="s">
        <v>21916</v>
      </c>
      <c r="V620" s="2" t="s">
        <v>17039</v>
      </c>
      <c r="W620" s="2" t="s">
        <v>56</v>
      </c>
    </row>
    <row r="621">
      <c r="A621" s="2" t="n">
        <v>462</v>
      </c>
      <c r="B621" s="2" t="s">
        <v>14350</v>
      </c>
      <c r="C621" s="2" t="s">
        <v>21926</v>
      </c>
      <c r="D621" s="2" t="n">
        <v>419.244152222</v>
      </c>
      <c r="E621" s="2" t="n">
        <v>5.31031750227277</v>
      </c>
      <c r="F621" s="2" t="s">
        <v>21928</v>
      </c>
      <c r="G621" s="2" t="n">
        <v>209981</v>
      </c>
      <c r="H621" s="3" t="str">
        <f>HYPERLINK("http://funmeta.oebiotech.com/network/209981", "http://funmeta.oebiotech.com/network/209981")</f>
      </c>
      <c r="I621" s="2" t="s">
        <v>21930</v>
      </c>
      <c r="J621" s="2"/>
      <c r="K621" s="2"/>
      <c r="L621" s="2"/>
      <c r="M621" s="2"/>
      <c r="N621" s="2"/>
      <c r="O621" s="2"/>
      <c r="P621" s="2" t="s">
        <v>21931</v>
      </c>
      <c r="Q621" s="2" t="s">
        <v>21932</v>
      </c>
      <c r="R621" s="2" t="s">
        <v>114</v>
      </c>
      <c r="S621" s="2" t="s">
        <v>4121</v>
      </c>
      <c r="T621" s="2" t="s">
        <v>7480</v>
      </c>
      <c r="U621" s="2" t="s">
        <v>21927</v>
      </c>
      <c r="V621" s="2" t="s">
        <v>17137</v>
      </c>
      <c r="W621" s="2"/>
    </row>
    <row r="622">
      <c r="A622" s="2" t="n">
        <v>463</v>
      </c>
      <c r="B622" s="2" t="s">
        <v>14351</v>
      </c>
      <c r="C622" s="2" t="s">
        <v>21933</v>
      </c>
      <c r="D622" s="2" t="n">
        <v>419.316174518</v>
      </c>
      <c r="E622" s="2" t="n">
        <v>6.6366603166513</v>
      </c>
      <c r="F622" s="2" t="s">
        <v>21935</v>
      </c>
      <c r="G622" s="2" t="n">
        <v>47851</v>
      </c>
      <c r="H622" s="3" t="str">
        <f>HYPERLINK("http://funmeta.oebiotech.com/network/47851", "http://funmeta.oebiotech.com/network/47851")</f>
      </c>
      <c r="I622" s="2" t="s">
        <v>21937</v>
      </c>
      <c r="J622" s="2" t="s">
        <v>21938</v>
      </c>
      <c r="K622" s="2"/>
      <c r="L622" s="2"/>
      <c r="M622" s="2"/>
      <c r="N622" s="2" t="s">
        <v>21939</v>
      </c>
      <c r="O622" s="2" t="s">
        <v>21940</v>
      </c>
      <c r="P622" s="2" t="s">
        <v>21941</v>
      </c>
      <c r="Q622" s="2" t="s">
        <v>21942</v>
      </c>
      <c r="R622" s="2" t="s">
        <v>794</v>
      </c>
      <c r="S622" s="2" t="s">
        <v>2971</v>
      </c>
      <c r="T622" s="2" t="s">
        <v>6499</v>
      </c>
      <c r="U622" s="2" t="s">
        <v>21934</v>
      </c>
      <c r="V622" s="2" t="s">
        <v>17039</v>
      </c>
      <c r="W622" s="2" t="s">
        <v>56</v>
      </c>
    </row>
    <row r="623">
      <c r="A623" s="2" t="n">
        <v>464</v>
      </c>
      <c r="B623" s="2" t="s">
        <v>14366</v>
      </c>
      <c r="C623" s="2" t="s">
        <v>21943</v>
      </c>
      <c r="D623" s="2" t="n">
        <v>423.21660007</v>
      </c>
      <c r="E623" s="2" t="n">
        <v>0.857166246396182</v>
      </c>
      <c r="F623" s="2" t="s">
        <v>27333</v>
      </c>
      <c r="G623" s="2" t="n">
        <v>33787</v>
      </c>
      <c r="H623" s="3" t="str">
        <f>HYPERLINK("http://funmeta.oebiotech.com/network/33787", "http://funmeta.oebiotech.com/network/33787")</f>
      </c>
      <c r="I623" s="2" t="s">
        <v>27334</v>
      </c>
      <c r="J623" s="2" t="s">
        <v>27335</v>
      </c>
      <c r="K623" s="2" t="s">
        <v>27336</v>
      </c>
      <c r="L623" s="2"/>
      <c r="M623" s="2"/>
      <c r="N623" s="2" t="s">
        <v>27337</v>
      </c>
      <c r="O623" s="2" t="s">
        <v>27338</v>
      </c>
      <c r="P623" s="2" t="s">
        <v>27339</v>
      </c>
      <c r="Q623" s="2" t="s">
        <v>27340</v>
      </c>
      <c r="R623" s="2" t="s">
        <v>1355</v>
      </c>
      <c r="S623" s="2" t="s">
        <v>9900</v>
      </c>
      <c r="T623" s="2" t="s">
        <v>9901</v>
      </c>
      <c r="U623" s="2" t="s">
        <v>21944</v>
      </c>
      <c r="V623" s="2" t="s">
        <v>17137</v>
      </c>
      <c r="W623" s="2" t="s">
        <v>56</v>
      </c>
    </row>
    <row r="624">
      <c r="A624" s="2" t="n">
        <v>464</v>
      </c>
      <c r="B624" s="2" t="s">
        <v>27341</v>
      </c>
      <c r="C624" s="2" t="s">
        <v>21943</v>
      </c>
      <c r="D624" s="2" t="n">
        <v>423.21660007</v>
      </c>
      <c r="E624" s="2" t="n">
        <v>0.857166246396182</v>
      </c>
      <c r="F624" s="2" t="s">
        <v>27342</v>
      </c>
      <c r="G624" s="2" t="n">
        <v>63748</v>
      </c>
      <c r="H624" s="3" t="str">
        <f>HYPERLINK("http://funmeta.oebiotech.com/network/63748", "http://funmeta.oebiotech.com/network/63748")</f>
      </c>
      <c r="I624" s="2" t="s">
        <v>27343</v>
      </c>
      <c r="J624" s="2" t="s">
        <v>27344</v>
      </c>
      <c r="K624" s="2"/>
      <c r="L624" s="2"/>
      <c r="M624" s="2"/>
      <c r="N624" s="2" t="s">
        <v>27345</v>
      </c>
      <c r="O624" s="2" t="s">
        <v>27346</v>
      </c>
      <c r="P624" s="2" t="s">
        <v>27347</v>
      </c>
      <c r="Q624" s="2" t="s">
        <v>27348</v>
      </c>
      <c r="R624" s="2" t="s">
        <v>1355</v>
      </c>
      <c r="S624" s="2" t="s">
        <v>3653</v>
      </c>
      <c r="T624" s="2" t="s">
        <v>20743</v>
      </c>
      <c r="U624" s="2" t="s">
        <v>21944</v>
      </c>
      <c r="V624" s="2" t="s">
        <v>17137</v>
      </c>
      <c r="W624" s="2" t="s">
        <v>56</v>
      </c>
    </row>
    <row r="625">
      <c r="A625" s="2" t="n">
        <v>464</v>
      </c>
      <c r="B625" s="2" t="s">
        <v>27349</v>
      </c>
      <c r="C625" s="2" t="s">
        <v>21943</v>
      </c>
      <c r="D625" s="2" t="n">
        <v>423.21660007</v>
      </c>
      <c r="E625" s="2" t="n">
        <v>0.857166246396182</v>
      </c>
      <c r="F625" s="2" t="s">
        <v>27350</v>
      </c>
      <c r="G625" s="2" t="n">
        <v>61554</v>
      </c>
      <c r="H625" s="3" t="str">
        <f>HYPERLINK("http://funmeta.oebiotech.com/network/61554", "http://funmeta.oebiotech.com/network/61554")</f>
      </c>
      <c r="I625" s="2" t="s">
        <v>27351</v>
      </c>
      <c r="J625" s="2"/>
      <c r="K625" s="2"/>
      <c r="L625" s="2"/>
      <c r="M625" s="2"/>
      <c r="N625" s="2" t="s">
        <v>27352</v>
      </c>
      <c r="O625" s="2" t="s">
        <v>27353</v>
      </c>
      <c r="P625" s="2" t="s">
        <v>27354</v>
      </c>
      <c r="Q625" s="2" t="s">
        <v>27355</v>
      </c>
      <c r="R625" s="2" t="s">
        <v>1355</v>
      </c>
      <c r="S625" s="2" t="s">
        <v>3653</v>
      </c>
      <c r="T625" s="2" t="s">
        <v>27356</v>
      </c>
      <c r="U625" s="2" t="s">
        <v>21944</v>
      </c>
      <c r="V625" s="2" t="s">
        <v>17137</v>
      </c>
      <c r="W625" s="2" t="s">
        <v>56</v>
      </c>
    </row>
    <row r="626">
      <c r="A626" s="2" t="n">
        <v>465</v>
      </c>
      <c r="B626" s="2" t="s">
        <v>14367</v>
      </c>
      <c r="C626" s="2" t="s">
        <v>21956</v>
      </c>
      <c r="D626" s="2" t="n">
        <v>423.265988524</v>
      </c>
      <c r="E626" s="2" t="n">
        <v>3.5748755208266</v>
      </c>
      <c r="F626" s="2" t="s">
        <v>27357</v>
      </c>
      <c r="G626" s="2" t="n">
        <v>81912</v>
      </c>
      <c r="H626" s="3" t="str">
        <f>HYPERLINK("http://funmeta.oebiotech.com/network/81912", "http://funmeta.oebiotech.com/network/81912")</f>
      </c>
      <c r="I626" s="2" t="s">
        <v>27358</v>
      </c>
      <c r="J626" s="2" t="s">
        <v>27359</v>
      </c>
      <c r="K626" s="2"/>
      <c r="L626" s="2" t="s">
        <v>27360</v>
      </c>
      <c r="M626" s="2" t="s">
        <v>27361</v>
      </c>
      <c r="N626" s="2" t="s">
        <v>27362</v>
      </c>
      <c r="O626" s="2" t="s">
        <v>27363</v>
      </c>
      <c r="P626" s="2" t="s">
        <v>27364</v>
      </c>
      <c r="Q626" s="2" t="s">
        <v>27365</v>
      </c>
      <c r="R626" s="2" t="s">
        <v>794</v>
      </c>
      <c r="S626" s="2" t="s">
        <v>1098</v>
      </c>
      <c r="T626" s="2" t="s">
        <v>3079</v>
      </c>
      <c r="U626" s="2" t="s">
        <v>21957</v>
      </c>
      <c r="V626" s="2" t="s">
        <v>17227</v>
      </c>
      <c r="W626" s="2" t="s">
        <v>56</v>
      </c>
    </row>
    <row r="627">
      <c r="A627" s="2" t="n">
        <v>465</v>
      </c>
      <c r="B627" s="2" t="s">
        <v>27366</v>
      </c>
      <c r="C627" s="2" t="s">
        <v>21956</v>
      </c>
      <c r="D627" s="2" t="n">
        <v>423.265988524</v>
      </c>
      <c r="E627" s="2" t="n">
        <v>3.5748755208266</v>
      </c>
      <c r="F627" s="2" t="s">
        <v>27367</v>
      </c>
      <c r="G627" s="2" t="n">
        <v>60266</v>
      </c>
      <c r="H627" s="3" t="str">
        <f>HYPERLINK("http://funmeta.oebiotech.com/network/60266", "http://funmeta.oebiotech.com/network/60266")</f>
      </c>
      <c r="I627" s="2" t="s">
        <v>27368</v>
      </c>
      <c r="J627" s="2" t="s">
        <v>27369</v>
      </c>
      <c r="K627" s="2"/>
      <c r="L627" s="2" t="s">
        <v>27370</v>
      </c>
      <c r="M627" s="2" t="s">
        <v>27371</v>
      </c>
      <c r="N627" s="2" t="s">
        <v>27372</v>
      </c>
      <c r="O627" s="2" t="s">
        <v>27373</v>
      </c>
      <c r="P627" s="2" t="s">
        <v>27374</v>
      </c>
      <c r="Q627" s="2" t="s">
        <v>27375</v>
      </c>
      <c r="R627" s="2" t="s">
        <v>794</v>
      </c>
      <c r="S627" s="2" t="s">
        <v>1098</v>
      </c>
      <c r="T627" s="2" t="s">
        <v>3079</v>
      </c>
      <c r="U627" s="2" t="s">
        <v>21957</v>
      </c>
      <c r="V627" s="2" t="s">
        <v>17227</v>
      </c>
      <c r="W627" s="2" t="s">
        <v>56</v>
      </c>
    </row>
    <row r="628">
      <c r="A628" s="2" t="n">
        <v>466</v>
      </c>
      <c r="B628" s="2" t="s">
        <v>14368</v>
      </c>
      <c r="C628" s="2" t="s">
        <v>21968</v>
      </c>
      <c r="D628" s="2" t="n">
        <v>423.991781131</v>
      </c>
      <c r="E628" s="2" t="n">
        <v>8.51392364329073</v>
      </c>
      <c r="F628" s="2" t="s">
        <v>21970</v>
      </c>
      <c r="G628" s="2" t="n">
        <v>202139</v>
      </c>
      <c r="H628" s="3" t="str">
        <f>HYPERLINK("http://funmeta.oebiotech.com/network/202139", "http://funmeta.oebiotech.com/network/202139")</f>
      </c>
      <c r="I628" s="2" t="s">
        <v>21972</v>
      </c>
      <c r="J628" s="2"/>
      <c r="K628" s="2"/>
      <c r="L628" s="2"/>
      <c r="M628" s="2"/>
      <c r="N628" s="2" t="s">
        <v>21973</v>
      </c>
      <c r="O628" s="2"/>
      <c r="P628" s="2" t="s">
        <v>21974</v>
      </c>
      <c r="Q628" s="2" t="s">
        <v>21975</v>
      </c>
      <c r="R628" s="2" t="s">
        <v>186</v>
      </c>
      <c r="S628" s="2" t="s">
        <v>3046</v>
      </c>
      <c r="T628" s="2" t="s">
        <v>3047</v>
      </c>
      <c r="U628" s="2" t="s">
        <v>21969</v>
      </c>
      <c r="V628" s="2" t="s">
        <v>17198</v>
      </c>
      <c r="W628" s="2"/>
    </row>
    <row r="629">
      <c r="A629" s="2" t="n">
        <v>467</v>
      </c>
      <c r="B629" s="2" t="s">
        <v>14394</v>
      </c>
      <c r="C629" s="2" t="s">
        <v>21976</v>
      </c>
      <c r="D629" s="2" t="n">
        <v>424.282212119</v>
      </c>
      <c r="E629" s="2" t="n">
        <v>5.46629035150729</v>
      </c>
      <c r="F629" s="2" t="s">
        <v>21978</v>
      </c>
      <c r="G629" s="2" t="n">
        <v>204717</v>
      </c>
      <c r="H629" s="3" t="str">
        <f>HYPERLINK("http://funmeta.oebiotech.com/network/204717", "http://funmeta.oebiotech.com/network/204717")</f>
      </c>
      <c r="I629" s="2" t="s">
        <v>21980</v>
      </c>
      <c r="J629" s="2"/>
      <c r="K629" s="2"/>
      <c r="L629" s="2"/>
      <c r="M629" s="2"/>
      <c r="N629" s="2"/>
      <c r="O629" s="2"/>
      <c r="P629" s="2" t="s">
        <v>21981</v>
      </c>
      <c r="Q629" s="2" t="s">
        <v>21982</v>
      </c>
      <c r="R629" s="2" t="s">
        <v>114</v>
      </c>
      <c r="S629" s="2" t="s">
        <v>3933</v>
      </c>
      <c r="T629" s="2" t="s">
        <v>215</v>
      </c>
      <c r="U629" s="2" t="s">
        <v>21977</v>
      </c>
      <c r="V629" s="2" t="s">
        <v>17198</v>
      </c>
      <c r="W629" s="2"/>
    </row>
    <row r="630">
      <c r="A630" s="2" t="n">
        <v>468</v>
      </c>
      <c r="B630" s="2" t="s">
        <v>14408</v>
      </c>
      <c r="C630" s="2" t="s">
        <v>21983</v>
      </c>
      <c r="D630" s="2" t="n">
        <v>424.779166731</v>
      </c>
      <c r="E630" s="2" t="n">
        <v>6.94224052007593</v>
      </c>
      <c r="F630" s="2" t="s">
        <v>21985</v>
      </c>
      <c r="G630" s="2" t="n">
        <v>199816</v>
      </c>
      <c r="H630" s="3" t="str">
        <f>HYPERLINK("http://funmeta.oebiotech.com/network/199816", "http://funmeta.oebiotech.com/network/199816")</f>
      </c>
      <c r="I630" s="2" t="s">
        <v>21987</v>
      </c>
      <c r="J630" s="2" t="s">
        <v>21988</v>
      </c>
      <c r="K630" s="2"/>
      <c r="L630" s="2" t="s">
        <v>21989</v>
      </c>
      <c r="M630" s="2"/>
      <c r="N630" s="2" t="s">
        <v>21990</v>
      </c>
      <c r="O630" s="2" t="s">
        <v>21991</v>
      </c>
      <c r="P630" s="2" t="s">
        <v>21992</v>
      </c>
      <c r="Q630" s="2" t="s">
        <v>21993</v>
      </c>
      <c r="R630" s="2" t="s">
        <v>114</v>
      </c>
      <c r="S630" s="2" t="s">
        <v>21994</v>
      </c>
      <c r="T630" s="2" t="s">
        <v>215</v>
      </c>
      <c r="U630" s="2" t="s">
        <v>21984</v>
      </c>
      <c r="V630" s="2" t="s">
        <v>17406</v>
      </c>
      <c r="W630" s="2" t="s">
        <v>101</v>
      </c>
    </row>
    <row r="631">
      <c r="A631" s="2" t="n">
        <v>469</v>
      </c>
      <c r="B631" s="2" t="s">
        <v>14424</v>
      </c>
      <c r="C631" s="2" t="s">
        <v>21995</v>
      </c>
      <c r="D631" s="2" t="n">
        <v>425.183715458</v>
      </c>
      <c r="E631" s="2" t="n">
        <v>3.46344439673843</v>
      </c>
      <c r="F631" s="2" t="s">
        <v>21997</v>
      </c>
      <c r="G631" s="2" t="n">
        <v>52010</v>
      </c>
      <c r="H631" s="3" t="str">
        <f>HYPERLINK("http://funmeta.oebiotech.com/network/52010", "http://funmeta.oebiotech.com/network/52010")</f>
      </c>
      <c r="I631" s="2" t="s">
        <v>21999</v>
      </c>
      <c r="J631" s="2"/>
      <c r="K631" s="2"/>
      <c r="L631" s="2" t="s">
        <v>22000</v>
      </c>
      <c r="M631" s="2" t="s">
        <v>22001</v>
      </c>
      <c r="N631" s="2" t="s">
        <v>22002</v>
      </c>
      <c r="O631" s="2" t="s">
        <v>22003</v>
      </c>
      <c r="P631" s="2" t="s">
        <v>22004</v>
      </c>
      <c r="Q631" s="2" t="s">
        <v>22005</v>
      </c>
      <c r="R631" s="2" t="s">
        <v>114</v>
      </c>
      <c r="S631" s="2" t="s">
        <v>6078</v>
      </c>
      <c r="T631" s="2" t="s">
        <v>215</v>
      </c>
      <c r="U631" s="2" t="s">
        <v>21996</v>
      </c>
      <c r="V631" s="2" t="s">
        <v>17227</v>
      </c>
      <c r="W631" s="2" t="s">
        <v>56</v>
      </c>
    </row>
    <row r="632">
      <c r="A632" s="2" t="n">
        <v>470</v>
      </c>
      <c r="B632" s="2" t="s">
        <v>14425</v>
      </c>
      <c r="C632" s="2" t="s">
        <v>22006</v>
      </c>
      <c r="D632" s="2" t="n">
        <v>425.279869027</v>
      </c>
      <c r="E632" s="2" t="n">
        <v>1.72719668296118</v>
      </c>
      <c r="F632" s="2" t="s">
        <v>22008</v>
      </c>
      <c r="G632" s="2" t="n">
        <v>205738</v>
      </c>
      <c r="H632" s="3" t="str">
        <f>HYPERLINK("http://funmeta.oebiotech.com/network/205738", "http://funmeta.oebiotech.com/network/205738")</f>
      </c>
      <c r="I632" s="2" t="s">
        <v>22010</v>
      </c>
      <c r="J632" s="2" t="s">
        <v>22011</v>
      </c>
      <c r="K632" s="2"/>
      <c r="L632" s="2" t="s">
        <v>22012</v>
      </c>
      <c r="M632" s="2" t="s">
        <v>22013</v>
      </c>
      <c r="N632" s="2" t="s">
        <v>22014</v>
      </c>
      <c r="O632" s="2" t="s">
        <v>22015</v>
      </c>
      <c r="P632" s="2" t="s">
        <v>22016</v>
      </c>
      <c r="Q632" s="2" t="s">
        <v>22017</v>
      </c>
      <c r="R632" s="2" t="s">
        <v>186</v>
      </c>
      <c r="S632" s="2" t="s">
        <v>187</v>
      </c>
      <c r="T632" s="2" t="s">
        <v>22018</v>
      </c>
      <c r="U632" s="2" t="s">
        <v>22007</v>
      </c>
      <c r="V632" s="2" t="s">
        <v>17137</v>
      </c>
      <c r="W632" s="2" t="s">
        <v>101</v>
      </c>
    </row>
    <row r="633">
      <c r="A633" s="2" t="n">
        <v>471</v>
      </c>
      <c r="B633" s="2" t="s">
        <v>14426</v>
      </c>
      <c r="C633" s="2" t="s">
        <v>22019</v>
      </c>
      <c r="D633" s="2" t="n">
        <v>426.276887561</v>
      </c>
      <c r="E633" s="2" t="n">
        <v>2.70498378253702</v>
      </c>
      <c r="F633" s="2" t="s">
        <v>22021</v>
      </c>
      <c r="G633" s="2" t="n">
        <v>59380</v>
      </c>
      <c r="H633" s="3" t="str">
        <f>HYPERLINK("http://funmeta.oebiotech.com/network/59380", "http://funmeta.oebiotech.com/network/59380")</f>
      </c>
      <c r="I633" s="2" t="s">
        <v>22023</v>
      </c>
      <c r="J633" s="2" t="s">
        <v>22024</v>
      </c>
      <c r="K633" s="2"/>
      <c r="L633" s="2"/>
      <c r="M633" s="2"/>
      <c r="N633" s="2" t="s">
        <v>22025</v>
      </c>
      <c r="O633" s="2" t="s">
        <v>22026</v>
      </c>
      <c r="P633" s="2" t="s">
        <v>22027</v>
      </c>
      <c r="Q633" s="2" t="s">
        <v>22028</v>
      </c>
      <c r="R633" s="2" t="s">
        <v>129</v>
      </c>
      <c r="S633" s="2" t="s">
        <v>130</v>
      </c>
      <c r="T633" s="2" t="s">
        <v>131</v>
      </c>
      <c r="U633" s="2" t="s">
        <v>22020</v>
      </c>
      <c r="V633" s="2" t="s">
        <v>17406</v>
      </c>
      <c r="W633" s="2" t="s">
        <v>56</v>
      </c>
    </row>
    <row r="634">
      <c r="A634" s="2" t="n">
        <v>472</v>
      </c>
      <c r="B634" s="2" t="s">
        <v>14427</v>
      </c>
      <c r="C634" s="2" t="s">
        <v>22029</v>
      </c>
      <c r="D634" s="2" t="n">
        <v>427.272136536</v>
      </c>
      <c r="E634" s="2" t="n">
        <v>1.14382229523809</v>
      </c>
      <c r="F634" s="2" t="s">
        <v>22031</v>
      </c>
      <c r="G634" s="2" t="n">
        <v>201820</v>
      </c>
      <c r="H634" s="3" t="str">
        <f>HYPERLINK("http://funmeta.oebiotech.com/network/201820", "http://funmeta.oebiotech.com/network/201820")</f>
      </c>
      <c r="I634" s="2" t="s">
        <v>22033</v>
      </c>
      <c r="J634" s="2"/>
      <c r="K634" s="2"/>
      <c r="L634" s="2"/>
      <c r="M634" s="2"/>
      <c r="N634" s="2" t="s">
        <v>22034</v>
      </c>
      <c r="O634" s="2"/>
      <c r="P634" s="2" t="s">
        <v>22035</v>
      </c>
      <c r="Q634" s="2" t="s">
        <v>22036</v>
      </c>
      <c r="R634" s="2" t="s">
        <v>794</v>
      </c>
      <c r="S634" s="2" t="s">
        <v>2971</v>
      </c>
      <c r="T634" s="2" t="s">
        <v>3921</v>
      </c>
      <c r="U634" s="2" t="s">
        <v>22030</v>
      </c>
      <c r="V634" s="2" t="s">
        <v>17406</v>
      </c>
      <c r="W634" s="2"/>
    </row>
    <row r="635">
      <c r="A635" s="2" t="n">
        <v>473</v>
      </c>
      <c r="B635" s="2" t="s">
        <v>14428</v>
      </c>
      <c r="C635" s="2" t="s">
        <v>22037</v>
      </c>
      <c r="D635" s="2" t="n">
        <v>429.239735548</v>
      </c>
      <c r="E635" s="2" t="n">
        <v>0.37126178740063</v>
      </c>
      <c r="F635" s="2" t="s">
        <v>22039</v>
      </c>
      <c r="G635" s="2" t="n">
        <v>53268</v>
      </c>
      <c r="H635" s="3" t="str">
        <f>HYPERLINK("http://funmeta.oebiotech.com/network/53268", "http://funmeta.oebiotech.com/network/53268")</f>
      </c>
      <c r="I635" s="2" t="s">
        <v>22041</v>
      </c>
      <c r="J635" s="2" t="s">
        <v>22042</v>
      </c>
      <c r="K635" s="2"/>
      <c r="L635" s="2" t="s">
        <v>22043</v>
      </c>
      <c r="M635" s="2" t="s">
        <v>22044</v>
      </c>
      <c r="N635" s="2" t="s">
        <v>22045</v>
      </c>
      <c r="O635" s="2" t="s">
        <v>22046</v>
      </c>
      <c r="P635" s="2" t="s">
        <v>22047</v>
      </c>
      <c r="Q635" s="2" t="s">
        <v>22048</v>
      </c>
      <c r="R635" s="2" t="s">
        <v>186</v>
      </c>
      <c r="S635" s="2" t="s">
        <v>187</v>
      </c>
      <c r="T635" s="2" t="s">
        <v>6379</v>
      </c>
      <c r="U635" s="2" t="s">
        <v>22038</v>
      </c>
      <c r="V635" s="2" t="s">
        <v>17137</v>
      </c>
      <c r="W635" s="2" t="s">
        <v>101</v>
      </c>
    </row>
    <row r="636">
      <c r="A636" s="2" t="n">
        <v>474</v>
      </c>
      <c r="B636" s="2" t="s">
        <v>14429</v>
      </c>
      <c r="C636" s="2" t="s">
        <v>22049</v>
      </c>
      <c r="D636" s="2" t="n">
        <v>430.244880498</v>
      </c>
      <c r="E636" s="2" t="n">
        <v>0.176251064626925</v>
      </c>
      <c r="F636" s="2" t="s">
        <v>22051</v>
      </c>
      <c r="G636" s="2" t="n">
        <v>208538</v>
      </c>
      <c r="H636" s="3" t="str">
        <f>HYPERLINK("http://funmeta.oebiotech.com/network/208538", "http://funmeta.oebiotech.com/network/208538")</f>
      </c>
      <c r="I636" s="2" t="s">
        <v>22053</v>
      </c>
      <c r="J636" s="2"/>
      <c r="K636" s="2"/>
      <c r="L636" s="2"/>
      <c r="M636" s="2"/>
      <c r="N636" s="2" t="s">
        <v>22054</v>
      </c>
      <c r="O636" s="2"/>
      <c r="P636" s="2" t="s">
        <v>22055</v>
      </c>
      <c r="Q636" s="2" t="s">
        <v>22056</v>
      </c>
      <c r="R636" s="2" t="s">
        <v>36</v>
      </c>
      <c r="S636" s="2" t="s">
        <v>37</v>
      </c>
      <c r="T636" s="2" t="s">
        <v>69</v>
      </c>
      <c r="U636" s="2" t="s">
        <v>22050</v>
      </c>
      <c r="V636" s="2" t="s">
        <v>17137</v>
      </c>
      <c r="W636" s="2"/>
    </row>
    <row r="637">
      <c r="A637" s="2" t="n">
        <v>475</v>
      </c>
      <c r="B637" s="2" t="s">
        <v>14430</v>
      </c>
      <c r="C637" s="2" t="s">
        <v>22057</v>
      </c>
      <c r="D637" s="2" t="n">
        <v>431.239380747</v>
      </c>
      <c r="E637" s="2" t="n">
        <v>1.10272994689434</v>
      </c>
      <c r="F637" s="2" t="s">
        <v>22059</v>
      </c>
      <c r="G637" s="2" t="n">
        <v>201266</v>
      </c>
      <c r="H637" s="3" t="str">
        <f>HYPERLINK("http://funmeta.oebiotech.com/network/201266", "http://funmeta.oebiotech.com/network/201266")</f>
      </c>
      <c r="I637" s="2" t="s">
        <v>22061</v>
      </c>
      <c r="J637" s="2"/>
      <c r="K637" s="2"/>
      <c r="L637" s="2"/>
      <c r="M637" s="2"/>
      <c r="N637" s="2" t="s">
        <v>22062</v>
      </c>
      <c r="O637" s="2"/>
      <c r="P637" s="2" t="s">
        <v>22063</v>
      </c>
      <c r="Q637" s="2" t="s">
        <v>22064</v>
      </c>
      <c r="R637" s="2" t="s">
        <v>36</v>
      </c>
      <c r="S637" s="2" t="s">
        <v>271</v>
      </c>
      <c r="T637" s="2" t="s">
        <v>2534</v>
      </c>
      <c r="U637" s="2" t="s">
        <v>22058</v>
      </c>
      <c r="V637" s="2" t="s">
        <v>17039</v>
      </c>
      <c r="W637" s="2"/>
    </row>
    <row r="638">
      <c r="A638" s="2" t="n">
        <v>476</v>
      </c>
      <c r="B638" s="2" t="s">
        <v>14431</v>
      </c>
      <c r="C638" s="2" t="s">
        <v>22065</v>
      </c>
      <c r="D638" s="2" t="n">
        <v>435.243678278</v>
      </c>
      <c r="E638" s="2" t="n">
        <v>1.99040672122677</v>
      </c>
      <c r="F638" s="2" t="s">
        <v>22067</v>
      </c>
      <c r="G638" s="2" t="n">
        <v>53311</v>
      </c>
      <c r="H638" s="3" t="str">
        <f>HYPERLINK("http://funmeta.oebiotech.com/network/53311", "http://funmeta.oebiotech.com/network/53311")</f>
      </c>
      <c r="I638" s="2" t="s">
        <v>22069</v>
      </c>
      <c r="J638" s="2" t="s">
        <v>22070</v>
      </c>
      <c r="K638" s="2"/>
      <c r="L638" s="2" t="s">
        <v>22071</v>
      </c>
      <c r="M638" s="2" t="s">
        <v>22072</v>
      </c>
      <c r="N638" s="2" t="s">
        <v>22073</v>
      </c>
      <c r="O638" s="2" t="s">
        <v>22074</v>
      </c>
      <c r="P638" s="2" t="s">
        <v>22075</v>
      </c>
      <c r="Q638" s="2" t="s">
        <v>22076</v>
      </c>
      <c r="R638" s="2" t="s">
        <v>186</v>
      </c>
      <c r="S638" s="2" t="s">
        <v>187</v>
      </c>
      <c r="T638" s="2" t="s">
        <v>22077</v>
      </c>
      <c r="U638" s="2" t="s">
        <v>22066</v>
      </c>
      <c r="V638" s="2" t="s">
        <v>17039</v>
      </c>
      <c r="W638" s="2" t="s">
        <v>101</v>
      </c>
    </row>
    <row r="639">
      <c r="A639" s="2" t="n">
        <v>477</v>
      </c>
      <c r="B639" s="2" t="s">
        <v>14432</v>
      </c>
      <c r="C639" s="2" t="s">
        <v>22078</v>
      </c>
      <c r="D639" s="2" t="n">
        <v>436.776605045</v>
      </c>
      <c r="E639" s="2" t="n">
        <v>5.69801908228691</v>
      </c>
      <c r="F639" s="2" t="s">
        <v>22080</v>
      </c>
      <c r="G639" s="2" t="n">
        <v>200848</v>
      </c>
      <c r="H639" s="3" t="str">
        <f>HYPERLINK("http://funmeta.oebiotech.com/network/200848", "http://funmeta.oebiotech.com/network/200848")</f>
      </c>
      <c r="I639" s="2" t="s">
        <v>22082</v>
      </c>
      <c r="J639" s="2" t="s">
        <v>22083</v>
      </c>
      <c r="K639" s="2"/>
      <c r="L639" s="2" t="s">
        <v>22084</v>
      </c>
      <c r="M639" s="2"/>
      <c r="N639" s="2" t="s">
        <v>22085</v>
      </c>
      <c r="O639" s="2" t="s">
        <v>22086</v>
      </c>
      <c r="P639" s="2" t="s">
        <v>22087</v>
      </c>
      <c r="Q639" s="2" t="s">
        <v>22088</v>
      </c>
      <c r="R639" s="2" t="s">
        <v>186</v>
      </c>
      <c r="S639" s="2" t="s">
        <v>187</v>
      </c>
      <c r="T639" s="2" t="s">
        <v>6379</v>
      </c>
      <c r="U639" s="2" t="s">
        <v>22079</v>
      </c>
      <c r="V639" s="2" t="s">
        <v>17970</v>
      </c>
      <c r="W639" s="2" t="s">
        <v>101</v>
      </c>
    </row>
    <row r="640">
      <c r="A640" s="2" t="n">
        <v>478</v>
      </c>
      <c r="B640" s="2" t="s">
        <v>14433</v>
      </c>
      <c r="C640" s="2" t="s">
        <v>22089</v>
      </c>
      <c r="D640" s="2" t="n">
        <v>437.195864628</v>
      </c>
      <c r="E640" s="2" t="n">
        <v>2.83143038557636</v>
      </c>
      <c r="F640" s="2" t="s">
        <v>27376</v>
      </c>
      <c r="G640" s="2" t="n">
        <v>55576</v>
      </c>
      <c r="H640" s="3" t="str">
        <f>HYPERLINK("http://funmeta.oebiotech.com/network/55576", "http://funmeta.oebiotech.com/network/55576")</f>
      </c>
      <c r="I640" s="2" t="s">
        <v>27377</v>
      </c>
      <c r="J640" s="2" t="s">
        <v>27378</v>
      </c>
      <c r="K640" s="2"/>
      <c r="L640" s="2"/>
      <c r="M640" s="2" t="s">
        <v>27379</v>
      </c>
      <c r="N640" s="2" t="s">
        <v>27380</v>
      </c>
      <c r="O640" s="2" t="s">
        <v>27381</v>
      </c>
      <c r="P640" s="2" t="s">
        <v>27382</v>
      </c>
      <c r="Q640" s="2" t="s">
        <v>27383</v>
      </c>
      <c r="R640" s="2" t="s">
        <v>1355</v>
      </c>
      <c r="S640" s="2" t="s">
        <v>5199</v>
      </c>
      <c r="T640" s="2" t="s">
        <v>13745</v>
      </c>
      <c r="U640" s="2" t="s">
        <v>22090</v>
      </c>
      <c r="V640" s="2" t="s">
        <v>17137</v>
      </c>
      <c r="W640" s="2"/>
    </row>
    <row r="641">
      <c r="A641" s="2" t="n">
        <v>478</v>
      </c>
      <c r="B641" s="2" t="s">
        <v>27384</v>
      </c>
      <c r="C641" s="2" t="s">
        <v>22089</v>
      </c>
      <c r="D641" s="2" t="n">
        <v>437.195864628</v>
      </c>
      <c r="E641" s="2" t="n">
        <v>2.83143038557636</v>
      </c>
      <c r="F641" s="2" t="s">
        <v>27385</v>
      </c>
      <c r="G641" s="2" t="n">
        <v>64313</v>
      </c>
      <c r="H641" s="3" t="str">
        <f>HYPERLINK("http://funmeta.oebiotech.com/network/64313", "http://funmeta.oebiotech.com/network/64313")</f>
      </c>
      <c r="I641" s="2" t="s">
        <v>27386</v>
      </c>
      <c r="J641" s="2" t="s">
        <v>27387</v>
      </c>
      <c r="K641" s="2"/>
      <c r="L641" s="2"/>
      <c r="M641" s="2" t="s">
        <v>27388</v>
      </c>
      <c r="N641" s="2" t="s">
        <v>27389</v>
      </c>
      <c r="O641" s="2" t="s">
        <v>27390</v>
      </c>
      <c r="P641" s="2" t="s">
        <v>27391</v>
      </c>
      <c r="Q641" s="2" t="s">
        <v>27392</v>
      </c>
      <c r="R641" s="2" t="s">
        <v>1355</v>
      </c>
      <c r="S641" s="2" t="s">
        <v>3653</v>
      </c>
      <c r="T641" s="2" t="s">
        <v>9177</v>
      </c>
      <c r="U641" s="2" t="s">
        <v>22090</v>
      </c>
      <c r="V641" s="2" t="s">
        <v>17137</v>
      </c>
      <c r="W641" s="2"/>
    </row>
    <row r="642">
      <c r="A642" s="2" t="n">
        <v>478</v>
      </c>
      <c r="B642" s="2" t="s">
        <v>27393</v>
      </c>
      <c r="C642" s="2" t="s">
        <v>22089</v>
      </c>
      <c r="D642" s="2" t="n">
        <v>437.195864628</v>
      </c>
      <c r="E642" s="2" t="n">
        <v>2.83143038557636</v>
      </c>
      <c r="F642" s="2" t="s">
        <v>27394</v>
      </c>
      <c r="G642" s="2" t="n">
        <v>29635</v>
      </c>
      <c r="H642" s="3" t="str">
        <f>HYPERLINK("http://funmeta.oebiotech.com/network/29635", "http://funmeta.oebiotech.com/network/29635")</f>
      </c>
      <c r="I642" s="2" t="s">
        <v>27395</v>
      </c>
      <c r="J642" s="2" t="s">
        <v>1140</v>
      </c>
      <c r="K642" s="2" t="s">
        <v>27396</v>
      </c>
      <c r="L642" s="2"/>
      <c r="M642" s="2"/>
      <c r="N642" s="2" t="s">
        <v>27397</v>
      </c>
      <c r="O642" s="2" t="s">
        <v>27398</v>
      </c>
      <c r="P642" s="2" t="s">
        <v>27399</v>
      </c>
      <c r="Q642" s="2" t="s">
        <v>27400</v>
      </c>
      <c r="R642" s="2" t="s">
        <v>1355</v>
      </c>
      <c r="S642" s="2" t="s">
        <v>3653</v>
      </c>
      <c r="T642" s="2" t="s">
        <v>9177</v>
      </c>
      <c r="U642" s="2" t="s">
        <v>22090</v>
      </c>
      <c r="V642" s="2" t="s">
        <v>17137</v>
      </c>
      <c r="W642" s="2"/>
    </row>
    <row r="643">
      <c r="A643" s="2" t="n">
        <v>479</v>
      </c>
      <c r="B643" s="2" t="s">
        <v>14434</v>
      </c>
      <c r="C643" s="2" t="s">
        <v>22103</v>
      </c>
      <c r="D643" s="2" t="n">
        <v>441.19077925</v>
      </c>
      <c r="E643" s="2" t="n">
        <v>1.9277352586278</v>
      </c>
      <c r="F643" s="2" t="s">
        <v>27401</v>
      </c>
      <c r="G643" s="2" t="n">
        <v>63150</v>
      </c>
      <c r="H643" s="3" t="str">
        <f>HYPERLINK("http://funmeta.oebiotech.com/network/63150", "http://funmeta.oebiotech.com/network/63150")</f>
      </c>
      <c r="I643" s="2" t="s">
        <v>27402</v>
      </c>
      <c r="J643" s="2" t="s">
        <v>27403</v>
      </c>
      <c r="K643" s="2"/>
      <c r="L643" s="2"/>
      <c r="M643" s="2"/>
      <c r="N643" s="2" t="s">
        <v>27404</v>
      </c>
      <c r="O643" s="2"/>
      <c r="P643" s="2" t="s">
        <v>27405</v>
      </c>
      <c r="Q643" s="2" t="s">
        <v>27406</v>
      </c>
      <c r="R643" s="2" t="s">
        <v>114</v>
      </c>
      <c r="S643" s="2" t="s">
        <v>6312</v>
      </c>
      <c r="T643" s="2" t="s">
        <v>6313</v>
      </c>
      <c r="U643" s="2" t="s">
        <v>22104</v>
      </c>
      <c r="V643" s="2" t="s">
        <v>17137</v>
      </c>
      <c r="W643" s="2"/>
    </row>
    <row r="644">
      <c r="A644" s="2" t="n">
        <v>479</v>
      </c>
      <c r="B644" s="2" t="s">
        <v>14440</v>
      </c>
      <c r="C644" s="2" t="s">
        <v>22103</v>
      </c>
      <c r="D644" s="2" t="n">
        <v>441.19077925</v>
      </c>
      <c r="E644" s="2" t="n">
        <v>1.9277352586278</v>
      </c>
      <c r="F644" s="2" t="s">
        <v>27407</v>
      </c>
      <c r="G644" s="2" t="n">
        <v>63151</v>
      </c>
      <c r="H644" s="3" t="str">
        <f>HYPERLINK("http://funmeta.oebiotech.com/network/63151", "http://funmeta.oebiotech.com/network/63151")</f>
      </c>
      <c r="I644" s="2" t="s">
        <v>27408</v>
      </c>
      <c r="J644" s="2" t="s">
        <v>27409</v>
      </c>
      <c r="K644" s="2"/>
      <c r="L644" s="2"/>
      <c r="M644" s="2"/>
      <c r="N644" s="2" t="s">
        <v>27410</v>
      </c>
      <c r="O644" s="2"/>
      <c r="P644" s="2" t="s">
        <v>27411</v>
      </c>
      <c r="Q644" s="2" t="s">
        <v>27412</v>
      </c>
      <c r="R644" s="2" t="s">
        <v>114</v>
      </c>
      <c r="S644" s="2" t="s">
        <v>6312</v>
      </c>
      <c r="T644" s="2" t="s">
        <v>6313</v>
      </c>
      <c r="U644" s="2" t="s">
        <v>22104</v>
      </c>
      <c r="V644" s="2" t="s">
        <v>17137</v>
      </c>
      <c r="W644" s="2"/>
    </row>
    <row r="645">
      <c r="A645" s="2" t="n">
        <v>479</v>
      </c>
      <c r="B645" s="2" t="s">
        <v>27413</v>
      </c>
      <c r="C645" s="2" t="s">
        <v>22103</v>
      </c>
      <c r="D645" s="2" t="n">
        <v>441.19077925</v>
      </c>
      <c r="E645" s="2" t="n">
        <v>1.9277352586278</v>
      </c>
      <c r="F645" s="2" t="s">
        <v>27414</v>
      </c>
      <c r="G645" s="2" t="n">
        <v>63152</v>
      </c>
      <c r="H645" s="3" t="str">
        <f>HYPERLINK("http://funmeta.oebiotech.com/network/63152", "http://funmeta.oebiotech.com/network/63152")</f>
      </c>
      <c r="I645" s="2" t="s">
        <v>27415</v>
      </c>
      <c r="J645" s="2" t="s">
        <v>27416</v>
      </c>
      <c r="K645" s="2"/>
      <c r="L645" s="2"/>
      <c r="M645" s="2"/>
      <c r="N645" s="2" t="s">
        <v>27417</v>
      </c>
      <c r="O645" s="2"/>
      <c r="P645" s="2" t="s">
        <v>27418</v>
      </c>
      <c r="Q645" s="2" t="s">
        <v>27419</v>
      </c>
      <c r="R645" s="2" t="s">
        <v>114</v>
      </c>
      <c r="S645" s="2" t="s">
        <v>6312</v>
      </c>
      <c r="T645" s="2" t="s">
        <v>6313</v>
      </c>
      <c r="U645" s="2" t="s">
        <v>22104</v>
      </c>
      <c r="V645" s="2" t="s">
        <v>17137</v>
      </c>
      <c r="W645" s="2"/>
    </row>
    <row r="646">
      <c r="A646" s="2" t="n">
        <v>480</v>
      </c>
      <c r="B646" s="2" t="s">
        <v>14445</v>
      </c>
      <c r="C646" s="2" t="s">
        <v>22112</v>
      </c>
      <c r="D646" s="2" t="n">
        <v>441.245489839</v>
      </c>
      <c r="E646" s="2" t="n">
        <v>0.209912537124638</v>
      </c>
      <c r="F646" s="2" t="s">
        <v>22114</v>
      </c>
      <c r="G646" s="2" t="n">
        <v>52956</v>
      </c>
      <c r="H646" s="3" t="str">
        <f>HYPERLINK("http://funmeta.oebiotech.com/network/52956", "http://funmeta.oebiotech.com/network/52956")</f>
      </c>
      <c r="I646" s="2" t="s">
        <v>22116</v>
      </c>
      <c r="J646" s="2" t="s">
        <v>22117</v>
      </c>
      <c r="K646" s="2"/>
      <c r="L646" s="2" t="s">
        <v>22118</v>
      </c>
      <c r="M646" s="2" t="s">
        <v>22119</v>
      </c>
      <c r="N646" s="2" t="s">
        <v>22120</v>
      </c>
      <c r="O646" s="2" t="s">
        <v>22121</v>
      </c>
      <c r="P646" s="2" t="s">
        <v>22122</v>
      </c>
      <c r="Q646" s="2" t="s">
        <v>22123</v>
      </c>
      <c r="R646" s="2" t="s">
        <v>114</v>
      </c>
      <c r="S646" s="2" t="s">
        <v>2325</v>
      </c>
      <c r="T646" s="2" t="s">
        <v>215</v>
      </c>
      <c r="U646" s="2" t="s">
        <v>22113</v>
      </c>
      <c r="V646" s="2" t="s">
        <v>17039</v>
      </c>
      <c r="W646" s="2" t="s">
        <v>101</v>
      </c>
    </row>
    <row r="647">
      <c r="A647" s="2" t="n">
        <v>481</v>
      </c>
      <c r="B647" s="2" t="s">
        <v>14446</v>
      </c>
      <c r="C647" s="2" t="s">
        <v>22124</v>
      </c>
      <c r="D647" s="2" t="n">
        <v>442.245469183</v>
      </c>
      <c r="E647" s="2" t="n">
        <v>0.577876273374605</v>
      </c>
      <c r="F647" s="2" t="s">
        <v>22126</v>
      </c>
      <c r="G647" s="2" t="n">
        <v>203615</v>
      </c>
      <c r="H647" s="3" t="str">
        <f>HYPERLINK("http://funmeta.oebiotech.com/network/203615", "http://funmeta.oebiotech.com/network/203615")</f>
      </c>
      <c r="I647" s="2" t="s">
        <v>22128</v>
      </c>
      <c r="J647" s="2"/>
      <c r="K647" s="2"/>
      <c r="L647" s="2"/>
      <c r="M647" s="2"/>
      <c r="N647" s="2" t="s">
        <v>22129</v>
      </c>
      <c r="O647" s="2"/>
      <c r="P647" s="2" t="s">
        <v>22130</v>
      </c>
      <c r="Q647" s="2" t="s">
        <v>22131</v>
      </c>
      <c r="R647" s="2" t="s">
        <v>36</v>
      </c>
      <c r="S647" s="2" t="s">
        <v>7927</v>
      </c>
      <c r="T647" s="2" t="s">
        <v>7928</v>
      </c>
      <c r="U647" s="2" t="s">
        <v>22125</v>
      </c>
      <c r="V647" s="2" t="s">
        <v>17039</v>
      </c>
      <c r="W647" s="2"/>
    </row>
    <row r="648">
      <c r="A648" s="2" t="n">
        <v>482</v>
      </c>
      <c r="B648" s="2" t="s">
        <v>14447</v>
      </c>
      <c r="C648" s="2" t="s">
        <v>22132</v>
      </c>
      <c r="D648" s="2" t="n">
        <v>443.253293556</v>
      </c>
      <c r="E648" s="2" t="n">
        <v>0.0959508844599272</v>
      </c>
      <c r="F648" s="2" t="s">
        <v>22134</v>
      </c>
      <c r="G648" s="2" t="n">
        <v>48976</v>
      </c>
      <c r="H648" s="3" t="str">
        <f>HYPERLINK("http://funmeta.oebiotech.com/network/48976", "http://funmeta.oebiotech.com/network/48976")</f>
      </c>
      <c r="I648" s="2" t="s">
        <v>22136</v>
      </c>
      <c r="J648" s="2" t="s">
        <v>22137</v>
      </c>
      <c r="K648" s="2"/>
      <c r="L648" s="2"/>
      <c r="M648" s="2"/>
      <c r="N648" s="2" t="s">
        <v>22138</v>
      </c>
      <c r="O648" s="2"/>
      <c r="P648" s="2" t="s">
        <v>22139</v>
      </c>
      <c r="Q648" s="2" t="s">
        <v>22140</v>
      </c>
      <c r="R648" s="2" t="s">
        <v>794</v>
      </c>
      <c r="S648" s="2" t="s">
        <v>7122</v>
      </c>
      <c r="T648" s="2" t="s">
        <v>7123</v>
      </c>
      <c r="U648" s="2" t="s">
        <v>22133</v>
      </c>
      <c r="V648" s="2" t="s">
        <v>17198</v>
      </c>
      <c r="W648" s="2" t="s">
        <v>56</v>
      </c>
    </row>
    <row r="649">
      <c r="A649" s="2" t="n">
        <v>483</v>
      </c>
      <c r="B649" s="2" t="s">
        <v>14448</v>
      </c>
      <c r="C649" s="2" t="s">
        <v>22141</v>
      </c>
      <c r="D649" s="2" t="n">
        <v>445.127108456</v>
      </c>
      <c r="E649" s="2" t="n">
        <v>4.04160549666431</v>
      </c>
      <c r="F649" s="2" t="s">
        <v>22143</v>
      </c>
      <c r="G649" s="2" t="n">
        <v>208854</v>
      </c>
      <c r="H649" s="3" t="str">
        <f>HYPERLINK("http://funmeta.oebiotech.com/network/208854", "http://funmeta.oebiotech.com/network/208854")</f>
      </c>
      <c r="I649" s="2" t="s">
        <v>22145</v>
      </c>
      <c r="J649" s="2"/>
      <c r="K649" s="2"/>
      <c r="L649" s="2"/>
      <c r="M649" s="2"/>
      <c r="N649" s="2" t="s">
        <v>22146</v>
      </c>
      <c r="O649" s="2"/>
      <c r="P649" s="2" t="s">
        <v>22147</v>
      </c>
      <c r="Q649" s="2" t="s">
        <v>22148</v>
      </c>
      <c r="R649" s="2" t="s">
        <v>114</v>
      </c>
      <c r="S649" s="2" t="s">
        <v>1254</v>
      </c>
      <c r="T649" s="2" t="s">
        <v>5401</v>
      </c>
      <c r="U649" s="2" t="s">
        <v>22142</v>
      </c>
      <c r="V649" s="2" t="s">
        <v>17198</v>
      </c>
      <c r="W649" s="2"/>
    </row>
    <row r="650">
      <c r="A650" s="2" t="n">
        <v>484</v>
      </c>
      <c r="B650" s="2" t="s">
        <v>14460</v>
      </c>
      <c r="C650" s="2" t="s">
        <v>22149</v>
      </c>
      <c r="D650" s="2" t="n">
        <v>445.271940723</v>
      </c>
      <c r="E650" s="2" t="n">
        <v>2.23215320187396</v>
      </c>
      <c r="F650" s="2" t="s">
        <v>27420</v>
      </c>
      <c r="G650" s="2" t="n">
        <v>134861</v>
      </c>
      <c r="H650" s="3" t="str">
        <f>HYPERLINK("http://funmeta.oebiotech.com/network/134861", "http://funmeta.oebiotech.com/network/134861")</f>
      </c>
      <c r="I650" s="2" t="s">
        <v>27421</v>
      </c>
      <c r="J650" s="2"/>
      <c r="K650" s="2"/>
      <c r="L650" s="2"/>
      <c r="M650" s="2"/>
      <c r="N650" s="2" t="s">
        <v>27422</v>
      </c>
      <c r="O650" s="2"/>
      <c r="P650" s="2" t="s">
        <v>27423</v>
      </c>
      <c r="Q650" s="2" t="s">
        <v>27424</v>
      </c>
      <c r="R650" s="2" t="s">
        <v>794</v>
      </c>
      <c r="S650" s="2" t="s">
        <v>7122</v>
      </c>
      <c r="T650" s="2" t="s">
        <v>7123</v>
      </c>
      <c r="U650" s="2" t="s">
        <v>22150</v>
      </c>
      <c r="V650" s="2" t="s">
        <v>17039</v>
      </c>
      <c r="W650" s="2" t="s">
        <v>56</v>
      </c>
    </row>
    <row r="651">
      <c r="A651" s="2" t="n">
        <v>484</v>
      </c>
      <c r="B651" s="2" t="s">
        <v>27425</v>
      </c>
      <c r="C651" s="2" t="s">
        <v>22149</v>
      </c>
      <c r="D651" s="2" t="n">
        <v>445.271940723</v>
      </c>
      <c r="E651" s="2" t="n">
        <v>2.23215320187396</v>
      </c>
      <c r="F651" s="2" t="s">
        <v>27426</v>
      </c>
      <c r="G651" s="2" t="n">
        <v>83525</v>
      </c>
      <c r="H651" s="3" t="str">
        <f>HYPERLINK("http://funmeta.oebiotech.com/network/83525", "http://funmeta.oebiotech.com/network/83525")</f>
      </c>
      <c r="I651" s="2" t="s">
        <v>27427</v>
      </c>
      <c r="J651" s="2"/>
      <c r="K651" s="2"/>
      <c r="L651" s="2"/>
      <c r="M651" s="2"/>
      <c r="N651" s="2"/>
      <c r="O651" s="2"/>
      <c r="P651" s="2" t="s">
        <v>27428</v>
      </c>
      <c r="Q651" s="2" t="s">
        <v>27429</v>
      </c>
      <c r="R651" s="2" t="s">
        <v>794</v>
      </c>
      <c r="S651" s="2" t="s">
        <v>7122</v>
      </c>
      <c r="T651" s="2" t="s">
        <v>7123</v>
      </c>
      <c r="U651" s="2" t="s">
        <v>22150</v>
      </c>
      <c r="V651" s="2" t="s">
        <v>17039</v>
      </c>
      <c r="W651" s="2" t="s">
        <v>56</v>
      </c>
    </row>
    <row r="652">
      <c r="A652" s="2" t="n">
        <v>485</v>
      </c>
      <c r="B652" s="2" t="s">
        <v>14461</v>
      </c>
      <c r="C652" s="2" t="s">
        <v>22158</v>
      </c>
      <c r="D652" s="2" t="n">
        <v>446.121174769</v>
      </c>
      <c r="E652" s="2" t="n">
        <v>0.573496729810467</v>
      </c>
      <c r="F652" s="2" t="s">
        <v>22160</v>
      </c>
      <c r="G652" s="2" t="n">
        <v>208112</v>
      </c>
      <c r="H652" s="3" t="str">
        <f>HYPERLINK("http://funmeta.oebiotech.com/network/208112", "http://funmeta.oebiotech.com/network/208112")</f>
      </c>
      <c r="I652" s="2" t="s">
        <v>22162</v>
      </c>
      <c r="J652" s="2"/>
      <c r="K652" s="2"/>
      <c r="L652" s="2"/>
      <c r="M652" s="2"/>
      <c r="N652" s="2" t="s">
        <v>22163</v>
      </c>
      <c r="O652" s="2"/>
      <c r="P652" s="2" t="s">
        <v>22164</v>
      </c>
      <c r="Q652" s="2" t="s">
        <v>22165</v>
      </c>
      <c r="R652" s="2" t="s">
        <v>1355</v>
      </c>
      <c r="S652" s="2" t="s">
        <v>3298</v>
      </c>
      <c r="T652" s="2" t="s">
        <v>22166</v>
      </c>
      <c r="U652" s="2" t="s">
        <v>22159</v>
      </c>
      <c r="V652" s="2" t="s">
        <v>17406</v>
      </c>
      <c r="W652" s="2"/>
    </row>
    <row r="653">
      <c r="A653" s="2" t="n">
        <v>486</v>
      </c>
      <c r="B653" s="2" t="s">
        <v>14462</v>
      </c>
      <c r="C653" s="2" t="s">
        <v>22167</v>
      </c>
      <c r="D653" s="2" t="n">
        <v>447.118676928</v>
      </c>
      <c r="E653" s="2" t="n">
        <v>0.750700443209901</v>
      </c>
      <c r="F653" s="2" t="s">
        <v>27430</v>
      </c>
      <c r="G653" s="2" t="n">
        <v>211370</v>
      </c>
      <c r="H653" s="3" t="str">
        <f>HYPERLINK("http://funmeta.oebiotech.com/network/211370", "http://funmeta.oebiotech.com/network/211370")</f>
      </c>
      <c r="I653" s="2" t="s">
        <v>27431</v>
      </c>
      <c r="J653" s="2"/>
      <c r="K653" s="2"/>
      <c r="L653" s="2"/>
      <c r="M653" s="2"/>
      <c r="N653" s="2" t="s">
        <v>27432</v>
      </c>
      <c r="O653" s="2"/>
      <c r="P653" s="2" t="s">
        <v>27433</v>
      </c>
      <c r="Q653" s="2" t="s">
        <v>27434</v>
      </c>
      <c r="R653" s="2" t="s">
        <v>114</v>
      </c>
      <c r="S653" s="2" t="s">
        <v>6312</v>
      </c>
      <c r="T653" s="2" t="s">
        <v>6313</v>
      </c>
      <c r="U653" s="2" t="s">
        <v>22168</v>
      </c>
      <c r="V653" s="2" t="s">
        <v>17137</v>
      </c>
      <c r="W653" s="2"/>
    </row>
    <row r="654">
      <c r="A654" s="2" t="n">
        <v>486</v>
      </c>
      <c r="B654" s="2" t="s">
        <v>27435</v>
      </c>
      <c r="C654" s="2" t="s">
        <v>22167</v>
      </c>
      <c r="D654" s="2" t="n">
        <v>447.118676928</v>
      </c>
      <c r="E654" s="2" t="n">
        <v>0.750700443209901</v>
      </c>
      <c r="F654" s="2" t="s">
        <v>27436</v>
      </c>
      <c r="G654" s="2" t="n">
        <v>205524</v>
      </c>
      <c r="H654" s="3" t="str">
        <f>HYPERLINK("http://funmeta.oebiotech.com/network/205524", "http://funmeta.oebiotech.com/network/205524")</f>
      </c>
      <c r="I654" s="2" t="s">
        <v>27437</v>
      </c>
      <c r="J654" s="2" t="s">
        <v>27438</v>
      </c>
      <c r="K654" s="2"/>
      <c r="L654" s="2"/>
      <c r="M654" s="2"/>
      <c r="N654" s="2" t="s">
        <v>27439</v>
      </c>
      <c r="O654" s="2" t="s">
        <v>27440</v>
      </c>
      <c r="P654" s="2" t="s">
        <v>27441</v>
      </c>
      <c r="Q654" s="2" t="s">
        <v>27442</v>
      </c>
      <c r="R654" s="2" t="s">
        <v>114</v>
      </c>
      <c r="S654" s="2" t="s">
        <v>6312</v>
      </c>
      <c r="T654" s="2" t="s">
        <v>6313</v>
      </c>
      <c r="U654" s="2" t="s">
        <v>22168</v>
      </c>
      <c r="V654" s="2" t="s">
        <v>17137</v>
      </c>
      <c r="W654" s="2"/>
    </row>
    <row r="655">
      <c r="A655" s="2" t="n">
        <v>487</v>
      </c>
      <c r="B655" s="2" t="s">
        <v>14463</v>
      </c>
      <c r="C655" s="2" t="s">
        <v>22179</v>
      </c>
      <c r="D655" s="2" t="n">
        <v>453.211908622</v>
      </c>
      <c r="E655" s="2" t="n">
        <v>3.42822572268772</v>
      </c>
      <c r="F655" s="2" t="s">
        <v>27443</v>
      </c>
      <c r="G655" s="2" t="n">
        <v>61931</v>
      </c>
      <c r="H655" s="3" t="str">
        <f>HYPERLINK("http://funmeta.oebiotech.com/network/61931", "http://funmeta.oebiotech.com/network/61931")</f>
      </c>
      <c r="I655" s="2" t="s">
        <v>27444</v>
      </c>
      <c r="J655" s="2" t="s">
        <v>27445</v>
      </c>
      <c r="K655" s="2"/>
      <c r="L655" s="2"/>
      <c r="M655" s="2"/>
      <c r="N655" s="2" t="s">
        <v>27446</v>
      </c>
      <c r="O655" s="2" t="s">
        <v>27447</v>
      </c>
      <c r="P655" s="2" t="s">
        <v>27448</v>
      </c>
      <c r="Q655" s="2" t="s">
        <v>27449</v>
      </c>
      <c r="R655" s="2" t="s">
        <v>794</v>
      </c>
      <c r="S655" s="2" t="s">
        <v>1098</v>
      </c>
      <c r="T655" s="2" t="s">
        <v>3079</v>
      </c>
      <c r="U655" s="2" t="s">
        <v>22180</v>
      </c>
      <c r="V655" s="2" t="s">
        <v>17137</v>
      </c>
      <c r="W655" s="2" t="s">
        <v>56</v>
      </c>
    </row>
    <row r="656">
      <c r="A656" s="2" t="n">
        <v>487</v>
      </c>
      <c r="B656" s="2" t="s">
        <v>14474</v>
      </c>
      <c r="C656" s="2" t="s">
        <v>22179</v>
      </c>
      <c r="D656" s="2" t="n">
        <v>453.211908622</v>
      </c>
      <c r="E656" s="2" t="n">
        <v>3.42822572268772</v>
      </c>
      <c r="F656" s="2" t="s">
        <v>27450</v>
      </c>
      <c r="G656" s="2" t="n">
        <v>61932</v>
      </c>
      <c r="H656" s="3" t="str">
        <f>HYPERLINK("http://funmeta.oebiotech.com/network/61932", "http://funmeta.oebiotech.com/network/61932")</f>
      </c>
      <c r="I656" s="2" t="s">
        <v>27451</v>
      </c>
      <c r="J656" s="2"/>
      <c r="K656" s="2"/>
      <c r="L656" s="2"/>
      <c r="M656" s="2"/>
      <c r="N656" s="2" t="s">
        <v>27452</v>
      </c>
      <c r="O656" s="2" t="s">
        <v>27453</v>
      </c>
      <c r="P656" s="2" t="s">
        <v>27454</v>
      </c>
      <c r="Q656" s="2" t="s">
        <v>27455</v>
      </c>
      <c r="R656" s="2" t="s">
        <v>794</v>
      </c>
      <c r="S656" s="2" t="s">
        <v>1098</v>
      </c>
      <c r="T656" s="2" t="s">
        <v>3079</v>
      </c>
      <c r="U656" s="2" t="s">
        <v>22180</v>
      </c>
      <c r="V656" s="2" t="s">
        <v>17137</v>
      </c>
      <c r="W656" s="2" t="s">
        <v>56</v>
      </c>
    </row>
    <row r="657">
      <c r="A657" s="2" t="n">
        <v>488</v>
      </c>
      <c r="B657" s="2" t="s">
        <v>14494</v>
      </c>
      <c r="C657" s="2" t="s">
        <v>22189</v>
      </c>
      <c r="D657" s="2" t="n">
        <v>456.7898334</v>
      </c>
      <c r="E657" s="2" t="n">
        <v>4.98271753998438</v>
      </c>
      <c r="F657" s="2" t="s">
        <v>22191</v>
      </c>
      <c r="G657" s="2" t="n">
        <v>212587</v>
      </c>
      <c r="H657" s="3" t="str">
        <f>HYPERLINK("http://funmeta.oebiotech.com/network/212587", "http://funmeta.oebiotech.com/network/212587")</f>
      </c>
      <c r="I657" s="2" t="s">
        <v>22193</v>
      </c>
      <c r="J657" s="2" t="s">
        <v>22194</v>
      </c>
      <c r="K657" s="2"/>
      <c r="L657" s="2" t="s">
        <v>22195</v>
      </c>
      <c r="M657" s="2"/>
      <c r="N657" s="2" t="s">
        <v>22196</v>
      </c>
      <c r="O657" s="2" t="s">
        <v>22197</v>
      </c>
      <c r="P657" s="2" t="s">
        <v>22198</v>
      </c>
      <c r="Q657" s="2" t="s">
        <v>22199</v>
      </c>
      <c r="R657" s="2" t="s">
        <v>36</v>
      </c>
      <c r="S657" s="2" t="s">
        <v>2572</v>
      </c>
      <c r="T657" s="2" t="s">
        <v>2637</v>
      </c>
      <c r="U657" s="2" t="s">
        <v>22190</v>
      </c>
      <c r="V657" s="2" t="s">
        <v>18382</v>
      </c>
      <c r="W657" s="2" t="s">
        <v>101</v>
      </c>
    </row>
    <row r="658">
      <c r="A658" s="2" t="n">
        <v>489</v>
      </c>
      <c r="B658" s="2" t="s">
        <v>14495</v>
      </c>
      <c r="C658" s="2" t="s">
        <v>22200</v>
      </c>
      <c r="D658" s="2" t="n">
        <v>457.275452519</v>
      </c>
      <c r="E658" s="2" t="n">
        <v>0.396877902632432</v>
      </c>
      <c r="F658" s="2" t="s">
        <v>22202</v>
      </c>
      <c r="G658" s="2" t="n">
        <v>206845</v>
      </c>
      <c r="H658" s="3" t="str">
        <f>HYPERLINK("http://funmeta.oebiotech.com/network/206845", "http://funmeta.oebiotech.com/network/206845")</f>
      </c>
      <c r="I658" s="2" t="s">
        <v>22204</v>
      </c>
      <c r="J658" s="2"/>
      <c r="K658" s="2"/>
      <c r="L658" s="2"/>
      <c r="M658" s="2"/>
      <c r="N658" s="2" t="s">
        <v>22205</v>
      </c>
      <c r="O658" s="2"/>
      <c r="P658" s="2" t="s">
        <v>22206</v>
      </c>
      <c r="Q658" s="2" t="s">
        <v>22207</v>
      </c>
      <c r="R658" s="2" t="s">
        <v>794</v>
      </c>
      <c r="S658" s="2" t="s">
        <v>2971</v>
      </c>
      <c r="T658" s="2" t="s">
        <v>5393</v>
      </c>
      <c r="U658" s="2" t="s">
        <v>22201</v>
      </c>
      <c r="V658" s="2" t="s">
        <v>17039</v>
      </c>
      <c r="W658" s="2"/>
    </row>
    <row r="659">
      <c r="A659" s="2" t="n">
        <v>490</v>
      </c>
      <c r="B659" s="2" t="s">
        <v>14496</v>
      </c>
      <c r="C659" s="2" t="s">
        <v>22208</v>
      </c>
      <c r="D659" s="2" t="n">
        <v>458.266716805</v>
      </c>
      <c r="E659" s="2" t="n">
        <v>0.256028392634732</v>
      </c>
      <c r="F659" s="2" t="s">
        <v>22210</v>
      </c>
      <c r="G659" s="2" t="n">
        <v>8388</v>
      </c>
      <c r="H659" s="3" t="str">
        <f>HYPERLINK("http://funmeta.oebiotech.com/network/8388", "http://funmeta.oebiotech.com/network/8388")</f>
      </c>
      <c r="I659" s="2" t="s">
        <v>22212</v>
      </c>
      <c r="J659" s="2" t="s">
        <v>22213</v>
      </c>
      <c r="K659" s="2" t="s">
        <v>22214</v>
      </c>
      <c r="L659" s="2"/>
      <c r="M659" s="2"/>
      <c r="N659" s="2" t="s">
        <v>22215</v>
      </c>
      <c r="O659" s="2"/>
      <c r="P659" s="2" t="s">
        <v>22216</v>
      </c>
      <c r="Q659" s="2" t="s">
        <v>22217</v>
      </c>
      <c r="R659" s="2" t="s">
        <v>794</v>
      </c>
      <c r="S659" s="2" t="s">
        <v>795</v>
      </c>
      <c r="T659" s="2" t="s">
        <v>1870</v>
      </c>
      <c r="U659" s="2" t="s">
        <v>22209</v>
      </c>
      <c r="V659" s="2" t="s">
        <v>17406</v>
      </c>
      <c r="W659" s="2" t="s">
        <v>56</v>
      </c>
    </row>
    <row r="660">
      <c r="A660" s="2" t="n">
        <v>491</v>
      </c>
      <c r="B660" s="2" t="s">
        <v>14497</v>
      </c>
      <c r="C660" s="2" t="s">
        <v>22218</v>
      </c>
      <c r="D660" s="2" t="n">
        <v>459.287117897</v>
      </c>
      <c r="E660" s="2" t="n">
        <v>4.50974634431163</v>
      </c>
      <c r="F660" s="2" t="s">
        <v>22220</v>
      </c>
      <c r="G660" s="2" t="n">
        <v>202335</v>
      </c>
      <c r="H660" s="3" t="str">
        <f>HYPERLINK("http://funmeta.oebiotech.com/network/202335", "http://funmeta.oebiotech.com/network/202335")</f>
      </c>
      <c r="I660" s="2" t="s">
        <v>22222</v>
      </c>
      <c r="J660" s="2"/>
      <c r="K660" s="2"/>
      <c r="L660" s="2"/>
      <c r="M660" s="2"/>
      <c r="N660" s="2" t="s">
        <v>22223</v>
      </c>
      <c r="O660" s="2"/>
      <c r="P660" s="2" t="s">
        <v>22224</v>
      </c>
      <c r="Q660" s="2" t="s">
        <v>22225</v>
      </c>
      <c r="R660" s="2" t="s">
        <v>794</v>
      </c>
      <c r="S660" s="2" t="s">
        <v>2971</v>
      </c>
      <c r="T660" s="2" t="s">
        <v>6499</v>
      </c>
      <c r="U660" s="2" t="s">
        <v>22219</v>
      </c>
      <c r="V660" s="2" t="s">
        <v>17406</v>
      </c>
      <c r="W660" s="2"/>
    </row>
    <row r="661">
      <c r="A661" s="2" t="n">
        <v>492</v>
      </c>
      <c r="B661" s="2" t="s">
        <v>14498</v>
      </c>
      <c r="C661" s="2" t="s">
        <v>22226</v>
      </c>
      <c r="D661" s="2" t="n">
        <v>462.144180183</v>
      </c>
      <c r="E661" s="2" t="n">
        <v>2.33072177299783</v>
      </c>
      <c r="F661" s="2" t="s">
        <v>22228</v>
      </c>
      <c r="G661" s="2" t="n">
        <v>53296</v>
      </c>
      <c r="H661" s="3" t="str">
        <f>HYPERLINK("http://funmeta.oebiotech.com/network/53296", "http://funmeta.oebiotech.com/network/53296")</f>
      </c>
      <c r="I661" s="2" t="s">
        <v>22230</v>
      </c>
      <c r="J661" s="2" t="s">
        <v>22231</v>
      </c>
      <c r="K661" s="2"/>
      <c r="L661" s="2" t="s">
        <v>22232</v>
      </c>
      <c r="M661" s="2" t="s">
        <v>22233</v>
      </c>
      <c r="N661" s="2" t="s">
        <v>22234</v>
      </c>
      <c r="O661" s="2" t="s">
        <v>22235</v>
      </c>
      <c r="P661" s="2" t="s">
        <v>22236</v>
      </c>
      <c r="Q661" s="2" t="s">
        <v>22237</v>
      </c>
      <c r="R661" s="2" t="s">
        <v>36</v>
      </c>
      <c r="S661" s="2" t="s">
        <v>37</v>
      </c>
      <c r="T661" s="2" t="s">
        <v>69</v>
      </c>
      <c r="U661" s="2" t="s">
        <v>22227</v>
      </c>
      <c r="V661" s="2" t="s">
        <v>17137</v>
      </c>
      <c r="W661" s="2" t="s">
        <v>101</v>
      </c>
    </row>
    <row r="662">
      <c r="A662" s="2" t="n">
        <v>493</v>
      </c>
      <c r="B662" s="2" t="s">
        <v>14499</v>
      </c>
      <c r="C662" s="2" t="s">
        <v>22238</v>
      </c>
      <c r="D662" s="2" t="n">
        <v>463.141044443</v>
      </c>
      <c r="E662" s="2" t="n">
        <v>0.774117352659107</v>
      </c>
      <c r="F662" s="2" t="s">
        <v>22240</v>
      </c>
      <c r="G662" s="2" t="n">
        <v>203852</v>
      </c>
      <c r="H662" s="3" t="str">
        <f>HYPERLINK("http://funmeta.oebiotech.com/network/203852", "http://funmeta.oebiotech.com/network/203852")</f>
      </c>
      <c r="I662" s="2" t="s">
        <v>22242</v>
      </c>
      <c r="J662" s="2"/>
      <c r="K662" s="2"/>
      <c r="L662" s="2"/>
      <c r="M662" s="2"/>
      <c r="N662" s="2" t="s">
        <v>22243</v>
      </c>
      <c r="O662" s="2"/>
      <c r="P662" s="2" t="s">
        <v>22244</v>
      </c>
      <c r="Q662" s="2" t="s">
        <v>22245</v>
      </c>
      <c r="R662" s="2" t="s">
        <v>186</v>
      </c>
      <c r="S662" s="2" t="s">
        <v>187</v>
      </c>
      <c r="T662" s="2" t="s">
        <v>1950</v>
      </c>
      <c r="U662" s="2" t="s">
        <v>22239</v>
      </c>
      <c r="V662" s="2" t="s">
        <v>17198</v>
      </c>
      <c r="W662" s="2"/>
    </row>
    <row r="663">
      <c r="A663" s="2" t="n">
        <v>494</v>
      </c>
      <c r="B663" s="2" t="s">
        <v>14517</v>
      </c>
      <c r="C663" s="2" t="s">
        <v>22246</v>
      </c>
      <c r="D663" s="2" t="n">
        <v>467.097272796</v>
      </c>
      <c r="E663" s="2" t="n">
        <v>2.02470319848716</v>
      </c>
      <c r="F663" s="2" t="s">
        <v>22248</v>
      </c>
      <c r="G663" s="2" t="n">
        <v>58698</v>
      </c>
      <c r="H663" s="3" t="str">
        <f>HYPERLINK("http://funmeta.oebiotech.com/network/58698", "http://funmeta.oebiotech.com/network/58698")</f>
      </c>
      <c r="I663" s="2" t="s">
        <v>22250</v>
      </c>
      <c r="J663" s="2"/>
      <c r="K663" s="2"/>
      <c r="L663" s="2"/>
      <c r="M663" s="2"/>
      <c r="N663" s="2" t="s">
        <v>22251</v>
      </c>
      <c r="O663" s="2" t="s">
        <v>22252</v>
      </c>
      <c r="P663" s="2" t="s">
        <v>22253</v>
      </c>
      <c r="Q663" s="2" t="s">
        <v>22254</v>
      </c>
      <c r="R663" s="2" t="s">
        <v>114</v>
      </c>
      <c r="S663" s="2" t="s">
        <v>5343</v>
      </c>
      <c r="T663" s="2" t="s">
        <v>22255</v>
      </c>
      <c r="U663" s="2" t="s">
        <v>22247</v>
      </c>
      <c r="V663" s="2" t="s">
        <v>17137</v>
      </c>
      <c r="W663" s="2"/>
    </row>
    <row r="664">
      <c r="A664" s="2" t="n">
        <v>495</v>
      </c>
      <c r="B664" s="2" t="s">
        <v>14518</v>
      </c>
      <c r="C664" s="2" t="s">
        <v>22256</v>
      </c>
      <c r="D664" s="2" t="n">
        <v>469.311197752</v>
      </c>
      <c r="E664" s="2" t="n">
        <v>1.8846464141193</v>
      </c>
      <c r="F664" s="2" t="s">
        <v>22258</v>
      </c>
      <c r="G664" s="2" t="n">
        <v>213299</v>
      </c>
      <c r="H664" s="3" t="str">
        <f>HYPERLINK("http://funmeta.oebiotech.com/network/213299", "http://funmeta.oebiotech.com/network/213299")</f>
      </c>
      <c r="I664" s="2" t="s">
        <v>22260</v>
      </c>
      <c r="J664" s="2"/>
      <c r="K664" s="2"/>
      <c r="L664" s="2"/>
      <c r="M664" s="2"/>
      <c r="N664" s="2" t="s">
        <v>22261</v>
      </c>
      <c r="O664" s="2"/>
      <c r="P664" s="2" t="s">
        <v>22262</v>
      </c>
      <c r="Q664" s="2" t="s">
        <v>22263</v>
      </c>
      <c r="R664" s="2" t="s">
        <v>36</v>
      </c>
      <c r="S664" s="2" t="s">
        <v>37</v>
      </c>
      <c r="T664" s="2" t="s">
        <v>69</v>
      </c>
      <c r="U664" s="2" t="s">
        <v>22257</v>
      </c>
      <c r="V664" s="2" t="s">
        <v>17039</v>
      </c>
      <c r="W664" s="2"/>
    </row>
    <row r="665">
      <c r="A665" s="2" t="n">
        <v>496</v>
      </c>
      <c r="B665" s="2" t="s">
        <v>14519</v>
      </c>
      <c r="C665" s="2" t="s">
        <v>22264</v>
      </c>
      <c r="D665" s="2" t="n">
        <v>470.809065412</v>
      </c>
      <c r="E665" s="2" t="n">
        <v>1.95004321082205</v>
      </c>
      <c r="F665" s="2" t="s">
        <v>22266</v>
      </c>
      <c r="G665" s="2" t="n">
        <v>60112</v>
      </c>
      <c r="H665" s="3" t="str">
        <f>HYPERLINK("http://funmeta.oebiotech.com/network/60112", "http://funmeta.oebiotech.com/network/60112")</f>
      </c>
      <c r="I665" s="2" t="s">
        <v>22268</v>
      </c>
      <c r="J665" s="2" t="s">
        <v>22269</v>
      </c>
      <c r="K665" s="2"/>
      <c r="L665" s="2"/>
      <c r="M665" s="2"/>
      <c r="N665" s="2" t="s">
        <v>22270</v>
      </c>
      <c r="O665" s="2" t="s">
        <v>22271</v>
      </c>
      <c r="P665" s="2" t="s">
        <v>22272</v>
      </c>
      <c r="Q665" s="2" t="s">
        <v>22273</v>
      </c>
      <c r="R665" s="2" t="s">
        <v>644</v>
      </c>
      <c r="S665" s="2" t="s">
        <v>1241</v>
      </c>
      <c r="T665" s="2" t="s">
        <v>215</v>
      </c>
      <c r="U665" s="2" t="s">
        <v>22265</v>
      </c>
      <c r="V665" s="2" t="s">
        <v>17227</v>
      </c>
      <c r="W665" s="2"/>
    </row>
    <row r="666">
      <c r="A666" s="2" t="n">
        <v>497</v>
      </c>
      <c r="B666" s="2" t="s">
        <v>14520</v>
      </c>
      <c r="C666" s="2" t="s">
        <v>22274</v>
      </c>
      <c r="D666" s="2" t="n">
        <v>471.296581724</v>
      </c>
      <c r="E666" s="2" t="n">
        <v>4.20714304132757</v>
      </c>
      <c r="F666" s="2" t="s">
        <v>22276</v>
      </c>
      <c r="G666" s="2" t="n">
        <v>54309</v>
      </c>
      <c r="H666" s="3" t="str">
        <f>HYPERLINK("http://funmeta.oebiotech.com/network/54309", "http://funmeta.oebiotech.com/network/54309")</f>
      </c>
      <c r="I666" s="2" t="s">
        <v>22278</v>
      </c>
      <c r="J666" s="2"/>
      <c r="K666" s="2"/>
      <c r="L666" s="2"/>
      <c r="M666" s="2" t="s">
        <v>22279</v>
      </c>
      <c r="N666" s="2" t="s">
        <v>22280</v>
      </c>
      <c r="O666" s="2" t="s">
        <v>22281</v>
      </c>
      <c r="P666" s="2" t="s">
        <v>22282</v>
      </c>
      <c r="Q666" s="2" t="s">
        <v>22283</v>
      </c>
      <c r="R666" s="2" t="s">
        <v>36</v>
      </c>
      <c r="S666" s="2" t="s">
        <v>37</v>
      </c>
      <c r="T666" s="2" t="s">
        <v>69</v>
      </c>
      <c r="U666" s="2" t="s">
        <v>22275</v>
      </c>
      <c r="V666" s="2" t="s">
        <v>17137</v>
      </c>
      <c r="W666" s="2" t="s">
        <v>56</v>
      </c>
    </row>
    <row r="667">
      <c r="A667" s="2" t="n">
        <v>498</v>
      </c>
      <c r="B667" s="2" t="s">
        <v>14521</v>
      </c>
      <c r="C667" s="2" t="s">
        <v>22284</v>
      </c>
      <c r="D667" s="2" t="n">
        <v>478.337443477</v>
      </c>
      <c r="E667" s="2" t="n">
        <v>6.6660126851809</v>
      </c>
      <c r="F667" s="2" t="s">
        <v>22286</v>
      </c>
      <c r="G667" s="2" t="n">
        <v>207539</v>
      </c>
      <c r="H667" s="3" t="str">
        <f>HYPERLINK("http://funmeta.oebiotech.com/network/207539", "http://funmeta.oebiotech.com/network/207539")</f>
      </c>
      <c r="I667" s="2" t="s">
        <v>22288</v>
      </c>
      <c r="J667" s="2"/>
      <c r="K667" s="2"/>
      <c r="L667" s="2"/>
      <c r="M667" s="2"/>
      <c r="N667" s="2"/>
      <c r="O667" s="2"/>
      <c r="P667" s="2" t="s">
        <v>22289</v>
      </c>
      <c r="Q667" s="2" t="s">
        <v>22290</v>
      </c>
      <c r="R667" s="2" t="s">
        <v>794</v>
      </c>
      <c r="S667" s="2" t="s">
        <v>7781</v>
      </c>
      <c r="T667" s="2" t="s">
        <v>11458</v>
      </c>
      <c r="U667" s="2" t="s">
        <v>22285</v>
      </c>
      <c r="V667" s="2" t="s">
        <v>17137</v>
      </c>
      <c r="W667" s="2"/>
    </row>
    <row r="668">
      <c r="A668" s="2" t="n">
        <v>499</v>
      </c>
      <c r="B668" s="2" t="s">
        <v>14522</v>
      </c>
      <c r="C668" s="2" t="s">
        <v>22291</v>
      </c>
      <c r="D668" s="2" t="n">
        <v>479.336715204</v>
      </c>
      <c r="E668" s="2" t="n">
        <v>3.14283432006356</v>
      </c>
      <c r="F668" s="2" t="s">
        <v>27456</v>
      </c>
      <c r="G668" s="2" t="n">
        <v>61872</v>
      </c>
      <c r="H668" s="3" t="str">
        <f>HYPERLINK("http://funmeta.oebiotech.com/network/61872", "http://funmeta.oebiotech.com/network/61872")</f>
      </c>
      <c r="I668" s="2" t="s">
        <v>27457</v>
      </c>
      <c r="J668" s="2"/>
      <c r="K668" s="2"/>
      <c r="L668" s="2"/>
      <c r="M668" s="2"/>
      <c r="N668" s="2" t="s">
        <v>27458</v>
      </c>
      <c r="O668" s="2" t="s">
        <v>27459</v>
      </c>
      <c r="P668" s="2" t="s">
        <v>27460</v>
      </c>
      <c r="Q668" s="2" t="s">
        <v>27461</v>
      </c>
      <c r="R668" s="2" t="s">
        <v>794</v>
      </c>
      <c r="S668" s="2" t="s">
        <v>2971</v>
      </c>
      <c r="T668" s="2" t="s">
        <v>6499</v>
      </c>
      <c r="U668" s="2" t="s">
        <v>22292</v>
      </c>
      <c r="V668" s="2" t="s">
        <v>17137</v>
      </c>
      <c r="W668" s="2" t="s">
        <v>56</v>
      </c>
    </row>
    <row r="669">
      <c r="A669" s="2" t="n">
        <v>499</v>
      </c>
      <c r="B669" s="2" t="s">
        <v>27462</v>
      </c>
      <c r="C669" s="2" t="s">
        <v>22291</v>
      </c>
      <c r="D669" s="2" t="n">
        <v>479.336715204</v>
      </c>
      <c r="E669" s="2" t="n">
        <v>3.14283432006356</v>
      </c>
      <c r="F669" s="2" t="s">
        <v>27463</v>
      </c>
      <c r="G669" s="2" t="n">
        <v>58190</v>
      </c>
      <c r="H669" s="3" t="str">
        <f>HYPERLINK("http://funmeta.oebiotech.com/network/58190", "http://funmeta.oebiotech.com/network/58190")</f>
      </c>
      <c r="I669" s="2" t="s">
        <v>27464</v>
      </c>
      <c r="J669" s="2"/>
      <c r="K669" s="2"/>
      <c r="L669" s="2"/>
      <c r="M669" s="2"/>
      <c r="N669" s="2"/>
      <c r="O669" s="2" t="s">
        <v>27465</v>
      </c>
      <c r="P669" s="2" t="s">
        <v>27466</v>
      </c>
      <c r="Q669" s="2" t="s">
        <v>27467</v>
      </c>
      <c r="R669" s="2" t="s">
        <v>794</v>
      </c>
      <c r="S669" s="2" t="s">
        <v>2971</v>
      </c>
      <c r="T669" s="2" t="s">
        <v>6693</v>
      </c>
      <c r="U669" s="2" t="s">
        <v>22292</v>
      </c>
      <c r="V669" s="2" t="s">
        <v>17137</v>
      </c>
      <c r="W669" s="2" t="s">
        <v>56</v>
      </c>
    </row>
    <row r="670">
      <c r="A670" s="2" t="n">
        <v>500</v>
      </c>
      <c r="B670" s="2" t="s">
        <v>14523</v>
      </c>
      <c r="C670" s="2" t="s">
        <v>22301</v>
      </c>
      <c r="D670" s="2" t="n">
        <v>481.14705518</v>
      </c>
      <c r="E670" s="2" t="n">
        <v>0.808286530196591</v>
      </c>
      <c r="F670" s="2" t="s">
        <v>22303</v>
      </c>
      <c r="G670" s="2" t="n">
        <v>58219</v>
      </c>
      <c r="H670" s="3" t="str">
        <f>HYPERLINK("http://funmeta.oebiotech.com/network/58219", "http://funmeta.oebiotech.com/network/58219")</f>
      </c>
      <c r="I670" s="2" t="s">
        <v>22305</v>
      </c>
      <c r="J670" s="2"/>
      <c r="K670" s="2"/>
      <c r="L670" s="2" t="s">
        <v>22306</v>
      </c>
      <c r="M670" s="2"/>
      <c r="N670" s="2" t="s">
        <v>22307</v>
      </c>
      <c r="O670" s="2"/>
      <c r="P670" s="2" t="s">
        <v>22308</v>
      </c>
      <c r="Q670" s="2" t="s">
        <v>22309</v>
      </c>
      <c r="R670" s="2" t="s">
        <v>129</v>
      </c>
      <c r="S670" s="2" t="s">
        <v>130</v>
      </c>
      <c r="T670" s="2" t="s">
        <v>1681</v>
      </c>
      <c r="U670" s="2" t="s">
        <v>22302</v>
      </c>
      <c r="V670" s="2" t="s">
        <v>17406</v>
      </c>
      <c r="W670" s="2" t="s">
        <v>56</v>
      </c>
    </row>
    <row r="671">
      <c r="A671" s="2" t="n">
        <v>501</v>
      </c>
      <c r="B671" s="2" t="s">
        <v>14524</v>
      </c>
      <c r="C671" s="2" t="s">
        <v>22310</v>
      </c>
      <c r="D671" s="2" t="n">
        <v>483.080038248</v>
      </c>
      <c r="E671" s="2" t="n">
        <v>6.31901176691953</v>
      </c>
      <c r="F671" s="2" t="s">
        <v>22312</v>
      </c>
      <c r="G671" s="2" t="n">
        <v>82632</v>
      </c>
      <c r="H671" s="3" t="str">
        <f>HYPERLINK("http://funmeta.oebiotech.com/network/82632", "http://funmeta.oebiotech.com/network/82632")</f>
      </c>
      <c r="I671" s="2" t="s">
        <v>22314</v>
      </c>
      <c r="J671" s="2" t="s">
        <v>22315</v>
      </c>
      <c r="K671" s="2"/>
      <c r="L671" s="2"/>
      <c r="M671" s="2"/>
      <c r="N671" s="2" t="s">
        <v>22316</v>
      </c>
      <c r="O671" s="2" t="s">
        <v>22317</v>
      </c>
      <c r="P671" s="2" t="s">
        <v>22318</v>
      </c>
      <c r="Q671" s="2" t="s">
        <v>22319</v>
      </c>
      <c r="R671" s="2" t="s">
        <v>129</v>
      </c>
      <c r="S671" s="2" t="s">
        <v>130</v>
      </c>
      <c r="T671" s="2" t="s">
        <v>1681</v>
      </c>
      <c r="U671" s="2" t="s">
        <v>22311</v>
      </c>
      <c r="V671" s="2" t="s">
        <v>17406</v>
      </c>
      <c r="W671" s="2"/>
    </row>
    <row r="672">
      <c r="A672" s="2" t="n">
        <v>502</v>
      </c>
      <c r="B672" s="2" t="s">
        <v>14525</v>
      </c>
      <c r="C672" s="2" t="s">
        <v>22320</v>
      </c>
      <c r="D672" s="2" t="n">
        <v>484.0801296</v>
      </c>
      <c r="E672" s="2" t="n">
        <v>5.91191343002086</v>
      </c>
      <c r="F672" s="2" t="s">
        <v>22322</v>
      </c>
      <c r="G672" s="2" t="n">
        <v>208845</v>
      </c>
      <c r="H672" s="3" t="str">
        <f>HYPERLINK("http://funmeta.oebiotech.com/network/208845", "http://funmeta.oebiotech.com/network/208845")</f>
      </c>
      <c r="I672" s="2" t="s">
        <v>22324</v>
      </c>
      <c r="J672" s="2"/>
      <c r="K672" s="2"/>
      <c r="L672" s="2"/>
      <c r="M672" s="2"/>
      <c r="N672" s="2"/>
      <c r="O672" s="2"/>
      <c r="P672" s="2" t="s">
        <v>22325</v>
      </c>
      <c r="Q672" s="2" t="s">
        <v>22326</v>
      </c>
      <c r="R672" s="2" t="s">
        <v>186</v>
      </c>
      <c r="S672" s="2" t="s">
        <v>187</v>
      </c>
      <c r="T672" s="2" t="s">
        <v>8537</v>
      </c>
      <c r="U672" s="2" t="s">
        <v>22321</v>
      </c>
      <c r="V672" s="2" t="s">
        <v>17198</v>
      </c>
      <c r="W672" s="2"/>
    </row>
    <row r="673">
      <c r="A673" s="2" t="n">
        <v>503</v>
      </c>
      <c r="B673" s="2" t="s">
        <v>14546</v>
      </c>
      <c r="C673" s="2" t="s">
        <v>22327</v>
      </c>
      <c r="D673" s="2" t="n">
        <v>485.072211301</v>
      </c>
      <c r="E673" s="2" t="n">
        <v>2.78109444631832</v>
      </c>
      <c r="F673" s="2" t="s">
        <v>22329</v>
      </c>
      <c r="G673" s="2" t="n">
        <v>64972</v>
      </c>
      <c r="H673" s="3" t="str">
        <f>HYPERLINK("http://funmeta.oebiotech.com/network/64972", "http://funmeta.oebiotech.com/network/64972")</f>
      </c>
      <c r="I673" s="2" t="s">
        <v>22331</v>
      </c>
      <c r="J673" s="2" t="s">
        <v>22332</v>
      </c>
      <c r="K673" s="2"/>
      <c r="L673" s="2"/>
      <c r="M673" s="2" t="s">
        <v>22333</v>
      </c>
      <c r="N673" s="2" t="s">
        <v>22334</v>
      </c>
      <c r="O673" s="2" t="s">
        <v>22335</v>
      </c>
      <c r="P673" s="2" t="s">
        <v>22336</v>
      </c>
      <c r="Q673" s="2" t="s">
        <v>22337</v>
      </c>
      <c r="R673" s="2" t="s">
        <v>129</v>
      </c>
      <c r="S673" s="2" t="s">
        <v>130</v>
      </c>
      <c r="T673" s="2" t="s">
        <v>1681</v>
      </c>
      <c r="U673" s="2" t="s">
        <v>22328</v>
      </c>
      <c r="V673" s="2" t="s">
        <v>17198</v>
      </c>
      <c r="W673" s="2"/>
    </row>
    <row r="674">
      <c r="A674" s="2" t="n">
        <v>504</v>
      </c>
      <c r="B674" s="2" t="s">
        <v>14547</v>
      </c>
      <c r="C674" s="2" t="s">
        <v>22338</v>
      </c>
      <c r="D674" s="2" t="n">
        <v>485.291102416</v>
      </c>
      <c r="E674" s="2" t="n">
        <v>6.40443894927253</v>
      </c>
      <c r="F674" s="2" t="s">
        <v>22340</v>
      </c>
      <c r="G674" s="2" t="n">
        <v>198694</v>
      </c>
      <c r="H674" s="3" t="str">
        <f>HYPERLINK("http://funmeta.oebiotech.com/network/198694", "http://funmeta.oebiotech.com/network/198694")</f>
      </c>
      <c r="I674" s="2" t="s">
        <v>22342</v>
      </c>
      <c r="J674" s="2"/>
      <c r="K674" s="2"/>
      <c r="L674" s="2"/>
      <c r="M674" s="2"/>
      <c r="N674" s="2" t="s">
        <v>22343</v>
      </c>
      <c r="O674" s="2"/>
      <c r="P674" s="2" t="s">
        <v>22344</v>
      </c>
      <c r="Q674" s="2" t="s">
        <v>22345</v>
      </c>
      <c r="R674" s="2" t="s">
        <v>114</v>
      </c>
      <c r="S674" s="2" t="s">
        <v>2057</v>
      </c>
      <c r="T674" s="2" t="s">
        <v>5603</v>
      </c>
      <c r="U674" s="2" t="s">
        <v>22339</v>
      </c>
      <c r="V674" s="2" t="s">
        <v>18382</v>
      </c>
      <c r="W674" s="2"/>
    </row>
    <row r="675">
      <c r="A675" s="2" t="n">
        <v>505</v>
      </c>
      <c r="B675" s="2" t="s">
        <v>14548</v>
      </c>
      <c r="C675" s="2" t="s">
        <v>22346</v>
      </c>
      <c r="D675" s="2" t="n">
        <v>486.073179202</v>
      </c>
      <c r="E675" s="2" t="n">
        <v>3.17446678058292</v>
      </c>
      <c r="F675" s="2" t="s">
        <v>22348</v>
      </c>
      <c r="G675" s="2" t="n">
        <v>203469</v>
      </c>
      <c r="H675" s="3" t="str">
        <f>HYPERLINK("http://funmeta.oebiotech.com/network/203469", "http://funmeta.oebiotech.com/network/203469")</f>
      </c>
      <c r="I675" s="2" t="s">
        <v>22350</v>
      </c>
      <c r="J675" s="2" t="s">
        <v>22351</v>
      </c>
      <c r="K675" s="2"/>
      <c r="L675" s="2"/>
      <c r="M675" s="2" t="s">
        <v>22352</v>
      </c>
      <c r="N675" s="2" t="s">
        <v>22353</v>
      </c>
      <c r="O675" s="2"/>
      <c r="P675" s="2" t="s">
        <v>22354</v>
      </c>
      <c r="Q675" s="2" t="s">
        <v>22355</v>
      </c>
      <c r="R675" s="2" t="s">
        <v>114</v>
      </c>
      <c r="S675" s="2" t="s">
        <v>5831</v>
      </c>
      <c r="T675" s="2" t="s">
        <v>215</v>
      </c>
      <c r="U675" s="2" t="s">
        <v>22347</v>
      </c>
      <c r="V675" s="2" t="s">
        <v>17406</v>
      </c>
      <c r="W675" s="2"/>
    </row>
    <row r="676">
      <c r="A676" s="2" t="n">
        <v>506</v>
      </c>
      <c r="B676" s="2" t="s">
        <v>14564</v>
      </c>
      <c r="C676" s="2" t="s">
        <v>22356</v>
      </c>
      <c r="D676" s="2" t="n">
        <v>486.295493203</v>
      </c>
      <c r="E676" s="2" t="n">
        <v>1.25941656999827</v>
      </c>
      <c r="F676" s="2" t="s">
        <v>22358</v>
      </c>
      <c r="G676" s="2" t="n">
        <v>197243</v>
      </c>
      <c r="H676" s="3" t="str">
        <f>HYPERLINK("http://funmeta.oebiotech.com/network/197243", "http://funmeta.oebiotech.com/network/197243")</f>
      </c>
      <c r="I676" s="2" t="s">
        <v>22360</v>
      </c>
      <c r="J676" s="2"/>
      <c r="K676" s="2"/>
      <c r="L676" s="2"/>
      <c r="M676" s="2"/>
      <c r="N676" s="2"/>
      <c r="O676" s="2" t="s">
        <v>22361</v>
      </c>
      <c r="P676" s="2" t="s">
        <v>22362</v>
      </c>
      <c r="Q676" s="2" t="s">
        <v>22363</v>
      </c>
      <c r="R676" s="2" t="s">
        <v>794</v>
      </c>
      <c r="S676" s="2" t="s">
        <v>7122</v>
      </c>
      <c r="T676" s="2" t="s">
        <v>8042</v>
      </c>
      <c r="U676" s="2" t="s">
        <v>22357</v>
      </c>
      <c r="V676" s="2" t="s">
        <v>17198</v>
      </c>
      <c r="W676" s="2" t="s">
        <v>39</v>
      </c>
    </row>
    <row r="677">
      <c r="A677" s="2" t="n">
        <v>507</v>
      </c>
      <c r="B677" s="2" t="s">
        <v>14565</v>
      </c>
      <c r="C677" s="2" t="s">
        <v>22364</v>
      </c>
      <c r="D677" s="2" t="n">
        <v>489.318657201</v>
      </c>
      <c r="E677" s="2" t="n">
        <v>0.704613962634628</v>
      </c>
      <c r="F677" s="2" t="s">
        <v>22366</v>
      </c>
      <c r="G677" s="2" t="n">
        <v>83643</v>
      </c>
      <c r="H677" s="3" t="str">
        <f>HYPERLINK("http://funmeta.oebiotech.com/network/83643", "http://funmeta.oebiotech.com/network/83643")</f>
      </c>
      <c r="I677" s="2" t="s">
        <v>22368</v>
      </c>
      <c r="J677" s="2"/>
      <c r="K677" s="2"/>
      <c r="L677" s="2"/>
      <c r="M677" s="2"/>
      <c r="N677" s="2" t="s">
        <v>22369</v>
      </c>
      <c r="O677" s="2"/>
      <c r="P677" s="2" t="s">
        <v>22370</v>
      </c>
      <c r="Q677" s="2" t="s">
        <v>22371</v>
      </c>
      <c r="R677" s="2" t="s">
        <v>794</v>
      </c>
      <c r="S677" s="2" t="s">
        <v>2971</v>
      </c>
      <c r="T677" s="2" t="s">
        <v>6499</v>
      </c>
      <c r="U677" s="2" t="s">
        <v>22365</v>
      </c>
      <c r="V677" s="2" t="s">
        <v>17198</v>
      </c>
      <c r="W677" s="2" t="s">
        <v>56</v>
      </c>
    </row>
    <row r="678">
      <c r="A678" s="2" t="n">
        <v>508</v>
      </c>
      <c r="B678" s="2" t="s">
        <v>14566</v>
      </c>
      <c r="C678" s="2" t="s">
        <v>22372</v>
      </c>
      <c r="D678" s="2" t="n">
        <v>496.339726997</v>
      </c>
      <c r="E678" s="2" t="n">
        <v>6.11074695923487</v>
      </c>
      <c r="F678" s="2" t="s">
        <v>27468</v>
      </c>
      <c r="G678" s="2" t="n">
        <v>8343</v>
      </c>
      <c r="H678" s="3" t="str">
        <f>HYPERLINK("http://funmeta.oebiotech.com/network/8343", "http://funmeta.oebiotech.com/network/8343")</f>
      </c>
      <c r="I678" s="2" t="s">
        <v>27469</v>
      </c>
      <c r="J678" s="2" t="s">
        <v>27470</v>
      </c>
      <c r="K678" s="2" t="s">
        <v>27471</v>
      </c>
      <c r="L678" s="2"/>
      <c r="M678" s="2" t="s">
        <v>27472</v>
      </c>
      <c r="N678" s="2" t="s">
        <v>27473</v>
      </c>
      <c r="O678" s="2"/>
      <c r="P678" s="2" t="s">
        <v>27474</v>
      </c>
      <c r="Q678" s="2" t="s">
        <v>27475</v>
      </c>
      <c r="R678" s="2" t="s">
        <v>794</v>
      </c>
      <c r="S678" s="2" t="s">
        <v>795</v>
      </c>
      <c r="T678" s="2" t="s">
        <v>1870</v>
      </c>
      <c r="U678" s="2" t="s">
        <v>22373</v>
      </c>
      <c r="V678" s="2" t="s">
        <v>17198</v>
      </c>
      <c r="W678" s="2" t="s">
        <v>56</v>
      </c>
    </row>
    <row r="679">
      <c r="A679" s="2" t="n">
        <v>508</v>
      </c>
      <c r="B679" s="2" t="s">
        <v>27476</v>
      </c>
      <c r="C679" s="2" t="s">
        <v>22372</v>
      </c>
      <c r="D679" s="2" t="n">
        <v>496.339726997</v>
      </c>
      <c r="E679" s="2" t="n">
        <v>6.11074695923487</v>
      </c>
      <c r="F679" s="2" t="s">
        <v>27477</v>
      </c>
      <c r="G679" s="2" t="n">
        <v>8340</v>
      </c>
      <c r="H679" s="3" t="str">
        <f>HYPERLINK("http://funmeta.oebiotech.com/network/8340", "http://funmeta.oebiotech.com/network/8340")</f>
      </c>
      <c r="I679" s="2" t="s">
        <v>27478</v>
      </c>
      <c r="J679" s="2" t="s">
        <v>27479</v>
      </c>
      <c r="K679" s="2" t="s">
        <v>27480</v>
      </c>
      <c r="L679" s="2"/>
      <c r="M679" s="2" t="s">
        <v>27481</v>
      </c>
      <c r="N679" s="2" t="s">
        <v>27482</v>
      </c>
      <c r="O679" s="2"/>
      <c r="P679" s="2" t="s">
        <v>27483</v>
      </c>
      <c r="Q679" s="2" t="s">
        <v>27484</v>
      </c>
      <c r="R679" s="2" t="s">
        <v>794</v>
      </c>
      <c r="S679" s="2" t="s">
        <v>795</v>
      </c>
      <c r="T679" s="2" t="s">
        <v>1870</v>
      </c>
      <c r="U679" s="2" t="s">
        <v>22373</v>
      </c>
      <c r="V679" s="2" t="s">
        <v>17198</v>
      </c>
      <c r="W679" s="2" t="s">
        <v>56</v>
      </c>
    </row>
    <row r="680">
      <c r="A680" s="2" t="n">
        <v>508</v>
      </c>
      <c r="B680" s="2" t="s">
        <v>27485</v>
      </c>
      <c r="C680" s="2" t="s">
        <v>22372</v>
      </c>
      <c r="D680" s="2" t="n">
        <v>496.339726997</v>
      </c>
      <c r="E680" s="2" t="n">
        <v>6.11074695923487</v>
      </c>
      <c r="F680" s="2" t="s">
        <v>27486</v>
      </c>
      <c r="G680" s="2" t="n">
        <v>55976</v>
      </c>
      <c r="H680" s="3" t="str">
        <f>HYPERLINK("http://funmeta.oebiotech.com/network/55976", "http://funmeta.oebiotech.com/network/55976")</f>
      </c>
      <c r="I680" s="2" t="s">
        <v>27487</v>
      </c>
      <c r="J680" s="2"/>
      <c r="K680" s="2"/>
      <c r="L680" s="2"/>
      <c r="M680" s="2"/>
      <c r="N680" s="2" t="s">
        <v>27488</v>
      </c>
      <c r="O680" s="2" t="s">
        <v>27489</v>
      </c>
      <c r="P680" s="2" t="s">
        <v>27490</v>
      </c>
      <c r="Q680" s="2" t="s">
        <v>27491</v>
      </c>
      <c r="R680" s="2" t="s">
        <v>794</v>
      </c>
      <c r="S680" s="2" t="s">
        <v>2971</v>
      </c>
      <c r="T680" s="2" t="s">
        <v>7382</v>
      </c>
      <c r="U680" s="2" t="s">
        <v>22373</v>
      </c>
      <c r="V680" s="2" t="s">
        <v>17198</v>
      </c>
      <c r="W680" s="2" t="s">
        <v>56</v>
      </c>
    </row>
    <row r="681">
      <c r="A681" s="2" t="n">
        <v>509</v>
      </c>
      <c r="B681" s="2" t="s">
        <v>14567</v>
      </c>
      <c r="C681" s="2" t="s">
        <v>22385</v>
      </c>
      <c r="D681" s="2" t="n">
        <v>497.238390238</v>
      </c>
      <c r="E681" s="2" t="n">
        <v>3.10580794283254</v>
      </c>
      <c r="F681" s="2" t="s">
        <v>22387</v>
      </c>
      <c r="G681" s="2" t="n">
        <v>208991</v>
      </c>
      <c r="H681" s="3" t="str">
        <f>HYPERLINK("http://funmeta.oebiotech.com/network/208991", "http://funmeta.oebiotech.com/network/208991")</f>
      </c>
      <c r="I681" s="2" t="s">
        <v>22389</v>
      </c>
      <c r="J681" s="2"/>
      <c r="K681" s="2"/>
      <c r="L681" s="2"/>
      <c r="M681" s="2"/>
      <c r="N681" s="2" t="s">
        <v>22390</v>
      </c>
      <c r="O681" s="2"/>
      <c r="P681" s="2" t="s">
        <v>22391</v>
      </c>
      <c r="Q681" s="2" t="s">
        <v>22392</v>
      </c>
      <c r="R681" s="2" t="s">
        <v>114</v>
      </c>
      <c r="S681" s="2" t="s">
        <v>22393</v>
      </c>
      <c r="T681" s="2" t="s">
        <v>215</v>
      </c>
      <c r="U681" s="2" t="s">
        <v>22386</v>
      </c>
      <c r="V681" s="2" t="s">
        <v>17198</v>
      </c>
      <c r="W681" s="2"/>
    </row>
    <row r="682">
      <c r="A682" s="2" t="n">
        <v>510</v>
      </c>
      <c r="B682" s="2" t="s">
        <v>14568</v>
      </c>
      <c r="C682" s="2" t="s">
        <v>22394</v>
      </c>
      <c r="D682" s="2" t="n">
        <v>497.34786857</v>
      </c>
      <c r="E682" s="2" t="n">
        <v>6.24404285443697</v>
      </c>
      <c r="F682" s="2" t="s">
        <v>22396</v>
      </c>
      <c r="G682" s="2" t="n">
        <v>202719</v>
      </c>
      <c r="H682" s="3" t="str">
        <f>HYPERLINK("http://funmeta.oebiotech.com/network/202719", "http://funmeta.oebiotech.com/network/202719")</f>
      </c>
      <c r="I682" s="2" t="s">
        <v>22398</v>
      </c>
      <c r="J682" s="2" t="s">
        <v>22399</v>
      </c>
      <c r="K682" s="2"/>
      <c r="L682" s="2"/>
      <c r="M682" s="2"/>
      <c r="N682" s="2" t="s">
        <v>22400</v>
      </c>
      <c r="O682" s="2"/>
      <c r="P682" s="2" t="s">
        <v>22401</v>
      </c>
      <c r="Q682" s="2" t="s">
        <v>22402</v>
      </c>
      <c r="R682" s="2" t="s">
        <v>36</v>
      </c>
      <c r="S682" s="2" t="s">
        <v>37</v>
      </c>
      <c r="T682" s="2" t="s">
        <v>7272</v>
      </c>
      <c r="U682" s="2" t="s">
        <v>22395</v>
      </c>
      <c r="V682" s="2" t="s">
        <v>17039</v>
      </c>
      <c r="W682" s="2"/>
    </row>
    <row r="683">
      <c r="A683" s="2" t="n">
        <v>511</v>
      </c>
      <c r="B683" s="2" t="s">
        <v>14582</v>
      </c>
      <c r="C683" s="2" t="s">
        <v>22403</v>
      </c>
      <c r="D683" s="2" t="n">
        <v>503.107122358</v>
      </c>
      <c r="E683" s="2" t="n">
        <v>1.72598360297184</v>
      </c>
      <c r="F683" s="2" t="s">
        <v>22405</v>
      </c>
      <c r="G683" s="2" t="n">
        <v>211837</v>
      </c>
      <c r="H683" s="3" t="str">
        <f>HYPERLINK("http://funmeta.oebiotech.com/network/211837", "http://funmeta.oebiotech.com/network/211837")</f>
      </c>
      <c r="I683" s="2" t="s">
        <v>22407</v>
      </c>
      <c r="J683" s="2" t="s">
        <v>22408</v>
      </c>
      <c r="K683" s="2"/>
      <c r="L683" s="2"/>
      <c r="M683" s="2"/>
      <c r="N683" s="2" t="s">
        <v>22409</v>
      </c>
      <c r="O683" s="2"/>
      <c r="P683" s="2" t="s">
        <v>22410</v>
      </c>
      <c r="Q683" s="2" t="s">
        <v>22411</v>
      </c>
      <c r="R683" s="2" t="s">
        <v>114</v>
      </c>
      <c r="S683" s="2" t="s">
        <v>4262</v>
      </c>
      <c r="T683" s="2" t="s">
        <v>215</v>
      </c>
      <c r="U683" s="2" t="s">
        <v>22404</v>
      </c>
      <c r="V683" s="2" t="s">
        <v>17406</v>
      </c>
      <c r="W683" s="2"/>
    </row>
    <row r="684">
      <c r="A684" s="2" t="n">
        <v>512</v>
      </c>
      <c r="B684" s="2" t="s">
        <v>14597</v>
      </c>
      <c r="C684" s="2" t="s">
        <v>22412</v>
      </c>
      <c r="D684" s="2" t="n">
        <v>503.32858878</v>
      </c>
      <c r="E684" s="2" t="n">
        <v>8.16354481769501</v>
      </c>
      <c r="F684" s="2" t="s">
        <v>22414</v>
      </c>
      <c r="G684" s="2" t="n">
        <v>54605</v>
      </c>
      <c r="H684" s="3" t="str">
        <f>HYPERLINK("http://funmeta.oebiotech.com/network/54605", "http://funmeta.oebiotech.com/network/54605")</f>
      </c>
      <c r="I684" s="2" t="s">
        <v>22416</v>
      </c>
      <c r="J684" s="2" t="s">
        <v>22417</v>
      </c>
      <c r="K684" s="2"/>
      <c r="L684" s="2"/>
      <c r="M684" s="2"/>
      <c r="N684" s="2" t="s">
        <v>22418</v>
      </c>
      <c r="O684" s="2" t="s">
        <v>22419</v>
      </c>
      <c r="P684" s="2" t="s">
        <v>22420</v>
      </c>
      <c r="Q684" s="2" t="s">
        <v>22421</v>
      </c>
      <c r="R684" s="2" t="s">
        <v>794</v>
      </c>
      <c r="S684" s="2" t="s">
        <v>1098</v>
      </c>
      <c r="T684" s="2" t="s">
        <v>3079</v>
      </c>
      <c r="U684" s="2" t="s">
        <v>22413</v>
      </c>
      <c r="V684" s="2" t="s">
        <v>17227</v>
      </c>
      <c r="W684" s="2" t="s">
        <v>56</v>
      </c>
    </row>
    <row r="685">
      <c r="A685" s="2" t="n">
        <v>513</v>
      </c>
      <c r="B685" s="2" t="s">
        <v>14618</v>
      </c>
      <c r="C685" s="2" t="s">
        <v>22422</v>
      </c>
      <c r="D685" s="2" t="n">
        <v>506.360617191</v>
      </c>
      <c r="E685" s="2" t="n">
        <v>6.23127363529784</v>
      </c>
      <c r="F685" s="2" t="s">
        <v>22424</v>
      </c>
      <c r="G685" s="2" t="n">
        <v>198606</v>
      </c>
      <c r="H685" s="3" t="str">
        <f>HYPERLINK("http://funmeta.oebiotech.com/network/198606", "http://funmeta.oebiotech.com/network/198606")</f>
      </c>
      <c r="I685" s="2" t="s">
        <v>22426</v>
      </c>
      <c r="J685" s="2"/>
      <c r="K685" s="2"/>
      <c r="L685" s="2"/>
      <c r="M685" s="2"/>
      <c r="N685" s="2" t="s">
        <v>22427</v>
      </c>
      <c r="O685" s="2"/>
      <c r="P685" s="2" t="s">
        <v>22428</v>
      </c>
      <c r="Q685" s="2" t="s">
        <v>22429</v>
      </c>
      <c r="R685" s="2" t="s">
        <v>36</v>
      </c>
      <c r="S685" s="2" t="s">
        <v>37</v>
      </c>
      <c r="T685" s="2" t="s">
        <v>69</v>
      </c>
      <c r="U685" s="2" t="s">
        <v>22423</v>
      </c>
      <c r="V685" s="2" t="s">
        <v>17406</v>
      </c>
      <c r="W685" s="2"/>
    </row>
    <row r="686">
      <c r="A686" s="2" t="n">
        <v>514</v>
      </c>
      <c r="B686" s="2" t="s">
        <v>14619</v>
      </c>
      <c r="C686" s="2" t="s">
        <v>22430</v>
      </c>
      <c r="D686" s="2" t="n">
        <v>507.368015332</v>
      </c>
      <c r="E686" s="2" t="n">
        <v>5.50825021531436</v>
      </c>
      <c r="F686" s="2" t="s">
        <v>22432</v>
      </c>
      <c r="G686" s="2" t="n">
        <v>58518</v>
      </c>
      <c r="H686" s="3" t="str">
        <f>HYPERLINK("http://funmeta.oebiotech.com/network/58518", "http://funmeta.oebiotech.com/network/58518")</f>
      </c>
      <c r="I686" s="2" t="s">
        <v>22433</v>
      </c>
      <c r="J686" s="2" t="s">
        <v>22434</v>
      </c>
      <c r="K686" s="2"/>
      <c r="L686" s="2"/>
      <c r="M686" s="2" t="s">
        <v>22435</v>
      </c>
      <c r="N686" s="2" t="s">
        <v>22436</v>
      </c>
      <c r="O686" s="2" t="s">
        <v>22437</v>
      </c>
      <c r="P686" s="2" t="s">
        <v>22438</v>
      </c>
      <c r="Q686" s="2" t="s">
        <v>22439</v>
      </c>
      <c r="R686" s="2" t="s">
        <v>794</v>
      </c>
      <c r="S686" s="2" t="s">
        <v>1098</v>
      </c>
      <c r="T686" s="2" t="s">
        <v>7646</v>
      </c>
      <c r="U686" s="2" t="s">
        <v>22431</v>
      </c>
      <c r="V686" s="2" t="s">
        <v>17137</v>
      </c>
      <c r="W686" s="2" t="s">
        <v>56</v>
      </c>
    </row>
    <row r="687">
      <c r="A687" s="2" t="n">
        <v>515</v>
      </c>
      <c r="B687" s="2" t="s">
        <v>14620</v>
      </c>
      <c r="C687" s="2" t="s">
        <v>22440</v>
      </c>
      <c r="D687" s="2" t="n">
        <v>517.32898271</v>
      </c>
      <c r="E687" s="2" t="n">
        <v>2.86543113673071</v>
      </c>
      <c r="F687" s="2" t="s">
        <v>27492</v>
      </c>
      <c r="G687" s="2" t="n">
        <v>207573</v>
      </c>
      <c r="H687" s="3" t="str">
        <f>HYPERLINK("http://funmeta.oebiotech.com/network/207573", "http://funmeta.oebiotech.com/network/207573")</f>
      </c>
      <c r="I687" s="2" t="s">
        <v>27493</v>
      </c>
      <c r="J687" s="2"/>
      <c r="K687" s="2"/>
      <c r="L687" s="2"/>
      <c r="M687" s="2"/>
      <c r="N687" s="2" t="s">
        <v>27494</v>
      </c>
      <c r="O687" s="2"/>
      <c r="P687" s="2" t="s">
        <v>27495</v>
      </c>
      <c r="Q687" s="2" t="s">
        <v>27496</v>
      </c>
      <c r="R687" s="2" t="s">
        <v>794</v>
      </c>
      <c r="S687" s="2" t="s">
        <v>2971</v>
      </c>
      <c r="T687" s="2" t="s">
        <v>15624</v>
      </c>
      <c r="U687" s="2" t="s">
        <v>22441</v>
      </c>
      <c r="V687" s="2" t="s">
        <v>17406</v>
      </c>
      <c r="W687" s="2"/>
    </row>
    <row r="688">
      <c r="A688" s="2" t="n">
        <v>515</v>
      </c>
      <c r="B688" s="2" t="s">
        <v>27497</v>
      </c>
      <c r="C688" s="2" t="s">
        <v>22440</v>
      </c>
      <c r="D688" s="2" t="n">
        <v>517.32898271</v>
      </c>
      <c r="E688" s="2" t="n">
        <v>2.86543113673071</v>
      </c>
      <c r="F688" s="2" t="s">
        <v>27498</v>
      </c>
      <c r="G688" s="2" t="n">
        <v>255356</v>
      </c>
      <c r="H688" s="3" t="str">
        <f>HYPERLINK("http://funmeta.oebiotech.com/network/255356", "http://funmeta.oebiotech.com/network/255356")</f>
      </c>
      <c r="I688" s="2" t="s">
        <v>27499</v>
      </c>
      <c r="J688" s="2"/>
      <c r="K688" s="2"/>
      <c r="L688" s="2"/>
      <c r="M688" s="2"/>
      <c r="N688" s="2"/>
      <c r="O688" s="2"/>
      <c r="P688" s="2" t="s">
        <v>27500</v>
      </c>
      <c r="Q688" s="2" t="s">
        <v>27501</v>
      </c>
      <c r="R688" s="2" t="s">
        <v>794</v>
      </c>
      <c r="S688" s="2" t="s">
        <v>2971</v>
      </c>
      <c r="T688" s="2" t="s">
        <v>15624</v>
      </c>
      <c r="U688" s="2" t="s">
        <v>22441</v>
      </c>
      <c r="V688" s="2" t="s">
        <v>17406</v>
      </c>
      <c r="W688" s="2"/>
    </row>
    <row r="689">
      <c r="A689" s="2" t="n">
        <v>515</v>
      </c>
      <c r="B689" s="2" t="s">
        <v>27502</v>
      </c>
      <c r="C689" s="2" t="s">
        <v>22440</v>
      </c>
      <c r="D689" s="2" t="n">
        <v>517.32898271</v>
      </c>
      <c r="E689" s="2" t="n">
        <v>2.86543113673071</v>
      </c>
      <c r="F689" s="2" t="s">
        <v>27503</v>
      </c>
      <c r="G689" s="2" t="n">
        <v>255357</v>
      </c>
      <c r="H689" s="3" t="str">
        <f>HYPERLINK("http://funmeta.oebiotech.com/network/255357", "http://funmeta.oebiotech.com/network/255357")</f>
      </c>
      <c r="I689" s="2" t="s">
        <v>27504</v>
      </c>
      <c r="J689" s="2"/>
      <c r="K689" s="2"/>
      <c r="L689" s="2"/>
      <c r="M689" s="2"/>
      <c r="N689" s="2"/>
      <c r="O689" s="2"/>
      <c r="P689" s="2" t="s">
        <v>27505</v>
      </c>
      <c r="Q689" s="2" t="s">
        <v>27506</v>
      </c>
      <c r="R689" s="2" t="s">
        <v>794</v>
      </c>
      <c r="S689" s="2" t="s">
        <v>2971</v>
      </c>
      <c r="T689" s="2" t="s">
        <v>15624</v>
      </c>
      <c r="U689" s="2" t="s">
        <v>22441</v>
      </c>
      <c r="V689" s="2" t="s">
        <v>17406</v>
      </c>
      <c r="W689" s="2"/>
    </row>
    <row r="690">
      <c r="A690" s="2" t="n">
        <v>516</v>
      </c>
      <c r="B690" s="2" t="s">
        <v>14621</v>
      </c>
      <c r="C690" s="2" t="s">
        <v>22449</v>
      </c>
      <c r="D690" s="2" t="n">
        <v>518.324115407</v>
      </c>
      <c r="E690" s="2" t="n">
        <v>0.545053387677597</v>
      </c>
      <c r="F690" s="2" t="s">
        <v>22451</v>
      </c>
      <c r="G690" s="2" t="n">
        <v>19878</v>
      </c>
      <c r="H690" s="3" t="str">
        <f>HYPERLINK("http://funmeta.oebiotech.com/network/19878", "http://funmeta.oebiotech.com/network/19878")</f>
      </c>
      <c r="I690" s="2" t="s">
        <v>22453</v>
      </c>
      <c r="J690" s="2" t="s">
        <v>22454</v>
      </c>
      <c r="K690" s="2" t="s">
        <v>22455</v>
      </c>
      <c r="L690" s="2" t="s">
        <v>8454</v>
      </c>
      <c r="M690" s="2" t="s">
        <v>22456</v>
      </c>
      <c r="N690" s="2" t="s">
        <v>22457</v>
      </c>
      <c r="O690" s="2"/>
      <c r="P690" s="2" t="s">
        <v>22458</v>
      </c>
      <c r="Q690" s="2" t="s">
        <v>22459</v>
      </c>
      <c r="R690" s="2" t="s">
        <v>794</v>
      </c>
      <c r="S690" s="2" t="s">
        <v>7122</v>
      </c>
      <c r="T690" s="2" t="s">
        <v>8460</v>
      </c>
      <c r="U690" s="2" t="s">
        <v>22450</v>
      </c>
      <c r="V690" s="2" t="s">
        <v>17137</v>
      </c>
      <c r="W690" s="2" t="s">
        <v>39</v>
      </c>
    </row>
    <row r="691">
      <c r="A691" s="2" t="n">
        <v>517</v>
      </c>
      <c r="B691" s="2" t="s">
        <v>14650</v>
      </c>
      <c r="C691" s="2" t="s">
        <v>22460</v>
      </c>
      <c r="D691" s="2" t="n">
        <v>520.138162249</v>
      </c>
      <c r="E691" s="2" t="n">
        <v>5.76688040926388</v>
      </c>
      <c r="F691" s="2" t="s">
        <v>22462</v>
      </c>
      <c r="G691" s="2" t="n">
        <v>53538</v>
      </c>
      <c r="H691" s="3" t="str">
        <f>HYPERLINK("http://funmeta.oebiotech.com/network/53538", "http://funmeta.oebiotech.com/network/53538")</f>
      </c>
      <c r="I691" s="2" t="s">
        <v>22464</v>
      </c>
      <c r="J691" s="2"/>
      <c r="K691" s="2"/>
      <c r="L691" s="2"/>
      <c r="M691" s="2" t="s">
        <v>22465</v>
      </c>
      <c r="N691" s="2" t="s">
        <v>22466</v>
      </c>
      <c r="O691" s="2" t="s">
        <v>22467</v>
      </c>
      <c r="P691" s="2" t="s">
        <v>22468</v>
      </c>
      <c r="Q691" s="2" t="s">
        <v>22469</v>
      </c>
      <c r="R691" s="2" t="s">
        <v>114</v>
      </c>
      <c r="S691" s="2" t="s">
        <v>6312</v>
      </c>
      <c r="T691" s="2" t="s">
        <v>6313</v>
      </c>
      <c r="U691" s="2" t="s">
        <v>22461</v>
      </c>
      <c r="V691" s="2" t="s">
        <v>17406</v>
      </c>
      <c r="W691" s="2" t="s">
        <v>56</v>
      </c>
    </row>
    <row r="692">
      <c r="A692" s="2" t="n">
        <v>518</v>
      </c>
      <c r="B692" s="2" t="s">
        <v>14651</v>
      </c>
      <c r="C692" s="2" t="s">
        <v>22470</v>
      </c>
      <c r="D692" s="2" t="n">
        <v>521.135177778</v>
      </c>
      <c r="E692" s="2" t="n">
        <v>0.0882274590966821</v>
      </c>
      <c r="F692" s="2" t="s">
        <v>22472</v>
      </c>
      <c r="G692" s="2" t="n">
        <v>213041</v>
      </c>
      <c r="H692" s="3" t="str">
        <f>HYPERLINK("http://funmeta.oebiotech.com/network/213041", "http://funmeta.oebiotech.com/network/213041")</f>
      </c>
      <c r="I692" s="2" t="s">
        <v>22474</v>
      </c>
      <c r="J692" s="2"/>
      <c r="K692" s="2"/>
      <c r="L692" s="2"/>
      <c r="M692" s="2"/>
      <c r="N692" s="2" t="s">
        <v>22475</v>
      </c>
      <c r="O692" s="2"/>
      <c r="P692" s="2" t="s">
        <v>22476</v>
      </c>
      <c r="Q692" s="2" t="s">
        <v>22477</v>
      </c>
      <c r="R692" s="2" t="s">
        <v>114</v>
      </c>
      <c r="S692" s="2" t="s">
        <v>1289</v>
      </c>
      <c r="T692" s="2" t="s">
        <v>215</v>
      </c>
      <c r="U692" s="2" t="s">
        <v>22471</v>
      </c>
      <c r="V692" s="2" t="s">
        <v>17520</v>
      </c>
      <c r="W692" s="2"/>
    </row>
    <row r="693">
      <c r="A693" s="2" t="n">
        <v>519</v>
      </c>
      <c r="B693" s="2" t="s">
        <v>14681</v>
      </c>
      <c r="C693" s="2" t="s">
        <v>22478</v>
      </c>
      <c r="D693" s="2" t="n">
        <v>522.358373682</v>
      </c>
      <c r="E693" s="2" t="n">
        <v>2.50533278514495</v>
      </c>
      <c r="F693" s="2" t="s">
        <v>27507</v>
      </c>
      <c r="G693" s="2" t="n">
        <v>198866</v>
      </c>
      <c r="H693" s="3" t="str">
        <f>HYPERLINK("http://funmeta.oebiotech.com/network/198866", "http://funmeta.oebiotech.com/network/198866")</f>
      </c>
      <c r="I693" s="2" t="s">
        <v>27508</v>
      </c>
      <c r="J693" s="2"/>
      <c r="K693" s="2"/>
      <c r="L693" s="2"/>
      <c r="M693" s="2"/>
      <c r="N693" s="2"/>
      <c r="O693" s="2"/>
      <c r="P693" s="2" t="s">
        <v>27509</v>
      </c>
      <c r="Q693" s="2" t="s">
        <v>27510</v>
      </c>
      <c r="R693" s="2" t="s">
        <v>794</v>
      </c>
      <c r="S693" s="2" t="s">
        <v>2971</v>
      </c>
      <c r="T693" s="2" t="s">
        <v>6499</v>
      </c>
      <c r="U693" s="2" t="s">
        <v>22479</v>
      </c>
      <c r="V693" s="2" t="s">
        <v>17039</v>
      </c>
      <c r="W693" s="2"/>
    </row>
    <row r="694">
      <c r="A694" s="2" t="n">
        <v>519</v>
      </c>
      <c r="B694" s="2" t="s">
        <v>27511</v>
      </c>
      <c r="C694" s="2" t="s">
        <v>22478</v>
      </c>
      <c r="D694" s="2" t="n">
        <v>522.358373682</v>
      </c>
      <c r="E694" s="2" t="n">
        <v>2.50533278514495</v>
      </c>
      <c r="F694" s="2" t="s">
        <v>27512</v>
      </c>
      <c r="G694" s="2" t="n">
        <v>198844</v>
      </c>
      <c r="H694" s="3" t="str">
        <f>HYPERLINK("http://funmeta.oebiotech.com/network/198844", "http://funmeta.oebiotech.com/network/198844")</f>
      </c>
      <c r="I694" s="2" t="s">
        <v>27513</v>
      </c>
      <c r="J694" s="2"/>
      <c r="K694" s="2"/>
      <c r="L694" s="2"/>
      <c r="M694" s="2"/>
      <c r="N694" s="2" t="s">
        <v>27514</v>
      </c>
      <c r="O694" s="2"/>
      <c r="P694" s="2" t="s">
        <v>27515</v>
      </c>
      <c r="Q694" s="2" t="s">
        <v>27516</v>
      </c>
      <c r="R694" s="2" t="s">
        <v>794</v>
      </c>
      <c r="S694" s="2" t="s">
        <v>2971</v>
      </c>
      <c r="T694" s="2" t="s">
        <v>6499</v>
      </c>
      <c r="U694" s="2" t="s">
        <v>22479</v>
      </c>
      <c r="V694" s="2" t="s">
        <v>17039</v>
      </c>
      <c r="W694" s="2"/>
    </row>
    <row r="695">
      <c r="A695" s="2" t="n">
        <v>520</v>
      </c>
      <c r="B695" s="2" t="s">
        <v>14682</v>
      </c>
      <c r="C695" s="2" t="s">
        <v>22486</v>
      </c>
      <c r="D695" s="2" t="n">
        <v>524.371027126</v>
      </c>
      <c r="E695" s="2" t="n">
        <v>9.45379365114513</v>
      </c>
      <c r="F695" s="2" t="s">
        <v>22488</v>
      </c>
      <c r="G695" s="2" t="n">
        <v>198171</v>
      </c>
      <c r="H695" s="3" t="str">
        <f>HYPERLINK("http://funmeta.oebiotech.com/network/198171", "http://funmeta.oebiotech.com/network/198171")</f>
      </c>
      <c r="I695" s="2" t="s">
        <v>22490</v>
      </c>
      <c r="J695" s="2"/>
      <c r="K695" s="2"/>
      <c r="L695" s="2"/>
      <c r="M695" s="2"/>
      <c r="N695" s="2"/>
      <c r="O695" s="2"/>
      <c r="P695" s="2" t="s">
        <v>22491</v>
      </c>
      <c r="Q695" s="2" t="s">
        <v>22492</v>
      </c>
      <c r="R695" s="2" t="s">
        <v>794</v>
      </c>
      <c r="S695" s="2" t="s">
        <v>795</v>
      </c>
      <c r="T695" s="2" t="s">
        <v>1870</v>
      </c>
      <c r="U695" s="2" t="s">
        <v>22487</v>
      </c>
      <c r="V695" s="2" t="s">
        <v>17198</v>
      </c>
      <c r="W695" s="2"/>
    </row>
    <row r="696">
      <c r="A696" s="2" t="n">
        <v>521</v>
      </c>
      <c r="B696" s="2" t="s">
        <v>14702</v>
      </c>
      <c r="C696" s="2" t="s">
        <v>22493</v>
      </c>
      <c r="D696" s="2" t="n">
        <v>533.345026699</v>
      </c>
      <c r="E696" s="2" t="n">
        <v>5.91626572798426</v>
      </c>
      <c r="F696" s="2" t="s">
        <v>22495</v>
      </c>
      <c r="G696" s="2" t="n">
        <v>206187</v>
      </c>
      <c r="H696" s="3" t="str">
        <f>HYPERLINK("http://funmeta.oebiotech.com/network/206187", "http://funmeta.oebiotech.com/network/206187")</f>
      </c>
      <c r="I696" s="2" t="s">
        <v>22497</v>
      </c>
      <c r="J696" s="2" t="s">
        <v>22498</v>
      </c>
      <c r="K696" s="2"/>
      <c r="L696" s="2"/>
      <c r="M696" s="2"/>
      <c r="N696" s="2" t="s">
        <v>22499</v>
      </c>
      <c r="O696" s="2"/>
      <c r="P696" s="2" t="s">
        <v>22500</v>
      </c>
      <c r="Q696" s="2" t="s">
        <v>22501</v>
      </c>
      <c r="R696" s="2" t="s">
        <v>129</v>
      </c>
      <c r="S696" s="2" t="s">
        <v>130</v>
      </c>
      <c r="T696" s="2" t="s">
        <v>4901</v>
      </c>
      <c r="U696" s="2" t="s">
        <v>22494</v>
      </c>
      <c r="V696" s="2" t="s">
        <v>17406</v>
      </c>
      <c r="W696" s="2"/>
    </row>
    <row r="697">
      <c r="A697" s="2" t="n">
        <v>522</v>
      </c>
      <c r="B697" s="2" t="s">
        <v>14703</v>
      </c>
      <c r="C697" s="2" t="s">
        <v>22502</v>
      </c>
      <c r="D697" s="2" t="n">
        <v>535.300637678</v>
      </c>
      <c r="E697" s="2" t="n">
        <v>0.766451492910337</v>
      </c>
      <c r="F697" s="2" t="s">
        <v>22504</v>
      </c>
      <c r="G697" s="2" t="n">
        <v>83279</v>
      </c>
      <c r="H697" s="3" t="str">
        <f>HYPERLINK("http://funmeta.oebiotech.com/network/83279", "http://funmeta.oebiotech.com/network/83279")</f>
      </c>
      <c r="I697" s="2" t="s">
        <v>22506</v>
      </c>
      <c r="J697" s="2"/>
      <c r="K697" s="2"/>
      <c r="L697" s="2"/>
      <c r="M697" s="2"/>
      <c r="N697" s="2" t="s">
        <v>22507</v>
      </c>
      <c r="O697" s="2"/>
      <c r="P697" s="2" t="s">
        <v>22508</v>
      </c>
      <c r="Q697" s="2" t="s">
        <v>22509</v>
      </c>
      <c r="R697" s="2" t="s">
        <v>794</v>
      </c>
      <c r="S697" s="2" t="s">
        <v>7122</v>
      </c>
      <c r="T697" s="2" t="s">
        <v>9951</v>
      </c>
      <c r="U697" s="2" t="s">
        <v>22503</v>
      </c>
      <c r="V697" s="2" t="s">
        <v>17198</v>
      </c>
      <c r="W697" s="2" t="s">
        <v>39</v>
      </c>
    </row>
    <row r="698">
      <c r="A698" s="2" t="n">
        <v>523</v>
      </c>
      <c r="B698" s="2" t="s">
        <v>14704</v>
      </c>
      <c r="C698" s="2" t="s">
        <v>22510</v>
      </c>
      <c r="D698" s="2" t="n">
        <v>536.170271988</v>
      </c>
      <c r="E698" s="2" t="n">
        <v>1.55497292598393</v>
      </c>
      <c r="F698" s="2" t="s">
        <v>22512</v>
      </c>
      <c r="G698" s="2" t="n">
        <v>207347</v>
      </c>
      <c r="H698" s="3" t="str">
        <f>HYPERLINK("http://funmeta.oebiotech.com/network/207347", "http://funmeta.oebiotech.com/network/207347")</f>
      </c>
      <c r="I698" s="2" t="s">
        <v>22514</v>
      </c>
      <c r="J698" s="2"/>
      <c r="K698" s="2"/>
      <c r="L698" s="2"/>
      <c r="M698" s="2"/>
      <c r="N698" s="2"/>
      <c r="O698" s="2"/>
      <c r="P698" s="2" t="s">
        <v>22515</v>
      </c>
      <c r="Q698" s="2" t="s">
        <v>22516</v>
      </c>
      <c r="R698" s="2" t="s">
        <v>114</v>
      </c>
      <c r="S698" s="2" t="s">
        <v>172</v>
      </c>
      <c r="T698" s="2" t="s">
        <v>173</v>
      </c>
      <c r="U698" s="2" t="s">
        <v>22511</v>
      </c>
      <c r="V698" s="2" t="s">
        <v>17970</v>
      </c>
      <c r="W698" s="2"/>
    </row>
    <row r="699">
      <c r="A699" s="2" t="n">
        <v>524</v>
      </c>
      <c r="B699" s="2" t="s">
        <v>14705</v>
      </c>
      <c r="C699" s="2" t="s">
        <v>22517</v>
      </c>
      <c r="D699" s="2" t="n">
        <v>536.298410857</v>
      </c>
      <c r="E699" s="2" t="n">
        <v>0.579973528558251</v>
      </c>
      <c r="F699" s="2" t="s">
        <v>27517</v>
      </c>
      <c r="G699" s="2" t="n">
        <v>198409</v>
      </c>
      <c r="H699" s="3" t="str">
        <f>HYPERLINK("http://funmeta.oebiotech.com/network/198409", "http://funmeta.oebiotech.com/network/198409")</f>
      </c>
      <c r="I699" s="2" t="s">
        <v>27518</v>
      </c>
      <c r="J699" s="2"/>
      <c r="K699" s="2"/>
      <c r="L699" s="2"/>
      <c r="M699" s="2"/>
      <c r="N699" s="2"/>
      <c r="O699" s="2"/>
      <c r="P699" s="2" t="s">
        <v>27519</v>
      </c>
      <c r="Q699" s="2" t="s">
        <v>27520</v>
      </c>
      <c r="R699" s="2" t="s">
        <v>794</v>
      </c>
      <c r="S699" s="2" t="s">
        <v>795</v>
      </c>
      <c r="T699" s="2" t="s">
        <v>3692</v>
      </c>
      <c r="U699" s="2" t="s">
        <v>22518</v>
      </c>
      <c r="V699" s="2" t="s">
        <v>17406</v>
      </c>
      <c r="W699" s="2"/>
    </row>
    <row r="700">
      <c r="A700" s="2" t="n">
        <v>524</v>
      </c>
      <c r="B700" s="2" t="s">
        <v>27521</v>
      </c>
      <c r="C700" s="2" t="s">
        <v>22517</v>
      </c>
      <c r="D700" s="2" t="n">
        <v>536.298410857</v>
      </c>
      <c r="E700" s="2" t="n">
        <v>0.579973528558251</v>
      </c>
      <c r="F700" s="2" t="s">
        <v>27522</v>
      </c>
      <c r="G700" s="2" t="n">
        <v>198120</v>
      </c>
      <c r="H700" s="3" t="str">
        <f>HYPERLINK("http://funmeta.oebiotech.com/network/198120", "http://funmeta.oebiotech.com/network/198120")</f>
      </c>
      <c r="I700" s="2" t="s">
        <v>27523</v>
      </c>
      <c r="J700" s="2"/>
      <c r="K700" s="2"/>
      <c r="L700" s="2"/>
      <c r="M700" s="2"/>
      <c r="N700" s="2"/>
      <c r="O700" s="2"/>
      <c r="P700" s="2" t="s">
        <v>27524</v>
      </c>
      <c r="Q700" s="2" t="s">
        <v>27525</v>
      </c>
      <c r="R700" s="2" t="s">
        <v>794</v>
      </c>
      <c r="S700" s="2" t="s">
        <v>795</v>
      </c>
      <c r="T700" s="2" t="s">
        <v>1870</v>
      </c>
      <c r="U700" s="2" t="s">
        <v>22518</v>
      </c>
      <c r="V700" s="2" t="s">
        <v>17406</v>
      </c>
      <c r="W700" s="2"/>
    </row>
    <row r="701">
      <c r="A701" s="2" t="n">
        <v>524</v>
      </c>
      <c r="B701" s="2" t="s">
        <v>27526</v>
      </c>
      <c r="C701" s="2" t="s">
        <v>22517</v>
      </c>
      <c r="D701" s="2" t="n">
        <v>536.298410857</v>
      </c>
      <c r="E701" s="2" t="n">
        <v>0.579973528558251</v>
      </c>
      <c r="F701" s="2" t="s">
        <v>27527</v>
      </c>
      <c r="G701" s="2" t="n">
        <v>198392</v>
      </c>
      <c r="H701" s="3" t="str">
        <f>HYPERLINK("http://funmeta.oebiotech.com/network/198392", "http://funmeta.oebiotech.com/network/198392")</f>
      </c>
      <c r="I701" s="2" t="s">
        <v>27528</v>
      </c>
      <c r="J701" s="2"/>
      <c r="K701" s="2"/>
      <c r="L701" s="2"/>
      <c r="M701" s="2"/>
      <c r="N701" s="2"/>
      <c r="O701" s="2"/>
      <c r="P701" s="2" t="s">
        <v>27529</v>
      </c>
      <c r="Q701" s="2" t="s">
        <v>27530</v>
      </c>
      <c r="R701" s="2" t="s">
        <v>794</v>
      </c>
      <c r="S701" s="2" t="s">
        <v>795</v>
      </c>
      <c r="T701" s="2" t="s">
        <v>3692</v>
      </c>
      <c r="U701" s="2" t="s">
        <v>22518</v>
      </c>
      <c r="V701" s="2" t="s">
        <v>17406</v>
      </c>
      <c r="W701" s="2"/>
    </row>
    <row r="702">
      <c r="A702" s="2" t="n">
        <v>525</v>
      </c>
      <c r="B702" s="2" t="s">
        <v>14706</v>
      </c>
      <c r="C702" s="2" t="s">
        <v>22525</v>
      </c>
      <c r="D702" s="2" t="n">
        <v>540.248697279</v>
      </c>
      <c r="E702" s="2" t="n">
        <v>0.215201924256434</v>
      </c>
      <c r="F702" s="2" t="s">
        <v>22527</v>
      </c>
      <c r="G702" s="2" t="n">
        <v>21212</v>
      </c>
      <c r="H702" s="3" t="str">
        <f>HYPERLINK("http://funmeta.oebiotech.com/network/21212", "http://funmeta.oebiotech.com/network/21212")</f>
      </c>
      <c r="I702" s="2" t="s">
        <v>22529</v>
      </c>
      <c r="J702" s="2" t="s">
        <v>22530</v>
      </c>
      <c r="K702" s="2" t="s">
        <v>22531</v>
      </c>
      <c r="L702" s="2"/>
      <c r="M702" s="2" t="s">
        <v>22532</v>
      </c>
      <c r="N702" s="2" t="s">
        <v>22533</v>
      </c>
      <c r="O702" s="2"/>
      <c r="P702" s="2" t="s">
        <v>22534</v>
      </c>
      <c r="Q702" s="2" t="s">
        <v>22535</v>
      </c>
      <c r="R702" s="2" t="s">
        <v>794</v>
      </c>
      <c r="S702" s="2" t="s">
        <v>7122</v>
      </c>
      <c r="T702" s="2" t="s">
        <v>8042</v>
      </c>
      <c r="U702" s="2" t="s">
        <v>22526</v>
      </c>
      <c r="V702" s="2" t="s">
        <v>17406</v>
      </c>
      <c r="W702" s="2" t="s">
        <v>39</v>
      </c>
    </row>
    <row r="703">
      <c r="A703" s="2" t="n">
        <v>526</v>
      </c>
      <c r="B703" s="2" t="s">
        <v>14707</v>
      </c>
      <c r="C703" s="2" t="s">
        <v>22536</v>
      </c>
      <c r="D703" s="2" t="n">
        <v>541.261930186</v>
      </c>
      <c r="E703" s="2" t="n">
        <v>4.44000125969721</v>
      </c>
      <c r="F703" s="2" t="s">
        <v>22538</v>
      </c>
      <c r="G703" s="2" t="n">
        <v>56397</v>
      </c>
      <c r="H703" s="3" t="str">
        <f>HYPERLINK("http://funmeta.oebiotech.com/network/56397", "http://funmeta.oebiotech.com/network/56397")</f>
      </c>
      <c r="I703" s="2" t="s">
        <v>22540</v>
      </c>
      <c r="J703" s="2" t="s">
        <v>22541</v>
      </c>
      <c r="K703" s="2"/>
      <c r="L703" s="2"/>
      <c r="M703" s="2" t="s">
        <v>22542</v>
      </c>
      <c r="N703" s="2" t="s">
        <v>22543</v>
      </c>
      <c r="O703" s="2" t="s">
        <v>22544</v>
      </c>
      <c r="P703" s="2" t="s">
        <v>22545</v>
      </c>
      <c r="Q703" s="2" t="s">
        <v>22546</v>
      </c>
      <c r="R703" s="2" t="s">
        <v>794</v>
      </c>
      <c r="S703" s="2" t="s">
        <v>795</v>
      </c>
      <c r="T703" s="2" t="s">
        <v>8424</v>
      </c>
      <c r="U703" s="2" t="s">
        <v>22537</v>
      </c>
      <c r="V703" s="2" t="s">
        <v>17198</v>
      </c>
      <c r="W703" s="2" t="s">
        <v>56</v>
      </c>
    </row>
    <row r="704">
      <c r="A704" s="2" t="n">
        <v>527</v>
      </c>
      <c r="B704" s="2" t="s">
        <v>14708</v>
      </c>
      <c r="C704" s="2" t="s">
        <v>22547</v>
      </c>
      <c r="D704" s="2" t="n">
        <v>542.324115407</v>
      </c>
      <c r="E704" s="2" t="n">
        <v>4.17430518996263</v>
      </c>
      <c r="F704" s="2" t="s">
        <v>22549</v>
      </c>
      <c r="G704" s="2" t="n">
        <v>19847</v>
      </c>
      <c r="H704" s="3" t="str">
        <f>HYPERLINK("http://funmeta.oebiotech.com/network/19847", "http://funmeta.oebiotech.com/network/19847")</f>
      </c>
      <c r="I704" s="2" t="s">
        <v>22551</v>
      </c>
      <c r="J704" s="2" t="s">
        <v>22552</v>
      </c>
      <c r="K704" s="2" t="s">
        <v>22553</v>
      </c>
      <c r="L704" s="2" t="s">
        <v>8454</v>
      </c>
      <c r="M704" s="2"/>
      <c r="N704" s="2" t="s">
        <v>22554</v>
      </c>
      <c r="O704" s="2"/>
      <c r="P704" s="2" t="s">
        <v>22555</v>
      </c>
      <c r="Q704" s="2" t="s">
        <v>22556</v>
      </c>
      <c r="R704" s="2" t="s">
        <v>794</v>
      </c>
      <c r="S704" s="2" t="s">
        <v>7122</v>
      </c>
      <c r="T704" s="2" t="s">
        <v>8460</v>
      </c>
      <c r="U704" s="2" t="s">
        <v>22548</v>
      </c>
      <c r="V704" s="2" t="s">
        <v>17137</v>
      </c>
      <c r="W704" s="2" t="s">
        <v>39</v>
      </c>
    </row>
    <row r="705">
      <c r="A705" s="2" t="n">
        <v>528</v>
      </c>
      <c r="B705" s="2" t="s">
        <v>14709</v>
      </c>
      <c r="C705" s="2" t="s">
        <v>22557</v>
      </c>
      <c r="D705" s="2" t="n">
        <v>543.125146</v>
      </c>
      <c r="E705" s="2" t="n">
        <v>0.533352258488493</v>
      </c>
      <c r="F705" s="2" t="s">
        <v>22559</v>
      </c>
      <c r="G705" s="2" t="n">
        <v>209947</v>
      </c>
      <c r="H705" s="3" t="str">
        <f>HYPERLINK("http://funmeta.oebiotech.com/network/209947", "http://funmeta.oebiotech.com/network/209947")</f>
      </c>
      <c r="I705" s="2" t="s">
        <v>22561</v>
      </c>
      <c r="J705" s="2" t="s">
        <v>22562</v>
      </c>
      <c r="K705" s="2"/>
      <c r="L705" s="2"/>
      <c r="M705" s="2"/>
      <c r="N705" s="2" t="s">
        <v>22563</v>
      </c>
      <c r="O705" s="2"/>
      <c r="P705" s="2" t="s">
        <v>22564</v>
      </c>
      <c r="Q705" s="2" t="s">
        <v>22565</v>
      </c>
      <c r="R705" s="2" t="s">
        <v>114</v>
      </c>
      <c r="S705" s="2" t="s">
        <v>1038</v>
      </c>
      <c r="T705" s="2" t="s">
        <v>1039</v>
      </c>
      <c r="U705" s="2" t="s">
        <v>22558</v>
      </c>
      <c r="V705" s="2" t="s">
        <v>17137</v>
      </c>
      <c r="W705" s="2"/>
    </row>
    <row r="706">
      <c r="A706" s="2" t="n">
        <v>529</v>
      </c>
      <c r="B706" s="2" t="s">
        <v>14710</v>
      </c>
      <c r="C706" s="2" t="s">
        <v>22566</v>
      </c>
      <c r="D706" s="2" t="n">
        <v>544.337357535</v>
      </c>
      <c r="E706" s="2" t="n">
        <v>7.21459909764251</v>
      </c>
      <c r="F706" s="2" t="s">
        <v>22568</v>
      </c>
      <c r="G706" s="2" t="n">
        <v>19837</v>
      </c>
      <c r="H706" s="3" t="str">
        <f>HYPERLINK("http://funmeta.oebiotech.com/network/19837", "http://funmeta.oebiotech.com/network/19837")</f>
      </c>
      <c r="I706" s="2" t="s">
        <v>22570</v>
      </c>
      <c r="J706" s="2" t="s">
        <v>22571</v>
      </c>
      <c r="K706" s="2" t="s">
        <v>22572</v>
      </c>
      <c r="L706" s="2"/>
      <c r="M706" s="2" t="s">
        <v>22573</v>
      </c>
      <c r="N706" s="2" t="s">
        <v>22574</v>
      </c>
      <c r="O706" s="2" t="s">
        <v>22575</v>
      </c>
      <c r="P706" s="2" t="s">
        <v>22576</v>
      </c>
      <c r="Q706" s="2" t="s">
        <v>22577</v>
      </c>
      <c r="R706" s="2" t="s">
        <v>794</v>
      </c>
      <c r="S706" s="2" t="s">
        <v>7122</v>
      </c>
      <c r="T706" s="2" t="s">
        <v>8460</v>
      </c>
      <c r="U706" s="2" t="s">
        <v>22567</v>
      </c>
      <c r="V706" s="2" t="s">
        <v>17198</v>
      </c>
      <c r="W706" s="2" t="s">
        <v>39</v>
      </c>
    </row>
    <row r="707">
      <c r="A707" s="2" t="n">
        <v>530</v>
      </c>
      <c r="B707" s="2" t="s">
        <v>14711</v>
      </c>
      <c r="C707" s="2" t="s">
        <v>22578</v>
      </c>
      <c r="D707" s="2" t="n">
        <v>545.335287244</v>
      </c>
      <c r="E707" s="2" t="n">
        <v>1.07583145762468</v>
      </c>
      <c r="F707" s="2" t="s">
        <v>22580</v>
      </c>
      <c r="G707" s="2" t="n">
        <v>210398</v>
      </c>
      <c r="H707" s="3" t="str">
        <f>HYPERLINK("http://funmeta.oebiotech.com/network/210398", "http://funmeta.oebiotech.com/network/210398")</f>
      </c>
      <c r="I707" s="2" t="s">
        <v>22582</v>
      </c>
      <c r="J707" s="2"/>
      <c r="K707" s="2"/>
      <c r="L707" s="2"/>
      <c r="M707" s="2"/>
      <c r="N707" s="2" t="s">
        <v>22583</v>
      </c>
      <c r="O707" s="2"/>
      <c r="P707" s="2" t="s">
        <v>22584</v>
      </c>
      <c r="Q707" s="2" t="s">
        <v>22585</v>
      </c>
      <c r="R707" s="2" t="s">
        <v>2416</v>
      </c>
      <c r="S707" s="2" t="s">
        <v>15524</v>
      </c>
      <c r="T707" s="2" t="s">
        <v>215</v>
      </c>
      <c r="U707" s="2" t="s">
        <v>22579</v>
      </c>
      <c r="V707" s="2" t="s">
        <v>17039</v>
      </c>
      <c r="W707" s="2"/>
    </row>
    <row r="708">
      <c r="A708" s="2" t="n">
        <v>531</v>
      </c>
      <c r="B708" s="2" t="s">
        <v>14712</v>
      </c>
      <c r="C708" s="2" t="s">
        <v>22586</v>
      </c>
      <c r="D708" s="2" t="n">
        <v>546.353007599</v>
      </c>
      <c r="E708" s="2" t="n">
        <v>2.1408973310863</v>
      </c>
      <c r="F708" s="2" t="s">
        <v>22588</v>
      </c>
      <c r="G708" s="2" t="n">
        <v>19834</v>
      </c>
      <c r="H708" s="3" t="str">
        <f>HYPERLINK("http://funmeta.oebiotech.com/network/19834", "http://funmeta.oebiotech.com/network/19834")</f>
      </c>
      <c r="I708" s="2" t="s">
        <v>22590</v>
      </c>
      <c r="J708" s="2" t="s">
        <v>22591</v>
      </c>
      <c r="K708" s="2" t="s">
        <v>22592</v>
      </c>
      <c r="L708" s="2" t="s">
        <v>8454</v>
      </c>
      <c r="M708" s="2" t="s">
        <v>22593</v>
      </c>
      <c r="N708" s="2" t="s">
        <v>22594</v>
      </c>
      <c r="O708" s="2" t="s">
        <v>22595</v>
      </c>
      <c r="P708" s="2" t="s">
        <v>22596</v>
      </c>
      <c r="Q708" s="2" t="s">
        <v>22597</v>
      </c>
      <c r="R708" s="2" t="s">
        <v>794</v>
      </c>
      <c r="S708" s="2" t="s">
        <v>7122</v>
      </c>
      <c r="T708" s="2" t="s">
        <v>8460</v>
      </c>
      <c r="U708" s="2" t="s">
        <v>22587</v>
      </c>
      <c r="V708" s="2" t="s">
        <v>17198</v>
      </c>
      <c r="W708" s="2" t="s">
        <v>39</v>
      </c>
    </row>
    <row r="709">
      <c r="A709" s="2" t="n">
        <v>532</v>
      </c>
      <c r="B709" s="2" t="s">
        <v>14713</v>
      </c>
      <c r="C709" s="2" t="s">
        <v>22598</v>
      </c>
      <c r="D709" s="2" t="n">
        <v>547.356657007</v>
      </c>
      <c r="E709" s="2" t="n">
        <v>0.262396687840277</v>
      </c>
      <c r="F709" s="2" t="s">
        <v>22600</v>
      </c>
      <c r="G709" s="2" t="n">
        <v>212767</v>
      </c>
      <c r="H709" s="3" t="str">
        <f>HYPERLINK("http://funmeta.oebiotech.com/network/212767", "http://funmeta.oebiotech.com/network/212767")</f>
      </c>
      <c r="I709" s="2" t="s">
        <v>22602</v>
      </c>
      <c r="J709" s="2"/>
      <c r="K709" s="2"/>
      <c r="L709" s="2"/>
      <c r="M709" s="2"/>
      <c r="N709" s="2"/>
      <c r="O709" s="2"/>
      <c r="P709" s="2" t="s">
        <v>22603</v>
      </c>
      <c r="Q709" s="2" t="s">
        <v>22604</v>
      </c>
      <c r="R709" s="2" t="s">
        <v>114</v>
      </c>
      <c r="S709" s="2" t="s">
        <v>1254</v>
      </c>
      <c r="T709" s="2" t="s">
        <v>1255</v>
      </c>
      <c r="U709" s="2" t="s">
        <v>22599</v>
      </c>
      <c r="V709" s="2" t="s">
        <v>17137</v>
      </c>
      <c r="W709" s="2"/>
    </row>
    <row r="710">
      <c r="A710" s="2" t="n">
        <v>533</v>
      </c>
      <c r="B710" s="2" t="s">
        <v>14714</v>
      </c>
      <c r="C710" s="2" t="s">
        <v>22605</v>
      </c>
      <c r="D710" s="2" t="n">
        <v>551.214668</v>
      </c>
      <c r="E710" s="2" t="n">
        <v>0.517838866730713</v>
      </c>
      <c r="F710" s="2" t="s">
        <v>27531</v>
      </c>
      <c r="G710" s="2" t="n">
        <v>213336</v>
      </c>
      <c r="H710" s="3" t="str">
        <f>HYPERLINK("http://funmeta.oebiotech.com/network/213336", "http://funmeta.oebiotech.com/network/213336")</f>
      </c>
      <c r="I710" s="2" t="s">
        <v>27532</v>
      </c>
      <c r="J710" s="2"/>
      <c r="K710" s="2"/>
      <c r="L710" s="2"/>
      <c r="M710" s="2"/>
      <c r="N710" s="2"/>
      <c r="O710" s="2"/>
      <c r="P710" s="2" t="s">
        <v>27533</v>
      </c>
      <c r="Q710" s="2" t="s">
        <v>27534</v>
      </c>
      <c r="R710" s="2" t="s">
        <v>794</v>
      </c>
      <c r="S710" s="2" t="s">
        <v>2971</v>
      </c>
      <c r="T710" s="2" t="s">
        <v>7371</v>
      </c>
      <c r="U710" s="2" t="s">
        <v>22606</v>
      </c>
      <c r="V710" s="2" t="s">
        <v>17406</v>
      </c>
      <c r="W710" s="2"/>
    </row>
    <row r="711">
      <c r="A711" s="2" t="n">
        <v>533</v>
      </c>
      <c r="B711" s="2" t="s">
        <v>27535</v>
      </c>
      <c r="C711" s="2" t="s">
        <v>22605</v>
      </c>
      <c r="D711" s="2" t="n">
        <v>551.214668</v>
      </c>
      <c r="E711" s="2" t="n">
        <v>0.517838866730713</v>
      </c>
      <c r="F711" s="2" t="s">
        <v>27536</v>
      </c>
      <c r="G711" s="2" t="n">
        <v>207849</v>
      </c>
      <c r="H711" s="3" t="str">
        <f>HYPERLINK("http://funmeta.oebiotech.com/network/207849", "http://funmeta.oebiotech.com/network/207849")</f>
      </c>
      <c r="I711" s="2" t="s">
        <v>27537</v>
      </c>
      <c r="J711" s="2"/>
      <c r="K711" s="2"/>
      <c r="L711" s="2"/>
      <c r="M711" s="2"/>
      <c r="N711" s="2" t="s">
        <v>27538</v>
      </c>
      <c r="O711" s="2"/>
      <c r="P711" s="2" t="s">
        <v>27539</v>
      </c>
      <c r="Q711" s="2" t="s">
        <v>27540</v>
      </c>
      <c r="R711" s="2" t="s">
        <v>794</v>
      </c>
      <c r="S711" s="2" t="s">
        <v>2971</v>
      </c>
      <c r="T711" s="2" t="s">
        <v>7371</v>
      </c>
      <c r="U711" s="2" t="s">
        <v>22606</v>
      </c>
      <c r="V711" s="2" t="s">
        <v>17406</v>
      </c>
      <c r="W711" s="2"/>
    </row>
    <row r="712">
      <c r="A712" s="2" t="n">
        <v>533</v>
      </c>
      <c r="B712" s="2" t="s">
        <v>27541</v>
      </c>
      <c r="C712" s="2" t="s">
        <v>22605</v>
      </c>
      <c r="D712" s="2" t="n">
        <v>551.214668</v>
      </c>
      <c r="E712" s="2" t="n">
        <v>0.517838866730713</v>
      </c>
      <c r="F712" s="2" t="s">
        <v>27542</v>
      </c>
      <c r="G712" s="2" t="n">
        <v>203184</v>
      </c>
      <c r="H712" s="3" t="str">
        <f>HYPERLINK("http://funmeta.oebiotech.com/network/203184", "http://funmeta.oebiotech.com/network/203184")</f>
      </c>
      <c r="I712" s="2" t="s">
        <v>27543</v>
      </c>
      <c r="J712" s="2"/>
      <c r="K712" s="2"/>
      <c r="L712" s="2"/>
      <c r="M712" s="2"/>
      <c r="N712" s="2" t="s">
        <v>27544</v>
      </c>
      <c r="O712" s="2"/>
      <c r="P712" s="2" t="s">
        <v>27545</v>
      </c>
      <c r="Q712" s="2" t="s">
        <v>27546</v>
      </c>
      <c r="R712" s="2" t="s">
        <v>794</v>
      </c>
      <c r="S712" s="2" t="s">
        <v>2971</v>
      </c>
      <c r="T712" s="2" t="s">
        <v>7371</v>
      </c>
      <c r="U712" s="2" t="s">
        <v>22606</v>
      </c>
      <c r="V712" s="2" t="s">
        <v>17406</v>
      </c>
      <c r="W712" s="2"/>
    </row>
    <row r="713">
      <c r="A713" s="2" t="n">
        <v>534</v>
      </c>
      <c r="B713" s="2" t="s">
        <v>14715</v>
      </c>
      <c r="C713" s="2" t="s">
        <v>22614</v>
      </c>
      <c r="D713" s="2" t="n">
        <v>552.212260217</v>
      </c>
      <c r="E713" s="2" t="n">
        <v>0.0902399939685446</v>
      </c>
      <c r="F713" s="2" t="s">
        <v>22616</v>
      </c>
      <c r="G713" s="2" t="n">
        <v>199265</v>
      </c>
      <c r="H713" s="3" t="str">
        <f>HYPERLINK("http://funmeta.oebiotech.com/network/199265", "http://funmeta.oebiotech.com/network/199265")</f>
      </c>
      <c r="I713" s="2" t="s">
        <v>22618</v>
      </c>
      <c r="J713" s="2"/>
      <c r="K713" s="2"/>
      <c r="L713" s="2"/>
      <c r="M713" s="2"/>
      <c r="N713" s="2"/>
      <c r="O713" s="2"/>
      <c r="P713" s="2" t="s">
        <v>22619</v>
      </c>
      <c r="Q713" s="2" t="s">
        <v>22620</v>
      </c>
      <c r="R713" s="2" t="s">
        <v>36</v>
      </c>
      <c r="S713" s="2" t="s">
        <v>37</v>
      </c>
      <c r="T713" s="2" t="s">
        <v>7272</v>
      </c>
      <c r="U713" s="2" t="s">
        <v>22615</v>
      </c>
      <c r="V713" s="2" t="s">
        <v>17137</v>
      </c>
      <c r="W713" s="2"/>
    </row>
    <row r="714">
      <c r="A714" s="2" t="n">
        <v>535</v>
      </c>
      <c r="B714" s="2" t="s">
        <v>14727</v>
      </c>
      <c r="C714" s="2" t="s">
        <v>22621</v>
      </c>
      <c r="D714" s="2" t="n">
        <v>556.28244778</v>
      </c>
      <c r="E714" s="2" t="n">
        <v>3.60931060545426</v>
      </c>
      <c r="F714" s="2" t="s">
        <v>22623</v>
      </c>
      <c r="G714" s="2" t="n">
        <v>203392</v>
      </c>
      <c r="H714" s="3" t="str">
        <f>HYPERLINK("http://funmeta.oebiotech.com/network/203392", "http://funmeta.oebiotech.com/network/203392")</f>
      </c>
      <c r="I714" s="2" t="s">
        <v>22625</v>
      </c>
      <c r="J714" s="2"/>
      <c r="K714" s="2"/>
      <c r="L714" s="2"/>
      <c r="M714" s="2"/>
      <c r="N714" s="2" t="s">
        <v>22626</v>
      </c>
      <c r="O714" s="2"/>
      <c r="P714" s="2" t="s">
        <v>22627</v>
      </c>
      <c r="Q714" s="2" t="s">
        <v>22628</v>
      </c>
      <c r="R714" s="2" t="s">
        <v>129</v>
      </c>
      <c r="S714" s="2" t="s">
        <v>130</v>
      </c>
      <c r="T714" s="2" t="s">
        <v>1681</v>
      </c>
      <c r="U714" s="2" t="s">
        <v>22622</v>
      </c>
      <c r="V714" s="2" t="s">
        <v>17137</v>
      </c>
      <c r="W714" s="2"/>
    </row>
    <row r="715">
      <c r="A715" s="2" t="n">
        <v>536</v>
      </c>
      <c r="B715" s="2" t="s">
        <v>14745</v>
      </c>
      <c r="C715" s="2" t="s">
        <v>22629</v>
      </c>
      <c r="D715" s="2" t="n">
        <v>557.099590808</v>
      </c>
      <c r="E715" s="2" t="n">
        <v>1.7895186556053</v>
      </c>
      <c r="F715" s="2" t="s">
        <v>22631</v>
      </c>
      <c r="G715" s="2" t="n">
        <v>204673</v>
      </c>
      <c r="H715" s="3" t="str">
        <f>HYPERLINK("http://funmeta.oebiotech.com/network/204673", "http://funmeta.oebiotech.com/network/204673")</f>
      </c>
      <c r="I715" s="2" t="s">
        <v>22633</v>
      </c>
      <c r="J715" s="2"/>
      <c r="K715" s="2"/>
      <c r="L715" s="2"/>
      <c r="M715" s="2"/>
      <c r="N715" s="2" t="s">
        <v>22634</v>
      </c>
      <c r="O715" s="2"/>
      <c r="P715" s="2" t="s">
        <v>22635</v>
      </c>
      <c r="Q715" s="2" t="s">
        <v>22636</v>
      </c>
      <c r="R715" s="2" t="s">
        <v>114</v>
      </c>
      <c r="S715" s="2" t="s">
        <v>5441</v>
      </c>
      <c r="T715" s="2" t="s">
        <v>5442</v>
      </c>
      <c r="U715" s="2" t="s">
        <v>22630</v>
      </c>
      <c r="V715" s="2" t="s">
        <v>17198</v>
      </c>
      <c r="W715" s="2"/>
    </row>
    <row r="716">
      <c r="A716" s="2" t="n">
        <v>537</v>
      </c>
      <c r="B716" s="2" t="s">
        <v>14746</v>
      </c>
      <c r="C716" s="2" t="s">
        <v>22637</v>
      </c>
      <c r="D716" s="2" t="n">
        <v>558.103086436</v>
      </c>
      <c r="E716" s="2" t="n">
        <v>6.44198936913902</v>
      </c>
      <c r="F716" s="2" t="s">
        <v>22639</v>
      </c>
      <c r="G716" s="2" t="n">
        <v>200160</v>
      </c>
      <c r="H716" s="3" t="str">
        <f>HYPERLINK("http://funmeta.oebiotech.com/network/200160", "http://funmeta.oebiotech.com/network/200160")</f>
      </c>
      <c r="I716" s="2" t="s">
        <v>22641</v>
      </c>
      <c r="J716" s="2"/>
      <c r="K716" s="2"/>
      <c r="L716" s="2"/>
      <c r="M716" s="2"/>
      <c r="N716" s="2" t="s">
        <v>22642</v>
      </c>
      <c r="O716" s="2"/>
      <c r="P716" s="2" t="s">
        <v>22643</v>
      </c>
      <c r="Q716" s="2" t="s">
        <v>22644</v>
      </c>
      <c r="R716" s="2" t="s">
        <v>114</v>
      </c>
      <c r="S716" s="2" t="s">
        <v>6312</v>
      </c>
      <c r="T716" s="2" t="s">
        <v>6313</v>
      </c>
      <c r="U716" s="2" t="s">
        <v>22638</v>
      </c>
      <c r="V716" s="2" t="s">
        <v>17137</v>
      </c>
      <c r="W716" s="2"/>
    </row>
    <row r="717">
      <c r="A717" s="2" t="n">
        <v>538</v>
      </c>
      <c r="B717" s="2" t="s">
        <v>14747</v>
      </c>
      <c r="C717" s="2" t="s">
        <v>22645</v>
      </c>
      <c r="D717" s="2" t="n">
        <v>559.096081638</v>
      </c>
      <c r="E717" s="2" t="n">
        <v>1.38496730910562</v>
      </c>
      <c r="F717" s="2" t="s">
        <v>22647</v>
      </c>
      <c r="G717" s="2" t="n">
        <v>205321</v>
      </c>
      <c r="H717" s="3" t="str">
        <f>HYPERLINK("http://funmeta.oebiotech.com/network/205321", "http://funmeta.oebiotech.com/network/205321")</f>
      </c>
      <c r="I717" s="2" t="s">
        <v>22649</v>
      </c>
      <c r="J717" s="2" t="s">
        <v>22650</v>
      </c>
      <c r="K717" s="2"/>
      <c r="L717" s="2"/>
      <c r="M717" s="2"/>
      <c r="N717" s="2" t="s">
        <v>22651</v>
      </c>
      <c r="O717" s="2"/>
      <c r="P717" s="2" t="s">
        <v>22652</v>
      </c>
      <c r="Q717" s="2" t="s">
        <v>22653</v>
      </c>
      <c r="R717" s="2" t="s">
        <v>36</v>
      </c>
      <c r="S717" s="2" t="s">
        <v>19943</v>
      </c>
      <c r="T717" s="2" t="s">
        <v>19944</v>
      </c>
      <c r="U717" s="2" t="s">
        <v>22646</v>
      </c>
      <c r="V717" s="2" t="s">
        <v>17892</v>
      </c>
      <c r="W717" s="2"/>
    </row>
    <row r="718">
      <c r="A718" s="2" t="n">
        <v>539</v>
      </c>
      <c r="B718" s="2" t="s">
        <v>14748</v>
      </c>
      <c r="C718" s="2" t="s">
        <v>22654</v>
      </c>
      <c r="D718" s="2" t="n">
        <v>559.29629904</v>
      </c>
      <c r="E718" s="2" t="n">
        <v>0.807215106030885</v>
      </c>
      <c r="F718" s="2" t="s">
        <v>22656</v>
      </c>
      <c r="G718" s="2" t="n">
        <v>53913</v>
      </c>
      <c r="H718" s="3" t="str">
        <f>HYPERLINK("http://funmeta.oebiotech.com/network/53913", "http://funmeta.oebiotech.com/network/53913")</f>
      </c>
      <c r="I718" s="2" t="s">
        <v>22658</v>
      </c>
      <c r="J718" s="2" t="s">
        <v>22659</v>
      </c>
      <c r="K718" s="2"/>
      <c r="L718" s="2" t="s">
        <v>22660</v>
      </c>
      <c r="M718" s="2" t="s">
        <v>22661</v>
      </c>
      <c r="N718" s="2" t="s">
        <v>22662</v>
      </c>
      <c r="O718" s="2" t="s">
        <v>22663</v>
      </c>
      <c r="P718" s="2" t="s">
        <v>22664</v>
      </c>
      <c r="Q718" s="2" t="s">
        <v>22665</v>
      </c>
      <c r="R718" s="2" t="s">
        <v>36</v>
      </c>
      <c r="S718" s="2" t="s">
        <v>37</v>
      </c>
      <c r="T718" s="2" t="s">
        <v>69</v>
      </c>
      <c r="U718" s="2" t="s">
        <v>22655</v>
      </c>
      <c r="V718" s="2" t="s">
        <v>17892</v>
      </c>
      <c r="W718" s="2" t="s">
        <v>56</v>
      </c>
    </row>
    <row r="719">
      <c r="A719" s="2" t="n">
        <v>540</v>
      </c>
      <c r="B719" s="2" t="s">
        <v>14749</v>
      </c>
      <c r="C719" s="2" t="s">
        <v>22666</v>
      </c>
      <c r="D719" s="2" t="n">
        <v>560.096013134</v>
      </c>
      <c r="E719" s="2" t="n">
        <v>0.129731484376757</v>
      </c>
      <c r="F719" s="2" t="s">
        <v>22668</v>
      </c>
      <c r="G719" s="2" t="n">
        <v>207081</v>
      </c>
      <c r="H719" s="3" t="str">
        <f>HYPERLINK("http://funmeta.oebiotech.com/network/207081", "http://funmeta.oebiotech.com/network/207081")</f>
      </c>
      <c r="I719" s="2" t="s">
        <v>22670</v>
      </c>
      <c r="J719" s="2"/>
      <c r="K719" s="2"/>
      <c r="L719" s="2"/>
      <c r="M719" s="2"/>
      <c r="N719" s="2" t="s">
        <v>22671</v>
      </c>
      <c r="O719" s="2"/>
      <c r="P719" s="2" t="s">
        <v>22672</v>
      </c>
      <c r="Q719" s="2" t="s">
        <v>22673</v>
      </c>
      <c r="R719" s="2" t="s">
        <v>114</v>
      </c>
      <c r="S719" s="2" t="s">
        <v>22674</v>
      </c>
      <c r="T719" s="2" t="s">
        <v>22675</v>
      </c>
      <c r="U719" s="2" t="s">
        <v>22667</v>
      </c>
      <c r="V719" s="2" t="s">
        <v>17520</v>
      </c>
      <c r="W719" s="2"/>
    </row>
    <row r="720">
      <c r="A720" s="2" t="n">
        <v>541</v>
      </c>
      <c r="B720" s="2" t="s">
        <v>14750</v>
      </c>
      <c r="C720" s="2" t="s">
        <v>22676</v>
      </c>
      <c r="D720" s="2" t="n">
        <v>560.312486117</v>
      </c>
      <c r="E720" s="2" t="n">
        <v>3.6873270638391</v>
      </c>
      <c r="F720" s="2" t="s">
        <v>22678</v>
      </c>
      <c r="G720" s="2" t="n">
        <v>203596</v>
      </c>
      <c r="H720" s="3" t="str">
        <f>HYPERLINK("http://funmeta.oebiotech.com/network/203596", "http://funmeta.oebiotech.com/network/203596")</f>
      </c>
      <c r="I720" s="2" t="s">
        <v>22680</v>
      </c>
      <c r="J720" s="2"/>
      <c r="K720" s="2"/>
      <c r="L720" s="2"/>
      <c r="M720" s="2"/>
      <c r="N720" s="2" t="s">
        <v>22681</v>
      </c>
      <c r="O720" s="2"/>
      <c r="P720" s="2" t="s">
        <v>22682</v>
      </c>
      <c r="Q720" s="2" t="s">
        <v>22683</v>
      </c>
      <c r="R720" s="2" t="s">
        <v>114</v>
      </c>
      <c r="S720" s="2" t="s">
        <v>4121</v>
      </c>
      <c r="T720" s="2" t="s">
        <v>7480</v>
      </c>
      <c r="U720" s="2" t="s">
        <v>22677</v>
      </c>
      <c r="V720" s="2" t="s">
        <v>17039</v>
      </c>
      <c r="W720" s="2"/>
    </row>
    <row r="721">
      <c r="A721" s="2" t="n">
        <v>542</v>
      </c>
      <c r="B721" s="2" t="s">
        <v>14751</v>
      </c>
      <c r="C721" s="2" t="s">
        <v>22684</v>
      </c>
      <c r="D721" s="2" t="n">
        <v>561.100344148</v>
      </c>
      <c r="E721" s="2" t="n">
        <v>9.97599814401108</v>
      </c>
      <c r="F721" s="2" t="s">
        <v>27547</v>
      </c>
      <c r="G721" s="2" t="n">
        <v>198726</v>
      </c>
      <c r="H721" s="3" t="str">
        <f>HYPERLINK("http://funmeta.oebiotech.com/network/198726", "http://funmeta.oebiotech.com/network/198726")</f>
      </c>
      <c r="I721" s="2" t="s">
        <v>27548</v>
      </c>
      <c r="J721" s="2"/>
      <c r="K721" s="2"/>
      <c r="L721" s="2"/>
      <c r="M721" s="2"/>
      <c r="N721" s="2" t="s">
        <v>27549</v>
      </c>
      <c r="O721" s="2"/>
      <c r="P721" s="2" t="s">
        <v>27550</v>
      </c>
      <c r="Q721" s="2" t="s">
        <v>27551</v>
      </c>
      <c r="R721" s="2" t="s">
        <v>1355</v>
      </c>
      <c r="S721" s="2" t="s">
        <v>27552</v>
      </c>
      <c r="T721" s="2" t="s">
        <v>215</v>
      </c>
      <c r="U721" s="2" t="s">
        <v>22685</v>
      </c>
      <c r="V721" s="2" t="s">
        <v>17198</v>
      </c>
      <c r="W721" s="2"/>
    </row>
    <row r="722">
      <c r="A722" s="2" t="n">
        <v>542</v>
      </c>
      <c r="B722" s="2" t="s">
        <v>27553</v>
      </c>
      <c r="C722" s="2" t="s">
        <v>22684</v>
      </c>
      <c r="D722" s="2" t="n">
        <v>561.100344168</v>
      </c>
      <c r="E722" s="2" t="n">
        <v>9.97599814401108</v>
      </c>
      <c r="F722" s="2" t="s">
        <v>27554</v>
      </c>
      <c r="G722" s="2" t="n">
        <v>63821</v>
      </c>
      <c r="H722" s="3" t="str">
        <f>HYPERLINK("http://funmeta.oebiotech.com/network/63821", "http://funmeta.oebiotech.com/network/63821")</f>
      </c>
      <c r="I722" s="2" t="s">
        <v>27555</v>
      </c>
      <c r="J722" s="2" t="s">
        <v>27556</v>
      </c>
      <c r="K722" s="2"/>
      <c r="L722" s="2"/>
      <c r="M722" s="2"/>
      <c r="N722" s="2" t="s">
        <v>27557</v>
      </c>
      <c r="O722" s="2" t="s">
        <v>27558</v>
      </c>
      <c r="P722" s="2" t="s">
        <v>27559</v>
      </c>
      <c r="Q722" s="2" t="s">
        <v>27560</v>
      </c>
      <c r="R722" s="2" t="s">
        <v>186</v>
      </c>
      <c r="S722" s="2" t="s">
        <v>187</v>
      </c>
      <c r="T722" s="2" t="s">
        <v>25925</v>
      </c>
      <c r="U722" s="2" t="s">
        <v>22685</v>
      </c>
      <c r="V722" s="2" t="s">
        <v>17198</v>
      </c>
      <c r="W722" s="2"/>
    </row>
    <row r="723">
      <c r="A723" s="2" t="n">
        <v>542</v>
      </c>
      <c r="B723" s="2" t="s">
        <v>27561</v>
      </c>
      <c r="C723" s="2" t="s">
        <v>22684</v>
      </c>
      <c r="D723" s="2" t="n">
        <v>561.100344168</v>
      </c>
      <c r="E723" s="2" t="n">
        <v>9.97599814401108</v>
      </c>
      <c r="F723" s="2" t="s">
        <v>27562</v>
      </c>
      <c r="G723" s="2" t="n">
        <v>62797</v>
      </c>
      <c r="H723" s="3" t="str">
        <f>HYPERLINK("http://funmeta.oebiotech.com/network/62797", "http://funmeta.oebiotech.com/network/62797")</f>
      </c>
      <c r="I723" s="2" t="s">
        <v>27563</v>
      </c>
      <c r="J723" s="2" t="s">
        <v>27564</v>
      </c>
      <c r="K723" s="2"/>
      <c r="L723" s="2"/>
      <c r="M723" s="2"/>
      <c r="N723" s="2" t="s">
        <v>27565</v>
      </c>
      <c r="O723" s="2"/>
      <c r="P723" s="2" t="s">
        <v>27566</v>
      </c>
      <c r="Q723" s="2" t="s">
        <v>27567</v>
      </c>
      <c r="R723" s="2" t="s">
        <v>186</v>
      </c>
      <c r="S723" s="2" t="s">
        <v>187</v>
      </c>
      <c r="T723" s="2" t="s">
        <v>25925</v>
      </c>
      <c r="U723" s="2" t="s">
        <v>22685</v>
      </c>
      <c r="V723" s="2" t="s">
        <v>17198</v>
      </c>
      <c r="W723" s="2"/>
    </row>
    <row r="724">
      <c r="A724" s="2" t="n">
        <v>543</v>
      </c>
      <c r="B724" s="2" t="s">
        <v>14752</v>
      </c>
      <c r="C724" s="2" t="s">
        <v>22696</v>
      </c>
      <c r="D724" s="2" t="n">
        <v>561.31435704</v>
      </c>
      <c r="E724" s="2" t="n">
        <v>2.35833416521866</v>
      </c>
      <c r="F724" s="2" t="s">
        <v>27568</v>
      </c>
      <c r="G724" s="2" t="n">
        <v>203265</v>
      </c>
      <c r="H724" s="3" t="str">
        <f>HYPERLINK("http://funmeta.oebiotech.com/network/203265", "http://funmeta.oebiotech.com/network/203265")</f>
      </c>
      <c r="I724" s="2" t="s">
        <v>27569</v>
      </c>
      <c r="J724" s="2"/>
      <c r="K724" s="2"/>
      <c r="L724" s="2"/>
      <c r="M724" s="2"/>
      <c r="N724" s="2" t="s">
        <v>27570</v>
      </c>
      <c r="O724" s="2"/>
      <c r="P724" s="2" t="s">
        <v>27571</v>
      </c>
      <c r="Q724" s="2" t="s">
        <v>27572</v>
      </c>
      <c r="R724" s="2" t="s">
        <v>114</v>
      </c>
      <c r="S724" s="2" t="s">
        <v>730</v>
      </c>
      <c r="T724" s="2" t="s">
        <v>731</v>
      </c>
      <c r="U724" s="2" t="s">
        <v>22697</v>
      </c>
      <c r="V724" s="2" t="s">
        <v>18382</v>
      </c>
      <c r="W724" s="2"/>
    </row>
    <row r="725">
      <c r="A725" s="2" t="n">
        <v>543</v>
      </c>
      <c r="B725" s="2" t="s">
        <v>14758</v>
      </c>
      <c r="C725" s="2" t="s">
        <v>22696</v>
      </c>
      <c r="D725" s="2" t="n">
        <v>561.31435704</v>
      </c>
      <c r="E725" s="2" t="n">
        <v>2.35833416521866</v>
      </c>
      <c r="F725" s="2" t="s">
        <v>27573</v>
      </c>
      <c r="G725" s="2" t="n">
        <v>199179</v>
      </c>
      <c r="H725" s="3" t="str">
        <f>HYPERLINK("http://funmeta.oebiotech.com/network/199179", "http://funmeta.oebiotech.com/network/199179")</f>
      </c>
      <c r="I725" s="2" t="s">
        <v>27574</v>
      </c>
      <c r="J725" s="2" t="s">
        <v>27575</v>
      </c>
      <c r="K725" s="2"/>
      <c r="L725" s="2"/>
      <c r="M725" s="2" t="s">
        <v>27576</v>
      </c>
      <c r="N725" s="2" t="s">
        <v>27577</v>
      </c>
      <c r="O725" s="2"/>
      <c r="P725" s="2" t="s">
        <v>27578</v>
      </c>
      <c r="Q725" s="2" t="s">
        <v>27579</v>
      </c>
      <c r="R725" s="2" t="s">
        <v>114</v>
      </c>
      <c r="S725" s="2" t="s">
        <v>730</v>
      </c>
      <c r="T725" s="2" t="s">
        <v>731</v>
      </c>
      <c r="U725" s="2" t="s">
        <v>22697</v>
      </c>
      <c r="V725" s="2" t="s">
        <v>18382</v>
      </c>
      <c r="W725" s="2"/>
    </row>
    <row r="726">
      <c r="A726" s="2" t="n">
        <v>544</v>
      </c>
      <c r="B726" s="2" t="s">
        <v>14764</v>
      </c>
      <c r="C726" s="2" t="s">
        <v>22706</v>
      </c>
      <c r="D726" s="2" t="n">
        <v>562.096370066</v>
      </c>
      <c r="E726" s="2" t="n">
        <v>5.70319526177475</v>
      </c>
      <c r="F726" s="2" t="s">
        <v>22708</v>
      </c>
      <c r="G726" s="2" t="n">
        <v>202838</v>
      </c>
      <c r="H726" s="3" t="str">
        <f>HYPERLINK("http://funmeta.oebiotech.com/network/202838", "http://funmeta.oebiotech.com/network/202838")</f>
      </c>
      <c r="I726" s="2" t="s">
        <v>22710</v>
      </c>
      <c r="J726" s="2"/>
      <c r="K726" s="2"/>
      <c r="L726" s="2"/>
      <c r="M726" s="2"/>
      <c r="N726" s="2" t="s">
        <v>22711</v>
      </c>
      <c r="O726" s="2"/>
      <c r="P726" s="2" t="s">
        <v>22712</v>
      </c>
      <c r="Q726" s="2" t="s">
        <v>22713</v>
      </c>
      <c r="R726" s="2" t="s">
        <v>129</v>
      </c>
      <c r="S726" s="2" t="s">
        <v>130</v>
      </c>
      <c r="T726" s="2" t="s">
        <v>1681</v>
      </c>
      <c r="U726" s="2" t="s">
        <v>22707</v>
      </c>
      <c r="V726" s="2" t="s">
        <v>17406</v>
      </c>
      <c r="W726" s="2"/>
    </row>
    <row r="727">
      <c r="A727" s="2" t="n">
        <v>545</v>
      </c>
      <c r="B727" s="2" t="s">
        <v>14765</v>
      </c>
      <c r="C727" s="2" t="s">
        <v>22714</v>
      </c>
      <c r="D727" s="2" t="n">
        <v>563.334307266</v>
      </c>
      <c r="E727" s="2" t="n">
        <v>3.80911408351264</v>
      </c>
      <c r="F727" s="2" t="s">
        <v>22716</v>
      </c>
      <c r="G727" s="2" t="n">
        <v>208237</v>
      </c>
      <c r="H727" s="3" t="str">
        <f>HYPERLINK("http://funmeta.oebiotech.com/network/208237", "http://funmeta.oebiotech.com/network/208237")</f>
      </c>
      <c r="I727" s="2" t="s">
        <v>22718</v>
      </c>
      <c r="J727" s="2"/>
      <c r="K727" s="2"/>
      <c r="L727" s="2"/>
      <c r="M727" s="2"/>
      <c r="N727" s="2" t="s">
        <v>22719</v>
      </c>
      <c r="O727" s="2"/>
      <c r="P727" s="2" t="s">
        <v>22720</v>
      </c>
      <c r="Q727" s="2" t="s">
        <v>22721</v>
      </c>
      <c r="R727" s="2" t="s">
        <v>794</v>
      </c>
      <c r="S727" s="2" t="s">
        <v>795</v>
      </c>
      <c r="T727" s="2" t="s">
        <v>796</v>
      </c>
      <c r="U727" s="2" t="s">
        <v>22715</v>
      </c>
      <c r="V727" s="2" t="s">
        <v>17198</v>
      </c>
      <c r="W727" s="2"/>
    </row>
    <row r="728">
      <c r="A728" s="2" t="n">
        <v>546</v>
      </c>
      <c r="B728" s="2" t="s">
        <v>14790</v>
      </c>
      <c r="C728" s="2" t="s">
        <v>22722</v>
      </c>
      <c r="D728" s="2" t="n">
        <v>564.336766873</v>
      </c>
      <c r="E728" s="2" t="n">
        <v>2.36349771754938</v>
      </c>
      <c r="F728" s="2" t="s">
        <v>22724</v>
      </c>
      <c r="G728" s="2" t="n">
        <v>210524</v>
      </c>
      <c r="H728" s="3" t="str">
        <f>HYPERLINK("http://funmeta.oebiotech.com/network/210524", "http://funmeta.oebiotech.com/network/210524")</f>
      </c>
      <c r="I728" s="2" t="s">
        <v>22726</v>
      </c>
      <c r="J728" s="2"/>
      <c r="K728" s="2"/>
      <c r="L728" s="2"/>
      <c r="M728" s="2"/>
      <c r="N728" s="2"/>
      <c r="O728" s="2"/>
      <c r="P728" s="2" t="s">
        <v>22727</v>
      </c>
      <c r="Q728" s="2" t="s">
        <v>22728</v>
      </c>
      <c r="R728" s="2" t="s">
        <v>36</v>
      </c>
      <c r="S728" s="2" t="s">
        <v>37</v>
      </c>
      <c r="T728" s="2" t="s">
        <v>69</v>
      </c>
      <c r="U728" s="2" t="s">
        <v>22723</v>
      </c>
      <c r="V728" s="2" t="s">
        <v>17198</v>
      </c>
      <c r="W728" s="2"/>
    </row>
    <row r="729">
      <c r="A729" s="2" t="n">
        <v>547</v>
      </c>
      <c r="B729" s="2" t="s">
        <v>14791</v>
      </c>
      <c r="C729" s="2" t="s">
        <v>22729</v>
      </c>
      <c r="D729" s="2" t="n">
        <v>566.324231683</v>
      </c>
      <c r="E729" s="2" t="n">
        <v>0.12913958927456</v>
      </c>
      <c r="F729" s="2" t="s">
        <v>22731</v>
      </c>
      <c r="G729" s="2" t="n">
        <v>55113</v>
      </c>
      <c r="H729" s="3" t="str">
        <f>HYPERLINK("http://funmeta.oebiotech.com/network/55113", "http://funmeta.oebiotech.com/network/55113")</f>
      </c>
      <c r="I729" s="2" t="s">
        <v>22733</v>
      </c>
      <c r="J729" s="2"/>
      <c r="K729" s="2"/>
      <c r="L729" s="2"/>
      <c r="M729" s="2"/>
      <c r="N729" s="2" t="s">
        <v>22734</v>
      </c>
      <c r="O729" s="2" t="s">
        <v>22735</v>
      </c>
      <c r="P729" s="2" t="s">
        <v>22736</v>
      </c>
      <c r="Q729" s="2" t="s">
        <v>22737</v>
      </c>
      <c r="R729" s="2" t="s">
        <v>3003</v>
      </c>
      <c r="S729" s="2" t="s">
        <v>22738</v>
      </c>
      <c r="T729" s="2" t="s">
        <v>215</v>
      </c>
      <c r="U729" s="2" t="s">
        <v>22730</v>
      </c>
      <c r="V729" s="2" t="s">
        <v>17406</v>
      </c>
      <c r="W729" s="2" t="s">
        <v>56</v>
      </c>
    </row>
    <row r="730">
      <c r="A730" s="2" t="n">
        <v>548</v>
      </c>
      <c r="B730" s="2" t="s">
        <v>14792</v>
      </c>
      <c r="C730" s="2" t="s">
        <v>22739</v>
      </c>
      <c r="D730" s="2" t="n">
        <v>567.32922189</v>
      </c>
      <c r="E730" s="2" t="n">
        <v>6.51608017554989</v>
      </c>
      <c r="F730" s="2" t="s">
        <v>22741</v>
      </c>
      <c r="G730" s="2" t="n">
        <v>64138</v>
      </c>
      <c r="H730" s="3" t="str">
        <f>HYPERLINK("http://funmeta.oebiotech.com/network/64138", "http://funmeta.oebiotech.com/network/64138")</f>
      </c>
      <c r="I730" s="2" t="s">
        <v>22743</v>
      </c>
      <c r="J730" s="2" t="s">
        <v>22744</v>
      </c>
      <c r="K730" s="2"/>
      <c r="L730" s="2"/>
      <c r="M730" s="2" t="s">
        <v>22745</v>
      </c>
      <c r="N730" s="2" t="s">
        <v>22746</v>
      </c>
      <c r="O730" s="2" t="s">
        <v>22747</v>
      </c>
      <c r="P730" s="2" t="s">
        <v>22748</v>
      </c>
      <c r="Q730" s="2" t="s">
        <v>22749</v>
      </c>
      <c r="R730" s="2" t="s">
        <v>794</v>
      </c>
      <c r="S730" s="2" t="s">
        <v>1098</v>
      </c>
      <c r="T730" s="2" t="s">
        <v>3308</v>
      </c>
      <c r="U730" s="2" t="s">
        <v>22740</v>
      </c>
      <c r="V730" s="2" t="s">
        <v>17198</v>
      </c>
      <c r="W730" s="2" t="s">
        <v>56</v>
      </c>
    </row>
    <row r="731">
      <c r="A731" s="2" t="n">
        <v>549</v>
      </c>
      <c r="B731" s="2" t="s">
        <v>14793</v>
      </c>
      <c r="C731" s="2" t="s">
        <v>22750</v>
      </c>
      <c r="D731" s="2" t="n">
        <v>568.339881746</v>
      </c>
      <c r="E731" s="2" t="n">
        <v>6.52706445927757</v>
      </c>
      <c r="F731" s="2" t="s">
        <v>22752</v>
      </c>
      <c r="G731" s="2" t="n">
        <v>205000</v>
      </c>
      <c r="H731" s="3" t="str">
        <f>HYPERLINK("http://funmeta.oebiotech.com/network/205000", "http://funmeta.oebiotech.com/network/205000")</f>
      </c>
      <c r="I731" s="2" t="s">
        <v>22754</v>
      </c>
      <c r="J731" s="2"/>
      <c r="K731" s="2"/>
      <c r="L731" s="2"/>
      <c r="M731" s="2"/>
      <c r="N731" s="2"/>
      <c r="O731" s="2"/>
      <c r="P731" s="2" t="s">
        <v>22755</v>
      </c>
      <c r="Q731" s="2" t="s">
        <v>22756</v>
      </c>
      <c r="R731" s="2" t="s">
        <v>794</v>
      </c>
      <c r="S731" s="2" t="s">
        <v>2971</v>
      </c>
      <c r="T731" s="2" t="s">
        <v>7371</v>
      </c>
      <c r="U731" s="2" t="s">
        <v>22751</v>
      </c>
      <c r="V731" s="2" t="s">
        <v>17406</v>
      </c>
      <c r="W731" s="2"/>
    </row>
    <row r="732">
      <c r="A732" s="2" t="n">
        <v>550</v>
      </c>
      <c r="B732" s="2" t="s">
        <v>14794</v>
      </c>
      <c r="C732" s="2" t="s">
        <v>22757</v>
      </c>
      <c r="D732" s="2" t="n">
        <v>569.348554528</v>
      </c>
      <c r="E732" s="2" t="n">
        <v>0.0561721917235338</v>
      </c>
      <c r="F732" s="2" t="s">
        <v>22759</v>
      </c>
      <c r="G732" s="2" t="n">
        <v>203918</v>
      </c>
      <c r="H732" s="3" t="str">
        <f>HYPERLINK("http://funmeta.oebiotech.com/network/203918", "http://funmeta.oebiotech.com/network/203918")</f>
      </c>
      <c r="I732" s="2" t="s">
        <v>22761</v>
      </c>
      <c r="J732" s="2"/>
      <c r="K732" s="2"/>
      <c r="L732" s="2"/>
      <c r="M732" s="2"/>
      <c r="N732" s="2" t="s">
        <v>22762</v>
      </c>
      <c r="O732" s="2"/>
      <c r="P732" s="2" t="s">
        <v>22763</v>
      </c>
      <c r="Q732" s="2" t="s">
        <v>22764</v>
      </c>
      <c r="R732" s="2" t="s">
        <v>36</v>
      </c>
      <c r="S732" s="2" t="s">
        <v>37</v>
      </c>
      <c r="T732" s="2" t="s">
        <v>69</v>
      </c>
      <c r="U732" s="2" t="s">
        <v>22758</v>
      </c>
      <c r="V732" s="2" t="s">
        <v>17039</v>
      </c>
      <c r="W732" s="2"/>
    </row>
    <row r="733">
      <c r="A733" s="2" t="n">
        <v>551</v>
      </c>
      <c r="B733" s="2" t="s">
        <v>14795</v>
      </c>
      <c r="C733" s="2" t="s">
        <v>22765</v>
      </c>
      <c r="D733" s="2" t="n">
        <v>571.14808219</v>
      </c>
      <c r="E733" s="2" t="n">
        <v>0.300929345173588</v>
      </c>
      <c r="F733" s="2" t="s">
        <v>22767</v>
      </c>
      <c r="G733" s="2" t="n">
        <v>204566</v>
      </c>
      <c r="H733" s="3" t="str">
        <f>HYPERLINK("http://funmeta.oebiotech.com/network/204566", "http://funmeta.oebiotech.com/network/204566")</f>
      </c>
      <c r="I733" s="2" t="s">
        <v>22769</v>
      </c>
      <c r="J733" s="2"/>
      <c r="K733" s="2"/>
      <c r="L733" s="2"/>
      <c r="M733" s="2"/>
      <c r="N733" s="2"/>
      <c r="O733" s="2"/>
      <c r="P733" s="2" t="s">
        <v>22770</v>
      </c>
      <c r="Q733" s="2" t="s">
        <v>22771</v>
      </c>
      <c r="R733" s="2" t="s">
        <v>794</v>
      </c>
      <c r="S733" s="2" t="s">
        <v>795</v>
      </c>
      <c r="T733" s="2" t="s">
        <v>8424</v>
      </c>
      <c r="U733" s="2" t="s">
        <v>22766</v>
      </c>
      <c r="V733" s="2" t="s">
        <v>17198</v>
      </c>
      <c r="W733" s="2"/>
    </row>
    <row r="734">
      <c r="A734" s="2" t="n">
        <v>552</v>
      </c>
      <c r="B734" s="2" t="s">
        <v>14796</v>
      </c>
      <c r="C734" s="2" t="s">
        <v>22772</v>
      </c>
      <c r="D734" s="2" t="n">
        <v>572.152062624</v>
      </c>
      <c r="E734" s="2" t="n">
        <v>3.93926613690771</v>
      </c>
      <c r="F734" s="2" t="s">
        <v>22774</v>
      </c>
      <c r="G734" s="2" t="n">
        <v>201001</v>
      </c>
      <c r="H734" s="3" t="str">
        <f>HYPERLINK("http://funmeta.oebiotech.com/network/201001", "http://funmeta.oebiotech.com/network/201001")</f>
      </c>
      <c r="I734" s="2" t="s">
        <v>22776</v>
      </c>
      <c r="J734" s="2"/>
      <c r="K734" s="2"/>
      <c r="L734" s="2"/>
      <c r="M734" s="2"/>
      <c r="N734" s="2" t="s">
        <v>22777</v>
      </c>
      <c r="O734" s="2"/>
      <c r="P734" s="2" t="s">
        <v>22778</v>
      </c>
      <c r="Q734" s="2" t="s">
        <v>22779</v>
      </c>
      <c r="R734" s="2" t="s">
        <v>129</v>
      </c>
      <c r="S734" s="2" t="s">
        <v>130</v>
      </c>
      <c r="T734" s="2" t="s">
        <v>1681</v>
      </c>
      <c r="U734" s="2" t="s">
        <v>22773</v>
      </c>
      <c r="V734" s="2" t="s">
        <v>17198</v>
      </c>
      <c r="W734" s="2"/>
    </row>
    <row r="735">
      <c r="A735" s="2" t="n">
        <v>553</v>
      </c>
      <c r="B735" s="2" t="s">
        <v>14797</v>
      </c>
      <c r="C735" s="2" t="s">
        <v>22780</v>
      </c>
      <c r="D735" s="2" t="n">
        <v>573.142244566</v>
      </c>
      <c r="E735" s="2" t="n">
        <v>1.27536004886471</v>
      </c>
      <c r="F735" s="2" t="s">
        <v>22782</v>
      </c>
      <c r="G735" s="2" t="n">
        <v>200225</v>
      </c>
      <c r="H735" s="3" t="str">
        <f>HYPERLINK("http://funmeta.oebiotech.com/network/200225", "http://funmeta.oebiotech.com/network/200225")</f>
      </c>
      <c r="I735" s="2" t="s">
        <v>22784</v>
      </c>
      <c r="J735" s="2" t="s">
        <v>22785</v>
      </c>
      <c r="K735" s="2"/>
      <c r="L735" s="2"/>
      <c r="M735" s="2" t="s">
        <v>22786</v>
      </c>
      <c r="N735" s="2" t="s">
        <v>22787</v>
      </c>
      <c r="O735" s="2" t="s">
        <v>22788</v>
      </c>
      <c r="P735" s="2" t="s">
        <v>22789</v>
      </c>
      <c r="Q735" s="2" t="s">
        <v>22790</v>
      </c>
      <c r="R735" s="2" t="s">
        <v>1355</v>
      </c>
      <c r="S735" s="2" t="s">
        <v>5199</v>
      </c>
      <c r="T735" s="2" t="s">
        <v>22791</v>
      </c>
      <c r="U735" s="2" t="s">
        <v>22781</v>
      </c>
      <c r="V735" s="2" t="s">
        <v>17227</v>
      </c>
      <c r="W735" s="2"/>
    </row>
    <row r="736">
      <c r="A736" s="2" t="n">
        <v>554</v>
      </c>
      <c r="B736" s="2" t="s">
        <v>14809</v>
      </c>
      <c r="C736" s="2" t="s">
        <v>22792</v>
      </c>
      <c r="D736" s="2" t="n">
        <v>575.248688044</v>
      </c>
      <c r="E736" s="2" t="n">
        <v>1.79982085010171</v>
      </c>
      <c r="F736" s="2" t="s">
        <v>27580</v>
      </c>
      <c r="G736" s="2" t="n">
        <v>212519</v>
      </c>
      <c r="H736" s="3" t="str">
        <f>HYPERLINK("http://funmeta.oebiotech.com/network/212519", "http://funmeta.oebiotech.com/network/212519")</f>
      </c>
      <c r="I736" s="2" t="s">
        <v>27581</v>
      </c>
      <c r="J736" s="2"/>
      <c r="K736" s="2"/>
      <c r="L736" s="2"/>
      <c r="M736" s="2"/>
      <c r="N736" s="2" t="s">
        <v>27582</v>
      </c>
      <c r="O736" s="2"/>
      <c r="P736" s="2" t="s">
        <v>27583</v>
      </c>
      <c r="Q736" s="2" t="s">
        <v>27584</v>
      </c>
      <c r="R736" s="2" t="s">
        <v>794</v>
      </c>
      <c r="S736" s="2" t="s">
        <v>1098</v>
      </c>
      <c r="T736" s="2" t="s">
        <v>7646</v>
      </c>
      <c r="U736" s="2" t="s">
        <v>22793</v>
      </c>
      <c r="V736" s="2" t="s">
        <v>17137</v>
      </c>
      <c r="W736" s="2"/>
    </row>
    <row r="737">
      <c r="A737" s="2" t="n">
        <v>554</v>
      </c>
      <c r="B737" s="2" t="s">
        <v>14815</v>
      </c>
      <c r="C737" s="2" t="s">
        <v>22792</v>
      </c>
      <c r="D737" s="2" t="n">
        <v>575.248688058</v>
      </c>
      <c r="E737" s="2" t="n">
        <v>1.79982085010171</v>
      </c>
      <c r="F737" s="2" t="s">
        <v>27585</v>
      </c>
      <c r="G737" s="2" t="n">
        <v>58180</v>
      </c>
      <c r="H737" s="3" t="str">
        <f>HYPERLINK("http://funmeta.oebiotech.com/network/58180", "http://funmeta.oebiotech.com/network/58180")</f>
      </c>
      <c r="I737" s="2" t="s">
        <v>27586</v>
      </c>
      <c r="J737" s="2"/>
      <c r="K737" s="2"/>
      <c r="L737" s="2"/>
      <c r="M737" s="2"/>
      <c r="N737" s="2" t="s">
        <v>27587</v>
      </c>
      <c r="O737" s="2" t="s">
        <v>27588</v>
      </c>
      <c r="P737" s="2" t="s">
        <v>27589</v>
      </c>
      <c r="Q737" s="2" t="s">
        <v>27590</v>
      </c>
      <c r="R737" s="2" t="s">
        <v>114</v>
      </c>
      <c r="S737" s="2" t="s">
        <v>6312</v>
      </c>
      <c r="T737" s="2" t="s">
        <v>6313</v>
      </c>
      <c r="U737" s="2" t="s">
        <v>22793</v>
      </c>
      <c r="V737" s="2" t="s">
        <v>17137</v>
      </c>
      <c r="W737" s="2"/>
    </row>
    <row r="738">
      <c r="A738" s="2" t="n">
        <v>555</v>
      </c>
      <c r="B738" s="2" t="s">
        <v>14820</v>
      </c>
      <c r="C738" s="2" t="s">
        <v>22803</v>
      </c>
      <c r="D738" s="2" t="n">
        <v>577.368210088</v>
      </c>
      <c r="E738" s="2" t="n">
        <v>1.985713320271</v>
      </c>
      <c r="F738" s="2" t="s">
        <v>22805</v>
      </c>
      <c r="G738" s="2" t="n">
        <v>60541</v>
      </c>
      <c r="H738" s="3" t="str">
        <f>HYPERLINK("http://funmeta.oebiotech.com/network/60541", "http://funmeta.oebiotech.com/network/60541")</f>
      </c>
      <c r="I738" s="2" t="s">
        <v>22807</v>
      </c>
      <c r="J738" s="2" t="s">
        <v>22808</v>
      </c>
      <c r="K738" s="2"/>
      <c r="L738" s="2"/>
      <c r="M738" s="2" t="s">
        <v>22809</v>
      </c>
      <c r="N738" s="2" t="s">
        <v>22810</v>
      </c>
      <c r="O738" s="2" t="s">
        <v>22811</v>
      </c>
      <c r="P738" s="2" t="s">
        <v>22812</v>
      </c>
      <c r="Q738" s="2" t="s">
        <v>22813</v>
      </c>
      <c r="R738" s="2" t="s">
        <v>794</v>
      </c>
      <c r="S738" s="2" t="s">
        <v>1098</v>
      </c>
      <c r="T738" s="2" t="s">
        <v>7646</v>
      </c>
      <c r="U738" s="2" t="s">
        <v>22804</v>
      </c>
      <c r="V738" s="2" t="s">
        <v>17039</v>
      </c>
      <c r="W738" s="2" t="s">
        <v>56</v>
      </c>
    </row>
    <row r="739">
      <c r="A739" s="2" t="n">
        <v>556</v>
      </c>
      <c r="B739" s="2" t="s">
        <v>14832</v>
      </c>
      <c r="C739" s="2" t="s">
        <v>22814</v>
      </c>
      <c r="D739" s="2" t="n">
        <v>582.295647471</v>
      </c>
      <c r="E739" s="2" t="n">
        <v>5.58633910202006</v>
      </c>
      <c r="F739" s="2" t="s">
        <v>22816</v>
      </c>
      <c r="G739" s="2" t="n">
        <v>19846</v>
      </c>
      <c r="H739" s="3" t="str">
        <f>HYPERLINK("http://funmeta.oebiotech.com/network/19846", "http://funmeta.oebiotech.com/network/19846")</f>
      </c>
      <c r="I739" s="2" t="s">
        <v>22818</v>
      </c>
      <c r="J739" s="2" t="s">
        <v>22819</v>
      </c>
      <c r="K739" s="2" t="s">
        <v>22820</v>
      </c>
      <c r="L739" s="2" t="s">
        <v>8454</v>
      </c>
      <c r="M739" s="2" t="s">
        <v>22821</v>
      </c>
      <c r="N739" s="2" t="s">
        <v>22822</v>
      </c>
      <c r="O739" s="2" t="s">
        <v>22823</v>
      </c>
      <c r="P739" s="2" t="s">
        <v>22824</v>
      </c>
      <c r="Q739" s="2" t="s">
        <v>22825</v>
      </c>
      <c r="R739" s="2" t="s">
        <v>794</v>
      </c>
      <c r="S739" s="2" t="s">
        <v>7122</v>
      </c>
      <c r="T739" s="2" t="s">
        <v>8460</v>
      </c>
      <c r="U739" s="2" t="s">
        <v>22815</v>
      </c>
      <c r="V739" s="2" t="s">
        <v>17406</v>
      </c>
      <c r="W739" s="2" t="s">
        <v>39</v>
      </c>
    </row>
    <row r="740">
      <c r="A740" s="2" t="n">
        <v>557</v>
      </c>
      <c r="B740" s="2" t="s">
        <v>14833</v>
      </c>
      <c r="C740" s="2" t="s">
        <v>22826</v>
      </c>
      <c r="D740" s="2" t="n">
        <v>583.299479079</v>
      </c>
      <c r="E740" s="2" t="n">
        <v>0.163612223779232</v>
      </c>
      <c r="F740" s="2" t="s">
        <v>22828</v>
      </c>
      <c r="G740" s="2" t="n">
        <v>201514</v>
      </c>
      <c r="H740" s="3" t="str">
        <f>HYPERLINK("http://funmeta.oebiotech.com/network/201514", "http://funmeta.oebiotech.com/network/201514")</f>
      </c>
      <c r="I740" s="2" t="s">
        <v>22830</v>
      </c>
      <c r="J740" s="2"/>
      <c r="K740" s="2"/>
      <c r="L740" s="2"/>
      <c r="M740" s="2"/>
      <c r="N740" s="2" t="s">
        <v>22831</v>
      </c>
      <c r="O740" s="2"/>
      <c r="P740" s="2" t="s">
        <v>22832</v>
      </c>
      <c r="Q740" s="2" t="s">
        <v>22833</v>
      </c>
      <c r="R740" s="2" t="s">
        <v>186</v>
      </c>
      <c r="S740" s="2" t="s">
        <v>187</v>
      </c>
      <c r="T740" s="2" t="s">
        <v>22018</v>
      </c>
      <c r="U740" s="2" t="s">
        <v>22827</v>
      </c>
      <c r="V740" s="2" t="s">
        <v>17039</v>
      </c>
      <c r="W740" s="2"/>
    </row>
    <row r="741">
      <c r="A741" s="2" t="n">
        <v>558</v>
      </c>
      <c r="B741" s="2" t="s">
        <v>14834</v>
      </c>
      <c r="C741" s="2" t="s">
        <v>22834</v>
      </c>
      <c r="D741" s="2" t="n">
        <v>584.299220476</v>
      </c>
      <c r="E741" s="2" t="n">
        <v>4.64417160195191</v>
      </c>
      <c r="F741" s="2" t="s">
        <v>22836</v>
      </c>
      <c r="G741" s="2" t="n">
        <v>198835</v>
      </c>
      <c r="H741" s="3" t="str">
        <f>HYPERLINK("http://funmeta.oebiotech.com/network/198835", "http://funmeta.oebiotech.com/network/198835")</f>
      </c>
      <c r="I741" s="2" t="s">
        <v>22838</v>
      </c>
      <c r="J741" s="2"/>
      <c r="K741" s="2"/>
      <c r="L741" s="2"/>
      <c r="M741" s="2"/>
      <c r="N741" s="2" t="s">
        <v>22839</v>
      </c>
      <c r="O741" s="2"/>
      <c r="P741" s="2" t="s">
        <v>22840</v>
      </c>
      <c r="Q741" s="2" t="s">
        <v>22841</v>
      </c>
      <c r="R741" s="2" t="s">
        <v>794</v>
      </c>
      <c r="S741" s="2" t="s">
        <v>2971</v>
      </c>
      <c r="T741" s="2" t="s">
        <v>6499</v>
      </c>
      <c r="U741" s="2" t="s">
        <v>22835</v>
      </c>
      <c r="V741" s="2" t="s">
        <v>17970</v>
      </c>
      <c r="W741" s="2"/>
    </row>
    <row r="742">
      <c r="A742" s="2" t="n">
        <v>559</v>
      </c>
      <c r="B742" s="2" t="s">
        <v>14835</v>
      </c>
      <c r="C742" s="2" t="s">
        <v>22842</v>
      </c>
      <c r="D742" s="2" t="n">
        <v>585.294997236</v>
      </c>
      <c r="E742" s="2" t="n">
        <v>1.26040713136869</v>
      </c>
      <c r="F742" s="2" t="s">
        <v>22844</v>
      </c>
      <c r="G742" s="2" t="n">
        <v>203488</v>
      </c>
      <c r="H742" s="3" t="str">
        <f>HYPERLINK("http://funmeta.oebiotech.com/network/203488", "http://funmeta.oebiotech.com/network/203488")</f>
      </c>
      <c r="I742" s="2" t="s">
        <v>22846</v>
      </c>
      <c r="J742" s="2"/>
      <c r="K742" s="2"/>
      <c r="L742" s="2"/>
      <c r="M742" s="2"/>
      <c r="N742" s="2" t="s">
        <v>22847</v>
      </c>
      <c r="O742" s="2"/>
      <c r="P742" s="2" t="s">
        <v>22848</v>
      </c>
      <c r="Q742" s="2" t="s">
        <v>22849</v>
      </c>
      <c r="R742" s="2" t="s">
        <v>36</v>
      </c>
      <c r="S742" s="2" t="s">
        <v>37</v>
      </c>
      <c r="T742" s="2" t="s">
        <v>69</v>
      </c>
      <c r="U742" s="2" t="s">
        <v>22843</v>
      </c>
      <c r="V742" s="2" t="s">
        <v>17406</v>
      </c>
      <c r="W742" s="2"/>
    </row>
    <row r="743">
      <c r="A743" s="2" t="n">
        <v>560</v>
      </c>
      <c r="B743" s="2" t="s">
        <v>14836</v>
      </c>
      <c r="C743" s="2" t="s">
        <v>22850</v>
      </c>
      <c r="D743" s="2" t="n">
        <v>590.321707471</v>
      </c>
      <c r="E743" s="2" t="n">
        <v>1.0651444857233</v>
      </c>
      <c r="F743" s="2" t="s">
        <v>22852</v>
      </c>
      <c r="G743" s="2" t="n">
        <v>19850</v>
      </c>
      <c r="H743" s="3" t="str">
        <f>HYPERLINK("http://funmeta.oebiotech.com/network/19850", "http://funmeta.oebiotech.com/network/19850")</f>
      </c>
      <c r="I743" s="2" t="s">
        <v>22854</v>
      </c>
      <c r="J743" s="2" t="s">
        <v>22855</v>
      </c>
      <c r="K743" s="2" t="s">
        <v>22856</v>
      </c>
      <c r="L743" s="2" t="s">
        <v>8454</v>
      </c>
      <c r="M743" s="2" t="s">
        <v>22857</v>
      </c>
      <c r="N743" s="2" t="s">
        <v>22858</v>
      </c>
      <c r="O743" s="2" t="s">
        <v>22859</v>
      </c>
      <c r="P743" s="2" t="s">
        <v>22860</v>
      </c>
      <c r="Q743" s="2" t="s">
        <v>22861</v>
      </c>
      <c r="R743" s="2" t="s">
        <v>794</v>
      </c>
      <c r="S743" s="2" t="s">
        <v>7122</v>
      </c>
      <c r="T743" s="2" t="s">
        <v>8460</v>
      </c>
      <c r="U743" s="2" t="s">
        <v>22851</v>
      </c>
      <c r="V743" s="2" t="s">
        <v>17198</v>
      </c>
      <c r="W743" s="2" t="s">
        <v>39</v>
      </c>
    </row>
    <row r="744">
      <c r="A744" s="2" t="n">
        <v>561</v>
      </c>
      <c r="B744" s="2" t="s">
        <v>14837</v>
      </c>
      <c r="C744" s="2" t="s">
        <v>22862</v>
      </c>
      <c r="D744" s="2" t="n">
        <v>591.389144699</v>
      </c>
      <c r="E744" s="2" t="n">
        <v>2.92735483389982</v>
      </c>
      <c r="F744" s="2" t="s">
        <v>27591</v>
      </c>
      <c r="G744" s="2" t="n">
        <v>208207</v>
      </c>
      <c r="H744" s="3" t="str">
        <f>HYPERLINK("http://funmeta.oebiotech.com/network/208207", "http://funmeta.oebiotech.com/network/208207")</f>
      </c>
      <c r="I744" s="2" t="s">
        <v>27592</v>
      </c>
      <c r="J744" s="2"/>
      <c r="K744" s="2"/>
      <c r="L744" s="2"/>
      <c r="M744" s="2"/>
      <c r="N744" s="2" t="s">
        <v>27593</v>
      </c>
      <c r="O744" s="2"/>
      <c r="P744" s="2" t="s">
        <v>27594</v>
      </c>
      <c r="Q744" s="2" t="s">
        <v>27595</v>
      </c>
      <c r="R744" s="2" t="s">
        <v>794</v>
      </c>
      <c r="S744" s="2" t="s">
        <v>1098</v>
      </c>
      <c r="T744" s="2" t="s">
        <v>7878</v>
      </c>
      <c r="U744" s="2" t="s">
        <v>22863</v>
      </c>
      <c r="V744" s="2" t="s">
        <v>17137</v>
      </c>
      <c r="W744" s="2"/>
    </row>
    <row r="745">
      <c r="A745" s="2" t="n">
        <v>561</v>
      </c>
      <c r="B745" s="2" t="s">
        <v>14848</v>
      </c>
      <c r="C745" s="2" t="s">
        <v>22862</v>
      </c>
      <c r="D745" s="2" t="n">
        <v>591.389144704</v>
      </c>
      <c r="E745" s="2" t="n">
        <v>2.92735483389982</v>
      </c>
      <c r="F745" s="2" t="s">
        <v>27596</v>
      </c>
      <c r="G745" s="2" t="n">
        <v>61429</v>
      </c>
      <c r="H745" s="3" t="str">
        <f>HYPERLINK("http://funmeta.oebiotech.com/network/61429", "http://funmeta.oebiotech.com/network/61429")</f>
      </c>
      <c r="I745" s="2" t="s">
        <v>27597</v>
      </c>
      <c r="J745" s="2" t="s">
        <v>27598</v>
      </c>
      <c r="K745" s="2"/>
      <c r="L745" s="2"/>
      <c r="M745" s="2"/>
      <c r="N745" s="2" t="s">
        <v>27599</v>
      </c>
      <c r="O745" s="2" t="s">
        <v>27600</v>
      </c>
      <c r="P745" s="2" t="s">
        <v>27601</v>
      </c>
      <c r="Q745" s="2" t="s">
        <v>27602</v>
      </c>
      <c r="R745" s="2" t="s">
        <v>794</v>
      </c>
      <c r="S745" s="2" t="s">
        <v>2971</v>
      </c>
      <c r="T745" s="2" t="s">
        <v>11733</v>
      </c>
      <c r="U745" s="2" t="s">
        <v>22863</v>
      </c>
      <c r="V745" s="2" t="s">
        <v>17137</v>
      </c>
      <c r="W745" s="2"/>
    </row>
    <row r="746">
      <c r="A746" s="2" t="n">
        <v>562</v>
      </c>
      <c r="B746" s="2" t="s">
        <v>14859</v>
      </c>
      <c r="C746" s="2" t="s">
        <v>22873</v>
      </c>
      <c r="D746" s="2" t="n">
        <v>592.218149159</v>
      </c>
      <c r="E746" s="2" t="n">
        <v>4.98829379332703</v>
      </c>
      <c r="F746" s="2" t="s">
        <v>22875</v>
      </c>
      <c r="G746" s="2" t="n">
        <v>207333</v>
      </c>
      <c r="H746" s="3" t="str">
        <f>HYPERLINK("http://funmeta.oebiotech.com/network/207333", "http://funmeta.oebiotech.com/network/207333")</f>
      </c>
      <c r="I746" s="2" t="s">
        <v>22877</v>
      </c>
      <c r="J746" s="2"/>
      <c r="K746" s="2"/>
      <c r="L746" s="2"/>
      <c r="M746" s="2"/>
      <c r="N746" s="2" t="s">
        <v>22878</v>
      </c>
      <c r="O746" s="2"/>
      <c r="P746" s="2" t="s">
        <v>22879</v>
      </c>
      <c r="Q746" s="2" t="s">
        <v>22880</v>
      </c>
      <c r="R746" s="2" t="s">
        <v>14232</v>
      </c>
      <c r="S746" s="2" t="s">
        <v>22881</v>
      </c>
      <c r="T746" s="2" t="s">
        <v>215</v>
      </c>
      <c r="U746" s="2" t="s">
        <v>22874</v>
      </c>
      <c r="V746" s="2" t="s">
        <v>17406</v>
      </c>
      <c r="W746" s="2"/>
    </row>
    <row r="747">
      <c r="A747" s="2" t="n">
        <v>563</v>
      </c>
      <c r="B747" s="2" t="s">
        <v>14860</v>
      </c>
      <c r="C747" s="2" t="s">
        <v>22882</v>
      </c>
      <c r="D747" s="2" t="n">
        <v>596.238639793</v>
      </c>
      <c r="E747" s="2" t="n">
        <v>0.43343959892854</v>
      </c>
      <c r="F747" s="2" t="s">
        <v>27603</v>
      </c>
      <c r="G747" s="2" t="n">
        <v>198150</v>
      </c>
      <c r="H747" s="3" t="str">
        <f>HYPERLINK("http://funmeta.oebiotech.com/network/198150", "http://funmeta.oebiotech.com/network/198150")</f>
      </c>
      <c r="I747" s="2" t="s">
        <v>27604</v>
      </c>
      <c r="J747" s="2"/>
      <c r="K747" s="2"/>
      <c r="L747" s="2"/>
      <c r="M747" s="2"/>
      <c r="N747" s="2"/>
      <c r="O747" s="2"/>
      <c r="P747" s="2" t="s">
        <v>27605</v>
      </c>
      <c r="Q747" s="2" t="s">
        <v>27606</v>
      </c>
      <c r="R747" s="2" t="s">
        <v>794</v>
      </c>
      <c r="S747" s="2" t="s">
        <v>795</v>
      </c>
      <c r="T747" s="2" t="s">
        <v>1870</v>
      </c>
      <c r="U747" s="2" t="s">
        <v>22883</v>
      </c>
      <c r="V747" s="2" t="s">
        <v>17520</v>
      </c>
      <c r="W747" s="2"/>
    </row>
    <row r="748">
      <c r="A748" s="2" t="n">
        <v>563</v>
      </c>
      <c r="B748" s="2" t="s">
        <v>27607</v>
      </c>
      <c r="C748" s="2" t="s">
        <v>22882</v>
      </c>
      <c r="D748" s="2" t="n">
        <v>596.238639793</v>
      </c>
      <c r="E748" s="2" t="n">
        <v>0.43343959892854</v>
      </c>
      <c r="F748" s="2" t="s">
        <v>27608</v>
      </c>
      <c r="G748" s="2" t="n">
        <v>198151</v>
      </c>
      <c r="H748" s="3" t="str">
        <f>HYPERLINK("http://funmeta.oebiotech.com/network/198151", "http://funmeta.oebiotech.com/network/198151")</f>
      </c>
      <c r="I748" s="2" t="s">
        <v>27609</v>
      </c>
      <c r="J748" s="2"/>
      <c r="K748" s="2"/>
      <c r="L748" s="2"/>
      <c r="M748" s="2"/>
      <c r="N748" s="2"/>
      <c r="O748" s="2"/>
      <c r="P748" s="2" t="s">
        <v>27610</v>
      </c>
      <c r="Q748" s="2" t="s">
        <v>27611</v>
      </c>
      <c r="R748" s="2" t="s">
        <v>794</v>
      </c>
      <c r="S748" s="2" t="s">
        <v>795</v>
      </c>
      <c r="T748" s="2" t="s">
        <v>1870</v>
      </c>
      <c r="U748" s="2" t="s">
        <v>22883</v>
      </c>
      <c r="V748" s="2" t="s">
        <v>17520</v>
      </c>
      <c r="W748" s="2"/>
    </row>
    <row r="749">
      <c r="A749" s="2" t="n">
        <v>563</v>
      </c>
      <c r="B749" s="2" t="s">
        <v>27612</v>
      </c>
      <c r="C749" s="2" t="s">
        <v>22882</v>
      </c>
      <c r="D749" s="2" t="n">
        <v>596.238639793</v>
      </c>
      <c r="E749" s="2" t="n">
        <v>0.43343959892854</v>
      </c>
      <c r="F749" s="2" t="s">
        <v>27613</v>
      </c>
      <c r="G749" s="2" t="n">
        <v>198335</v>
      </c>
      <c r="H749" s="3" t="str">
        <f>HYPERLINK("http://funmeta.oebiotech.com/network/198335", "http://funmeta.oebiotech.com/network/198335")</f>
      </c>
      <c r="I749" s="2" t="s">
        <v>27614</v>
      </c>
      <c r="J749" s="2"/>
      <c r="K749" s="2"/>
      <c r="L749" s="2"/>
      <c r="M749" s="2"/>
      <c r="N749" s="2"/>
      <c r="O749" s="2"/>
      <c r="P749" s="2" t="s">
        <v>27615</v>
      </c>
      <c r="Q749" s="2" t="s">
        <v>27616</v>
      </c>
      <c r="R749" s="2" t="s">
        <v>794</v>
      </c>
      <c r="S749" s="2" t="s">
        <v>795</v>
      </c>
      <c r="T749" s="2" t="s">
        <v>1870</v>
      </c>
      <c r="U749" s="2" t="s">
        <v>22883</v>
      </c>
      <c r="V749" s="2" t="s">
        <v>17520</v>
      </c>
      <c r="W749" s="2"/>
    </row>
    <row r="750">
      <c r="A750" s="2" t="n">
        <v>564</v>
      </c>
      <c r="B750" s="2" t="s">
        <v>14861</v>
      </c>
      <c r="C750" s="2" t="s">
        <v>22889</v>
      </c>
      <c r="D750" s="2" t="n">
        <v>597.237133067</v>
      </c>
      <c r="E750" s="2" t="n">
        <v>5.87787169691703</v>
      </c>
      <c r="F750" s="2" t="s">
        <v>27617</v>
      </c>
      <c r="G750" s="2" t="n">
        <v>82851</v>
      </c>
      <c r="H750" s="3" t="str">
        <f>HYPERLINK("http://funmeta.oebiotech.com/network/82851", "http://funmeta.oebiotech.com/network/82851")</f>
      </c>
      <c r="I750" s="2" t="s">
        <v>27618</v>
      </c>
      <c r="J750" s="2"/>
      <c r="K750" s="2"/>
      <c r="L750" s="2"/>
      <c r="M750" s="2" t="s">
        <v>27619</v>
      </c>
      <c r="N750" s="2" t="s">
        <v>27620</v>
      </c>
      <c r="O750" s="2"/>
      <c r="P750" s="2" t="s">
        <v>27621</v>
      </c>
      <c r="Q750" s="2" t="s">
        <v>27622</v>
      </c>
      <c r="R750" s="2" t="s">
        <v>114</v>
      </c>
      <c r="S750" s="2" t="s">
        <v>397</v>
      </c>
      <c r="T750" s="2" t="s">
        <v>6158</v>
      </c>
      <c r="U750" s="2" t="s">
        <v>22890</v>
      </c>
      <c r="V750" s="2" t="s">
        <v>17198</v>
      </c>
      <c r="W750" s="2" t="s">
        <v>56</v>
      </c>
    </row>
    <row r="751">
      <c r="A751" s="2" t="n">
        <v>564</v>
      </c>
      <c r="B751" s="2" t="s">
        <v>27623</v>
      </c>
      <c r="C751" s="2" t="s">
        <v>22889</v>
      </c>
      <c r="D751" s="2" t="n">
        <v>597.237133067</v>
      </c>
      <c r="E751" s="2" t="n">
        <v>5.87787169691703</v>
      </c>
      <c r="F751" s="2" t="s">
        <v>27624</v>
      </c>
      <c r="G751" s="2" t="n">
        <v>82852</v>
      </c>
      <c r="H751" s="3" t="str">
        <f>HYPERLINK("http://funmeta.oebiotech.com/network/82852", "http://funmeta.oebiotech.com/network/82852")</f>
      </c>
      <c r="I751" s="2" t="s">
        <v>27625</v>
      </c>
      <c r="J751" s="2"/>
      <c r="K751" s="2"/>
      <c r="L751" s="2"/>
      <c r="M751" s="2" t="s">
        <v>27626</v>
      </c>
      <c r="N751" s="2" t="s">
        <v>27627</v>
      </c>
      <c r="O751" s="2"/>
      <c r="P751" s="2" t="s">
        <v>27628</v>
      </c>
      <c r="Q751" s="2" t="s">
        <v>27629</v>
      </c>
      <c r="R751" s="2" t="s">
        <v>114</v>
      </c>
      <c r="S751" s="2" t="s">
        <v>397</v>
      </c>
      <c r="T751" s="2" t="s">
        <v>6158</v>
      </c>
      <c r="U751" s="2" t="s">
        <v>22890</v>
      </c>
      <c r="V751" s="2" t="s">
        <v>17198</v>
      </c>
      <c r="W751" s="2" t="s">
        <v>56</v>
      </c>
    </row>
    <row r="752">
      <c r="A752" s="2" t="n">
        <v>565</v>
      </c>
      <c r="B752" s="2" t="s">
        <v>14862</v>
      </c>
      <c r="C752" s="2" t="s">
        <v>22900</v>
      </c>
      <c r="D752" s="2" t="n">
        <v>598.238136529</v>
      </c>
      <c r="E752" s="2" t="n">
        <v>8.06004230704499</v>
      </c>
      <c r="F752" s="2" t="s">
        <v>22902</v>
      </c>
      <c r="G752" s="2" t="n">
        <v>208136</v>
      </c>
      <c r="H752" s="3" t="str">
        <f>HYPERLINK("http://funmeta.oebiotech.com/network/208136", "http://funmeta.oebiotech.com/network/208136")</f>
      </c>
      <c r="I752" s="2" t="s">
        <v>22904</v>
      </c>
      <c r="J752" s="2"/>
      <c r="K752" s="2"/>
      <c r="L752" s="2"/>
      <c r="M752" s="2"/>
      <c r="N752" s="2" t="s">
        <v>22905</v>
      </c>
      <c r="O752" s="2"/>
      <c r="P752" s="2" t="s">
        <v>22906</v>
      </c>
      <c r="Q752" s="2" t="s">
        <v>22907</v>
      </c>
      <c r="R752" s="2" t="s">
        <v>36</v>
      </c>
      <c r="S752" s="2" t="s">
        <v>37</v>
      </c>
      <c r="T752" s="2" t="s">
        <v>69</v>
      </c>
      <c r="U752" s="2" t="s">
        <v>22901</v>
      </c>
      <c r="V752" s="2" t="s">
        <v>17406</v>
      </c>
      <c r="W752" s="2"/>
    </row>
    <row r="753">
      <c r="A753" s="2" t="n">
        <v>566</v>
      </c>
      <c r="B753" s="2" t="s">
        <v>14863</v>
      </c>
      <c r="C753" s="2" t="s">
        <v>22908</v>
      </c>
      <c r="D753" s="2" t="n">
        <v>603.440786344</v>
      </c>
      <c r="E753" s="2" t="n">
        <v>1.29992523059832</v>
      </c>
      <c r="F753" s="2" t="s">
        <v>22910</v>
      </c>
      <c r="G753" s="2" t="n">
        <v>59712</v>
      </c>
      <c r="H753" s="3" t="str">
        <f>HYPERLINK("http://funmeta.oebiotech.com/network/59712", "http://funmeta.oebiotech.com/network/59712")</f>
      </c>
      <c r="I753" s="2" t="s">
        <v>22912</v>
      </c>
      <c r="J753" s="2" t="s">
        <v>22913</v>
      </c>
      <c r="K753" s="2"/>
      <c r="L753" s="2" t="s">
        <v>22914</v>
      </c>
      <c r="M753" s="2"/>
      <c r="N753" s="2" t="s">
        <v>22915</v>
      </c>
      <c r="O753" s="2"/>
      <c r="P753" s="2" t="s">
        <v>22916</v>
      </c>
      <c r="Q753" s="2" t="s">
        <v>22917</v>
      </c>
      <c r="R753" s="2" t="s">
        <v>794</v>
      </c>
      <c r="S753" s="2" t="s">
        <v>2971</v>
      </c>
      <c r="T753" s="2" t="s">
        <v>8104</v>
      </c>
      <c r="U753" s="2" t="s">
        <v>22909</v>
      </c>
      <c r="V753" s="2" t="s">
        <v>17137</v>
      </c>
      <c r="W753" s="2" t="s">
        <v>101</v>
      </c>
    </row>
    <row r="754">
      <c r="A754" s="2" t="n">
        <v>567</v>
      </c>
      <c r="B754" s="2" t="s">
        <v>14864</v>
      </c>
      <c r="C754" s="2" t="s">
        <v>22918</v>
      </c>
      <c r="D754" s="2" t="n">
        <v>604.216806499</v>
      </c>
      <c r="E754" s="2" t="n">
        <v>7.7657902042739</v>
      </c>
      <c r="F754" s="2" t="s">
        <v>22920</v>
      </c>
      <c r="G754" s="2" t="n">
        <v>81828</v>
      </c>
      <c r="H754" s="3" t="str">
        <f>HYPERLINK("http://funmeta.oebiotech.com/network/81828", "http://funmeta.oebiotech.com/network/81828")</f>
      </c>
      <c r="I754" s="2" t="s">
        <v>22922</v>
      </c>
      <c r="J754" s="2"/>
      <c r="K754" s="2"/>
      <c r="L754" s="2"/>
      <c r="M754" s="2"/>
      <c r="N754" s="2" t="s">
        <v>22923</v>
      </c>
      <c r="O754" s="2"/>
      <c r="P754" s="2" t="s">
        <v>22924</v>
      </c>
      <c r="Q754" s="2" t="s">
        <v>22925</v>
      </c>
      <c r="R754" s="2" t="s">
        <v>36</v>
      </c>
      <c r="S754" s="2" t="s">
        <v>37</v>
      </c>
      <c r="T754" s="2" t="s">
        <v>69</v>
      </c>
      <c r="U754" s="2" t="s">
        <v>22919</v>
      </c>
      <c r="V754" s="2" t="s">
        <v>17406</v>
      </c>
      <c r="W754" s="2"/>
    </row>
    <row r="755">
      <c r="A755" s="2" t="n">
        <v>568</v>
      </c>
      <c r="B755" s="2" t="s">
        <v>14886</v>
      </c>
      <c r="C755" s="2" t="s">
        <v>22926</v>
      </c>
      <c r="D755" s="2" t="n">
        <v>605.220459302</v>
      </c>
      <c r="E755" s="2" t="n">
        <v>4.73269152719098</v>
      </c>
      <c r="F755" s="2" t="s">
        <v>27630</v>
      </c>
      <c r="G755" s="2" t="n">
        <v>62246</v>
      </c>
      <c r="H755" s="3" t="str">
        <f>HYPERLINK("http://funmeta.oebiotech.com/network/62246", "http://funmeta.oebiotech.com/network/62246")</f>
      </c>
      <c r="I755" s="2" t="s">
        <v>27631</v>
      </c>
      <c r="J755" s="2" t="s">
        <v>27632</v>
      </c>
      <c r="K755" s="2"/>
      <c r="L755" s="2"/>
      <c r="M755" s="2"/>
      <c r="N755" s="2" t="s">
        <v>27633</v>
      </c>
      <c r="O755" s="2" t="s">
        <v>27634</v>
      </c>
      <c r="P755" s="2" t="s">
        <v>27635</v>
      </c>
      <c r="Q755" s="2" t="s">
        <v>27636</v>
      </c>
      <c r="R755" s="2" t="s">
        <v>14232</v>
      </c>
      <c r="S755" s="2" t="s">
        <v>27637</v>
      </c>
      <c r="T755" s="2" t="s">
        <v>215</v>
      </c>
      <c r="U755" s="2" t="s">
        <v>22927</v>
      </c>
      <c r="V755" s="2" t="s">
        <v>17198</v>
      </c>
      <c r="W755" s="2"/>
    </row>
    <row r="756">
      <c r="A756" s="2" t="n">
        <v>568</v>
      </c>
      <c r="B756" s="2" t="s">
        <v>27638</v>
      </c>
      <c r="C756" s="2" t="s">
        <v>22926</v>
      </c>
      <c r="D756" s="2" t="n">
        <v>605.220459302</v>
      </c>
      <c r="E756" s="2" t="n">
        <v>4.73269152719098</v>
      </c>
      <c r="F756" s="2" t="s">
        <v>27639</v>
      </c>
      <c r="G756" s="2" t="n">
        <v>64254</v>
      </c>
      <c r="H756" s="3" t="str">
        <f>HYPERLINK("http://funmeta.oebiotech.com/network/64254", "http://funmeta.oebiotech.com/network/64254")</f>
      </c>
      <c r="I756" s="2" t="s">
        <v>27640</v>
      </c>
      <c r="J756" s="2" t="s">
        <v>27641</v>
      </c>
      <c r="K756" s="2"/>
      <c r="L756" s="2"/>
      <c r="M756" s="2"/>
      <c r="N756" s="2" t="s">
        <v>27642</v>
      </c>
      <c r="O756" s="2"/>
      <c r="P756" s="2" t="s">
        <v>27643</v>
      </c>
      <c r="Q756" s="2" t="s">
        <v>27644</v>
      </c>
      <c r="R756" s="2" t="s">
        <v>14232</v>
      </c>
      <c r="S756" s="2" t="s">
        <v>27637</v>
      </c>
      <c r="T756" s="2" t="s">
        <v>215</v>
      </c>
      <c r="U756" s="2" t="s">
        <v>22927</v>
      </c>
      <c r="V756" s="2" t="s">
        <v>17198</v>
      </c>
      <c r="W756" s="2"/>
    </row>
    <row r="757">
      <c r="A757" s="2" t="n">
        <v>569</v>
      </c>
      <c r="B757" s="2" t="s">
        <v>14887</v>
      </c>
      <c r="C757" s="2" t="s">
        <v>22938</v>
      </c>
      <c r="D757" s="2" t="n">
        <v>605.454183222</v>
      </c>
      <c r="E757" s="2" t="n">
        <v>2.44628532003552</v>
      </c>
      <c r="F757" s="2" t="s">
        <v>22940</v>
      </c>
      <c r="G757" s="2" t="n">
        <v>48982</v>
      </c>
      <c r="H757" s="3" t="str">
        <f>HYPERLINK("http://funmeta.oebiotech.com/network/48982", "http://funmeta.oebiotech.com/network/48982")</f>
      </c>
      <c r="I757" s="2" t="s">
        <v>22942</v>
      </c>
      <c r="J757" s="2" t="s">
        <v>22943</v>
      </c>
      <c r="K757" s="2"/>
      <c r="L757" s="2"/>
      <c r="M757" s="2"/>
      <c r="N757" s="2" t="s">
        <v>22944</v>
      </c>
      <c r="O757" s="2"/>
      <c r="P757" s="2" t="s">
        <v>22945</v>
      </c>
      <c r="Q757" s="2" t="s">
        <v>22946</v>
      </c>
      <c r="R757" s="2" t="s">
        <v>794</v>
      </c>
      <c r="S757" s="2" t="s">
        <v>2600</v>
      </c>
      <c r="T757" s="2" t="s">
        <v>8990</v>
      </c>
      <c r="U757" s="2" t="s">
        <v>22939</v>
      </c>
      <c r="V757" s="2" t="s">
        <v>17406</v>
      </c>
      <c r="W757" s="2"/>
    </row>
    <row r="758">
      <c r="A758" s="2" t="n">
        <v>570</v>
      </c>
      <c r="B758" s="2" t="s">
        <v>14888</v>
      </c>
      <c r="C758" s="2" t="s">
        <v>22947</v>
      </c>
      <c r="D758" s="2" t="n">
        <v>606.297210735</v>
      </c>
      <c r="E758" s="2" t="n">
        <v>2.76519169662014</v>
      </c>
      <c r="F758" s="2" t="s">
        <v>22949</v>
      </c>
      <c r="G758" s="2" t="n">
        <v>209491</v>
      </c>
      <c r="H758" s="3" t="str">
        <f>HYPERLINK("http://funmeta.oebiotech.com/network/209491", "http://funmeta.oebiotech.com/network/209491")</f>
      </c>
      <c r="I758" s="2" t="s">
        <v>22951</v>
      </c>
      <c r="J758" s="2"/>
      <c r="K758" s="2"/>
      <c r="L758" s="2"/>
      <c r="M758" s="2"/>
      <c r="N758" s="2" t="s">
        <v>22952</v>
      </c>
      <c r="O758" s="2"/>
      <c r="P758" s="2" t="s">
        <v>22953</v>
      </c>
      <c r="Q758" s="2" t="s">
        <v>22954</v>
      </c>
      <c r="R758" s="2" t="s">
        <v>36</v>
      </c>
      <c r="S758" s="2" t="s">
        <v>37</v>
      </c>
      <c r="T758" s="2" t="s">
        <v>69</v>
      </c>
      <c r="U758" s="2" t="s">
        <v>22948</v>
      </c>
      <c r="V758" s="2" t="s">
        <v>17198</v>
      </c>
      <c r="W758" s="2"/>
    </row>
    <row r="759">
      <c r="A759" s="2" t="n">
        <v>571</v>
      </c>
      <c r="B759" s="2" t="s">
        <v>14906</v>
      </c>
      <c r="C759" s="2" t="s">
        <v>22955</v>
      </c>
      <c r="D759" s="2" t="n">
        <v>607.30316189</v>
      </c>
      <c r="E759" s="2" t="n">
        <v>6.41958244426206</v>
      </c>
      <c r="F759" s="2" t="s">
        <v>22957</v>
      </c>
      <c r="G759" s="2" t="n">
        <v>59267</v>
      </c>
      <c r="H759" s="3" t="str">
        <f>HYPERLINK("http://funmeta.oebiotech.com/network/59267", "http://funmeta.oebiotech.com/network/59267")</f>
      </c>
      <c r="I759" s="2" t="s">
        <v>22959</v>
      </c>
      <c r="J759" s="2" t="s">
        <v>22960</v>
      </c>
      <c r="K759" s="2"/>
      <c r="L759" s="2"/>
      <c r="M759" s="2"/>
      <c r="N759" s="2" t="s">
        <v>22961</v>
      </c>
      <c r="O759" s="2" t="s">
        <v>22962</v>
      </c>
      <c r="P759" s="2" t="s">
        <v>22963</v>
      </c>
      <c r="Q759" s="2" t="s">
        <v>22964</v>
      </c>
      <c r="R759" s="2" t="s">
        <v>794</v>
      </c>
      <c r="S759" s="2" t="s">
        <v>1098</v>
      </c>
      <c r="T759" s="2" t="s">
        <v>7646</v>
      </c>
      <c r="U759" s="2" t="s">
        <v>22956</v>
      </c>
      <c r="V759" s="2" t="s">
        <v>17406</v>
      </c>
      <c r="W759" s="2"/>
    </row>
    <row r="760">
      <c r="A760" s="2" t="n">
        <v>572</v>
      </c>
      <c r="B760" s="2" t="s">
        <v>14907</v>
      </c>
      <c r="C760" s="2" t="s">
        <v>22965</v>
      </c>
      <c r="D760" s="2" t="n">
        <v>608.311297535</v>
      </c>
      <c r="E760" s="2" t="n">
        <v>2.04655318877637</v>
      </c>
      <c r="F760" s="2" t="s">
        <v>22967</v>
      </c>
      <c r="G760" s="2" t="n">
        <v>19891</v>
      </c>
      <c r="H760" s="3" t="str">
        <f>HYPERLINK("http://funmeta.oebiotech.com/network/19891", "http://funmeta.oebiotech.com/network/19891")</f>
      </c>
      <c r="I760" s="2" t="s">
        <v>22969</v>
      </c>
      <c r="J760" s="2" t="s">
        <v>22970</v>
      </c>
      <c r="K760" s="2" t="s">
        <v>22971</v>
      </c>
      <c r="L760" s="2" t="s">
        <v>8454</v>
      </c>
      <c r="M760" s="2" t="s">
        <v>22972</v>
      </c>
      <c r="N760" s="2" t="s">
        <v>22973</v>
      </c>
      <c r="O760" s="2"/>
      <c r="P760" s="2" t="s">
        <v>22974</v>
      </c>
      <c r="Q760" s="2" t="s">
        <v>22975</v>
      </c>
      <c r="R760" s="2" t="s">
        <v>794</v>
      </c>
      <c r="S760" s="2" t="s">
        <v>7122</v>
      </c>
      <c r="T760" s="2" t="s">
        <v>8460</v>
      </c>
      <c r="U760" s="2" t="s">
        <v>22966</v>
      </c>
      <c r="V760" s="2" t="s">
        <v>17406</v>
      </c>
      <c r="W760" s="2" t="s">
        <v>39</v>
      </c>
    </row>
    <row r="761">
      <c r="A761" s="2" t="n">
        <v>573</v>
      </c>
      <c r="B761" s="2" t="s">
        <v>14926</v>
      </c>
      <c r="C761" s="2" t="s">
        <v>22976</v>
      </c>
      <c r="D761" s="2" t="n">
        <v>610.1877519</v>
      </c>
      <c r="E761" s="2" t="n">
        <v>1.8403027742901</v>
      </c>
      <c r="F761" s="2" t="s">
        <v>22978</v>
      </c>
      <c r="G761" s="2" t="n">
        <v>198907</v>
      </c>
      <c r="H761" s="3" t="str">
        <f>HYPERLINK("http://funmeta.oebiotech.com/network/198907", "http://funmeta.oebiotech.com/network/198907")</f>
      </c>
      <c r="I761" s="2" t="s">
        <v>22980</v>
      </c>
      <c r="J761" s="2"/>
      <c r="K761" s="2"/>
      <c r="L761" s="2"/>
      <c r="M761" s="2"/>
      <c r="N761" s="2" t="s">
        <v>22981</v>
      </c>
      <c r="O761" s="2"/>
      <c r="P761" s="2" t="s">
        <v>22982</v>
      </c>
      <c r="Q761" s="2" t="s">
        <v>22983</v>
      </c>
      <c r="R761" s="2" t="s">
        <v>186</v>
      </c>
      <c r="S761" s="2" t="s">
        <v>187</v>
      </c>
      <c r="T761" s="2" t="s">
        <v>18011</v>
      </c>
      <c r="U761" s="2" t="s">
        <v>22977</v>
      </c>
      <c r="V761" s="2" t="s">
        <v>17970</v>
      </c>
      <c r="W761" s="2"/>
    </row>
    <row r="762">
      <c r="A762" s="2" t="n">
        <v>574</v>
      </c>
      <c r="B762" s="2" t="s">
        <v>14927</v>
      </c>
      <c r="C762" s="2" t="s">
        <v>22984</v>
      </c>
      <c r="D762" s="2" t="n">
        <v>611.188919994</v>
      </c>
      <c r="E762" s="2" t="n">
        <v>0.649242782945985</v>
      </c>
      <c r="F762" s="2" t="s">
        <v>22986</v>
      </c>
      <c r="G762" s="2" t="n">
        <v>54538</v>
      </c>
      <c r="H762" s="3" t="str">
        <f>HYPERLINK("http://funmeta.oebiotech.com/network/54538", "http://funmeta.oebiotech.com/network/54538")</f>
      </c>
      <c r="I762" s="2" t="s">
        <v>22988</v>
      </c>
      <c r="J762" s="2" t="s">
        <v>22989</v>
      </c>
      <c r="K762" s="2"/>
      <c r="L762" s="2"/>
      <c r="M762" s="2"/>
      <c r="N762" s="2" t="s">
        <v>22990</v>
      </c>
      <c r="O762" s="2"/>
      <c r="P762" s="2" t="s">
        <v>22991</v>
      </c>
      <c r="Q762" s="2" t="s">
        <v>22992</v>
      </c>
      <c r="R762" s="2" t="s">
        <v>794</v>
      </c>
      <c r="S762" s="2" t="s">
        <v>2971</v>
      </c>
      <c r="T762" s="2" t="s">
        <v>22993</v>
      </c>
      <c r="U762" s="2" t="s">
        <v>22985</v>
      </c>
      <c r="V762" s="2" t="s">
        <v>17406</v>
      </c>
      <c r="W762" s="2"/>
    </row>
    <row r="763">
      <c r="A763" s="2" t="n">
        <v>575</v>
      </c>
      <c r="B763" s="2" t="s">
        <v>14928</v>
      </c>
      <c r="C763" s="2" t="s">
        <v>22994</v>
      </c>
      <c r="D763" s="2" t="n">
        <v>612.18952911</v>
      </c>
      <c r="E763" s="2" t="n">
        <v>4.50276572796571</v>
      </c>
      <c r="F763" s="2" t="s">
        <v>22996</v>
      </c>
      <c r="G763" s="2" t="n">
        <v>202483</v>
      </c>
      <c r="H763" s="3" t="str">
        <f>HYPERLINK("http://funmeta.oebiotech.com/network/202483", "http://funmeta.oebiotech.com/network/202483")</f>
      </c>
      <c r="I763" s="2" t="s">
        <v>22998</v>
      </c>
      <c r="J763" s="2"/>
      <c r="K763" s="2"/>
      <c r="L763" s="2"/>
      <c r="M763" s="2"/>
      <c r="N763" s="2" t="s">
        <v>22999</v>
      </c>
      <c r="O763" s="2"/>
      <c r="P763" s="2" t="s">
        <v>23000</v>
      </c>
      <c r="Q763" s="2" t="s">
        <v>23001</v>
      </c>
      <c r="R763" s="2" t="s">
        <v>114</v>
      </c>
      <c r="S763" s="2" t="s">
        <v>994</v>
      </c>
      <c r="T763" s="2" t="s">
        <v>1611</v>
      </c>
      <c r="U763" s="2" t="s">
        <v>22995</v>
      </c>
      <c r="V763" s="2" t="s">
        <v>17406</v>
      </c>
      <c r="W763" s="2"/>
    </row>
    <row r="764">
      <c r="A764" s="2" t="n">
        <v>576</v>
      </c>
      <c r="B764" s="2" t="s">
        <v>14947</v>
      </c>
      <c r="C764" s="2" t="s">
        <v>23002</v>
      </c>
      <c r="D764" s="2" t="n">
        <v>613.480243222</v>
      </c>
      <c r="E764" s="2" t="n">
        <v>4.71968874430989</v>
      </c>
      <c r="F764" s="2" t="s">
        <v>23004</v>
      </c>
      <c r="G764" s="2" t="n">
        <v>48985</v>
      </c>
      <c r="H764" s="3" t="str">
        <f>HYPERLINK("http://funmeta.oebiotech.com/network/48985", "http://funmeta.oebiotech.com/network/48985")</f>
      </c>
      <c r="I764" s="2" t="s">
        <v>23006</v>
      </c>
      <c r="J764" s="2" t="s">
        <v>23007</v>
      </c>
      <c r="K764" s="2"/>
      <c r="L764" s="2"/>
      <c r="M764" s="2" t="s">
        <v>23008</v>
      </c>
      <c r="N764" s="2" t="s">
        <v>23009</v>
      </c>
      <c r="O764" s="2"/>
      <c r="P764" s="2" t="s">
        <v>23010</v>
      </c>
      <c r="Q764" s="2" t="s">
        <v>23011</v>
      </c>
      <c r="R764" s="2" t="s">
        <v>794</v>
      </c>
      <c r="S764" s="2" t="s">
        <v>2600</v>
      </c>
      <c r="T764" s="2" t="s">
        <v>8990</v>
      </c>
      <c r="U764" s="2" t="s">
        <v>23003</v>
      </c>
      <c r="V764" s="2" t="s">
        <v>17198</v>
      </c>
      <c r="W764" s="2" t="s">
        <v>56</v>
      </c>
    </row>
    <row r="765">
      <c r="A765" s="2" t="n">
        <v>577</v>
      </c>
      <c r="B765" s="2" t="s">
        <v>14948</v>
      </c>
      <c r="C765" s="2" t="s">
        <v>23012</v>
      </c>
      <c r="D765" s="2" t="n">
        <v>615.14744911</v>
      </c>
      <c r="E765" s="2" t="n">
        <v>6.56195931350853</v>
      </c>
      <c r="F765" s="2" t="s">
        <v>23014</v>
      </c>
      <c r="G765" s="2" t="n">
        <v>56451</v>
      </c>
      <c r="H765" s="3" t="str">
        <f>HYPERLINK("http://funmeta.oebiotech.com/network/56451", "http://funmeta.oebiotech.com/network/56451")</f>
      </c>
      <c r="I765" s="2" t="s">
        <v>23016</v>
      </c>
      <c r="J765" s="2"/>
      <c r="K765" s="2"/>
      <c r="L765" s="2" t="s">
        <v>23017</v>
      </c>
      <c r="M765" s="2" t="s">
        <v>23018</v>
      </c>
      <c r="N765" s="2" t="s">
        <v>23019</v>
      </c>
      <c r="O765" s="2" t="s">
        <v>23020</v>
      </c>
      <c r="P765" s="2" t="s">
        <v>23021</v>
      </c>
      <c r="Q765" s="2" t="s">
        <v>23022</v>
      </c>
      <c r="R765" s="2" t="s">
        <v>1355</v>
      </c>
      <c r="S765" s="2" t="s">
        <v>5199</v>
      </c>
      <c r="T765" s="2" t="s">
        <v>7308</v>
      </c>
      <c r="U765" s="2" t="s">
        <v>23013</v>
      </c>
      <c r="V765" s="2" t="s">
        <v>17406</v>
      </c>
      <c r="W765" s="2" t="s">
        <v>56</v>
      </c>
    </row>
    <row r="766">
      <c r="A766" s="2" t="n">
        <v>578</v>
      </c>
      <c r="B766" s="2" t="s">
        <v>14949</v>
      </c>
      <c r="C766" s="2" t="s">
        <v>23023</v>
      </c>
      <c r="D766" s="2" t="n">
        <v>615.498301222</v>
      </c>
      <c r="E766" s="2" t="n">
        <v>2.00370821239117</v>
      </c>
      <c r="F766" s="2" t="s">
        <v>23025</v>
      </c>
      <c r="G766" s="2" t="n">
        <v>48988</v>
      </c>
      <c r="H766" s="3" t="str">
        <f>HYPERLINK("http://funmeta.oebiotech.com/network/48988", "http://funmeta.oebiotech.com/network/48988")</f>
      </c>
      <c r="I766" s="2" t="s">
        <v>23027</v>
      </c>
      <c r="J766" s="2" t="s">
        <v>23028</v>
      </c>
      <c r="K766" s="2"/>
      <c r="L766" s="2"/>
      <c r="M766" s="2"/>
      <c r="N766" s="2" t="s">
        <v>23029</v>
      </c>
      <c r="O766" s="2"/>
      <c r="P766" s="2" t="s">
        <v>23030</v>
      </c>
      <c r="Q766" s="2" t="s">
        <v>23031</v>
      </c>
      <c r="R766" s="2" t="s">
        <v>794</v>
      </c>
      <c r="S766" s="2" t="s">
        <v>2600</v>
      </c>
      <c r="T766" s="2" t="s">
        <v>8990</v>
      </c>
      <c r="U766" s="2" t="s">
        <v>23024</v>
      </c>
      <c r="V766" s="2" t="s">
        <v>17137</v>
      </c>
      <c r="W766" s="2" t="s">
        <v>56</v>
      </c>
    </row>
    <row r="767">
      <c r="A767" s="2" t="n">
        <v>579</v>
      </c>
      <c r="B767" s="2" t="s">
        <v>14950</v>
      </c>
      <c r="C767" s="2" t="s">
        <v>23032</v>
      </c>
      <c r="D767" s="2" t="n">
        <v>617.218111632</v>
      </c>
      <c r="E767" s="2" t="n">
        <v>4.47769092791024</v>
      </c>
      <c r="F767" s="2" t="s">
        <v>23034</v>
      </c>
      <c r="G767" s="2" t="n">
        <v>58167</v>
      </c>
      <c r="H767" s="3" t="str">
        <f>HYPERLINK("http://funmeta.oebiotech.com/network/58167", "http://funmeta.oebiotech.com/network/58167")</f>
      </c>
      <c r="I767" s="2" t="s">
        <v>23036</v>
      </c>
      <c r="J767" s="2"/>
      <c r="K767" s="2"/>
      <c r="L767" s="2"/>
      <c r="M767" s="2"/>
      <c r="N767" s="2" t="s">
        <v>23037</v>
      </c>
      <c r="O767" s="2"/>
      <c r="P767" s="2" t="s">
        <v>23038</v>
      </c>
      <c r="Q767" s="2" t="s">
        <v>23039</v>
      </c>
      <c r="R767" s="2" t="s">
        <v>794</v>
      </c>
      <c r="S767" s="2" t="s">
        <v>2971</v>
      </c>
      <c r="T767" s="2" t="s">
        <v>6693</v>
      </c>
      <c r="U767" s="2" t="s">
        <v>23033</v>
      </c>
      <c r="V767" s="2" t="s">
        <v>17406</v>
      </c>
      <c r="W767" s="2" t="s">
        <v>56</v>
      </c>
    </row>
    <row r="768">
      <c r="A768" s="2" t="n">
        <v>580</v>
      </c>
      <c r="B768" s="2" t="s">
        <v>14963</v>
      </c>
      <c r="C768" s="2" t="s">
        <v>23040</v>
      </c>
      <c r="D768" s="2" t="n">
        <v>617.513951286</v>
      </c>
      <c r="E768" s="2" t="n">
        <v>4.3499288648716</v>
      </c>
      <c r="F768" s="2" t="s">
        <v>23042</v>
      </c>
      <c r="G768" s="2" t="n">
        <v>10912</v>
      </c>
      <c r="H768" s="3" t="str">
        <f>HYPERLINK("http://funmeta.oebiotech.com/network/10912", "http://funmeta.oebiotech.com/network/10912")</f>
      </c>
      <c r="I768" s="2" t="s">
        <v>23044</v>
      </c>
      <c r="J768" s="2" t="s">
        <v>23045</v>
      </c>
      <c r="K768" s="2" t="s">
        <v>23046</v>
      </c>
      <c r="L768" s="2"/>
      <c r="M768" s="2" t="s">
        <v>23047</v>
      </c>
      <c r="N768" s="2" t="s">
        <v>23048</v>
      </c>
      <c r="O768" s="2"/>
      <c r="P768" s="2" t="s">
        <v>23049</v>
      </c>
      <c r="Q768" s="2" t="s">
        <v>23050</v>
      </c>
      <c r="R768" s="2" t="s">
        <v>794</v>
      </c>
      <c r="S768" s="2" t="s">
        <v>2600</v>
      </c>
      <c r="T768" s="2" t="s">
        <v>8990</v>
      </c>
      <c r="U768" s="2" t="s">
        <v>23041</v>
      </c>
      <c r="V768" s="2" t="s">
        <v>17137</v>
      </c>
      <c r="W768" s="2"/>
    </row>
    <row r="769">
      <c r="A769" s="2" t="n">
        <v>581</v>
      </c>
      <c r="B769" s="2" t="s">
        <v>14981</v>
      </c>
      <c r="C769" s="2" t="s">
        <v>23051</v>
      </c>
      <c r="D769" s="2" t="n">
        <v>618.216731423</v>
      </c>
      <c r="E769" s="2" t="n">
        <v>5.47192028113251</v>
      </c>
      <c r="F769" s="2" t="s">
        <v>27645</v>
      </c>
      <c r="G769" s="2" t="n">
        <v>47950</v>
      </c>
      <c r="H769" s="3" t="str">
        <f>HYPERLINK("http://funmeta.oebiotech.com/network/47950", "http://funmeta.oebiotech.com/network/47950")</f>
      </c>
      <c r="I769" s="2" t="s">
        <v>27646</v>
      </c>
      <c r="J769" s="2" t="s">
        <v>27647</v>
      </c>
      <c r="K769" s="2"/>
      <c r="L769" s="2"/>
      <c r="M769" s="2"/>
      <c r="N769" s="2" t="s">
        <v>27648</v>
      </c>
      <c r="O769" s="2" t="s">
        <v>27649</v>
      </c>
      <c r="P769" s="2" t="s">
        <v>27650</v>
      </c>
      <c r="Q769" s="2" t="s">
        <v>27651</v>
      </c>
      <c r="R769" s="2" t="s">
        <v>794</v>
      </c>
      <c r="S769" s="2" t="s">
        <v>2971</v>
      </c>
      <c r="T769" s="2" t="s">
        <v>6499</v>
      </c>
      <c r="U769" s="2" t="s">
        <v>23052</v>
      </c>
      <c r="V769" s="2" t="s">
        <v>17406</v>
      </c>
      <c r="W769" s="2" t="s">
        <v>56</v>
      </c>
    </row>
    <row r="770">
      <c r="A770" s="2" t="n">
        <v>581</v>
      </c>
      <c r="B770" s="2" t="s">
        <v>27652</v>
      </c>
      <c r="C770" s="2" t="s">
        <v>23051</v>
      </c>
      <c r="D770" s="2" t="n">
        <v>618.216731423</v>
      </c>
      <c r="E770" s="2" t="n">
        <v>5.47192028113251</v>
      </c>
      <c r="F770" s="2" t="s">
        <v>27653</v>
      </c>
      <c r="G770" s="2" t="n">
        <v>46692</v>
      </c>
      <c r="H770" s="3" t="str">
        <f>HYPERLINK("http://funmeta.oebiotech.com/network/46692", "http://funmeta.oebiotech.com/network/46692")</f>
      </c>
      <c r="I770" s="2" t="s">
        <v>27654</v>
      </c>
      <c r="J770" s="2" t="s">
        <v>27655</v>
      </c>
      <c r="K770" s="2" t="s">
        <v>27656</v>
      </c>
      <c r="L770" s="2"/>
      <c r="M770" s="2"/>
      <c r="N770" s="2" t="s">
        <v>27657</v>
      </c>
      <c r="O770" s="2" t="s">
        <v>27658</v>
      </c>
      <c r="P770" s="2" t="s">
        <v>27659</v>
      </c>
      <c r="Q770" s="2" t="s">
        <v>27660</v>
      </c>
      <c r="R770" s="2" t="s">
        <v>794</v>
      </c>
      <c r="S770" s="2" t="s">
        <v>2971</v>
      </c>
      <c r="T770" s="2" t="s">
        <v>6499</v>
      </c>
      <c r="U770" s="2" t="s">
        <v>23052</v>
      </c>
      <c r="V770" s="2" t="s">
        <v>17406</v>
      </c>
      <c r="W770" s="2" t="s">
        <v>56</v>
      </c>
    </row>
    <row r="771">
      <c r="A771" s="2" t="n">
        <v>582</v>
      </c>
      <c r="B771" s="2" t="s">
        <v>14982</v>
      </c>
      <c r="C771" s="2" t="s">
        <v>23062</v>
      </c>
      <c r="D771" s="2" t="n">
        <v>621.397456204</v>
      </c>
      <c r="E771" s="2" t="n">
        <v>1.21857714104887</v>
      </c>
      <c r="F771" s="2" t="s">
        <v>23064</v>
      </c>
      <c r="G771" s="2" t="n">
        <v>210487</v>
      </c>
      <c r="H771" s="3" t="str">
        <f>HYPERLINK("http://funmeta.oebiotech.com/network/210487", "http://funmeta.oebiotech.com/network/210487")</f>
      </c>
      <c r="I771" s="2" t="s">
        <v>23066</v>
      </c>
      <c r="J771" s="2" t="s">
        <v>23067</v>
      </c>
      <c r="K771" s="2"/>
      <c r="L771" s="2" t="s">
        <v>23068</v>
      </c>
      <c r="M771" s="2" t="s">
        <v>23069</v>
      </c>
      <c r="N771" s="2" t="s">
        <v>23070</v>
      </c>
      <c r="O771" s="2" t="s">
        <v>23071</v>
      </c>
      <c r="P771" s="2" t="s">
        <v>23072</v>
      </c>
      <c r="Q771" s="2" t="s">
        <v>23073</v>
      </c>
      <c r="R771" s="2" t="s">
        <v>129</v>
      </c>
      <c r="S771" s="2" t="s">
        <v>130</v>
      </c>
      <c r="T771" s="2" t="s">
        <v>4901</v>
      </c>
      <c r="U771" s="2" t="s">
        <v>23063</v>
      </c>
      <c r="V771" s="2" t="s">
        <v>17406</v>
      </c>
      <c r="W771" s="2" t="s">
        <v>101</v>
      </c>
    </row>
    <row r="772">
      <c r="A772" s="2" t="n">
        <v>583</v>
      </c>
      <c r="B772" s="2" t="s">
        <v>14983</v>
      </c>
      <c r="C772" s="2" t="s">
        <v>23074</v>
      </c>
      <c r="D772" s="2" t="n">
        <v>625.232396979</v>
      </c>
      <c r="E772" s="2" t="n">
        <v>1.33923141577396</v>
      </c>
      <c r="F772" s="2" t="s">
        <v>23076</v>
      </c>
      <c r="G772" s="2" t="n">
        <v>208037</v>
      </c>
      <c r="H772" s="3" t="str">
        <f>HYPERLINK("http://funmeta.oebiotech.com/network/208037", "http://funmeta.oebiotech.com/network/208037")</f>
      </c>
      <c r="I772" s="2" t="s">
        <v>23078</v>
      </c>
      <c r="J772" s="2" t="s">
        <v>23079</v>
      </c>
      <c r="K772" s="2"/>
      <c r="L772" s="2"/>
      <c r="M772" s="2"/>
      <c r="N772" s="2" t="s">
        <v>23080</v>
      </c>
      <c r="O772" s="2" t="s">
        <v>23081</v>
      </c>
      <c r="P772" s="2" t="s">
        <v>23082</v>
      </c>
      <c r="Q772" s="2" t="s">
        <v>23083</v>
      </c>
      <c r="R772" s="2" t="s">
        <v>186</v>
      </c>
      <c r="S772" s="2" t="s">
        <v>187</v>
      </c>
      <c r="T772" s="2" t="s">
        <v>3552</v>
      </c>
      <c r="U772" s="2" t="s">
        <v>23075</v>
      </c>
      <c r="V772" s="2" t="s">
        <v>17406</v>
      </c>
      <c r="W772" s="2"/>
    </row>
    <row r="773">
      <c r="A773" s="2" t="n">
        <v>584</v>
      </c>
      <c r="B773" s="2" t="s">
        <v>14984</v>
      </c>
      <c r="C773" s="2" t="s">
        <v>23084</v>
      </c>
      <c r="D773" s="2" t="n">
        <v>626.229496427</v>
      </c>
      <c r="E773" s="2" t="n">
        <v>4.34423062160421</v>
      </c>
      <c r="F773" s="2" t="s">
        <v>23086</v>
      </c>
      <c r="G773" s="2" t="n">
        <v>207414</v>
      </c>
      <c r="H773" s="3" t="str">
        <f>HYPERLINK("http://funmeta.oebiotech.com/network/207414", "http://funmeta.oebiotech.com/network/207414")</f>
      </c>
      <c r="I773" s="2" t="s">
        <v>23088</v>
      </c>
      <c r="J773" s="2"/>
      <c r="K773" s="2"/>
      <c r="L773" s="2"/>
      <c r="M773" s="2"/>
      <c r="N773" s="2" t="s">
        <v>23089</v>
      </c>
      <c r="O773" s="2"/>
      <c r="P773" s="2" t="s">
        <v>23090</v>
      </c>
      <c r="Q773" s="2" t="s">
        <v>23091</v>
      </c>
      <c r="R773" s="2" t="s">
        <v>36</v>
      </c>
      <c r="S773" s="2" t="s">
        <v>37</v>
      </c>
      <c r="T773" s="2" t="s">
        <v>69</v>
      </c>
      <c r="U773" s="2" t="s">
        <v>23085</v>
      </c>
      <c r="V773" s="2" t="s">
        <v>17406</v>
      </c>
      <c r="W773" s="2"/>
    </row>
    <row r="774">
      <c r="A774" s="2" t="n">
        <v>585</v>
      </c>
      <c r="B774" s="2" t="s">
        <v>14985</v>
      </c>
      <c r="C774" s="2" t="s">
        <v>23092</v>
      </c>
      <c r="D774" s="2" t="n">
        <v>629.319874586</v>
      </c>
      <c r="E774" s="2" t="n">
        <v>1.46642614633771</v>
      </c>
      <c r="F774" s="2" t="s">
        <v>23094</v>
      </c>
      <c r="G774" s="2" t="n">
        <v>52592</v>
      </c>
      <c r="H774" s="3" t="str">
        <f>HYPERLINK("http://funmeta.oebiotech.com/network/52592", "http://funmeta.oebiotech.com/network/52592")</f>
      </c>
      <c r="I774" s="2" t="s">
        <v>23096</v>
      </c>
      <c r="J774" s="2" t="s">
        <v>23097</v>
      </c>
      <c r="K774" s="2"/>
      <c r="L774" s="2" t="s">
        <v>23098</v>
      </c>
      <c r="M774" s="2" t="s">
        <v>23099</v>
      </c>
      <c r="N774" s="2" t="s">
        <v>23100</v>
      </c>
      <c r="O774" s="2" t="s">
        <v>23101</v>
      </c>
      <c r="P774" s="2" t="s">
        <v>23102</v>
      </c>
      <c r="Q774" s="2" t="s">
        <v>23103</v>
      </c>
      <c r="R774" s="2" t="s">
        <v>186</v>
      </c>
      <c r="S774" s="2" t="s">
        <v>911</v>
      </c>
      <c r="T774" s="2" t="s">
        <v>215</v>
      </c>
      <c r="U774" s="2" t="s">
        <v>23093</v>
      </c>
      <c r="V774" s="2" t="s">
        <v>17227</v>
      </c>
      <c r="W774" s="2" t="s">
        <v>56</v>
      </c>
    </row>
    <row r="775">
      <c r="A775" s="2" t="n">
        <v>586</v>
      </c>
      <c r="B775" s="2" t="s">
        <v>14986</v>
      </c>
      <c r="C775" s="2" t="s">
        <v>23104</v>
      </c>
      <c r="D775" s="2" t="n">
        <v>629.454028476</v>
      </c>
      <c r="E775" s="2" t="n">
        <v>0.801617394716613</v>
      </c>
      <c r="F775" s="2" t="s">
        <v>23106</v>
      </c>
      <c r="G775" s="2" t="n">
        <v>8497</v>
      </c>
      <c r="H775" s="3" t="str">
        <f>HYPERLINK("http://funmeta.oebiotech.com/network/8497", "http://funmeta.oebiotech.com/network/8497")</f>
      </c>
      <c r="I775" s="2" t="s">
        <v>23108</v>
      </c>
      <c r="J775" s="2"/>
      <c r="K775" s="2" t="s">
        <v>23109</v>
      </c>
      <c r="L775" s="2"/>
      <c r="M775" s="2"/>
      <c r="N775" s="2" t="s">
        <v>23110</v>
      </c>
      <c r="O775" s="2"/>
      <c r="P775" s="2" t="s">
        <v>23111</v>
      </c>
      <c r="Q775" s="2" t="s">
        <v>23112</v>
      </c>
      <c r="R775" s="2" t="s">
        <v>794</v>
      </c>
      <c r="S775" s="2" t="s">
        <v>795</v>
      </c>
      <c r="T775" s="2" t="s">
        <v>2391</v>
      </c>
      <c r="U775" s="2" t="s">
        <v>23105</v>
      </c>
      <c r="V775" s="2" t="s">
        <v>17198</v>
      </c>
      <c r="W775" s="2"/>
    </row>
    <row r="776">
      <c r="A776" s="2" t="n">
        <v>587</v>
      </c>
      <c r="B776" s="2" t="s">
        <v>14987</v>
      </c>
      <c r="C776" s="2" t="s">
        <v>23113</v>
      </c>
      <c r="D776" s="2" t="n">
        <v>631.12123436</v>
      </c>
      <c r="E776" s="2" t="n">
        <v>5.46118451573939</v>
      </c>
      <c r="F776" s="2" t="s">
        <v>23115</v>
      </c>
      <c r="G776" s="2" t="n">
        <v>55581</v>
      </c>
      <c r="H776" s="3" t="str">
        <f>HYPERLINK("http://funmeta.oebiotech.com/network/55581", "http://funmeta.oebiotech.com/network/55581")</f>
      </c>
      <c r="I776" s="2" t="s">
        <v>23117</v>
      </c>
      <c r="J776" s="2" t="s">
        <v>23118</v>
      </c>
      <c r="K776" s="2"/>
      <c r="L776" s="2"/>
      <c r="M776" s="2" t="s">
        <v>23119</v>
      </c>
      <c r="N776" s="2" t="s">
        <v>23120</v>
      </c>
      <c r="O776" s="2" t="s">
        <v>23121</v>
      </c>
      <c r="P776" s="2" t="s">
        <v>23122</v>
      </c>
      <c r="Q776" s="2" t="s">
        <v>23123</v>
      </c>
      <c r="R776" s="2" t="s">
        <v>114</v>
      </c>
      <c r="S776" s="2" t="s">
        <v>8755</v>
      </c>
      <c r="T776" s="2" t="s">
        <v>9513</v>
      </c>
      <c r="U776" s="2" t="s">
        <v>23114</v>
      </c>
      <c r="V776" s="2" t="s">
        <v>17406</v>
      </c>
      <c r="W776" s="2" t="s">
        <v>56</v>
      </c>
    </row>
    <row r="777">
      <c r="A777" s="2" t="n">
        <v>588</v>
      </c>
      <c r="B777" s="2" t="s">
        <v>14988</v>
      </c>
      <c r="C777" s="2" t="s">
        <v>23124</v>
      </c>
      <c r="D777" s="2" t="n">
        <v>631.469401132</v>
      </c>
      <c r="E777" s="2" t="n">
        <v>5.23266206541442</v>
      </c>
      <c r="F777" s="2" t="s">
        <v>23126</v>
      </c>
      <c r="G777" s="2" t="n">
        <v>209744</v>
      </c>
      <c r="H777" s="3" t="str">
        <f>HYPERLINK("http://funmeta.oebiotech.com/network/209744", "http://funmeta.oebiotech.com/network/209744")</f>
      </c>
      <c r="I777" s="2" t="s">
        <v>23128</v>
      </c>
      <c r="J777" s="2"/>
      <c r="K777" s="2"/>
      <c r="L777" s="2"/>
      <c r="M777" s="2"/>
      <c r="N777" s="2" t="s">
        <v>23129</v>
      </c>
      <c r="O777" s="2"/>
      <c r="P777" s="2" t="s">
        <v>23130</v>
      </c>
      <c r="Q777" s="2" t="s">
        <v>23131</v>
      </c>
      <c r="R777" s="2" t="s">
        <v>186</v>
      </c>
      <c r="S777" s="2" t="s">
        <v>187</v>
      </c>
      <c r="T777" s="2" t="s">
        <v>2195</v>
      </c>
      <c r="U777" s="2" t="s">
        <v>23125</v>
      </c>
      <c r="V777" s="2" t="s">
        <v>17137</v>
      </c>
      <c r="W777" s="2"/>
    </row>
    <row r="778">
      <c r="A778" s="2" t="n">
        <v>589</v>
      </c>
      <c r="B778" s="2" t="s">
        <v>14989</v>
      </c>
      <c r="C778" s="2" t="s">
        <v>23132</v>
      </c>
      <c r="D778" s="2" t="n">
        <v>632.115096503</v>
      </c>
      <c r="E778" s="2" t="n">
        <v>1.62857916734337</v>
      </c>
      <c r="F778" s="2" t="s">
        <v>23134</v>
      </c>
      <c r="G778" s="2" t="n">
        <v>212488</v>
      </c>
      <c r="H778" s="3" t="str">
        <f>HYPERLINK("http://funmeta.oebiotech.com/network/212488", "http://funmeta.oebiotech.com/network/212488")</f>
      </c>
      <c r="I778" s="2" t="s">
        <v>23136</v>
      </c>
      <c r="J778" s="2" t="s">
        <v>23137</v>
      </c>
      <c r="K778" s="2"/>
      <c r="L778" s="2" t="s">
        <v>23138</v>
      </c>
      <c r="M778" s="2"/>
      <c r="N778" s="2" t="s">
        <v>23139</v>
      </c>
      <c r="O778" s="2" t="s">
        <v>23140</v>
      </c>
      <c r="P778" s="2" t="s">
        <v>23141</v>
      </c>
      <c r="Q778" s="2" t="s">
        <v>23142</v>
      </c>
      <c r="R778" s="2" t="s">
        <v>186</v>
      </c>
      <c r="S778" s="2" t="s">
        <v>187</v>
      </c>
      <c r="T778" s="2" t="s">
        <v>22018</v>
      </c>
      <c r="U778" s="2" t="s">
        <v>23133</v>
      </c>
      <c r="V778" s="2" t="s">
        <v>17520</v>
      </c>
      <c r="W778" s="2" t="s">
        <v>101</v>
      </c>
    </row>
    <row r="779">
      <c r="A779" s="2" t="n">
        <v>590</v>
      </c>
      <c r="B779" s="2" t="s">
        <v>14990</v>
      </c>
      <c r="C779" s="2" t="s">
        <v>23143</v>
      </c>
      <c r="D779" s="2" t="n">
        <v>632.18807345</v>
      </c>
      <c r="E779" s="2" t="n">
        <v>5.88981058476724</v>
      </c>
      <c r="F779" s="2" t="s">
        <v>23145</v>
      </c>
      <c r="G779" s="2" t="n">
        <v>207799</v>
      </c>
      <c r="H779" s="3" t="str">
        <f>HYPERLINK("http://funmeta.oebiotech.com/network/207799", "http://funmeta.oebiotech.com/network/207799")</f>
      </c>
      <c r="I779" s="2" t="s">
        <v>23147</v>
      </c>
      <c r="J779" s="2"/>
      <c r="K779" s="2"/>
      <c r="L779" s="2"/>
      <c r="M779" s="2" t="s">
        <v>23148</v>
      </c>
      <c r="N779" s="2" t="s">
        <v>23149</v>
      </c>
      <c r="O779" s="2"/>
      <c r="P779" s="2" t="s">
        <v>23150</v>
      </c>
      <c r="Q779" s="2" t="s">
        <v>23151</v>
      </c>
      <c r="R779" s="2" t="s">
        <v>36</v>
      </c>
      <c r="S779" s="2" t="s">
        <v>37</v>
      </c>
      <c r="T779" s="2" t="s">
        <v>9649</v>
      </c>
      <c r="U779" s="2" t="s">
        <v>23144</v>
      </c>
      <c r="V779" s="2" t="s">
        <v>17039</v>
      </c>
      <c r="W779" s="2"/>
    </row>
    <row r="780">
      <c r="A780" s="2" t="n">
        <v>591</v>
      </c>
      <c r="B780" s="2" t="s">
        <v>14991</v>
      </c>
      <c r="C780" s="2" t="s">
        <v>23152</v>
      </c>
      <c r="D780" s="2" t="n">
        <v>632.332427385</v>
      </c>
      <c r="E780" s="2" t="n">
        <v>1.73136219128203</v>
      </c>
      <c r="F780" s="2" t="s">
        <v>23154</v>
      </c>
      <c r="G780" s="2" t="n">
        <v>210525</v>
      </c>
      <c r="H780" s="3" t="str">
        <f>HYPERLINK("http://funmeta.oebiotech.com/network/210525", "http://funmeta.oebiotech.com/network/210525")</f>
      </c>
      <c r="I780" s="2" t="s">
        <v>23156</v>
      </c>
      <c r="J780" s="2"/>
      <c r="K780" s="2"/>
      <c r="L780" s="2"/>
      <c r="M780" s="2"/>
      <c r="N780" s="2" t="s">
        <v>23157</v>
      </c>
      <c r="O780" s="2"/>
      <c r="P780" s="2" t="s">
        <v>23158</v>
      </c>
      <c r="Q780" s="2" t="s">
        <v>23159</v>
      </c>
      <c r="R780" s="2" t="s">
        <v>794</v>
      </c>
      <c r="S780" s="2" t="s">
        <v>7122</v>
      </c>
      <c r="T780" s="2" t="s">
        <v>8460</v>
      </c>
      <c r="U780" s="2" t="s">
        <v>23153</v>
      </c>
      <c r="V780" s="2" t="s">
        <v>17406</v>
      </c>
      <c r="W780" s="2"/>
    </row>
    <row r="781">
      <c r="A781" s="2" t="n">
        <v>592</v>
      </c>
      <c r="B781" s="2" t="s">
        <v>15008</v>
      </c>
      <c r="C781" s="2" t="s">
        <v>23160</v>
      </c>
      <c r="D781" s="2" t="n">
        <v>633.115755052</v>
      </c>
      <c r="E781" s="2" t="n">
        <v>1.37256226802331</v>
      </c>
      <c r="F781" s="2" t="s">
        <v>23162</v>
      </c>
      <c r="G781" s="2" t="n">
        <v>57543</v>
      </c>
      <c r="H781" s="3" t="str">
        <f>HYPERLINK("http://funmeta.oebiotech.com/network/57543", "http://funmeta.oebiotech.com/network/57543")</f>
      </c>
      <c r="I781" s="2" t="s">
        <v>23164</v>
      </c>
      <c r="J781" s="2"/>
      <c r="K781" s="2"/>
      <c r="L781" s="2"/>
      <c r="M781" s="2"/>
      <c r="N781" s="2" t="s">
        <v>23165</v>
      </c>
      <c r="O781" s="2" t="s">
        <v>23166</v>
      </c>
      <c r="P781" s="2" t="s">
        <v>23167</v>
      </c>
      <c r="Q781" s="2" t="s">
        <v>23168</v>
      </c>
      <c r="R781" s="2" t="s">
        <v>1355</v>
      </c>
      <c r="S781" s="2" t="s">
        <v>5199</v>
      </c>
      <c r="T781" s="2" t="s">
        <v>5200</v>
      </c>
      <c r="U781" s="2" t="s">
        <v>23161</v>
      </c>
      <c r="V781" s="2" t="s">
        <v>17406</v>
      </c>
      <c r="W781" s="2"/>
    </row>
    <row r="782">
      <c r="A782" s="2" t="n">
        <v>593</v>
      </c>
      <c r="B782" s="2" t="s">
        <v>15009</v>
      </c>
      <c r="C782" s="2" t="s">
        <v>23169</v>
      </c>
      <c r="D782" s="2" t="n">
        <v>635.110154542</v>
      </c>
      <c r="E782" s="2" t="n">
        <v>2.94863257127416</v>
      </c>
      <c r="F782" s="2" t="s">
        <v>23171</v>
      </c>
      <c r="G782" s="2" t="n">
        <v>52788</v>
      </c>
      <c r="H782" s="3" t="str">
        <f>HYPERLINK("http://funmeta.oebiotech.com/network/52788", "http://funmeta.oebiotech.com/network/52788")</f>
      </c>
      <c r="I782" s="2" t="s">
        <v>23173</v>
      </c>
      <c r="J782" s="2" t="s">
        <v>23174</v>
      </c>
      <c r="K782" s="2"/>
      <c r="L782" s="2" t="s">
        <v>23175</v>
      </c>
      <c r="M782" s="2" t="s">
        <v>23176</v>
      </c>
      <c r="N782" s="2" t="s">
        <v>23177</v>
      </c>
      <c r="O782" s="2" t="s">
        <v>23178</v>
      </c>
      <c r="P782" s="2" t="s">
        <v>23179</v>
      </c>
      <c r="Q782" s="2" t="s">
        <v>23180</v>
      </c>
      <c r="R782" s="2" t="s">
        <v>36</v>
      </c>
      <c r="S782" s="2" t="s">
        <v>37</v>
      </c>
      <c r="T782" s="2" t="s">
        <v>69</v>
      </c>
      <c r="U782" s="2" t="s">
        <v>23170</v>
      </c>
      <c r="V782" s="2" t="s">
        <v>17198</v>
      </c>
      <c r="W782" s="2" t="s">
        <v>101</v>
      </c>
    </row>
    <row r="783">
      <c r="A783" s="2" t="n">
        <v>594</v>
      </c>
      <c r="B783" s="2" t="s">
        <v>15010</v>
      </c>
      <c r="C783" s="2" t="s">
        <v>23181</v>
      </c>
      <c r="D783" s="2" t="n">
        <v>635.194638459</v>
      </c>
      <c r="E783" s="2" t="n">
        <v>1.89185656654884</v>
      </c>
      <c r="F783" s="2" t="s">
        <v>27661</v>
      </c>
      <c r="G783" s="2" t="n">
        <v>257498</v>
      </c>
      <c r="H783" s="3" t="str">
        <f>HYPERLINK("http://funmeta.oebiotech.com/network/257498", "http://funmeta.oebiotech.com/network/257498")</f>
      </c>
      <c r="I783" s="2" t="s">
        <v>27662</v>
      </c>
      <c r="J783" s="2"/>
      <c r="K783" s="2"/>
      <c r="L783" s="2"/>
      <c r="M783" s="2"/>
      <c r="N783" s="2"/>
      <c r="O783" s="2"/>
      <c r="P783" s="2" t="s">
        <v>27663</v>
      </c>
      <c r="Q783" s="2" t="s">
        <v>27664</v>
      </c>
      <c r="R783" s="2" t="s">
        <v>1355</v>
      </c>
      <c r="S783" s="2" t="s">
        <v>5199</v>
      </c>
      <c r="T783" s="2" t="s">
        <v>7308</v>
      </c>
      <c r="U783" s="2" t="s">
        <v>23182</v>
      </c>
      <c r="V783" s="2" t="s">
        <v>17198</v>
      </c>
      <c r="W783" s="2"/>
    </row>
    <row r="784">
      <c r="A784" s="2" t="n">
        <v>594</v>
      </c>
      <c r="B784" s="2" t="s">
        <v>27665</v>
      </c>
      <c r="C784" s="2" t="s">
        <v>23181</v>
      </c>
      <c r="D784" s="2" t="n">
        <v>635.194638482</v>
      </c>
      <c r="E784" s="2" t="n">
        <v>1.89185656654884</v>
      </c>
      <c r="F784" s="2" t="s">
        <v>27666</v>
      </c>
      <c r="G784" s="2" t="n">
        <v>55342</v>
      </c>
      <c r="H784" s="3" t="str">
        <f>HYPERLINK("http://funmeta.oebiotech.com/network/55342", "http://funmeta.oebiotech.com/network/55342")</f>
      </c>
      <c r="I784" s="2" t="s">
        <v>27667</v>
      </c>
      <c r="J784" s="2"/>
      <c r="K784" s="2"/>
      <c r="L784" s="2"/>
      <c r="M784" s="2"/>
      <c r="N784" s="2" t="s">
        <v>27668</v>
      </c>
      <c r="O784" s="2" t="s">
        <v>27669</v>
      </c>
      <c r="P784" s="2" t="s">
        <v>27670</v>
      </c>
      <c r="Q784" s="2" t="s">
        <v>27671</v>
      </c>
      <c r="R784" s="2" t="s">
        <v>1355</v>
      </c>
      <c r="S784" s="2" t="s">
        <v>5199</v>
      </c>
      <c r="T784" s="2" t="s">
        <v>7308</v>
      </c>
      <c r="U784" s="2" t="s">
        <v>23182</v>
      </c>
      <c r="V784" s="2" t="s">
        <v>17198</v>
      </c>
      <c r="W784" s="2"/>
    </row>
    <row r="785">
      <c r="A785" s="2" t="n">
        <v>595</v>
      </c>
      <c r="B785" s="2" t="s">
        <v>15011</v>
      </c>
      <c r="C785" s="2" t="s">
        <v>23191</v>
      </c>
      <c r="D785" s="2" t="n">
        <v>635.40841569</v>
      </c>
      <c r="E785" s="2" t="n">
        <v>1.43903148338803</v>
      </c>
      <c r="F785" s="2" t="s">
        <v>23193</v>
      </c>
      <c r="G785" s="2" t="n">
        <v>211848</v>
      </c>
      <c r="H785" s="3" t="str">
        <f>HYPERLINK("http://funmeta.oebiotech.com/network/211848", "http://funmeta.oebiotech.com/network/211848")</f>
      </c>
      <c r="I785" s="2" t="s">
        <v>23195</v>
      </c>
      <c r="J785" s="2"/>
      <c r="K785" s="2"/>
      <c r="L785" s="2"/>
      <c r="M785" s="2"/>
      <c r="N785" s="2"/>
      <c r="O785" s="2"/>
      <c r="P785" s="2" t="s">
        <v>23196</v>
      </c>
      <c r="Q785" s="2" t="s">
        <v>23197</v>
      </c>
      <c r="R785" s="2" t="s">
        <v>186</v>
      </c>
      <c r="S785" s="2" t="s">
        <v>187</v>
      </c>
      <c r="T785" s="2" t="s">
        <v>5455</v>
      </c>
      <c r="U785" s="2" t="s">
        <v>23192</v>
      </c>
      <c r="V785" s="2" t="s">
        <v>17892</v>
      </c>
      <c r="W785" s="2"/>
    </row>
    <row r="786">
      <c r="A786" s="2" t="n">
        <v>596</v>
      </c>
      <c r="B786" s="2" t="s">
        <v>15012</v>
      </c>
      <c r="C786" s="2" t="s">
        <v>23198</v>
      </c>
      <c r="D786" s="2" t="n">
        <v>639.498301222</v>
      </c>
      <c r="E786" s="2" t="n">
        <v>1.48060649347089</v>
      </c>
      <c r="F786" s="2" t="s">
        <v>23200</v>
      </c>
      <c r="G786" s="2" t="n">
        <v>10687</v>
      </c>
      <c r="H786" s="3" t="str">
        <f>HYPERLINK("http://funmeta.oebiotech.com/network/10687", "http://funmeta.oebiotech.com/network/10687")</f>
      </c>
      <c r="I786" s="2" t="s">
        <v>23202</v>
      </c>
      <c r="J786" s="2" t="s">
        <v>23203</v>
      </c>
      <c r="K786" s="2" t="s">
        <v>23204</v>
      </c>
      <c r="L786" s="2"/>
      <c r="M786" s="2"/>
      <c r="N786" s="2" t="s">
        <v>23205</v>
      </c>
      <c r="O786" s="2"/>
      <c r="P786" s="2" t="s">
        <v>23206</v>
      </c>
      <c r="Q786" s="2" t="s">
        <v>23207</v>
      </c>
      <c r="R786" s="2" t="s">
        <v>794</v>
      </c>
      <c r="S786" s="2" t="s">
        <v>2600</v>
      </c>
      <c r="T786" s="2" t="s">
        <v>8990</v>
      </c>
      <c r="U786" s="2" t="s">
        <v>23199</v>
      </c>
      <c r="V786" s="2" t="s">
        <v>17137</v>
      </c>
      <c r="W786" s="2" t="s">
        <v>39</v>
      </c>
    </row>
    <row r="787">
      <c r="A787" s="2" t="n">
        <v>597</v>
      </c>
      <c r="B787" s="2" t="s">
        <v>15013</v>
      </c>
      <c r="C787" s="2" t="s">
        <v>23208</v>
      </c>
      <c r="D787" s="2" t="n">
        <v>641.513951286</v>
      </c>
      <c r="E787" s="2" t="n">
        <v>0.495652242855359</v>
      </c>
      <c r="F787" s="2" t="s">
        <v>23210</v>
      </c>
      <c r="G787" s="2" t="n">
        <v>10675</v>
      </c>
      <c r="H787" s="3" t="str">
        <f>HYPERLINK("http://funmeta.oebiotech.com/network/10675", "http://funmeta.oebiotech.com/network/10675")</f>
      </c>
      <c r="I787" s="2" t="s">
        <v>23212</v>
      </c>
      <c r="J787" s="2" t="s">
        <v>23213</v>
      </c>
      <c r="K787" s="2" t="s">
        <v>23214</v>
      </c>
      <c r="L787" s="2"/>
      <c r="M787" s="2" t="s">
        <v>23215</v>
      </c>
      <c r="N787" s="2" t="s">
        <v>23216</v>
      </c>
      <c r="O787" s="2"/>
      <c r="P787" s="2" t="s">
        <v>23217</v>
      </c>
      <c r="Q787" s="2" t="s">
        <v>23218</v>
      </c>
      <c r="R787" s="2" t="s">
        <v>794</v>
      </c>
      <c r="S787" s="2" t="s">
        <v>2600</v>
      </c>
      <c r="T787" s="2" t="s">
        <v>8990</v>
      </c>
      <c r="U787" s="2" t="s">
        <v>23209</v>
      </c>
      <c r="V787" s="2" t="s">
        <v>17137</v>
      </c>
      <c r="W787" s="2" t="s">
        <v>56</v>
      </c>
    </row>
    <row r="788">
      <c r="A788" s="2" t="n">
        <v>598</v>
      </c>
      <c r="B788" s="2" t="s">
        <v>15014</v>
      </c>
      <c r="C788" s="2" t="s">
        <v>23219</v>
      </c>
      <c r="D788" s="2" t="n">
        <v>643.52960135</v>
      </c>
      <c r="E788" s="2" t="n">
        <v>0.713259981573698</v>
      </c>
      <c r="F788" s="2" t="s">
        <v>23221</v>
      </c>
      <c r="G788" s="2" t="n">
        <v>49020</v>
      </c>
      <c r="H788" s="3" t="str">
        <f>HYPERLINK("http://funmeta.oebiotech.com/network/49020", "http://funmeta.oebiotech.com/network/49020")</f>
      </c>
      <c r="I788" s="2" t="s">
        <v>23223</v>
      </c>
      <c r="J788" s="2" t="s">
        <v>23224</v>
      </c>
      <c r="K788" s="2"/>
      <c r="L788" s="2"/>
      <c r="M788" s="2" t="s">
        <v>23225</v>
      </c>
      <c r="N788" s="2" t="s">
        <v>23226</v>
      </c>
      <c r="O788" s="2"/>
      <c r="P788" s="2" t="s">
        <v>23227</v>
      </c>
      <c r="Q788" s="2" t="s">
        <v>23228</v>
      </c>
      <c r="R788" s="2" t="s">
        <v>794</v>
      </c>
      <c r="S788" s="2" t="s">
        <v>2600</v>
      </c>
      <c r="T788" s="2" t="s">
        <v>8990</v>
      </c>
      <c r="U788" s="2" t="s">
        <v>23220</v>
      </c>
      <c r="V788" s="2" t="s">
        <v>17137</v>
      </c>
      <c r="W788" s="2" t="s">
        <v>56</v>
      </c>
    </row>
    <row r="789">
      <c r="A789" s="2" t="n">
        <v>599</v>
      </c>
      <c r="B789" s="2" t="s">
        <v>15015</v>
      </c>
      <c r="C789" s="2" t="s">
        <v>23229</v>
      </c>
      <c r="D789" s="2" t="n">
        <v>645.166997068</v>
      </c>
      <c r="E789" s="2" t="n">
        <v>0.609964154417114</v>
      </c>
      <c r="F789" s="2" t="s">
        <v>23231</v>
      </c>
      <c r="G789" s="2" t="n">
        <v>53419</v>
      </c>
      <c r="H789" s="3" t="str">
        <f>HYPERLINK("http://funmeta.oebiotech.com/network/53419", "http://funmeta.oebiotech.com/network/53419")</f>
      </c>
      <c r="I789" s="2" t="s">
        <v>23233</v>
      </c>
      <c r="J789" s="2" t="s">
        <v>23234</v>
      </c>
      <c r="K789" s="2"/>
      <c r="L789" s="2" t="s">
        <v>23235</v>
      </c>
      <c r="M789" s="2" t="s">
        <v>23236</v>
      </c>
      <c r="N789" s="2" t="s">
        <v>23237</v>
      </c>
      <c r="O789" s="2" t="s">
        <v>23238</v>
      </c>
      <c r="P789" s="2" t="s">
        <v>23239</v>
      </c>
      <c r="Q789" s="2" t="s">
        <v>23240</v>
      </c>
      <c r="R789" s="2" t="s">
        <v>114</v>
      </c>
      <c r="S789" s="2" t="s">
        <v>4523</v>
      </c>
      <c r="T789" s="2" t="s">
        <v>4524</v>
      </c>
      <c r="U789" s="2" t="s">
        <v>23230</v>
      </c>
      <c r="V789" s="2" t="s">
        <v>17227</v>
      </c>
      <c r="W789" s="2" t="s">
        <v>56</v>
      </c>
    </row>
    <row r="790">
      <c r="A790" s="2" t="n">
        <v>600</v>
      </c>
      <c r="B790" s="2" t="s">
        <v>15016</v>
      </c>
      <c r="C790" s="2" t="s">
        <v>23241</v>
      </c>
      <c r="D790" s="2" t="n">
        <v>646.165462497</v>
      </c>
      <c r="E790" s="2" t="n">
        <v>0.847801991447423</v>
      </c>
      <c r="F790" s="2" t="s">
        <v>23243</v>
      </c>
      <c r="G790" s="2" t="n">
        <v>257605</v>
      </c>
      <c r="H790" s="3" t="str">
        <f>HYPERLINK("http://funmeta.oebiotech.com/network/257605", "http://funmeta.oebiotech.com/network/257605")</f>
      </c>
      <c r="I790" s="2" t="s">
        <v>23245</v>
      </c>
      <c r="J790" s="2"/>
      <c r="K790" s="2"/>
      <c r="L790" s="2"/>
      <c r="M790" s="2"/>
      <c r="N790" s="2"/>
      <c r="O790" s="2"/>
      <c r="P790" s="2" t="s">
        <v>23246</v>
      </c>
      <c r="Q790" s="2" t="s">
        <v>23247</v>
      </c>
      <c r="R790" s="2" t="s">
        <v>186</v>
      </c>
      <c r="S790" s="2" t="s">
        <v>187</v>
      </c>
      <c r="T790" s="2" t="s">
        <v>2195</v>
      </c>
      <c r="U790" s="2" t="s">
        <v>23242</v>
      </c>
      <c r="V790" s="2" t="s">
        <v>17198</v>
      </c>
      <c r="W790" s="2"/>
    </row>
    <row r="791">
      <c r="A791" s="2" t="n">
        <v>601</v>
      </c>
      <c r="B791" s="2" t="s">
        <v>15017</v>
      </c>
      <c r="C791" s="2" t="s">
        <v>23248</v>
      </c>
      <c r="D791" s="2" t="n">
        <v>647.1652575</v>
      </c>
      <c r="E791" s="2" t="n">
        <v>0.139330710491335</v>
      </c>
      <c r="F791" s="2" t="s">
        <v>23250</v>
      </c>
      <c r="G791" s="2" t="n">
        <v>57206</v>
      </c>
      <c r="H791" s="3" t="str">
        <f>HYPERLINK("http://funmeta.oebiotech.com/network/57206", "http://funmeta.oebiotech.com/network/57206")</f>
      </c>
      <c r="I791" s="2" t="s">
        <v>23252</v>
      </c>
      <c r="J791" s="2" t="s">
        <v>23253</v>
      </c>
      <c r="K791" s="2"/>
      <c r="L791" s="2" t="s">
        <v>23254</v>
      </c>
      <c r="M791" s="2" t="s">
        <v>23255</v>
      </c>
      <c r="N791" s="2" t="s">
        <v>7512</v>
      </c>
      <c r="O791" s="2" t="s">
        <v>23256</v>
      </c>
      <c r="P791" s="2" t="s">
        <v>23257</v>
      </c>
      <c r="Q791" s="2" t="s">
        <v>23258</v>
      </c>
      <c r="R791" s="2" t="s">
        <v>36</v>
      </c>
      <c r="S791" s="2" t="s">
        <v>19943</v>
      </c>
      <c r="T791" s="2" t="s">
        <v>19944</v>
      </c>
      <c r="U791" s="2" t="s">
        <v>23249</v>
      </c>
      <c r="V791" s="2" t="s">
        <v>17227</v>
      </c>
      <c r="W791" s="2" t="s">
        <v>101</v>
      </c>
    </row>
    <row r="792">
      <c r="A792" s="2" t="n">
        <v>602</v>
      </c>
      <c r="B792" s="2" t="s">
        <v>15018</v>
      </c>
      <c r="C792" s="2" t="s">
        <v>23259</v>
      </c>
      <c r="D792" s="2" t="n">
        <v>648.169098</v>
      </c>
      <c r="E792" s="2" t="n">
        <v>3.70447107669722</v>
      </c>
      <c r="F792" s="2" t="s">
        <v>23261</v>
      </c>
      <c r="G792" s="2" t="n">
        <v>206223</v>
      </c>
      <c r="H792" s="3" t="str">
        <f>HYPERLINK("http://funmeta.oebiotech.com/network/206223", "http://funmeta.oebiotech.com/network/206223")</f>
      </c>
      <c r="I792" s="2" t="s">
        <v>23263</v>
      </c>
      <c r="J792" s="2"/>
      <c r="K792" s="2"/>
      <c r="L792" s="2"/>
      <c r="M792" s="2"/>
      <c r="N792" s="2" t="s">
        <v>23264</v>
      </c>
      <c r="O792" s="2"/>
      <c r="P792" s="2" t="s">
        <v>23265</v>
      </c>
      <c r="Q792" s="2" t="s">
        <v>23266</v>
      </c>
      <c r="R792" s="2" t="s">
        <v>186</v>
      </c>
      <c r="S792" s="2" t="s">
        <v>187</v>
      </c>
      <c r="T792" s="2" t="s">
        <v>8537</v>
      </c>
      <c r="U792" s="2" t="s">
        <v>23260</v>
      </c>
      <c r="V792" s="2" t="s">
        <v>17970</v>
      </c>
      <c r="W792" s="2"/>
    </row>
    <row r="793">
      <c r="A793" s="2" t="n">
        <v>603</v>
      </c>
      <c r="B793" s="2" t="s">
        <v>15034</v>
      </c>
      <c r="C793" s="2" t="s">
        <v>23267</v>
      </c>
      <c r="D793" s="2" t="n">
        <v>650.156641498</v>
      </c>
      <c r="E793" s="2" t="n">
        <v>2.76576337323175</v>
      </c>
      <c r="F793" s="2" t="s">
        <v>23269</v>
      </c>
      <c r="G793" s="2" t="n">
        <v>213436</v>
      </c>
      <c r="H793" s="3" t="str">
        <f>HYPERLINK("http://funmeta.oebiotech.com/network/213436", "http://funmeta.oebiotech.com/network/213436")</f>
      </c>
      <c r="I793" s="2" t="s">
        <v>23271</v>
      </c>
      <c r="J793" s="2"/>
      <c r="K793" s="2"/>
      <c r="L793" s="2"/>
      <c r="M793" s="2"/>
      <c r="N793" s="2" t="s">
        <v>23272</v>
      </c>
      <c r="O793" s="2"/>
      <c r="P793" s="2" t="s">
        <v>23273</v>
      </c>
      <c r="Q793" s="2" t="s">
        <v>23274</v>
      </c>
      <c r="R793" s="2" t="s">
        <v>114</v>
      </c>
      <c r="S793" s="2" t="s">
        <v>994</v>
      </c>
      <c r="T793" s="2" t="s">
        <v>1611</v>
      </c>
      <c r="U793" s="2" t="s">
        <v>23268</v>
      </c>
      <c r="V793" s="2" t="s">
        <v>17520</v>
      </c>
      <c r="W793" s="2"/>
    </row>
    <row r="794">
      <c r="A794" s="2" t="n">
        <v>604</v>
      </c>
      <c r="B794" s="2" t="s">
        <v>15035</v>
      </c>
      <c r="C794" s="2" t="s">
        <v>23275</v>
      </c>
      <c r="D794" s="2" t="n">
        <v>655.469678536</v>
      </c>
      <c r="E794" s="2" t="n">
        <v>4.38241269276637</v>
      </c>
      <c r="F794" s="2" t="s">
        <v>27672</v>
      </c>
      <c r="G794" s="2" t="n">
        <v>44900</v>
      </c>
      <c r="H794" s="3" t="str">
        <f>HYPERLINK("http://funmeta.oebiotech.com/network/44900", "http://funmeta.oebiotech.com/network/44900")</f>
      </c>
      <c r="I794" s="2" t="s">
        <v>27673</v>
      </c>
      <c r="J794" s="2" t="s">
        <v>27674</v>
      </c>
      <c r="K794" s="2" t="s">
        <v>27675</v>
      </c>
      <c r="L794" s="2" t="s">
        <v>27676</v>
      </c>
      <c r="M794" s="2" t="s">
        <v>27677</v>
      </c>
      <c r="N794" s="2" t="s">
        <v>27678</v>
      </c>
      <c r="O794" s="2" t="s">
        <v>27679</v>
      </c>
      <c r="P794" s="2" t="s">
        <v>27680</v>
      </c>
      <c r="Q794" s="2" t="s">
        <v>27681</v>
      </c>
      <c r="R794" s="2" t="s">
        <v>794</v>
      </c>
      <c r="S794" s="2" t="s">
        <v>2971</v>
      </c>
      <c r="T794" s="2" t="s">
        <v>3921</v>
      </c>
      <c r="U794" s="2" t="s">
        <v>23276</v>
      </c>
      <c r="V794" s="2" t="s">
        <v>17892</v>
      </c>
      <c r="W794" s="2" t="s">
        <v>56</v>
      </c>
    </row>
    <row r="795">
      <c r="A795" s="2" t="n">
        <v>604</v>
      </c>
      <c r="B795" s="2" t="s">
        <v>27682</v>
      </c>
      <c r="C795" s="2" t="s">
        <v>23275</v>
      </c>
      <c r="D795" s="2" t="n">
        <v>655.469678536</v>
      </c>
      <c r="E795" s="2" t="n">
        <v>4.38241269276637</v>
      </c>
      <c r="F795" s="2" t="s">
        <v>27683</v>
      </c>
      <c r="G795" s="2" t="n">
        <v>44983</v>
      </c>
      <c r="H795" s="3" t="str">
        <f>HYPERLINK("http://funmeta.oebiotech.com/network/44983", "http://funmeta.oebiotech.com/network/44983")</f>
      </c>
      <c r="I795" s="2" t="s">
        <v>27684</v>
      </c>
      <c r="J795" s="2" t="s">
        <v>27685</v>
      </c>
      <c r="K795" s="2" t="s">
        <v>27686</v>
      </c>
      <c r="L795" s="2" t="s">
        <v>27687</v>
      </c>
      <c r="M795" s="2" t="s">
        <v>27688</v>
      </c>
      <c r="N795" s="2" t="s">
        <v>27689</v>
      </c>
      <c r="O795" s="2" t="s">
        <v>27690</v>
      </c>
      <c r="P795" s="2" t="s">
        <v>27691</v>
      </c>
      <c r="Q795" s="2" t="s">
        <v>27692</v>
      </c>
      <c r="R795" s="2" t="s">
        <v>794</v>
      </c>
      <c r="S795" s="2" t="s">
        <v>2971</v>
      </c>
      <c r="T795" s="2" t="s">
        <v>5393</v>
      </c>
      <c r="U795" s="2" t="s">
        <v>23276</v>
      </c>
      <c r="V795" s="2" t="s">
        <v>17892</v>
      </c>
      <c r="W795" s="2" t="s">
        <v>56</v>
      </c>
    </row>
    <row r="796">
      <c r="A796" s="2" t="n">
        <v>605</v>
      </c>
      <c r="B796" s="2" t="s">
        <v>15036</v>
      </c>
      <c r="C796" s="2" t="s">
        <v>23289</v>
      </c>
      <c r="D796" s="2" t="n">
        <v>657.485367074</v>
      </c>
      <c r="E796" s="2" t="n">
        <v>1.6960676612734</v>
      </c>
      <c r="F796" s="2" t="s">
        <v>23291</v>
      </c>
      <c r="G796" s="2" t="n">
        <v>26063</v>
      </c>
      <c r="H796" s="3" t="str">
        <f>HYPERLINK("http://funmeta.oebiotech.com/network/26063", "http://funmeta.oebiotech.com/network/26063")</f>
      </c>
      <c r="I796" s="2" t="s">
        <v>23293</v>
      </c>
      <c r="J796" s="2" t="s">
        <v>23294</v>
      </c>
      <c r="K796" s="2" t="s">
        <v>23295</v>
      </c>
      <c r="L796" s="2" t="s">
        <v>23296</v>
      </c>
      <c r="M796" s="2"/>
      <c r="N796" s="2" t="s">
        <v>23297</v>
      </c>
      <c r="O796" s="2" t="s">
        <v>23298</v>
      </c>
      <c r="P796" s="2" t="s">
        <v>23299</v>
      </c>
      <c r="Q796" s="2" t="s">
        <v>23300</v>
      </c>
      <c r="R796" s="2" t="s">
        <v>794</v>
      </c>
      <c r="S796" s="2" t="s">
        <v>7122</v>
      </c>
      <c r="T796" s="2" t="s">
        <v>7123</v>
      </c>
      <c r="U796" s="2" t="s">
        <v>23290</v>
      </c>
      <c r="V796" s="2" t="s">
        <v>17137</v>
      </c>
      <c r="W796" s="2" t="s">
        <v>101</v>
      </c>
    </row>
    <row r="797">
      <c r="A797" s="2" t="n">
        <v>606</v>
      </c>
      <c r="B797" s="2" t="s">
        <v>15037</v>
      </c>
      <c r="C797" s="2" t="s">
        <v>23301</v>
      </c>
      <c r="D797" s="2" t="n">
        <v>660.366722695</v>
      </c>
      <c r="E797" s="2" t="n">
        <v>4.64886769960663</v>
      </c>
      <c r="F797" s="2" t="s">
        <v>23303</v>
      </c>
      <c r="G797" s="2" t="n">
        <v>204863</v>
      </c>
      <c r="H797" s="3" t="str">
        <f>HYPERLINK("http://funmeta.oebiotech.com/network/204863", "http://funmeta.oebiotech.com/network/204863")</f>
      </c>
      <c r="I797" s="2" t="s">
        <v>23305</v>
      </c>
      <c r="J797" s="2"/>
      <c r="K797" s="2"/>
      <c r="L797" s="2"/>
      <c r="M797" s="2"/>
      <c r="N797" s="2" t="s">
        <v>23306</v>
      </c>
      <c r="O797" s="2"/>
      <c r="P797" s="2" t="s">
        <v>23307</v>
      </c>
      <c r="Q797" s="2" t="s">
        <v>23308</v>
      </c>
      <c r="R797" s="2" t="s">
        <v>36</v>
      </c>
      <c r="S797" s="2" t="s">
        <v>37</v>
      </c>
      <c r="T797" s="2" t="s">
        <v>69</v>
      </c>
      <c r="U797" s="2" t="s">
        <v>23302</v>
      </c>
      <c r="V797" s="2" t="s">
        <v>17970</v>
      </c>
      <c r="W797" s="2"/>
    </row>
    <row r="798">
      <c r="A798" s="2" t="n">
        <v>607</v>
      </c>
      <c r="B798" s="2" t="s">
        <v>15061</v>
      </c>
      <c r="C798" s="2" t="s">
        <v>23309</v>
      </c>
      <c r="D798" s="2" t="n">
        <v>661.51394339</v>
      </c>
      <c r="E798" s="2" t="n">
        <v>5.93695542713369</v>
      </c>
      <c r="F798" s="2" t="s">
        <v>23311</v>
      </c>
      <c r="G798" s="2" t="n">
        <v>210158</v>
      </c>
      <c r="H798" s="3" t="str">
        <f>HYPERLINK("http://funmeta.oebiotech.com/network/210158", "http://funmeta.oebiotech.com/network/210158")</f>
      </c>
      <c r="I798" s="2" t="s">
        <v>23313</v>
      </c>
      <c r="J798" s="2"/>
      <c r="K798" s="2"/>
      <c r="L798" s="2"/>
      <c r="M798" s="2"/>
      <c r="N798" s="2" t="s">
        <v>23314</v>
      </c>
      <c r="O798" s="2"/>
      <c r="P798" s="2" t="s">
        <v>23315</v>
      </c>
      <c r="Q798" s="2" t="s">
        <v>23316</v>
      </c>
      <c r="R798" s="2" t="s">
        <v>601</v>
      </c>
      <c r="S798" s="2" t="s">
        <v>602</v>
      </c>
      <c r="T798" s="2" t="s">
        <v>1800</v>
      </c>
      <c r="U798" s="2" t="s">
        <v>23310</v>
      </c>
      <c r="V798" s="2" t="s">
        <v>17892</v>
      </c>
      <c r="W798" s="2"/>
    </row>
    <row r="799">
      <c r="A799" s="2" t="n">
        <v>608</v>
      </c>
      <c r="B799" s="2" t="s">
        <v>15062</v>
      </c>
      <c r="C799" s="2" t="s">
        <v>23317</v>
      </c>
      <c r="D799" s="2" t="n">
        <v>662.511916175</v>
      </c>
      <c r="E799" s="2" t="n">
        <v>6.29210951966791</v>
      </c>
      <c r="F799" s="2" t="s">
        <v>23319</v>
      </c>
      <c r="G799" s="2" t="n">
        <v>49959</v>
      </c>
      <c r="H799" s="3" t="str">
        <f>HYPERLINK("http://funmeta.oebiotech.com/network/49959", "http://funmeta.oebiotech.com/network/49959")</f>
      </c>
      <c r="I799" s="2" t="s">
        <v>23321</v>
      </c>
      <c r="J799" s="2" t="s">
        <v>23322</v>
      </c>
      <c r="K799" s="2"/>
      <c r="L799" s="2" t="s">
        <v>9434</v>
      </c>
      <c r="M799" s="2"/>
      <c r="N799" s="2" t="s">
        <v>23323</v>
      </c>
      <c r="O799" s="2"/>
      <c r="P799" s="2" t="s">
        <v>23324</v>
      </c>
      <c r="Q799" s="2" t="s">
        <v>23325</v>
      </c>
      <c r="R799" s="2" t="s">
        <v>794</v>
      </c>
      <c r="S799" s="2" t="s">
        <v>7122</v>
      </c>
      <c r="T799" s="2" t="s">
        <v>8042</v>
      </c>
      <c r="U799" s="2" t="s">
        <v>23318</v>
      </c>
      <c r="V799" s="2" t="s">
        <v>17137</v>
      </c>
      <c r="W799" s="2" t="s">
        <v>101</v>
      </c>
    </row>
    <row r="800">
      <c r="A800" s="2" t="n">
        <v>609</v>
      </c>
      <c r="B800" s="2" t="s">
        <v>15063</v>
      </c>
      <c r="C800" s="2" t="s">
        <v>23326</v>
      </c>
      <c r="D800" s="2" t="n">
        <v>663.46013542</v>
      </c>
      <c r="E800" s="2" t="n">
        <v>1.2123810038431</v>
      </c>
      <c r="F800" s="2" t="s">
        <v>23328</v>
      </c>
      <c r="G800" s="2" t="n">
        <v>136301</v>
      </c>
      <c r="H800" s="3" t="str">
        <f>HYPERLINK("http://funmeta.oebiotech.com/network/136301", "http://funmeta.oebiotech.com/network/136301")</f>
      </c>
      <c r="I800" s="2" t="s">
        <v>23330</v>
      </c>
      <c r="J800" s="2"/>
      <c r="K800" s="2"/>
      <c r="L800" s="2"/>
      <c r="M800" s="2"/>
      <c r="N800" s="2" t="s">
        <v>23331</v>
      </c>
      <c r="O800" s="2"/>
      <c r="P800" s="2" t="s">
        <v>23332</v>
      </c>
      <c r="Q800" s="2" t="s">
        <v>23333</v>
      </c>
      <c r="R800" s="2" t="s">
        <v>794</v>
      </c>
      <c r="S800" s="2" t="s">
        <v>7122</v>
      </c>
      <c r="T800" s="2" t="s">
        <v>9951</v>
      </c>
      <c r="U800" s="2" t="s">
        <v>23327</v>
      </c>
      <c r="V800" s="2" t="s">
        <v>17039</v>
      </c>
      <c r="W800" s="2"/>
    </row>
    <row r="801">
      <c r="A801" s="2" t="n">
        <v>610</v>
      </c>
      <c r="B801" s="2" t="s">
        <v>15075</v>
      </c>
      <c r="C801" s="2" t="s">
        <v>23334</v>
      </c>
      <c r="D801" s="2" t="n">
        <v>664.453730621</v>
      </c>
      <c r="E801" s="2" t="n">
        <v>7.3168580109901</v>
      </c>
      <c r="F801" s="2" t="s">
        <v>27693</v>
      </c>
      <c r="G801" s="2" t="n">
        <v>206389</v>
      </c>
      <c r="H801" s="3" t="str">
        <f>HYPERLINK("http://funmeta.oebiotech.com/network/206389", "http://funmeta.oebiotech.com/network/206389")</f>
      </c>
      <c r="I801" s="2" t="s">
        <v>27694</v>
      </c>
      <c r="J801" s="2"/>
      <c r="K801" s="2"/>
      <c r="L801" s="2"/>
      <c r="M801" s="2"/>
      <c r="N801" s="2" t="s">
        <v>27695</v>
      </c>
      <c r="O801" s="2"/>
      <c r="P801" s="2" t="s">
        <v>27696</v>
      </c>
      <c r="Q801" s="2" t="s">
        <v>27697</v>
      </c>
      <c r="R801" s="2" t="s">
        <v>36</v>
      </c>
      <c r="S801" s="2" t="s">
        <v>7927</v>
      </c>
      <c r="T801" s="2" t="s">
        <v>8926</v>
      </c>
      <c r="U801" s="2" t="s">
        <v>23335</v>
      </c>
      <c r="V801" s="2" t="s">
        <v>17039</v>
      </c>
      <c r="W801" s="2"/>
    </row>
    <row r="802">
      <c r="A802" s="2" t="n">
        <v>610</v>
      </c>
      <c r="B802" s="2" t="s">
        <v>27698</v>
      </c>
      <c r="C802" s="2" t="s">
        <v>23334</v>
      </c>
      <c r="D802" s="2" t="n">
        <v>664.453730621</v>
      </c>
      <c r="E802" s="2" t="n">
        <v>7.3168580109901</v>
      </c>
      <c r="F802" s="2" t="s">
        <v>27699</v>
      </c>
      <c r="G802" s="2" t="n">
        <v>206391</v>
      </c>
      <c r="H802" s="3" t="str">
        <f>HYPERLINK("http://funmeta.oebiotech.com/network/206391", "http://funmeta.oebiotech.com/network/206391")</f>
      </c>
      <c r="I802" s="2" t="s">
        <v>27700</v>
      </c>
      <c r="J802" s="2"/>
      <c r="K802" s="2"/>
      <c r="L802" s="2"/>
      <c r="M802" s="2"/>
      <c r="N802" s="2" t="s">
        <v>27701</v>
      </c>
      <c r="O802" s="2"/>
      <c r="P802" s="2" t="s">
        <v>27702</v>
      </c>
      <c r="Q802" s="2" t="s">
        <v>27703</v>
      </c>
      <c r="R802" s="2" t="s">
        <v>36</v>
      </c>
      <c r="S802" s="2" t="s">
        <v>7927</v>
      </c>
      <c r="T802" s="2" t="s">
        <v>8926</v>
      </c>
      <c r="U802" s="2" t="s">
        <v>23335</v>
      </c>
      <c r="V802" s="2" t="s">
        <v>17039</v>
      </c>
      <c r="W802" s="2"/>
    </row>
    <row r="803">
      <c r="A803" s="2" t="n">
        <v>611</v>
      </c>
      <c r="B803" s="2" t="s">
        <v>15076</v>
      </c>
      <c r="C803" s="2" t="s">
        <v>23344</v>
      </c>
      <c r="D803" s="2" t="n">
        <v>665.443660494</v>
      </c>
      <c r="E803" s="2" t="n">
        <v>0.603492110365492</v>
      </c>
      <c r="F803" s="2" t="s">
        <v>23346</v>
      </c>
      <c r="G803" s="2" t="n">
        <v>209973</v>
      </c>
      <c r="H803" s="3" t="str">
        <f>HYPERLINK("http://funmeta.oebiotech.com/network/209973", "http://funmeta.oebiotech.com/network/209973")</f>
      </c>
      <c r="I803" s="2" t="s">
        <v>23348</v>
      </c>
      <c r="J803" s="2"/>
      <c r="K803" s="2"/>
      <c r="L803" s="2"/>
      <c r="M803" s="2" t="s">
        <v>23349</v>
      </c>
      <c r="N803" s="2"/>
      <c r="O803" s="2"/>
      <c r="P803" s="2" t="s">
        <v>23350</v>
      </c>
      <c r="Q803" s="2" t="s">
        <v>23351</v>
      </c>
      <c r="R803" s="2" t="s">
        <v>114</v>
      </c>
      <c r="S803" s="2" t="s">
        <v>22393</v>
      </c>
      <c r="T803" s="2" t="s">
        <v>215</v>
      </c>
      <c r="U803" s="2" t="s">
        <v>23345</v>
      </c>
      <c r="V803" s="2" t="s">
        <v>17137</v>
      </c>
      <c r="W803" s="2"/>
    </row>
    <row r="804">
      <c r="A804" s="2" t="n">
        <v>612</v>
      </c>
      <c r="B804" s="2" t="s">
        <v>15088</v>
      </c>
      <c r="C804" s="2" t="s">
        <v>23352</v>
      </c>
      <c r="D804" s="2" t="n">
        <v>670.151493209</v>
      </c>
      <c r="E804" s="2" t="n">
        <v>2.2080763007033</v>
      </c>
      <c r="F804" s="2" t="s">
        <v>23354</v>
      </c>
      <c r="G804" s="2" t="n">
        <v>56618</v>
      </c>
      <c r="H804" s="3" t="str">
        <f>HYPERLINK("http://funmeta.oebiotech.com/network/56618", "http://funmeta.oebiotech.com/network/56618")</f>
      </c>
      <c r="I804" s="2" t="s">
        <v>23356</v>
      </c>
      <c r="J804" s="2" t="s">
        <v>23357</v>
      </c>
      <c r="K804" s="2"/>
      <c r="L804" s="2" t="s">
        <v>23358</v>
      </c>
      <c r="M804" s="2" t="s">
        <v>23359</v>
      </c>
      <c r="N804" s="2" t="s">
        <v>23360</v>
      </c>
      <c r="O804" s="2" t="s">
        <v>23361</v>
      </c>
      <c r="P804" s="2" t="s">
        <v>23362</v>
      </c>
      <c r="Q804" s="2" t="s">
        <v>23363</v>
      </c>
      <c r="R804" s="2" t="s">
        <v>36</v>
      </c>
      <c r="S804" s="2" t="s">
        <v>7927</v>
      </c>
      <c r="T804" s="2" t="s">
        <v>8926</v>
      </c>
      <c r="U804" s="2" t="s">
        <v>23353</v>
      </c>
      <c r="V804" s="2" t="s">
        <v>17137</v>
      </c>
      <c r="W804" s="2" t="s">
        <v>101</v>
      </c>
    </row>
    <row r="805">
      <c r="A805" s="2" t="n">
        <v>613</v>
      </c>
      <c r="B805" s="2" t="s">
        <v>15089</v>
      </c>
      <c r="C805" s="2" t="s">
        <v>23364</v>
      </c>
      <c r="D805" s="2" t="n">
        <v>673.35583057</v>
      </c>
      <c r="E805" s="2" t="n">
        <v>3.28182991430832</v>
      </c>
      <c r="F805" s="2" t="s">
        <v>27704</v>
      </c>
      <c r="G805" s="2" t="n">
        <v>82676</v>
      </c>
      <c r="H805" s="3" t="str">
        <f>HYPERLINK("http://funmeta.oebiotech.com/network/82676", "http://funmeta.oebiotech.com/network/82676")</f>
      </c>
      <c r="I805" s="2" t="s">
        <v>27705</v>
      </c>
      <c r="J805" s="2"/>
      <c r="K805" s="2"/>
      <c r="L805" s="2"/>
      <c r="M805" s="2"/>
      <c r="N805" s="2" t="s">
        <v>27706</v>
      </c>
      <c r="O805" s="2"/>
      <c r="P805" s="2" t="s">
        <v>27707</v>
      </c>
      <c r="Q805" s="2" t="s">
        <v>27708</v>
      </c>
      <c r="R805" s="2" t="s">
        <v>794</v>
      </c>
      <c r="S805" s="2" t="s">
        <v>2971</v>
      </c>
      <c r="T805" s="2" t="s">
        <v>6693</v>
      </c>
      <c r="U805" s="2" t="s">
        <v>23365</v>
      </c>
      <c r="V805" s="2" t="s">
        <v>17198</v>
      </c>
      <c r="W805" s="2" t="s">
        <v>56</v>
      </c>
    </row>
    <row r="806">
      <c r="A806" s="2" t="n">
        <v>613</v>
      </c>
      <c r="B806" s="2" t="s">
        <v>27709</v>
      </c>
      <c r="C806" s="2" t="s">
        <v>23364</v>
      </c>
      <c r="D806" s="2" t="n">
        <v>673.35583057</v>
      </c>
      <c r="E806" s="2" t="n">
        <v>3.28182991430832</v>
      </c>
      <c r="F806" s="2" t="s">
        <v>27710</v>
      </c>
      <c r="G806" s="2" t="n">
        <v>58629</v>
      </c>
      <c r="H806" s="3" t="str">
        <f>HYPERLINK("http://funmeta.oebiotech.com/network/58629", "http://funmeta.oebiotech.com/network/58629")</f>
      </c>
      <c r="I806" s="2" t="s">
        <v>27711</v>
      </c>
      <c r="J806" s="2" t="s">
        <v>27712</v>
      </c>
      <c r="K806" s="2"/>
      <c r="L806" s="2"/>
      <c r="M806" s="2"/>
      <c r="N806" s="2" t="s">
        <v>27713</v>
      </c>
      <c r="O806" s="2" t="s">
        <v>27714</v>
      </c>
      <c r="P806" s="2" t="s">
        <v>27715</v>
      </c>
      <c r="Q806" s="2" t="s">
        <v>27716</v>
      </c>
      <c r="R806" s="2" t="s">
        <v>794</v>
      </c>
      <c r="S806" s="2" t="s">
        <v>1098</v>
      </c>
      <c r="T806" s="2" t="s">
        <v>7646</v>
      </c>
      <c r="U806" s="2" t="s">
        <v>23365</v>
      </c>
      <c r="V806" s="2" t="s">
        <v>17198</v>
      </c>
      <c r="W806" s="2" t="s">
        <v>56</v>
      </c>
    </row>
    <row r="807">
      <c r="A807" s="2" t="n">
        <v>614</v>
      </c>
      <c r="B807" s="2" t="s">
        <v>15090</v>
      </c>
      <c r="C807" s="2" t="s">
        <v>23375</v>
      </c>
      <c r="D807" s="2" t="n">
        <v>674.353487466</v>
      </c>
      <c r="E807" s="2" t="n">
        <v>3.22310376391873</v>
      </c>
      <c r="F807" s="2" t="s">
        <v>23377</v>
      </c>
      <c r="G807" s="2" t="n">
        <v>198755</v>
      </c>
      <c r="H807" s="3" t="str">
        <f>HYPERLINK("http://funmeta.oebiotech.com/network/198755", "http://funmeta.oebiotech.com/network/198755")</f>
      </c>
      <c r="I807" s="2" t="s">
        <v>23379</v>
      </c>
      <c r="J807" s="2"/>
      <c r="K807" s="2"/>
      <c r="L807" s="2"/>
      <c r="M807" s="2"/>
      <c r="N807" s="2" t="s">
        <v>23380</v>
      </c>
      <c r="O807" s="2"/>
      <c r="P807" s="2" t="s">
        <v>23381</v>
      </c>
      <c r="Q807" s="2" t="s">
        <v>23382</v>
      </c>
      <c r="R807" s="2" t="s">
        <v>794</v>
      </c>
      <c r="S807" s="2" t="s">
        <v>2971</v>
      </c>
      <c r="T807" s="2" t="s">
        <v>7382</v>
      </c>
      <c r="U807" s="2" t="s">
        <v>23376</v>
      </c>
      <c r="V807" s="2" t="s">
        <v>17137</v>
      </c>
      <c r="W807" s="2"/>
    </row>
    <row r="808">
      <c r="A808" s="2" t="n">
        <v>615</v>
      </c>
      <c r="B808" s="2" t="s">
        <v>15108</v>
      </c>
      <c r="C808" s="2" t="s">
        <v>23383</v>
      </c>
      <c r="D808" s="2" t="n">
        <v>677.438927088</v>
      </c>
      <c r="E808" s="2" t="n">
        <v>9.22990913844529</v>
      </c>
      <c r="F808" s="2" t="s">
        <v>23385</v>
      </c>
      <c r="G808" s="2" t="n">
        <v>58721</v>
      </c>
      <c r="H808" s="3" t="str">
        <f>HYPERLINK("http://funmeta.oebiotech.com/network/58721", "http://funmeta.oebiotech.com/network/58721")</f>
      </c>
      <c r="I808" s="2" t="s">
        <v>23387</v>
      </c>
      <c r="J808" s="2" t="s">
        <v>23388</v>
      </c>
      <c r="K808" s="2"/>
      <c r="L808" s="2" t="s">
        <v>23389</v>
      </c>
      <c r="M808" s="2" t="s">
        <v>23390</v>
      </c>
      <c r="N808" s="2" t="s">
        <v>23391</v>
      </c>
      <c r="O808" s="2" t="s">
        <v>23392</v>
      </c>
      <c r="P808" s="2" t="s">
        <v>23393</v>
      </c>
      <c r="Q808" s="2" t="s">
        <v>23394</v>
      </c>
      <c r="R808" s="2" t="s">
        <v>794</v>
      </c>
      <c r="S808" s="2" t="s">
        <v>795</v>
      </c>
      <c r="T808" s="2" t="s">
        <v>3273</v>
      </c>
      <c r="U808" s="2" t="s">
        <v>23384</v>
      </c>
      <c r="V808" s="2" t="s">
        <v>17406</v>
      </c>
      <c r="W808" s="2" t="s">
        <v>56</v>
      </c>
    </row>
    <row r="809">
      <c r="A809" s="2" t="n">
        <v>616</v>
      </c>
      <c r="B809" s="2" t="s">
        <v>15122</v>
      </c>
      <c r="C809" s="2" t="s">
        <v>23395</v>
      </c>
      <c r="D809" s="2" t="n">
        <v>683.501605824</v>
      </c>
      <c r="E809" s="2" t="n">
        <v>1.3082210763858</v>
      </c>
      <c r="F809" s="2" t="s">
        <v>23397</v>
      </c>
      <c r="G809" s="2" t="n">
        <v>24935</v>
      </c>
      <c r="H809" s="3" t="str">
        <f>HYPERLINK("http://funmeta.oebiotech.com/network/24935", "http://funmeta.oebiotech.com/network/24935")</f>
      </c>
      <c r="I809" s="2" t="s">
        <v>23399</v>
      </c>
      <c r="J809" s="2" t="s">
        <v>23400</v>
      </c>
      <c r="K809" s="2" t="s">
        <v>23401</v>
      </c>
      <c r="L809" s="2" t="s">
        <v>9490</v>
      </c>
      <c r="M809" s="2" t="s">
        <v>23402</v>
      </c>
      <c r="N809" s="2" t="s">
        <v>23403</v>
      </c>
      <c r="O809" s="2"/>
      <c r="P809" s="2" t="s">
        <v>23404</v>
      </c>
      <c r="Q809" s="2" t="s">
        <v>23405</v>
      </c>
      <c r="R809" s="2" t="s">
        <v>794</v>
      </c>
      <c r="S809" s="2" t="s">
        <v>7122</v>
      </c>
      <c r="T809" s="2" t="s">
        <v>7123</v>
      </c>
      <c r="U809" s="2" t="s">
        <v>23396</v>
      </c>
      <c r="V809" s="2" t="s">
        <v>17039</v>
      </c>
      <c r="W809" s="2" t="s">
        <v>39</v>
      </c>
    </row>
    <row r="810">
      <c r="A810" s="2" t="n">
        <v>617</v>
      </c>
      <c r="B810" s="2" t="s">
        <v>15141</v>
      </c>
      <c r="C810" s="2" t="s">
        <v>23406</v>
      </c>
      <c r="D810" s="2" t="n">
        <v>684.211171577</v>
      </c>
      <c r="E810" s="2" t="n">
        <v>6.26732969391308</v>
      </c>
      <c r="F810" s="2" t="s">
        <v>23408</v>
      </c>
      <c r="G810" s="2" t="n">
        <v>52674</v>
      </c>
      <c r="H810" s="3" t="str">
        <f>HYPERLINK("http://funmeta.oebiotech.com/network/52674", "http://funmeta.oebiotech.com/network/52674")</f>
      </c>
      <c r="I810" s="2" t="s">
        <v>23410</v>
      </c>
      <c r="J810" s="2"/>
      <c r="K810" s="2"/>
      <c r="L810" s="2" t="s">
        <v>23411</v>
      </c>
      <c r="M810" s="2" t="s">
        <v>23412</v>
      </c>
      <c r="N810" s="2" t="s">
        <v>23413</v>
      </c>
      <c r="O810" s="2" t="s">
        <v>23414</v>
      </c>
      <c r="P810" s="2" t="s">
        <v>23415</v>
      </c>
      <c r="Q810" s="2" t="s">
        <v>23416</v>
      </c>
      <c r="R810" s="2" t="s">
        <v>129</v>
      </c>
      <c r="S810" s="2" t="s">
        <v>130</v>
      </c>
      <c r="T810" s="2" t="s">
        <v>1681</v>
      </c>
      <c r="U810" s="2" t="s">
        <v>23407</v>
      </c>
      <c r="V810" s="2" t="s">
        <v>17406</v>
      </c>
      <c r="W810" s="2" t="s">
        <v>56</v>
      </c>
    </row>
    <row r="811">
      <c r="A811" s="2" t="n">
        <v>618</v>
      </c>
      <c r="B811" s="2" t="s">
        <v>15159</v>
      </c>
      <c r="C811" s="2" t="s">
        <v>23417</v>
      </c>
      <c r="D811" s="2" t="n">
        <v>686.283221005</v>
      </c>
      <c r="E811" s="2" t="n">
        <v>8.76099529660828</v>
      </c>
      <c r="F811" s="2" t="s">
        <v>23419</v>
      </c>
      <c r="G811" s="2" t="n">
        <v>210241</v>
      </c>
      <c r="H811" s="3" t="str">
        <f>HYPERLINK("http://funmeta.oebiotech.com/network/210241", "http://funmeta.oebiotech.com/network/210241")</f>
      </c>
      <c r="I811" s="2" t="s">
        <v>23421</v>
      </c>
      <c r="J811" s="2"/>
      <c r="K811" s="2"/>
      <c r="L811" s="2"/>
      <c r="M811" s="2"/>
      <c r="N811" s="2" t="s">
        <v>23422</v>
      </c>
      <c r="O811" s="2"/>
      <c r="P811" s="2" t="s">
        <v>23423</v>
      </c>
      <c r="Q811" s="2" t="s">
        <v>23424</v>
      </c>
      <c r="R811" s="2" t="s">
        <v>794</v>
      </c>
      <c r="S811" s="2" t="s">
        <v>7122</v>
      </c>
      <c r="T811" s="2" t="s">
        <v>8460</v>
      </c>
      <c r="U811" s="2" t="s">
        <v>23418</v>
      </c>
      <c r="V811" s="2" t="s">
        <v>17520</v>
      </c>
      <c r="W811" s="2"/>
    </row>
    <row r="812">
      <c r="A812" s="2" t="n">
        <v>619</v>
      </c>
      <c r="B812" s="2" t="s">
        <v>15160</v>
      </c>
      <c r="C812" s="2" t="s">
        <v>23425</v>
      </c>
      <c r="D812" s="2" t="n">
        <v>687.208948654</v>
      </c>
      <c r="E812" s="2" t="n">
        <v>0.0515593713738915</v>
      </c>
      <c r="F812" s="2" t="s">
        <v>23427</v>
      </c>
      <c r="G812" s="2" t="n">
        <v>208511</v>
      </c>
      <c r="H812" s="3" t="str">
        <f>HYPERLINK("http://funmeta.oebiotech.com/network/208511", "http://funmeta.oebiotech.com/network/208511")</f>
      </c>
      <c r="I812" s="2" t="s">
        <v>23429</v>
      </c>
      <c r="J812" s="2"/>
      <c r="K812" s="2"/>
      <c r="L812" s="2"/>
      <c r="M812" s="2"/>
      <c r="N812" s="2" t="s">
        <v>23430</v>
      </c>
      <c r="O812" s="2"/>
      <c r="P812" s="2" t="s">
        <v>23431</v>
      </c>
      <c r="Q812" s="2" t="s">
        <v>23432</v>
      </c>
      <c r="R812" s="2" t="s">
        <v>1355</v>
      </c>
      <c r="S812" s="2" t="s">
        <v>9411</v>
      </c>
      <c r="T812" s="2" t="s">
        <v>215</v>
      </c>
      <c r="U812" s="2" t="s">
        <v>23426</v>
      </c>
      <c r="V812" s="2" t="s">
        <v>17039</v>
      </c>
      <c r="W812" s="2"/>
    </row>
    <row r="813">
      <c r="A813" s="2" t="n">
        <v>620</v>
      </c>
      <c r="B813" s="2" t="s">
        <v>15182</v>
      </c>
      <c r="C813" s="2" t="s">
        <v>23433</v>
      </c>
      <c r="D813" s="2" t="n">
        <v>687.532906437</v>
      </c>
      <c r="E813" s="2" t="n">
        <v>3.25986393622187</v>
      </c>
      <c r="F813" s="2" t="s">
        <v>23435</v>
      </c>
      <c r="G813" s="2" t="n">
        <v>25822</v>
      </c>
      <c r="H813" s="3" t="str">
        <f>HYPERLINK("http://funmeta.oebiotech.com/network/25822", "http://funmeta.oebiotech.com/network/25822")</f>
      </c>
      <c r="I813" s="2" t="s">
        <v>23437</v>
      </c>
      <c r="J813" s="2" t="s">
        <v>23438</v>
      </c>
      <c r="K813" s="2" t="s">
        <v>23439</v>
      </c>
      <c r="L813" s="2"/>
      <c r="M813" s="2"/>
      <c r="N813" s="2" t="s">
        <v>23440</v>
      </c>
      <c r="O813" s="2"/>
      <c r="P813" s="2" t="s">
        <v>23441</v>
      </c>
      <c r="Q813" s="2" t="s">
        <v>23442</v>
      </c>
      <c r="R813" s="2" t="s">
        <v>794</v>
      </c>
      <c r="S813" s="2" t="s">
        <v>7122</v>
      </c>
      <c r="T813" s="2" t="s">
        <v>7123</v>
      </c>
      <c r="U813" s="2" t="s">
        <v>23434</v>
      </c>
      <c r="V813" s="2" t="s">
        <v>17039</v>
      </c>
      <c r="W813" s="2"/>
    </row>
    <row r="814">
      <c r="A814" s="2" t="n">
        <v>621</v>
      </c>
      <c r="B814" s="2" t="s">
        <v>15183</v>
      </c>
      <c r="C814" s="2" t="s">
        <v>23443</v>
      </c>
      <c r="D814" s="2" t="n">
        <v>688.390855601</v>
      </c>
      <c r="E814" s="2" t="n">
        <v>2.83995793097271</v>
      </c>
      <c r="F814" s="2" t="s">
        <v>27717</v>
      </c>
      <c r="G814" s="2" t="n">
        <v>58692</v>
      </c>
      <c r="H814" s="3" t="str">
        <f>HYPERLINK("http://funmeta.oebiotech.com/network/58692", "http://funmeta.oebiotech.com/network/58692")</f>
      </c>
      <c r="I814" s="2" t="s">
        <v>27718</v>
      </c>
      <c r="J814" s="2"/>
      <c r="K814" s="2"/>
      <c r="L814" s="2"/>
      <c r="M814" s="2" t="s">
        <v>27719</v>
      </c>
      <c r="N814" s="2" t="s">
        <v>27720</v>
      </c>
      <c r="O814" s="2" t="s">
        <v>27721</v>
      </c>
      <c r="P814" s="2" t="s">
        <v>27722</v>
      </c>
      <c r="Q814" s="2" t="s">
        <v>27723</v>
      </c>
      <c r="R814" s="2" t="s">
        <v>36</v>
      </c>
      <c r="S814" s="2" t="s">
        <v>37</v>
      </c>
      <c r="T814" s="2" t="s">
        <v>27724</v>
      </c>
      <c r="U814" s="2" t="s">
        <v>23444</v>
      </c>
      <c r="V814" s="2" t="s">
        <v>17039</v>
      </c>
      <c r="W814" s="2"/>
    </row>
    <row r="815">
      <c r="A815" s="2" t="n">
        <v>621</v>
      </c>
      <c r="B815" s="2" t="s">
        <v>15194</v>
      </c>
      <c r="C815" s="2" t="s">
        <v>23443</v>
      </c>
      <c r="D815" s="2" t="n">
        <v>688.390855601</v>
      </c>
      <c r="E815" s="2" t="n">
        <v>2.83995793097271</v>
      </c>
      <c r="F815" s="2" t="s">
        <v>27725</v>
      </c>
      <c r="G815" s="2" t="n">
        <v>64083</v>
      </c>
      <c r="H815" s="3" t="str">
        <f>HYPERLINK("http://funmeta.oebiotech.com/network/64083", "http://funmeta.oebiotech.com/network/64083")</f>
      </c>
      <c r="I815" s="2" t="s">
        <v>27726</v>
      </c>
      <c r="J815" s="2"/>
      <c r="K815" s="2"/>
      <c r="L815" s="2"/>
      <c r="M815" s="2"/>
      <c r="N815" s="2" t="s">
        <v>27727</v>
      </c>
      <c r="O815" s="2" t="s">
        <v>27728</v>
      </c>
      <c r="P815" s="2" t="s">
        <v>27729</v>
      </c>
      <c r="Q815" s="2" t="s">
        <v>27730</v>
      </c>
      <c r="R815" s="2" t="s">
        <v>36</v>
      </c>
      <c r="S815" s="2" t="s">
        <v>37</v>
      </c>
      <c r="T815" s="2" t="s">
        <v>27724</v>
      </c>
      <c r="U815" s="2" t="s">
        <v>23444</v>
      </c>
      <c r="V815" s="2" t="s">
        <v>17039</v>
      </c>
      <c r="W815" s="2"/>
    </row>
    <row r="816">
      <c r="A816" s="2" t="n">
        <v>622</v>
      </c>
      <c r="B816" s="2" t="s">
        <v>15208</v>
      </c>
      <c r="C816" s="2" t="s">
        <v>23454</v>
      </c>
      <c r="D816" s="2" t="n">
        <v>689.404794763</v>
      </c>
      <c r="E816" s="2" t="n">
        <v>8.96874841192392</v>
      </c>
      <c r="F816" s="2" t="s">
        <v>23456</v>
      </c>
      <c r="G816" s="2" t="n">
        <v>204623</v>
      </c>
      <c r="H816" s="3" t="str">
        <f>HYPERLINK("http://funmeta.oebiotech.com/network/204623", "http://funmeta.oebiotech.com/network/204623")</f>
      </c>
      <c r="I816" s="2" t="s">
        <v>23458</v>
      </c>
      <c r="J816" s="2"/>
      <c r="K816" s="2"/>
      <c r="L816" s="2"/>
      <c r="M816" s="2"/>
      <c r="N816" s="2" t="s">
        <v>23459</v>
      </c>
      <c r="O816" s="2"/>
      <c r="P816" s="2" t="s">
        <v>23460</v>
      </c>
      <c r="Q816" s="2" t="s">
        <v>23461</v>
      </c>
      <c r="R816" s="2" t="s">
        <v>794</v>
      </c>
      <c r="S816" s="2" t="s">
        <v>1098</v>
      </c>
      <c r="T816" s="2" t="s">
        <v>4662</v>
      </c>
      <c r="U816" s="2" t="s">
        <v>23455</v>
      </c>
      <c r="V816" s="2" t="s">
        <v>17137</v>
      </c>
      <c r="W816" s="2"/>
    </row>
    <row r="817">
      <c r="A817" s="2" t="n">
        <v>623</v>
      </c>
      <c r="B817" s="2" t="s">
        <v>15209</v>
      </c>
      <c r="C817" s="2" t="s">
        <v>23462</v>
      </c>
      <c r="D817" s="2" t="n">
        <v>689.511582309</v>
      </c>
      <c r="E817" s="2" t="n">
        <v>1.42925289471098</v>
      </c>
      <c r="F817" s="2" t="s">
        <v>23464</v>
      </c>
      <c r="G817" s="2" t="n">
        <v>25429</v>
      </c>
      <c r="H817" s="3" t="str">
        <f>HYPERLINK("http://funmeta.oebiotech.com/network/25429", "http://funmeta.oebiotech.com/network/25429")</f>
      </c>
      <c r="I817" s="2" t="s">
        <v>23466</v>
      </c>
      <c r="J817" s="2" t="s">
        <v>23467</v>
      </c>
      <c r="K817" s="2" t="s">
        <v>23468</v>
      </c>
      <c r="L817" s="2"/>
      <c r="M817" s="2"/>
      <c r="N817" s="2" t="s">
        <v>23469</v>
      </c>
      <c r="O817" s="2"/>
      <c r="P817" s="2" t="s">
        <v>23470</v>
      </c>
      <c r="Q817" s="2" t="s">
        <v>23471</v>
      </c>
      <c r="R817" s="2" t="s">
        <v>794</v>
      </c>
      <c r="S817" s="2" t="s">
        <v>7122</v>
      </c>
      <c r="T817" s="2" t="s">
        <v>7123</v>
      </c>
      <c r="U817" s="2" t="s">
        <v>23463</v>
      </c>
      <c r="V817" s="2" t="s">
        <v>17137</v>
      </c>
      <c r="W817" s="2" t="s">
        <v>56</v>
      </c>
    </row>
    <row r="818">
      <c r="A818" s="2" t="n">
        <v>624</v>
      </c>
      <c r="B818" s="2" t="s">
        <v>15210</v>
      </c>
      <c r="C818" s="2" t="s">
        <v>23472</v>
      </c>
      <c r="D818" s="2" t="n">
        <v>690.150218723</v>
      </c>
      <c r="E818" s="2" t="n">
        <v>2.70682270850724</v>
      </c>
      <c r="F818" s="2" t="s">
        <v>23474</v>
      </c>
      <c r="G818" s="2" t="n">
        <v>63899</v>
      </c>
      <c r="H818" s="3" t="str">
        <f>HYPERLINK("http://funmeta.oebiotech.com/network/63899", "http://funmeta.oebiotech.com/network/63899")</f>
      </c>
      <c r="I818" s="2" t="s">
        <v>23476</v>
      </c>
      <c r="J818" s="2" t="s">
        <v>23477</v>
      </c>
      <c r="K818" s="2"/>
      <c r="L818" s="2"/>
      <c r="M818" s="2"/>
      <c r="N818" s="2" t="s">
        <v>23478</v>
      </c>
      <c r="O818" s="2" t="s">
        <v>23479</v>
      </c>
      <c r="P818" s="2" t="s">
        <v>23480</v>
      </c>
      <c r="Q818" s="2" t="s">
        <v>23481</v>
      </c>
      <c r="R818" s="2" t="s">
        <v>114</v>
      </c>
      <c r="S818" s="2" t="s">
        <v>2057</v>
      </c>
      <c r="T818" s="2" t="s">
        <v>3067</v>
      </c>
      <c r="U818" s="2" t="s">
        <v>23473</v>
      </c>
      <c r="V818" s="2" t="s">
        <v>17520</v>
      </c>
      <c r="W818" s="2"/>
    </row>
    <row r="819">
      <c r="A819" s="2" t="n">
        <v>625</v>
      </c>
      <c r="B819" s="2" t="s">
        <v>15211</v>
      </c>
      <c r="C819" s="2" t="s">
        <v>23482</v>
      </c>
      <c r="D819" s="2" t="n">
        <v>690.688674046</v>
      </c>
      <c r="E819" s="2" t="n">
        <v>3.95227681091822</v>
      </c>
      <c r="F819" s="2" t="s">
        <v>23484</v>
      </c>
      <c r="G819" s="2" t="n">
        <v>52664</v>
      </c>
      <c r="H819" s="3" t="str">
        <f>HYPERLINK("http://funmeta.oebiotech.com/network/52664", "http://funmeta.oebiotech.com/network/52664")</f>
      </c>
      <c r="I819" s="2" t="s">
        <v>23486</v>
      </c>
      <c r="J819" s="2" t="s">
        <v>23487</v>
      </c>
      <c r="K819" s="2"/>
      <c r="L819" s="2" t="s">
        <v>23488</v>
      </c>
      <c r="M819" s="2" t="s">
        <v>23489</v>
      </c>
      <c r="N819" s="2" t="s">
        <v>23490</v>
      </c>
      <c r="O819" s="2" t="s">
        <v>23491</v>
      </c>
      <c r="P819" s="2" t="s">
        <v>23492</v>
      </c>
      <c r="Q819" s="2" t="s">
        <v>23493</v>
      </c>
      <c r="R819" s="2" t="s">
        <v>186</v>
      </c>
      <c r="S819" s="2" t="s">
        <v>187</v>
      </c>
      <c r="T819" s="2" t="s">
        <v>3454</v>
      </c>
      <c r="U819" s="2" t="s">
        <v>23483</v>
      </c>
      <c r="V819" s="2" t="s">
        <v>17520</v>
      </c>
      <c r="W819" s="2" t="s">
        <v>56</v>
      </c>
    </row>
    <row r="820">
      <c r="A820" s="2" t="n">
        <v>626</v>
      </c>
      <c r="B820" s="2" t="s">
        <v>15238</v>
      </c>
      <c r="C820" s="2" t="s">
        <v>23494</v>
      </c>
      <c r="D820" s="2" t="n">
        <v>691.018665672</v>
      </c>
      <c r="E820" s="2" t="n">
        <v>9.71392651507366</v>
      </c>
      <c r="F820" s="2" t="s">
        <v>23496</v>
      </c>
      <c r="G820" s="2" t="n">
        <v>197298</v>
      </c>
      <c r="H820" s="3" t="str">
        <f>HYPERLINK("http://funmeta.oebiotech.com/network/197298", "http://funmeta.oebiotech.com/network/197298")</f>
      </c>
      <c r="I820" s="2" t="s">
        <v>23498</v>
      </c>
      <c r="J820" s="2"/>
      <c r="K820" s="2"/>
      <c r="L820" s="2"/>
      <c r="M820" s="2"/>
      <c r="N820" s="2" t="s">
        <v>23499</v>
      </c>
      <c r="O820" s="2"/>
      <c r="P820" s="2" t="s">
        <v>23500</v>
      </c>
      <c r="Q820" s="2" t="s">
        <v>23501</v>
      </c>
      <c r="R820" s="2" t="s">
        <v>1355</v>
      </c>
      <c r="S820" s="2" t="s">
        <v>3653</v>
      </c>
      <c r="T820" s="2" t="s">
        <v>3654</v>
      </c>
      <c r="U820" s="2" t="s">
        <v>23495</v>
      </c>
      <c r="V820" s="2" t="s">
        <v>17892</v>
      </c>
      <c r="W820" s="2"/>
    </row>
    <row r="821">
      <c r="A821" s="2" t="n">
        <v>627</v>
      </c>
      <c r="B821" s="2" t="s">
        <v>15252</v>
      </c>
      <c r="C821" s="2" t="s">
        <v>23502</v>
      </c>
      <c r="D821" s="2" t="n">
        <v>698.247796233</v>
      </c>
      <c r="E821" s="2" t="n">
        <v>1.3995926282052</v>
      </c>
      <c r="F821" s="2" t="s">
        <v>27731</v>
      </c>
      <c r="G821" s="2" t="n">
        <v>208273</v>
      </c>
      <c r="H821" s="3" t="str">
        <f>HYPERLINK("http://funmeta.oebiotech.com/network/208273", "http://funmeta.oebiotech.com/network/208273")</f>
      </c>
      <c r="I821" s="2" t="s">
        <v>27732</v>
      </c>
      <c r="J821" s="2"/>
      <c r="K821" s="2"/>
      <c r="L821" s="2"/>
      <c r="M821" s="2"/>
      <c r="N821" s="2" t="s">
        <v>27733</v>
      </c>
      <c r="O821" s="2"/>
      <c r="P821" s="2" t="s">
        <v>27734</v>
      </c>
      <c r="Q821" s="2" t="s">
        <v>27735</v>
      </c>
      <c r="R821" s="2" t="s">
        <v>129</v>
      </c>
      <c r="S821" s="2" t="s">
        <v>130</v>
      </c>
      <c r="T821" s="2" t="s">
        <v>1681</v>
      </c>
      <c r="U821" s="2" t="s">
        <v>23503</v>
      </c>
      <c r="V821" s="2" t="s">
        <v>17198</v>
      </c>
      <c r="W821" s="2"/>
    </row>
    <row r="822">
      <c r="A822" s="2" t="n">
        <v>627</v>
      </c>
      <c r="B822" s="2" t="s">
        <v>27736</v>
      </c>
      <c r="C822" s="2" t="s">
        <v>23502</v>
      </c>
      <c r="D822" s="2" t="n">
        <v>698.247796233</v>
      </c>
      <c r="E822" s="2" t="n">
        <v>1.3995926282052</v>
      </c>
      <c r="F822" s="2" t="s">
        <v>27737</v>
      </c>
      <c r="G822" s="2" t="n">
        <v>208272</v>
      </c>
      <c r="H822" s="3" t="str">
        <f>HYPERLINK("http://funmeta.oebiotech.com/network/208272", "http://funmeta.oebiotech.com/network/208272")</f>
      </c>
      <c r="I822" s="2" t="s">
        <v>27738</v>
      </c>
      <c r="J822" s="2"/>
      <c r="K822" s="2"/>
      <c r="L822" s="2"/>
      <c r="M822" s="2"/>
      <c r="N822" s="2"/>
      <c r="O822" s="2"/>
      <c r="P822" s="2" t="s">
        <v>27739</v>
      </c>
      <c r="Q822" s="2" t="s">
        <v>27740</v>
      </c>
      <c r="R822" s="2" t="s">
        <v>129</v>
      </c>
      <c r="S822" s="2" t="s">
        <v>130</v>
      </c>
      <c r="T822" s="2" t="s">
        <v>1681</v>
      </c>
      <c r="U822" s="2" t="s">
        <v>23503</v>
      </c>
      <c r="V822" s="2" t="s">
        <v>17198</v>
      </c>
      <c r="W822" s="2"/>
    </row>
    <row r="823">
      <c r="A823" s="2" t="n">
        <v>628</v>
      </c>
      <c r="B823" s="2" t="s">
        <v>15253</v>
      </c>
      <c r="C823" s="2" t="s">
        <v>23510</v>
      </c>
      <c r="D823" s="2" t="n">
        <v>699.25030023</v>
      </c>
      <c r="E823" s="2" t="n">
        <v>0.89539640269987</v>
      </c>
      <c r="F823" s="2" t="s">
        <v>23512</v>
      </c>
      <c r="G823" s="2" t="n">
        <v>210172</v>
      </c>
      <c r="H823" s="3" t="str">
        <f>HYPERLINK("http://funmeta.oebiotech.com/network/210172", "http://funmeta.oebiotech.com/network/210172")</f>
      </c>
      <c r="I823" s="2" t="s">
        <v>23514</v>
      </c>
      <c r="J823" s="2"/>
      <c r="K823" s="2"/>
      <c r="L823" s="2"/>
      <c r="M823" s="2" t="s">
        <v>23515</v>
      </c>
      <c r="N823" s="2"/>
      <c r="O823" s="2"/>
      <c r="P823" s="2" t="s">
        <v>23516</v>
      </c>
      <c r="Q823" s="2" t="s">
        <v>23517</v>
      </c>
      <c r="R823" s="2" t="s">
        <v>114</v>
      </c>
      <c r="S823" s="2" t="s">
        <v>936</v>
      </c>
      <c r="T823" s="2" t="s">
        <v>23518</v>
      </c>
      <c r="U823" s="2" t="s">
        <v>23511</v>
      </c>
      <c r="V823" s="2" t="s">
        <v>18382</v>
      </c>
      <c r="W823" s="2"/>
    </row>
    <row r="824">
      <c r="A824" s="2" t="n">
        <v>629</v>
      </c>
      <c r="B824" s="2" t="s">
        <v>15254</v>
      </c>
      <c r="C824" s="2" t="s">
        <v>23519</v>
      </c>
      <c r="D824" s="2" t="n">
        <v>701.412867051</v>
      </c>
      <c r="E824" s="2" t="n">
        <v>0.449437093450583</v>
      </c>
      <c r="F824" s="2" t="s">
        <v>23521</v>
      </c>
      <c r="G824" s="2" t="n">
        <v>25043</v>
      </c>
      <c r="H824" s="3" t="str">
        <f>HYPERLINK("http://funmeta.oebiotech.com/network/25043", "http://funmeta.oebiotech.com/network/25043")</f>
      </c>
      <c r="I824" s="2" t="s">
        <v>23523</v>
      </c>
      <c r="J824" s="2" t="s">
        <v>23524</v>
      </c>
      <c r="K824" s="2" t="s">
        <v>23525</v>
      </c>
      <c r="L824" s="2"/>
      <c r="M824" s="2"/>
      <c r="N824" s="2" t="s">
        <v>23526</v>
      </c>
      <c r="O824" s="2"/>
      <c r="P824" s="2" t="s">
        <v>23527</v>
      </c>
      <c r="Q824" s="2" t="s">
        <v>23528</v>
      </c>
      <c r="R824" s="2" t="s">
        <v>794</v>
      </c>
      <c r="S824" s="2" t="s">
        <v>7122</v>
      </c>
      <c r="T824" s="2" t="s">
        <v>7123</v>
      </c>
      <c r="U824" s="2" t="s">
        <v>23520</v>
      </c>
      <c r="V824" s="2" t="s">
        <v>17970</v>
      </c>
      <c r="W824" s="2"/>
    </row>
    <row r="825">
      <c r="A825" s="2" t="n">
        <v>630</v>
      </c>
      <c r="B825" s="2" t="s">
        <v>15255</v>
      </c>
      <c r="C825" s="2" t="s">
        <v>23529</v>
      </c>
      <c r="D825" s="2" t="n">
        <v>702.920891347</v>
      </c>
      <c r="E825" s="2" t="n">
        <v>9.26548062468559</v>
      </c>
      <c r="F825" s="2" t="s">
        <v>23531</v>
      </c>
      <c r="G825" s="2" t="n">
        <v>210202</v>
      </c>
      <c r="H825" s="3" t="str">
        <f>HYPERLINK("http://funmeta.oebiotech.com/network/210202", "http://funmeta.oebiotech.com/network/210202")</f>
      </c>
      <c r="I825" s="2" t="s">
        <v>23533</v>
      </c>
      <c r="J825" s="2"/>
      <c r="K825" s="2"/>
      <c r="L825" s="2"/>
      <c r="M825" s="2"/>
      <c r="N825" s="2"/>
      <c r="O825" s="2"/>
      <c r="P825" s="2" t="s">
        <v>23534</v>
      </c>
      <c r="Q825" s="2" t="s">
        <v>23535</v>
      </c>
      <c r="R825" s="2" t="s">
        <v>794</v>
      </c>
      <c r="S825" s="2" t="s">
        <v>795</v>
      </c>
      <c r="T825" s="2" t="s">
        <v>796</v>
      </c>
      <c r="U825" s="2" t="s">
        <v>23530</v>
      </c>
      <c r="V825" s="2" t="s">
        <v>17406</v>
      </c>
      <c r="W825" s="2"/>
    </row>
    <row r="826">
      <c r="A826" s="2" t="n">
        <v>631</v>
      </c>
      <c r="B826" s="2" t="s">
        <v>15256</v>
      </c>
      <c r="C826" s="2" t="s">
        <v>23536</v>
      </c>
      <c r="D826" s="2" t="n">
        <v>703.574850782</v>
      </c>
      <c r="E826" s="2" t="n">
        <v>2.52338727229653</v>
      </c>
      <c r="F826" s="2" t="s">
        <v>23538</v>
      </c>
      <c r="G826" s="2" t="n">
        <v>39593</v>
      </c>
      <c r="H826" s="3" t="str">
        <f>HYPERLINK("http://funmeta.oebiotech.com/network/39593", "http://funmeta.oebiotech.com/network/39593")</f>
      </c>
      <c r="I826" s="2" t="s">
        <v>23540</v>
      </c>
      <c r="J826" s="2" t="s">
        <v>23541</v>
      </c>
      <c r="K826" s="2" t="s">
        <v>23542</v>
      </c>
      <c r="L826" s="2"/>
      <c r="M826" s="2" t="s">
        <v>23543</v>
      </c>
      <c r="N826" s="2" t="s">
        <v>23544</v>
      </c>
      <c r="O826" s="2" t="s">
        <v>23545</v>
      </c>
      <c r="P826" s="2" t="s">
        <v>23546</v>
      </c>
      <c r="Q826" s="2" t="s">
        <v>23547</v>
      </c>
      <c r="R826" s="2" t="s">
        <v>794</v>
      </c>
      <c r="S826" s="2" t="s">
        <v>7781</v>
      </c>
      <c r="T826" s="2" t="s">
        <v>7782</v>
      </c>
      <c r="U826" s="2" t="s">
        <v>23537</v>
      </c>
      <c r="V826" s="2" t="s">
        <v>17137</v>
      </c>
      <c r="W826" s="2" t="s">
        <v>39</v>
      </c>
    </row>
    <row r="827">
      <c r="A827" s="2" t="n">
        <v>632</v>
      </c>
      <c r="B827" s="2" t="s">
        <v>15273</v>
      </c>
      <c r="C827" s="2" t="s">
        <v>23548</v>
      </c>
      <c r="D827" s="2" t="n">
        <v>704.401775067</v>
      </c>
      <c r="E827" s="2" t="n">
        <v>3.65814917682873</v>
      </c>
      <c r="F827" s="2" t="s">
        <v>23550</v>
      </c>
      <c r="G827" s="2" t="n">
        <v>212810</v>
      </c>
      <c r="H827" s="3" t="str">
        <f>HYPERLINK("http://funmeta.oebiotech.com/network/212810", "http://funmeta.oebiotech.com/network/212810")</f>
      </c>
      <c r="I827" s="2" t="s">
        <v>23552</v>
      </c>
      <c r="J827" s="2"/>
      <c r="K827" s="2"/>
      <c r="L827" s="2"/>
      <c r="M827" s="2"/>
      <c r="N827" s="2" t="s">
        <v>23553</v>
      </c>
      <c r="O827" s="2"/>
      <c r="P827" s="2" t="s">
        <v>23554</v>
      </c>
      <c r="Q827" s="2" t="s">
        <v>23555</v>
      </c>
      <c r="R827" s="2" t="s">
        <v>186</v>
      </c>
      <c r="S827" s="2" t="s">
        <v>187</v>
      </c>
      <c r="T827" s="2" t="s">
        <v>6379</v>
      </c>
      <c r="U827" s="2" t="s">
        <v>23549</v>
      </c>
      <c r="V827" s="2" t="s">
        <v>17137</v>
      </c>
      <c r="W827" s="2"/>
    </row>
    <row r="828">
      <c r="A828" s="2" t="n">
        <v>633</v>
      </c>
      <c r="B828" s="2" t="s">
        <v>15274</v>
      </c>
      <c r="C828" s="2" t="s">
        <v>23556</v>
      </c>
      <c r="D828" s="2" t="n">
        <v>705.138256322</v>
      </c>
      <c r="E828" s="2" t="n">
        <v>1.77615170939001</v>
      </c>
      <c r="F828" s="2" t="s">
        <v>23558</v>
      </c>
      <c r="G828" s="2" t="n">
        <v>204675</v>
      </c>
      <c r="H828" s="3" t="str">
        <f>HYPERLINK("http://funmeta.oebiotech.com/network/204675", "http://funmeta.oebiotech.com/network/204675")</f>
      </c>
      <c r="I828" s="2" t="s">
        <v>23560</v>
      </c>
      <c r="J828" s="2"/>
      <c r="K828" s="2"/>
      <c r="L828" s="2"/>
      <c r="M828" s="2"/>
      <c r="N828" s="2" t="s">
        <v>23561</v>
      </c>
      <c r="O828" s="2"/>
      <c r="P828" s="2" t="s">
        <v>23562</v>
      </c>
      <c r="Q828" s="2" t="s">
        <v>23563</v>
      </c>
      <c r="R828" s="2" t="s">
        <v>36</v>
      </c>
      <c r="S828" s="2" t="s">
        <v>37</v>
      </c>
      <c r="T828" s="2" t="s">
        <v>69</v>
      </c>
      <c r="U828" s="2" t="s">
        <v>23557</v>
      </c>
      <c r="V828" s="2" t="s">
        <v>17406</v>
      </c>
      <c r="W828" s="2"/>
    </row>
    <row r="829">
      <c r="A829" s="2" t="n">
        <v>634</v>
      </c>
      <c r="B829" s="2" t="s">
        <v>15275</v>
      </c>
      <c r="C829" s="2" t="s">
        <v>23564</v>
      </c>
      <c r="D829" s="2" t="n">
        <v>705.48548335</v>
      </c>
      <c r="E829" s="2" t="n">
        <v>0.844669967317266</v>
      </c>
      <c r="F829" s="2" t="s">
        <v>23566</v>
      </c>
      <c r="G829" s="2" t="n">
        <v>49073</v>
      </c>
      <c r="H829" s="3" t="str">
        <f>HYPERLINK("http://funmeta.oebiotech.com/network/49073", "http://funmeta.oebiotech.com/network/49073")</f>
      </c>
      <c r="I829" s="2" t="s">
        <v>23568</v>
      </c>
      <c r="J829" s="2" t="s">
        <v>23569</v>
      </c>
      <c r="K829" s="2"/>
      <c r="L829" s="2"/>
      <c r="M829" s="2" t="s">
        <v>23570</v>
      </c>
      <c r="N829" s="2" t="s">
        <v>23571</v>
      </c>
      <c r="O829" s="2"/>
      <c r="P829" s="2" t="s">
        <v>23572</v>
      </c>
      <c r="Q829" s="2" t="s">
        <v>23573</v>
      </c>
      <c r="R829" s="2" t="s">
        <v>794</v>
      </c>
      <c r="S829" s="2" t="s">
        <v>2600</v>
      </c>
      <c r="T829" s="2" t="s">
        <v>8990</v>
      </c>
      <c r="U829" s="2" t="s">
        <v>23565</v>
      </c>
      <c r="V829" s="2" t="s">
        <v>17406</v>
      </c>
      <c r="W829" s="2" t="s">
        <v>39</v>
      </c>
    </row>
    <row r="830">
      <c r="A830" s="2" t="n">
        <v>635</v>
      </c>
      <c r="B830" s="2" t="s">
        <v>15276</v>
      </c>
      <c r="C830" s="2" t="s">
        <v>23574</v>
      </c>
      <c r="D830" s="2" t="n">
        <v>707.131405116</v>
      </c>
      <c r="E830" s="2" t="n">
        <v>0.195690904153658</v>
      </c>
      <c r="F830" s="2" t="s">
        <v>23576</v>
      </c>
      <c r="G830" s="2" t="n">
        <v>206857</v>
      </c>
      <c r="H830" s="3" t="str">
        <f>HYPERLINK("http://funmeta.oebiotech.com/network/206857", "http://funmeta.oebiotech.com/network/206857")</f>
      </c>
      <c r="I830" s="2" t="s">
        <v>23578</v>
      </c>
      <c r="J830" s="2"/>
      <c r="K830" s="2"/>
      <c r="L830" s="2"/>
      <c r="M830" s="2" t="s">
        <v>23579</v>
      </c>
      <c r="N830" s="2"/>
      <c r="O830" s="2"/>
      <c r="P830" s="2" t="s">
        <v>23580</v>
      </c>
      <c r="Q830" s="2" t="s">
        <v>23581</v>
      </c>
      <c r="R830" s="2" t="s">
        <v>114</v>
      </c>
      <c r="S830" s="2" t="s">
        <v>6312</v>
      </c>
      <c r="T830" s="2" t="s">
        <v>6313</v>
      </c>
      <c r="U830" s="2" t="s">
        <v>23575</v>
      </c>
      <c r="V830" s="2" t="s">
        <v>17227</v>
      </c>
      <c r="W830" s="2"/>
    </row>
    <row r="831">
      <c r="A831" s="2" t="n">
        <v>636</v>
      </c>
      <c r="B831" s="2" t="s">
        <v>15277</v>
      </c>
      <c r="C831" s="2" t="s">
        <v>23582</v>
      </c>
      <c r="D831" s="2" t="n">
        <v>708.129598893</v>
      </c>
      <c r="E831" s="2" t="n">
        <v>0.179876098847486</v>
      </c>
      <c r="F831" s="2" t="s">
        <v>27741</v>
      </c>
      <c r="G831" s="2" t="n">
        <v>257633</v>
      </c>
      <c r="H831" s="3" t="str">
        <f>HYPERLINK("http://funmeta.oebiotech.com/network/257633", "http://funmeta.oebiotech.com/network/257633")</f>
      </c>
      <c r="I831" s="2" t="s">
        <v>27742</v>
      </c>
      <c r="J831" s="2"/>
      <c r="K831" s="2"/>
      <c r="L831" s="2"/>
      <c r="M831" s="2"/>
      <c r="N831" s="2"/>
      <c r="O831" s="2"/>
      <c r="P831" s="2" t="s">
        <v>27743</v>
      </c>
      <c r="Q831" s="2" t="s">
        <v>27744</v>
      </c>
      <c r="R831" s="2" t="s">
        <v>36</v>
      </c>
      <c r="S831" s="2" t="s">
        <v>37</v>
      </c>
      <c r="T831" s="2" t="s">
        <v>69</v>
      </c>
      <c r="U831" s="2" t="s">
        <v>23583</v>
      </c>
      <c r="V831" s="2" t="s">
        <v>17520</v>
      </c>
      <c r="W831" s="2"/>
    </row>
    <row r="832">
      <c r="A832" s="2" t="n">
        <v>636</v>
      </c>
      <c r="B832" s="2" t="s">
        <v>27745</v>
      </c>
      <c r="C832" s="2" t="s">
        <v>23582</v>
      </c>
      <c r="D832" s="2" t="n">
        <v>708.129598893</v>
      </c>
      <c r="E832" s="2" t="n">
        <v>0.179876098847486</v>
      </c>
      <c r="F832" s="2" t="s">
        <v>27746</v>
      </c>
      <c r="G832" s="2" t="n">
        <v>206325</v>
      </c>
      <c r="H832" s="3" t="str">
        <f>HYPERLINK("http://funmeta.oebiotech.com/network/206325", "http://funmeta.oebiotech.com/network/206325")</f>
      </c>
      <c r="I832" s="2" t="s">
        <v>27747</v>
      </c>
      <c r="J832" s="2"/>
      <c r="K832" s="2"/>
      <c r="L832" s="2"/>
      <c r="M832" s="2"/>
      <c r="N832" s="2" t="s">
        <v>27748</v>
      </c>
      <c r="O832" s="2"/>
      <c r="P832" s="2" t="s">
        <v>27749</v>
      </c>
      <c r="Q832" s="2" t="s">
        <v>27750</v>
      </c>
      <c r="R832" s="2" t="s">
        <v>114</v>
      </c>
      <c r="S832" s="2" t="s">
        <v>369</v>
      </c>
      <c r="T832" s="2" t="s">
        <v>370</v>
      </c>
      <c r="U832" s="2" t="s">
        <v>23583</v>
      </c>
      <c r="V832" s="2" t="s">
        <v>17520</v>
      </c>
      <c r="W832" s="2"/>
    </row>
    <row r="833">
      <c r="A833" s="2" t="n">
        <v>637</v>
      </c>
      <c r="B833" s="2" t="s">
        <v>15278</v>
      </c>
      <c r="C833" s="2" t="s">
        <v>23592</v>
      </c>
      <c r="D833" s="2" t="n">
        <v>708.502100875</v>
      </c>
      <c r="E833" s="2" t="n">
        <v>7.66139627182035</v>
      </c>
      <c r="F833" s="2" t="s">
        <v>23594</v>
      </c>
      <c r="G833" s="2" t="n">
        <v>57065</v>
      </c>
      <c r="H833" s="3" t="str">
        <f>HYPERLINK("http://funmeta.oebiotech.com/network/57065", "http://funmeta.oebiotech.com/network/57065")</f>
      </c>
      <c r="I833" s="2" t="s">
        <v>23596</v>
      </c>
      <c r="J833" s="2" t="s">
        <v>23597</v>
      </c>
      <c r="K833" s="2"/>
      <c r="L833" s="2"/>
      <c r="M833" s="2" t="s">
        <v>23598</v>
      </c>
      <c r="N833" s="2" t="s">
        <v>23599</v>
      </c>
      <c r="O833" s="2"/>
      <c r="P833" s="2" t="s">
        <v>23600</v>
      </c>
      <c r="Q833" s="2" t="s">
        <v>23601</v>
      </c>
      <c r="R833" s="2" t="s">
        <v>794</v>
      </c>
      <c r="S833" s="2" t="s">
        <v>7781</v>
      </c>
      <c r="T833" s="2" t="s">
        <v>11458</v>
      </c>
      <c r="U833" s="2" t="s">
        <v>23593</v>
      </c>
      <c r="V833" s="2" t="s">
        <v>17198</v>
      </c>
      <c r="W833" s="2"/>
    </row>
    <row r="834">
      <c r="A834" s="2" t="n">
        <v>638</v>
      </c>
      <c r="B834" s="2" t="s">
        <v>15279</v>
      </c>
      <c r="C834" s="2" t="s">
        <v>23602</v>
      </c>
      <c r="D834" s="2" t="n">
        <v>709.517256373</v>
      </c>
      <c r="E834" s="2" t="n">
        <v>1.17445756356862</v>
      </c>
      <c r="F834" s="2" t="s">
        <v>27751</v>
      </c>
      <c r="G834" s="2" t="n">
        <v>25784</v>
      </c>
      <c r="H834" s="3" t="str">
        <f>HYPERLINK("http://funmeta.oebiotech.com/network/25784", "http://funmeta.oebiotech.com/network/25784")</f>
      </c>
      <c r="I834" s="2" t="s">
        <v>27752</v>
      </c>
      <c r="J834" s="2" t="s">
        <v>27753</v>
      </c>
      <c r="K834" s="2" t="s">
        <v>27754</v>
      </c>
      <c r="L834" s="2"/>
      <c r="M834" s="2"/>
      <c r="N834" s="2" t="s">
        <v>27755</v>
      </c>
      <c r="O834" s="2"/>
      <c r="P834" s="2" t="s">
        <v>27756</v>
      </c>
      <c r="Q834" s="2" t="s">
        <v>27757</v>
      </c>
      <c r="R834" s="2" t="s">
        <v>794</v>
      </c>
      <c r="S834" s="2" t="s">
        <v>7122</v>
      </c>
      <c r="T834" s="2" t="s">
        <v>7123</v>
      </c>
      <c r="U834" s="2" t="s">
        <v>23603</v>
      </c>
      <c r="V834" s="2" t="s">
        <v>17039</v>
      </c>
      <c r="W834" s="2" t="s">
        <v>56</v>
      </c>
    </row>
    <row r="835">
      <c r="A835" s="2" t="n">
        <v>638</v>
      </c>
      <c r="B835" s="2" t="s">
        <v>27758</v>
      </c>
      <c r="C835" s="2" t="s">
        <v>23602</v>
      </c>
      <c r="D835" s="2" t="n">
        <v>709.517256373</v>
      </c>
      <c r="E835" s="2" t="n">
        <v>1.17445756356862</v>
      </c>
      <c r="F835" s="2" t="s">
        <v>27759</v>
      </c>
      <c r="G835" s="2" t="n">
        <v>25121</v>
      </c>
      <c r="H835" s="3" t="str">
        <f>HYPERLINK("http://funmeta.oebiotech.com/network/25121", "http://funmeta.oebiotech.com/network/25121")</f>
      </c>
      <c r="I835" s="2" t="s">
        <v>27760</v>
      </c>
      <c r="J835" s="2" t="s">
        <v>27761</v>
      </c>
      <c r="K835" s="2" t="s">
        <v>27762</v>
      </c>
      <c r="L835" s="2"/>
      <c r="M835" s="2"/>
      <c r="N835" s="2" t="s">
        <v>27763</v>
      </c>
      <c r="O835" s="2"/>
      <c r="P835" s="2" t="s">
        <v>27764</v>
      </c>
      <c r="Q835" s="2" t="s">
        <v>27765</v>
      </c>
      <c r="R835" s="2" t="s">
        <v>794</v>
      </c>
      <c r="S835" s="2" t="s">
        <v>7122</v>
      </c>
      <c r="T835" s="2" t="s">
        <v>7123</v>
      </c>
      <c r="U835" s="2" t="s">
        <v>23603</v>
      </c>
      <c r="V835" s="2" t="s">
        <v>17039</v>
      </c>
      <c r="W835" s="2" t="s">
        <v>56</v>
      </c>
    </row>
    <row r="836">
      <c r="A836" s="2" t="n">
        <v>639</v>
      </c>
      <c r="B836" s="2" t="s">
        <v>15280</v>
      </c>
      <c r="C836" s="2" t="s">
        <v>23612</v>
      </c>
      <c r="D836" s="2" t="n">
        <v>710.512504861</v>
      </c>
      <c r="E836" s="2" t="n">
        <v>9.33112939089288</v>
      </c>
      <c r="F836" s="2" t="s">
        <v>27766</v>
      </c>
      <c r="G836" s="2" t="n">
        <v>18628</v>
      </c>
      <c r="H836" s="3" t="str">
        <f>HYPERLINK("http://funmeta.oebiotech.com/network/18628", "http://funmeta.oebiotech.com/network/18628")</f>
      </c>
      <c r="I836" s="2" t="s">
        <v>27767</v>
      </c>
      <c r="J836" s="2" t="s">
        <v>27768</v>
      </c>
      <c r="K836" s="2" t="s">
        <v>27769</v>
      </c>
      <c r="L836" s="2" t="s">
        <v>9831</v>
      </c>
      <c r="M836" s="2" t="s">
        <v>27770</v>
      </c>
      <c r="N836" s="2" t="s">
        <v>27771</v>
      </c>
      <c r="O836" s="2"/>
      <c r="P836" s="2" t="s">
        <v>27772</v>
      </c>
      <c r="Q836" s="2" t="s">
        <v>27773</v>
      </c>
      <c r="R836" s="2" t="s">
        <v>794</v>
      </c>
      <c r="S836" s="2" t="s">
        <v>7122</v>
      </c>
      <c r="T836" s="2" t="s">
        <v>8460</v>
      </c>
      <c r="U836" s="2" t="s">
        <v>23613</v>
      </c>
      <c r="V836" s="2" t="s">
        <v>17039</v>
      </c>
      <c r="W836" s="2" t="s">
        <v>56</v>
      </c>
    </row>
    <row r="837">
      <c r="A837" s="2" t="n">
        <v>639</v>
      </c>
      <c r="B837" s="2" t="s">
        <v>15289</v>
      </c>
      <c r="C837" s="2" t="s">
        <v>23612</v>
      </c>
      <c r="D837" s="2" t="n">
        <v>710.512504861</v>
      </c>
      <c r="E837" s="2" t="n">
        <v>9.33112939089288</v>
      </c>
      <c r="F837" s="2" t="s">
        <v>27774</v>
      </c>
      <c r="G837" s="2" t="n">
        <v>49952</v>
      </c>
      <c r="H837" s="3" t="str">
        <f>HYPERLINK("http://funmeta.oebiotech.com/network/49952", "http://funmeta.oebiotech.com/network/49952")</f>
      </c>
      <c r="I837" s="2" t="s">
        <v>27775</v>
      </c>
      <c r="J837" s="2" t="s">
        <v>27776</v>
      </c>
      <c r="K837" s="2"/>
      <c r="L837" s="2" t="s">
        <v>9434</v>
      </c>
      <c r="M837" s="2"/>
      <c r="N837" s="2" t="s">
        <v>27777</v>
      </c>
      <c r="O837" s="2"/>
      <c r="P837" s="2" t="s">
        <v>27778</v>
      </c>
      <c r="Q837" s="2" t="s">
        <v>27779</v>
      </c>
      <c r="R837" s="2" t="s">
        <v>794</v>
      </c>
      <c r="S837" s="2" t="s">
        <v>7122</v>
      </c>
      <c r="T837" s="2" t="s">
        <v>8042</v>
      </c>
      <c r="U837" s="2" t="s">
        <v>23613</v>
      </c>
      <c r="V837" s="2" t="s">
        <v>17039</v>
      </c>
      <c r="W837" s="2" t="s">
        <v>56</v>
      </c>
    </row>
    <row r="838">
      <c r="A838" s="2" t="n">
        <v>640</v>
      </c>
      <c r="B838" s="2" t="s">
        <v>15295</v>
      </c>
      <c r="C838" s="2" t="s">
        <v>23623</v>
      </c>
      <c r="D838" s="2" t="n">
        <v>711.313965756</v>
      </c>
      <c r="E838" s="2" t="n">
        <v>0.848241030455829</v>
      </c>
      <c r="F838" s="2" t="s">
        <v>27780</v>
      </c>
      <c r="G838" s="2" t="n">
        <v>62053</v>
      </c>
      <c r="H838" s="3" t="str">
        <f>HYPERLINK("http://funmeta.oebiotech.com/network/62053", "http://funmeta.oebiotech.com/network/62053")</f>
      </c>
      <c r="I838" s="2" t="s">
        <v>27781</v>
      </c>
      <c r="J838" s="2"/>
      <c r="K838" s="2"/>
      <c r="L838" s="2"/>
      <c r="M838" s="2"/>
      <c r="N838" s="2" t="s">
        <v>27782</v>
      </c>
      <c r="O838" s="2"/>
      <c r="P838" s="2" t="s">
        <v>27783</v>
      </c>
      <c r="Q838" s="2" t="s">
        <v>27784</v>
      </c>
      <c r="R838" s="2" t="s">
        <v>794</v>
      </c>
      <c r="S838" s="2" t="s">
        <v>795</v>
      </c>
      <c r="T838" s="2" t="s">
        <v>1870</v>
      </c>
      <c r="U838" s="2" t="s">
        <v>23624</v>
      </c>
      <c r="V838" s="2" t="s">
        <v>17892</v>
      </c>
      <c r="W838" s="2" t="s">
        <v>56</v>
      </c>
    </row>
    <row r="839">
      <c r="A839" s="2" t="n">
        <v>640</v>
      </c>
      <c r="B839" s="2" t="s">
        <v>27785</v>
      </c>
      <c r="C839" s="2" t="s">
        <v>23623</v>
      </c>
      <c r="D839" s="2" t="n">
        <v>711.313965756</v>
      </c>
      <c r="E839" s="2" t="n">
        <v>0.848241030455829</v>
      </c>
      <c r="F839" s="2" t="s">
        <v>27786</v>
      </c>
      <c r="G839" s="2" t="n">
        <v>56227</v>
      </c>
      <c r="H839" s="3" t="str">
        <f>HYPERLINK("http://funmeta.oebiotech.com/network/56227", "http://funmeta.oebiotech.com/network/56227")</f>
      </c>
      <c r="I839" s="2" t="s">
        <v>27787</v>
      </c>
      <c r="J839" s="2" t="s">
        <v>27788</v>
      </c>
      <c r="K839" s="2"/>
      <c r="L839" s="2"/>
      <c r="M839" s="2" t="s">
        <v>27789</v>
      </c>
      <c r="N839" s="2" t="s">
        <v>27790</v>
      </c>
      <c r="O839" s="2" t="s">
        <v>27791</v>
      </c>
      <c r="P839" s="2" t="s">
        <v>27792</v>
      </c>
      <c r="Q839" s="2" t="s">
        <v>27793</v>
      </c>
      <c r="R839" s="2" t="s">
        <v>14232</v>
      </c>
      <c r="S839" s="2" t="s">
        <v>215</v>
      </c>
      <c r="T839" s="2" t="s">
        <v>215</v>
      </c>
      <c r="U839" s="2" t="s">
        <v>23624</v>
      </c>
      <c r="V839" s="2" t="s">
        <v>17892</v>
      </c>
      <c r="W839" s="2" t="s">
        <v>56</v>
      </c>
    </row>
    <row r="840">
      <c r="A840" s="2" t="n">
        <v>641</v>
      </c>
      <c r="B840" s="2" t="s">
        <v>15296</v>
      </c>
      <c r="C840" s="2" t="s">
        <v>23637</v>
      </c>
      <c r="D840" s="2" t="n">
        <v>714.194727</v>
      </c>
      <c r="E840" s="2" t="n">
        <v>1.73429190551363</v>
      </c>
      <c r="F840" s="2" t="s">
        <v>23639</v>
      </c>
      <c r="G840" s="2" t="n">
        <v>212837</v>
      </c>
      <c r="H840" s="3" t="str">
        <f>HYPERLINK("http://funmeta.oebiotech.com/network/212837", "http://funmeta.oebiotech.com/network/212837")</f>
      </c>
      <c r="I840" s="2" t="s">
        <v>23641</v>
      </c>
      <c r="J840" s="2"/>
      <c r="K840" s="2"/>
      <c r="L840" s="2"/>
      <c r="M840" s="2"/>
      <c r="N840" s="2"/>
      <c r="O840" s="2"/>
      <c r="P840" s="2" t="s">
        <v>23642</v>
      </c>
      <c r="Q840" s="2" t="s">
        <v>23643</v>
      </c>
      <c r="R840" s="2" t="s">
        <v>601</v>
      </c>
      <c r="S840" s="2" t="s">
        <v>602</v>
      </c>
      <c r="T840" s="2" t="s">
        <v>8583</v>
      </c>
      <c r="U840" s="2" t="s">
        <v>23638</v>
      </c>
      <c r="V840" s="2" t="s">
        <v>17520</v>
      </c>
      <c r="W840" s="2"/>
    </row>
    <row r="841">
      <c r="A841" s="2" t="n">
        <v>642</v>
      </c>
      <c r="B841" s="2" t="s">
        <v>15297</v>
      </c>
      <c r="C841" s="2" t="s">
        <v>23644</v>
      </c>
      <c r="D841" s="2" t="n">
        <v>719.179382348</v>
      </c>
      <c r="E841" s="2" t="n">
        <v>1.07210386495263</v>
      </c>
      <c r="F841" s="2" t="s">
        <v>23646</v>
      </c>
      <c r="G841" s="2" t="n">
        <v>255569</v>
      </c>
      <c r="H841" s="3" t="str">
        <f>HYPERLINK("http://funmeta.oebiotech.com/network/255569", "http://funmeta.oebiotech.com/network/255569")</f>
      </c>
      <c r="I841" s="2" t="s">
        <v>23648</v>
      </c>
      <c r="J841" s="2"/>
      <c r="K841" s="2"/>
      <c r="L841" s="2"/>
      <c r="M841" s="2"/>
      <c r="N841" s="2"/>
      <c r="O841" s="2"/>
      <c r="P841" s="2" t="s">
        <v>23649</v>
      </c>
      <c r="Q841" s="2" t="s">
        <v>23650</v>
      </c>
      <c r="R841" s="2" t="s">
        <v>1355</v>
      </c>
      <c r="S841" s="2" t="s">
        <v>5199</v>
      </c>
      <c r="T841" s="2" t="s">
        <v>7308</v>
      </c>
      <c r="U841" s="2" t="s">
        <v>23645</v>
      </c>
      <c r="V841" s="2" t="s">
        <v>17198</v>
      </c>
      <c r="W841" s="2"/>
    </row>
    <row r="842">
      <c r="A842" s="2" t="n">
        <v>643</v>
      </c>
      <c r="B842" s="2" t="s">
        <v>15298</v>
      </c>
      <c r="C842" s="2" t="s">
        <v>23651</v>
      </c>
      <c r="D842" s="2" t="n">
        <v>720.19576066</v>
      </c>
      <c r="E842" s="2" t="n">
        <v>9.25214033276172</v>
      </c>
      <c r="F842" s="2" t="s">
        <v>23653</v>
      </c>
      <c r="G842" s="2" t="n">
        <v>257360</v>
      </c>
      <c r="H842" s="3" t="str">
        <f>HYPERLINK("http://funmeta.oebiotech.com/network/257360", "http://funmeta.oebiotech.com/network/257360")</f>
      </c>
      <c r="I842" s="2" t="s">
        <v>23655</v>
      </c>
      <c r="J842" s="2"/>
      <c r="K842" s="2"/>
      <c r="L842" s="2"/>
      <c r="M842" s="2"/>
      <c r="N842" s="2"/>
      <c r="O842" s="2"/>
      <c r="P842" s="2" t="s">
        <v>23656</v>
      </c>
      <c r="Q842" s="2" t="s">
        <v>23657</v>
      </c>
      <c r="R842" s="2" t="s">
        <v>129</v>
      </c>
      <c r="S842" s="2" t="s">
        <v>130</v>
      </c>
      <c r="T842" s="2" t="s">
        <v>1681</v>
      </c>
      <c r="U842" s="2" t="s">
        <v>23652</v>
      </c>
      <c r="V842" s="2" t="s">
        <v>17198</v>
      </c>
      <c r="W842" s="2"/>
    </row>
    <row r="843">
      <c r="A843" s="2" t="n">
        <v>644</v>
      </c>
      <c r="B843" s="2" t="s">
        <v>15299</v>
      </c>
      <c r="C843" s="2" t="s">
        <v>23658</v>
      </c>
      <c r="D843" s="2" t="n">
        <v>721.176860008</v>
      </c>
      <c r="E843" s="2" t="n">
        <v>9.7785220689623</v>
      </c>
      <c r="F843" s="2" t="s">
        <v>23660</v>
      </c>
      <c r="G843" s="2" t="n">
        <v>255002</v>
      </c>
      <c r="H843" s="3" t="str">
        <f>HYPERLINK("http://funmeta.oebiotech.com/network/255002", "http://funmeta.oebiotech.com/network/255002")</f>
      </c>
      <c r="I843" s="2" t="s">
        <v>23662</v>
      </c>
      <c r="J843" s="2"/>
      <c r="K843" s="2"/>
      <c r="L843" s="2"/>
      <c r="M843" s="2"/>
      <c r="N843" s="2" t="s">
        <v>23663</v>
      </c>
      <c r="O843" s="2"/>
      <c r="P843" s="2" t="s">
        <v>23664</v>
      </c>
      <c r="Q843" s="2" t="s">
        <v>23665</v>
      </c>
      <c r="R843" s="2" t="s">
        <v>1355</v>
      </c>
      <c r="S843" s="2" t="s">
        <v>5199</v>
      </c>
      <c r="T843" s="2" t="s">
        <v>23666</v>
      </c>
      <c r="U843" s="2" t="s">
        <v>23659</v>
      </c>
      <c r="V843" s="2" t="s">
        <v>17117</v>
      </c>
      <c r="W843" s="2"/>
    </row>
    <row r="844">
      <c r="A844" s="2" t="n">
        <v>645</v>
      </c>
      <c r="B844" s="2" t="s">
        <v>15300</v>
      </c>
      <c r="C844" s="2" t="s">
        <v>23667</v>
      </c>
      <c r="D844" s="2" t="n">
        <v>723.466873166</v>
      </c>
      <c r="E844" s="2" t="n">
        <v>2.00444534809727</v>
      </c>
      <c r="F844" s="2" t="s">
        <v>23669</v>
      </c>
      <c r="G844" s="2" t="n">
        <v>198553</v>
      </c>
      <c r="H844" s="3" t="str">
        <f>HYPERLINK("http://funmeta.oebiotech.com/network/198553", "http://funmeta.oebiotech.com/network/198553")</f>
      </c>
      <c r="I844" s="2" t="s">
        <v>23671</v>
      </c>
      <c r="J844" s="2"/>
      <c r="K844" s="2"/>
      <c r="L844" s="2"/>
      <c r="M844" s="2"/>
      <c r="N844" s="2" t="s">
        <v>23672</v>
      </c>
      <c r="O844" s="2"/>
      <c r="P844" s="2" t="s">
        <v>23673</v>
      </c>
      <c r="Q844" s="2" t="s">
        <v>23674</v>
      </c>
      <c r="R844" s="2" t="s">
        <v>36</v>
      </c>
      <c r="S844" s="2" t="s">
        <v>37</v>
      </c>
      <c r="T844" s="2" t="s">
        <v>69</v>
      </c>
      <c r="U844" s="2" t="s">
        <v>23668</v>
      </c>
      <c r="V844" s="2" t="s">
        <v>17227</v>
      </c>
      <c r="W844" s="2"/>
    </row>
    <row r="845">
      <c r="A845" s="2" t="n">
        <v>646</v>
      </c>
      <c r="B845" s="2" t="s">
        <v>15301</v>
      </c>
      <c r="C845" s="2" t="s">
        <v>23675</v>
      </c>
      <c r="D845" s="2" t="n">
        <v>730.526581657</v>
      </c>
      <c r="E845" s="2" t="n">
        <v>4.01037848706478</v>
      </c>
      <c r="F845" s="2" t="s">
        <v>27794</v>
      </c>
      <c r="G845" s="2" t="n">
        <v>208856</v>
      </c>
      <c r="H845" s="3" t="str">
        <f>HYPERLINK("http://funmeta.oebiotech.com/network/208856", "http://funmeta.oebiotech.com/network/208856")</f>
      </c>
      <c r="I845" s="2" t="s">
        <v>27795</v>
      </c>
      <c r="J845" s="2"/>
      <c r="K845" s="2"/>
      <c r="L845" s="2"/>
      <c r="M845" s="2"/>
      <c r="N845" s="2" t="s">
        <v>27796</v>
      </c>
      <c r="O845" s="2"/>
      <c r="P845" s="2" t="s">
        <v>27797</v>
      </c>
      <c r="Q845" s="2" t="s">
        <v>27798</v>
      </c>
      <c r="R845" s="2" t="s">
        <v>794</v>
      </c>
      <c r="S845" s="2" t="s">
        <v>2971</v>
      </c>
      <c r="T845" s="2" t="s">
        <v>7542</v>
      </c>
      <c r="U845" s="2" t="s">
        <v>23676</v>
      </c>
      <c r="V845" s="2" t="s">
        <v>17137</v>
      </c>
      <c r="W845" s="2"/>
    </row>
    <row r="846">
      <c r="A846" s="2" t="n">
        <v>646</v>
      </c>
      <c r="B846" s="2" t="s">
        <v>27799</v>
      </c>
      <c r="C846" s="2" t="s">
        <v>23675</v>
      </c>
      <c r="D846" s="2" t="n">
        <v>730.526581657</v>
      </c>
      <c r="E846" s="2" t="n">
        <v>4.01037848706478</v>
      </c>
      <c r="F846" s="2" t="s">
        <v>27800</v>
      </c>
      <c r="G846" s="2" t="n">
        <v>257583</v>
      </c>
      <c r="H846" s="3" t="str">
        <f>HYPERLINK("http://funmeta.oebiotech.com/network/257583", "http://funmeta.oebiotech.com/network/257583")</f>
      </c>
      <c r="I846" s="2" t="s">
        <v>27801</v>
      </c>
      <c r="J846" s="2"/>
      <c r="K846" s="2"/>
      <c r="L846" s="2"/>
      <c r="M846" s="2"/>
      <c r="N846" s="2"/>
      <c r="O846" s="2"/>
      <c r="P846" s="2" t="s">
        <v>27802</v>
      </c>
      <c r="Q846" s="2" t="s">
        <v>27803</v>
      </c>
      <c r="R846" s="2" t="s">
        <v>794</v>
      </c>
      <c r="S846" s="2" t="s">
        <v>2971</v>
      </c>
      <c r="T846" s="2" t="s">
        <v>7542</v>
      </c>
      <c r="U846" s="2" t="s">
        <v>23676</v>
      </c>
      <c r="V846" s="2" t="s">
        <v>17137</v>
      </c>
      <c r="W846" s="2"/>
    </row>
    <row r="847">
      <c r="A847" s="2" t="n">
        <v>647</v>
      </c>
      <c r="B847" s="2" t="s">
        <v>15302</v>
      </c>
      <c r="C847" s="2" t="s">
        <v>23683</v>
      </c>
      <c r="D847" s="2" t="n">
        <v>731.522735196</v>
      </c>
      <c r="E847" s="2" t="n">
        <v>1.37040844701717</v>
      </c>
      <c r="F847" s="2" t="s">
        <v>23685</v>
      </c>
      <c r="G847" s="2" t="n">
        <v>22505</v>
      </c>
      <c r="H847" s="3" t="str">
        <f>HYPERLINK("http://funmeta.oebiotech.com/network/22505", "http://funmeta.oebiotech.com/network/22505")</f>
      </c>
      <c r="I847" s="2" t="s">
        <v>23687</v>
      </c>
      <c r="J847" s="2"/>
      <c r="K847" s="2" t="s">
        <v>23688</v>
      </c>
      <c r="L847" s="2"/>
      <c r="M847" s="2" t="s">
        <v>23689</v>
      </c>
      <c r="N847" s="2" t="s">
        <v>23690</v>
      </c>
      <c r="O847" s="2" t="s">
        <v>23691</v>
      </c>
      <c r="P847" s="2" t="s">
        <v>23692</v>
      </c>
      <c r="Q847" s="2" t="s">
        <v>23693</v>
      </c>
      <c r="R847" s="2" t="s">
        <v>794</v>
      </c>
      <c r="S847" s="2" t="s">
        <v>7122</v>
      </c>
      <c r="T847" s="2" t="s">
        <v>9951</v>
      </c>
      <c r="U847" s="2" t="s">
        <v>23684</v>
      </c>
      <c r="V847" s="2" t="s">
        <v>17039</v>
      </c>
      <c r="W847" s="2" t="s">
        <v>39</v>
      </c>
    </row>
    <row r="848">
      <c r="A848" s="2" t="n">
        <v>648</v>
      </c>
      <c r="B848" s="2" t="s">
        <v>15303</v>
      </c>
      <c r="C848" s="2" t="s">
        <v>23694</v>
      </c>
      <c r="D848" s="2" t="n">
        <v>733.550607307</v>
      </c>
      <c r="E848" s="2" t="n">
        <v>3.64545464838178</v>
      </c>
      <c r="F848" s="2" t="s">
        <v>27804</v>
      </c>
      <c r="G848" s="2" t="n">
        <v>132618</v>
      </c>
      <c r="H848" s="3" t="str">
        <f>HYPERLINK("http://funmeta.oebiotech.com/network/132618", "http://funmeta.oebiotech.com/network/132618")</f>
      </c>
      <c r="I848" s="2" t="s">
        <v>27805</v>
      </c>
      <c r="J848" s="2"/>
      <c r="K848" s="2"/>
      <c r="L848" s="2"/>
      <c r="M848" s="2"/>
      <c r="N848" s="2" t="s">
        <v>27806</v>
      </c>
      <c r="O848" s="2"/>
      <c r="P848" s="2" t="s">
        <v>27807</v>
      </c>
      <c r="Q848" s="2" t="s">
        <v>27808</v>
      </c>
      <c r="R848" s="2" t="s">
        <v>794</v>
      </c>
      <c r="S848" s="2" t="s">
        <v>2971</v>
      </c>
      <c r="T848" s="2" t="s">
        <v>6290</v>
      </c>
      <c r="U848" s="2" t="s">
        <v>23695</v>
      </c>
      <c r="V848" s="2" t="s">
        <v>17970</v>
      </c>
      <c r="W848" s="2"/>
    </row>
    <row r="849">
      <c r="A849" s="2" t="n">
        <v>648</v>
      </c>
      <c r="B849" s="2" t="s">
        <v>27809</v>
      </c>
      <c r="C849" s="2" t="s">
        <v>23694</v>
      </c>
      <c r="D849" s="2" t="n">
        <v>733.550607307</v>
      </c>
      <c r="E849" s="2" t="n">
        <v>3.64545464838178</v>
      </c>
      <c r="F849" s="2" t="s">
        <v>27810</v>
      </c>
      <c r="G849" s="2" t="n">
        <v>132615</v>
      </c>
      <c r="H849" s="3" t="str">
        <f>HYPERLINK("http://funmeta.oebiotech.com/network/132615", "http://funmeta.oebiotech.com/network/132615")</f>
      </c>
      <c r="I849" s="2" t="s">
        <v>27811</v>
      </c>
      <c r="J849" s="2"/>
      <c r="K849" s="2"/>
      <c r="L849" s="2"/>
      <c r="M849" s="2"/>
      <c r="N849" s="2" t="s">
        <v>27812</v>
      </c>
      <c r="O849" s="2"/>
      <c r="P849" s="2" t="s">
        <v>27813</v>
      </c>
      <c r="Q849" s="2" t="s">
        <v>27814</v>
      </c>
      <c r="R849" s="2" t="s">
        <v>794</v>
      </c>
      <c r="S849" s="2" t="s">
        <v>2971</v>
      </c>
      <c r="T849" s="2" t="s">
        <v>6290</v>
      </c>
      <c r="U849" s="2" t="s">
        <v>23695</v>
      </c>
      <c r="V849" s="2" t="s">
        <v>17970</v>
      </c>
      <c r="W849" s="2"/>
    </row>
    <row r="850">
      <c r="A850" s="2" t="n">
        <v>649</v>
      </c>
      <c r="B850" s="2" t="s">
        <v>15304</v>
      </c>
      <c r="C850" s="2" t="s">
        <v>23702</v>
      </c>
      <c r="D850" s="2" t="n">
        <v>735.566257362</v>
      </c>
      <c r="E850" s="2" t="n">
        <v>6.67144416658834</v>
      </c>
      <c r="F850" s="2" t="s">
        <v>27815</v>
      </c>
      <c r="G850" s="2" t="n">
        <v>83255</v>
      </c>
      <c r="H850" s="3" t="str">
        <f>HYPERLINK("http://funmeta.oebiotech.com/network/83255", "http://funmeta.oebiotech.com/network/83255")</f>
      </c>
      <c r="I850" s="2" t="s">
        <v>27816</v>
      </c>
      <c r="J850" s="2"/>
      <c r="K850" s="2"/>
      <c r="L850" s="2"/>
      <c r="M850" s="2"/>
      <c r="N850" s="2" t="s">
        <v>27817</v>
      </c>
      <c r="O850" s="2"/>
      <c r="P850" s="2" t="s">
        <v>27818</v>
      </c>
      <c r="Q850" s="2" t="s">
        <v>27819</v>
      </c>
      <c r="R850" s="2" t="s">
        <v>794</v>
      </c>
      <c r="S850" s="2" t="s">
        <v>2971</v>
      </c>
      <c r="T850" s="2" t="s">
        <v>6290</v>
      </c>
      <c r="U850" s="2" t="s">
        <v>23703</v>
      </c>
      <c r="V850" s="2" t="s">
        <v>17970</v>
      </c>
      <c r="W850" s="2"/>
    </row>
    <row r="851">
      <c r="A851" s="2" t="n">
        <v>649</v>
      </c>
      <c r="B851" s="2" t="s">
        <v>27820</v>
      </c>
      <c r="C851" s="2" t="s">
        <v>23702</v>
      </c>
      <c r="D851" s="2" t="n">
        <v>735.566257372</v>
      </c>
      <c r="E851" s="2" t="n">
        <v>6.67144416658834</v>
      </c>
      <c r="F851" s="2" t="s">
        <v>27821</v>
      </c>
      <c r="G851" s="2" t="n">
        <v>132638</v>
      </c>
      <c r="H851" s="3" t="str">
        <f>HYPERLINK("http://funmeta.oebiotech.com/network/132638", "http://funmeta.oebiotech.com/network/132638")</f>
      </c>
      <c r="I851" s="2" t="s">
        <v>27822</v>
      </c>
      <c r="J851" s="2"/>
      <c r="K851" s="2"/>
      <c r="L851" s="2"/>
      <c r="M851" s="2"/>
      <c r="N851" s="2" t="s">
        <v>27823</v>
      </c>
      <c r="O851" s="2"/>
      <c r="P851" s="2" t="s">
        <v>27824</v>
      </c>
      <c r="Q851" s="2" t="s">
        <v>27825</v>
      </c>
      <c r="R851" s="2" t="s">
        <v>794</v>
      </c>
      <c r="S851" s="2" t="s">
        <v>2971</v>
      </c>
      <c r="T851" s="2" t="s">
        <v>6290</v>
      </c>
      <c r="U851" s="2" t="s">
        <v>23703</v>
      </c>
      <c r="V851" s="2" t="s">
        <v>17970</v>
      </c>
      <c r="W851" s="2"/>
    </row>
    <row r="852">
      <c r="A852" s="2" t="n">
        <v>649</v>
      </c>
      <c r="B852" s="2" t="s">
        <v>27826</v>
      </c>
      <c r="C852" s="2" t="s">
        <v>23702</v>
      </c>
      <c r="D852" s="2" t="n">
        <v>735.566257372</v>
      </c>
      <c r="E852" s="2" t="n">
        <v>6.67144416658834</v>
      </c>
      <c r="F852" s="2" t="s">
        <v>27827</v>
      </c>
      <c r="G852" s="2" t="n">
        <v>132652</v>
      </c>
      <c r="H852" s="3" t="str">
        <f>HYPERLINK("http://funmeta.oebiotech.com/network/132652", "http://funmeta.oebiotech.com/network/132652")</f>
      </c>
      <c r="I852" s="2" t="s">
        <v>27828</v>
      </c>
      <c r="J852" s="2"/>
      <c r="K852" s="2"/>
      <c r="L852" s="2"/>
      <c r="M852" s="2"/>
      <c r="N852" s="2" t="s">
        <v>27829</v>
      </c>
      <c r="O852" s="2"/>
      <c r="P852" s="2" t="s">
        <v>27830</v>
      </c>
      <c r="Q852" s="2" t="s">
        <v>27831</v>
      </c>
      <c r="R852" s="2" t="s">
        <v>794</v>
      </c>
      <c r="S852" s="2" t="s">
        <v>2971</v>
      </c>
      <c r="T852" s="2" t="s">
        <v>6290</v>
      </c>
      <c r="U852" s="2" t="s">
        <v>23703</v>
      </c>
      <c r="V852" s="2" t="s">
        <v>17970</v>
      </c>
      <c r="W852" s="2"/>
    </row>
    <row r="853">
      <c r="A853" s="2" t="n">
        <v>650</v>
      </c>
      <c r="B853" s="2" t="s">
        <v>15305</v>
      </c>
      <c r="C853" s="2" t="s">
        <v>23710</v>
      </c>
      <c r="D853" s="2" t="n">
        <v>737.451814244</v>
      </c>
      <c r="E853" s="2" t="n">
        <v>3.45903008941568</v>
      </c>
      <c r="F853" s="2" t="s">
        <v>27832</v>
      </c>
      <c r="G853" s="2" t="n">
        <v>25804</v>
      </c>
      <c r="H853" s="3" t="str">
        <f>HYPERLINK("http://funmeta.oebiotech.com/network/25804", "http://funmeta.oebiotech.com/network/25804")</f>
      </c>
      <c r="I853" s="2" t="s">
        <v>27833</v>
      </c>
      <c r="J853" s="2" t="s">
        <v>27834</v>
      </c>
      <c r="K853" s="2" t="s">
        <v>27835</v>
      </c>
      <c r="L853" s="2"/>
      <c r="M853" s="2"/>
      <c r="N853" s="2" t="s">
        <v>27836</v>
      </c>
      <c r="O853" s="2"/>
      <c r="P853" s="2" t="s">
        <v>27837</v>
      </c>
      <c r="Q853" s="2" t="s">
        <v>27838</v>
      </c>
      <c r="R853" s="2" t="s">
        <v>794</v>
      </c>
      <c r="S853" s="2" t="s">
        <v>7122</v>
      </c>
      <c r="T853" s="2" t="s">
        <v>7123</v>
      </c>
      <c r="U853" s="2" t="s">
        <v>23711</v>
      </c>
      <c r="V853" s="2" t="s">
        <v>17406</v>
      </c>
      <c r="W853" s="2" t="s">
        <v>56</v>
      </c>
    </row>
    <row r="854">
      <c r="A854" s="2" t="n">
        <v>650</v>
      </c>
      <c r="B854" s="2" t="s">
        <v>27839</v>
      </c>
      <c r="C854" s="2" t="s">
        <v>23710</v>
      </c>
      <c r="D854" s="2" t="n">
        <v>737.451814244</v>
      </c>
      <c r="E854" s="2" t="n">
        <v>3.45903008941568</v>
      </c>
      <c r="F854" s="2" t="s">
        <v>27840</v>
      </c>
      <c r="G854" s="2" t="n">
        <v>25033</v>
      </c>
      <c r="H854" s="3" t="str">
        <f>HYPERLINK("http://funmeta.oebiotech.com/network/25033", "http://funmeta.oebiotech.com/network/25033")</f>
      </c>
      <c r="I854" s="2" t="s">
        <v>27841</v>
      </c>
      <c r="J854" s="2" t="s">
        <v>27842</v>
      </c>
      <c r="K854" s="2" t="s">
        <v>27843</v>
      </c>
      <c r="L854" s="2"/>
      <c r="M854" s="2"/>
      <c r="N854" s="2" t="s">
        <v>27844</v>
      </c>
      <c r="O854" s="2"/>
      <c r="P854" s="2" t="s">
        <v>27845</v>
      </c>
      <c r="Q854" s="2" t="s">
        <v>27846</v>
      </c>
      <c r="R854" s="2" t="s">
        <v>794</v>
      </c>
      <c r="S854" s="2" t="s">
        <v>7122</v>
      </c>
      <c r="T854" s="2" t="s">
        <v>7123</v>
      </c>
      <c r="U854" s="2" t="s">
        <v>23711</v>
      </c>
      <c r="V854" s="2" t="s">
        <v>17406</v>
      </c>
      <c r="W854" s="2" t="s">
        <v>56</v>
      </c>
    </row>
    <row r="855">
      <c r="A855" s="2" t="n">
        <v>651</v>
      </c>
      <c r="B855" s="2" t="s">
        <v>15306</v>
      </c>
      <c r="C855" s="2" t="s">
        <v>23720</v>
      </c>
      <c r="D855" s="2" t="n">
        <v>741.232122212</v>
      </c>
      <c r="E855" s="2" t="n">
        <v>3.82170709655438</v>
      </c>
      <c r="F855" s="2" t="s">
        <v>23722</v>
      </c>
      <c r="G855" s="2" t="n">
        <v>64522</v>
      </c>
      <c r="H855" s="3" t="str">
        <f>HYPERLINK("http://funmeta.oebiotech.com/network/64522", "http://funmeta.oebiotech.com/network/64522")</f>
      </c>
      <c r="I855" s="2" t="s">
        <v>23724</v>
      </c>
      <c r="J855" s="2" t="s">
        <v>23725</v>
      </c>
      <c r="K855" s="2"/>
      <c r="L855" s="2"/>
      <c r="M855" s="2"/>
      <c r="N855" s="2" t="s">
        <v>23726</v>
      </c>
      <c r="O855" s="2" t="s">
        <v>23727</v>
      </c>
      <c r="P855" s="2" t="s">
        <v>23728</v>
      </c>
      <c r="Q855" s="2" t="s">
        <v>23729</v>
      </c>
      <c r="R855" s="2" t="s">
        <v>114</v>
      </c>
      <c r="S855" s="2" t="s">
        <v>994</v>
      </c>
      <c r="T855" s="2" t="s">
        <v>2649</v>
      </c>
      <c r="U855" s="2" t="s">
        <v>23721</v>
      </c>
      <c r="V855" s="2" t="s">
        <v>17406</v>
      </c>
      <c r="W855" s="2"/>
    </row>
    <row r="856">
      <c r="A856" s="2" t="n">
        <v>652</v>
      </c>
      <c r="B856" s="2" t="s">
        <v>15307</v>
      </c>
      <c r="C856" s="2" t="s">
        <v>23730</v>
      </c>
      <c r="D856" s="2" t="n">
        <v>741.523564598</v>
      </c>
      <c r="E856" s="2" t="n">
        <v>8.35945511841002</v>
      </c>
      <c r="F856" s="2" t="s">
        <v>27847</v>
      </c>
      <c r="G856" s="2" t="n">
        <v>8314</v>
      </c>
      <c r="H856" s="3" t="str">
        <f>HYPERLINK("http://funmeta.oebiotech.com/network/8314", "http://funmeta.oebiotech.com/network/8314")</f>
      </c>
      <c r="I856" s="2" t="s">
        <v>27848</v>
      </c>
      <c r="J856" s="2"/>
      <c r="K856" s="2" t="s">
        <v>27849</v>
      </c>
      <c r="L856" s="2"/>
      <c r="M856" s="2"/>
      <c r="N856" s="2" t="s">
        <v>27850</v>
      </c>
      <c r="O856" s="2"/>
      <c r="P856" s="2" t="s">
        <v>27851</v>
      </c>
      <c r="Q856" s="2" t="s">
        <v>27852</v>
      </c>
      <c r="R856" s="2" t="s">
        <v>794</v>
      </c>
      <c r="S856" s="2" t="s">
        <v>795</v>
      </c>
      <c r="T856" s="2" t="s">
        <v>1870</v>
      </c>
      <c r="U856" s="2" t="s">
        <v>23731</v>
      </c>
      <c r="V856" s="2" t="s">
        <v>17892</v>
      </c>
      <c r="W856" s="2" t="s">
        <v>56</v>
      </c>
    </row>
    <row r="857">
      <c r="A857" s="2" t="n">
        <v>652</v>
      </c>
      <c r="B857" s="2" t="s">
        <v>27853</v>
      </c>
      <c r="C857" s="2" t="s">
        <v>23730</v>
      </c>
      <c r="D857" s="2" t="n">
        <v>741.523564598</v>
      </c>
      <c r="E857" s="2" t="n">
        <v>8.35945511841002</v>
      </c>
      <c r="F857" s="2" t="s">
        <v>27854</v>
      </c>
      <c r="G857" s="2" t="n">
        <v>8321</v>
      </c>
      <c r="H857" s="3" t="str">
        <f>HYPERLINK("http://funmeta.oebiotech.com/network/8321", "http://funmeta.oebiotech.com/network/8321")</f>
      </c>
      <c r="I857" s="2" t="s">
        <v>27855</v>
      </c>
      <c r="J857" s="2"/>
      <c r="K857" s="2" t="s">
        <v>27856</v>
      </c>
      <c r="L857" s="2"/>
      <c r="M857" s="2" t="s">
        <v>27857</v>
      </c>
      <c r="N857" s="2" t="s">
        <v>27858</v>
      </c>
      <c r="O857" s="2"/>
      <c r="P857" s="2" t="s">
        <v>27859</v>
      </c>
      <c r="Q857" s="2" t="s">
        <v>27860</v>
      </c>
      <c r="R857" s="2" t="s">
        <v>794</v>
      </c>
      <c r="S857" s="2" t="s">
        <v>795</v>
      </c>
      <c r="T857" s="2" t="s">
        <v>1870</v>
      </c>
      <c r="U857" s="2" t="s">
        <v>23731</v>
      </c>
      <c r="V857" s="2" t="s">
        <v>17892</v>
      </c>
      <c r="W857" s="2" t="s">
        <v>56</v>
      </c>
    </row>
    <row r="858">
      <c r="A858" s="2" t="n">
        <v>653</v>
      </c>
      <c r="B858" s="2" t="s">
        <v>15308</v>
      </c>
      <c r="C858" s="2" t="s">
        <v>23740</v>
      </c>
      <c r="D858" s="2" t="n">
        <v>742.535722989</v>
      </c>
      <c r="E858" s="2" t="n">
        <v>0.577660769037673</v>
      </c>
      <c r="F858" s="2" t="s">
        <v>23742</v>
      </c>
      <c r="G858" s="2" t="n">
        <v>18229</v>
      </c>
      <c r="H858" s="3" t="str">
        <f>HYPERLINK("http://funmeta.oebiotech.com/network/18229", "http://funmeta.oebiotech.com/network/18229")</f>
      </c>
      <c r="I858" s="2" t="s">
        <v>23744</v>
      </c>
      <c r="J858" s="2" t="s">
        <v>23745</v>
      </c>
      <c r="K858" s="2" t="s">
        <v>23746</v>
      </c>
      <c r="L858" s="2" t="s">
        <v>9831</v>
      </c>
      <c r="M858" s="2" t="s">
        <v>23747</v>
      </c>
      <c r="N858" s="2" t="s">
        <v>23748</v>
      </c>
      <c r="O858" s="2"/>
      <c r="P858" s="2" t="s">
        <v>23749</v>
      </c>
      <c r="Q858" s="2" t="s">
        <v>23750</v>
      </c>
      <c r="R858" s="2" t="s">
        <v>794</v>
      </c>
      <c r="S858" s="2" t="s">
        <v>7122</v>
      </c>
      <c r="T858" s="2" t="s">
        <v>8460</v>
      </c>
      <c r="U858" s="2" t="s">
        <v>23741</v>
      </c>
      <c r="V858" s="2" t="s">
        <v>17198</v>
      </c>
      <c r="W858" s="2" t="s">
        <v>56</v>
      </c>
    </row>
    <row r="859">
      <c r="A859" s="2" t="n">
        <v>654</v>
      </c>
      <c r="B859" s="2" t="s">
        <v>15309</v>
      </c>
      <c r="C859" s="2" t="s">
        <v>23751</v>
      </c>
      <c r="D859" s="2" t="n">
        <v>752.13358993</v>
      </c>
      <c r="E859" s="2" t="n">
        <v>6.57950946528063</v>
      </c>
      <c r="F859" s="2" t="s">
        <v>23753</v>
      </c>
      <c r="G859" s="2" t="n">
        <v>207004</v>
      </c>
      <c r="H859" s="3" t="str">
        <f>HYPERLINK("http://funmeta.oebiotech.com/network/207004", "http://funmeta.oebiotech.com/network/207004")</f>
      </c>
      <c r="I859" s="2" t="s">
        <v>23755</v>
      </c>
      <c r="J859" s="2"/>
      <c r="K859" s="2"/>
      <c r="L859" s="2"/>
      <c r="M859" s="2"/>
      <c r="N859" s="2" t="s">
        <v>23756</v>
      </c>
      <c r="O859" s="2"/>
      <c r="P859" s="2" t="s">
        <v>23757</v>
      </c>
      <c r="Q859" s="2" t="s">
        <v>23758</v>
      </c>
      <c r="R859" s="2" t="s">
        <v>36</v>
      </c>
      <c r="S859" s="2" t="s">
        <v>37</v>
      </c>
      <c r="T859" s="2" t="s">
        <v>10514</v>
      </c>
      <c r="U859" s="2" t="s">
        <v>23752</v>
      </c>
      <c r="V859" s="2" t="s">
        <v>17406</v>
      </c>
      <c r="W859" s="2"/>
    </row>
    <row r="860">
      <c r="A860" s="2" t="n">
        <v>655</v>
      </c>
      <c r="B860" s="2" t="s">
        <v>15320</v>
      </c>
      <c r="C860" s="2" t="s">
        <v>23759</v>
      </c>
      <c r="D860" s="2" t="n">
        <v>752.507341003</v>
      </c>
      <c r="E860" s="2" t="n">
        <v>0.411205741734829</v>
      </c>
      <c r="F860" s="2" t="s">
        <v>23761</v>
      </c>
      <c r="G860" s="2" t="n">
        <v>56958</v>
      </c>
      <c r="H860" s="3" t="str">
        <f>HYPERLINK("http://funmeta.oebiotech.com/network/56958", "http://funmeta.oebiotech.com/network/56958")</f>
      </c>
      <c r="I860" s="2" t="s">
        <v>23763</v>
      </c>
      <c r="J860" s="2"/>
      <c r="K860" s="2"/>
      <c r="L860" s="2"/>
      <c r="M860" s="2"/>
      <c r="N860" s="2" t="s">
        <v>23764</v>
      </c>
      <c r="O860" s="2" t="s">
        <v>23765</v>
      </c>
      <c r="P860" s="2" t="s">
        <v>23766</v>
      </c>
      <c r="Q860" s="2" t="s">
        <v>23767</v>
      </c>
      <c r="R860" s="2" t="s">
        <v>794</v>
      </c>
      <c r="S860" s="2" t="s">
        <v>7781</v>
      </c>
      <c r="T860" s="2" t="s">
        <v>11458</v>
      </c>
      <c r="U860" s="2" t="s">
        <v>23760</v>
      </c>
      <c r="V860" s="2" t="s">
        <v>17406</v>
      </c>
      <c r="W860" s="2"/>
    </row>
    <row r="861">
      <c r="A861" s="2" t="n">
        <v>656</v>
      </c>
      <c r="B861" s="2" t="s">
        <v>15321</v>
      </c>
      <c r="C861" s="2" t="s">
        <v>23768</v>
      </c>
      <c r="D861" s="2" t="n">
        <v>753.51961267</v>
      </c>
      <c r="E861" s="2" t="n">
        <v>7.54282217165144</v>
      </c>
      <c r="F861" s="2" t="s">
        <v>23770</v>
      </c>
      <c r="G861" s="2" t="n">
        <v>49034</v>
      </c>
      <c r="H861" s="3" t="str">
        <f>HYPERLINK("http://funmeta.oebiotech.com/network/49034", "http://funmeta.oebiotech.com/network/49034")</f>
      </c>
      <c r="I861" s="2" t="s">
        <v>23772</v>
      </c>
      <c r="J861" s="2" t="s">
        <v>23773</v>
      </c>
      <c r="K861" s="2"/>
      <c r="L861" s="2"/>
      <c r="M861" s="2"/>
      <c r="N861" s="2" t="s">
        <v>23774</v>
      </c>
      <c r="O861" s="2"/>
      <c r="P861" s="2" t="s">
        <v>23775</v>
      </c>
      <c r="Q861" s="2" t="s">
        <v>23776</v>
      </c>
      <c r="R861" s="2" t="s">
        <v>794</v>
      </c>
      <c r="S861" s="2" t="s">
        <v>2600</v>
      </c>
      <c r="T861" s="2" t="s">
        <v>8990</v>
      </c>
      <c r="U861" s="2" t="s">
        <v>23769</v>
      </c>
      <c r="V861" s="2" t="s">
        <v>17520</v>
      </c>
      <c r="W861" s="2"/>
    </row>
    <row r="862">
      <c r="A862" s="2" t="n">
        <v>657</v>
      </c>
      <c r="B862" s="2" t="s">
        <v>15322</v>
      </c>
      <c r="C862" s="2" t="s">
        <v>23777</v>
      </c>
      <c r="D862" s="2" t="n">
        <v>755.50999734</v>
      </c>
      <c r="E862" s="2" t="n">
        <v>0.650043300452162</v>
      </c>
      <c r="F862" s="2" t="s">
        <v>23779</v>
      </c>
      <c r="G862" s="2" t="n">
        <v>52278</v>
      </c>
      <c r="H862" s="3" t="str">
        <f>HYPERLINK("http://funmeta.oebiotech.com/network/52278", "http://funmeta.oebiotech.com/network/52278")</f>
      </c>
      <c r="I862" s="2" t="s">
        <v>23781</v>
      </c>
      <c r="J862" s="2"/>
      <c r="K862" s="2"/>
      <c r="L862" s="2" t="s">
        <v>9017</v>
      </c>
      <c r="M862" s="2" t="s">
        <v>23782</v>
      </c>
      <c r="N862" s="2" t="s">
        <v>23783</v>
      </c>
      <c r="O862" s="2"/>
      <c r="P862" s="2" t="s">
        <v>23784</v>
      </c>
      <c r="Q862" s="2" t="s">
        <v>23785</v>
      </c>
      <c r="R862" s="2" t="s">
        <v>794</v>
      </c>
      <c r="S862" s="2" t="s">
        <v>7781</v>
      </c>
      <c r="T862" s="2" t="s">
        <v>7782</v>
      </c>
      <c r="U862" s="2" t="s">
        <v>23778</v>
      </c>
      <c r="V862" s="2" t="s">
        <v>17406</v>
      </c>
      <c r="W862" s="2" t="s">
        <v>39</v>
      </c>
    </row>
    <row r="863">
      <c r="A863" s="2" t="n">
        <v>658</v>
      </c>
      <c r="B863" s="2" t="s">
        <v>15337</v>
      </c>
      <c r="C863" s="2" t="s">
        <v>23786</v>
      </c>
      <c r="D863" s="2" t="n">
        <v>756.553780989</v>
      </c>
      <c r="E863" s="2" t="n">
        <v>4.08987933333202</v>
      </c>
      <c r="F863" s="2" t="s">
        <v>23788</v>
      </c>
      <c r="G863" s="2" t="n">
        <v>19386</v>
      </c>
      <c r="H863" s="3" t="str">
        <f>HYPERLINK("http://funmeta.oebiotech.com/network/19386", "http://funmeta.oebiotech.com/network/19386")</f>
      </c>
      <c r="I863" s="2" t="s">
        <v>23790</v>
      </c>
      <c r="J863" s="2" t="s">
        <v>23791</v>
      </c>
      <c r="K863" s="2" t="s">
        <v>23792</v>
      </c>
      <c r="L863" s="2" t="s">
        <v>9831</v>
      </c>
      <c r="M863" s="2" t="s">
        <v>23793</v>
      </c>
      <c r="N863" s="2" t="s">
        <v>23794</v>
      </c>
      <c r="O863" s="2"/>
      <c r="P863" s="2" t="s">
        <v>23795</v>
      </c>
      <c r="Q863" s="2" t="s">
        <v>23796</v>
      </c>
      <c r="R863" s="2" t="s">
        <v>794</v>
      </c>
      <c r="S863" s="2" t="s">
        <v>7122</v>
      </c>
      <c r="T863" s="2" t="s">
        <v>8460</v>
      </c>
      <c r="U863" s="2" t="s">
        <v>23787</v>
      </c>
      <c r="V863" s="2" t="s">
        <v>17137</v>
      </c>
      <c r="W863" s="2" t="s">
        <v>56</v>
      </c>
    </row>
    <row r="864">
      <c r="A864" s="2" t="n">
        <v>659</v>
      </c>
      <c r="B864" s="2" t="s">
        <v>15338</v>
      </c>
      <c r="C864" s="2" t="s">
        <v>23797</v>
      </c>
      <c r="D864" s="2" t="n">
        <v>757.19798938</v>
      </c>
      <c r="E864" s="2" t="n">
        <v>8.27107382589501</v>
      </c>
      <c r="F864" s="2" t="s">
        <v>23799</v>
      </c>
      <c r="G864" s="2" t="n">
        <v>55369</v>
      </c>
      <c r="H864" s="3" t="str">
        <f>HYPERLINK("http://funmeta.oebiotech.com/network/55369", "http://funmeta.oebiotech.com/network/55369")</f>
      </c>
      <c r="I864" s="2" t="s">
        <v>23801</v>
      </c>
      <c r="J864" s="2"/>
      <c r="K864" s="2"/>
      <c r="L864" s="2"/>
      <c r="M864" s="2"/>
      <c r="N864" s="2" t="s">
        <v>23802</v>
      </c>
      <c r="O864" s="2" t="s">
        <v>23803</v>
      </c>
      <c r="P864" s="2" t="s">
        <v>23804</v>
      </c>
      <c r="Q864" s="2" t="s">
        <v>23805</v>
      </c>
      <c r="R864" s="2" t="s">
        <v>1355</v>
      </c>
      <c r="S864" s="2" t="s">
        <v>5199</v>
      </c>
      <c r="T864" s="2" t="s">
        <v>7308</v>
      </c>
      <c r="U864" s="2" t="s">
        <v>23798</v>
      </c>
      <c r="V864" s="2" t="s">
        <v>17117</v>
      </c>
      <c r="W864" s="2"/>
    </row>
    <row r="865">
      <c r="A865" s="2" t="n">
        <v>660</v>
      </c>
      <c r="B865" s="2" t="s">
        <v>15353</v>
      </c>
      <c r="C865" s="2" t="s">
        <v>23806</v>
      </c>
      <c r="D865" s="2" t="n">
        <v>757.561295408</v>
      </c>
      <c r="E865" s="2" t="n">
        <v>2.71224337242573</v>
      </c>
      <c r="F865" s="2" t="s">
        <v>23808</v>
      </c>
      <c r="G865" s="2" t="n">
        <v>10440</v>
      </c>
      <c r="H865" s="3" t="str">
        <f>HYPERLINK("http://funmeta.oebiotech.com/network/10440", "http://funmeta.oebiotech.com/network/10440")</f>
      </c>
      <c r="I865" s="2" t="s">
        <v>23810</v>
      </c>
      <c r="J865" s="2" t="s">
        <v>23811</v>
      </c>
      <c r="K865" s="2" t="s">
        <v>23812</v>
      </c>
      <c r="L865" s="2" t="s">
        <v>23813</v>
      </c>
      <c r="M865" s="2" t="s">
        <v>23814</v>
      </c>
      <c r="N865" s="2" t="s">
        <v>23815</v>
      </c>
      <c r="O865" s="2" t="s">
        <v>23816</v>
      </c>
      <c r="P865" s="2" t="s">
        <v>23817</v>
      </c>
      <c r="Q865" s="2" t="s">
        <v>23818</v>
      </c>
      <c r="R865" s="2" t="s">
        <v>794</v>
      </c>
      <c r="S865" s="2" t="s">
        <v>15107</v>
      </c>
      <c r="T865" s="2" t="s">
        <v>215</v>
      </c>
      <c r="U865" s="2" t="s">
        <v>23807</v>
      </c>
      <c r="V865" s="2" t="s">
        <v>18382</v>
      </c>
      <c r="W865" s="2" t="s">
        <v>56</v>
      </c>
    </row>
    <row r="866">
      <c r="A866" s="2" t="n">
        <v>661</v>
      </c>
      <c r="B866" s="2" t="s">
        <v>15354</v>
      </c>
      <c r="C866" s="2" t="s">
        <v>23819</v>
      </c>
      <c r="D866" s="2" t="n">
        <v>758.569431053</v>
      </c>
      <c r="E866" s="2" t="n">
        <v>5.1396216075256</v>
      </c>
      <c r="F866" s="2" t="s">
        <v>23821</v>
      </c>
      <c r="G866" s="2" t="n">
        <v>18632</v>
      </c>
      <c r="H866" s="3" t="str">
        <f>HYPERLINK("http://funmeta.oebiotech.com/network/18632", "http://funmeta.oebiotech.com/network/18632")</f>
      </c>
      <c r="I866" s="2" t="s">
        <v>23823</v>
      </c>
      <c r="J866" s="2" t="s">
        <v>23824</v>
      </c>
      <c r="K866" s="2" t="s">
        <v>23825</v>
      </c>
      <c r="L866" s="2" t="s">
        <v>9831</v>
      </c>
      <c r="M866" s="2" t="s">
        <v>23826</v>
      </c>
      <c r="N866" s="2" t="s">
        <v>23827</v>
      </c>
      <c r="O866" s="2"/>
      <c r="P866" s="2" t="s">
        <v>23828</v>
      </c>
      <c r="Q866" s="2" t="s">
        <v>23829</v>
      </c>
      <c r="R866" s="2" t="s">
        <v>794</v>
      </c>
      <c r="S866" s="2" t="s">
        <v>7122</v>
      </c>
      <c r="T866" s="2" t="s">
        <v>8460</v>
      </c>
      <c r="U866" s="2" t="s">
        <v>23820</v>
      </c>
      <c r="V866" s="2" t="s">
        <v>17137</v>
      </c>
      <c r="W866" s="2" t="s">
        <v>56</v>
      </c>
    </row>
    <row r="867">
      <c r="A867" s="2" t="n">
        <v>662</v>
      </c>
      <c r="B867" s="2" t="s">
        <v>15355</v>
      </c>
      <c r="C867" s="2" t="s">
        <v>23830</v>
      </c>
      <c r="D867" s="2" t="n">
        <v>759.217146706</v>
      </c>
      <c r="E867" s="2" t="n">
        <v>0.757814288234459</v>
      </c>
      <c r="F867" s="2" t="s">
        <v>23832</v>
      </c>
      <c r="G867" s="2" t="n">
        <v>47376</v>
      </c>
      <c r="H867" s="3" t="str">
        <f>HYPERLINK("http://funmeta.oebiotech.com/network/47376", "http://funmeta.oebiotech.com/network/47376")</f>
      </c>
      <c r="I867" s="2" t="s">
        <v>23834</v>
      </c>
      <c r="J867" s="2" t="s">
        <v>23835</v>
      </c>
      <c r="K867" s="2"/>
      <c r="L867" s="2" t="s">
        <v>23836</v>
      </c>
      <c r="M867" s="2" t="s">
        <v>23837</v>
      </c>
      <c r="N867" s="2" t="s">
        <v>23838</v>
      </c>
      <c r="O867" s="2" t="s">
        <v>23839</v>
      </c>
      <c r="P867" s="2" t="s">
        <v>23840</v>
      </c>
      <c r="Q867" s="2" t="s">
        <v>23841</v>
      </c>
      <c r="R867" s="2" t="s">
        <v>36</v>
      </c>
      <c r="S867" s="2" t="s">
        <v>37</v>
      </c>
      <c r="T867" s="2" t="s">
        <v>69</v>
      </c>
      <c r="U867" s="2" t="s">
        <v>23831</v>
      </c>
      <c r="V867" s="2" t="s">
        <v>18382</v>
      </c>
      <c r="W867" s="2" t="s">
        <v>56</v>
      </c>
    </row>
    <row r="868">
      <c r="A868" s="2" t="n">
        <v>663</v>
      </c>
      <c r="B868" s="2" t="s">
        <v>15356</v>
      </c>
      <c r="C868" s="2" t="s">
        <v>23842</v>
      </c>
      <c r="D868" s="2" t="n">
        <v>760.585081117</v>
      </c>
      <c r="E868" s="2" t="n">
        <v>4.34165364460815</v>
      </c>
      <c r="F868" s="2" t="s">
        <v>27861</v>
      </c>
      <c r="G868" s="2" t="n">
        <v>49954</v>
      </c>
      <c r="H868" s="3" t="str">
        <f>HYPERLINK("http://funmeta.oebiotech.com/network/49954", "http://funmeta.oebiotech.com/network/49954")</f>
      </c>
      <c r="I868" s="2" t="s">
        <v>27862</v>
      </c>
      <c r="J868" s="2" t="s">
        <v>27863</v>
      </c>
      <c r="K868" s="2"/>
      <c r="L868" s="2" t="s">
        <v>9434</v>
      </c>
      <c r="M868" s="2"/>
      <c r="N868" s="2" t="s">
        <v>27864</v>
      </c>
      <c r="O868" s="2"/>
      <c r="P868" s="2" t="s">
        <v>27865</v>
      </c>
      <c r="Q868" s="2" t="s">
        <v>27866</v>
      </c>
      <c r="R868" s="2" t="s">
        <v>794</v>
      </c>
      <c r="S868" s="2" t="s">
        <v>7122</v>
      </c>
      <c r="T868" s="2" t="s">
        <v>8042</v>
      </c>
      <c r="U868" s="2" t="s">
        <v>23843</v>
      </c>
      <c r="V868" s="2" t="s">
        <v>17137</v>
      </c>
      <c r="W868" s="2" t="s">
        <v>101</v>
      </c>
    </row>
    <row r="869">
      <c r="A869" s="2" t="n">
        <v>663</v>
      </c>
      <c r="B869" s="2" t="s">
        <v>27867</v>
      </c>
      <c r="C869" s="2" t="s">
        <v>23842</v>
      </c>
      <c r="D869" s="2" t="n">
        <v>760.585081117</v>
      </c>
      <c r="E869" s="2" t="n">
        <v>4.34165364460815</v>
      </c>
      <c r="F869" s="2" t="s">
        <v>27868</v>
      </c>
      <c r="G869" s="2" t="n">
        <v>18631</v>
      </c>
      <c r="H869" s="3" t="str">
        <f>HYPERLINK("http://funmeta.oebiotech.com/network/18631", "http://funmeta.oebiotech.com/network/18631")</f>
      </c>
      <c r="I869" s="2" t="s">
        <v>27869</v>
      </c>
      <c r="J869" s="2" t="s">
        <v>27870</v>
      </c>
      <c r="K869" s="2" t="s">
        <v>27871</v>
      </c>
      <c r="L869" s="2" t="s">
        <v>9831</v>
      </c>
      <c r="M869" s="2" t="s">
        <v>27872</v>
      </c>
      <c r="N869" s="2" t="s">
        <v>27873</v>
      </c>
      <c r="O869" s="2"/>
      <c r="P869" s="2" t="s">
        <v>27874</v>
      </c>
      <c r="Q869" s="2" t="s">
        <v>27875</v>
      </c>
      <c r="R869" s="2" t="s">
        <v>794</v>
      </c>
      <c r="S869" s="2" t="s">
        <v>7122</v>
      </c>
      <c r="T869" s="2" t="s">
        <v>8460</v>
      </c>
      <c r="U869" s="2" t="s">
        <v>23843</v>
      </c>
      <c r="V869" s="2" t="s">
        <v>17137</v>
      </c>
      <c r="W869" s="2" t="s">
        <v>101</v>
      </c>
    </row>
    <row r="870">
      <c r="A870" s="2" t="n">
        <v>664</v>
      </c>
      <c r="B870" s="2" t="s">
        <v>15357</v>
      </c>
      <c r="C870" s="2" t="s">
        <v>23853</v>
      </c>
      <c r="D870" s="2" t="n">
        <v>761.451814244</v>
      </c>
      <c r="E870" s="2" t="n">
        <v>6.04238203498542</v>
      </c>
      <c r="F870" s="2" t="s">
        <v>23855</v>
      </c>
      <c r="G870" s="2" t="n">
        <v>25256</v>
      </c>
      <c r="H870" s="3" t="str">
        <f>HYPERLINK("http://funmeta.oebiotech.com/network/25256", "http://funmeta.oebiotech.com/network/25256")</f>
      </c>
      <c r="I870" s="2" t="s">
        <v>23857</v>
      </c>
      <c r="J870" s="2" t="s">
        <v>23858</v>
      </c>
      <c r="K870" s="2" t="s">
        <v>23859</v>
      </c>
      <c r="L870" s="2"/>
      <c r="M870" s="2"/>
      <c r="N870" s="2" t="s">
        <v>23860</v>
      </c>
      <c r="O870" s="2"/>
      <c r="P870" s="2" t="s">
        <v>23861</v>
      </c>
      <c r="Q870" s="2" t="s">
        <v>23862</v>
      </c>
      <c r="R870" s="2" t="s">
        <v>794</v>
      </c>
      <c r="S870" s="2" t="s">
        <v>7122</v>
      </c>
      <c r="T870" s="2" t="s">
        <v>7123</v>
      </c>
      <c r="U870" s="2" t="s">
        <v>23854</v>
      </c>
      <c r="V870" s="2" t="s">
        <v>17406</v>
      </c>
      <c r="W870" s="2" t="s">
        <v>56</v>
      </c>
    </row>
    <row r="871">
      <c r="A871" s="2" t="n">
        <v>665</v>
      </c>
      <c r="B871" s="2" t="s">
        <v>15358</v>
      </c>
      <c r="C871" s="2" t="s">
        <v>23863</v>
      </c>
      <c r="D871" s="2" t="n">
        <v>762.600731181</v>
      </c>
      <c r="E871" s="2" t="n">
        <v>5.50039200223201</v>
      </c>
      <c r="F871" s="2" t="s">
        <v>27876</v>
      </c>
      <c r="G871" s="2" t="n">
        <v>20158</v>
      </c>
      <c r="H871" s="3" t="str">
        <f>HYPERLINK("http://funmeta.oebiotech.com/network/20158", "http://funmeta.oebiotech.com/network/20158")</f>
      </c>
      <c r="I871" s="2" t="s">
        <v>27877</v>
      </c>
      <c r="J871" s="2" t="s">
        <v>27878</v>
      </c>
      <c r="K871" s="2" t="s">
        <v>27879</v>
      </c>
      <c r="L871" s="2" t="s">
        <v>9434</v>
      </c>
      <c r="M871" s="2" t="s">
        <v>27880</v>
      </c>
      <c r="N871" s="2" t="s">
        <v>27881</v>
      </c>
      <c r="O871" s="2"/>
      <c r="P871" s="2" t="s">
        <v>27882</v>
      </c>
      <c r="Q871" s="2" t="s">
        <v>27883</v>
      </c>
      <c r="R871" s="2" t="s">
        <v>794</v>
      </c>
      <c r="S871" s="2" t="s">
        <v>7122</v>
      </c>
      <c r="T871" s="2" t="s">
        <v>8042</v>
      </c>
      <c r="U871" s="2" t="s">
        <v>23864</v>
      </c>
      <c r="V871" s="2" t="s">
        <v>17137</v>
      </c>
      <c r="W871" s="2" t="s">
        <v>101</v>
      </c>
    </row>
    <row r="872">
      <c r="A872" s="2" t="n">
        <v>665</v>
      </c>
      <c r="B872" s="2" t="s">
        <v>27884</v>
      </c>
      <c r="C872" s="2" t="s">
        <v>23863</v>
      </c>
      <c r="D872" s="2" t="n">
        <v>762.600731181</v>
      </c>
      <c r="E872" s="2" t="n">
        <v>5.50039200223201</v>
      </c>
      <c r="F872" s="2" t="s">
        <v>27885</v>
      </c>
      <c r="G872" s="2" t="n">
        <v>18217</v>
      </c>
      <c r="H872" s="3" t="str">
        <f>HYPERLINK("http://funmeta.oebiotech.com/network/18217", "http://funmeta.oebiotech.com/network/18217")</f>
      </c>
      <c r="I872" s="2" t="s">
        <v>27886</v>
      </c>
      <c r="J872" s="2" t="s">
        <v>27887</v>
      </c>
      <c r="K872" s="2" t="s">
        <v>27888</v>
      </c>
      <c r="L872" s="2" t="s">
        <v>9831</v>
      </c>
      <c r="M872" s="2"/>
      <c r="N872" s="2" t="s">
        <v>27889</v>
      </c>
      <c r="O872" s="2"/>
      <c r="P872" s="2" t="s">
        <v>27890</v>
      </c>
      <c r="Q872" s="2" t="s">
        <v>27891</v>
      </c>
      <c r="R872" s="2" t="s">
        <v>794</v>
      </c>
      <c r="S872" s="2" t="s">
        <v>7122</v>
      </c>
      <c r="T872" s="2" t="s">
        <v>8460</v>
      </c>
      <c r="U872" s="2" t="s">
        <v>23864</v>
      </c>
      <c r="V872" s="2" t="s">
        <v>17137</v>
      </c>
      <c r="W872" s="2" t="s">
        <v>101</v>
      </c>
    </row>
    <row r="873">
      <c r="A873" s="2" t="n">
        <v>666</v>
      </c>
      <c r="B873" s="2" t="s">
        <v>15359</v>
      </c>
      <c r="C873" s="2" t="s">
        <v>23874</v>
      </c>
      <c r="D873" s="2" t="n">
        <v>765.51784611</v>
      </c>
      <c r="E873" s="2" t="n">
        <v>1.41428924555007</v>
      </c>
      <c r="F873" s="2" t="s">
        <v>23876</v>
      </c>
      <c r="G873" s="2" t="n">
        <v>9048</v>
      </c>
      <c r="H873" s="3" t="str">
        <f>HYPERLINK("http://funmeta.oebiotech.com/network/9048", "http://funmeta.oebiotech.com/network/9048")</f>
      </c>
      <c r="I873" s="2" t="s">
        <v>23878</v>
      </c>
      <c r="J873" s="2" t="s">
        <v>23879</v>
      </c>
      <c r="K873" s="2" t="s">
        <v>23880</v>
      </c>
      <c r="L873" s="2"/>
      <c r="M873" s="2" t="s">
        <v>23881</v>
      </c>
      <c r="N873" s="2" t="s">
        <v>23882</v>
      </c>
      <c r="O873" s="2" t="s">
        <v>23883</v>
      </c>
      <c r="P873" s="2" t="s">
        <v>23884</v>
      </c>
      <c r="Q873" s="2" t="s">
        <v>23885</v>
      </c>
      <c r="R873" s="2" t="s">
        <v>601</v>
      </c>
      <c r="S873" s="2" t="s">
        <v>602</v>
      </c>
      <c r="T873" s="2" t="s">
        <v>1800</v>
      </c>
      <c r="U873" s="2" t="s">
        <v>23875</v>
      </c>
      <c r="V873" s="2" t="s">
        <v>17227</v>
      </c>
      <c r="W873" s="2" t="s">
        <v>56</v>
      </c>
    </row>
    <row r="874">
      <c r="A874" s="2" t="n">
        <v>667</v>
      </c>
      <c r="B874" s="2" t="s">
        <v>15360</v>
      </c>
      <c r="C874" s="2" t="s">
        <v>23886</v>
      </c>
      <c r="D874" s="2" t="n">
        <v>766.522991067</v>
      </c>
      <c r="E874" s="2" t="n">
        <v>0.99576772259072</v>
      </c>
      <c r="F874" s="2" t="s">
        <v>23888</v>
      </c>
      <c r="G874" s="2" t="n">
        <v>59799</v>
      </c>
      <c r="H874" s="3" t="str">
        <f>HYPERLINK("http://funmeta.oebiotech.com/network/59799", "http://funmeta.oebiotech.com/network/59799")</f>
      </c>
      <c r="I874" s="2" t="s">
        <v>23890</v>
      </c>
      <c r="J874" s="2" t="s">
        <v>23891</v>
      </c>
      <c r="K874" s="2"/>
      <c r="L874" s="2"/>
      <c r="M874" s="2"/>
      <c r="N874" s="2" t="s">
        <v>23892</v>
      </c>
      <c r="O874" s="2" t="s">
        <v>23893</v>
      </c>
      <c r="P874" s="2" t="s">
        <v>23894</v>
      </c>
      <c r="Q874" s="2" t="s">
        <v>23895</v>
      </c>
      <c r="R874" s="2" t="s">
        <v>794</v>
      </c>
      <c r="S874" s="2" t="s">
        <v>7781</v>
      </c>
      <c r="T874" s="2" t="s">
        <v>11458</v>
      </c>
      <c r="U874" s="2" t="s">
        <v>23887</v>
      </c>
      <c r="V874" s="2" t="s">
        <v>17406</v>
      </c>
      <c r="W874" s="2"/>
    </row>
    <row r="875">
      <c r="A875" s="2" t="n">
        <v>668</v>
      </c>
      <c r="B875" s="2" t="s">
        <v>15361</v>
      </c>
      <c r="C875" s="2" t="s">
        <v>23896</v>
      </c>
      <c r="D875" s="2" t="n">
        <v>767.519739057</v>
      </c>
      <c r="E875" s="2" t="n">
        <v>0.509629546446874</v>
      </c>
      <c r="F875" s="2" t="s">
        <v>23898</v>
      </c>
      <c r="G875" s="2" t="n">
        <v>208314</v>
      </c>
      <c r="H875" s="3" t="str">
        <f>HYPERLINK("http://funmeta.oebiotech.com/network/208314", "http://funmeta.oebiotech.com/network/208314")</f>
      </c>
      <c r="I875" s="2" t="s">
        <v>23900</v>
      </c>
      <c r="J875" s="2"/>
      <c r="K875" s="2"/>
      <c r="L875" s="2"/>
      <c r="M875" s="2"/>
      <c r="N875" s="2" t="s">
        <v>23901</v>
      </c>
      <c r="O875" s="2"/>
      <c r="P875" s="2" t="s">
        <v>23902</v>
      </c>
      <c r="Q875" s="2" t="s">
        <v>23903</v>
      </c>
      <c r="R875" s="2" t="s">
        <v>794</v>
      </c>
      <c r="S875" s="2" t="s">
        <v>7122</v>
      </c>
      <c r="T875" s="2" t="s">
        <v>215</v>
      </c>
      <c r="U875" s="2" t="s">
        <v>23897</v>
      </c>
      <c r="V875" s="2" t="s">
        <v>17198</v>
      </c>
      <c r="W875" s="2"/>
    </row>
    <row r="876">
      <c r="A876" s="2" t="n">
        <v>669</v>
      </c>
      <c r="B876" s="2" t="s">
        <v>15362</v>
      </c>
      <c r="C876" s="2" t="s">
        <v>23904</v>
      </c>
      <c r="D876" s="2" t="n">
        <v>768.503438277</v>
      </c>
      <c r="E876" s="2" t="n">
        <v>5.4631910929917</v>
      </c>
      <c r="F876" s="2" t="s">
        <v>23906</v>
      </c>
      <c r="G876" s="2" t="n">
        <v>203228</v>
      </c>
      <c r="H876" s="3" t="str">
        <f>HYPERLINK("http://funmeta.oebiotech.com/network/203228", "http://funmeta.oebiotech.com/network/203228")</f>
      </c>
      <c r="I876" s="2" t="s">
        <v>23908</v>
      </c>
      <c r="J876" s="2"/>
      <c r="K876" s="2"/>
      <c r="L876" s="2"/>
      <c r="M876" s="2"/>
      <c r="N876" s="2"/>
      <c r="O876" s="2"/>
      <c r="P876" s="2" t="s">
        <v>23909</v>
      </c>
      <c r="Q876" s="2" t="s">
        <v>23910</v>
      </c>
      <c r="R876" s="2" t="s">
        <v>794</v>
      </c>
      <c r="S876" s="2" t="s">
        <v>795</v>
      </c>
      <c r="T876" s="2" t="s">
        <v>2391</v>
      </c>
      <c r="U876" s="2" t="s">
        <v>23905</v>
      </c>
      <c r="V876" s="2" t="s">
        <v>17198</v>
      </c>
      <c r="W876" s="2"/>
    </row>
    <row r="877">
      <c r="A877" s="2" t="n">
        <v>670</v>
      </c>
      <c r="B877" s="2" t="s">
        <v>15380</v>
      </c>
      <c r="C877" s="2" t="s">
        <v>23911</v>
      </c>
      <c r="D877" s="2" t="n">
        <v>768.566783937</v>
      </c>
      <c r="E877" s="2" t="n">
        <v>8.89913267689079</v>
      </c>
      <c r="F877" s="2" t="s">
        <v>23913</v>
      </c>
      <c r="G877" s="2" t="n">
        <v>39584</v>
      </c>
      <c r="H877" s="3" t="str">
        <f>HYPERLINK("http://funmeta.oebiotech.com/network/39584", "http://funmeta.oebiotech.com/network/39584")</f>
      </c>
      <c r="I877" s="2" t="s">
        <v>23915</v>
      </c>
      <c r="J877" s="2" t="s">
        <v>23916</v>
      </c>
      <c r="K877" s="2" t="s">
        <v>23917</v>
      </c>
      <c r="L877" s="2"/>
      <c r="M877" s="2" t="s">
        <v>23918</v>
      </c>
      <c r="N877" s="2" t="s">
        <v>23919</v>
      </c>
      <c r="O877" s="2"/>
      <c r="P877" s="2" t="s">
        <v>23920</v>
      </c>
      <c r="Q877" s="2" t="s">
        <v>23921</v>
      </c>
      <c r="R877" s="2" t="s">
        <v>794</v>
      </c>
      <c r="S877" s="2" t="s">
        <v>7781</v>
      </c>
      <c r="T877" s="2" t="s">
        <v>7782</v>
      </c>
      <c r="U877" s="2" t="s">
        <v>23912</v>
      </c>
      <c r="V877" s="2" t="s">
        <v>17406</v>
      </c>
      <c r="W877" s="2"/>
    </row>
    <row r="878">
      <c r="A878" s="2" t="n">
        <v>671</v>
      </c>
      <c r="B878" s="2" t="s">
        <v>15381</v>
      </c>
      <c r="C878" s="2" t="s">
        <v>23922</v>
      </c>
      <c r="D878" s="2" t="n">
        <v>769.4898618</v>
      </c>
      <c r="E878" s="2" t="n">
        <v>1.99511009536201</v>
      </c>
      <c r="F878" s="2" t="s">
        <v>23924</v>
      </c>
      <c r="G878" s="2" t="n">
        <v>57744</v>
      </c>
      <c r="H878" s="3" t="str">
        <f>HYPERLINK("http://funmeta.oebiotech.com/network/57744", "http://funmeta.oebiotech.com/network/57744")</f>
      </c>
      <c r="I878" s="2" t="s">
        <v>23926</v>
      </c>
      <c r="J878" s="2" t="s">
        <v>23927</v>
      </c>
      <c r="K878" s="2"/>
      <c r="L878" s="2"/>
      <c r="M878" s="2"/>
      <c r="N878" s="2" t="s">
        <v>23928</v>
      </c>
      <c r="O878" s="2"/>
      <c r="P878" s="2" t="s">
        <v>23929</v>
      </c>
      <c r="Q878" s="2" t="s">
        <v>23930</v>
      </c>
      <c r="R878" s="2" t="s">
        <v>3003</v>
      </c>
      <c r="S878" s="2" t="s">
        <v>23931</v>
      </c>
      <c r="T878" s="2" t="s">
        <v>215</v>
      </c>
      <c r="U878" s="2" t="s">
        <v>23923</v>
      </c>
      <c r="V878" s="2" t="s">
        <v>18382</v>
      </c>
      <c r="W878" s="2" t="s">
        <v>56</v>
      </c>
    </row>
    <row r="879">
      <c r="A879" s="2" t="n">
        <v>672</v>
      </c>
      <c r="B879" s="2" t="s">
        <v>15382</v>
      </c>
      <c r="C879" s="2" t="s">
        <v>23932</v>
      </c>
      <c r="D879" s="2" t="n">
        <v>770.509508239</v>
      </c>
      <c r="E879" s="2" t="n">
        <v>0.641657742015288</v>
      </c>
      <c r="F879" s="2" t="s">
        <v>27892</v>
      </c>
      <c r="G879" s="2" t="n">
        <v>21062</v>
      </c>
      <c r="H879" s="3" t="str">
        <f>HYPERLINK("http://funmeta.oebiotech.com/network/21062", "http://funmeta.oebiotech.com/network/21062")</f>
      </c>
      <c r="I879" s="2" t="s">
        <v>27893</v>
      </c>
      <c r="J879" s="2" t="s">
        <v>27894</v>
      </c>
      <c r="K879" s="2" t="s">
        <v>27895</v>
      </c>
      <c r="L879" s="2" t="s">
        <v>9434</v>
      </c>
      <c r="M879" s="2" t="s">
        <v>27896</v>
      </c>
      <c r="N879" s="2" t="s">
        <v>27897</v>
      </c>
      <c r="O879" s="2" t="s">
        <v>27898</v>
      </c>
      <c r="P879" s="2" t="s">
        <v>27899</v>
      </c>
      <c r="Q879" s="2" t="s">
        <v>27900</v>
      </c>
      <c r="R879" s="2" t="s">
        <v>794</v>
      </c>
      <c r="S879" s="2" t="s">
        <v>7122</v>
      </c>
      <c r="T879" s="2" t="s">
        <v>8042</v>
      </c>
      <c r="U879" s="2" t="s">
        <v>23933</v>
      </c>
      <c r="V879" s="2" t="s">
        <v>17198</v>
      </c>
      <c r="W879" s="2" t="s">
        <v>56</v>
      </c>
    </row>
    <row r="880">
      <c r="A880" s="2" t="n">
        <v>672</v>
      </c>
      <c r="B880" s="2" t="s">
        <v>15391</v>
      </c>
      <c r="C880" s="2" t="s">
        <v>23932</v>
      </c>
      <c r="D880" s="2" t="n">
        <v>770.509508239</v>
      </c>
      <c r="E880" s="2" t="n">
        <v>0.641657742015288</v>
      </c>
      <c r="F880" s="2" t="s">
        <v>27901</v>
      </c>
      <c r="G880" s="2" t="n">
        <v>50219</v>
      </c>
      <c r="H880" s="3" t="str">
        <f>HYPERLINK("http://funmeta.oebiotech.com/network/50219", "http://funmeta.oebiotech.com/network/50219")</f>
      </c>
      <c r="I880" s="2" t="s">
        <v>27902</v>
      </c>
      <c r="J880" s="2" t="s">
        <v>27903</v>
      </c>
      <c r="K880" s="2"/>
      <c r="L880" s="2" t="s">
        <v>9434</v>
      </c>
      <c r="M880" s="2"/>
      <c r="N880" s="2" t="s">
        <v>27904</v>
      </c>
      <c r="O880" s="2"/>
      <c r="P880" s="2" t="s">
        <v>27905</v>
      </c>
      <c r="Q880" s="2" t="s">
        <v>27906</v>
      </c>
      <c r="R880" s="2" t="s">
        <v>794</v>
      </c>
      <c r="S880" s="2" t="s">
        <v>7122</v>
      </c>
      <c r="T880" s="2" t="s">
        <v>8042</v>
      </c>
      <c r="U880" s="2" t="s">
        <v>23933</v>
      </c>
      <c r="V880" s="2" t="s">
        <v>17198</v>
      </c>
      <c r="W880" s="2" t="s">
        <v>56</v>
      </c>
    </row>
    <row r="881">
      <c r="A881" s="2" t="n">
        <v>673</v>
      </c>
      <c r="B881" s="2" t="s">
        <v>15399</v>
      </c>
      <c r="C881" s="2" t="s">
        <v>23946</v>
      </c>
      <c r="D881" s="2" t="n">
        <v>771.517061132</v>
      </c>
      <c r="E881" s="2" t="n">
        <v>0.455380916417949</v>
      </c>
      <c r="F881" s="2" t="s">
        <v>23948</v>
      </c>
      <c r="G881" s="2" t="n">
        <v>22515</v>
      </c>
      <c r="H881" s="3" t="str">
        <f>HYPERLINK("http://funmeta.oebiotech.com/network/22515", "http://funmeta.oebiotech.com/network/22515")</f>
      </c>
      <c r="I881" s="2" t="s">
        <v>23950</v>
      </c>
      <c r="J881" s="2" t="s">
        <v>23951</v>
      </c>
      <c r="K881" s="2" t="s">
        <v>23952</v>
      </c>
      <c r="L881" s="2"/>
      <c r="M881" s="2" t="s">
        <v>23953</v>
      </c>
      <c r="N881" s="2" t="s">
        <v>23954</v>
      </c>
      <c r="O881" s="2"/>
      <c r="P881" s="2" t="s">
        <v>23955</v>
      </c>
      <c r="Q881" s="2" t="s">
        <v>23956</v>
      </c>
      <c r="R881" s="2" t="s">
        <v>794</v>
      </c>
      <c r="S881" s="2" t="s">
        <v>7122</v>
      </c>
      <c r="T881" s="2" t="s">
        <v>9951</v>
      </c>
      <c r="U881" s="2" t="s">
        <v>23947</v>
      </c>
      <c r="V881" s="2" t="s">
        <v>17137</v>
      </c>
      <c r="W881" s="2" t="s">
        <v>39</v>
      </c>
    </row>
    <row r="882">
      <c r="A882" s="2" t="n">
        <v>674</v>
      </c>
      <c r="B882" s="2" t="s">
        <v>15400</v>
      </c>
      <c r="C882" s="2" t="s">
        <v>23957</v>
      </c>
      <c r="D882" s="2" t="n">
        <v>772.525313053</v>
      </c>
      <c r="E882" s="2" t="n">
        <v>0.965771463818383</v>
      </c>
      <c r="F882" s="2" t="s">
        <v>23959</v>
      </c>
      <c r="G882" s="2" t="n">
        <v>18240</v>
      </c>
      <c r="H882" s="3" t="str">
        <f>HYPERLINK("http://funmeta.oebiotech.com/network/18240", "http://funmeta.oebiotech.com/network/18240")</f>
      </c>
      <c r="I882" s="2" t="s">
        <v>23961</v>
      </c>
      <c r="J882" s="2" t="s">
        <v>23962</v>
      </c>
      <c r="K882" s="2" t="s">
        <v>23963</v>
      </c>
      <c r="L882" s="2" t="s">
        <v>9831</v>
      </c>
      <c r="M882" s="2" t="s">
        <v>23964</v>
      </c>
      <c r="N882" s="2" t="s">
        <v>23965</v>
      </c>
      <c r="O882" s="2" t="s">
        <v>23966</v>
      </c>
      <c r="P882" s="2" t="s">
        <v>23967</v>
      </c>
      <c r="Q882" s="2" t="s">
        <v>23968</v>
      </c>
      <c r="R882" s="2" t="s">
        <v>794</v>
      </c>
      <c r="S882" s="2" t="s">
        <v>7122</v>
      </c>
      <c r="T882" s="2" t="s">
        <v>8460</v>
      </c>
      <c r="U882" s="2" t="s">
        <v>23958</v>
      </c>
      <c r="V882" s="2" t="s">
        <v>17406</v>
      </c>
      <c r="W882" s="2" t="s">
        <v>39</v>
      </c>
    </row>
    <row r="883">
      <c r="A883" s="2" t="n">
        <v>675</v>
      </c>
      <c r="B883" s="2" t="s">
        <v>15401</v>
      </c>
      <c r="C883" s="2" t="s">
        <v>23969</v>
      </c>
      <c r="D883" s="2" t="n">
        <v>774.527960649</v>
      </c>
      <c r="E883" s="2" t="n">
        <v>7.04833461933348</v>
      </c>
      <c r="F883" s="2" t="s">
        <v>23971</v>
      </c>
      <c r="G883" s="2" t="n">
        <v>21413</v>
      </c>
      <c r="H883" s="3" t="str">
        <f>HYPERLINK("http://funmeta.oebiotech.com/network/21413", "http://funmeta.oebiotech.com/network/21413")</f>
      </c>
      <c r="I883" s="2" t="s">
        <v>23973</v>
      </c>
      <c r="J883" s="2" t="s">
        <v>23974</v>
      </c>
      <c r="K883" s="2" t="s">
        <v>23975</v>
      </c>
      <c r="L883" s="2"/>
      <c r="M883" s="2"/>
      <c r="N883" s="2" t="s">
        <v>23976</v>
      </c>
      <c r="O883" s="2"/>
      <c r="P883" s="2" t="s">
        <v>23977</v>
      </c>
      <c r="Q883" s="2" t="s">
        <v>23978</v>
      </c>
      <c r="R883" s="2" t="s">
        <v>794</v>
      </c>
      <c r="S883" s="2" t="s">
        <v>7122</v>
      </c>
      <c r="T883" s="2" t="s">
        <v>8876</v>
      </c>
      <c r="U883" s="2" t="s">
        <v>23970</v>
      </c>
      <c r="V883" s="2" t="s">
        <v>17137</v>
      </c>
      <c r="W883" s="2"/>
    </row>
    <row r="884">
      <c r="A884" s="2" t="n">
        <v>676</v>
      </c>
      <c r="B884" s="2" t="s">
        <v>15402</v>
      </c>
      <c r="C884" s="2" t="s">
        <v>23979</v>
      </c>
      <c r="D884" s="2" t="n">
        <v>775.29286619</v>
      </c>
      <c r="E884" s="2" t="n">
        <v>2.67879816072386</v>
      </c>
      <c r="F884" s="2" t="s">
        <v>27907</v>
      </c>
      <c r="G884" s="2" t="n">
        <v>211190</v>
      </c>
      <c r="H884" s="3" t="str">
        <f>HYPERLINK("http://funmeta.oebiotech.com/network/211190", "http://funmeta.oebiotech.com/network/211190")</f>
      </c>
      <c r="I884" s="2" t="s">
        <v>27908</v>
      </c>
      <c r="J884" s="2"/>
      <c r="K884" s="2"/>
      <c r="L884" s="2"/>
      <c r="M884" s="2"/>
      <c r="N884" s="2"/>
      <c r="O884" s="2"/>
      <c r="P884" s="2" t="s">
        <v>27909</v>
      </c>
      <c r="Q884" s="2" t="s">
        <v>27910</v>
      </c>
      <c r="R884" s="2" t="s">
        <v>114</v>
      </c>
      <c r="S884" s="2" t="s">
        <v>172</v>
      </c>
      <c r="T884" s="2" t="s">
        <v>173</v>
      </c>
      <c r="U884" s="2" t="s">
        <v>23980</v>
      </c>
      <c r="V884" s="2" t="s">
        <v>17227</v>
      </c>
      <c r="W884" s="2"/>
    </row>
    <row r="885">
      <c r="A885" s="2" t="n">
        <v>676</v>
      </c>
      <c r="B885" s="2" t="s">
        <v>27911</v>
      </c>
      <c r="C885" s="2" t="s">
        <v>23979</v>
      </c>
      <c r="D885" s="2" t="n">
        <v>775.29286619</v>
      </c>
      <c r="E885" s="2" t="n">
        <v>2.67879816072386</v>
      </c>
      <c r="F885" s="2" t="s">
        <v>27912</v>
      </c>
      <c r="G885" s="2" t="n">
        <v>202939</v>
      </c>
      <c r="H885" s="3" t="str">
        <f>HYPERLINK("http://funmeta.oebiotech.com/network/202939", "http://funmeta.oebiotech.com/network/202939")</f>
      </c>
      <c r="I885" s="2" t="s">
        <v>27913</v>
      </c>
      <c r="J885" s="2"/>
      <c r="K885" s="2"/>
      <c r="L885" s="2"/>
      <c r="M885" s="2"/>
      <c r="N885" s="2" t="s">
        <v>27914</v>
      </c>
      <c r="O885" s="2"/>
      <c r="P885" s="2" t="s">
        <v>27915</v>
      </c>
      <c r="Q885" s="2" t="s">
        <v>27916</v>
      </c>
      <c r="R885" s="2" t="s">
        <v>36</v>
      </c>
      <c r="S885" s="2" t="s">
        <v>37</v>
      </c>
      <c r="T885" s="2" t="s">
        <v>69</v>
      </c>
      <c r="U885" s="2" t="s">
        <v>23980</v>
      </c>
      <c r="V885" s="2" t="s">
        <v>17227</v>
      </c>
      <c r="W885" s="2"/>
    </row>
    <row r="886">
      <c r="A886" s="2" t="n">
        <v>677</v>
      </c>
      <c r="B886" s="2" t="s">
        <v>15403</v>
      </c>
      <c r="C886" s="2" t="s">
        <v>23989</v>
      </c>
      <c r="D886" s="2" t="n">
        <v>776.525908689</v>
      </c>
      <c r="E886" s="2" t="n">
        <v>6.01544072100981</v>
      </c>
      <c r="F886" s="2" t="s">
        <v>23991</v>
      </c>
      <c r="G886" s="2" t="n">
        <v>57833</v>
      </c>
      <c r="H886" s="3" t="str">
        <f>HYPERLINK("http://funmeta.oebiotech.com/network/57833", "http://funmeta.oebiotech.com/network/57833")</f>
      </c>
      <c r="I886" s="2" t="s">
        <v>23993</v>
      </c>
      <c r="J886" s="2" t="s">
        <v>23994</v>
      </c>
      <c r="K886" s="2"/>
      <c r="L886" s="2"/>
      <c r="M886" s="2"/>
      <c r="N886" s="2" t="s">
        <v>23995</v>
      </c>
      <c r="O886" s="2"/>
      <c r="P886" s="2" t="s">
        <v>23996</v>
      </c>
      <c r="Q886" s="2" t="s">
        <v>23997</v>
      </c>
      <c r="R886" s="2" t="s">
        <v>794</v>
      </c>
      <c r="S886" s="2" t="s">
        <v>7781</v>
      </c>
      <c r="T886" s="2" t="s">
        <v>11458</v>
      </c>
      <c r="U886" s="2" t="s">
        <v>23990</v>
      </c>
      <c r="V886" s="2" t="s">
        <v>17970</v>
      </c>
      <c r="W886" s="2"/>
    </row>
    <row r="887">
      <c r="A887" s="2" t="n">
        <v>678</v>
      </c>
      <c r="B887" s="2" t="s">
        <v>15418</v>
      </c>
      <c r="C887" s="2" t="s">
        <v>23998</v>
      </c>
      <c r="D887" s="2" t="n">
        <v>777.534868816</v>
      </c>
      <c r="E887" s="2" t="n">
        <v>2.90247536966007</v>
      </c>
      <c r="F887" s="2" t="s">
        <v>24000</v>
      </c>
      <c r="G887" s="2" t="n">
        <v>48852</v>
      </c>
      <c r="H887" s="3" t="str">
        <f>HYPERLINK("http://funmeta.oebiotech.com/network/48852", "http://funmeta.oebiotech.com/network/48852")</f>
      </c>
      <c r="I887" s="2" t="s">
        <v>24002</v>
      </c>
      <c r="J887" s="2"/>
      <c r="K887" s="2"/>
      <c r="L887" s="2" t="s">
        <v>8884</v>
      </c>
      <c r="M887" s="2"/>
      <c r="N887" s="2" t="s">
        <v>24003</v>
      </c>
      <c r="O887" s="2" t="s">
        <v>24004</v>
      </c>
      <c r="P887" s="2" t="s">
        <v>24005</v>
      </c>
      <c r="Q887" s="2" t="s">
        <v>24006</v>
      </c>
      <c r="R887" s="2" t="s">
        <v>794</v>
      </c>
      <c r="S887" s="2" t="s">
        <v>2971</v>
      </c>
      <c r="T887" s="2" t="s">
        <v>6290</v>
      </c>
      <c r="U887" s="2" t="s">
        <v>23999</v>
      </c>
      <c r="V887" s="2" t="s">
        <v>17520</v>
      </c>
      <c r="W887" s="2" t="s">
        <v>39</v>
      </c>
    </row>
    <row r="888">
      <c r="A888" s="2" t="n">
        <v>679</v>
      </c>
      <c r="B888" s="2" t="s">
        <v>15419</v>
      </c>
      <c r="C888" s="2" t="s">
        <v>24007</v>
      </c>
      <c r="D888" s="2" t="n">
        <v>778.491362809</v>
      </c>
      <c r="E888" s="2" t="n">
        <v>9.1780259120722</v>
      </c>
      <c r="F888" s="2" t="s">
        <v>27917</v>
      </c>
      <c r="G888" s="2" t="n">
        <v>39582</v>
      </c>
      <c r="H888" s="3" t="str">
        <f>HYPERLINK("http://funmeta.oebiotech.com/network/39582", "http://funmeta.oebiotech.com/network/39582")</f>
      </c>
      <c r="I888" s="2" t="s">
        <v>27918</v>
      </c>
      <c r="J888" s="2" t="s">
        <v>27919</v>
      </c>
      <c r="K888" s="2" t="s">
        <v>27920</v>
      </c>
      <c r="L888" s="2"/>
      <c r="M888" s="2" t="s">
        <v>27921</v>
      </c>
      <c r="N888" s="2" t="s">
        <v>27922</v>
      </c>
      <c r="O888" s="2"/>
      <c r="P888" s="2" t="s">
        <v>27923</v>
      </c>
      <c r="Q888" s="2" t="s">
        <v>27924</v>
      </c>
      <c r="R888" s="2" t="s">
        <v>794</v>
      </c>
      <c r="S888" s="2" t="s">
        <v>7781</v>
      </c>
      <c r="T888" s="2" t="s">
        <v>7782</v>
      </c>
      <c r="U888" s="2" t="s">
        <v>24008</v>
      </c>
      <c r="V888" s="2" t="s">
        <v>17520</v>
      </c>
      <c r="W888" s="2" t="s">
        <v>56</v>
      </c>
    </row>
    <row r="889">
      <c r="A889" s="2" t="n">
        <v>679</v>
      </c>
      <c r="B889" s="2" t="s">
        <v>27925</v>
      </c>
      <c r="C889" s="2" t="s">
        <v>24007</v>
      </c>
      <c r="D889" s="2" t="n">
        <v>778.491363298</v>
      </c>
      <c r="E889" s="2" t="n">
        <v>9.1780259120722</v>
      </c>
      <c r="F889" s="2" t="s">
        <v>27926</v>
      </c>
      <c r="G889" s="2" t="n">
        <v>51214</v>
      </c>
      <c r="H889" s="3" t="str">
        <f>HYPERLINK("http://funmeta.oebiotech.com/network/51214", "http://funmeta.oebiotech.com/network/51214")</f>
      </c>
      <c r="I889" s="2" t="s">
        <v>27927</v>
      </c>
      <c r="J889" s="2"/>
      <c r="K889" s="2"/>
      <c r="L889" s="2"/>
      <c r="M889" s="2"/>
      <c r="N889" s="2" t="s">
        <v>27928</v>
      </c>
      <c r="O889" s="2"/>
      <c r="P889" s="2" t="s">
        <v>27929</v>
      </c>
      <c r="Q889" s="2" t="s">
        <v>27930</v>
      </c>
      <c r="R889" s="2" t="s">
        <v>794</v>
      </c>
      <c r="S889" s="2" t="s">
        <v>7122</v>
      </c>
      <c r="T889" s="2" t="s">
        <v>8460</v>
      </c>
      <c r="U889" s="2" t="s">
        <v>24008</v>
      </c>
      <c r="V889" s="2" t="s">
        <v>17520</v>
      </c>
      <c r="W889" s="2" t="s">
        <v>56</v>
      </c>
    </row>
    <row r="890">
      <c r="A890" s="2" t="n">
        <v>680</v>
      </c>
      <c r="B890" s="2" t="s">
        <v>15420</v>
      </c>
      <c r="C890" s="2" t="s">
        <v>24020</v>
      </c>
      <c r="D890" s="2" t="n">
        <v>778.538130925</v>
      </c>
      <c r="E890" s="2" t="n">
        <v>9.65287423673294</v>
      </c>
      <c r="F890" s="2" t="s">
        <v>24022</v>
      </c>
      <c r="G890" s="2" t="n">
        <v>18221</v>
      </c>
      <c r="H890" s="3" t="str">
        <f>HYPERLINK("http://funmeta.oebiotech.com/network/18221", "http://funmeta.oebiotech.com/network/18221")</f>
      </c>
      <c r="I890" s="2" t="s">
        <v>24024</v>
      </c>
      <c r="J890" s="2" t="s">
        <v>24025</v>
      </c>
      <c r="K890" s="2" t="s">
        <v>24026</v>
      </c>
      <c r="L890" s="2" t="s">
        <v>9831</v>
      </c>
      <c r="M890" s="2" t="s">
        <v>24027</v>
      </c>
      <c r="N890" s="2" t="s">
        <v>24028</v>
      </c>
      <c r="O890" s="2"/>
      <c r="P890" s="2" t="s">
        <v>24029</v>
      </c>
      <c r="Q890" s="2" t="s">
        <v>24030</v>
      </c>
      <c r="R890" s="2" t="s">
        <v>794</v>
      </c>
      <c r="S890" s="2" t="s">
        <v>7122</v>
      </c>
      <c r="T890" s="2" t="s">
        <v>8460</v>
      </c>
      <c r="U890" s="2" t="s">
        <v>24021</v>
      </c>
      <c r="V890" s="2" t="s">
        <v>17137</v>
      </c>
      <c r="W890" s="2" t="s">
        <v>56</v>
      </c>
    </row>
    <row r="891">
      <c r="A891" s="2" t="n">
        <v>681</v>
      </c>
      <c r="B891" s="2" t="s">
        <v>15421</v>
      </c>
      <c r="C891" s="2" t="s">
        <v>24031</v>
      </c>
      <c r="D891" s="2" t="n">
        <v>779.158407726</v>
      </c>
      <c r="E891" s="2" t="n">
        <v>3.77111500613445</v>
      </c>
      <c r="F891" s="2" t="s">
        <v>27931</v>
      </c>
      <c r="G891" s="2" t="n">
        <v>30364</v>
      </c>
      <c r="H891" s="3" t="str">
        <f>HYPERLINK("http://funmeta.oebiotech.com/network/30364", "http://funmeta.oebiotech.com/network/30364")</f>
      </c>
      <c r="I891" s="2" t="s">
        <v>27932</v>
      </c>
      <c r="J891" s="2"/>
      <c r="K891" s="2" t="s">
        <v>27933</v>
      </c>
      <c r="L891" s="2"/>
      <c r="M891" s="2"/>
      <c r="N891" s="2" t="s">
        <v>27934</v>
      </c>
      <c r="O891" s="2"/>
      <c r="P891" s="2" t="s">
        <v>27935</v>
      </c>
      <c r="Q891" s="2" t="s">
        <v>27936</v>
      </c>
      <c r="R891" s="2" t="s">
        <v>1355</v>
      </c>
      <c r="S891" s="2" t="s">
        <v>5199</v>
      </c>
      <c r="T891" s="2" t="s">
        <v>7308</v>
      </c>
      <c r="U891" s="2" t="s">
        <v>24032</v>
      </c>
      <c r="V891" s="2" t="s">
        <v>17406</v>
      </c>
      <c r="W891" s="2"/>
    </row>
    <row r="892">
      <c r="A892" s="2" t="n">
        <v>681</v>
      </c>
      <c r="B892" s="2" t="s">
        <v>27937</v>
      </c>
      <c r="C892" s="2" t="s">
        <v>24031</v>
      </c>
      <c r="D892" s="2" t="n">
        <v>779.158407726</v>
      </c>
      <c r="E892" s="2" t="n">
        <v>3.77111500613445</v>
      </c>
      <c r="F892" s="2" t="s">
        <v>27938</v>
      </c>
      <c r="G892" s="2" t="n">
        <v>30420</v>
      </c>
      <c r="H892" s="3" t="str">
        <f>HYPERLINK("http://funmeta.oebiotech.com/network/30420", "http://funmeta.oebiotech.com/network/30420")</f>
      </c>
      <c r="I892" s="2" t="s">
        <v>27939</v>
      </c>
      <c r="J892" s="2"/>
      <c r="K892" s="2" t="s">
        <v>27940</v>
      </c>
      <c r="L892" s="2"/>
      <c r="M892" s="2"/>
      <c r="N892" s="2" t="s">
        <v>27941</v>
      </c>
      <c r="O892" s="2"/>
      <c r="P892" s="2" t="s">
        <v>27942</v>
      </c>
      <c r="Q892" s="2" t="s">
        <v>27943</v>
      </c>
      <c r="R892" s="2" t="s">
        <v>1355</v>
      </c>
      <c r="S892" s="2" t="s">
        <v>5199</v>
      </c>
      <c r="T892" s="2" t="s">
        <v>7308</v>
      </c>
      <c r="U892" s="2" t="s">
        <v>24032</v>
      </c>
      <c r="V892" s="2" t="s">
        <v>17406</v>
      </c>
      <c r="W892" s="2"/>
    </row>
    <row r="893">
      <c r="A893" s="2" t="n">
        <v>681</v>
      </c>
      <c r="B893" s="2" t="s">
        <v>27944</v>
      </c>
      <c r="C893" s="2" t="s">
        <v>24031</v>
      </c>
      <c r="D893" s="2" t="n">
        <v>779.158407726</v>
      </c>
      <c r="E893" s="2" t="n">
        <v>3.77111500613445</v>
      </c>
      <c r="F893" s="2" t="s">
        <v>27945</v>
      </c>
      <c r="G893" s="2" t="n">
        <v>60927</v>
      </c>
      <c r="H893" s="3" t="str">
        <f>HYPERLINK("http://funmeta.oebiotech.com/network/60927", "http://funmeta.oebiotech.com/network/60927")</f>
      </c>
      <c r="I893" s="2" t="s">
        <v>27946</v>
      </c>
      <c r="J893" s="2" t="s">
        <v>27947</v>
      </c>
      <c r="K893" s="2"/>
      <c r="L893" s="2"/>
      <c r="M893" s="2"/>
      <c r="N893" s="2" t="s">
        <v>27948</v>
      </c>
      <c r="O893" s="2" t="s">
        <v>27949</v>
      </c>
      <c r="P893" s="2" t="s">
        <v>27950</v>
      </c>
      <c r="Q893" s="2" t="s">
        <v>27951</v>
      </c>
      <c r="R893" s="2" t="s">
        <v>1355</v>
      </c>
      <c r="S893" s="2" t="s">
        <v>5199</v>
      </c>
      <c r="T893" s="2" t="s">
        <v>7308</v>
      </c>
      <c r="U893" s="2" t="s">
        <v>24032</v>
      </c>
      <c r="V893" s="2" t="s">
        <v>17406</v>
      </c>
      <c r="W893" s="2"/>
    </row>
    <row r="894">
      <c r="A894" s="2" t="n">
        <v>682</v>
      </c>
      <c r="B894" s="2" t="s">
        <v>15422</v>
      </c>
      <c r="C894" s="2" t="s">
        <v>24044</v>
      </c>
      <c r="D894" s="2" t="n">
        <v>779.470466396</v>
      </c>
      <c r="E894" s="2" t="n">
        <v>5.65313678869069</v>
      </c>
      <c r="F894" s="2" t="s">
        <v>24046</v>
      </c>
      <c r="G894" s="2" t="n">
        <v>59373</v>
      </c>
      <c r="H894" s="3" t="str">
        <f>HYPERLINK("http://funmeta.oebiotech.com/network/59373", "http://funmeta.oebiotech.com/network/59373")</f>
      </c>
      <c r="I894" s="2" t="s">
        <v>24048</v>
      </c>
      <c r="J894" s="2"/>
      <c r="K894" s="2"/>
      <c r="L894" s="2"/>
      <c r="M894" s="2"/>
      <c r="N894" s="2" t="s">
        <v>24049</v>
      </c>
      <c r="O894" s="2" t="s">
        <v>24050</v>
      </c>
      <c r="P894" s="2" t="s">
        <v>24051</v>
      </c>
      <c r="Q894" s="2" t="s">
        <v>24052</v>
      </c>
      <c r="R894" s="2" t="s">
        <v>794</v>
      </c>
      <c r="S894" s="2" t="s">
        <v>1098</v>
      </c>
      <c r="T894" s="2" t="s">
        <v>4662</v>
      </c>
      <c r="U894" s="2" t="s">
        <v>24045</v>
      </c>
      <c r="V894" s="2" t="s">
        <v>17892</v>
      </c>
      <c r="W894" s="2" t="s">
        <v>56</v>
      </c>
    </row>
    <row r="895">
      <c r="A895" s="2" t="n">
        <v>683</v>
      </c>
      <c r="B895" s="2" t="s">
        <v>15423</v>
      </c>
      <c r="C895" s="2" t="s">
        <v>24053</v>
      </c>
      <c r="D895" s="2" t="n">
        <v>779.545645344</v>
      </c>
      <c r="E895" s="2" t="n">
        <v>2.17418710182628</v>
      </c>
      <c r="F895" s="2" t="s">
        <v>24055</v>
      </c>
      <c r="G895" s="2" t="n">
        <v>61522</v>
      </c>
      <c r="H895" s="3" t="str">
        <f>HYPERLINK("http://funmeta.oebiotech.com/network/61522", "http://funmeta.oebiotech.com/network/61522")</f>
      </c>
      <c r="I895" s="2" t="s">
        <v>24057</v>
      </c>
      <c r="J895" s="2" t="s">
        <v>24058</v>
      </c>
      <c r="K895" s="2"/>
      <c r="L895" s="2"/>
      <c r="M895" s="2" t="s">
        <v>24059</v>
      </c>
      <c r="N895" s="2" t="s">
        <v>24060</v>
      </c>
      <c r="O895" s="2"/>
      <c r="P895" s="2" t="s">
        <v>24061</v>
      </c>
      <c r="Q895" s="2" t="s">
        <v>24062</v>
      </c>
      <c r="R895" s="2" t="s">
        <v>1355</v>
      </c>
      <c r="S895" s="2" t="s">
        <v>6741</v>
      </c>
      <c r="T895" s="2" t="s">
        <v>6742</v>
      </c>
      <c r="U895" s="2" t="s">
        <v>24054</v>
      </c>
      <c r="V895" s="2" t="s">
        <v>17137</v>
      </c>
      <c r="W895" s="2"/>
    </row>
    <row r="896">
      <c r="A896" s="2" t="n">
        <v>684</v>
      </c>
      <c r="B896" s="2" t="s">
        <v>15439</v>
      </c>
      <c r="C896" s="2" t="s">
        <v>24063</v>
      </c>
      <c r="D896" s="2" t="n">
        <v>780.158098051</v>
      </c>
      <c r="E896" s="2" t="n">
        <v>3.13864915706912</v>
      </c>
      <c r="F896" s="2" t="s">
        <v>24065</v>
      </c>
      <c r="G896" s="2" t="n">
        <v>203563</v>
      </c>
      <c r="H896" s="3" t="str">
        <f>HYPERLINK("http://funmeta.oebiotech.com/network/203563", "http://funmeta.oebiotech.com/network/203563")</f>
      </c>
      <c r="I896" s="2" t="s">
        <v>24067</v>
      </c>
      <c r="J896" s="2"/>
      <c r="K896" s="2"/>
      <c r="L896" s="2"/>
      <c r="M896" s="2"/>
      <c r="N896" s="2" t="s">
        <v>24068</v>
      </c>
      <c r="O896" s="2"/>
      <c r="P896" s="2" t="s">
        <v>24069</v>
      </c>
      <c r="Q896" s="2" t="s">
        <v>24070</v>
      </c>
      <c r="R896" s="2" t="s">
        <v>114</v>
      </c>
      <c r="S896" s="2" t="s">
        <v>994</v>
      </c>
      <c r="T896" s="2" t="s">
        <v>20473</v>
      </c>
      <c r="U896" s="2" t="s">
        <v>24064</v>
      </c>
      <c r="V896" s="2" t="s">
        <v>17520</v>
      </c>
      <c r="W896" s="2"/>
    </row>
    <row r="897">
      <c r="A897" s="2" t="n">
        <v>685</v>
      </c>
      <c r="B897" s="2" t="s">
        <v>15452</v>
      </c>
      <c r="C897" s="2" t="s">
        <v>24071</v>
      </c>
      <c r="D897" s="2" t="n">
        <v>780.553781474</v>
      </c>
      <c r="E897" s="2" t="n">
        <v>2.24896606228562</v>
      </c>
      <c r="F897" s="2" t="s">
        <v>27952</v>
      </c>
      <c r="G897" s="2" t="n">
        <v>134038</v>
      </c>
      <c r="H897" s="3" t="str">
        <f>HYPERLINK("http://funmeta.oebiotech.com/network/134038", "http://funmeta.oebiotech.com/network/134038")</f>
      </c>
      <c r="I897" s="2" t="s">
        <v>27953</v>
      </c>
      <c r="J897" s="2"/>
      <c r="K897" s="2"/>
      <c r="L897" s="2"/>
      <c r="M897" s="2"/>
      <c r="N897" s="2" t="s">
        <v>27954</v>
      </c>
      <c r="O897" s="2"/>
      <c r="P897" s="2" t="s">
        <v>27955</v>
      </c>
      <c r="Q897" s="2" t="s">
        <v>27956</v>
      </c>
      <c r="R897" s="2" t="s">
        <v>794</v>
      </c>
      <c r="S897" s="2" t="s">
        <v>7122</v>
      </c>
      <c r="T897" s="2" t="s">
        <v>8042</v>
      </c>
      <c r="U897" s="2" t="s">
        <v>24072</v>
      </c>
      <c r="V897" s="2" t="s">
        <v>17137</v>
      </c>
      <c r="W897" s="2"/>
    </row>
    <row r="898">
      <c r="A898" s="2" t="n">
        <v>685</v>
      </c>
      <c r="B898" s="2" t="s">
        <v>27957</v>
      </c>
      <c r="C898" s="2" t="s">
        <v>24071</v>
      </c>
      <c r="D898" s="2" t="n">
        <v>780.553781474</v>
      </c>
      <c r="E898" s="2" t="n">
        <v>2.24896606228562</v>
      </c>
      <c r="F898" s="2" t="s">
        <v>27958</v>
      </c>
      <c r="G898" s="2" t="n">
        <v>133159</v>
      </c>
      <c r="H898" s="3" t="str">
        <f>HYPERLINK("http://funmeta.oebiotech.com/network/133159", "http://funmeta.oebiotech.com/network/133159")</f>
      </c>
      <c r="I898" s="2" t="s">
        <v>27959</v>
      </c>
      <c r="J898" s="2"/>
      <c r="K898" s="2"/>
      <c r="L898" s="2"/>
      <c r="M898" s="2"/>
      <c r="N898" s="2" t="s">
        <v>27960</v>
      </c>
      <c r="O898" s="2"/>
      <c r="P898" s="2" t="s">
        <v>27961</v>
      </c>
      <c r="Q898" s="2" t="s">
        <v>27962</v>
      </c>
      <c r="R898" s="2" t="s">
        <v>794</v>
      </c>
      <c r="S898" s="2" t="s">
        <v>7122</v>
      </c>
      <c r="T898" s="2" t="s">
        <v>8042</v>
      </c>
      <c r="U898" s="2" t="s">
        <v>24072</v>
      </c>
      <c r="V898" s="2" t="s">
        <v>17137</v>
      </c>
      <c r="W898" s="2"/>
    </row>
    <row r="899">
      <c r="A899" s="2" t="n">
        <v>686</v>
      </c>
      <c r="B899" s="2" t="s">
        <v>15453</v>
      </c>
      <c r="C899" s="2" t="s">
        <v>24079</v>
      </c>
      <c r="D899" s="2" t="n">
        <v>781.158801656</v>
      </c>
      <c r="E899" s="2" t="n">
        <v>4.67757734493955</v>
      </c>
      <c r="F899" s="2" t="s">
        <v>27963</v>
      </c>
      <c r="G899" s="2" t="n">
        <v>254785</v>
      </c>
      <c r="H899" s="3" t="str">
        <f>HYPERLINK("http://funmeta.oebiotech.com/network/254785", "http://funmeta.oebiotech.com/network/254785")</f>
      </c>
      <c r="I899" s="2" t="s">
        <v>27964</v>
      </c>
      <c r="J899" s="2"/>
      <c r="K899" s="2"/>
      <c r="L899" s="2"/>
      <c r="M899" s="2"/>
      <c r="N899" s="2"/>
      <c r="O899" s="2" t="s">
        <v>27965</v>
      </c>
      <c r="P899" s="2" t="s">
        <v>27966</v>
      </c>
      <c r="Q899" s="2" t="s">
        <v>27967</v>
      </c>
      <c r="R899" s="2" t="s">
        <v>1355</v>
      </c>
      <c r="S899" s="2" t="s">
        <v>5199</v>
      </c>
      <c r="T899" s="2" t="s">
        <v>7308</v>
      </c>
      <c r="U899" s="2" t="s">
        <v>24080</v>
      </c>
      <c r="V899" s="2" t="s">
        <v>17406</v>
      </c>
      <c r="W899" s="2"/>
    </row>
    <row r="900">
      <c r="A900" s="2" t="n">
        <v>686</v>
      </c>
      <c r="B900" s="2" t="s">
        <v>27968</v>
      </c>
      <c r="C900" s="2" t="s">
        <v>24079</v>
      </c>
      <c r="D900" s="2" t="n">
        <v>781.158801656</v>
      </c>
      <c r="E900" s="2" t="n">
        <v>4.67757734493955</v>
      </c>
      <c r="F900" s="2" t="s">
        <v>27969</v>
      </c>
      <c r="G900" s="2" t="n">
        <v>64501</v>
      </c>
      <c r="H900" s="3" t="str">
        <f>HYPERLINK("http://funmeta.oebiotech.com/network/64501", "http://funmeta.oebiotech.com/network/64501")</f>
      </c>
      <c r="I900" s="2" t="s">
        <v>27970</v>
      </c>
      <c r="J900" s="2"/>
      <c r="K900" s="2"/>
      <c r="L900" s="2"/>
      <c r="M900" s="2"/>
      <c r="N900" s="2" t="s">
        <v>27971</v>
      </c>
      <c r="O900" s="2" t="s">
        <v>27972</v>
      </c>
      <c r="P900" s="2" t="s">
        <v>27973</v>
      </c>
      <c r="Q900" s="2" t="s">
        <v>27974</v>
      </c>
      <c r="R900" s="2" t="s">
        <v>1355</v>
      </c>
      <c r="S900" s="2" t="s">
        <v>5199</v>
      </c>
      <c r="T900" s="2" t="s">
        <v>7308</v>
      </c>
      <c r="U900" s="2" t="s">
        <v>24080</v>
      </c>
      <c r="V900" s="2" t="s">
        <v>17406</v>
      </c>
      <c r="W900" s="2"/>
    </row>
    <row r="901">
      <c r="A901" s="2" t="n">
        <v>687</v>
      </c>
      <c r="B901" s="2" t="s">
        <v>15454</v>
      </c>
      <c r="C901" s="2" t="s">
        <v>24088</v>
      </c>
      <c r="D901" s="2" t="n">
        <v>782.569431053</v>
      </c>
      <c r="E901" s="2" t="n">
        <v>3.67629049956987</v>
      </c>
      <c r="F901" s="2" t="s">
        <v>24090</v>
      </c>
      <c r="G901" s="2" t="n">
        <v>18637</v>
      </c>
      <c r="H901" s="3" t="str">
        <f>HYPERLINK("http://funmeta.oebiotech.com/network/18637", "http://funmeta.oebiotech.com/network/18637")</f>
      </c>
      <c r="I901" s="2" t="s">
        <v>24092</v>
      </c>
      <c r="J901" s="2" t="s">
        <v>24093</v>
      </c>
      <c r="K901" s="2" t="s">
        <v>24094</v>
      </c>
      <c r="L901" s="2" t="s">
        <v>9831</v>
      </c>
      <c r="M901" s="2" t="s">
        <v>24095</v>
      </c>
      <c r="N901" s="2" t="s">
        <v>24096</v>
      </c>
      <c r="O901" s="2"/>
      <c r="P901" s="2" t="s">
        <v>24097</v>
      </c>
      <c r="Q901" s="2" t="s">
        <v>24098</v>
      </c>
      <c r="R901" s="2" t="s">
        <v>794</v>
      </c>
      <c r="S901" s="2" t="s">
        <v>7122</v>
      </c>
      <c r="T901" s="2" t="s">
        <v>8460</v>
      </c>
      <c r="U901" s="2" t="s">
        <v>24089</v>
      </c>
      <c r="V901" s="2" t="s">
        <v>17137</v>
      </c>
      <c r="W901" s="2" t="s">
        <v>56</v>
      </c>
    </row>
    <row r="902">
      <c r="A902" s="2" t="n">
        <v>688</v>
      </c>
      <c r="B902" s="2" t="s">
        <v>15455</v>
      </c>
      <c r="C902" s="2" t="s">
        <v>24099</v>
      </c>
      <c r="D902" s="2" t="n">
        <v>785.46818287</v>
      </c>
      <c r="E902" s="2" t="n">
        <v>6.5242685846395</v>
      </c>
      <c r="F902" s="2" t="s">
        <v>27975</v>
      </c>
      <c r="G902" s="2" t="n">
        <v>198969</v>
      </c>
      <c r="H902" s="3" t="str">
        <f>HYPERLINK("http://funmeta.oebiotech.com/network/198969", "http://funmeta.oebiotech.com/network/198969")</f>
      </c>
      <c r="I902" s="2" t="s">
        <v>27976</v>
      </c>
      <c r="J902" s="2"/>
      <c r="K902" s="2"/>
      <c r="L902" s="2"/>
      <c r="M902" s="2"/>
      <c r="N902" s="2" t="s">
        <v>27977</v>
      </c>
      <c r="O902" s="2"/>
      <c r="P902" s="2" t="s">
        <v>27978</v>
      </c>
      <c r="Q902" s="2" t="s">
        <v>27979</v>
      </c>
      <c r="R902" s="2" t="s">
        <v>794</v>
      </c>
      <c r="S902" s="2" t="s">
        <v>2971</v>
      </c>
      <c r="T902" s="2" t="s">
        <v>11733</v>
      </c>
      <c r="U902" s="2" t="s">
        <v>24100</v>
      </c>
      <c r="V902" s="2" t="s">
        <v>17137</v>
      </c>
      <c r="W902" s="2"/>
    </row>
    <row r="903">
      <c r="A903" s="2" t="n">
        <v>688</v>
      </c>
      <c r="B903" s="2" t="s">
        <v>27980</v>
      </c>
      <c r="C903" s="2" t="s">
        <v>24099</v>
      </c>
      <c r="D903" s="2" t="n">
        <v>785.46818287</v>
      </c>
      <c r="E903" s="2" t="n">
        <v>6.5242685846395</v>
      </c>
      <c r="F903" s="2" t="s">
        <v>27981</v>
      </c>
      <c r="G903" s="2" t="n">
        <v>203723</v>
      </c>
      <c r="H903" s="3" t="str">
        <f>HYPERLINK("http://funmeta.oebiotech.com/network/203723", "http://funmeta.oebiotech.com/network/203723")</f>
      </c>
      <c r="I903" s="2" t="s">
        <v>27982</v>
      </c>
      <c r="J903" s="2"/>
      <c r="K903" s="2"/>
      <c r="L903" s="2"/>
      <c r="M903" s="2"/>
      <c r="N903" s="2" t="s">
        <v>27983</v>
      </c>
      <c r="O903" s="2"/>
      <c r="P903" s="2" t="s">
        <v>27984</v>
      </c>
      <c r="Q903" s="2" t="s">
        <v>27985</v>
      </c>
      <c r="R903" s="2" t="s">
        <v>794</v>
      </c>
      <c r="S903" s="2" t="s">
        <v>2971</v>
      </c>
      <c r="T903" s="2" t="s">
        <v>11733</v>
      </c>
      <c r="U903" s="2" t="s">
        <v>24100</v>
      </c>
      <c r="V903" s="2" t="s">
        <v>17137</v>
      </c>
      <c r="W903" s="2"/>
    </row>
    <row r="904">
      <c r="A904" s="2" t="n">
        <v>688</v>
      </c>
      <c r="B904" s="2" t="s">
        <v>27986</v>
      </c>
      <c r="C904" s="2" t="s">
        <v>24099</v>
      </c>
      <c r="D904" s="2" t="n">
        <v>785.468182884</v>
      </c>
      <c r="E904" s="2" t="n">
        <v>6.5242685846395</v>
      </c>
      <c r="F904" s="2" t="s">
        <v>27987</v>
      </c>
      <c r="G904" s="2" t="n">
        <v>63801</v>
      </c>
      <c r="H904" s="3" t="str">
        <f>HYPERLINK("http://funmeta.oebiotech.com/network/63801", "http://funmeta.oebiotech.com/network/63801")</f>
      </c>
      <c r="I904" s="2" t="s">
        <v>27988</v>
      </c>
      <c r="J904" s="2" t="s">
        <v>27989</v>
      </c>
      <c r="K904" s="2"/>
      <c r="L904" s="2"/>
      <c r="M904" s="2"/>
      <c r="N904" s="2" t="s">
        <v>27990</v>
      </c>
      <c r="O904" s="2" t="s">
        <v>27991</v>
      </c>
      <c r="P904" s="2" t="s">
        <v>27992</v>
      </c>
      <c r="Q904" s="2" t="s">
        <v>27993</v>
      </c>
      <c r="R904" s="2" t="s">
        <v>794</v>
      </c>
      <c r="S904" s="2" t="s">
        <v>1098</v>
      </c>
      <c r="T904" s="2" t="s">
        <v>7646</v>
      </c>
      <c r="U904" s="2" t="s">
        <v>24100</v>
      </c>
      <c r="V904" s="2" t="s">
        <v>17137</v>
      </c>
      <c r="W904" s="2"/>
    </row>
    <row r="905">
      <c r="A905" s="2" t="n">
        <v>689</v>
      </c>
      <c r="B905" s="2" t="s">
        <v>15456</v>
      </c>
      <c r="C905" s="2" t="s">
        <v>24111</v>
      </c>
      <c r="D905" s="2" t="n">
        <v>785.582212926</v>
      </c>
      <c r="E905" s="2" t="n">
        <v>0.33285983818291</v>
      </c>
      <c r="F905" s="2" t="s">
        <v>24113</v>
      </c>
      <c r="G905" s="2" t="n">
        <v>49045</v>
      </c>
      <c r="H905" s="3" t="str">
        <f>HYPERLINK("http://funmeta.oebiotech.com/network/49045", "http://funmeta.oebiotech.com/network/49045")</f>
      </c>
      <c r="I905" s="2" t="s">
        <v>24115</v>
      </c>
      <c r="J905" s="2" t="s">
        <v>24116</v>
      </c>
      <c r="K905" s="2"/>
      <c r="L905" s="2"/>
      <c r="M905" s="2"/>
      <c r="N905" s="2" t="s">
        <v>24117</v>
      </c>
      <c r="O905" s="2"/>
      <c r="P905" s="2" t="s">
        <v>24118</v>
      </c>
      <c r="Q905" s="2" t="s">
        <v>24119</v>
      </c>
      <c r="R905" s="2" t="s">
        <v>794</v>
      </c>
      <c r="S905" s="2" t="s">
        <v>2600</v>
      </c>
      <c r="T905" s="2" t="s">
        <v>8990</v>
      </c>
      <c r="U905" s="2" t="s">
        <v>24112</v>
      </c>
      <c r="V905" s="2" t="s">
        <v>17520</v>
      </c>
      <c r="W905" s="2"/>
    </row>
    <row r="906">
      <c r="A906" s="2" t="n">
        <v>690</v>
      </c>
      <c r="B906" s="2" t="s">
        <v>15457</v>
      </c>
      <c r="C906" s="2" t="s">
        <v>24120</v>
      </c>
      <c r="D906" s="2" t="n">
        <v>786.506830797</v>
      </c>
      <c r="E906" s="2" t="n">
        <v>3.94360705842723</v>
      </c>
      <c r="F906" s="2" t="s">
        <v>24122</v>
      </c>
      <c r="G906" s="2" t="n">
        <v>20398</v>
      </c>
      <c r="H906" s="3" t="str">
        <f>HYPERLINK("http://funmeta.oebiotech.com/network/20398", "http://funmeta.oebiotech.com/network/20398")</f>
      </c>
      <c r="I906" s="2" t="s">
        <v>24124</v>
      </c>
      <c r="J906" s="2" t="s">
        <v>24125</v>
      </c>
      <c r="K906" s="2" t="s">
        <v>24126</v>
      </c>
      <c r="L906" s="2" t="s">
        <v>9434</v>
      </c>
      <c r="M906" s="2"/>
      <c r="N906" s="2" t="s">
        <v>24127</v>
      </c>
      <c r="O906" s="2"/>
      <c r="P906" s="2" t="s">
        <v>24128</v>
      </c>
      <c r="Q906" s="2" t="s">
        <v>24129</v>
      </c>
      <c r="R906" s="2" t="s">
        <v>794</v>
      </c>
      <c r="S906" s="2" t="s">
        <v>7122</v>
      </c>
      <c r="T906" s="2" t="s">
        <v>8042</v>
      </c>
      <c r="U906" s="2" t="s">
        <v>24121</v>
      </c>
      <c r="V906" s="2" t="s">
        <v>17137</v>
      </c>
      <c r="W906" s="2" t="s">
        <v>56</v>
      </c>
    </row>
    <row r="907">
      <c r="A907" s="2" t="n">
        <v>691</v>
      </c>
      <c r="B907" s="2" t="s">
        <v>15458</v>
      </c>
      <c r="C907" s="2" t="s">
        <v>24130</v>
      </c>
      <c r="D907" s="2" t="n">
        <v>787.496681146</v>
      </c>
      <c r="E907" s="2" t="n">
        <v>9.35749485865647</v>
      </c>
      <c r="F907" s="2" t="s">
        <v>24132</v>
      </c>
      <c r="G907" s="2" t="n">
        <v>55263</v>
      </c>
      <c r="H907" s="3" t="str">
        <f>HYPERLINK("http://funmeta.oebiotech.com/network/55263", "http://funmeta.oebiotech.com/network/55263")</f>
      </c>
      <c r="I907" s="2" t="s">
        <v>24134</v>
      </c>
      <c r="J907" s="2"/>
      <c r="K907" s="2"/>
      <c r="L907" s="2"/>
      <c r="M907" s="2" t="s">
        <v>24135</v>
      </c>
      <c r="N907" s="2" t="s">
        <v>24136</v>
      </c>
      <c r="O907" s="2" t="s">
        <v>24137</v>
      </c>
      <c r="P907" s="2" t="s">
        <v>24138</v>
      </c>
      <c r="Q907" s="2" t="s">
        <v>24139</v>
      </c>
      <c r="R907" s="2" t="s">
        <v>794</v>
      </c>
      <c r="S907" s="2" t="s">
        <v>1098</v>
      </c>
      <c r="T907" s="2" t="s">
        <v>7878</v>
      </c>
      <c r="U907" s="2" t="s">
        <v>24131</v>
      </c>
      <c r="V907" s="2" t="s">
        <v>17198</v>
      </c>
      <c r="W907" s="2"/>
    </row>
    <row r="908">
      <c r="A908" s="2" t="n">
        <v>692</v>
      </c>
      <c r="B908" s="2" t="s">
        <v>15459</v>
      </c>
      <c r="C908" s="2" t="s">
        <v>24140</v>
      </c>
      <c r="D908" s="2" t="n">
        <v>788.616381245</v>
      </c>
      <c r="E908" s="2" t="n">
        <v>1.23427312997238</v>
      </c>
      <c r="F908" s="2" t="s">
        <v>24142</v>
      </c>
      <c r="G908" s="2" t="n">
        <v>49958</v>
      </c>
      <c r="H908" s="3" t="str">
        <f>HYPERLINK("http://funmeta.oebiotech.com/network/49958", "http://funmeta.oebiotech.com/network/49958")</f>
      </c>
      <c r="I908" s="2" t="s">
        <v>24144</v>
      </c>
      <c r="J908" s="2" t="s">
        <v>24145</v>
      </c>
      <c r="K908" s="2"/>
      <c r="L908" s="2" t="s">
        <v>9434</v>
      </c>
      <c r="M908" s="2"/>
      <c r="N908" s="2" t="s">
        <v>24146</v>
      </c>
      <c r="O908" s="2"/>
      <c r="P908" s="2" t="s">
        <v>24147</v>
      </c>
      <c r="Q908" s="2" t="s">
        <v>24148</v>
      </c>
      <c r="R908" s="2" t="s">
        <v>794</v>
      </c>
      <c r="S908" s="2" t="s">
        <v>7122</v>
      </c>
      <c r="T908" s="2" t="s">
        <v>8042</v>
      </c>
      <c r="U908" s="2" t="s">
        <v>24141</v>
      </c>
      <c r="V908" s="2" t="s">
        <v>17137</v>
      </c>
      <c r="W908" s="2" t="s">
        <v>56</v>
      </c>
    </row>
    <row r="909">
      <c r="A909" s="2" t="n">
        <v>693</v>
      </c>
      <c r="B909" s="2" t="s">
        <v>15460</v>
      </c>
      <c r="C909" s="2" t="s">
        <v>24149</v>
      </c>
      <c r="D909" s="2" t="n">
        <v>789.539132006</v>
      </c>
      <c r="E909" s="2" t="n">
        <v>0.225027870800157</v>
      </c>
      <c r="F909" s="2" t="s">
        <v>24151</v>
      </c>
      <c r="G909" s="2" t="n">
        <v>213475</v>
      </c>
      <c r="H909" s="3" t="str">
        <f>HYPERLINK("http://funmeta.oebiotech.com/network/213475", "http://funmeta.oebiotech.com/network/213475")</f>
      </c>
      <c r="I909" s="2" t="s">
        <v>24153</v>
      </c>
      <c r="J909" s="2"/>
      <c r="K909" s="2"/>
      <c r="L909" s="2"/>
      <c r="M909" s="2"/>
      <c r="N909" s="2"/>
      <c r="O909" s="2"/>
      <c r="P909" s="2" t="s">
        <v>24154</v>
      </c>
      <c r="Q909" s="2" t="s">
        <v>24155</v>
      </c>
      <c r="R909" s="2" t="s">
        <v>114</v>
      </c>
      <c r="S909" s="2" t="s">
        <v>936</v>
      </c>
      <c r="T909" s="2" t="s">
        <v>215</v>
      </c>
      <c r="U909" s="2" t="s">
        <v>24150</v>
      </c>
      <c r="V909" s="2" t="s">
        <v>17039</v>
      </c>
      <c r="W909" s="2"/>
    </row>
    <row r="910">
      <c r="A910" s="2" t="n">
        <v>694</v>
      </c>
      <c r="B910" s="2" t="s">
        <v>15461</v>
      </c>
      <c r="C910" s="2" t="s">
        <v>24156</v>
      </c>
      <c r="D910" s="2" t="n">
        <v>789.623895664</v>
      </c>
      <c r="E910" s="2" t="n">
        <v>2.90766808472324</v>
      </c>
      <c r="F910" s="2" t="s">
        <v>24158</v>
      </c>
      <c r="G910" s="2" t="n">
        <v>255996</v>
      </c>
      <c r="H910" s="3" t="str">
        <f>HYPERLINK("http://funmeta.oebiotech.com/network/255996", "http://funmeta.oebiotech.com/network/255996")</f>
      </c>
      <c r="I910" s="2" t="s">
        <v>24160</v>
      </c>
      <c r="J910" s="2"/>
      <c r="K910" s="2"/>
      <c r="L910" s="2"/>
      <c r="M910" s="2"/>
      <c r="N910" s="2" t="s">
        <v>24161</v>
      </c>
      <c r="O910" s="2"/>
      <c r="P910" s="2" t="s">
        <v>24162</v>
      </c>
      <c r="Q910" s="2" t="s">
        <v>24163</v>
      </c>
      <c r="R910" s="2" t="s">
        <v>794</v>
      </c>
      <c r="S910" s="2" t="s">
        <v>795</v>
      </c>
      <c r="T910" s="2" t="s">
        <v>3273</v>
      </c>
      <c r="U910" s="2" t="s">
        <v>24157</v>
      </c>
      <c r="V910" s="2" t="s">
        <v>18382</v>
      </c>
      <c r="W910" s="2"/>
    </row>
    <row r="911">
      <c r="A911" s="2" t="n">
        <v>695</v>
      </c>
      <c r="B911" s="2" t="s">
        <v>15462</v>
      </c>
      <c r="C911" s="2" t="s">
        <v>24164</v>
      </c>
      <c r="D911" s="2" t="n">
        <v>791.530389203</v>
      </c>
      <c r="E911" s="2" t="n">
        <v>0.253081790462583</v>
      </c>
      <c r="F911" s="2" t="s">
        <v>24166</v>
      </c>
      <c r="G911" s="2" t="n">
        <v>209858</v>
      </c>
      <c r="H911" s="3" t="str">
        <f>HYPERLINK("http://funmeta.oebiotech.com/network/209858", "http://funmeta.oebiotech.com/network/209858")</f>
      </c>
      <c r="I911" s="2" t="s">
        <v>24168</v>
      </c>
      <c r="J911" s="2"/>
      <c r="K911" s="2"/>
      <c r="L911" s="2"/>
      <c r="M911" s="2"/>
      <c r="N911" s="2" t="s">
        <v>24169</v>
      </c>
      <c r="O911" s="2"/>
      <c r="P911" s="2" t="s">
        <v>24170</v>
      </c>
      <c r="Q911" s="2" t="s">
        <v>24171</v>
      </c>
      <c r="R911" s="2" t="s">
        <v>1355</v>
      </c>
      <c r="S911" s="2" t="s">
        <v>6478</v>
      </c>
      <c r="T911" s="2" t="s">
        <v>215</v>
      </c>
      <c r="U911" s="2" t="s">
        <v>24165</v>
      </c>
      <c r="V911" s="2" t="s">
        <v>17137</v>
      </c>
      <c r="W911" s="2"/>
    </row>
    <row r="912">
      <c r="A912" s="2" t="n">
        <v>696</v>
      </c>
      <c r="B912" s="2" t="s">
        <v>15474</v>
      </c>
      <c r="C912" s="2" t="s">
        <v>24172</v>
      </c>
      <c r="D912" s="2" t="n">
        <v>792.497800723</v>
      </c>
      <c r="E912" s="2" t="n">
        <v>2.43980855411425</v>
      </c>
      <c r="F912" s="2" t="s">
        <v>24174</v>
      </c>
      <c r="G912" s="2" t="n">
        <v>256269</v>
      </c>
      <c r="H912" s="3" t="str">
        <f>HYPERLINK("http://funmeta.oebiotech.com/network/256269", "http://funmeta.oebiotech.com/network/256269")</f>
      </c>
      <c r="I912" s="2" t="s">
        <v>24176</v>
      </c>
      <c r="J912" s="2"/>
      <c r="K912" s="2"/>
      <c r="L912" s="2"/>
      <c r="M912" s="2"/>
      <c r="N912" s="2" t="s">
        <v>24177</v>
      </c>
      <c r="O912" s="2"/>
      <c r="P912" s="2" t="s">
        <v>24178</v>
      </c>
      <c r="Q912" s="2" t="s">
        <v>24179</v>
      </c>
      <c r="R912" s="2" t="s">
        <v>36</v>
      </c>
      <c r="S912" s="2" t="s">
        <v>7927</v>
      </c>
      <c r="T912" s="2" t="s">
        <v>8926</v>
      </c>
      <c r="U912" s="2" t="s">
        <v>24173</v>
      </c>
      <c r="V912" s="2" t="s">
        <v>17137</v>
      </c>
      <c r="W912" s="2"/>
    </row>
    <row r="913">
      <c r="A913" s="2" t="n">
        <v>697</v>
      </c>
      <c r="B913" s="2" t="s">
        <v>15495</v>
      </c>
      <c r="C913" s="2" t="s">
        <v>24180</v>
      </c>
      <c r="D913" s="2" t="n">
        <v>793.501411068</v>
      </c>
      <c r="E913" s="2" t="n">
        <v>0.548566594806267</v>
      </c>
      <c r="F913" s="2" t="s">
        <v>24182</v>
      </c>
      <c r="G913" s="2" t="n">
        <v>23376</v>
      </c>
      <c r="H913" s="3" t="str">
        <f>HYPERLINK("http://funmeta.oebiotech.com/network/23376", "http://funmeta.oebiotech.com/network/23376")</f>
      </c>
      <c r="I913" s="2" t="s">
        <v>24184</v>
      </c>
      <c r="J913" s="2" t="s">
        <v>24185</v>
      </c>
      <c r="K913" s="2" t="s">
        <v>24186</v>
      </c>
      <c r="L913" s="2"/>
      <c r="M913" s="2"/>
      <c r="N913" s="2" t="s">
        <v>24187</v>
      </c>
      <c r="O913" s="2"/>
      <c r="P913" s="2" t="s">
        <v>24188</v>
      </c>
      <c r="Q913" s="2" t="s">
        <v>24189</v>
      </c>
      <c r="R913" s="2" t="s">
        <v>794</v>
      </c>
      <c r="S913" s="2" t="s">
        <v>7122</v>
      </c>
      <c r="T913" s="2" t="s">
        <v>9951</v>
      </c>
      <c r="U913" s="2" t="s">
        <v>24181</v>
      </c>
      <c r="V913" s="2" t="s">
        <v>17137</v>
      </c>
      <c r="W913" s="2"/>
    </row>
    <row r="914">
      <c r="A914" s="2" t="n">
        <v>698</v>
      </c>
      <c r="B914" s="2" t="s">
        <v>15496</v>
      </c>
      <c r="C914" s="2" t="s">
        <v>24190</v>
      </c>
      <c r="D914" s="2" t="n">
        <v>794.512504861</v>
      </c>
      <c r="E914" s="2" t="n">
        <v>2.42690618852075</v>
      </c>
      <c r="F914" s="2" t="s">
        <v>24192</v>
      </c>
      <c r="G914" s="2" t="n">
        <v>20650</v>
      </c>
      <c r="H914" s="3" t="str">
        <f>HYPERLINK("http://funmeta.oebiotech.com/network/20650", "http://funmeta.oebiotech.com/network/20650")</f>
      </c>
      <c r="I914" s="2" t="s">
        <v>24194</v>
      </c>
      <c r="J914" s="2" t="s">
        <v>24195</v>
      </c>
      <c r="K914" s="2" t="s">
        <v>24196</v>
      </c>
      <c r="L914" s="2" t="s">
        <v>9434</v>
      </c>
      <c r="M914" s="2"/>
      <c r="N914" s="2" t="s">
        <v>24197</v>
      </c>
      <c r="O914" s="2"/>
      <c r="P914" s="2" t="s">
        <v>24198</v>
      </c>
      <c r="Q914" s="2" t="s">
        <v>24199</v>
      </c>
      <c r="R914" s="2" t="s">
        <v>794</v>
      </c>
      <c r="S914" s="2" t="s">
        <v>7122</v>
      </c>
      <c r="T914" s="2" t="s">
        <v>8042</v>
      </c>
      <c r="U914" s="2" t="s">
        <v>24191</v>
      </c>
      <c r="V914" s="2" t="s">
        <v>17039</v>
      </c>
      <c r="W914" s="2" t="s">
        <v>101</v>
      </c>
    </row>
    <row r="915">
      <c r="A915" s="2" t="n">
        <v>699</v>
      </c>
      <c r="B915" s="2" t="s">
        <v>15497</v>
      </c>
      <c r="C915" s="2" t="s">
        <v>24200</v>
      </c>
      <c r="D915" s="2" t="n">
        <v>795.514653196</v>
      </c>
      <c r="E915" s="2" t="n">
        <v>3.36257525947682</v>
      </c>
      <c r="F915" s="2" t="s">
        <v>24202</v>
      </c>
      <c r="G915" s="2" t="n">
        <v>51087</v>
      </c>
      <c r="H915" s="3" t="str">
        <f>HYPERLINK("http://funmeta.oebiotech.com/network/51087", "http://funmeta.oebiotech.com/network/51087")</f>
      </c>
      <c r="I915" s="2" t="s">
        <v>24204</v>
      </c>
      <c r="J915" s="2" t="s">
        <v>24205</v>
      </c>
      <c r="K915" s="2"/>
      <c r="L915" s="2"/>
      <c r="M915" s="2" t="s">
        <v>24206</v>
      </c>
      <c r="N915" s="2" t="s">
        <v>24207</v>
      </c>
      <c r="O915" s="2"/>
      <c r="P915" s="2" t="s">
        <v>24208</v>
      </c>
      <c r="Q915" s="2" t="s">
        <v>24209</v>
      </c>
      <c r="R915" s="2" t="s">
        <v>794</v>
      </c>
      <c r="S915" s="2" t="s">
        <v>7122</v>
      </c>
      <c r="T915" s="2" t="s">
        <v>9951</v>
      </c>
      <c r="U915" s="2" t="s">
        <v>24201</v>
      </c>
      <c r="V915" s="2" t="s">
        <v>17198</v>
      </c>
      <c r="W915" s="2"/>
    </row>
    <row r="916">
      <c r="A916" s="2" t="n">
        <v>700</v>
      </c>
      <c r="B916" s="2" t="s">
        <v>15498</v>
      </c>
      <c r="C916" s="2" t="s">
        <v>24210</v>
      </c>
      <c r="D916" s="2" t="n">
        <v>796.525158303</v>
      </c>
      <c r="E916" s="2" t="n">
        <v>8.7867870534751</v>
      </c>
      <c r="F916" s="2" t="s">
        <v>24212</v>
      </c>
      <c r="G916" s="2" t="n">
        <v>50363</v>
      </c>
      <c r="H916" s="3" t="str">
        <f>HYPERLINK("http://funmeta.oebiotech.com/network/50363", "http://funmeta.oebiotech.com/network/50363")</f>
      </c>
      <c r="I916" s="2" t="s">
        <v>24214</v>
      </c>
      <c r="J916" s="2" t="s">
        <v>24215</v>
      </c>
      <c r="K916" s="2"/>
      <c r="L916" s="2" t="s">
        <v>9434</v>
      </c>
      <c r="M916" s="2"/>
      <c r="N916" s="2" t="s">
        <v>24216</v>
      </c>
      <c r="O916" s="2"/>
      <c r="P916" s="2" t="s">
        <v>24217</v>
      </c>
      <c r="Q916" s="2" t="s">
        <v>24218</v>
      </c>
      <c r="R916" s="2" t="s">
        <v>794</v>
      </c>
      <c r="S916" s="2" t="s">
        <v>7122</v>
      </c>
      <c r="T916" s="2" t="s">
        <v>8042</v>
      </c>
      <c r="U916" s="2" t="s">
        <v>24211</v>
      </c>
      <c r="V916" s="2" t="s">
        <v>17198</v>
      </c>
      <c r="W916" s="2" t="s">
        <v>56</v>
      </c>
    </row>
    <row r="917">
      <c r="A917" s="2" t="n">
        <v>701</v>
      </c>
      <c r="B917" s="2" t="s">
        <v>15499</v>
      </c>
      <c r="C917" s="2" t="s">
        <v>24219</v>
      </c>
      <c r="D917" s="2" t="n">
        <v>801.043368204</v>
      </c>
      <c r="E917" s="2" t="n">
        <v>1.81769601708094</v>
      </c>
      <c r="F917" s="2" t="s">
        <v>24221</v>
      </c>
      <c r="G917" s="2" t="n">
        <v>52930</v>
      </c>
      <c r="H917" s="3" t="str">
        <f>HYPERLINK("http://funmeta.oebiotech.com/network/52930", "http://funmeta.oebiotech.com/network/52930")</f>
      </c>
      <c r="I917" s="2" t="s">
        <v>24223</v>
      </c>
      <c r="J917" s="2" t="s">
        <v>24224</v>
      </c>
      <c r="K917" s="2"/>
      <c r="L917" s="2" t="s">
        <v>24225</v>
      </c>
      <c r="M917" s="2" t="s">
        <v>24226</v>
      </c>
      <c r="N917" s="2" t="s">
        <v>1874</v>
      </c>
      <c r="O917" s="2" t="s">
        <v>24227</v>
      </c>
      <c r="P917" s="2" t="s">
        <v>24228</v>
      </c>
      <c r="Q917" s="2" t="s">
        <v>24229</v>
      </c>
      <c r="R917" s="2" t="s">
        <v>114</v>
      </c>
      <c r="S917" s="2" t="s">
        <v>24230</v>
      </c>
      <c r="T917" s="2" t="s">
        <v>24231</v>
      </c>
      <c r="U917" s="2" t="s">
        <v>24220</v>
      </c>
      <c r="V917" s="2" t="s">
        <v>17892</v>
      </c>
      <c r="W917" s="2" t="s">
        <v>101</v>
      </c>
    </row>
    <row r="918">
      <c r="A918" s="2" t="n">
        <v>702</v>
      </c>
      <c r="B918" s="2" t="s">
        <v>15500</v>
      </c>
      <c r="C918" s="2" t="s">
        <v>24232</v>
      </c>
      <c r="D918" s="2" t="n">
        <v>802.478362861</v>
      </c>
      <c r="E918" s="2" t="n">
        <v>4.96753214973207</v>
      </c>
      <c r="F918" s="2" t="s">
        <v>24234</v>
      </c>
      <c r="G918" s="2" t="n">
        <v>19955</v>
      </c>
      <c r="H918" s="3" t="str">
        <f>HYPERLINK("http://funmeta.oebiotech.com/network/19955", "http://funmeta.oebiotech.com/network/19955")</f>
      </c>
      <c r="I918" s="2" t="s">
        <v>24236</v>
      </c>
      <c r="J918" s="2" t="s">
        <v>24237</v>
      </c>
      <c r="K918" s="2" t="s">
        <v>24238</v>
      </c>
      <c r="L918" s="2"/>
      <c r="M918" s="2" t="s">
        <v>24239</v>
      </c>
      <c r="N918" s="2" t="s">
        <v>24240</v>
      </c>
      <c r="O918" s="2"/>
      <c r="P918" s="2" t="s">
        <v>24241</v>
      </c>
      <c r="Q918" s="2" t="s">
        <v>24242</v>
      </c>
      <c r="R918" s="2" t="s">
        <v>794</v>
      </c>
      <c r="S918" s="2" t="s">
        <v>7122</v>
      </c>
      <c r="T918" s="2" t="s">
        <v>8042</v>
      </c>
      <c r="U918" s="2" t="s">
        <v>24233</v>
      </c>
      <c r="V918" s="2" t="s">
        <v>17406</v>
      </c>
      <c r="W918" s="2" t="s">
        <v>39</v>
      </c>
    </row>
    <row r="919">
      <c r="A919" s="2" t="n">
        <v>703</v>
      </c>
      <c r="B919" s="2" t="s">
        <v>15510</v>
      </c>
      <c r="C919" s="2" t="s">
        <v>24243</v>
      </c>
      <c r="D919" s="2" t="n">
        <v>803.054243912</v>
      </c>
      <c r="E919" s="2" t="n">
        <v>0.671888580741676</v>
      </c>
      <c r="F919" s="2" t="s">
        <v>24245</v>
      </c>
      <c r="G919" s="2" t="n">
        <v>202683</v>
      </c>
      <c r="H919" s="3" t="str">
        <f>HYPERLINK("http://funmeta.oebiotech.com/network/202683", "http://funmeta.oebiotech.com/network/202683")</f>
      </c>
      <c r="I919" s="2" t="s">
        <v>24247</v>
      </c>
      <c r="J919" s="2"/>
      <c r="K919" s="2"/>
      <c r="L919" s="2"/>
      <c r="M919" s="2"/>
      <c r="N919" s="2" t="s">
        <v>24248</v>
      </c>
      <c r="O919" s="2"/>
      <c r="P919" s="2" t="s">
        <v>24249</v>
      </c>
      <c r="Q919" s="2" t="s">
        <v>24250</v>
      </c>
      <c r="R919" s="2" t="s">
        <v>2416</v>
      </c>
      <c r="S919" s="2" t="s">
        <v>7795</v>
      </c>
      <c r="T919" s="2" t="s">
        <v>11540</v>
      </c>
      <c r="U919" s="2" t="s">
        <v>24244</v>
      </c>
      <c r="V919" s="2" t="s">
        <v>17892</v>
      </c>
      <c r="W919" s="2"/>
    </row>
    <row r="920">
      <c r="A920" s="2" t="n">
        <v>704</v>
      </c>
      <c r="B920" s="2" t="s">
        <v>15511</v>
      </c>
      <c r="C920" s="2" t="s">
        <v>24251</v>
      </c>
      <c r="D920" s="2" t="n">
        <v>803.483392503</v>
      </c>
      <c r="E920" s="2" t="n">
        <v>4.09459551283959</v>
      </c>
      <c r="F920" s="2" t="s">
        <v>24253</v>
      </c>
      <c r="G920" s="2" t="n">
        <v>52287</v>
      </c>
      <c r="H920" s="3" t="str">
        <f>HYPERLINK("http://funmeta.oebiotech.com/network/52287", "http://funmeta.oebiotech.com/network/52287")</f>
      </c>
      <c r="I920" s="2" t="s">
        <v>24255</v>
      </c>
      <c r="J920" s="2"/>
      <c r="K920" s="2"/>
      <c r="L920" s="2"/>
      <c r="M920" s="2" t="s">
        <v>24256</v>
      </c>
      <c r="N920" s="2" t="s">
        <v>24257</v>
      </c>
      <c r="O920" s="2"/>
      <c r="P920" s="2" t="s">
        <v>24258</v>
      </c>
      <c r="Q920" s="2" t="s">
        <v>24259</v>
      </c>
      <c r="R920" s="2" t="s">
        <v>794</v>
      </c>
      <c r="S920" s="2" t="s">
        <v>7122</v>
      </c>
      <c r="T920" s="2" t="s">
        <v>10968</v>
      </c>
      <c r="U920" s="2" t="s">
        <v>24252</v>
      </c>
      <c r="V920" s="2" t="s">
        <v>17137</v>
      </c>
      <c r="W920" s="2"/>
    </row>
    <row r="921">
      <c r="A921" s="2" t="n">
        <v>705</v>
      </c>
      <c r="B921" s="2" t="s">
        <v>15512</v>
      </c>
      <c r="C921" s="2" t="s">
        <v>24260</v>
      </c>
      <c r="D921" s="2" t="n">
        <v>805.049490388</v>
      </c>
      <c r="E921" s="2" t="n">
        <v>5.47341293850578</v>
      </c>
      <c r="F921" s="2" t="s">
        <v>24262</v>
      </c>
      <c r="G921" s="2" t="n">
        <v>55252</v>
      </c>
      <c r="H921" s="3" t="str">
        <f>HYPERLINK("http://funmeta.oebiotech.com/network/55252", "http://funmeta.oebiotech.com/network/55252")</f>
      </c>
      <c r="I921" s="2" t="s">
        <v>24264</v>
      </c>
      <c r="J921" s="2" t="s">
        <v>24265</v>
      </c>
      <c r="K921" s="2"/>
      <c r="L921" s="2"/>
      <c r="M921" s="2"/>
      <c r="N921" s="2" t="s">
        <v>24266</v>
      </c>
      <c r="O921" s="2" t="s">
        <v>24267</v>
      </c>
      <c r="P921" s="2" t="s">
        <v>24268</v>
      </c>
      <c r="Q921" s="2" t="s">
        <v>24269</v>
      </c>
      <c r="R921" s="2" t="s">
        <v>1355</v>
      </c>
      <c r="S921" s="2" t="s">
        <v>9660</v>
      </c>
      <c r="T921" s="2" t="s">
        <v>24270</v>
      </c>
      <c r="U921" s="2" t="s">
        <v>24261</v>
      </c>
      <c r="V921" s="2" t="s">
        <v>17198</v>
      </c>
      <c r="W921" s="2" t="s">
        <v>56</v>
      </c>
    </row>
    <row r="922">
      <c r="A922" s="2" t="n">
        <v>706</v>
      </c>
      <c r="B922" s="2" t="s">
        <v>15531</v>
      </c>
      <c r="C922" s="2" t="s">
        <v>24271</v>
      </c>
      <c r="D922" s="2" t="n">
        <v>807.065140452</v>
      </c>
      <c r="E922" s="2" t="n">
        <v>0.288635935869116</v>
      </c>
      <c r="F922" s="2" t="s">
        <v>27994</v>
      </c>
      <c r="G922" s="2" t="n">
        <v>210072</v>
      </c>
      <c r="H922" s="3" t="str">
        <f>HYPERLINK("http://funmeta.oebiotech.com/network/210072", "http://funmeta.oebiotech.com/network/210072")</f>
      </c>
      <c r="I922" s="2" t="s">
        <v>27995</v>
      </c>
      <c r="J922" s="2"/>
      <c r="K922" s="2"/>
      <c r="L922" s="2"/>
      <c r="M922" s="2"/>
      <c r="N922" s="2" t="s">
        <v>27996</v>
      </c>
      <c r="O922" s="2"/>
      <c r="P922" s="2" t="s">
        <v>27997</v>
      </c>
      <c r="Q922" s="2" t="s">
        <v>27998</v>
      </c>
      <c r="R922" s="2" t="s">
        <v>1355</v>
      </c>
      <c r="S922" s="2" t="s">
        <v>9660</v>
      </c>
      <c r="T922" s="2" t="s">
        <v>24270</v>
      </c>
      <c r="U922" s="2" t="s">
        <v>24272</v>
      </c>
      <c r="V922" s="2" t="s">
        <v>17198</v>
      </c>
      <c r="W922" s="2"/>
    </row>
    <row r="923">
      <c r="A923" s="2" t="n">
        <v>706</v>
      </c>
      <c r="B923" s="2" t="s">
        <v>27999</v>
      </c>
      <c r="C923" s="2" t="s">
        <v>24271</v>
      </c>
      <c r="D923" s="2" t="n">
        <v>807.065140452</v>
      </c>
      <c r="E923" s="2" t="n">
        <v>0.288635935869116</v>
      </c>
      <c r="F923" s="2" t="s">
        <v>28000</v>
      </c>
      <c r="G923" s="2" t="n">
        <v>62532</v>
      </c>
      <c r="H923" s="3" t="str">
        <f>HYPERLINK("http://funmeta.oebiotech.com/network/62532", "http://funmeta.oebiotech.com/network/62532")</f>
      </c>
      <c r="I923" s="2" t="s">
        <v>28001</v>
      </c>
      <c r="J923" s="2"/>
      <c r="K923" s="2"/>
      <c r="L923" s="2"/>
      <c r="M923" s="2"/>
      <c r="N923" s="2" t="s">
        <v>28002</v>
      </c>
      <c r="O923" s="2" t="s">
        <v>28003</v>
      </c>
      <c r="P923" s="2" t="s">
        <v>28004</v>
      </c>
      <c r="Q923" s="2" t="s">
        <v>28005</v>
      </c>
      <c r="R923" s="2" t="s">
        <v>1355</v>
      </c>
      <c r="S923" s="2" t="s">
        <v>9660</v>
      </c>
      <c r="T923" s="2" t="s">
        <v>24270</v>
      </c>
      <c r="U923" s="2" t="s">
        <v>24272</v>
      </c>
      <c r="V923" s="2" t="s">
        <v>17198</v>
      </c>
      <c r="W923" s="2"/>
    </row>
    <row r="924">
      <c r="A924" s="2" t="n">
        <v>706</v>
      </c>
      <c r="B924" s="2" t="s">
        <v>28006</v>
      </c>
      <c r="C924" s="2" t="s">
        <v>24271</v>
      </c>
      <c r="D924" s="2" t="n">
        <v>807.065140452</v>
      </c>
      <c r="E924" s="2" t="n">
        <v>0.288635935869116</v>
      </c>
      <c r="F924" s="2" t="s">
        <v>28007</v>
      </c>
      <c r="G924" s="2" t="n">
        <v>62558</v>
      </c>
      <c r="H924" s="3" t="str">
        <f>HYPERLINK("http://funmeta.oebiotech.com/network/62558", "http://funmeta.oebiotech.com/network/62558")</f>
      </c>
      <c r="I924" s="2" t="s">
        <v>28008</v>
      </c>
      <c r="J924" s="2" t="s">
        <v>28009</v>
      </c>
      <c r="K924" s="2"/>
      <c r="L924" s="2"/>
      <c r="M924" s="2"/>
      <c r="N924" s="2" t="s">
        <v>28010</v>
      </c>
      <c r="O924" s="2" t="s">
        <v>28011</v>
      </c>
      <c r="P924" s="2" t="s">
        <v>28012</v>
      </c>
      <c r="Q924" s="2" t="s">
        <v>28013</v>
      </c>
      <c r="R924" s="2" t="s">
        <v>1355</v>
      </c>
      <c r="S924" s="2" t="s">
        <v>9660</v>
      </c>
      <c r="T924" s="2" t="s">
        <v>24270</v>
      </c>
      <c r="U924" s="2" t="s">
        <v>24272</v>
      </c>
      <c r="V924" s="2" t="s">
        <v>17198</v>
      </c>
      <c r="W924" s="2"/>
    </row>
    <row r="925">
      <c r="A925" s="2" t="n">
        <v>707</v>
      </c>
      <c r="B925" s="2" t="s">
        <v>15532</v>
      </c>
      <c r="C925" s="2" t="s">
        <v>24283</v>
      </c>
      <c r="D925" s="2" t="n">
        <v>809.593333527</v>
      </c>
      <c r="E925" s="2" t="n">
        <v>1.47539874793102</v>
      </c>
      <c r="F925" s="2" t="s">
        <v>24285</v>
      </c>
      <c r="G925" s="2" t="n">
        <v>197286</v>
      </c>
      <c r="H925" s="3" t="str">
        <f>HYPERLINK("http://funmeta.oebiotech.com/network/197286", "http://funmeta.oebiotech.com/network/197286")</f>
      </c>
      <c r="I925" s="2" t="s">
        <v>24287</v>
      </c>
      <c r="J925" s="2"/>
      <c r="K925" s="2"/>
      <c r="L925" s="2"/>
      <c r="M925" s="2"/>
      <c r="N925" s="2"/>
      <c r="O925" s="2"/>
      <c r="P925" s="2" t="s">
        <v>24288</v>
      </c>
      <c r="Q925" s="2" t="s">
        <v>24289</v>
      </c>
      <c r="R925" s="2" t="s">
        <v>601</v>
      </c>
      <c r="S925" s="2" t="s">
        <v>602</v>
      </c>
      <c r="T925" s="2" t="s">
        <v>8583</v>
      </c>
      <c r="U925" s="2" t="s">
        <v>24284</v>
      </c>
      <c r="V925" s="2" t="s">
        <v>17406</v>
      </c>
      <c r="W925" s="2"/>
    </row>
    <row r="926">
      <c r="A926" s="2" t="n">
        <v>708</v>
      </c>
      <c r="B926" s="2" t="s">
        <v>15549</v>
      </c>
      <c r="C926" s="2" t="s">
        <v>24290</v>
      </c>
      <c r="D926" s="2" t="n">
        <v>810.403663777</v>
      </c>
      <c r="E926" s="2" t="n">
        <v>4.81753761014179</v>
      </c>
      <c r="F926" s="2" t="s">
        <v>24292</v>
      </c>
      <c r="G926" s="2" t="n">
        <v>208254</v>
      </c>
      <c r="H926" s="3" t="str">
        <f>HYPERLINK("http://funmeta.oebiotech.com/network/208254", "http://funmeta.oebiotech.com/network/208254")</f>
      </c>
      <c r="I926" s="2" t="s">
        <v>24294</v>
      </c>
      <c r="J926" s="2"/>
      <c r="K926" s="2"/>
      <c r="L926" s="2"/>
      <c r="M926" s="2"/>
      <c r="N926" s="2" t="s">
        <v>24295</v>
      </c>
      <c r="O926" s="2"/>
      <c r="P926" s="2" t="s">
        <v>24296</v>
      </c>
      <c r="Q926" s="2" t="s">
        <v>24297</v>
      </c>
      <c r="R926" s="2" t="s">
        <v>129</v>
      </c>
      <c r="S926" s="2" t="s">
        <v>130</v>
      </c>
      <c r="T926" s="2" t="s">
        <v>1681</v>
      </c>
      <c r="U926" s="2" t="s">
        <v>24291</v>
      </c>
      <c r="V926" s="2" t="s">
        <v>17406</v>
      </c>
      <c r="W926" s="2"/>
    </row>
    <row r="927">
      <c r="A927" s="2" t="n">
        <v>709</v>
      </c>
      <c r="B927" s="2" t="s">
        <v>15573</v>
      </c>
      <c r="C927" s="2" t="s">
        <v>24298</v>
      </c>
      <c r="D927" s="2" t="n">
        <v>811.608983592</v>
      </c>
      <c r="E927" s="2" t="n">
        <v>2.24526200415974</v>
      </c>
      <c r="F927" s="2" t="s">
        <v>28014</v>
      </c>
      <c r="G927" s="2" t="n">
        <v>39644</v>
      </c>
      <c r="H927" s="3" t="str">
        <f>HYPERLINK("http://funmeta.oebiotech.com/network/39644", "http://funmeta.oebiotech.com/network/39644")</f>
      </c>
      <c r="I927" s="2" t="s">
        <v>28015</v>
      </c>
      <c r="J927" s="2" t="s">
        <v>28016</v>
      </c>
      <c r="K927" s="2" t="s">
        <v>28017</v>
      </c>
      <c r="L927" s="2"/>
      <c r="M927" s="2" t="s">
        <v>28018</v>
      </c>
      <c r="N927" s="2" t="s">
        <v>28019</v>
      </c>
      <c r="O927" s="2" t="s">
        <v>28020</v>
      </c>
      <c r="P927" s="2" t="s">
        <v>28021</v>
      </c>
      <c r="Q927" s="2" t="s">
        <v>28022</v>
      </c>
      <c r="R927" s="2" t="s">
        <v>601</v>
      </c>
      <c r="S927" s="2" t="s">
        <v>602</v>
      </c>
      <c r="T927" s="2" t="s">
        <v>8583</v>
      </c>
      <c r="U927" s="2" t="s">
        <v>24299</v>
      </c>
      <c r="V927" s="2" t="s">
        <v>17406</v>
      </c>
      <c r="W927" s="2"/>
    </row>
    <row r="928">
      <c r="A928" s="2" t="n">
        <v>709</v>
      </c>
      <c r="B928" s="2" t="s">
        <v>28023</v>
      </c>
      <c r="C928" s="2" t="s">
        <v>24298</v>
      </c>
      <c r="D928" s="2" t="n">
        <v>811.608983592</v>
      </c>
      <c r="E928" s="2" t="n">
        <v>2.24526200415974</v>
      </c>
      <c r="F928" s="2" t="s">
        <v>28024</v>
      </c>
      <c r="G928" s="2" t="n">
        <v>39645</v>
      </c>
      <c r="H928" s="3" t="str">
        <f>HYPERLINK("http://funmeta.oebiotech.com/network/39645", "http://funmeta.oebiotech.com/network/39645")</f>
      </c>
      <c r="I928" s="2" t="s">
        <v>28025</v>
      </c>
      <c r="J928" s="2" t="s">
        <v>28026</v>
      </c>
      <c r="K928" s="2" t="s">
        <v>28027</v>
      </c>
      <c r="L928" s="2"/>
      <c r="M928" s="2" t="s">
        <v>28028</v>
      </c>
      <c r="N928" s="2" t="s">
        <v>28029</v>
      </c>
      <c r="O928" s="2" t="s">
        <v>28030</v>
      </c>
      <c r="P928" s="2" t="s">
        <v>28031</v>
      </c>
      <c r="Q928" s="2" t="s">
        <v>28032</v>
      </c>
      <c r="R928" s="2" t="s">
        <v>794</v>
      </c>
      <c r="S928" s="2" t="s">
        <v>7781</v>
      </c>
      <c r="T928" s="2" t="s">
        <v>7782</v>
      </c>
      <c r="U928" s="2" t="s">
        <v>24299</v>
      </c>
      <c r="V928" s="2" t="s">
        <v>17406</v>
      </c>
      <c r="W928" s="2"/>
    </row>
    <row r="929">
      <c r="A929" s="2" t="n">
        <v>710</v>
      </c>
      <c r="B929" s="2" t="s">
        <v>15574</v>
      </c>
      <c r="C929" s="2" t="s">
        <v>24313</v>
      </c>
      <c r="D929" s="2" t="n">
        <v>813.044400974</v>
      </c>
      <c r="E929" s="2" t="n">
        <v>1.56464767225905</v>
      </c>
      <c r="F929" s="2" t="s">
        <v>24315</v>
      </c>
      <c r="G929" s="2" t="n">
        <v>211316</v>
      </c>
      <c r="H929" s="3" t="str">
        <f>HYPERLINK("http://funmeta.oebiotech.com/network/211316", "http://funmeta.oebiotech.com/network/211316")</f>
      </c>
      <c r="I929" s="2" t="s">
        <v>24317</v>
      </c>
      <c r="J929" s="2"/>
      <c r="K929" s="2"/>
      <c r="L929" s="2"/>
      <c r="M929" s="2"/>
      <c r="N929" s="2" t="s">
        <v>24318</v>
      </c>
      <c r="O929" s="2"/>
      <c r="P929" s="2" t="s">
        <v>24319</v>
      </c>
      <c r="Q929" s="2" t="s">
        <v>24320</v>
      </c>
      <c r="R929" s="2" t="s">
        <v>36</v>
      </c>
      <c r="S929" s="2" t="s">
        <v>37</v>
      </c>
      <c r="T929" s="2" t="s">
        <v>69</v>
      </c>
      <c r="U929" s="2" t="s">
        <v>24314</v>
      </c>
      <c r="V929" s="2" t="s">
        <v>17227</v>
      </c>
      <c r="W929" s="2" t="s">
        <v>39</v>
      </c>
    </row>
    <row r="930">
      <c r="A930" s="2" t="n">
        <v>711</v>
      </c>
      <c r="B930" s="2" t="s">
        <v>15599</v>
      </c>
      <c r="C930" s="2" t="s">
        <v>24321</v>
      </c>
      <c r="D930" s="2" t="n">
        <v>813.534868816</v>
      </c>
      <c r="E930" s="2" t="n">
        <v>0.579186987239172</v>
      </c>
      <c r="F930" s="2" t="s">
        <v>24323</v>
      </c>
      <c r="G930" s="2" t="n">
        <v>256904</v>
      </c>
      <c r="H930" s="3" t="str">
        <f>HYPERLINK("http://funmeta.oebiotech.com/network/256904", "http://funmeta.oebiotech.com/network/256904")</f>
      </c>
      <c r="I930" s="2" t="s">
        <v>24325</v>
      </c>
      <c r="J930" s="2" t="s">
        <v>24326</v>
      </c>
      <c r="K930" s="2"/>
      <c r="L930" s="2" t="s">
        <v>24327</v>
      </c>
      <c r="M930" s="2" t="s">
        <v>24328</v>
      </c>
      <c r="N930" s="2" t="s">
        <v>24329</v>
      </c>
      <c r="O930" s="2"/>
      <c r="P930" s="2" t="s">
        <v>24330</v>
      </c>
      <c r="Q930" s="2" t="s">
        <v>24331</v>
      </c>
      <c r="R930" s="2" t="s">
        <v>794</v>
      </c>
      <c r="S930" s="2" t="s">
        <v>1098</v>
      </c>
      <c r="T930" s="2" t="s">
        <v>9336</v>
      </c>
      <c r="U930" s="2" t="s">
        <v>24322</v>
      </c>
      <c r="V930" s="2" t="s">
        <v>17520</v>
      </c>
      <c r="W930" s="2" t="s">
        <v>101</v>
      </c>
    </row>
    <row r="931">
      <c r="A931" s="2" t="n">
        <v>712</v>
      </c>
      <c r="B931" s="2" t="s">
        <v>15609</v>
      </c>
      <c r="C931" s="2" t="s">
        <v>24332</v>
      </c>
      <c r="D931" s="2" t="n">
        <v>813.626847878</v>
      </c>
      <c r="E931" s="2" t="n">
        <v>1.17830047679155</v>
      </c>
      <c r="F931" s="2" t="s">
        <v>24334</v>
      </c>
      <c r="G931" s="2" t="n">
        <v>255878</v>
      </c>
      <c r="H931" s="3" t="str">
        <f>HYPERLINK("http://funmeta.oebiotech.com/network/255878", "http://funmeta.oebiotech.com/network/255878")</f>
      </c>
      <c r="I931" s="2" t="s">
        <v>24336</v>
      </c>
      <c r="J931" s="2"/>
      <c r="K931" s="2"/>
      <c r="L931" s="2"/>
      <c r="M931" s="2"/>
      <c r="N931" s="2" t="s">
        <v>24337</v>
      </c>
      <c r="O931" s="2"/>
      <c r="P931" s="2" t="s">
        <v>24338</v>
      </c>
      <c r="Q931" s="2" t="s">
        <v>24339</v>
      </c>
      <c r="R931" s="2" t="s">
        <v>794</v>
      </c>
      <c r="S931" s="2" t="s">
        <v>2971</v>
      </c>
      <c r="T931" s="2" t="s">
        <v>7382</v>
      </c>
      <c r="U931" s="2" t="s">
        <v>24333</v>
      </c>
      <c r="V931" s="2" t="s">
        <v>17892</v>
      </c>
      <c r="W931" s="2"/>
    </row>
    <row r="932">
      <c r="A932" s="2" t="n">
        <v>713</v>
      </c>
      <c r="B932" s="2" t="s">
        <v>15610</v>
      </c>
      <c r="C932" s="2" t="s">
        <v>24340</v>
      </c>
      <c r="D932" s="2" t="n">
        <v>814.538130925</v>
      </c>
      <c r="E932" s="2" t="n">
        <v>2.38271174407974</v>
      </c>
      <c r="F932" s="2" t="s">
        <v>24342</v>
      </c>
      <c r="G932" s="2" t="n">
        <v>50146</v>
      </c>
      <c r="H932" s="3" t="str">
        <f>HYPERLINK("http://funmeta.oebiotech.com/network/50146", "http://funmeta.oebiotech.com/network/50146")</f>
      </c>
      <c r="I932" s="2" t="s">
        <v>24344</v>
      </c>
      <c r="J932" s="2" t="s">
        <v>24345</v>
      </c>
      <c r="K932" s="2"/>
      <c r="L932" s="2" t="s">
        <v>9434</v>
      </c>
      <c r="M932" s="2"/>
      <c r="N932" s="2" t="s">
        <v>24346</v>
      </c>
      <c r="O932" s="2"/>
      <c r="P932" s="2" t="s">
        <v>24347</v>
      </c>
      <c r="Q932" s="2" t="s">
        <v>24348</v>
      </c>
      <c r="R932" s="2" t="s">
        <v>794</v>
      </c>
      <c r="S932" s="2" t="s">
        <v>7122</v>
      </c>
      <c r="T932" s="2" t="s">
        <v>8042</v>
      </c>
      <c r="U932" s="2" t="s">
        <v>24341</v>
      </c>
      <c r="V932" s="2" t="s">
        <v>17137</v>
      </c>
      <c r="W932" s="2" t="s">
        <v>56</v>
      </c>
    </row>
    <row r="933">
      <c r="A933" s="2" t="n">
        <v>714</v>
      </c>
      <c r="B933" s="2" t="s">
        <v>15611</v>
      </c>
      <c r="C933" s="2" t="s">
        <v>24349</v>
      </c>
      <c r="D933" s="2" t="n">
        <v>814.632031309</v>
      </c>
      <c r="E933" s="2" t="n">
        <v>5.11604654697497</v>
      </c>
      <c r="F933" s="2" t="s">
        <v>24351</v>
      </c>
      <c r="G933" s="2" t="n">
        <v>49573</v>
      </c>
      <c r="H933" s="3" t="str">
        <f>HYPERLINK("http://funmeta.oebiotech.com/network/49573", "http://funmeta.oebiotech.com/network/49573")</f>
      </c>
      <c r="I933" s="2" t="s">
        <v>24353</v>
      </c>
      <c r="J933" s="2" t="s">
        <v>24354</v>
      </c>
      <c r="K933" s="2"/>
      <c r="L933" s="2" t="s">
        <v>9831</v>
      </c>
      <c r="M933" s="2"/>
      <c r="N933" s="2" t="s">
        <v>24355</v>
      </c>
      <c r="O933" s="2"/>
      <c r="P933" s="2" t="s">
        <v>24356</v>
      </c>
      <c r="Q933" s="2" t="s">
        <v>24357</v>
      </c>
      <c r="R933" s="2" t="s">
        <v>794</v>
      </c>
      <c r="S933" s="2" t="s">
        <v>7122</v>
      </c>
      <c r="T933" s="2" t="s">
        <v>8460</v>
      </c>
      <c r="U933" s="2" t="s">
        <v>24350</v>
      </c>
      <c r="V933" s="2" t="s">
        <v>17137</v>
      </c>
      <c r="W933" s="2" t="s">
        <v>56</v>
      </c>
    </row>
    <row r="934">
      <c r="A934" s="2" t="n">
        <v>715</v>
      </c>
      <c r="B934" s="2" t="s">
        <v>15633</v>
      </c>
      <c r="C934" s="2" t="s">
        <v>24358</v>
      </c>
      <c r="D934" s="2" t="n">
        <v>815.062251156</v>
      </c>
      <c r="E934" s="2" t="n">
        <v>8.61888014113972</v>
      </c>
      <c r="F934" s="2" t="s">
        <v>24360</v>
      </c>
      <c r="G934" s="2" t="n">
        <v>57862</v>
      </c>
      <c r="H934" s="3" t="str">
        <f>HYPERLINK("http://funmeta.oebiotech.com/network/57862", "http://funmeta.oebiotech.com/network/57862")</f>
      </c>
      <c r="I934" s="2" t="s">
        <v>24362</v>
      </c>
      <c r="J934" s="2" t="s">
        <v>24363</v>
      </c>
      <c r="K934" s="2"/>
      <c r="L934" s="2"/>
      <c r="M934" s="2"/>
      <c r="N934" s="2" t="s">
        <v>24364</v>
      </c>
      <c r="O934" s="2"/>
      <c r="P934" s="2" t="s">
        <v>24365</v>
      </c>
      <c r="Q934" s="2" t="s">
        <v>24366</v>
      </c>
      <c r="R934" s="2" t="s">
        <v>1355</v>
      </c>
      <c r="S934" s="2" t="s">
        <v>5199</v>
      </c>
      <c r="T934" s="2" t="s">
        <v>7308</v>
      </c>
      <c r="U934" s="2" t="s">
        <v>24359</v>
      </c>
      <c r="V934" s="2" t="s">
        <v>17520</v>
      </c>
      <c r="W934" s="2"/>
    </row>
    <row r="935">
      <c r="A935" s="2" t="n">
        <v>716</v>
      </c>
      <c r="B935" s="2" t="s">
        <v>15634</v>
      </c>
      <c r="C935" s="2" t="s">
        <v>24367</v>
      </c>
      <c r="D935" s="2" t="n">
        <v>815.5479572</v>
      </c>
      <c r="E935" s="2" t="n">
        <v>6.940717883056</v>
      </c>
      <c r="F935" s="2" t="s">
        <v>24369</v>
      </c>
      <c r="G935" s="2" t="n">
        <v>206100</v>
      </c>
      <c r="H935" s="3" t="str">
        <f>HYPERLINK("http://funmeta.oebiotech.com/network/206100", "http://funmeta.oebiotech.com/network/206100")</f>
      </c>
      <c r="I935" s="2" t="s">
        <v>24371</v>
      </c>
      <c r="J935" s="2"/>
      <c r="K935" s="2"/>
      <c r="L935" s="2"/>
      <c r="M935" s="2"/>
      <c r="N935" s="2" t="s">
        <v>24372</v>
      </c>
      <c r="O935" s="2"/>
      <c r="P935" s="2" t="s">
        <v>24373</v>
      </c>
      <c r="Q935" s="2" t="s">
        <v>24374</v>
      </c>
      <c r="R935" s="2" t="s">
        <v>186</v>
      </c>
      <c r="S935" s="2" t="s">
        <v>187</v>
      </c>
      <c r="T935" s="2" t="s">
        <v>7013</v>
      </c>
      <c r="U935" s="2" t="s">
        <v>24368</v>
      </c>
      <c r="V935" s="2" t="s">
        <v>18382</v>
      </c>
      <c r="W935" s="2"/>
    </row>
    <row r="936">
      <c r="A936" s="2" t="n">
        <v>717</v>
      </c>
      <c r="B936" s="2" t="s">
        <v>15635</v>
      </c>
      <c r="C936" s="2" t="s">
        <v>24375</v>
      </c>
      <c r="D936" s="2" t="n">
        <v>816.574910842</v>
      </c>
      <c r="E936" s="2" t="n">
        <v>5.37918626995366</v>
      </c>
      <c r="F936" s="2" t="s">
        <v>24377</v>
      </c>
      <c r="G936" s="2" t="n">
        <v>132682</v>
      </c>
      <c r="H936" s="3" t="str">
        <f>HYPERLINK("http://funmeta.oebiotech.com/network/132682", "http://funmeta.oebiotech.com/network/132682")</f>
      </c>
      <c r="I936" s="2" t="s">
        <v>24379</v>
      </c>
      <c r="J936" s="2"/>
      <c r="K936" s="2"/>
      <c r="L936" s="2"/>
      <c r="M936" s="2"/>
      <c r="N936" s="2" t="s">
        <v>24380</v>
      </c>
      <c r="O936" s="2"/>
      <c r="P936" s="2" t="s">
        <v>24381</v>
      </c>
      <c r="Q936" s="2" t="s">
        <v>24382</v>
      </c>
      <c r="R936" s="2" t="s">
        <v>794</v>
      </c>
      <c r="S936" s="2" t="s">
        <v>7122</v>
      </c>
      <c r="T936" s="2" t="s">
        <v>8876</v>
      </c>
      <c r="U936" s="2" t="s">
        <v>24376</v>
      </c>
      <c r="V936" s="2" t="s">
        <v>17137</v>
      </c>
      <c r="W936" s="2"/>
    </row>
    <row r="937">
      <c r="A937" s="2" t="n">
        <v>718</v>
      </c>
      <c r="B937" s="2" t="s">
        <v>15636</v>
      </c>
      <c r="C937" s="2" t="s">
        <v>24383</v>
      </c>
      <c r="D937" s="2" t="n">
        <v>817.053232426</v>
      </c>
      <c r="E937" s="2" t="n">
        <v>1.41125139590806</v>
      </c>
      <c r="F937" s="2" t="s">
        <v>24385</v>
      </c>
      <c r="G937" s="2" t="n">
        <v>58177</v>
      </c>
      <c r="H937" s="3" t="str">
        <f>HYPERLINK("http://funmeta.oebiotech.com/network/58177", "http://funmeta.oebiotech.com/network/58177")</f>
      </c>
      <c r="I937" s="2" t="s">
        <v>24387</v>
      </c>
      <c r="J937" s="2"/>
      <c r="K937" s="2"/>
      <c r="L937" s="2" t="s">
        <v>24388</v>
      </c>
      <c r="M937" s="2" t="s">
        <v>24389</v>
      </c>
      <c r="N937" s="2" t="s">
        <v>24390</v>
      </c>
      <c r="O937" s="2" t="s">
        <v>24391</v>
      </c>
      <c r="P937" s="2" t="s">
        <v>24392</v>
      </c>
      <c r="Q937" s="2" t="s">
        <v>24393</v>
      </c>
      <c r="R937" s="2" t="s">
        <v>129</v>
      </c>
      <c r="S937" s="2" t="s">
        <v>130</v>
      </c>
      <c r="T937" s="2" t="s">
        <v>1681</v>
      </c>
      <c r="U937" s="2" t="s">
        <v>24384</v>
      </c>
      <c r="V937" s="2" t="s">
        <v>17227</v>
      </c>
      <c r="W937" s="2" t="s">
        <v>101</v>
      </c>
    </row>
    <row r="938">
      <c r="A938" s="2" t="n">
        <v>719</v>
      </c>
      <c r="B938" s="2" t="s">
        <v>15637</v>
      </c>
      <c r="C938" s="2" t="s">
        <v>24394</v>
      </c>
      <c r="D938" s="2" t="n">
        <v>817.483117828</v>
      </c>
      <c r="E938" s="2" t="n">
        <v>2.30167462841464</v>
      </c>
      <c r="F938" s="2" t="s">
        <v>24396</v>
      </c>
      <c r="G938" s="2" t="n">
        <v>8658</v>
      </c>
      <c r="H938" s="3" t="str">
        <f>HYPERLINK("http://funmeta.oebiotech.com/network/8658", "http://funmeta.oebiotech.com/network/8658")</f>
      </c>
      <c r="I938" s="2" t="s">
        <v>24398</v>
      </c>
      <c r="J938" s="2" t="s">
        <v>24399</v>
      </c>
      <c r="K938" s="2" t="s">
        <v>24400</v>
      </c>
      <c r="L938" s="2"/>
      <c r="M938" s="2" t="s">
        <v>24401</v>
      </c>
      <c r="N938" s="2" t="s">
        <v>24402</v>
      </c>
      <c r="O938" s="2" t="s">
        <v>24403</v>
      </c>
      <c r="P938" s="2" t="s">
        <v>24404</v>
      </c>
      <c r="Q938" s="2" t="s">
        <v>24405</v>
      </c>
      <c r="R938" s="2" t="s">
        <v>794</v>
      </c>
      <c r="S938" s="2" t="s">
        <v>795</v>
      </c>
      <c r="T938" s="2" t="s">
        <v>5115</v>
      </c>
      <c r="U938" s="2" t="s">
        <v>24395</v>
      </c>
      <c r="V938" s="2" t="s">
        <v>17227</v>
      </c>
      <c r="W938" s="2"/>
    </row>
    <row r="939">
      <c r="A939" s="2" t="n">
        <v>720</v>
      </c>
      <c r="B939" s="2" t="s">
        <v>15659</v>
      </c>
      <c r="C939" s="2" t="s">
        <v>24406</v>
      </c>
      <c r="D939" s="2" t="n">
        <v>820.522751367</v>
      </c>
      <c r="E939" s="2" t="n">
        <v>9.19476943104541</v>
      </c>
      <c r="F939" s="2" t="s">
        <v>24408</v>
      </c>
      <c r="G939" s="2" t="n">
        <v>50318</v>
      </c>
      <c r="H939" s="3" t="str">
        <f>HYPERLINK("http://funmeta.oebiotech.com/network/50318", "http://funmeta.oebiotech.com/network/50318")</f>
      </c>
      <c r="I939" s="2" t="s">
        <v>24410</v>
      </c>
      <c r="J939" s="2" t="s">
        <v>24411</v>
      </c>
      <c r="K939" s="2"/>
      <c r="L939" s="2" t="s">
        <v>9434</v>
      </c>
      <c r="M939" s="2"/>
      <c r="N939" s="2" t="s">
        <v>24412</v>
      </c>
      <c r="O939" s="2"/>
      <c r="P939" s="2" t="s">
        <v>24413</v>
      </c>
      <c r="Q939" s="2" t="s">
        <v>24414</v>
      </c>
      <c r="R939" s="2" t="s">
        <v>794</v>
      </c>
      <c r="S939" s="2" t="s">
        <v>7122</v>
      </c>
      <c r="T939" s="2" t="s">
        <v>8042</v>
      </c>
      <c r="U939" s="2" t="s">
        <v>24407</v>
      </c>
      <c r="V939" s="2" t="s">
        <v>17970</v>
      </c>
      <c r="W939" s="2" t="s">
        <v>101</v>
      </c>
    </row>
    <row r="940">
      <c r="A940" s="2" t="n">
        <v>721</v>
      </c>
      <c r="B940" s="2" t="s">
        <v>15660</v>
      </c>
      <c r="C940" s="2" t="s">
        <v>24415</v>
      </c>
      <c r="D940" s="2" t="n">
        <v>822.540963117</v>
      </c>
      <c r="E940" s="2" t="n">
        <v>4.20827992113967</v>
      </c>
      <c r="F940" s="2" t="s">
        <v>24417</v>
      </c>
      <c r="G940" s="2" t="n">
        <v>18665</v>
      </c>
      <c r="H940" s="3" t="str">
        <f>HYPERLINK("http://funmeta.oebiotech.com/network/18665", "http://funmeta.oebiotech.com/network/18665")</f>
      </c>
      <c r="I940" s="2" t="s">
        <v>24419</v>
      </c>
      <c r="J940" s="2" t="s">
        <v>24420</v>
      </c>
      <c r="K940" s="2" t="s">
        <v>24421</v>
      </c>
      <c r="L940" s="2" t="s">
        <v>9831</v>
      </c>
      <c r="M940" s="2"/>
      <c r="N940" s="2" t="s">
        <v>24422</v>
      </c>
      <c r="O940" s="2"/>
      <c r="P940" s="2" t="s">
        <v>24423</v>
      </c>
      <c r="Q940" s="2" t="s">
        <v>24424</v>
      </c>
      <c r="R940" s="2" t="s">
        <v>794</v>
      </c>
      <c r="S940" s="2" t="s">
        <v>7122</v>
      </c>
      <c r="T940" s="2" t="s">
        <v>8460</v>
      </c>
      <c r="U940" s="2" t="s">
        <v>24416</v>
      </c>
      <c r="V940" s="2" t="s">
        <v>17406</v>
      </c>
      <c r="W940" s="2" t="s">
        <v>56</v>
      </c>
    </row>
    <row r="941">
      <c r="A941" s="2" t="n">
        <v>722</v>
      </c>
      <c r="B941" s="2" t="s">
        <v>15661</v>
      </c>
      <c r="C941" s="2" t="s">
        <v>24425</v>
      </c>
      <c r="D941" s="2" t="n">
        <v>824.556613181</v>
      </c>
      <c r="E941" s="2" t="n">
        <v>4.7225793002991</v>
      </c>
      <c r="F941" s="2" t="s">
        <v>24427</v>
      </c>
      <c r="G941" s="2" t="n">
        <v>18403</v>
      </c>
      <c r="H941" s="3" t="str">
        <f>HYPERLINK("http://funmeta.oebiotech.com/network/18403", "http://funmeta.oebiotech.com/network/18403")</f>
      </c>
      <c r="I941" s="2" t="s">
        <v>24429</v>
      </c>
      <c r="J941" s="2" t="s">
        <v>24430</v>
      </c>
      <c r="K941" s="2" t="s">
        <v>24431</v>
      </c>
      <c r="L941" s="2"/>
      <c r="M941" s="2" t="s">
        <v>24432</v>
      </c>
      <c r="N941" s="2" t="s">
        <v>24433</v>
      </c>
      <c r="O941" s="2" t="s">
        <v>24434</v>
      </c>
      <c r="P941" s="2" t="s">
        <v>24435</v>
      </c>
      <c r="Q941" s="2" t="s">
        <v>24436</v>
      </c>
      <c r="R941" s="2" t="s">
        <v>794</v>
      </c>
      <c r="S941" s="2" t="s">
        <v>7122</v>
      </c>
      <c r="T941" s="2" t="s">
        <v>8460</v>
      </c>
      <c r="U941" s="2" t="s">
        <v>24426</v>
      </c>
      <c r="V941" s="2" t="s">
        <v>17406</v>
      </c>
      <c r="W941" s="2" t="s">
        <v>56</v>
      </c>
    </row>
    <row r="942">
      <c r="A942" s="2" t="n">
        <v>723</v>
      </c>
      <c r="B942" s="2" t="s">
        <v>15673</v>
      </c>
      <c r="C942" s="2" t="s">
        <v>24437</v>
      </c>
      <c r="D942" s="2" t="n">
        <v>825.031738</v>
      </c>
      <c r="E942" s="2" t="n">
        <v>3.70759181352381</v>
      </c>
      <c r="F942" s="2" t="s">
        <v>24439</v>
      </c>
      <c r="G942" s="2" t="n">
        <v>200251</v>
      </c>
      <c r="H942" s="3" t="str">
        <f>HYPERLINK("http://funmeta.oebiotech.com/network/200251", "http://funmeta.oebiotech.com/network/200251")</f>
      </c>
      <c r="I942" s="2" t="s">
        <v>24441</v>
      </c>
      <c r="J942" s="2"/>
      <c r="K942" s="2"/>
      <c r="L942" s="2"/>
      <c r="M942" s="2"/>
      <c r="N942" s="2" t="s">
        <v>24442</v>
      </c>
      <c r="O942" s="2"/>
      <c r="P942" s="2" t="s">
        <v>24443</v>
      </c>
      <c r="Q942" s="2" t="s">
        <v>24444</v>
      </c>
      <c r="R942" s="2" t="s">
        <v>114</v>
      </c>
      <c r="S942" s="2" t="s">
        <v>172</v>
      </c>
      <c r="T942" s="2" t="s">
        <v>4451</v>
      </c>
      <c r="U942" s="2" t="s">
        <v>24438</v>
      </c>
      <c r="V942" s="2" t="s">
        <v>17892</v>
      </c>
      <c r="W942" s="2"/>
    </row>
    <row r="943">
      <c r="A943" s="2" t="n">
        <v>724</v>
      </c>
      <c r="B943" s="2" t="s">
        <v>15674</v>
      </c>
      <c r="C943" s="2" t="s">
        <v>24445</v>
      </c>
      <c r="D943" s="2" t="n">
        <v>826.556852842</v>
      </c>
      <c r="E943" s="2" t="n">
        <v>9.33097278080926</v>
      </c>
      <c r="F943" s="2" t="s">
        <v>24447</v>
      </c>
      <c r="G943" s="2" t="n">
        <v>132698</v>
      </c>
      <c r="H943" s="3" t="str">
        <f>HYPERLINK("http://funmeta.oebiotech.com/network/132698", "http://funmeta.oebiotech.com/network/132698")</f>
      </c>
      <c r="I943" s="2" t="s">
        <v>24449</v>
      </c>
      <c r="J943" s="2"/>
      <c r="K943" s="2"/>
      <c r="L943" s="2"/>
      <c r="M943" s="2"/>
      <c r="N943" s="2" t="s">
        <v>24450</v>
      </c>
      <c r="O943" s="2"/>
      <c r="P943" s="2" t="s">
        <v>24451</v>
      </c>
      <c r="Q943" s="2" t="s">
        <v>24452</v>
      </c>
      <c r="R943" s="2" t="s">
        <v>794</v>
      </c>
      <c r="S943" s="2" t="s">
        <v>7122</v>
      </c>
      <c r="T943" s="2" t="s">
        <v>8876</v>
      </c>
      <c r="U943" s="2" t="s">
        <v>24446</v>
      </c>
      <c r="V943" s="2" t="s">
        <v>17198</v>
      </c>
      <c r="W943" s="2" t="s">
        <v>56</v>
      </c>
    </row>
    <row r="944">
      <c r="A944" s="2" t="n">
        <v>725</v>
      </c>
      <c r="B944" s="2" t="s">
        <v>15697</v>
      </c>
      <c r="C944" s="2" t="s">
        <v>24453</v>
      </c>
      <c r="D944" s="2" t="n">
        <v>827.034921646</v>
      </c>
      <c r="E944" s="2" t="n">
        <v>4.21521752750128</v>
      </c>
      <c r="F944" s="2" t="s">
        <v>24455</v>
      </c>
      <c r="G944" s="2" t="n">
        <v>47549</v>
      </c>
      <c r="H944" s="3" t="str">
        <f>HYPERLINK("http://funmeta.oebiotech.com/network/47549", "http://funmeta.oebiotech.com/network/47549")</f>
      </c>
      <c r="I944" s="2" t="s">
        <v>24457</v>
      </c>
      <c r="J944" s="2" t="s">
        <v>24458</v>
      </c>
      <c r="K944" s="2"/>
      <c r="L944" s="2"/>
      <c r="M944" s="2"/>
      <c r="N944" s="2" t="s">
        <v>24459</v>
      </c>
      <c r="O944" s="2" t="s">
        <v>24460</v>
      </c>
      <c r="P944" s="2" t="s">
        <v>24461</v>
      </c>
      <c r="Q944" s="2" t="s">
        <v>24462</v>
      </c>
      <c r="R944" s="2" t="s">
        <v>2416</v>
      </c>
      <c r="S944" s="2" t="s">
        <v>16231</v>
      </c>
      <c r="T944" s="2" t="s">
        <v>215</v>
      </c>
      <c r="U944" s="2" t="s">
        <v>24454</v>
      </c>
      <c r="V944" s="2" t="s">
        <v>17406</v>
      </c>
      <c r="W944" s="2"/>
    </row>
    <row r="945">
      <c r="A945" s="2" t="n">
        <v>726</v>
      </c>
      <c r="B945" s="2" t="s">
        <v>15698</v>
      </c>
      <c r="C945" s="2" t="s">
        <v>24463</v>
      </c>
      <c r="D945" s="2" t="n">
        <v>828.044203562</v>
      </c>
      <c r="E945" s="2" t="n">
        <v>9.30536885718986</v>
      </c>
      <c r="F945" s="2" t="s">
        <v>24465</v>
      </c>
      <c r="G945" s="2" t="n">
        <v>209411</v>
      </c>
      <c r="H945" s="3" t="str">
        <f>HYPERLINK("http://funmeta.oebiotech.com/network/209411", "http://funmeta.oebiotech.com/network/209411")</f>
      </c>
      <c r="I945" s="2" t="s">
        <v>24467</v>
      </c>
      <c r="J945" s="2"/>
      <c r="K945" s="2"/>
      <c r="L945" s="2"/>
      <c r="M945" s="2"/>
      <c r="N945" s="2"/>
      <c r="O945" s="2"/>
      <c r="P945" s="2" t="s">
        <v>24468</v>
      </c>
      <c r="Q945" s="2" t="s">
        <v>24469</v>
      </c>
      <c r="R945" s="2" t="s">
        <v>2416</v>
      </c>
      <c r="S945" s="2" t="s">
        <v>7795</v>
      </c>
      <c r="T945" s="2" t="s">
        <v>24470</v>
      </c>
      <c r="U945" s="2" t="s">
        <v>24464</v>
      </c>
      <c r="V945" s="2" t="s">
        <v>17520</v>
      </c>
      <c r="W945" s="2"/>
    </row>
    <row r="946">
      <c r="A946" s="2" t="n">
        <v>727</v>
      </c>
      <c r="B946" s="2" t="s">
        <v>15699</v>
      </c>
      <c r="C946" s="2" t="s">
        <v>24471</v>
      </c>
      <c r="D946" s="2" t="n">
        <v>829.550912798</v>
      </c>
      <c r="E946" s="2" t="n">
        <v>3.93060414386479</v>
      </c>
      <c r="F946" s="2" t="s">
        <v>24473</v>
      </c>
      <c r="G946" s="2" t="n">
        <v>49442</v>
      </c>
      <c r="H946" s="3" t="str">
        <f>HYPERLINK("http://funmeta.oebiotech.com/network/49442", "http://funmeta.oebiotech.com/network/49442")</f>
      </c>
      <c r="I946" s="2" t="s">
        <v>24475</v>
      </c>
      <c r="J946" s="2" t="s">
        <v>24476</v>
      </c>
      <c r="K946" s="2"/>
      <c r="L946" s="2"/>
      <c r="M946" s="2"/>
      <c r="N946" s="2" t="s">
        <v>24477</v>
      </c>
      <c r="O946" s="2"/>
      <c r="P946" s="2" t="s">
        <v>24478</v>
      </c>
      <c r="Q946" s="2" t="s">
        <v>24479</v>
      </c>
      <c r="R946" s="2" t="s">
        <v>794</v>
      </c>
      <c r="S946" s="2" t="s">
        <v>2600</v>
      </c>
      <c r="T946" s="2" t="s">
        <v>8990</v>
      </c>
      <c r="U946" s="2" t="s">
        <v>24472</v>
      </c>
      <c r="V946" s="2" t="s">
        <v>17520</v>
      </c>
      <c r="W946" s="2"/>
    </row>
    <row r="947">
      <c r="A947" s="2" t="n">
        <v>728</v>
      </c>
      <c r="B947" s="2" t="s">
        <v>15700</v>
      </c>
      <c r="C947" s="2" t="s">
        <v>24480</v>
      </c>
      <c r="D947" s="2" t="n">
        <v>831.551193935</v>
      </c>
      <c r="E947" s="2" t="n">
        <v>6.4922554800177</v>
      </c>
      <c r="F947" s="2" t="s">
        <v>24482</v>
      </c>
      <c r="G947" s="2" t="n">
        <v>136308</v>
      </c>
      <c r="H947" s="3" t="str">
        <f>HYPERLINK("http://funmeta.oebiotech.com/network/136308", "http://funmeta.oebiotech.com/network/136308")</f>
      </c>
      <c r="I947" s="2" t="s">
        <v>24484</v>
      </c>
      <c r="J947" s="2"/>
      <c r="K947" s="2"/>
      <c r="L947" s="2"/>
      <c r="M947" s="2"/>
      <c r="N947" s="2" t="s">
        <v>24485</v>
      </c>
      <c r="O947" s="2"/>
      <c r="P947" s="2" t="s">
        <v>24486</v>
      </c>
      <c r="Q947" s="2" t="s">
        <v>24487</v>
      </c>
      <c r="R947" s="2" t="s">
        <v>794</v>
      </c>
      <c r="S947" s="2" t="s">
        <v>7122</v>
      </c>
      <c r="T947" s="2" t="s">
        <v>9951</v>
      </c>
      <c r="U947" s="2" t="s">
        <v>24481</v>
      </c>
      <c r="V947" s="2" t="s">
        <v>17406</v>
      </c>
      <c r="W947" s="2"/>
    </row>
    <row r="948">
      <c r="A948" s="2" t="n">
        <v>729</v>
      </c>
      <c r="B948" s="2" t="s">
        <v>15701</v>
      </c>
      <c r="C948" s="2" t="s">
        <v>24488</v>
      </c>
      <c r="D948" s="2" t="n">
        <v>833.584469112</v>
      </c>
      <c r="E948" s="2" t="n">
        <v>2.0260554926226</v>
      </c>
      <c r="F948" s="2" t="s">
        <v>24490</v>
      </c>
      <c r="G948" s="2" t="n">
        <v>37427</v>
      </c>
      <c r="H948" s="3" t="str">
        <f>HYPERLINK("http://funmeta.oebiotech.com/network/37427", "http://funmeta.oebiotech.com/network/37427")</f>
      </c>
      <c r="I948" s="2" t="s">
        <v>24492</v>
      </c>
      <c r="J948" s="2" t="s">
        <v>24493</v>
      </c>
      <c r="K948" s="2" t="s">
        <v>24494</v>
      </c>
      <c r="L948" s="2" t="s">
        <v>24495</v>
      </c>
      <c r="M948" s="2" t="s">
        <v>24496</v>
      </c>
      <c r="N948" s="2" t="s">
        <v>24497</v>
      </c>
      <c r="O948" s="2" t="s">
        <v>24498</v>
      </c>
      <c r="P948" s="2" t="s">
        <v>24499</v>
      </c>
      <c r="Q948" s="2" t="s">
        <v>24500</v>
      </c>
      <c r="R948" s="2" t="s">
        <v>794</v>
      </c>
      <c r="S948" s="2" t="s">
        <v>1098</v>
      </c>
      <c r="T948" s="2" t="s">
        <v>9336</v>
      </c>
      <c r="U948" s="2" t="s">
        <v>24489</v>
      </c>
      <c r="V948" s="2" t="s">
        <v>17406</v>
      </c>
      <c r="W948" s="2" t="s">
        <v>39</v>
      </c>
    </row>
    <row r="949">
      <c r="A949" s="2" t="n">
        <v>730</v>
      </c>
      <c r="B949" s="2" t="s">
        <v>15702</v>
      </c>
      <c r="C949" s="2" t="s">
        <v>24501</v>
      </c>
      <c r="D949" s="2" t="n">
        <v>834.598323245</v>
      </c>
      <c r="E949" s="2" t="n">
        <v>7.15262286751769</v>
      </c>
      <c r="F949" s="2" t="s">
        <v>24503</v>
      </c>
      <c r="G949" s="2" t="n">
        <v>18755</v>
      </c>
      <c r="H949" s="3" t="str">
        <f>HYPERLINK("http://funmeta.oebiotech.com/network/18755", "http://funmeta.oebiotech.com/network/18755")</f>
      </c>
      <c r="I949" s="2" t="s">
        <v>24505</v>
      </c>
      <c r="J949" s="2" t="s">
        <v>24506</v>
      </c>
      <c r="K949" s="2" t="s">
        <v>24507</v>
      </c>
      <c r="L949" s="2" t="s">
        <v>9831</v>
      </c>
      <c r="M949" s="2" t="s">
        <v>24508</v>
      </c>
      <c r="N949" s="2" t="s">
        <v>24509</v>
      </c>
      <c r="O949" s="2"/>
      <c r="P949" s="2" t="s">
        <v>24510</v>
      </c>
      <c r="Q949" s="2" t="s">
        <v>24511</v>
      </c>
      <c r="R949" s="2" t="s">
        <v>794</v>
      </c>
      <c r="S949" s="2" t="s">
        <v>7122</v>
      </c>
      <c r="T949" s="2" t="s">
        <v>8460</v>
      </c>
      <c r="U949" s="2" t="s">
        <v>24502</v>
      </c>
      <c r="V949" s="2" t="s">
        <v>17198</v>
      </c>
      <c r="W949" s="2" t="s">
        <v>56</v>
      </c>
    </row>
    <row r="950">
      <c r="A950" s="2" t="n">
        <v>731</v>
      </c>
      <c r="B950" s="2" t="s">
        <v>15703</v>
      </c>
      <c r="C950" s="2" t="s">
        <v>24512</v>
      </c>
      <c r="D950" s="2" t="n">
        <v>836.522480861</v>
      </c>
      <c r="E950" s="2" t="n">
        <v>9.96499593636852</v>
      </c>
      <c r="F950" s="2" t="s">
        <v>24514</v>
      </c>
      <c r="G950" s="2" t="n">
        <v>19953</v>
      </c>
      <c r="H950" s="3" t="str">
        <f>HYPERLINK("http://funmeta.oebiotech.com/network/19953", "http://funmeta.oebiotech.com/network/19953")</f>
      </c>
      <c r="I950" s="2" t="s">
        <v>24516</v>
      </c>
      <c r="J950" s="2" t="s">
        <v>24517</v>
      </c>
      <c r="K950" s="2" t="s">
        <v>24518</v>
      </c>
      <c r="L950" s="2"/>
      <c r="M950" s="2" t="s">
        <v>24519</v>
      </c>
      <c r="N950" s="2" t="s">
        <v>24520</v>
      </c>
      <c r="O950" s="2"/>
      <c r="P950" s="2" t="s">
        <v>24521</v>
      </c>
      <c r="Q950" s="2" t="s">
        <v>24522</v>
      </c>
      <c r="R950" s="2" t="s">
        <v>794</v>
      </c>
      <c r="S950" s="2" t="s">
        <v>7122</v>
      </c>
      <c r="T950" s="2" t="s">
        <v>8042</v>
      </c>
      <c r="U950" s="2" t="s">
        <v>24513</v>
      </c>
      <c r="V950" s="2" t="s">
        <v>17137</v>
      </c>
      <c r="W950" s="2"/>
    </row>
    <row r="951">
      <c r="A951" s="2" t="n">
        <v>732</v>
      </c>
      <c r="B951" s="2" t="s">
        <v>15704</v>
      </c>
      <c r="C951" s="2" t="s">
        <v>24523</v>
      </c>
      <c r="D951" s="2" t="n">
        <v>836.616381731</v>
      </c>
      <c r="E951" s="2" t="n">
        <v>2.00838780077341</v>
      </c>
      <c r="F951" s="2" t="s">
        <v>24525</v>
      </c>
      <c r="G951" s="2" t="n">
        <v>133381</v>
      </c>
      <c r="H951" s="3" t="str">
        <f>HYPERLINK("http://funmeta.oebiotech.com/network/133381", "http://funmeta.oebiotech.com/network/133381")</f>
      </c>
      <c r="I951" s="2" t="s">
        <v>24527</v>
      </c>
      <c r="J951" s="2"/>
      <c r="K951" s="2"/>
      <c r="L951" s="2"/>
      <c r="M951" s="2"/>
      <c r="N951" s="2" t="s">
        <v>24528</v>
      </c>
      <c r="O951" s="2"/>
      <c r="P951" s="2" t="s">
        <v>24529</v>
      </c>
      <c r="Q951" s="2" t="s">
        <v>24530</v>
      </c>
      <c r="R951" s="2" t="s">
        <v>794</v>
      </c>
      <c r="S951" s="2" t="s">
        <v>7122</v>
      </c>
      <c r="T951" s="2" t="s">
        <v>8042</v>
      </c>
      <c r="U951" s="2" t="s">
        <v>24524</v>
      </c>
      <c r="V951" s="2" t="s">
        <v>17137</v>
      </c>
      <c r="W951" s="2"/>
    </row>
    <row r="952">
      <c r="A952" s="2" t="n">
        <v>733</v>
      </c>
      <c r="B952" s="2" t="s">
        <v>15705</v>
      </c>
      <c r="C952" s="2" t="s">
        <v>24531</v>
      </c>
      <c r="D952" s="2" t="n">
        <v>837.531845772</v>
      </c>
      <c r="E952" s="2" t="n">
        <v>0.63112678316014</v>
      </c>
      <c r="F952" s="2" t="s">
        <v>24533</v>
      </c>
      <c r="G952" s="2" t="n">
        <v>53065</v>
      </c>
      <c r="H952" s="3" t="str">
        <f>HYPERLINK("http://funmeta.oebiotech.com/network/53065", "http://funmeta.oebiotech.com/network/53065")</f>
      </c>
      <c r="I952" s="2" t="s">
        <v>24535</v>
      </c>
      <c r="J952" s="2"/>
      <c r="K952" s="2"/>
      <c r="L952" s="2" t="s">
        <v>24536</v>
      </c>
      <c r="M952" s="2" t="s">
        <v>24537</v>
      </c>
      <c r="N952" s="2" t="s">
        <v>24538</v>
      </c>
      <c r="O952" s="2" t="s">
        <v>24539</v>
      </c>
      <c r="P952" s="2" t="s">
        <v>24540</v>
      </c>
      <c r="Q952" s="2" t="s">
        <v>24541</v>
      </c>
      <c r="R952" s="2" t="s">
        <v>129</v>
      </c>
      <c r="S952" s="2" t="s">
        <v>130</v>
      </c>
      <c r="T952" s="2" t="s">
        <v>1681</v>
      </c>
      <c r="U952" s="2" t="s">
        <v>24532</v>
      </c>
      <c r="V952" s="2" t="s">
        <v>17137</v>
      </c>
      <c r="W952" s="2" t="s">
        <v>101</v>
      </c>
    </row>
    <row r="953">
      <c r="A953" s="2" t="n">
        <v>734</v>
      </c>
      <c r="B953" s="2" t="s">
        <v>15706</v>
      </c>
      <c r="C953" s="2" t="s">
        <v>24542</v>
      </c>
      <c r="D953" s="2" t="n">
        <v>837.622109926</v>
      </c>
      <c r="E953" s="2" t="n">
        <v>0.835344425248482</v>
      </c>
      <c r="F953" s="2" t="s">
        <v>24544</v>
      </c>
      <c r="G953" s="2" t="n">
        <v>208812</v>
      </c>
      <c r="H953" s="3" t="str">
        <f>HYPERLINK("http://funmeta.oebiotech.com/network/208812", "http://funmeta.oebiotech.com/network/208812")</f>
      </c>
      <c r="I953" s="2" t="s">
        <v>24546</v>
      </c>
      <c r="J953" s="2" t="s">
        <v>24547</v>
      </c>
      <c r="K953" s="2"/>
      <c r="L953" s="2"/>
      <c r="M953" s="2" t="s">
        <v>24548</v>
      </c>
      <c r="N953" s="2" t="s">
        <v>24549</v>
      </c>
      <c r="O953" s="2" t="s">
        <v>24550</v>
      </c>
      <c r="P953" s="2" t="s">
        <v>24551</v>
      </c>
      <c r="Q953" s="2" t="s">
        <v>24552</v>
      </c>
      <c r="R953" s="2" t="s">
        <v>601</v>
      </c>
      <c r="S953" s="2" t="s">
        <v>602</v>
      </c>
      <c r="T953" s="2" t="s">
        <v>8583</v>
      </c>
      <c r="U953" s="2" t="s">
        <v>24543</v>
      </c>
      <c r="V953" s="2" t="s">
        <v>17892</v>
      </c>
      <c r="W953" s="2"/>
    </row>
    <row r="954">
      <c r="A954" s="2" t="n">
        <v>735</v>
      </c>
      <c r="B954" s="2" t="s">
        <v>15707</v>
      </c>
      <c r="C954" s="2" t="s">
        <v>24553</v>
      </c>
      <c r="D954" s="2" t="n">
        <v>838.538130925</v>
      </c>
      <c r="E954" s="2" t="n">
        <v>8.68750791320011</v>
      </c>
      <c r="F954" s="2" t="s">
        <v>24555</v>
      </c>
      <c r="G954" s="2" t="n">
        <v>50313</v>
      </c>
      <c r="H954" s="3" t="str">
        <f>HYPERLINK("http://funmeta.oebiotech.com/network/50313", "http://funmeta.oebiotech.com/network/50313")</f>
      </c>
      <c r="I954" s="2" t="s">
        <v>24557</v>
      </c>
      <c r="J954" s="2" t="s">
        <v>24558</v>
      </c>
      <c r="K954" s="2"/>
      <c r="L954" s="2" t="s">
        <v>9434</v>
      </c>
      <c r="M954" s="2"/>
      <c r="N954" s="2" t="s">
        <v>24559</v>
      </c>
      <c r="O954" s="2"/>
      <c r="P954" s="2" t="s">
        <v>24560</v>
      </c>
      <c r="Q954" s="2" t="s">
        <v>24561</v>
      </c>
      <c r="R954" s="2" t="s">
        <v>794</v>
      </c>
      <c r="S954" s="2" t="s">
        <v>7122</v>
      </c>
      <c r="T954" s="2" t="s">
        <v>8042</v>
      </c>
      <c r="U954" s="2" t="s">
        <v>24554</v>
      </c>
      <c r="V954" s="2" t="s">
        <v>17137</v>
      </c>
      <c r="W954" s="2" t="s">
        <v>56</v>
      </c>
    </row>
    <row r="955">
      <c r="A955" s="2" t="n">
        <v>736</v>
      </c>
      <c r="B955" s="2" t="s">
        <v>15708</v>
      </c>
      <c r="C955" s="2" t="s">
        <v>24562</v>
      </c>
      <c r="D955" s="2" t="n">
        <v>838.632031309</v>
      </c>
      <c r="E955" s="2" t="n">
        <v>2.11762533552699</v>
      </c>
      <c r="F955" s="2" t="s">
        <v>24564</v>
      </c>
      <c r="G955" s="2" t="n">
        <v>18363</v>
      </c>
      <c r="H955" s="3" t="str">
        <f>HYPERLINK("http://funmeta.oebiotech.com/network/18363", "http://funmeta.oebiotech.com/network/18363")</f>
      </c>
      <c r="I955" s="2" t="s">
        <v>24566</v>
      </c>
      <c r="J955" s="2" t="s">
        <v>24567</v>
      </c>
      <c r="K955" s="2" t="s">
        <v>24568</v>
      </c>
      <c r="L955" s="2" t="s">
        <v>9831</v>
      </c>
      <c r="M955" s="2" t="s">
        <v>24569</v>
      </c>
      <c r="N955" s="2" t="s">
        <v>24570</v>
      </c>
      <c r="O955" s="2"/>
      <c r="P955" s="2" t="s">
        <v>24571</v>
      </c>
      <c r="Q955" s="2" t="s">
        <v>24572</v>
      </c>
      <c r="R955" s="2" t="s">
        <v>794</v>
      </c>
      <c r="S955" s="2" t="s">
        <v>7122</v>
      </c>
      <c r="T955" s="2" t="s">
        <v>8460</v>
      </c>
      <c r="U955" s="2" t="s">
        <v>24563</v>
      </c>
      <c r="V955" s="2" t="s">
        <v>17137</v>
      </c>
      <c r="W955" s="2" t="s">
        <v>39</v>
      </c>
    </row>
    <row r="956">
      <c r="A956" s="2" t="n">
        <v>737</v>
      </c>
      <c r="B956" s="2" t="s">
        <v>15724</v>
      </c>
      <c r="C956" s="2" t="s">
        <v>24573</v>
      </c>
      <c r="D956" s="2" t="n">
        <v>839.042398</v>
      </c>
      <c r="E956" s="2" t="n">
        <v>4.44753350284042</v>
      </c>
      <c r="F956" s="2" t="s">
        <v>24575</v>
      </c>
      <c r="G956" s="2" t="n">
        <v>202752</v>
      </c>
      <c r="H956" s="3" t="str">
        <f>HYPERLINK("http://funmeta.oebiotech.com/network/202752", "http://funmeta.oebiotech.com/network/202752")</f>
      </c>
      <c r="I956" s="2" t="s">
        <v>24577</v>
      </c>
      <c r="J956" s="2"/>
      <c r="K956" s="2"/>
      <c r="L956" s="2"/>
      <c r="M956" s="2"/>
      <c r="N956" s="2" t="s">
        <v>24578</v>
      </c>
      <c r="O956" s="2"/>
      <c r="P956" s="2" t="s">
        <v>24579</v>
      </c>
      <c r="Q956" s="2" t="s">
        <v>24580</v>
      </c>
      <c r="R956" s="2" t="s">
        <v>129</v>
      </c>
      <c r="S956" s="2" t="s">
        <v>130</v>
      </c>
      <c r="T956" s="2" t="s">
        <v>4901</v>
      </c>
      <c r="U956" s="2" t="s">
        <v>24574</v>
      </c>
      <c r="V956" s="2" t="s">
        <v>17227</v>
      </c>
      <c r="W956" s="2"/>
    </row>
    <row r="957">
      <c r="A957" s="2" t="n">
        <v>738</v>
      </c>
      <c r="B957" s="2" t="s">
        <v>15725</v>
      </c>
      <c r="C957" s="2" t="s">
        <v>24581</v>
      </c>
      <c r="D957" s="2" t="n">
        <v>839.54162259</v>
      </c>
      <c r="E957" s="2" t="n">
        <v>8.2625027269649</v>
      </c>
      <c r="F957" s="2" t="s">
        <v>24583</v>
      </c>
      <c r="G957" s="2" t="n">
        <v>198498</v>
      </c>
      <c r="H957" s="3" t="str">
        <f>HYPERLINK("http://funmeta.oebiotech.com/network/198498", "http://funmeta.oebiotech.com/network/198498")</f>
      </c>
      <c r="I957" s="2" t="s">
        <v>24585</v>
      </c>
      <c r="J957" s="2"/>
      <c r="K957" s="2"/>
      <c r="L957" s="2"/>
      <c r="M957" s="2"/>
      <c r="N957" s="2" t="s">
        <v>24586</v>
      </c>
      <c r="O957" s="2"/>
      <c r="P957" s="2" t="s">
        <v>24587</v>
      </c>
      <c r="Q957" s="2" t="s">
        <v>24588</v>
      </c>
      <c r="R957" s="2" t="s">
        <v>36</v>
      </c>
      <c r="S957" s="2" t="s">
        <v>37</v>
      </c>
      <c r="T957" s="2" t="s">
        <v>69</v>
      </c>
      <c r="U957" s="2" t="s">
        <v>24582</v>
      </c>
      <c r="V957" s="2" t="s">
        <v>18382</v>
      </c>
      <c r="W957" s="2"/>
    </row>
    <row r="958">
      <c r="A958" s="2" t="n">
        <v>739</v>
      </c>
      <c r="B958" s="2" t="s">
        <v>15726</v>
      </c>
      <c r="C958" s="2" t="s">
        <v>24589</v>
      </c>
      <c r="D958" s="2" t="n">
        <v>839.640796081</v>
      </c>
      <c r="E958" s="2" t="n">
        <v>1.6294254949696</v>
      </c>
      <c r="F958" s="2" t="s">
        <v>24591</v>
      </c>
      <c r="G958" s="2" t="n">
        <v>47982</v>
      </c>
      <c r="H958" s="3" t="str">
        <f>HYPERLINK("http://funmeta.oebiotech.com/network/47982", "http://funmeta.oebiotech.com/network/47982")</f>
      </c>
      <c r="I958" s="2" t="s">
        <v>24593</v>
      </c>
      <c r="J958" s="2" t="s">
        <v>24594</v>
      </c>
      <c r="K958" s="2"/>
      <c r="L958" s="2"/>
      <c r="M958" s="2"/>
      <c r="N958" s="2" t="s">
        <v>24595</v>
      </c>
      <c r="O958" s="2" t="s">
        <v>24596</v>
      </c>
      <c r="P958" s="2" t="s">
        <v>24597</v>
      </c>
      <c r="Q958" s="2" t="s">
        <v>24598</v>
      </c>
      <c r="R958" s="2" t="s">
        <v>36</v>
      </c>
      <c r="S958" s="2" t="s">
        <v>37</v>
      </c>
      <c r="T958" s="2" t="s">
        <v>69</v>
      </c>
      <c r="U958" s="2" t="s">
        <v>24590</v>
      </c>
      <c r="V958" s="2" t="s">
        <v>17039</v>
      </c>
      <c r="W958" s="2"/>
    </row>
    <row r="959">
      <c r="A959" s="2" t="n">
        <v>740</v>
      </c>
      <c r="B959" s="2" t="s">
        <v>15727</v>
      </c>
      <c r="C959" s="2" t="s">
        <v>24599</v>
      </c>
      <c r="D959" s="2" t="n">
        <v>840.572502907</v>
      </c>
      <c r="E959" s="2" t="n">
        <v>8.63520143694574</v>
      </c>
      <c r="F959" s="2" t="s">
        <v>24601</v>
      </c>
      <c r="G959" s="2" t="n">
        <v>132689</v>
      </c>
      <c r="H959" s="3" t="str">
        <f>HYPERLINK("http://funmeta.oebiotech.com/network/132689", "http://funmeta.oebiotech.com/network/132689")</f>
      </c>
      <c r="I959" s="2" t="s">
        <v>24603</v>
      </c>
      <c r="J959" s="2"/>
      <c r="K959" s="2"/>
      <c r="L959" s="2"/>
      <c r="M959" s="2"/>
      <c r="N959" s="2" t="s">
        <v>24604</v>
      </c>
      <c r="O959" s="2"/>
      <c r="P959" s="2" t="s">
        <v>24605</v>
      </c>
      <c r="Q959" s="2" t="s">
        <v>24606</v>
      </c>
      <c r="R959" s="2" t="s">
        <v>794</v>
      </c>
      <c r="S959" s="2" t="s">
        <v>7122</v>
      </c>
      <c r="T959" s="2" t="s">
        <v>8876</v>
      </c>
      <c r="U959" s="2" t="s">
        <v>24600</v>
      </c>
      <c r="V959" s="2" t="s">
        <v>17198</v>
      </c>
      <c r="W959" s="2"/>
    </row>
    <row r="960">
      <c r="A960" s="2" t="n">
        <v>741</v>
      </c>
      <c r="B960" s="2" t="s">
        <v>15750</v>
      </c>
      <c r="C960" s="2" t="s">
        <v>24607</v>
      </c>
      <c r="D960" s="2" t="n">
        <v>841.55486472</v>
      </c>
      <c r="E960" s="2" t="n">
        <v>0.369032115245266</v>
      </c>
      <c r="F960" s="2" t="s">
        <v>28033</v>
      </c>
      <c r="G960" s="2" t="n">
        <v>198367</v>
      </c>
      <c r="H960" s="3" t="str">
        <f>HYPERLINK("http://funmeta.oebiotech.com/network/198367", "http://funmeta.oebiotech.com/network/198367")</f>
      </c>
      <c r="I960" s="2" t="s">
        <v>28034</v>
      </c>
      <c r="J960" s="2"/>
      <c r="K960" s="2"/>
      <c r="L960" s="2"/>
      <c r="M960" s="2"/>
      <c r="N960" s="2"/>
      <c r="O960" s="2"/>
      <c r="P960" s="2" t="s">
        <v>28035</v>
      </c>
      <c r="Q960" s="2" t="s">
        <v>28036</v>
      </c>
      <c r="R960" s="2" t="s">
        <v>794</v>
      </c>
      <c r="S960" s="2" t="s">
        <v>795</v>
      </c>
      <c r="T960" s="2" t="s">
        <v>1870</v>
      </c>
      <c r="U960" s="2" t="s">
        <v>24608</v>
      </c>
      <c r="V960" s="2" t="s">
        <v>17892</v>
      </c>
      <c r="W960" s="2"/>
    </row>
    <row r="961">
      <c r="A961" s="2" t="n">
        <v>741</v>
      </c>
      <c r="B961" s="2" t="s">
        <v>28037</v>
      </c>
      <c r="C961" s="2" t="s">
        <v>24607</v>
      </c>
      <c r="D961" s="2" t="n">
        <v>841.55486472</v>
      </c>
      <c r="E961" s="2" t="n">
        <v>0.369032115245266</v>
      </c>
      <c r="F961" s="2" t="s">
        <v>28038</v>
      </c>
      <c r="G961" s="2" t="n">
        <v>198370</v>
      </c>
      <c r="H961" s="3" t="str">
        <f>HYPERLINK("http://funmeta.oebiotech.com/network/198370", "http://funmeta.oebiotech.com/network/198370")</f>
      </c>
      <c r="I961" s="2" t="s">
        <v>28039</v>
      </c>
      <c r="J961" s="2"/>
      <c r="K961" s="2"/>
      <c r="L961" s="2"/>
      <c r="M961" s="2"/>
      <c r="N961" s="2"/>
      <c r="O961" s="2"/>
      <c r="P961" s="2" t="s">
        <v>28040</v>
      </c>
      <c r="Q961" s="2" t="s">
        <v>28041</v>
      </c>
      <c r="R961" s="2" t="s">
        <v>794</v>
      </c>
      <c r="S961" s="2" t="s">
        <v>795</v>
      </c>
      <c r="T961" s="2" t="s">
        <v>1870</v>
      </c>
      <c r="U961" s="2" t="s">
        <v>24608</v>
      </c>
      <c r="V961" s="2" t="s">
        <v>17892</v>
      </c>
      <c r="W961" s="2"/>
    </row>
    <row r="962">
      <c r="A962" s="2" t="n">
        <v>741</v>
      </c>
      <c r="B962" s="2" t="s">
        <v>28042</v>
      </c>
      <c r="C962" s="2" t="s">
        <v>24607</v>
      </c>
      <c r="D962" s="2" t="n">
        <v>841.55486472</v>
      </c>
      <c r="E962" s="2" t="n">
        <v>0.369032115245266</v>
      </c>
      <c r="F962" s="2" t="s">
        <v>28043</v>
      </c>
      <c r="G962" s="2" t="n">
        <v>198371</v>
      </c>
      <c r="H962" s="3" t="str">
        <f>HYPERLINK("http://funmeta.oebiotech.com/network/198371", "http://funmeta.oebiotech.com/network/198371")</f>
      </c>
      <c r="I962" s="2" t="s">
        <v>28044</v>
      </c>
      <c r="J962" s="2"/>
      <c r="K962" s="2"/>
      <c r="L962" s="2"/>
      <c r="M962" s="2"/>
      <c r="N962" s="2"/>
      <c r="O962" s="2"/>
      <c r="P962" s="2" t="s">
        <v>28045</v>
      </c>
      <c r="Q962" s="2" t="s">
        <v>28046</v>
      </c>
      <c r="R962" s="2" t="s">
        <v>794</v>
      </c>
      <c r="S962" s="2" t="s">
        <v>795</v>
      </c>
      <c r="T962" s="2" t="s">
        <v>1870</v>
      </c>
      <c r="U962" s="2" t="s">
        <v>24608</v>
      </c>
      <c r="V962" s="2" t="s">
        <v>17892</v>
      </c>
      <c r="W962" s="2"/>
    </row>
    <row r="963">
      <c r="A963" s="2" t="n">
        <v>742</v>
      </c>
      <c r="B963" s="2" t="s">
        <v>15751</v>
      </c>
      <c r="C963" s="2" t="s">
        <v>24614</v>
      </c>
      <c r="D963" s="2" t="n">
        <v>842.527369506</v>
      </c>
      <c r="E963" s="2" t="n">
        <v>9.02229252907242</v>
      </c>
      <c r="F963" s="2" t="s">
        <v>24616</v>
      </c>
      <c r="G963" s="2" t="n">
        <v>209015</v>
      </c>
      <c r="H963" s="3" t="str">
        <f>HYPERLINK("http://funmeta.oebiotech.com/network/209015", "http://funmeta.oebiotech.com/network/209015")</f>
      </c>
      <c r="I963" s="2" t="s">
        <v>24618</v>
      </c>
      <c r="J963" s="2"/>
      <c r="K963" s="2"/>
      <c r="L963" s="2"/>
      <c r="M963" s="2"/>
      <c r="N963" s="2"/>
      <c r="O963" s="2"/>
      <c r="P963" s="2" t="s">
        <v>24619</v>
      </c>
      <c r="Q963" s="2" t="s">
        <v>24620</v>
      </c>
      <c r="R963" s="2" t="s">
        <v>36</v>
      </c>
      <c r="S963" s="2" t="s">
        <v>7927</v>
      </c>
      <c r="T963" s="2" t="s">
        <v>8926</v>
      </c>
      <c r="U963" s="2" t="s">
        <v>24615</v>
      </c>
      <c r="V963" s="2" t="s">
        <v>17137</v>
      </c>
      <c r="W963" s="2"/>
    </row>
    <row r="964">
      <c r="A964" s="2" t="n">
        <v>743</v>
      </c>
      <c r="B964" s="2" t="s">
        <v>15752</v>
      </c>
      <c r="C964" s="2" t="s">
        <v>24621</v>
      </c>
      <c r="D964" s="2" t="n">
        <v>843.510047698</v>
      </c>
      <c r="E964" s="2" t="n">
        <v>4.00952527673745</v>
      </c>
      <c r="F964" s="2" t="s">
        <v>24623</v>
      </c>
      <c r="G964" s="2" t="n">
        <v>58618</v>
      </c>
      <c r="H964" s="3" t="str">
        <f>HYPERLINK("http://funmeta.oebiotech.com/network/58618", "http://funmeta.oebiotech.com/network/58618")</f>
      </c>
      <c r="I964" s="2" t="s">
        <v>24625</v>
      </c>
      <c r="J964" s="2" t="s">
        <v>24626</v>
      </c>
      <c r="K964" s="2"/>
      <c r="L964" s="2"/>
      <c r="M964" s="2"/>
      <c r="N964" s="2" t="s">
        <v>24627</v>
      </c>
      <c r="O964" s="2" t="s">
        <v>24628</v>
      </c>
      <c r="P964" s="2" t="s">
        <v>24629</v>
      </c>
      <c r="Q964" s="2" t="s">
        <v>24630</v>
      </c>
      <c r="R964" s="2" t="s">
        <v>794</v>
      </c>
      <c r="S964" s="2" t="s">
        <v>1098</v>
      </c>
      <c r="T964" s="2" t="s">
        <v>7878</v>
      </c>
      <c r="U964" s="2" t="s">
        <v>24622</v>
      </c>
      <c r="V964" s="2" t="s">
        <v>17137</v>
      </c>
      <c r="W964" s="2"/>
    </row>
    <row r="965">
      <c r="A965" s="2" t="n">
        <v>744</v>
      </c>
      <c r="B965" s="2" t="s">
        <v>15753</v>
      </c>
      <c r="C965" s="2" t="s">
        <v>24631</v>
      </c>
      <c r="D965" s="2" t="n">
        <v>844.529532996</v>
      </c>
      <c r="E965" s="2" t="n">
        <v>1.04459913656858</v>
      </c>
      <c r="F965" s="2" t="s">
        <v>24633</v>
      </c>
      <c r="G965" s="2" t="n">
        <v>212716</v>
      </c>
      <c r="H965" s="3" t="str">
        <f>HYPERLINK("http://funmeta.oebiotech.com/network/212716", "http://funmeta.oebiotech.com/network/212716")</f>
      </c>
      <c r="I965" s="2" t="s">
        <v>24635</v>
      </c>
      <c r="J965" s="2"/>
      <c r="K965" s="2"/>
      <c r="L965" s="2"/>
      <c r="M965" s="2"/>
      <c r="N965" s="2" t="s">
        <v>24636</v>
      </c>
      <c r="O965" s="2"/>
      <c r="P965" s="2" t="s">
        <v>24637</v>
      </c>
      <c r="Q965" s="2" t="s">
        <v>24638</v>
      </c>
      <c r="R965" s="2" t="s">
        <v>129</v>
      </c>
      <c r="S965" s="2" t="s">
        <v>130</v>
      </c>
      <c r="T965" s="2" t="s">
        <v>1681</v>
      </c>
      <c r="U965" s="2" t="s">
        <v>24632</v>
      </c>
      <c r="V965" s="2" t="s">
        <v>17406</v>
      </c>
      <c r="W965" s="2"/>
    </row>
    <row r="966">
      <c r="A966" s="2" t="n">
        <v>745</v>
      </c>
      <c r="B966" s="2" t="s">
        <v>15754</v>
      </c>
      <c r="C966" s="2" t="s">
        <v>24639</v>
      </c>
      <c r="D966" s="2" t="n">
        <v>846.540963117</v>
      </c>
      <c r="E966" s="2" t="n">
        <v>2.53927221113472</v>
      </c>
      <c r="F966" s="2" t="s">
        <v>24641</v>
      </c>
      <c r="G966" s="2" t="n">
        <v>18276</v>
      </c>
      <c r="H966" s="3" t="str">
        <f>HYPERLINK("http://funmeta.oebiotech.com/network/18276", "http://funmeta.oebiotech.com/network/18276")</f>
      </c>
      <c r="I966" s="2" t="s">
        <v>24643</v>
      </c>
      <c r="J966" s="2" t="s">
        <v>24644</v>
      </c>
      <c r="K966" s="2" t="s">
        <v>24645</v>
      </c>
      <c r="L966" s="2" t="s">
        <v>9831</v>
      </c>
      <c r="M966" s="2" t="s">
        <v>24646</v>
      </c>
      <c r="N966" s="2" t="s">
        <v>24647</v>
      </c>
      <c r="O966" s="2"/>
      <c r="P966" s="2" t="s">
        <v>24648</v>
      </c>
      <c r="Q966" s="2" t="s">
        <v>24649</v>
      </c>
      <c r="R966" s="2" t="s">
        <v>794</v>
      </c>
      <c r="S966" s="2" t="s">
        <v>7122</v>
      </c>
      <c r="T966" s="2" t="s">
        <v>8460</v>
      </c>
      <c r="U966" s="2" t="s">
        <v>24640</v>
      </c>
      <c r="V966" s="2" t="s">
        <v>17406</v>
      </c>
      <c r="W966" s="2" t="s">
        <v>56</v>
      </c>
    </row>
    <row r="967">
      <c r="A967" s="2" t="n">
        <v>746</v>
      </c>
      <c r="B967" s="2" t="s">
        <v>15755</v>
      </c>
      <c r="C967" s="2" t="s">
        <v>24650</v>
      </c>
      <c r="D967" s="2" t="n">
        <v>848.556613181</v>
      </c>
      <c r="E967" s="2" t="n">
        <v>3.86785503540596</v>
      </c>
      <c r="F967" s="2" t="s">
        <v>24652</v>
      </c>
      <c r="G967" s="2" t="n">
        <v>18275</v>
      </c>
      <c r="H967" s="3" t="str">
        <f>HYPERLINK("http://funmeta.oebiotech.com/network/18275", "http://funmeta.oebiotech.com/network/18275")</f>
      </c>
      <c r="I967" s="2" t="s">
        <v>24654</v>
      </c>
      <c r="J967" s="2" t="s">
        <v>24655</v>
      </c>
      <c r="K967" s="2" t="s">
        <v>24656</v>
      </c>
      <c r="L967" s="2" t="s">
        <v>9831</v>
      </c>
      <c r="M967" s="2" t="s">
        <v>24657</v>
      </c>
      <c r="N967" s="2" t="s">
        <v>24658</v>
      </c>
      <c r="O967" s="2"/>
      <c r="P967" s="2" t="s">
        <v>24659</v>
      </c>
      <c r="Q967" s="2" t="s">
        <v>24660</v>
      </c>
      <c r="R967" s="2" t="s">
        <v>794</v>
      </c>
      <c r="S967" s="2" t="s">
        <v>7122</v>
      </c>
      <c r="T967" s="2" t="s">
        <v>8460</v>
      </c>
      <c r="U967" s="2" t="s">
        <v>24651</v>
      </c>
      <c r="V967" s="2" t="s">
        <v>17406</v>
      </c>
      <c r="W967" s="2" t="s">
        <v>56</v>
      </c>
    </row>
    <row r="968">
      <c r="A968" s="2" t="n">
        <v>747</v>
      </c>
      <c r="B968" s="2" t="s">
        <v>15780</v>
      </c>
      <c r="C968" s="2" t="s">
        <v>24661</v>
      </c>
      <c r="D968" s="2" t="n">
        <v>852.553780989</v>
      </c>
      <c r="E968" s="2" t="n">
        <v>1.86550886167083</v>
      </c>
      <c r="F968" s="2" t="s">
        <v>24663</v>
      </c>
      <c r="G968" s="2" t="n">
        <v>18494</v>
      </c>
      <c r="H968" s="3" t="str">
        <f>HYPERLINK("http://funmeta.oebiotech.com/network/18494", "http://funmeta.oebiotech.com/network/18494")</f>
      </c>
      <c r="I968" s="2" t="s">
        <v>24665</v>
      </c>
      <c r="J968" s="2" t="s">
        <v>24666</v>
      </c>
      <c r="K968" s="2" t="s">
        <v>24667</v>
      </c>
      <c r="L968" s="2" t="s">
        <v>9831</v>
      </c>
      <c r="M968" s="2"/>
      <c r="N968" s="2" t="s">
        <v>24668</v>
      </c>
      <c r="O968" s="2"/>
      <c r="P968" s="2" t="s">
        <v>24669</v>
      </c>
      <c r="Q968" s="2" t="s">
        <v>24670</v>
      </c>
      <c r="R968" s="2" t="s">
        <v>794</v>
      </c>
      <c r="S968" s="2" t="s">
        <v>7122</v>
      </c>
      <c r="T968" s="2" t="s">
        <v>8460</v>
      </c>
      <c r="U968" s="2" t="s">
        <v>24662</v>
      </c>
      <c r="V968" s="2" t="s">
        <v>17137</v>
      </c>
      <c r="W968" s="2" t="s">
        <v>56</v>
      </c>
    </row>
    <row r="969">
      <c r="A969" s="2" t="n">
        <v>748</v>
      </c>
      <c r="B969" s="2" t="s">
        <v>15781</v>
      </c>
      <c r="C969" s="2" t="s">
        <v>24671</v>
      </c>
      <c r="D969" s="2" t="n">
        <v>853.548156622</v>
      </c>
      <c r="E969" s="2" t="n">
        <v>4.4386100624873</v>
      </c>
      <c r="F969" s="2" t="s">
        <v>24673</v>
      </c>
      <c r="G969" s="2" t="n">
        <v>212179</v>
      </c>
      <c r="H969" s="3" t="str">
        <f>HYPERLINK("http://funmeta.oebiotech.com/network/212179", "http://funmeta.oebiotech.com/network/212179")</f>
      </c>
      <c r="I969" s="2" t="s">
        <v>24675</v>
      </c>
      <c r="J969" s="2"/>
      <c r="K969" s="2"/>
      <c r="L969" s="2"/>
      <c r="M969" s="2"/>
      <c r="N969" s="2"/>
      <c r="O969" s="2"/>
      <c r="P969" s="2" t="s">
        <v>24676</v>
      </c>
      <c r="Q969" s="2" t="s">
        <v>24677</v>
      </c>
      <c r="R969" s="2" t="s">
        <v>36</v>
      </c>
      <c r="S969" s="2" t="s">
        <v>37</v>
      </c>
      <c r="T969" s="2" t="s">
        <v>69</v>
      </c>
      <c r="U969" s="2" t="s">
        <v>24672</v>
      </c>
      <c r="V969" s="2" t="s">
        <v>17892</v>
      </c>
      <c r="W969" s="2"/>
    </row>
    <row r="970">
      <c r="A970" s="2" t="n">
        <v>749</v>
      </c>
      <c r="B970" s="2" t="s">
        <v>15782</v>
      </c>
      <c r="C970" s="2" t="s">
        <v>24678</v>
      </c>
      <c r="D970" s="2" t="n">
        <v>854.546048495</v>
      </c>
      <c r="E970" s="2" t="n">
        <v>5.77956098353336</v>
      </c>
      <c r="F970" s="2" t="s">
        <v>24680</v>
      </c>
      <c r="G970" s="2" t="n">
        <v>49874</v>
      </c>
      <c r="H970" s="3" t="str">
        <f>HYPERLINK("http://funmeta.oebiotech.com/network/49874", "http://funmeta.oebiotech.com/network/49874")</f>
      </c>
      <c r="I970" s="2" t="s">
        <v>24682</v>
      </c>
      <c r="J970" s="2" t="s">
        <v>24683</v>
      </c>
      <c r="K970" s="2"/>
      <c r="L970" s="2" t="s">
        <v>9831</v>
      </c>
      <c r="M970" s="2"/>
      <c r="N970" s="2" t="s">
        <v>24684</v>
      </c>
      <c r="O970" s="2"/>
      <c r="P970" s="2" t="s">
        <v>24685</v>
      </c>
      <c r="Q970" s="2" t="s">
        <v>24686</v>
      </c>
      <c r="R970" s="2" t="s">
        <v>794</v>
      </c>
      <c r="S970" s="2" t="s">
        <v>7122</v>
      </c>
      <c r="T970" s="2" t="s">
        <v>8460</v>
      </c>
      <c r="U970" s="2" t="s">
        <v>24679</v>
      </c>
      <c r="V970" s="2" t="s">
        <v>17406</v>
      </c>
      <c r="W970" s="2" t="s">
        <v>101</v>
      </c>
    </row>
    <row r="971">
      <c r="A971" s="2" t="n">
        <v>750</v>
      </c>
      <c r="B971" s="2" t="s">
        <v>15783</v>
      </c>
      <c r="C971" s="2" t="s">
        <v>24687</v>
      </c>
      <c r="D971" s="2" t="n">
        <v>855.551666825</v>
      </c>
      <c r="E971" s="2" t="n">
        <v>0.0801911896832066</v>
      </c>
      <c r="F971" s="2" t="s">
        <v>24689</v>
      </c>
      <c r="G971" s="2" t="n">
        <v>136206</v>
      </c>
      <c r="H971" s="3" t="str">
        <f>HYPERLINK("http://funmeta.oebiotech.com/network/136206", "http://funmeta.oebiotech.com/network/136206")</f>
      </c>
      <c r="I971" s="2" t="s">
        <v>24691</v>
      </c>
      <c r="J971" s="2"/>
      <c r="K971" s="2"/>
      <c r="L971" s="2"/>
      <c r="M971" s="2"/>
      <c r="N971" s="2" t="s">
        <v>24692</v>
      </c>
      <c r="O971" s="2"/>
      <c r="P971" s="2" t="s">
        <v>24693</v>
      </c>
      <c r="Q971" s="2" t="s">
        <v>24694</v>
      </c>
      <c r="R971" s="2" t="s">
        <v>794</v>
      </c>
      <c r="S971" s="2" t="s">
        <v>7122</v>
      </c>
      <c r="T971" s="2" t="s">
        <v>10968</v>
      </c>
      <c r="U971" s="2" t="s">
        <v>24688</v>
      </c>
      <c r="V971" s="2" t="s">
        <v>17039</v>
      </c>
      <c r="W971" s="2"/>
    </row>
    <row r="972">
      <c r="A972" s="2" t="n">
        <v>751</v>
      </c>
      <c r="B972" s="2" t="s">
        <v>15784</v>
      </c>
      <c r="C972" s="2" t="s">
        <v>24695</v>
      </c>
      <c r="D972" s="2" t="n">
        <v>858.573551257</v>
      </c>
      <c r="E972" s="2" t="n">
        <v>1.57651064938238</v>
      </c>
      <c r="F972" s="2" t="s">
        <v>24697</v>
      </c>
      <c r="G972" s="2" t="n">
        <v>51991</v>
      </c>
      <c r="H972" s="3" t="str">
        <f>HYPERLINK("http://funmeta.oebiotech.com/network/51991", "http://funmeta.oebiotech.com/network/51991")</f>
      </c>
      <c r="I972" s="2" t="s">
        <v>24699</v>
      </c>
      <c r="J972" s="2" t="s">
        <v>24700</v>
      </c>
      <c r="K972" s="2"/>
      <c r="L972" s="2" t="s">
        <v>11453</v>
      </c>
      <c r="M972" s="2"/>
      <c r="N972" s="2" t="s">
        <v>24701</v>
      </c>
      <c r="O972" s="2" t="s">
        <v>24702</v>
      </c>
      <c r="P972" s="2" t="s">
        <v>24703</v>
      </c>
      <c r="Q972" s="2" t="s">
        <v>24704</v>
      </c>
      <c r="R972" s="2" t="s">
        <v>794</v>
      </c>
      <c r="S972" s="2" t="s">
        <v>7781</v>
      </c>
      <c r="T972" s="2" t="s">
        <v>11458</v>
      </c>
      <c r="U972" s="2" t="s">
        <v>24696</v>
      </c>
      <c r="V972" s="2" t="s">
        <v>17198</v>
      </c>
      <c r="W972" s="2" t="s">
        <v>101</v>
      </c>
    </row>
    <row r="973">
      <c r="A973" s="2" t="n">
        <v>752</v>
      </c>
      <c r="B973" s="2" t="s">
        <v>15802</v>
      </c>
      <c r="C973" s="2" t="s">
        <v>24705</v>
      </c>
      <c r="D973" s="2" t="n">
        <v>859.569606904</v>
      </c>
      <c r="E973" s="2" t="n">
        <v>2.53999849245454</v>
      </c>
      <c r="F973" s="2" t="s">
        <v>24707</v>
      </c>
      <c r="G973" s="2" t="n">
        <v>203670</v>
      </c>
      <c r="H973" s="3" t="str">
        <f>HYPERLINK("http://funmeta.oebiotech.com/network/203670", "http://funmeta.oebiotech.com/network/203670")</f>
      </c>
      <c r="I973" s="2" t="s">
        <v>24709</v>
      </c>
      <c r="J973" s="2"/>
      <c r="K973" s="2"/>
      <c r="L973" s="2"/>
      <c r="M973" s="2"/>
      <c r="N973" s="2" t="s">
        <v>24710</v>
      </c>
      <c r="O973" s="2"/>
      <c r="P973" s="2" t="s">
        <v>24711</v>
      </c>
      <c r="Q973" s="2" t="s">
        <v>24712</v>
      </c>
      <c r="R973" s="2" t="s">
        <v>114</v>
      </c>
      <c r="S973" s="2" t="s">
        <v>24713</v>
      </c>
      <c r="T973" s="2" t="s">
        <v>24714</v>
      </c>
      <c r="U973" s="2" t="s">
        <v>24706</v>
      </c>
      <c r="V973" s="2" t="s">
        <v>17227</v>
      </c>
      <c r="W973" s="2"/>
    </row>
    <row r="974">
      <c r="A974" s="2" t="n">
        <v>753</v>
      </c>
      <c r="B974" s="2" t="s">
        <v>15803</v>
      </c>
      <c r="C974" s="2" t="s">
        <v>24715</v>
      </c>
      <c r="D974" s="2" t="n">
        <v>860.559455053</v>
      </c>
      <c r="E974" s="2" t="n">
        <v>8.61044894358439</v>
      </c>
      <c r="F974" s="2" t="s">
        <v>24717</v>
      </c>
      <c r="G974" s="2" t="n">
        <v>18523</v>
      </c>
      <c r="H974" s="3" t="str">
        <f>HYPERLINK("http://funmeta.oebiotech.com/network/18523", "http://funmeta.oebiotech.com/network/18523")</f>
      </c>
      <c r="I974" s="2" t="s">
        <v>24719</v>
      </c>
      <c r="J974" s="2" t="s">
        <v>24720</v>
      </c>
      <c r="K974" s="2" t="s">
        <v>24721</v>
      </c>
      <c r="L974" s="2" t="s">
        <v>9831</v>
      </c>
      <c r="M974" s="2"/>
      <c r="N974" s="2" t="s">
        <v>24722</v>
      </c>
      <c r="O974" s="2"/>
      <c r="P974" s="2" t="s">
        <v>24723</v>
      </c>
      <c r="Q974" s="2" t="s">
        <v>24724</v>
      </c>
      <c r="R974" s="2" t="s">
        <v>794</v>
      </c>
      <c r="S974" s="2" t="s">
        <v>7122</v>
      </c>
      <c r="T974" s="2" t="s">
        <v>8460</v>
      </c>
      <c r="U974" s="2" t="s">
        <v>24716</v>
      </c>
      <c r="V974" s="2" t="s">
        <v>17039</v>
      </c>
      <c r="W974" s="2" t="s">
        <v>39</v>
      </c>
    </row>
    <row r="975">
      <c r="A975" s="2" t="n">
        <v>754</v>
      </c>
      <c r="B975" s="2" t="s">
        <v>15804</v>
      </c>
      <c r="C975" s="2" t="s">
        <v>24725</v>
      </c>
      <c r="D975" s="2" t="n">
        <v>861.54875519</v>
      </c>
      <c r="E975" s="2" t="n">
        <v>4.65559751248768</v>
      </c>
      <c r="F975" s="2" t="s">
        <v>24727</v>
      </c>
      <c r="G975" s="2" t="n">
        <v>50435</v>
      </c>
      <c r="H975" s="3" t="str">
        <f>HYPERLINK("http://funmeta.oebiotech.com/network/50435", "http://funmeta.oebiotech.com/network/50435")</f>
      </c>
      <c r="I975" s="2" t="s">
        <v>24729</v>
      </c>
      <c r="J975" s="2"/>
      <c r="K975" s="2"/>
      <c r="L975" s="2"/>
      <c r="M975" s="2" t="s">
        <v>24730</v>
      </c>
      <c r="N975" s="2"/>
      <c r="O975" s="2"/>
      <c r="P975" s="2" t="s">
        <v>24731</v>
      </c>
      <c r="Q975" s="2" t="s">
        <v>24732</v>
      </c>
      <c r="R975" s="2" t="s">
        <v>794</v>
      </c>
      <c r="S975" s="2" t="s">
        <v>7122</v>
      </c>
      <c r="T975" s="2" t="s">
        <v>9394</v>
      </c>
      <c r="U975" s="2" t="s">
        <v>24726</v>
      </c>
      <c r="V975" s="2" t="s">
        <v>17137</v>
      </c>
      <c r="W975" s="2"/>
    </row>
    <row r="976">
      <c r="A976" s="2" t="n">
        <v>755</v>
      </c>
      <c r="B976" s="2" t="s">
        <v>15837</v>
      </c>
      <c r="C976" s="2" t="s">
        <v>24733</v>
      </c>
      <c r="D976" s="2" t="n">
        <v>862.559260778</v>
      </c>
      <c r="E976" s="2" t="n">
        <v>0.560714714055763</v>
      </c>
      <c r="F976" s="2" t="s">
        <v>24735</v>
      </c>
      <c r="G976" s="2" t="n">
        <v>21818</v>
      </c>
      <c r="H976" s="3" t="str">
        <f>HYPERLINK("http://funmeta.oebiotech.com/network/21818", "http://funmeta.oebiotech.com/network/21818")</f>
      </c>
      <c r="I976" s="2" t="s">
        <v>24737</v>
      </c>
      <c r="J976" s="2" t="s">
        <v>24738</v>
      </c>
      <c r="K976" s="2" t="s">
        <v>24739</v>
      </c>
      <c r="L976" s="2"/>
      <c r="M976" s="2"/>
      <c r="N976" s="2" t="s">
        <v>24740</v>
      </c>
      <c r="O976" s="2"/>
      <c r="P976" s="2" t="s">
        <v>24741</v>
      </c>
      <c r="Q976" s="2" t="s">
        <v>24742</v>
      </c>
      <c r="R976" s="2" t="s">
        <v>794</v>
      </c>
      <c r="S976" s="2" t="s">
        <v>7122</v>
      </c>
      <c r="T976" s="2" t="s">
        <v>8876</v>
      </c>
      <c r="U976" s="2" t="s">
        <v>24734</v>
      </c>
      <c r="V976" s="2" t="s">
        <v>17137</v>
      </c>
      <c r="W976" s="2" t="s">
        <v>56</v>
      </c>
    </row>
    <row r="977">
      <c r="A977" s="2" t="n">
        <v>756</v>
      </c>
      <c r="B977" s="2" t="s">
        <v>15838</v>
      </c>
      <c r="C977" s="2" t="s">
        <v>24743</v>
      </c>
      <c r="D977" s="2" t="n">
        <v>863.541622598</v>
      </c>
      <c r="E977" s="2" t="n">
        <v>9.52196227076415</v>
      </c>
      <c r="F977" s="2" t="s">
        <v>24745</v>
      </c>
      <c r="G977" s="2" t="n">
        <v>82880</v>
      </c>
      <c r="H977" s="3" t="str">
        <f>HYPERLINK("http://funmeta.oebiotech.com/network/82880", "http://funmeta.oebiotech.com/network/82880")</f>
      </c>
      <c r="I977" s="2" t="s">
        <v>24747</v>
      </c>
      <c r="J977" s="2"/>
      <c r="K977" s="2"/>
      <c r="L977" s="2"/>
      <c r="M977" s="2"/>
      <c r="N977" s="2" t="s">
        <v>24748</v>
      </c>
      <c r="O977" s="2"/>
      <c r="P977" s="2" t="s">
        <v>24749</v>
      </c>
      <c r="Q977" s="2" t="s">
        <v>24750</v>
      </c>
      <c r="R977" s="2" t="s">
        <v>186</v>
      </c>
      <c r="S977" s="2" t="s">
        <v>187</v>
      </c>
      <c r="T977" s="2" t="s">
        <v>24751</v>
      </c>
      <c r="U977" s="2" t="s">
        <v>24744</v>
      </c>
      <c r="V977" s="2" t="s">
        <v>18382</v>
      </c>
      <c r="W977" s="2" t="s">
        <v>56</v>
      </c>
    </row>
    <row r="978">
      <c r="A978" s="2" t="n">
        <v>757</v>
      </c>
      <c r="B978" s="2" t="s">
        <v>15839</v>
      </c>
      <c r="C978" s="2" t="s">
        <v>24752</v>
      </c>
      <c r="D978" s="2" t="n">
        <v>866.526032099</v>
      </c>
      <c r="E978" s="2" t="n">
        <v>0.653369967881353</v>
      </c>
      <c r="F978" s="2" t="s">
        <v>24754</v>
      </c>
      <c r="G978" s="2" t="n">
        <v>205214</v>
      </c>
      <c r="H978" s="3" t="str">
        <f>HYPERLINK("http://funmeta.oebiotech.com/network/205214", "http://funmeta.oebiotech.com/network/205214")</f>
      </c>
      <c r="I978" s="2" t="s">
        <v>24756</v>
      </c>
      <c r="J978" s="2"/>
      <c r="K978" s="2"/>
      <c r="L978" s="2"/>
      <c r="M978" s="2"/>
      <c r="N978" s="2" t="s">
        <v>24757</v>
      </c>
      <c r="O978" s="2"/>
      <c r="P978" s="2" t="s">
        <v>24758</v>
      </c>
      <c r="Q978" s="2" t="s">
        <v>24759</v>
      </c>
      <c r="R978" s="2" t="s">
        <v>1355</v>
      </c>
      <c r="S978" s="2" t="s">
        <v>6478</v>
      </c>
      <c r="T978" s="2" t="s">
        <v>215</v>
      </c>
      <c r="U978" s="2" t="s">
        <v>24753</v>
      </c>
      <c r="V978" s="2" t="s">
        <v>17137</v>
      </c>
      <c r="W978" s="2"/>
    </row>
    <row r="979">
      <c r="A979" s="2" t="n">
        <v>758</v>
      </c>
      <c r="B979" s="2" t="s">
        <v>15840</v>
      </c>
      <c r="C979" s="2" t="s">
        <v>24760</v>
      </c>
      <c r="D979" s="2" t="n">
        <v>868.525313053</v>
      </c>
      <c r="E979" s="2" t="n">
        <v>1.10642483055184</v>
      </c>
      <c r="F979" s="2" t="s">
        <v>24762</v>
      </c>
      <c r="G979" s="2" t="n">
        <v>18429</v>
      </c>
      <c r="H979" s="3" t="str">
        <f>HYPERLINK("http://funmeta.oebiotech.com/network/18429", "http://funmeta.oebiotech.com/network/18429")</f>
      </c>
      <c r="I979" s="2" t="s">
        <v>24764</v>
      </c>
      <c r="J979" s="2" t="s">
        <v>24765</v>
      </c>
      <c r="K979" s="2" t="s">
        <v>24766</v>
      </c>
      <c r="L979" s="2" t="s">
        <v>9831</v>
      </c>
      <c r="M979" s="2"/>
      <c r="N979" s="2" t="s">
        <v>24767</v>
      </c>
      <c r="O979" s="2"/>
      <c r="P979" s="2" t="s">
        <v>24768</v>
      </c>
      <c r="Q979" s="2" t="s">
        <v>24769</v>
      </c>
      <c r="R979" s="2" t="s">
        <v>794</v>
      </c>
      <c r="S979" s="2" t="s">
        <v>7122</v>
      </c>
      <c r="T979" s="2" t="s">
        <v>8460</v>
      </c>
      <c r="U979" s="2" t="s">
        <v>24761</v>
      </c>
      <c r="V979" s="2" t="s">
        <v>17406</v>
      </c>
      <c r="W979" s="2" t="s">
        <v>39</v>
      </c>
    </row>
    <row r="980">
      <c r="A980" s="2" t="n">
        <v>759</v>
      </c>
      <c r="B980" s="2" t="s">
        <v>15841</v>
      </c>
      <c r="C980" s="2" t="s">
        <v>24770</v>
      </c>
      <c r="D980" s="2" t="n">
        <v>869.525697762</v>
      </c>
      <c r="E980" s="2" t="n">
        <v>0.672656751338917</v>
      </c>
      <c r="F980" s="2" t="s">
        <v>24772</v>
      </c>
      <c r="G980" s="2" t="n">
        <v>64443</v>
      </c>
      <c r="H980" s="3" t="str">
        <f>HYPERLINK("http://funmeta.oebiotech.com/network/64443", "http://funmeta.oebiotech.com/network/64443")</f>
      </c>
      <c r="I980" s="2" t="s">
        <v>24774</v>
      </c>
      <c r="J980" s="2" t="s">
        <v>24775</v>
      </c>
      <c r="K980" s="2"/>
      <c r="L980" s="2"/>
      <c r="M980" s="2"/>
      <c r="N980" s="2" t="s">
        <v>24776</v>
      </c>
      <c r="O980" s="2" t="s">
        <v>24777</v>
      </c>
      <c r="P980" s="2" t="s">
        <v>24778</v>
      </c>
      <c r="Q980" s="2" t="s">
        <v>24779</v>
      </c>
      <c r="R980" s="2" t="s">
        <v>794</v>
      </c>
      <c r="S980" s="2" t="s">
        <v>1098</v>
      </c>
      <c r="T980" s="2" t="s">
        <v>7646</v>
      </c>
      <c r="U980" s="2" t="s">
        <v>24771</v>
      </c>
      <c r="V980" s="2" t="s">
        <v>17137</v>
      </c>
      <c r="W980" s="2"/>
    </row>
    <row r="981">
      <c r="A981" s="2" t="n">
        <v>760</v>
      </c>
      <c r="B981" s="2" t="s">
        <v>15842</v>
      </c>
      <c r="C981" s="2" t="s">
        <v>24780</v>
      </c>
      <c r="D981" s="2" t="n">
        <v>869.699383081</v>
      </c>
      <c r="E981" s="2" t="n">
        <v>0.754924094135117</v>
      </c>
      <c r="F981" s="2" t="s">
        <v>24782</v>
      </c>
      <c r="G981" s="2" t="n">
        <v>135238</v>
      </c>
      <c r="H981" s="3" t="str">
        <f>HYPERLINK("http://funmeta.oebiotech.com/network/135238", "http://funmeta.oebiotech.com/network/135238")</f>
      </c>
      <c r="I981" s="2" t="s">
        <v>24784</v>
      </c>
      <c r="J981" s="2"/>
      <c r="K981" s="2"/>
      <c r="L981" s="2"/>
      <c r="M981" s="2"/>
      <c r="N981" s="2" t="s">
        <v>24785</v>
      </c>
      <c r="O981" s="2"/>
      <c r="P981" s="2" t="s">
        <v>24786</v>
      </c>
      <c r="Q981" s="2" t="s">
        <v>24787</v>
      </c>
      <c r="R981" s="2" t="s">
        <v>794</v>
      </c>
      <c r="S981" s="2" t="s">
        <v>7122</v>
      </c>
      <c r="T981" s="2" t="s">
        <v>7123</v>
      </c>
      <c r="U981" s="2" t="s">
        <v>24781</v>
      </c>
      <c r="V981" s="2" t="s">
        <v>17137</v>
      </c>
      <c r="W981" s="2"/>
    </row>
    <row r="982">
      <c r="A982" s="2" t="n">
        <v>761</v>
      </c>
      <c r="B982" s="2" t="s">
        <v>15843</v>
      </c>
      <c r="C982" s="2" t="s">
        <v>24788</v>
      </c>
      <c r="D982" s="2" t="n">
        <v>870.540963117</v>
      </c>
      <c r="E982" s="2" t="n">
        <v>0.917383496168833</v>
      </c>
      <c r="F982" s="2" t="s">
        <v>24790</v>
      </c>
      <c r="G982" s="2" t="n">
        <v>18382</v>
      </c>
      <c r="H982" s="3" t="str">
        <f>HYPERLINK("http://funmeta.oebiotech.com/network/18382", "http://funmeta.oebiotech.com/network/18382")</f>
      </c>
      <c r="I982" s="2" t="s">
        <v>24792</v>
      </c>
      <c r="J982" s="2" t="s">
        <v>24793</v>
      </c>
      <c r="K982" s="2" t="s">
        <v>24794</v>
      </c>
      <c r="L982" s="2" t="s">
        <v>9831</v>
      </c>
      <c r="M982" s="2" t="s">
        <v>24795</v>
      </c>
      <c r="N982" s="2" t="s">
        <v>24796</v>
      </c>
      <c r="O982" s="2"/>
      <c r="P982" s="2" t="s">
        <v>24797</v>
      </c>
      <c r="Q982" s="2" t="s">
        <v>24798</v>
      </c>
      <c r="R982" s="2" t="s">
        <v>794</v>
      </c>
      <c r="S982" s="2" t="s">
        <v>7122</v>
      </c>
      <c r="T982" s="2" t="s">
        <v>8460</v>
      </c>
      <c r="U982" s="2" t="s">
        <v>24789</v>
      </c>
      <c r="V982" s="2" t="s">
        <v>17406</v>
      </c>
      <c r="W982" s="2" t="s">
        <v>39</v>
      </c>
    </row>
    <row r="983">
      <c r="A983" s="2" t="n">
        <v>762</v>
      </c>
      <c r="B983" s="2" t="s">
        <v>15844</v>
      </c>
      <c r="C983" s="2" t="s">
        <v>24799</v>
      </c>
      <c r="D983" s="2" t="n">
        <v>872.556613181</v>
      </c>
      <c r="E983" s="2" t="n">
        <v>5.38222581136741</v>
      </c>
      <c r="F983" s="2" t="s">
        <v>24801</v>
      </c>
      <c r="G983" s="2" t="n">
        <v>18366</v>
      </c>
      <c r="H983" s="3" t="str">
        <f>HYPERLINK("http://funmeta.oebiotech.com/network/18366", "http://funmeta.oebiotech.com/network/18366")</f>
      </c>
      <c r="I983" s="2" t="s">
        <v>24803</v>
      </c>
      <c r="J983" s="2" t="s">
        <v>24804</v>
      </c>
      <c r="K983" s="2" t="s">
        <v>24805</v>
      </c>
      <c r="L983" s="2" t="s">
        <v>9831</v>
      </c>
      <c r="M983" s="2" t="s">
        <v>24806</v>
      </c>
      <c r="N983" s="2" t="s">
        <v>24807</v>
      </c>
      <c r="O983" s="2"/>
      <c r="P983" s="2" t="s">
        <v>24808</v>
      </c>
      <c r="Q983" s="2" t="s">
        <v>24809</v>
      </c>
      <c r="R983" s="2" t="s">
        <v>794</v>
      </c>
      <c r="S983" s="2" t="s">
        <v>7122</v>
      </c>
      <c r="T983" s="2" t="s">
        <v>8460</v>
      </c>
      <c r="U983" s="2" t="s">
        <v>24800</v>
      </c>
      <c r="V983" s="2" t="s">
        <v>17406</v>
      </c>
      <c r="W983" s="2" t="s">
        <v>39</v>
      </c>
    </row>
    <row r="984">
      <c r="A984" s="2" t="n">
        <v>763</v>
      </c>
      <c r="B984" s="2" t="s">
        <v>15860</v>
      </c>
      <c r="C984" s="2" t="s">
        <v>24810</v>
      </c>
      <c r="D984" s="2" t="n">
        <v>875.579777664</v>
      </c>
      <c r="E984" s="2" t="n">
        <v>9.30373607531591</v>
      </c>
      <c r="F984" s="2" t="s">
        <v>24812</v>
      </c>
      <c r="G984" s="2" t="n">
        <v>52034</v>
      </c>
      <c r="H984" s="3" t="str">
        <f>HYPERLINK("http://funmeta.oebiotech.com/network/52034", "http://funmeta.oebiotech.com/network/52034")</f>
      </c>
      <c r="I984" s="2" t="s">
        <v>24814</v>
      </c>
      <c r="J984" s="2"/>
      <c r="K984" s="2"/>
      <c r="L984" s="2"/>
      <c r="M984" s="2" t="s">
        <v>24815</v>
      </c>
      <c r="N984" s="2" t="s">
        <v>24816</v>
      </c>
      <c r="O984" s="2"/>
      <c r="P984" s="2" t="s">
        <v>24817</v>
      </c>
      <c r="Q984" s="2" t="s">
        <v>24818</v>
      </c>
      <c r="R984" s="2" t="s">
        <v>794</v>
      </c>
      <c r="S984" s="2" t="s">
        <v>1098</v>
      </c>
      <c r="T984" s="2" t="s">
        <v>3079</v>
      </c>
      <c r="U984" s="2" t="s">
        <v>24811</v>
      </c>
      <c r="V984" s="2" t="s">
        <v>17227</v>
      </c>
      <c r="W984" s="2" t="s">
        <v>56</v>
      </c>
    </row>
    <row r="985">
      <c r="A985" s="2" t="n">
        <v>764</v>
      </c>
      <c r="B985" s="2" t="s">
        <v>15861</v>
      </c>
      <c r="C985" s="2" t="s">
        <v>24819</v>
      </c>
      <c r="D985" s="2" t="n">
        <v>876.564527751</v>
      </c>
      <c r="E985" s="2" t="n">
        <v>2.99200437241393</v>
      </c>
      <c r="F985" s="2" t="s">
        <v>24821</v>
      </c>
      <c r="G985" s="2" t="n">
        <v>49654</v>
      </c>
      <c r="H985" s="3" t="str">
        <f>HYPERLINK("http://funmeta.oebiotech.com/network/49654", "http://funmeta.oebiotech.com/network/49654")</f>
      </c>
      <c r="I985" s="2" t="s">
        <v>24823</v>
      </c>
      <c r="J985" s="2" t="s">
        <v>24824</v>
      </c>
      <c r="K985" s="2"/>
      <c r="L985" s="2" t="s">
        <v>9831</v>
      </c>
      <c r="M985" s="2"/>
      <c r="N985" s="2" t="s">
        <v>24825</v>
      </c>
      <c r="O985" s="2"/>
      <c r="P985" s="2" t="s">
        <v>24826</v>
      </c>
      <c r="Q985" s="2" t="s">
        <v>24827</v>
      </c>
      <c r="R985" s="2" t="s">
        <v>794</v>
      </c>
      <c r="S985" s="2" t="s">
        <v>7122</v>
      </c>
      <c r="T985" s="2" t="s">
        <v>8460</v>
      </c>
      <c r="U985" s="2" t="s">
        <v>24820</v>
      </c>
      <c r="V985" s="2" t="s">
        <v>17520</v>
      </c>
      <c r="W985" s="2" t="s">
        <v>56</v>
      </c>
    </row>
    <row r="986">
      <c r="A986" s="2" t="n">
        <v>765</v>
      </c>
      <c r="B986" s="2" t="s">
        <v>15862</v>
      </c>
      <c r="C986" s="2" t="s">
        <v>24828</v>
      </c>
      <c r="D986" s="2" t="n">
        <v>877.556556484</v>
      </c>
      <c r="E986" s="2" t="n">
        <v>1.27195049984461</v>
      </c>
      <c r="F986" s="2" t="s">
        <v>24830</v>
      </c>
      <c r="G986" s="2" t="n">
        <v>49557</v>
      </c>
      <c r="H986" s="3" t="str">
        <f>HYPERLINK("http://funmeta.oebiotech.com/network/49557", "http://funmeta.oebiotech.com/network/49557")</f>
      </c>
      <c r="I986" s="2" t="s">
        <v>24832</v>
      </c>
      <c r="J986" s="2"/>
      <c r="K986" s="2"/>
      <c r="L986" s="2"/>
      <c r="M986" s="2"/>
      <c r="N986" s="2" t="s">
        <v>24833</v>
      </c>
      <c r="O986" s="2"/>
      <c r="P986" s="2" t="s">
        <v>24834</v>
      </c>
      <c r="Q986" s="2" t="s">
        <v>24835</v>
      </c>
      <c r="R986" s="2" t="s">
        <v>794</v>
      </c>
      <c r="S986" s="2" t="s">
        <v>7122</v>
      </c>
      <c r="T986" s="2" t="s">
        <v>7123</v>
      </c>
      <c r="U986" s="2" t="s">
        <v>24829</v>
      </c>
      <c r="V986" s="2" t="s">
        <v>18382</v>
      </c>
      <c r="W986" s="2" t="s">
        <v>56</v>
      </c>
    </row>
    <row r="987">
      <c r="A987" s="2" t="n">
        <v>766</v>
      </c>
      <c r="B987" s="2" t="s">
        <v>15863</v>
      </c>
      <c r="C987" s="2" t="s">
        <v>24836</v>
      </c>
      <c r="D987" s="2" t="n">
        <v>878.530792842</v>
      </c>
      <c r="E987" s="2" t="n">
        <v>7.83736760781148</v>
      </c>
      <c r="F987" s="2" t="s">
        <v>24838</v>
      </c>
      <c r="G987" s="2" t="n">
        <v>22144</v>
      </c>
      <c r="H987" s="3" t="str">
        <f>HYPERLINK("http://funmeta.oebiotech.com/network/22144", "http://funmeta.oebiotech.com/network/22144")</f>
      </c>
      <c r="I987" s="2" t="s">
        <v>24840</v>
      </c>
      <c r="J987" s="2" t="s">
        <v>24841</v>
      </c>
      <c r="K987" s="2" t="s">
        <v>24842</v>
      </c>
      <c r="L987" s="2"/>
      <c r="M987" s="2" t="s">
        <v>24843</v>
      </c>
      <c r="N987" s="2" t="s">
        <v>24844</v>
      </c>
      <c r="O987" s="2"/>
      <c r="P987" s="2" t="s">
        <v>24845</v>
      </c>
      <c r="Q987" s="2" t="s">
        <v>24846</v>
      </c>
      <c r="R987" s="2" t="s">
        <v>794</v>
      </c>
      <c r="S987" s="2" t="s">
        <v>7122</v>
      </c>
      <c r="T987" s="2" t="s">
        <v>8876</v>
      </c>
      <c r="U987" s="2" t="s">
        <v>24837</v>
      </c>
      <c r="V987" s="2" t="s">
        <v>17406</v>
      </c>
      <c r="W987" s="2" t="s">
        <v>39</v>
      </c>
    </row>
    <row r="988">
      <c r="A988" s="2" t="n">
        <v>767</v>
      </c>
      <c r="B988" s="2" t="s">
        <v>15885</v>
      </c>
      <c r="C988" s="2" t="s">
        <v>24847</v>
      </c>
      <c r="D988" s="2" t="n">
        <v>879.538928974</v>
      </c>
      <c r="E988" s="2" t="n">
        <v>6.96028810046924</v>
      </c>
      <c r="F988" s="2" t="s">
        <v>24849</v>
      </c>
      <c r="G988" s="2" t="n">
        <v>203479</v>
      </c>
      <c r="H988" s="3" t="str">
        <f>HYPERLINK("http://funmeta.oebiotech.com/network/203479", "http://funmeta.oebiotech.com/network/203479")</f>
      </c>
      <c r="I988" s="2" t="s">
        <v>24851</v>
      </c>
      <c r="J988" s="2" t="s">
        <v>24852</v>
      </c>
      <c r="K988" s="2"/>
      <c r="L988" s="2"/>
      <c r="M988" s="2"/>
      <c r="N988" s="2" t="s">
        <v>24853</v>
      </c>
      <c r="O988" s="2"/>
      <c r="P988" s="2" t="s">
        <v>24854</v>
      </c>
      <c r="Q988" s="2" t="s">
        <v>24855</v>
      </c>
      <c r="R988" s="2" t="s">
        <v>36</v>
      </c>
      <c r="S988" s="2" t="s">
        <v>2572</v>
      </c>
      <c r="T988" s="2" t="s">
        <v>2637</v>
      </c>
      <c r="U988" s="2" t="s">
        <v>24848</v>
      </c>
      <c r="V988" s="2" t="s">
        <v>17227</v>
      </c>
      <c r="W988" s="2"/>
    </row>
    <row r="989">
      <c r="A989" s="2" t="n">
        <v>768</v>
      </c>
      <c r="B989" s="2" t="s">
        <v>15886</v>
      </c>
      <c r="C989" s="2" t="s">
        <v>24856</v>
      </c>
      <c r="D989" s="2" t="n">
        <v>881.5422913</v>
      </c>
      <c r="E989" s="2" t="n">
        <v>0.324736213134681</v>
      </c>
      <c r="F989" s="2" t="s">
        <v>28047</v>
      </c>
      <c r="G989" s="2" t="n">
        <v>52533</v>
      </c>
      <c r="H989" s="3" t="str">
        <f>HYPERLINK("http://funmeta.oebiotech.com/network/52533", "http://funmeta.oebiotech.com/network/52533")</f>
      </c>
      <c r="I989" s="2" t="s">
        <v>28048</v>
      </c>
      <c r="J989" s="2"/>
      <c r="K989" s="2"/>
      <c r="L989" s="2"/>
      <c r="M989" s="2"/>
      <c r="N989" s="2" t="s">
        <v>28049</v>
      </c>
      <c r="O989" s="2"/>
      <c r="P989" s="2" t="s">
        <v>28050</v>
      </c>
      <c r="Q989" s="2" t="s">
        <v>28051</v>
      </c>
      <c r="R989" s="2" t="s">
        <v>186</v>
      </c>
      <c r="S989" s="2" t="s">
        <v>187</v>
      </c>
      <c r="T989" s="2" t="s">
        <v>22018</v>
      </c>
      <c r="U989" s="2" t="s">
        <v>24857</v>
      </c>
      <c r="V989" s="2" t="s">
        <v>18382</v>
      </c>
      <c r="W989" s="2" t="s">
        <v>56</v>
      </c>
    </row>
    <row r="990">
      <c r="A990" s="2" t="n">
        <v>768</v>
      </c>
      <c r="B990" s="2" t="s">
        <v>28052</v>
      </c>
      <c r="C990" s="2" t="s">
        <v>24856</v>
      </c>
      <c r="D990" s="2" t="n">
        <v>881.5422913</v>
      </c>
      <c r="E990" s="2" t="n">
        <v>0.324736213134681</v>
      </c>
      <c r="F990" s="2" t="s">
        <v>28053</v>
      </c>
      <c r="G990" s="2" t="n">
        <v>52572</v>
      </c>
      <c r="H990" s="3" t="str">
        <f>HYPERLINK("http://funmeta.oebiotech.com/network/52572", "http://funmeta.oebiotech.com/network/52572")</f>
      </c>
      <c r="I990" s="2" t="s">
        <v>28054</v>
      </c>
      <c r="J990" s="2"/>
      <c r="K990" s="2"/>
      <c r="L990" s="2"/>
      <c r="M990" s="2"/>
      <c r="N990" s="2" t="s">
        <v>28055</v>
      </c>
      <c r="O990" s="2"/>
      <c r="P990" s="2" t="s">
        <v>28056</v>
      </c>
      <c r="Q990" s="2" t="s">
        <v>28057</v>
      </c>
      <c r="R990" s="2" t="s">
        <v>186</v>
      </c>
      <c r="S990" s="2" t="s">
        <v>187</v>
      </c>
      <c r="T990" s="2" t="s">
        <v>22018</v>
      </c>
      <c r="U990" s="2" t="s">
        <v>24857</v>
      </c>
      <c r="V990" s="2" t="s">
        <v>18382</v>
      </c>
      <c r="W990" s="2" t="s">
        <v>56</v>
      </c>
    </row>
    <row r="991">
      <c r="A991" s="2" t="n">
        <v>768</v>
      </c>
      <c r="B991" s="2" t="s">
        <v>28058</v>
      </c>
      <c r="C991" s="2" t="s">
        <v>24856</v>
      </c>
      <c r="D991" s="2" t="n">
        <v>881.5422913</v>
      </c>
      <c r="E991" s="2" t="n">
        <v>0.324736213134681</v>
      </c>
      <c r="F991" s="2" t="s">
        <v>28059</v>
      </c>
      <c r="G991" s="2" t="n">
        <v>82429</v>
      </c>
      <c r="H991" s="3" t="str">
        <f>HYPERLINK("http://funmeta.oebiotech.com/network/82429", "http://funmeta.oebiotech.com/network/82429")</f>
      </c>
      <c r="I991" s="2" t="s">
        <v>28060</v>
      </c>
      <c r="J991" s="2" t="s">
        <v>28061</v>
      </c>
      <c r="K991" s="2"/>
      <c r="L991" s="2"/>
      <c r="M991" s="2" t="s">
        <v>28062</v>
      </c>
      <c r="N991" s="2" t="s">
        <v>28063</v>
      </c>
      <c r="O991" s="2" t="s">
        <v>28064</v>
      </c>
      <c r="P991" s="2" t="s">
        <v>28065</v>
      </c>
      <c r="Q991" s="2" t="s">
        <v>28066</v>
      </c>
      <c r="R991" s="2" t="s">
        <v>186</v>
      </c>
      <c r="S991" s="2" t="s">
        <v>187</v>
      </c>
      <c r="T991" s="2" t="s">
        <v>22018</v>
      </c>
      <c r="U991" s="2" t="s">
        <v>24857</v>
      </c>
      <c r="V991" s="2" t="s">
        <v>18382</v>
      </c>
      <c r="W991" s="2" t="s">
        <v>56</v>
      </c>
    </row>
    <row r="992">
      <c r="A992" s="2" t="n">
        <v>769</v>
      </c>
      <c r="B992" s="2" t="s">
        <v>15887</v>
      </c>
      <c r="C992" s="2" t="s">
        <v>24868</v>
      </c>
      <c r="D992" s="2" t="n">
        <v>882.549090018</v>
      </c>
      <c r="E992" s="2" t="n">
        <v>5.37815963711239</v>
      </c>
      <c r="F992" s="2" t="s">
        <v>28067</v>
      </c>
      <c r="G992" s="2" t="n">
        <v>83168</v>
      </c>
      <c r="H992" s="3" t="str">
        <f>HYPERLINK("http://funmeta.oebiotech.com/network/83168", "http://funmeta.oebiotech.com/network/83168")</f>
      </c>
      <c r="I992" s="2" t="s">
        <v>28068</v>
      </c>
      <c r="J992" s="2"/>
      <c r="K992" s="2"/>
      <c r="L992" s="2"/>
      <c r="M992" s="2"/>
      <c r="N992" s="2"/>
      <c r="O992" s="2"/>
      <c r="P992" s="2" t="s">
        <v>28069</v>
      </c>
      <c r="Q992" s="2" t="s">
        <v>28070</v>
      </c>
      <c r="R992" s="2" t="s">
        <v>794</v>
      </c>
      <c r="S992" s="2" t="s">
        <v>7122</v>
      </c>
      <c r="T992" s="2" t="s">
        <v>8876</v>
      </c>
      <c r="U992" s="2" t="s">
        <v>24869</v>
      </c>
      <c r="V992" s="2" t="s">
        <v>17137</v>
      </c>
      <c r="W992" s="2" t="s">
        <v>56</v>
      </c>
    </row>
    <row r="993">
      <c r="A993" s="2" t="n">
        <v>769</v>
      </c>
      <c r="B993" s="2" t="s">
        <v>28071</v>
      </c>
      <c r="C993" s="2" t="s">
        <v>24868</v>
      </c>
      <c r="D993" s="2" t="n">
        <v>882.549090018</v>
      </c>
      <c r="E993" s="2" t="n">
        <v>5.37815963711239</v>
      </c>
      <c r="F993" s="2" t="s">
        <v>28072</v>
      </c>
      <c r="G993" s="2" t="n">
        <v>83176</v>
      </c>
      <c r="H993" s="3" t="str">
        <f>HYPERLINK("http://funmeta.oebiotech.com/network/83176", "http://funmeta.oebiotech.com/network/83176")</f>
      </c>
      <c r="I993" s="2" t="s">
        <v>28073</v>
      </c>
      <c r="J993" s="2"/>
      <c r="K993" s="2"/>
      <c r="L993" s="2"/>
      <c r="M993" s="2"/>
      <c r="N993" s="2"/>
      <c r="O993" s="2"/>
      <c r="P993" s="2" t="s">
        <v>28074</v>
      </c>
      <c r="Q993" s="2" t="s">
        <v>28075</v>
      </c>
      <c r="R993" s="2" t="s">
        <v>794</v>
      </c>
      <c r="S993" s="2" t="s">
        <v>7122</v>
      </c>
      <c r="T993" s="2" t="s">
        <v>8876</v>
      </c>
      <c r="U993" s="2" t="s">
        <v>24869</v>
      </c>
      <c r="V993" s="2" t="s">
        <v>17137</v>
      </c>
      <c r="W993" s="2" t="s">
        <v>56</v>
      </c>
    </row>
    <row r="994">
      <c r="A994" s="2" t="n">
        <v>769</v>
      </c>
      <c r="B994" s="2" t="s">
        <v>28076</v>
      </c>
      <c r="C994" s="2" t="s">
        <v>24868</v>
      </c>
      <c r="D994" s="2" t="n">
        <v>882.549090018</v>
      </c>
      <c r="E994" s="2" t="n">
        <v>5.37815963711239</v>
      </c>
      <c r="F994" s="2" t="s">
        <v>28077</v>
      </c>
      <c r="G994" s="2" t="n">
        <v>83179</v>
      </c>
      <c r="H994" s="3" t="str">
        <f>HYPERLINK("http://funmeta.oebiotech.com/network/83179", "http://funmeta.oebiotech.com/network/83179")</f>
      </c>
      <c r="I994" s="2" t="s">
        <v>28078</v>
      </c>
      <c r="J994" s="2"/>
      <c r="K994" s="2"/>
      <c r="L994" s="2"/>
      <c r="M994" s="2"/>
      <c r="N994" s="2"/>
      <c r="O994" s="2"/>
      <c r="P994" s="2" t="s">
        <v>28079</v>
      </c>
      <c r="Q994" s="2" t="s">
        <v>28080</v>
      </c>
      <c r="R994" s="2" t="s">
        <v>794</v>
      </c>
      <c r="S994" s="2" t="s">
        <v>7122</v>
      </c>
      <c r="T994" s="2" t="s">
        <v>8876</v>
      </c>
      <c r="U994" s="2" t="s">
        <v>24869</v>
      </c>
      <c r="V994" s="2" t="s">
        <v>17137</v>
      </c>
      <c r="W994" s="2" t="s">
        <v>56</v>
      </c>
    </row>
    <row r="995">
      <c r="A995" s="2" t="n">
        <v>770</v>
      </c>
      <c r="B995" s="2" t="s">
        <v>15888</v>
      </c>
      <c r="C995" s="2" t="s">
        <v>24875</v>
      </c>
      <c r="D995" s="2" t="n">
        <v>884.500211293</v>
      </c>
      <c r="E995" s="2" t="n">
        <v>1.81310816611354</v>
      </c>
      <c r="F995" s="2" t="s">
        <v>24877</v>
      </c>
      <c r="G995" s="2" t="n">
        <v>58396</v>
      </c>
      <c r="H995" s="3" t="str">
        <f>HYPERLINK("http://funmeta.oebiotech.com/network/58396", "http://funmeta.oebiotech.com/network/58396")</f>
      </c>
      <c r="I995" s="2" t="s">
        <v>24879</v>
      </c>
      <c r="J995" s="2"/>
      <c r="K995" s="2"/>
      <c r="L995" s="2"/>
      <c r="M995" s="2"/>
      <c r="N995" s="2" t="s">
        <v>24880</v>
      </c>
      <c r="O995" s="2" t="s">
        <v>24881</v>
      </c>
      <c r="P995" s="2" t="s">
        <v>24882</v>
      </c>
      <c r="Q995" s="2" t="s">
        <v>24883</v>
      </c>
      <c r="R995" s="2" t="s">
        <v>794</v>
      </c>
      <c r="S995" s="2" t="s">
        <v>2971</v>
      </c>
      <c r="T995" s="2" t="s">
        <v>11733</v>
      </c>
      <c r="U995" s="2" t="s">
        <v>24876</v>
      </c>
      <c r="V995" s="2" t="s">
        <v>17137</v>
      </c>
      <c r="W995" s="2" t="s">
        <v>56</v>
      </c>
    </row>
    <row r="996">
      <c r="A996" s="2" t="n">
        <v>771</v>
      </c>
      <c r="B996" s="2" t="s">
        <v>15900</v>
      </c>
      <c r="C996" s="2" t="s">
        <v>24884</v>
      </c>
      <c r="D996" s="2" t="n">
        <v>888.551373538</v>
      </c>
      <c r="E996" s="2" t="n">
        <v>9.76749433534017</v>
      </c>
      <c r="F996" s="2" t="s">
        <v>24886</v>
      </c>
      <c r="G996" s="2" t="n">
        <v>134649</v>
      </c>
      <c r="H996" s="3" t="str">
        <f>HYPERLINK("http://funmeta.oebiotech.com/network/134649", "http://funmeta.oebiotech.com/network/134649")</f>
      </c>
      <c r="I996" s="2" t="s">
        <v>24888</v>
      </c>
      <c r="J996" s="2"/>
      <c r="K996" s="2"/>
      <c r="L996" s="2"/>
      <c r="M996" s="2"/>
      <c r="N996" s="2" t="s">
        <v>24889</v>
      </c>
      <c r="O996" s="2"/>
      <c r="P996" s="2" t="s">
        <v>24890</v>
      </c>
      <c r="Q996" s="2" t="s">
        <v>24891</v>
      </c>
      <c r="R996" s="2" t="s">
        <v>794</v>
      </c>
      <c r="S996" s="2" t="s">
        <v>7122</v>
      </c>
      <c r="T996" s="2" t="s">
        <v>8042</v>
      </c>
      <c r="U996" s="2" t="s">
        <v>24885</v>
      </c>
      <c r="V996" s="2" t="s">
        <v>17198</v>
      </c>
      <c r="W996" s="2"/>
    </row>
    <row r="997">
      <c r="A997" s="2" t="n">
        <v>772</v>
      </c>
      <c r="B997" s="2" t="s">
        <v>15901</v>
      </c>
      <c r="C997" s="2" t="s">
        <v>24892</v>
      </c>
      <c r="D997" s="2" t="n">
        <v>892.51695167</v>
      </c>
      <c r="E997" s="2" t="n">
        <v>1.68939301297771</v>
      </c>
      <c r="F997" s="2" t="s">
        <v>24894</v>
      </c>
      <c r="G997" s="2" t="n">
        <v>208459</v>
      </c>
      <c r="H997" s="3" t="str">
        <f>HYPERLINK("http://funmeta.oebiotech.com/network/208459", "http://funmeta.oebiotech.com/network/208459")</f>
      </c>
      <c r="I997" s="2" t="s">
        <v>24896</v>
      </c>
      <c r="J997" s="2"/>
      <c r="K997" s="2"/>
      <c r="L997" s="2"/>
      <c r="M997" s="2"/>
      <c r="N997" s="2" t="s">
        <v>24897</v>
      </c>
      <c r="O997" s="2"/>
      <c r="P997" s="2" t="s">
        <v>24898</v>
      </c>
      <c r="Q997" s="2" t="s">
        <v>24899</v>
      </c>
      <c r="R997" s="2" t="s">
        <v>36</v>
      </c>
      <c r="S997" s="2" t="s">
        <v>37</v>
      </c>
      <c r="T997" s="2" t="s">
        <v>69</v>
      </c>
      <c r="U997" s="2" t="s">
        <v>24893</v>
      </c>
      <c r="V997" s="2" t="s">
        <v>17406</v>
      </c>
      <c r="W997" s="2"/>
    </row>
    <row r="998">
      <c r="A998" s="2" t="n">
        <v>773</v>
      </c>
      <c r="B998" s="2" t="s">
        <v>15902</v>
      </c>
      <c r="C998" s="2" t="s">
        <v>24900</v>
      </c>
      <c r="D998" s="2" t="n">
        <v>893.515791236</v>
      </c>
      <c r="E998" s="2" t="n">
        <v>0.075284695662599</v>
      </c>
      <c r="F998" s="2" t="s">
        <v>24902</v>
      </c>
      <c r="G998" s="2" t="n">
        <v>257640</v>
      </c>
      <c r="H998" s="3" t="str">
        <f>HYPERLINK("http://funmeta.oebiotech.com/network/257640", "http://funmeta.oebiotech.com/network/257640")</f>
      </c>
      <c r="I998" s="2" t="s">
        <v>24904</v>
      </c>
      <c r="J998" s="2"/>
      <c r="K998" s="2"/>
      <c r="L998" s="2"/>
      <c r="M998" s="2"/>
      <c r="N998" s="2"/>
      <c r="O998" s="2"/>
      <c r="P998" s="2" t="s">
        <v>24905</v>
      </c>
      <c r="Q998" s="2" t="s">
        <v>24906</v>
      </c>
      <c r="R998" s="2" t="s">
        <v>114</v>
      </c>
      <c r="S998" s="2" t="s">
        <v>1038</v>
      </c>
      <c r="T998" s="2" t="s">
        <v>1039</v>
      </c>
      <c r="U998" s="2" t="s">
        <v>24901</v>
      </c>
      <c r="V998" s="2" t="s">
        <v>18382</v>
      </c>
      <c r="W998" s="2"/>
    </row>
    <row r="999">
      <c r="A999" s="2" t="n">
        <v>774</v>
      </c>
      <c r="B999" s="2" t="s">
        <v>15903</v>
      </c>
      <c r="C999" s="2" t="s">
        <v>24907</v>
      </c>
      <c r="D999" s="2" t="n">
        <v>893.699498868</v>
      </c>
      <c r="E999" s="2" t="n">
        <v>1.20037866411102</v>
      </c>
      <c r="F999" s="2" t="s">
        <v>28081</v>
      </c>
      <c r="G999" s="2" t="n">
        <v>55734</v>
      </c>
      <c r="H999" s="3" t="str">
        <f>HYPERLINK("http://funmeta.oebiotech.com/network/55734", "http://funmeta.oebiotech.com/network/55734")</f>
      </c>
      <c r="I999" s="2" t="s">
        <v>28082</v>
      </c>
      <c r="J999" s="2" t="s">
        <v>28083</v>
      </c>
      <c r="K999" s="2"/>
      <c r="L999" s="2"/>
      <c r="M999" s="2"/>
      <c r="N999" s="2" t="s">
        <v>28084</v>
      </c>
      <c r="O999" s="2" t="s">
        <v>28085</v>
      </c>
      <c r="P999" s="2" t="s">
        <v>28086</v>
      </c>
      <c r="Q999" s="2" t="s">
        <v>28087</v>
      </c>
      <c r="R999" s="2" t="s">
        <v>794</v>
      </c>
      <c r="S999" s="2" t="s">
        <v>2600</v>
      </c>
      <c r="T999" s="2" t="s">
        <v>8840</v>
      </c>
      <c r="U999" s="2" t="s">
        <v>24908</v>
      </c>
      <c r="V999" s="2" t="s">
        <v>17406</v>
      </c>
      <c r="W999" s="2" t="s">
        <v>56</v>
      </c>
    </row>
    <row r="1000">
      <c r="A1000" s="2" t="n">
        <v>774</v>
      </c>
      <c r="B1000" s="2" t="s">
        <v>28088</v>
      </c>
      <c r="C1000" s="2" t="s">
        <v>24907</v>
      </c>
      <c r="D1000" s="2" t="n">
        <v>893.699498868</v>
      </c>
      <c r="E1000" s="2" t="n">
        <v>1.20037866411102</v>
      </c>
      <c r="F1000" s="2" t="s">
        <v>28089</v>
      </c>
      <c r="G1000" s="2" t="n">
        <v>55733</v>
      </c>
      <c r="H1000" s="3" t="str">
        <f>HYPERLINK("http://funmeta.oebiotech.com/network/55733", "http://funmeta.oebiotech.com/network/55733")</f>
      </c>
      <c r="I1000" s="2" t="s">
        <v>28090</v>
      </c>
      <c r="J1000" s="2" t="s">
        <v>28091</v>
      </c>
      <c r="K1000" s="2"/>
      <c r="L1000" s="2"/>
      <c r="M1000" s="2"/>
      <c r="N1000" s="2" t="s">
        <v>28092</v>
      </c>
      <c r="O1000" s="2" t="s">
        <v>28093</v>
      </c>
      <c r="P1000" s="2" t="s">
        <v>28094</v>
      </c>
      <c r="Q1000" s="2" t="s">
        <v>28095</v>
      </c>
      <c r="R1000" s="2" t="s">
        <v>794</v>
      </c>
      <c r="S1000" s="2" t="s">
        <v>2600</v>
      </c>
      <c r="T1000" s="2" t="s">
        <v>8840</v>
      </c>
      <c r="U1000" s="2" t="s">
        <v>24908</v>
      </c>
      <c r="V1000" s="2" t="s">
        <v>17406</v>
      </c>
      <c r="W1000" s="2" t="s">
        <v>56</v>
      </c>
    </row>
    <row r="1001">
      <c r="A1001" s="2" t="n">
        <v>775</v>
      </c>
      <c r="B1001" s="2" t="s">
        <v>15904</v>
      </c>
      <c r="C1001" s="2" t="s">
        <v>24917</v>
      </c>
      <c r="D1001" s="2" t="n">
        <v>894.512388145</v>
      </c>
      <c r="E1001" s="2" t="n">
        <v>9.62981246399902</v>
      </c>
      <c r="F1001" s="2" t="s">
        <v>24919</v>
      </c>
      <c r="G1001" s="2" t="n">
        <v>209869</v>
      </c>
      <c r="H1001" s="3" t="str">
        <f>HYPERLINK("http://funmeta.oebiotech.com/network/209869", "http://funmeta.oebiotech.com/network/209869")</f>
      </c>
      <c r="I1001" s="2" t="s">
        <v>24921</v>
      </c>
      <c r="J1001" s="2"/>
      <c r="K1001" s="2"/>
      <c r="L1001" s="2"/>
      <c r="M1001" s="2"/>
      <c r="N1001" s="2" t="s">
        <v>24922</v>
      </c>
      <c r="O1001" s="2"/>
      <c r="P1001" s="2" t="s">
        <v>24923</v>
      </c>
      <c r="Q1001" s="2" t="s">
        <v>24924</v>
      </c>
      <c r="R1001" s="2" t="s">
        <v>36</v>
      </c>
      <c r="S1001" s="2" t="s">
        <v>37</v>
      </c>
      <c r="T1001" s="2" t="s">
        <v>69</v>
      </c>
      <c r="U1001" s="2" t="s">
        <v>24918</v>
      </c>
      <c r="V1001" s="2" t="s">
        <v>17137</v>
      </c>
      <c r="W1001" s="2"/>
    </row>
    <row r="1002">
      <c r="A1002" s="2" t="n">
        <v>776</v>
      </c>
      <c r="B1002" s="2" t="s">
        <v>15919</v>
      </c>
      <c r="C1002" s="2" t="s">
        <v>24925</v>
      </c>
      <c r="D1002" s="2" t="n">
        <v>894.694631565</v>
      </c>
      <c r="E1002" s="2" t="n">
        <v>7.39319423070482</v>
      </c>
      <c r="F1002" s="2" t="s">
        <v>24927</v>
      </c>
      <c r="G1002" s="2" t="n">
        <v>49689</v>
      </c>
      <c r="H1002" s="3" t="str">
        <f>HYPERLINK("http://funmeta.oebiotech.com/network/49689", "http://funmeta.oebiotech.com/network/49689")</f>
      </c>
      <c r="I1002" s="2" t="s">
        <v>24929</v>
      </c>
      <c r="J1002" s="2" t="s">
        <v>24930</v>
      </c>
      <c r="K1002" s="2"/>
      <c r="L1002" s="2" t="s">
        <v>9831</v>
      </c>
      <c r="M1002" s="2"/>
      <c r="N1002" s="2" t="s">
        <v>24931</v>
      </c>
      <c r="O1002" s="2"/>
      <c r="P1002" s="2" t="s">
        <v>24932</v>
      </c>
      <c r="Q1002" s="2" t="s">
        <v>24933</v>
      </c>
      <c r="R1002" s="2" t="s">
        <v>794</v>
      </c>
      <c r="S1002" s="2" t="s">
        <v>7122</v>
      </c>
      <c r="T1002" s="2" t="s">
        <v>8460</v>
      </c>
      <c r="U1002" s="2" t="s">
        <v>24926</v>
      </c>
      <c r="V1002" s="2" t="s">
        <v>17137</v>
      </c>
      <c r="W1002" s="2" t="s">
        <v>101</v>
      </c>
    </row>
    <row r="1003">
      <c r="A1003" s="2" t="n">
        <v>777</v>
      </c>
      <c r="B1003" s="2" t="s">
        <v>15920</v>
      </c>
      <c r="C1003" s="2" t="s">
        <v>24934</v>
      </c>
      <c r="D1003" s="2" t="n">
        <v>895.523683756</v>
      </c>
      <c r="E1003" s="2" t="n">
        <v>5.36467167716078</v>
      </c>
      <c r="F1003" s="2" t="s">
        <v>24936</v>
      </c>
      <c r="G1003" s="2" t="n">
        <v>57068</v>
      </c>
      <c r="H1003" s="3" t="str">
        <f>HYPERLINK("http://funmeta.oebiotech.com/network/57068", "http://funmeta.oebiotech.com/network/57068")</f>
      </c>
      <c r="I1003" s="2" t="s">
        <v>24938</v>
      </c>
      <c r="J1003" s="2" t="s">
        <v>24939</v>
      </c>
      <c r="K1003" s="2"/>
      <c r="L1003" s="2"/>
      <c r="M1003" s="2" t="s">
        <v>24940</v>
      </c>
      <c r="N1003" s="2" t="s">
        <v>24941</v>
      </c>
      <c r="O1003" s="2"/>
      <c r="P1003" s="2" t="s">
        <v>24942</v>
      </c>
      <c r="Q1003" s="2" t="s">
        <v>24943</v>
      </c>
      <c r="R1003" s="2" t="s">
        <v>794</v>
      </c>
      <c r="S1003" s="2" t="s">
        <v>795</v>
      </c>
      <c r="T1003" s="2" t="s">
        <v>3273</v>
      </c>
      <c r="U1003" s="2" t="s">
        <v>24935</v>
      </c>
      <c r="V1003" s="2" t="s">
        <v>17892</v>
      </c>
      <c r="W1003" s="2" t="s">
        <v>56</v>
      </c>
    </row>
    <row r="1004">
      <c r="A1004" s="2" t="n">
        <v>778</v>
      </c>
      <c r="B1004" s="2" t="s">
        <v>15935</v>
      </c>
      <c r="C1004" s="2" t="s">
        <v>24944</v>
      </c>
      <c r="D1004" s="2" t="n">
        <v>895.717990811</v>
      </c>
      <c r="E1004" s="2" t="n">
        <v>0.16890884459272</v>
      </c>
      <c r="F1004" s="2" t="s">
        <v>24946</v>
      </c>
      <c r="G1004" s="2" t="n">
        <v>66483</v>
      </c>
      <c r="H1004" s="3" t="str">
        <f>HYPERLINK("http://funmeta.oebiotech.com/network/66483", "http://funmeta.oebiotech.com/network/66483")</f>
      </c>
      <c r="I1004" s="2" t="s">
        <v>24948</v>
      </c>
      <c r="J1004" s="2"/>
      <c r="K1004" s="2"/>
      <c r="L1004" s="2"/>
      <c r="M1004" s="2"/>
      <c r="N1004" s="2" t="s">
        <v>24949</v>
      </c>
      <c r="O1004" s="2"/>
      <c r="P1004" s="2" t="s">
        <v>24950</v>
      </c>
      <c r="Q1004" s="2" t="s">
        <v>24951</v>
      </c>
      <c r="R1004" s="2" t="s">
        <v>794</v>
      </c>
      <c r="S1004" s="2" t="s">
        <v>2600</v>
      </c>
      <c r="T1004" s="2" t="s">
        <v>8840</v>
      </c>
      <c r="U1004" s="2" t="s">
        <v>24945</v>
      </c>
      <c r="V1004" s="2" t="s">
        <v>17039</v>
      </c>
      <c r="W1004" s="2"/>
    </row>
    <row r="1005">
      <c r="A1005" s="2" t="n">
        <v>779</v>
      </c>
      <c r="B1005" s="2" t="s">
        <v>15958</v>
      </c>
      <c r="C1005" s="2" t="s">
        <v>24952</v>
      </c>
      <c r="D1005" s="2" t="n">
        <v>896.552441608</v>
      </c>
      <c r="E1005" s="2" t="n">
        <v>0.819932774108083</v>
      </c>
      <c r="F1005" s="2" t="s">
        <v>24954</v>
      </c>
      <c r="G1005" s="2" t="n">
        <v>53147</v>
      </c>
      <c r="H1005" s="3" t="str">
        <f>HYPERLINK("http://funmeta.oebiotech.com/network/53147", "http://funmeta.oebiotech.com/network/53147")</f>
      </c>
      <c r="I1005" s="2" t="s">
        <v>24956</v>
      </c>
      <c r="J1005" s="2"/>
      <c r="K1005" s="2"/>
      <c r="L1005" s="2" t="s">
        <v>24957</v>
      </c>
      <c r="M1005" s="2" t="s">
        <v>24958</v>
      </c>
      <c r="N1005" s="2" t="s">
        <v>24959</v>
      </c>
      <c r="O1005" s="2" t="s">
        <v>24960</v>
      </c>
      <c r="P1005" s="2" t="s">
        <v>24961</v>
      </c>
      <c r="Q1005" s="2" t="s">
        <v>24962</v>
      </c>
      <c r="R1005" s="2" t="s">
        <v>1355</v>
      </c>
      <c r="S1005" s="2" t="s">
        <v>24963</v>
      </c>
      <c r="T1005" s="2" t="s">
        <v>215</v>
      </c>
      <c r="U1005" s="2" t="s">
        <v>24953</v>
      </c>
      <c r="V1005" s="2" t="s">
        <v>17039</v>
      </c>
      <c r="W1005" s="2" t="s">
        <v>101</v>
      </c>
    </row>
    <row r="1006">
      <c r="A1006" s="2" t="n">
        <v>780</v>
      </c>
      <c r="B1006" s="2" t="s">
        <v>15959</v>
      </c>
      <c r="C1006" s="2" t="s">
        <v>24964</v>
      </c>
      <c r="D1006" s="2" t="n">
        <v>896.710281629</v>
      </c>
      <c r="E1006" s="2" t="n">
        <v>9.39034553878555</v>
      </c>
      <c r="F1006" s="2" t="s">
        <v>24966</v>
      </c>
      <c r="G1006" s="2" t="n">
        <v>49670</v>
      </c>
      <c r="H1006" s="3" t="str">
        <f>HYPERLINK("http://funmeta.oebiotech.com/network/49670", "http://funmeta.oebiotech.com/network/49670")</f>
      </c>
      <c r="I1006" s="2" t="s">
        <v>24968</v>
      </c>
      <c r="J1006" s="2" t="s">
        <v>24969</v>
      </c>
      <c r="K1006" s="2"/>
      <c r="L1006" s="2" t="s">
        <v>9831</v>
      </c>
      <c r="M1006" s="2"/>
      <c r="N1006" s="2" t="s">
        <v>24970</v>
      </c>
      <c r="O1006" s="2"/>
      <c r="P1006" s="2" t="s">
        <v>24971</v>
      </c>
      <c r="Q1006" s="2" t="s">
        <v>24972</v>
      </c>
      <c r="R1006" s="2" t="s">
        <v>794</v>
      </c>
      <c r="S1006" s="2" t="s">
        <v>7122</v>
      </c>
      <c r="T1006" s="2" t="s">
        <v>8460</v>
      </c>
      <c r="U1006" s="2" t="s">
        <v>24965</v>
      </c>
      <c r="V1006" s="2" t="s">
        <v>17137</v>
      </c>
      <c r="W1006" s="2" t="s">
        <v>101</v>
      </c>
    </row>
    <row r="1007">
      <c r="A1007" s="2" t="n">
        <v>781</v>
      </c>
      <c r="B1007" s="2" t="s">
        <v>15960</v>
      </c>
      <c r="C1007" s="2" t="s">
        <v>24973</v>
      </c>
      <c r="D1007" s="2" t="n">
        <v>897.730799004</v>
      </c>
      <c r="E1007" s="2" t="n">
        <v>0.430082071269221</v>
      </c>
      <c r="F1007" s="2" t="s">
        <v>24975</v>
      </c>
      <c r="G1007" s="2" t="n">
        <v>48495</v>
      </c>
      <c r="H1007" s="3" t="str">
        <f>HYPERLINK("http://funmeta.oebiotech.com/network/48495", "http://funmeta.oebiotech.com/network/48495")</f>
      </c>
      <c r="I1007" s="2" t="s">
        <v>24977</v>
      </c>
      <c r="J1007" s="2"/>
      <c r="K1007" s="2"/>
      <c r="L1007" s="2" t="s">
        <v>9144</v>
      </c>
      <c r="M1007" s="2"/>
      <c r="N1007" s="2" t="s">
        <v>24978</v>
      </c>
      <c r="O1007" s="2"/>
      <c r="P1007" s="2" t="s">
        <v>24979</v>
      </c>
      <c r="Q1007" s="2" t="s">
        <v>24980</v>
      </c>
      <c r="R1007" s="2" t="s">
        <v>794</v>
      </c>
      <c r="S1007" s="2" t="s">
        <v>2600</v>
      </c>
      <c r="T1007" s="2" t="s">
        <v>8840</v>
      </c>
      <c r="U1007" s="2" t="s">
        <v>24974</v>
      </c>
      <c r="V1007" s="2" t="s">
        <v>17406</v>
      </c>
      <c r="W1007" s="2" t="s">
        <v>101</v>
      </c>
    </row>
    <row r="1008">
      <c r="A1008" s="2" t="n">
        <v>782</v>
      </c>
      <c r="B1008" s="2" t="s">
        <v>15961</v>
      </c>
      <c r="C1008" s="2" t="s">
        <v>24981</v>
      </c>
      <c r="D1008" s="2" t="n">
        <v>899.542959998</v>
      </c>
      <c r="E1008" s="2" t="n">
        <v>2.47061473920716</v>
      </c>
      <c r="F1008" s="2" t="s">
        <v>24983</v>
      </c>
      <c r="G1008" s="2" t="n">
        <v>206270</v>
      </c>
      <c r="H1008" s="3" t="str">
        <f>HYPERLINK("http://funmeta.oebiotech.com/network/206270", "http://funmeta.oebiotech.com/network/206270")</f>
      </c>
      <c r="I1008" s="2" t="s">
        <v>24985</v>
      </c>
      <c r="J1008" s="2"/>
      <c r="K1008" s="2"/>
      <c r="L1008" s="2"/>
      <c r="M1008" s="2"/>
      <c r="N1008" s="2" t="s">
        <v>24986</v>
      </c>
      <c r="O1008" s="2"/>
      <c r="P1008" s="2" t="s">
        <v>24987</v>
      </c>
      <c r="Q1008" s="2" t="s">
        <v>24988</v>
      </c>
      <c r="R1008" s="2" t="s">
        <v>114</v>
      </c>
      <c r="S1008" s="2" t="s">
        <v>172</v>
      </c>
      <c r="T1008" s="2" t="s">
        <v>4240</v>
      </c>
      <c r="U1008" s="2" t="s">
        <v>24982</v>
      </c>
      <c r="V1008" s="2" t="s">
        <v>18382</v>
      </c>
      <c r="W1008" s="2"/>
    </row>
    <row r="1009">
      <c r="A1009" s="2" t="n">
        <v>783</v>
      </c>
      <c r="B1009" s="2" t="s">
        <v>15962</v>
      </c>
      <c r="C1009" s="2" t="s">
        <v>24989</v>
      </c>
      <c r="D1009" s="2" t="n">
        <v>905.572803574</v>
      </c>
      <c r="E1009" s="2" t="n">
        <v>2.46393070791604</v>
      </c>
      <c r="F1009" s="2" t="s">
        <v>24991</v>
      </c>
      <c r="G1009" s="2" t="n">
        <v>213166</v>
      </c>
      <c r="H1009" s="3" t="str">
        <f>HYPERLINK("http://funmeta.oebiotech.com/network/213166", "http://funmeta.oebiotech.com/network/213166")</f>
      </c>
      <c r="I1009" s="2" t="s">
        <v>24993</v>
      </c>
      <c r="J1009" s="2"/>
      <c r="K1009" s="2"/>
      <c r="L1009" s="2"/>
      <c r="M1009" s="2"/>
      <c r="N1009" s="2"/>
      <c r="O1009" s="2"/>
      <c r="P1009" s="2" t="s">
        <v>24994</v>
      </c>
      <c r="Q1009" s="2" t="s">
        <v>24995</v>
      </c>
      <c r="R1009" s="2" t="s">
        <v>186</v>
      </c>
      <c r="S1009" s="2" t="s">
        <v>3898</v>
      </c>
      <c r="T1009" s="2" t="s">
        <v>215</v>
      </c>
      <c r="U1009" s="2" t="s">
        <v>24990</v>
      </c>
      <c r="V1009" s="2" t="s">
        <v>18382</v>
      </c>
      <c r="W1009" s="2"/>
    </row>
    <row r="1010">
      <c r="A1010" s="2" t="n">
        <v>784</v>
      </c>
      <c r="B1010" s="2" t="s">
        <v>15963</v>
      </c>
      <c r="C1010" s="2" t="s">
        <v>24996</v>
      </c>
      <c r="D1010" s="2" t="n">
        <v>908.513059479</v>
      </c>
      <c r="E1010" s="2" t="n">
        <v>2.71525996633499</v>
      </c>
      <c r="F1010" s="2" t="s">
        <v>24998</v>
      </c>
      <c r="G1010" s="2" t="n">
        <v>206353</v>
      </c>
      <c r="H1010" s="3" t="str">
        <f>HYPERLINK("http://funmeta.oebiotech.com/network/206353", "http://funmeta.oebiotech.com/network/206353")</f>
      </c>
      <c r="I1010" s="2" t="s">
        <v>25000</v>
      </c>
      <c r="J1010" s="2"/>
      <c r="K1010" s="2"/>
      <c r="L1010" s="2"/>
      <c r="M1010" s="2"/>
      <c r="N1010" s="2" t="s">
        <v>25001</v>
      </c>
      <c r="O1010" s="2"/>
      <c r="P1010" s="2" t="s">
        <v>25002</v>
      </c>
      <c r="Q1010" s="2" t="s">
        <v>25003</v>
      </c>
      <c r="R1010" s="2" t="s">
        <v>129</v>
      </c>
      <c r="S1010" s="2" t="s">
        <v>130</v>
      </c>
      <c r="T1010" s="2" t="s">
        <v>1681</v>
      </c>
      <c r="U1010" s="2" t="s">
        <v>24997</v>
      </c>
      <c r="V1010" s="2" t="s">
        <v>17198</v>
      </c>
      <c r="W1010" s="2"/>
    </row>
    <row r="1011">
      <c r="A1011" s="2" t="n">
        <v>785</v>
      </c>
      <c r="B1011" s="2" t="s">
        <v>15964</v>
      </c>
      <c r="C1011" s="2" t="s">
        <v>25004</v>
      </c>
      <c r="D1011" s="2" t="n">
        <v>909.52120107</v>
      </c>
      <c r="E1011" s="2" t="n">
        <v>8.2622448801263</v>
      </c>
      <c r="F1011" s="2" t="s">
        <v>28096</v>
      </c>
      <c r="G1011" s="2" t="n">
        <v>63632</v>
      </c>
      <c r="H1011" s="3" t="str">
        <f>HYPERLINK("http://funmeta.oebiotech.com/network/63632", "http://funmeta.oebiotech.com/network/63632")</f>
      </c>
      <c r="I1011" s="2" t="s">
        <v>28097</v>
      </c>
      <c r="J1011" s="2" t="s">
        <v>28098</v>
      </c>
      <c r="K1011" s="2"/>
      <c r="L1011" s="2"/>
      <c r="M1011" s="2"/>
      <c r="N1011" s="2" t="s">
        <v>28099</v>
      </c>
      <c r="O1011" s="2" t="s">
        <v>28100</v>
      </c>
      <c r="P1011" s="2" t="s">
        <v>28101</v>
      </c>
      <c r="Q1011" s="2" t="s">
        <v>28102</v>
      </c>
      <c r="R1011" s="2" t="s">
        <v>794</v>
      </c>
      <c r="S1011" s="2" t="s">
        <v>1098</v>
      </c>
      <c r="T1011" s="2" t="s">
        <v>7646</v>
      </c>
      <c r="U1011" s="2" t="s">
        <v>25005</v>
      </c>
      <c r="V1011" s="2" t="s">
        <v>17039</v>
      </c>
      <c r="W1011" s="2" t="s">
        <v>56</v>
      </c>
    </row>
    <row r="1012">
      <c r="A1012" s="2" t="n">
        <v>785</v>
      </c>
      <c r="B1012" s="2" t="s">
        <v>15975</v>
      </c>
      <c r="C1012" s="2" t="s">
        <v>25004</v>
      </c>
      <c r="D1012" s="2" t="n">
        <v>909.52120107</v>
      </c>
      <c r="E1012" s="2" t="n">
        <v>8.2622448801263</v>
      </c>
      <c r="F1012" s="2" t="s">
        <v>28103</v>
      </c>
      <c r="G1012" s="2" t="n">
        <v>63985</v>
      </c>
      <c r="H1012" s="3" t="str">
        <f>HYPERLINK("http://funmeta.oebiotech.com/network/63985", "http://funmeta.oebiotech.com/network/63985")</f>
      </c>
      <c r="I1012" s="2" t="s">
        <v>28104</v>
      </c>
      <c r="J1012" s="2" t="s">
        <v>28105</v>
      </c>
      <c r="K1012" s="2"/>
      <c r="L1012" s="2"/>
      <c r="M1012" s="2"/>
      <c r="N1012" s="2" t="s">
        <v>28106</v>
      </c>
      <c r="O1012" s="2" t="s">
        <v>28107</v>
      </c>
      <c r="P1012" s="2" t="s">
        <v>28108</v>
      </c>
      <c r="Q1012" s="2" t="s">
        <v>28109</v>
      </c>
      <c r="R1012" s="2" t="s">
        <v>794</v>
      </c>
      <c r="S1012" s="2" t="s">
        <v>1098</v>
      </c>
      <c r="T1012" s="2" t="s">
        <v>7878</v>
      </c>
      <c r="U1012" s="2" t="s">
        <v>25005</v>
      </c>
      <c r="V1012" s="2" t="s">
        <v>17039</v>
      </c>
      <c r="W1012" s="2" t="s">
        <v>56</v>
      </c>
    </row>
    <row r="1013">
      <c r="A1013" s="2" t="n">
        <v>786</v>
      </c>
      <c r="B1013" s="2" t="s">
        <v>15993</v>
      </c>
      <c r="C1013" s="2" t="s">
        <v>25015</v>
      </c>
      <c r="D1013" s="2" t="n">
        <v>910.533622036</v>
      </c>
      <c r="E1013" s="2" t="n">
        <v>9.68221635846811</v>
      </c>
      <c r="F1013" s="2" t="s">
        <v>25017</v>
      </c>
      <c r="G1013" s="2" t="n">
        <v>132701</v>
      </c>
      <c r="H1013" s="3" t="str">
        <f>HYPERLINK("http://funmeta.oebiotech.com/network/132701", "http://funmeta.oebiotech.com/network/132701")</f>
      </c>
      <c r="I1013" s="2" t="s">
        <v>25019</v>
      </c>
      <c r="J1013" s="2"/>
      <c r="K1013" s="2"/>
      <c r="L1013" s="2"/>
      <c r="M1013" s="2"/>
      <c r="N1013" s="2" t="s">
        <v>25020</v>
      </c>
      <c r="O1013" s="2"/>
      <c r="P1013" s="2" t="s">
        <v>25021</v>
      </c>
      <c r="Q1013" s="2" t="s">
        <v>25022</v>
      </c>
      <c r="R1013" s="2" t="s">
        <v>794</v>
      </c>
      <c r="S1013" s="2" t="s">
        <v>7122</v>
      </c>
      <c r="T1013" s="2" t="s">
        <v>8876</v>
      </c>
      <c r="U1013" s="2" t="s">
        <v>25016</v>
      </c>
      <c r="V1013" s="2" t="s">
        <v>17520</v>
      </c>
      <c r="W1013" s="2" t="s">
        <v>56</v>
      </c>
    </row>
    <row r="1014">
      <c r="A1014" s="2" t="n">
        <v>787</v>
      </c>
      <c r="B1014" s="2" t="s">
        <v>15994</v>
      </c>
      <c r="C1014" s="2" t="s">
        <v>25023</v>
      </c>
      <c r="D1014" s="2" t="n">
        <v>912.547356228</v>
      </c>
      <c r="E1014" s="2" t="n">
        <v>5.75452778229851</v>
      </c>
      <c r="F1014" s="2" t="s">
        <v>25025</v>
      </c>
      <c r="G1014" s="2" t="n">
        <v>144394</v>
      </c>
      <c r="H1014" s="3" t="str">
        <f>HYPERLINK("http://funmeta.oebiotech.com/network/144394", "http://funmeta.oebiotech.com/network/144394")</f>
      </c>
      <c r="I1014" s="2" t="s">
        <v>25027</v>
      </c>
      <c r="J1014" s="2"/>
      <c r="K1014" s="2"/>
      <c r="L1014" s="2"/>
      <c r="M1014" s="2"/>
      <c r="N1014" s="2" t="s">
        <v>25028</v>
      </c>
      <c r="O1014" s="2"/>
      <c r="P1014" s="2" t="s">
        <v>25029</v>
      </c>
      <c r="Q1014" s="2" t="s">
        <v>25030</v>
      </c>
      <c r="R1014" s="2" t="s">
        <v>1355</v>
      </c>
      <c r="S1014" s="2" t="s">
        <v>24963</v>
      </c>
      <c r="T1014" s="2" t="s">
        <v>215</v>
      </c>
      <c r="U1014" s="2" t="s">
        <v>25024</v>
      </c>
      <c r="V1014" s="2" t="s">
        <v>17039</v>
      </c>
      <c r="W1014" s="2"/>
    </row>
    <row r="1015">
      <c r="A1015" s="2" t="n">
        <v>788</v>
      </c>
      <c r="B1015" s="2" t="s">
        <v>15995</v>
      </c>
      <c r="C1015" s="2" t="s">
        <v>25031</v>
      </c>
      <c r="D1015" s="2" t="n">
        <v>913.56928601</v>
      </c>
      <c r="E1015" s="2" t="n">
        <v>8.27793445438305</v>
      </c>
      <c r="F1015" s="2" t="s">
        <v>25033</v>
      </c>
      <c r="G1015" s="2" t="n">
        <v>52111</v>
      </c>
      <c r="H1015" s="3" t="str">
        <f>HYPERLINK("http://funmeta.oebiotech.com/network/52111", "http://funmeta.oebiotech.com/network/52111")</f>
      </c>
      <c r="I1015" s="2" t="s">
        <v>25035</v>
      </c>
      <c r="J1015" s="2"/>
      <c r="K1015" s="2"/>
      <c r="L1015" s="2"/>
      <c r="M1015" s="2" t="s">
        <v>25036</v>
      </c>
      <c r="N1015" s="2" t="s">
        <v>25037</v>
      </c>
      <c r="O1015" s="2"/>
      <c r="P1015" s="2" t="s">
        <v>25038</v>
      </c>
      <c r="Q1015" s="2" t="s">
        <v>25039</v>
      </c>
      <c r="R1015" s="2" t="s">
        <v>36</v>
      </c>
      <c r="S1015" s="2" t="s">
        <v>37</v>
      </c>
      <c r="T1015" s="2" t="s">
        <v>69</v>
      </c>
      <c r="U1015" s="2" t="s">
        <v>25032</v>
      </c>
      <c r="V1015" s="2" t="s">
        <v>17892</v>
      </c>
      <c r="W1015" s="2" t="s">
        <v>56</v>
      </c>
    </row>
    <row r="1016">
      <c r="A1016" s="2" t="n">
        <v>789</v>
      </c>
      <c r="B1016" s="2" t="s">
        <v>16022</v>
      </c>
      <c r="C1016" s="2" t="s">
        <v>25040</v>
      </c>
      <c r="D1016" s="2" t="n">
        <v>917.699498876</v>
      </c>
      <c r="E1016" s="2" t="n">
        <v>1.18330996936261</v>
      </c>
      <c r="F1016" s="2" t="s">
        <v>25042</v>
      </c>
      <c r="G1016" s="2" t="n">
        <v>48517</v>
      </c>
      <c r="H1016" s="3" t="str">
        <f>HYPERLINK("http://funmeta.oebiotech.com/network/48517", "http://funmeta.oebiotech.com/network/48517")</f>
      </c>
      <c r="I1016" s="2" t="s">
        <v>25044</v>
      </c>
      <c r="J1016" s="2"/>
      <c r="K1016" s="2"/>
      <c r="L1016" s="2" t="s">
        <v>9144</v>
      </c>
      <c r="M1016" s="2"/>
      <c r="N1016" s="2" t="s">
        <v>25045</v>
      </c>
      <c r="O1016" s="2"/>
      <c r="P1016" s="2" t="s">
        <v>25046</v>
      </c>
      <c r="Q1016" s="2" t="s">
        <v>25047</v>
      </c>
      <c r="R1016" s="2" t="s">
        <v>794</v>
      </c>
      <c r="S1016" s="2" t="s">
        <v>2600</v>
      </c>
      <c r="T1016" s="2" t="s">
        <v>8840</v>
      </c>
      <c r="U1016" s="2" t="s">
        <v>25041</v>
      </c>
      <c r="V1016" s="2" t="s">
        <v>17406</v>
      </c>
      <c r="W1016" s="2" t="s">
        <v>101</v>
      </c>
    </row>
    <row r="1017">
      <c r="A1017" s="2" t="n">
        <v>790</v>
      </c>
      <c r="B1017" s="2" t="s">
        <v>16023</v>
      </c>
      <c r="C1017" s="2" t="s">
        <v>25048</v>
      </c>
      <c r="D1017" s="2" t="n">
        <v>919.71514894</v>
      </c>
      <c r="E1017" s="2" t="n">
        <v>1.58632994692624</v>
      </c>
      <c r="F1017" s="2" t="s">
        <v>25050</v>
      </c>
      <c r="G1017" s="2" t="n">
        <v>48511</v>
      </c>
      <c r="H1017" s="3" t="str">
        <f>HYPERLINK("http://funmeta.oebiotech.com/network/48511", "http://funmeta.oebiotech.com/network/48511")</f>
      </c>
      <c r="I1017" s="2" t="s">
        <v>25052</v>
      </c>
      <c r="J1017" s="2"/>
      <c r="K1017" s="2"/>
      <c r="L1017" s="2" t="s">
        <v>9144</v>
      </c>
      <c r="M1017" s="2"/>
      <c r="N1017" s="2" t="s">
        <v>25053</v>
      </c>
      <c r="O1017" s="2"/>
      <c r="P1017" s="2" t="s">
        <v>25054</v>
      </c>
      <c r="Q1017" s="2" t="s">
        <v>25055</v>
      </c>
      <c r="R1017" s="2" t="s">
        <v>794</v>
      </c>
      <c r="S1017" s="2" t="s">
        <v>2600</v>
      </c>
      <c r="T1017" s="2" t="s">
        <v>8840</v>
      </c>
      <c r="U1017" s="2" t="s">
        <v>25049</v>
      </c>
      <c r="V1017" s="2" t="s">
        <v>17406</v>
      </c>
      <c r="W1017" s="2" t="s">
        <v>101</v>
      </c>
    </row>
    <row r="1018">
      <c r="A1018" s="2" t="n">
        <v>791</v>
      </c>
      <c r="B1018" s="2" t="s">
        <v>16024</v>
      </c>
      <c r="C1018" s="2" t="s">
        <v>25056</v>
      </c>
      <c r="D1018" s="2" t="n">
        <v>920.556613181</v>
      </c>
      <c r="E1018" s="2" t="n">
        <v>6.00991234320452</v>
      </c>
      <c r="F1018" s="2" t="s">
        <v>25058</v>
      </c>
      <c r="G1018" s="2" t="n">
        <v>19355</v>
      </c>
      <c r="H1018" s="3" t="str">
        <f>HYPERLINK("http://funmeta.oebiotech.com/network/19355", "http://funmeta.oebiotech.com/network/19355")</f>
      </c>
      <c r="I1018" s="2" t="s">
        <v>25060</v>
      </c>
      <c r="J1018" s="2" t="s">
        <v>25061</v>
      </c>
      <c r="K1018" s="2" t="s">
        <v>25062</v>
      </c>
      <c r="L1018" s="2" t="s">
        <v>9831</v>
      </c>
      <c r="M1018" s="2"/>
      <c r="N1018" s="2" t="s">
        <v>25063</v>
      </c>
      <c r="O1018" s="2"/>
      <c r="P1018" s="2" t="s">
        <v>25064</v>
      </c>
      <c r="Q1018" s="2" t="s">
        <v>25065</v>
      </c>
      <c r="R1018" s="2" t="s">
        <v>794</v>
      </c>
      <c r="S1018" s="2" t="s">
        <v>7122</v>
      </c>
      <c r="T1018" s="2" t="s">
        <v>8460</v>
      </c>
      <c r="U1018" s="2" t="s">
        <v>25057</v>
      </c>
      <c r="V1018" s="2" t="s">
        <v>17406</v>
      </c>
      <c r="W1018" s="2" t="s">
        <v>39</v>
      </c>
    </row>
    <row r="1019">
      <c r="A1019" s="2" t="n">
        <v>792</v>
      </c>
      <c r="B1019" s="2" t="s">
        <v>16035</v>
      </c>
      <c r="C1019" s="2" t="s">
        <v>25066</v>
      </c>
      <c r="D1019" s="2" t="n">
        <v>920.710281629</v>
      </c>
      <c r="E1019" s="2" t="n">
        <v>8.78691684963489</v>
      </c>
      <c r="F1019" s="2" t="s">
        <v>25068</v>
      </c>
      <c r="G1019" s="2" t="n">
        <v>49797</v>
      </c>
      <c r="H1019" s="3" t="str">
        <f>HYPERLINK("http://funmeta.oebiotech.com/network/49797", "http://funmeta.oebiotech.com/network/49797")</f>
      </c>
      <c r="I1019" s="2" t="s">
        <v>25070</v>
      </c>
      <c r="J1019" s="2" t="s">
        <v>25071</v>
      </c>
      <c r="K1019" s="2"/>
      <c r="L1019" s="2" t="s">
        <v>9831</v>
      </c>
      <c r="M1019" s="2"/>
      <c r="N1019" s="2" t="s">
        <v>25072</v>
      </c>
      <c r="O1019" s="2"/>
      <c r="P1019" s="2" t="s">
        <v>25073</v>
      </c>
      <c r="Q1019" s="2" t="s">
        <v>25074</v>
      </c>
      <c r="R1019" s="2" t="s">
        <v>794</v>
      </c>
      <c r="S1019" s="2" t="s">
        <v>7122</v>
      </c>
      <c r="T1019" s="2" t="s">
        <v>8460</v>
      </c>
      <c r="U1019" s="2" t="s">
        <v>25067</v>
      </c>
      <c r="V1019" s="2" t="s">
        <v>17137</v>
      </c>
      <c r="W1019" s="2" t="s">
        <v>101</v>
      </c>
    </row>
    <row r="1020">
      <c r="A1020" s="2" t="n">
        <v>793</v>
      </c>
      <c r="B1020" s="2" t="s">
        <v>16036</v>
      </c>
      <c r="C1020" s="2" t="s">
        <v>25075</v>
      </c>
      <c r="D1020" s="2" t="n">
        <v>921.559115232</v>
      </c>
      <c r="E1020" s="2" t="n">
        <v>3.82013950316698</v>
      </c>
      <c r="F1020" s="2" t="s">
        <v>25077</v>
      </c>
      <c r="G1020" s="2" t="n">
        <v>207137</v>
      </c>
      <c r="H1020" s="3" t="str">
        <f>HYPERLINK("http://funmeta.oebiotech.com/network/207137", "http://funmeta.oebiotech.com/network/207137")</f>
      </c>
      <c r="I1020" s="2" t="s">
        <v>25079</v>
      </c>
      <c r="J1020" s="2"/>
      <c r="K1020" s="2"/>
      <c r="L1020" s="2"/>
      <c r="M1020" s="2"/>
      <c r="N1020" s="2" t="s">
        <v>25080</v>
      </c>
      <c r="O1020" s="2"/>
      <c r="P1020" s="2" t="s">
        <v>25081</v>
      </c>
      <c r="Q1020" s="2" t="s">
        <v>25082</v>
      </c>
      <c r="R1020" s="2" t="s">
        <v>129</v>
      </c>
      <c r="S1020" s="2" t="s">
        <v>130</v>
      </c>
      <c r="T1020" s="2" t="s">
        <v>1681</v>
      </c>
      <c r="U1020" s="2" t="s">
        <v>25076</v>
      </c>
      <c r="V1020" s="2" t="s">
        <v>17892</v>
      </c>
      <c r="W1020" s="2"/>
    </row>
    <row r="1021">
      <c r="A1021" s="2" t="n">
        <v>794</v>
      </c>
      <c r="B1021" s="2" t="s">
        <v>16037</v>
      </c>
      <c r="C1021" s="2" t="s">
        <v>25083</v>
      </c>
      <c r="D1021" s="2" t="n">
        <v>921.733640876</v>
      </c>
      <c r="E1021" s="2" t="n">
        <v>0.585129146789815</v>
      </c>
      <c r="F1021" s="2" t="s">
        <v>25085</v>
      </c>
      <c r="G1021" s="2" t="n">
        <v>66570</v>
      </c>
      <c r="H1021" s="3" t="str">
        <f>HYPERLINK("http://funmeta.oebiotech.com/network/66570", "http://funmeta.oebiotech.com/network/66570")</f>
      </c>
      <c r="I1021" s="2" t="s">
        <v>25086</v>
      </c>
      <c r="J1021" s="2"/>
      <c r="K1021" s="2"/>
      <c r="L1021" s="2"/>
      <c r="M1021" s="2"/>
      <c r="N1021" s="2"/>
      <c r="O1021" s="2"/>
      <c r="P1021" s="2" t="s">
        <v>25087</v>
      </c>
      <c r="Q1021" s="2" t="s">
        <v>25088</v>
      </c>
      <c r="R1021" s="2" t="s">
        <v>794</v>
      </c>
      <c r="S1021" s="2" t="s">
        <v>2600</v>
      </c>
      <c r="T1021" s="2" t="s">
        <v>8840</v>
      </c>
      <c r="U1021" s="2" t="s">
        <v>25084</v>
      </c>
      <c r="V1021" s="2" t="s">
        <v>17039</v>
      </c>
      <c r="W1021" s="2"/>
    </row>
    <row r="1022">
      <c r="A1022" s="2" t="n">
        <v>795</v>
      </c>
      <c r="B1022" s="2" t="s">
        <v>16038</v>
      </c>
      <c r="C1022" s="2" t="s">
        <v>25089</v>
      </c>
      <c r="D1022" s="2" t="n">
        <v>922.572263245</v>
      </c>
      <c r="E1022" s="2" t="n">
        <v>8.42796541145842</v>
      </c>
      <c r="F1022" s="2" t="s">
        <v>25091</v>
      </c>
      <c r="G1022" s="2" t="n">
        <v>49794</v>
      </c>
      <c r="H1022" s="3" t="str">
        <f>HYPERLINK("http://funmeta.oebiotech.com/network/49794", "http://funmeta.oebiotech.com/network/49794")</f>
      </c>
      <c r="I1022" s="2" t="s">
        <v>25093</v>
      </c>
      <c r="J1022" s="2" t="s">
        <v>21118</v>
      </c>
      <c r="K1022" s="2"/>
      <c r="L1022" s="2" t="s">
        <v>9831</v>
      </c>
      <c r="M1022" s="2"/>
      <c r="N1022" s="2" t="s">
        <v>25094</v>
      </c>
      <c r="O1022" s="2"/>
      <c r="P1022" s="2" t="s">
        <v>25095</v>
      </c>
      <c r="Q1022" s="2" t="s">
        <v>25096</v>
      </c>
      <c r="R1022" s="2" t="s">
        <v>794</v>
      </c>
      <c r="S1022" s="2" t="s">
        <v>7122</v>
      </c>
      <c r="T1022" s="2" t="s">
        <v>8460</v>
      </c>
      <c r="U1022" s="2" t="s">
        <v>25090</v>
      </c>
      <c r="V1022" s="2" t="s">
        <v>17406</v>
      </c>
      <c r="W1022" s="2" t="s">
        <v>101</v>
      </c>
    </row>
    <row r="1023">
      <c r="A1023" s="2" t="n">
        <v>796</v>
      </c>
      <c r="B1023" s="2" t="s">
        <v>16039</v>
      </c>
      <c r="C1023" s="2" t="s">
        <v>25097</v>
      </c>
      <c r="D1023" s="2" t="n">
        <v>924.495125915</v>
      </c>
      <c r="E1023" s="2" t="n">
        <v>6.66146502906924</v>
      </c>
      <c r="F1023" s="2" t="s">
        <v>25099</v>
      </c>
      <c r="G1023" s="2" t="n">
        <v>28290</v>
      </c>
      <c r="H1023" s="3" t="str">
        <f>HYPERLINK("http://funmeta.oebiotech.com/network/28290", "http://funmeta.oebiotech.com/network/28290")</f>
      </c>
      <c r="I1023" s="2" t="s">
        <v>25101</v>
      </c>
      <c r="J1023" s="2" t="s">
        <v>25102</v>
      </c>
      <c r="K1023" s="2" t="s">
        <v>25103</v>
      </c>
      <c r="L1023" s="2" t="s">
        <v>25104</v>
      </c>
      <c r="M1023" s="2" t="s">
        <v>20285</v>
      </c>
      <c r="N1023" s="2" t="s">
        <v>25105</v>
      </c>
      <c r="O1023" s="2" t="s">
        <v>25106</v>
      </c>
      <c r="P1023" s="2" t="s">
        <v>25107</v>
      </c>
      <c r="Q1023" s="2" t="s">
        <v>25108</v>
      </c>
      <c r="R1023" s="2" t="s">
        <v>129</v>
      </c>
      <c r="S1023" s="2" t="s">
        <v>130</v>
      </c>
      <c r="T1023" s="2" t="s">
        <v>1681</v>
      </c>
      <c r="U1023" s="2" t="s">
        <v>25098</v>
      </c>
      <c r="V1023" s="2" t="s">
        <v>17137</v>
      </c>
      <c r="W1023" s="2" t="s">
        <v>101</v>
      </c>
    </row>
    <row r="1024">
      <c r="A1024" s="2" t="n">
        <v>797</v>
      </c>
      <c r="B1024" s="2" t="s">
        <v>16040</v>
      </c>
      <c r="C1024" s="2" t="s">
        <v>25109</v>
      </c>
      <c r="D1024" s="2" t="n">
        <v>925.516115672</v>
      </c>
      <c r="E1024" s="2" t="n">
        <v>7.93740910768573</v>
      </c>
      <c r="F1024" s="2" t="s">
        <v>28110</v>
      </c>
      <c r="G1024" s="2" t="n">
        <v>58643</v>
      </c>
      <c r="H1024" s="3" t="str">
        <f>HYPERLINK("http://funmeta.oebiotech.com/network/58643", "http://funmeta.oebiotech.com/network/58643")</f>
      </c>
      <c r="I1024" s="2" t="s">
        <v>28111</v>
      </c>
      <c r="J1024" s="2" t="s">
        <v>28112</v>
      </c>
      <c r="K1024" s="2"/>
      <c r="L1024" s="2" t="s">
        <v>28113</v>
      </c>
      <c r="M1024" s="2" t="s">
        <v>28114</v>
      </c>
      <c r="N1024" s="2" t="s">
        <v>28115</v>
      </c>
      <c r="O1024" s="2" t="s">
        <v>28116</v>
      </c>
      <c r="P1024" s="2" t="s">
        <v>28117</v>
      </c>
      <c r="Q1024" s="2" t="s">
        <v>28118</v>
      </c>
      <c r="R1024" s="2" t="s">
        <v>794</v>
      </c>
      <c r="S1024" s="2" t="s">
        <v>1098</v>
      </c>
      <c r="T1024" s="2" t="s">
        <v>7878</v>
      </c>
      <c r="U1024" s="2" t="s">
        <v>25110</v>
      </c>
      <c r="V1024" s="2" t="s">
        <v>17039</v>
      </c>
      <c r="W1024" s="2" t="s">
        <v>101</v>
      </c>
    </row>
    <row r="1025">
      <c r="A1025" s="2" t="n">
        <v>797</v>
      </c>
      <c r="B1025" s="2" t="s">
        <v>28119</v>
      </c>
      <c r="C1025" s="2" t="s">
        <v>25109</v>
      </c>
      <c r="D1025" s="2" t="n">
        <v>925.516115692</v>
      </c>
      <c r="E1025" s="2" t="n">
        <v>7.93740910768573</v>
      </c>
      <c r="F1025" s="2" t="s">
        <v>28120</v>
      </c>
      <c r="G1025" s="2" t="n">
        <v>62683</v>
      </c>
      <c r="H1025" s="3" t="str">
        <f>HYPERLINK("http://funmeta.oebiotech.com/network/62683", "http://funmeta.oebiotech.com/network/62683")</f>
      </c>
      <c r="I1025" s="2" t="s">
        <v>28121</v>
      </c>
      <c r="J1025" s="2" t="s">
        <v>28122</v>
      </c>
      <c r="K1025" s="2"/>
      <c r="L1025" s="2" t="s">
        <v>28123</v>
      </c>
      <c r="M1025" s="2"/>
      <c r="N1025" s="2" t="s">
        <v>28124</v>
      </c>
      <c r="O1025" s="2" t="s">
        <v>28125</v>
      </c>
      <c r="P1025" s="2" t="s">
        <v>28126</v>
      </c>
      <c r="Q1025" s="2" t="s">
        <v>28127</v>
      </c>
      <c r="R1025" s="2" t="s">
        <v>794</v>
      </c>
      <c r="S1025" s="2" t="s">
        <v>1098</v>
      </c>
      <c r="T1025" s="2" t="s">
        <v>7878</v>
      </c>
      <c r="U1025" s="2" t="s">
        <v>25110</v>
      </c>
      <c r="V1025" s="2" t="s">
        <v>17039</v>
      </c>
      <c r="W1025" s="2" t="s">
        <v>101</v>
      </c>
    </row>
    <row r="1026">
      <c r="A1026" s="2" t="n">
        <v>798</v>
      </c>
      <c r="B1026" s="2" t="s">
        <v>16041</v>
      </c>
      <c r="C1026" s="2" t="s">
        <v>25122</v>
      </c>
      <c r="D1026" s="2" t="n">
        <v>926.510775979</v>
      </c>
      <c r="E1026" s="2" t="n">
        <v>7.5833212612094</v>
      </c>
      <c r="F1026" s="2" t="s">
        <v>25124</v>
      </c>
      <c r="G1026" s="2" t="n">
        <v>28289</v>
      </c>
      <c r="H1026" s="3" t="str">
        <f>HYPERLINK("http://funmeta.oebiotech.com/network/28289", "http://funmeta.oebiotech.com/network/28289")</f>
      </c>
      <c r="I1026" s="2" t="s">
        <v>25126</v>
      </c>
      <c r="J1026" s="2"/>
      <c r="K1026" s="2" t="s">
        <v>25127</v>
      </c>
      <c r="L1026" s="2" t="s">
        <v>25128</v>
      </c>
      <c r="M1026" s="2" t="s">
        <v>25129</v>
      </c>
      <c r="N1026" s="2" t="s">
        <v>25130</v>
      </c>
      <c r="O1026" s="2" t="s">
        <v>25131</v>
      </c>
      <c r="P1026" s="2" t="s">
        <v>25132</v>
      </c>
      <c r="Q1026" s="2" t="s">
        <v>25133</v>
      </c>
      <c r="R1026" s="2" t="s">
        <v>129</v>
      </c>
      <c r="S1026" s="2" t="s">
        <v>130</v>
      </c>
      <c r="T1026" s="2" t="s">
        <v>1681</v>
      </c>
      <c r="U1026" s="2" t="s">
        <v>25123</v>
      </c>
      <c r="V1026" s="2" t="s">
        <v>17137</v>
      </c>
      <c r="W1026" s="2" t="s">
        <v>56</v>
      </c>
    </row>
    <row r="1027">
      <c r="A1027" s="2" t="n">
        <v>799</v>
      </c>
      <c r="B1027" s="2" t="s">
        <v>16042</v>
      </c>
      <c r="C1027" s="2" t="s">
        <v>25134</v>
      </c>
      <c r="D1027" s="2" t="n">
        <v>928.515737923</v>
      </c>
      <c r="E1027" s="2" t="n">
        <v>4.1473248370916</v>
      </c>
      <c r="F1027" s="2" t="s">
        <v>25136</v>
      </c>
      <c r="G1027" s="2" t="n">
        <v>205664</v>
      </c>
      <c r="H1027" s="3" t="str">
        <f>HYPERLINK("http://funmeta.oebiotech.com/network/205664", "http://funmeta.oebiotech.com/network/205664")</f>
      </c>
      <c r="I1027" s="2" t="s">
        <v>25138</v>
      </c>
      <c r="J1027" s="2"/>
      <c r="K1027" s="2"/>
      <c r="L1027" s="2"/>
      <c r="M1027" s="2"/>
      <c r="N1027" s="2" t="s">
        <v>25139</v>
      </c>
      <c r="O1027" s="2"/>
      <c r="P1027" s="2" t="s">
        <v>25140</v>
      </c>
      <c r="Q1027" s="2" t="s">
        <v>25141</v>
      </c>
      <c r="R1027" s="2" t="s">
        <v>1355</v>
      </c>
      <c r="S1027" s="2" t="s">
        <v>24963</v>
      </c>
      <c r="T1027" s="2" t="s">
        <v>215</v>
      </c>
      <c r="U1027" s="2" t="s">
        <v>25135</v>
      </c>
      <c r="V1027" s="2" t="s">
        <v>17970</v>
      </c>
      <c r="W1027" s="2"/>
    </row>
    <row r="1028">
      <c r="A1028" s="2" t="n">
        <v>800</v>
      </c>
      <c r="B1028" s="2" t="s">
        <v>16043</v>
      </c>
      <c r="C1028" s="2" t="s">
        <v>25142</v>
      </c>
      <c r="D1028" s="2" t="n">
        <v>941.699498876</v>
      </c>
      <c r="E1028" s="2" t="n">
        <v>9.32414158124336</v>
      </c>
      <c r="F1028" s="2" t="s">
        <v>25144</v>
      </c>
      <c r="G1028" s="2" t="n">
        <v>48518</v>
      </c>
      <c r="H1028" s="3" t="str">
        <f>HYPERLINK("http://funmeta.oebiotech.com/network/48518", "http://funmeta.oebiotech.com/network/48518")</f>
      </c>
      <c r="I1028" s="2" t="s">
        <v>25146</v>
      </c>
      <c r="J1028" s="2"/>
      <c r="K1028" s="2"/>
      <c r="L1028" s="2" t="s">
        <v>9144</v>
      </c>
      <c r="M1028" s="2"/>
      <c r="N1028" s="2" t="s">
        <v>25147</v>
      </c>
      <c r="O1028" s="2"/>
      <c r="P1028" s="2" t="s">
        <v>25148</v>
      </c>
      <c r="Q1028" s="2" t="s">
        <v>25149</v>
      </c>
      <c r="R1028" s="2" t="s">
        <v>794</v>
      </c>
      <c r="S1028" s="2" t="s">
        <v>2600</v>
      </c>
      <c r="T1028" s="2" t="s">
        <v>8840</v>
      </c>
      <c r="U1028" s="2" t="s">
        <v>25143</v>
      </c>
      <c r="V1028" s="2" t="s">
        <v>17406</v>
      </c>
      <c r="W1028" s="2" t="s">
        <v>101</v>
      </c>
    </row>
    <row r="1029">
      <c r="A1029" s="2" t="n">
        <v>801</v>
      </c>
      <c r="B1029" s="2" t="s">
        <v>16065</v>
      </c>
      <c r="C1029" s="2" t="s">
        <v>25150</v>
      </c>
      <c r="D1029" s="2" t="n">
        <v>943.71514894</v>
      </c>
      <c r="E1029" s="2" t="n">
        <v>0.966463642164537</v>
      </c>
      <c r="F1029" s="2" t="s">
        <v>25152</v>
      </c>
      <c r="G1029" s="2" t="n">
        <v>48583</v>
      </c>
      <c r="H1029" s="3" t="str">
        <f>HYPERLINK("http://funmeta.oebiotech.com/network/48583", "http://funmeta.oebiotech.com/network/48583")</f>
      </c>
      <c r="I1029" s="2" t="s">
        <v>25154</v>
      </c>
      <c r="J1029" s="2"/>
      <c r="K1029" s="2"/>
      <c r="L1029" s="2" t="s">
        <v>9144</v>
      </c>
      <c r="M1029" s="2"/>
      <c r="N1029" s="2" t="s">
        <v>25155</v>
      </c>
      <c r="O1029" s="2"/>
      <c r="P1029" s="2" t="s">
        <v>25156</v>
      </c>
      <c r="Q1029" s="2" t="s">
        <v>25157</v>
      </c>
      <c r="R1029" s="2" t="s">
        <v>794</v>
      </c>
      <c r="S1029" s="2" t="s">
        <v>2600</v>
      </c>
      <c r="T1029" s="2" t="s">
        <v>8840</v>
      </c>
      <c r="U1029" s="2" t="s">
        <v>25151</v>
      </c>
      <c r="V1029" s="2" t="s">
        <v>17406</v>
      </c>
      <c r="W1029" s="2" t="s">
        <v>101</v>
      </c>
    </row>
    <row r="1030">
      <c r="A1030" s="2" t="n">
        <v>802</v>
      </c>
      <c r="B1030" s="2" t="s">
        <v>16066</v>
      </c>
      <c r="C1030" s="2" t="s">
        <v>25158</v>
      </c>
      <c r="D1030" s="2" t="n">
        <v>945.730799004</v>
      </c>
      <c r="E1030" s="2" t="n">
        <v>1.5562566080204</v>
      </c>
      <c r="F1030" s="2" t="s">
        <v>25160</v>
      </c>
      <c r="G1030" s="2" t="n">
        <v>48537</v>
      </c>
      <c r="H1030" s="3" t="str">
        <f>HYPERLINK("http://funmeta.oebiotech.com/network/48537", "http://funmeta.oebiotech.com/network/48537")</f>
      </c>
      <c r="I1030" s="2" t="s">
        <v>25162</v>
      </c>
      <c r="J1030" s="2"/>
      <c r="K1030" s="2"/>
      <c r="L1030" s="2" t="s">
        <v>9144</v>
      </c>
      <c r="M1030" s="2"/>
      <c r="N1030" s="2" t="s">
        <v>25163</v>
      </c>
      <c r="O1030" s="2"/>
      <c r="P1030" s="2" t="s">
        <v>25164</v>
      </c>
      <c r="Q1030" s="2" t="s">
        <v>25165</v>
      </c>
      <c r="R1030" s="2" t="s">
        <v>794</v>
      </c>
      <c r="S1030" s="2" t="s">
        <v>2600</v>
      </c>
      <c r="T1030" s="2" t="s">
        <v>8840</v>
      </c>
      <c r="U1030" s="2" t="s">
        <v>25159</v>
      </c>
      <c r="V1030" s="2" t="s">
        <v>17406</v>
      </c>
      <c r="W1030" s="2" t="s">
        <v>101</v>
      </c>
    </row>
    <row r="1031">
      <c r="A1031" s="2" t="n">
        <v>803</v>
      </c>
      <c r="B1031" s="2" t="s">
        <v>16067</v>
      </c>
      <c r="C1031" s="2" t="s">
        <v>25166</v>
      </c>
      <c r="D1031" s="2" t="n">
        <v>947.5051096</v>
      </c>
      <c r="E1031" s="2" t="n">
        <v>3.66017180634272</v>
      </c>
      <c r="F1031" s="2" t="s">
        <v>25168</v>
      </c>
      <c r="G1031" s="2" t="n">
        <v>50578</v>
      </c>
      <c r="H1031" s="3" t="str">
        <f>HYPERLINK("http://funmeta.oebiotech.com/network/50578", "http://funmeta.oebiotech.com/network/50578")</f>
      </c>
      <c r="I1031" s="2" t="s">
        <v>25170</v>
      </c>
      <c r="J1031" s="2" t="s">
        <v>25171</v>
      </c>
      <c r="K1031" s="2"/>
      <c r="L1031" s="2" t="s">
        <v>11684</v>
      </c>
      <c r="M1031" s="2"/>
      <c r="N1031" s="2" t="s">
        <v>25172</v>
      </c>
      <c r="O1031" s="2"/>
      <c r="P1031" s="2" t="s">
        <v>25173</v>
      </c>
      <c r="Q1031" s="2" t="s">
        <v>25174</v>
      </c>
      <c r="R1031" s="2" t="s">
        <v>794</v>
      </c>
      <c r="S1031" s="2" t="s">
        <v>7122</v>
      </c>
      <c r="T1031" s="2" t="s">
        <v>11628</v>
      </c>
      <c r="U1031" s="2" t="s">
        <v>25167</v>
      </c>
      <c r="V1031" s="2" t="s">
        <v>17039</v>
      </c>
      <c r="W1031" s="2" t="s">
        <v>101</v>
      </c>
    </row>
    <row r="1032">
      <c r="A1032" s="2" t="n">
        <v>804</v>
      </c>
      <c r="B1032" s="2" t="s">
        <v>16068</v>
      </c>
      <c r="C1032" s="2" t="s">
        <v>25175</v>
      </c>
      <c r="D1032" s="2" t="n">
        <v>950.502217385</v>
      </c>
      <c r="E1032" s="2" t="n">
        <v>9.40048671079497</v>
      </c>
      <c r="F1032" s="2" t="s">
        <v>25177</v>
      </c>
      <c r="G1032" s="2" t="n">
        <v>210054</v>
      </c>
      <c r="H1032" s="3" t="str">
        <f>HYPERLINK("http://funmeta.oebiotech.com/network/210054", "http://funmeta.oebiotech.com/network/210054")</f>
      </c>
      <c r="I1032" s="2" t="s">
        <v>25179</v>
      </c>
      <c r="J1032" s="2"/>
      <c r="K1032" s="2"/>
      <c r="L1032" s="2"/>
      <c r="M1032" s="2"/>
      <c r="N1032" s="2" t="s">
        <v>25180</v>
      </c>
      <c r="O1032" s="2"/>
      <c r="P1032" s="2" t="s">
        <v>25181</v>
      </c>
      <c r="Q1032" s="2" t="s">
        <v>25182</v>
      </c>
      <c r="R1032" s="2" t="s">
        <v>36</v>
      </c>
      <c r="S1032" s="2" t="s">
        <v>37</v>
      </c>
      <c r="T1032" s="2" t="s">
        <v>69</v>
      </c>
      <c r="U1032" s="2" t="s">
        <v>25176</v>
      </c>
      <c r="V1032" s="2" t="s">
        <v>17137</v>
      </c>
      <c r="W1032" s="2"/>
    </row>
    <row r="1033">
      <c r="A1033" s="2" t="n">
        <v>805</v>
      </c>
      <c r="B1033" s="2" t="s">
        <v>16088</v>
      </c>
      <c r="C1033" s="2" t="s">
        <v>25183</v>
      </c>
      <c r="D1033" s="2" t="n">
        <v>964.486671842</v>
      </c>
      <c r="E1033" s="2" t="n">
        <v>5.20023044742407</v>
      </c>
      <c r="F1033" s="2" t="s">
        <v>25185</v>
      </c>
      <c r="G1033" s="2" t="n">
        <v>22047</v>
      </c>
      <c r="H1033" s="3" t="str">
        <f>HYPERLINK("http://funmeta.oebiotech.com/network/22047", "http://funmeta.oebiotech.com/network/22047")</f>
      </c>
      <c r="I1033" s="2" t="s">
        <v>25187</v>
      </c>
      <c r="J1033" s="2" t="s">
        <v>25188</v>
      </c>
      <c r="K1033" s="2" t="s">
        <v>25189</v>
      </c>
      <c r="L1033" s="2"/>
      <c r="M1033" s="2"/>
      <c r="N1033" s="2" t="s">
        <v>25190</v>
      </c>
      <c r="O1033" s="2"/>
      <c r="P1033" s="2" t="s">
        <v>25191</v>
      </c>
      <c r="Q1033" s="2" t="s">
        <v>25192</v>
      </c>
      <c r="R1033" s="2" t="s">
        <v>794</v>
      </c>
      <c r="S1033" s="2" t="s">
        <v>7122</v>
      </c>
      <c r="T1033" s="2" t="s">
        <v>8876</v>
      </c>
      <c r="U1033" s="2" t="s">
        <v>25184</v>
      </c>
      <c r="V1033" s="2" t="s">
        <v>17520</v>
      </c>
      <c r="W1033" s="2"/>
    </row>
    <row r="1034">
      <c r="A1034" s="2" t="n">
        <v>806</v>
      </c>
      <c r="B1034" s="2" t="s">
        <v>16106</v>
      </c>
      <c r="C1034" s="2" t="s">
        <v>25193</v>
      </c>
      <c r="D1034" s="2" t="n">
        <v>967.699738048</v>
      </c>
      <c r="E1034" s="2" t="n">
        <v>8.48143863744984</v>
      </c>
      <c r="F1034" s="2" t="s">
        <v>28128</v>
      </c>
      <c r="G1034" s="2" t="n">
        <v>59868</v>
      </c>
      <c r="H1034" s="3" t="str">
        <f>HYPERLINK("http://funmeta.oebiotech.com/network/59868", "http://funmeta.oebiotech.com/network/59868")</f>
      </c>
      <c r="I1034" s="2" t="s">
        <v>28129</v>
      </c>
      <c r="J1034" s="2" t="s">
        <v>28130</v>
      </c>
      <c r="K1034" s="2"/>
      <c r="L1034" s="2" t="s">
        <v>28131</v>
      </c>
      <c r="M1034" s="2" t="s">
        <v>28132</v>
      </c>
      <c r="N1034" s="2" t="s">
        <v>28133</v>
      </c>
      <c r="O1034" s="2" t="s">
        <v>28134</v>
      </c>
      <c r="P1034" s="2" t="s">
        <v>28135</v>
      </c>
      <c r="Q1034" s="2" t="s">
        <v>28136</v>
      </c>
      <c r="R1034" s="2" t="s">
        <v>794</v>
      </c>
      <c r="S1034" s="2" t="s">
        <v>2971</v>
      </c>
      <c r="T1034" s="2" t="s">
        <v>8104</v>
      </c>
      <c r="U1034" s="2" t="s">
        <v>25194</v>
      </c>
      <c r="V1034" s="2" t="s">
        <v>17892</v>
      </c>
      <c r="W1034" s="2" t="s">
        <v>56</v>
      </c>
    </row>
    <row r="1035">
      <c r="A1035" s="2" t="n">
        <v>806</v>
      </c>
      <c r="B1035" s="2" t="s">
        <v>28137</v>
      </c>
      <c r="C1035" s="2" t="s">
        <v>25193</v>
      </c>
      <c r="D1035" s="2" t="n">
        <v>967.699738052</v>
      </c>
      <c r="E1035" s="2" t="n">
        <v>8.48143863744984</v>
      </c>
      <c r="F1035" s="2" t="s">
        <v>28138</v>
      </c>
      <c r="G1035" s="2" t="n">
        <v>36351</v>
      </c>
      <c r="H1035" s="3" t="str">
        <f>HYPERLINK("http://funmeta.oebiotech.com/network/36351", "http://funmeta.oebiotech.com/network/36351")</f>
      </c>
      <c r="I1035" s="2" t="s">
        <v>28139</v>
      </c>
      <c r="J1035" s="2" t="s">
        <v>28140</v>
      </c>
      <c r="K1035" s="2" t="s">
        <v>28141</v>
      </c>
      <c r="L1035" s="2" t="s">
        <v>28142</v>
      </c>
      <c r="M1035" s="2" t="s">
        <v>28143</v>
      </c>
      <c r="N1035" s="2" t="s">
        <v>28144</v>
      </c>
      <c r="O1035" s="2" t="s">
        <v>28145</v>
      </c>
      <c r="P1035" s="2" t="s">
        <v>28146</v>
      </c>
      <c r="Q1035" s="2" t="s">
        <v>28147</v>
      </c>
      <c r="R1035" s="2" t="s">
        <v>794</v>
      </c>
      <c r="S1035" s="2" t="s">
        <v>1098</v>
      </c>
      <c r="T1035" s="2" t="s">
        <v>7646</v>
      </c>
      <c r="U1035" s="2" t="s">
        <v>25194</v>
      </c>
      <c r="V1035" s="2" t="s">
        <v>17892</v>
      </c>
      <c r="W1035" s="2" t="s">
        <v>56</v>
      </c>
    </row>
    <row r="1036">
      <c r="A1036" s="2" t="n">
        <v>807</v>
      </c>
      <c r="B1036" s="2" t="s">
        <v>16107</v>
      </c>
      <c r="C1036" s="2" t="s">
        <v>25207</v>
      </c>
      <c r="D1036" s="2" t="n">
        <v>972.506433746</v>
      </c>
      <c r="E1036" s="2" t="n">
        <v>4.06227309009012</v>
      </c>
      <c r="F1036" s="2" t="s">
        <v>25209</v>
      </c>
      <c r="G1036" s="2" t="n">
        <v>60302</v>
      </c>
      <c r="H1036" s="3" t="str">
        <f>HYPERLINK("http://funmeta.oebiotech.com/network/60302", "http://funmeta.oebiotech.com/network/60302")</f>
      </c>
      <c r="I1036" s="2" t="s">
        <v>25211</v>
      </c>
      <c r="J1036" s="2"/>
      <c r="K1036" s="2"/>
      <c r="L1036" s="2"/>
      <c r="M1036" s="2" t="s">
        <v>25212</v>
      </c>
      <c r="N1036" s="2" t="s">
        <v>25213</v>
      </c>
      <c r="O1036" s="2" t="s">
        <v>25214</v>
      </c>
      <c r="P1036" s="2" t="s">
        <v>25215</v>
      </c>
      <c r="Q1036" s="2" t="s">
        <v>25216</v>
      </c>
      <c r="R1036" s="2" t="s">
        <v>114</v>
      </c>
      <c r="S1036" s="2" t="s">
        <v>6312</v>
      </c>
      <c r="T1036" s="2" t="s">
        <v>6313</v>
      </c>
      <c r="U1036" s="2" t="s">
        <v>25208</v>
      </c>
      <c r="V1036" s="2" t="s">
        <v>17137</v>
      </c>
      <c r="W1036" s="2"/>
    </row>
    <row r="1037">
      <c r="A1037" s="2" t="n">
        <v>808</v>
      </c>
      <c r="B1037" s="2" t="s">
        <v>16108</v>
      </c>
      <c r="C1037" s="2" t="s">
        <v>25217</v>
      </c>
      <c r="D1037" s="2" t="n">
        <v>973.556557446</v>
      </c>
      <c r="E1037" s="2" t="n">
        <v>6.54100176467091</v>
      </c>
      <c r="F1037" s="2" t="s">
        <v>28148</v>
      </c>
      <c r="G1037" s="2" t="n">
        <v>26084</v>
      </c>
      <c r="H1037" s="3" t="str">
        <f>HYPERLINK("http://funmeta.oebiotech.com/network/26084", "http://funmeta.oebiotech.com/network/26084")</f>
      </c>
      <c r="I1037" s="2" t="s">
        <v>28149</v>
      </c>
      <c r="J1037" s="2" t="s">
        <v>28150</v>
      </c>
      <c r="K1037" s="2" t="s">
        <v>28151</v>
      </c>
      <c r="L1037" s="2"/>
      <c r="M1037" s="2"/>
      <c r="N1037" s="2" t="s">
        <v>28152</v>
      </c>
      <c r="O1037" s="2"/>
      <c r="P1037" s="2" t="s">
        <v>28153</v>
      </c>
      <c r="Q1037" s="2" t="s">
        <v>28154</v>
      </c>
      <c r="R1037" s="2" t="s">
        <v>794</v>
      </c>
      <c r="S1037" s="2" t="s">
        <v>7122</v>
      </c>
      <c r="T1037" s="2" t="s">
        <v>7123</v>
      </c>
      <c r="U1037" s="2" t="s">
        <v>25218</v>
      </c>
      <c r="V1037" s="2" t="s">
        <v>18382</v>
      </c>
      <c r="W1037" s="2" t="s">
        <v>56</v>
      </c>
    </row>
    <row r="1038">
      <c r="A1038" s="2" t="n">
        <v>808</v>
      </c>
      <c r="B1038" s="2" t="s">
        <v>28155</v>
      </c>
      <c r="C1038" s="2" t="s">
        <v>25217</v>
      </c>
      <c r="D1038" s="2" t="n">
        <v>973.556557446</v>
      </c>
      <c r="E1038" s="2" t="n">
        <v>6.54100176467091</v>
      </c>
      <c r="F1038" s="2" t="s">
        <v>28156</v>
      </c>
      <c r="G1038" s="2" t="n">
        <v>134855</v>
      </c>
      <c r="H1038" s="3" t="str">
        <f>HYPERLINK("http://funmeta.oebiotech.com/network/134855", "http://funmeta.oebiotech.com/network/134855")</f>
      </c>
      <c r="I1038" s="2" t="s">
        <v>28157</v>
      </c>
      <c r="J1038" s="2"/>
      <c r="K1038" s="2"/>
      <c r="L1038" s="2"/>
      <c r="M1038" s="2"/>
      <c r="N1038" s="2" t="s">
        <v>28158</v>
      </c>
      <c r="O1038" s="2"/>
      <c r="P1038" s="2" t="s">
        <v>28159</v>
      </c>
      <c r="Q1038" s="2" t="s">
        <v>28160</v>
      </c>
      <c r="R1038" s="2" t="s">
        <v>794</v>
      </c>
      <c r="S1038" s="2" t="s">
        <v>7122</v>
      </c>
      <c r="T1038" s="2" t="s">
        <v>7123</v>
      </c>
      <c r="U1038" s="2" t="s">
        <v>25218</v>
      </c>
      <c r="V1038" s="2" t="s">
        <v>18382</v>
      </c>
      <c r="W1038" s="2" t="s">
        <v>56</v>
      </c>
    </row>
    <row r="1039">
      <c r="A1039" s="2" t="n">
        <v>809</v>
      </c>
      <c r="B1039" s="2" t="s">
        <v>16109</v>
      </c>
      <c r="C1039" s="2" t="s">
        <v>25227</v>
      </c>
      <c r="D1039" s="2" t="n">
        <v>979.569606908</v>
      </c>
      <c r="E1039" s="2" t="n">
        <v>9.16025281735136</v>
      </c>
      <c r="F1039" s="2" t="s">
        <v>28161</v>
      </c>
      <c r="G1039" s="2" t="n">
        <v>62047</v>
      </c>
      <c r="H1039" s="3" t="str">
        <f>HYPERLINK("http://funmeta.oebiotech.com/network/62047", "http://funmeta.oebiotech.com/network/62047")</f>
      </c>
      <c r="I1039" s="2" t="s">
        <v>28162</v>
      </c>
      <c r="J1039" s="2"/>
      <c r="K1039" s="2"/>
      <c r="L1039" s="2"/>
      <c r="M1039" s="2"/>
      <c r="N1039" s="2"/>
      <c r="O1039" s="2"/>
      <c r="P1039" s="2" t="s">
        <v>28163</v>
      </c>
      <c r="Q1039" s="2" t="s">
        <v>28164</v>
      </c>
      <c r="R1039" s="2" t="s">
        <v>129</v>
      </c>
      <c r="S1039" s="2" t="s">
        <v>130</v>
      </c>
      <c r="T1039" s="2" t="s">
        <v>131</v>
      </c>
      <c r="U1039" s="2" t="s">
        <v>25228</v>
      </c>
      <c r="V1039" s="2" t="s">
        <v>17227</v>
      </c>
      <c r="W1039" s="2" t="s">
        <v>56</v>
      </c>
    </row>
    <row r="1040">
      <c r="A1040" s="2" t="n">
        <v>809</v>
      </c>
      <c r="B1040" s="2" t="s">
        <v>28165</v>
      </c>
      <c r="C1040" s="2" t="s">
        <v>25227</v>
      </c>
      <c r="D1040" s="2" t="n">
        <v>979.569606908</v>
      </c>
      <c r="E1040" s="2" t="n">
        <v>9.16025281735136</v>
      </c>
      <c r="F1040" s="2" t="s">
        <v>28166</v>
      </c>
      <c r="G1040" s="2" t="n">
        <v>59018</v>
      </c>
      <c r="H1040" s="3" t="str">
        <f>HYPERLINK("http://funmeta.oebiotech.com/network/59018", "http://funmeta.oebiotech.com/network/59018")</f>
      </c>
      <c r="I1040" s="2" t="s">
        <v>28167</v>
      </c>
      <c r="J1040" s="2" t="s">
        <v>28168</v>
      </c>
      <c r="K1040" s="2"/>
      <c r="L1040" s="2"/>
      <c r="M1040" s="2"/>
      <c r="N1040" s="2" t="s">
        <v>28169</v>
      </c>
      <c r="O1040" s="2"/>
      <c r="P1040" s="2" t="s">
        <v>28170</v>
      </c>
      <c r="Q1040" s="2" t="s">
        <v>28171</v>
      </c>
      <c r="R1040" s="2" t="s">
        <v>794</v>
      </c>
      <c r="S1040" s="2" t="s">
        <v>1098</v>
      </c>
      <c r="T1040" s="2" t="s">
        <v>7646</v>
      </c>
      <c r="U1040" s="2" t="s">
        <v>25228</v>
      </c>
      <c r="V1040" s="2" t="s">
        <v>17227</v>
      </c>
      <c r="W1040" s="2" t="s">
        <v>56</v>
      </c>
    </row>
    <row r="1041">
      <c r="A1041" s="2" t="n">
        <v>809</v>
      </c>
      <c r="B1041" s="2" t="s">
        <v>28172</v>
      </c>
      <c r="C1041" s="2" t="s">
        <v>25227</v>
      </c>
      <c r="D1041" s="2" t="n">
        <v>979.569606908</v>
      </c>
      <c r="E1041" s="2" t="n">
        <v>9.16025281735136</v>
      </c>
      <c r="F1041" s="2" t="s">
        <v>28173</v>
      </c>
      <c r="G1041" s="2" t="n">
        <v>59779</v>
      </c>
      <c r="H1041" s="3" t="str">
        <f>HYPERLINK("http://funmeta.oebiotech.com/network/59779", "http://funmeta.oebiotech.com/network/59779")</f>
      </c>
      <c r="I1041" s="2" t="s">
        <v>28174</v>
      </c>
      <c r="J1041" s="2" t="s">
        <v>28175</v>
      </c>
      <c r="K1041" s="2"/>
      <c r="L1041" s="2"/>
      <c r="M1041" s="2"/>
      <c r="N1041" s="2" t="s">
        <v>28176</v>
      </c>
      <c r="O1041" s="2"/>
      <c r="P1041" s="2" t="s">
        <v>28177</v>
      </c>
      <c r="Q1041" s="2" t="s">
        <v>28178</v>
      </c>
      <c r="R1041" s="2" t="s">
        <v>794</v>
      </c>
      <c r="S1041" s="2" t="s">
        <v>2971</v>
      </c>
      <c r="T1041" s="2" t="s">
        <v>7552</v>
      </c>
      <c r="U1041" s="2" t="s">
        <v>25228</v>
      </c>
      <c r="V1041" s="2" t="s">
        <v>17227</v>
      </c>
      <c r="W1041" s="2" t="s">
        <v>56</v>
      </c>
    </row>
    <row r="1042">
      <c r="A1042" s="2" t="n">
        <v>810</v>
      </c>
      <c r="B1042" s="2" t="s">
        <v>16110</v>
      </c>
      <c r="C1042" s="2" t="s">
        <v>25239</v>
      </c>
      <c r="D1042" s="2" t="n">
        <v>1038.558543109</v>
      </c>
      <c r="E1042" s="2" t="n">
        <v>3.34970976400616</v>
      </c>
      <c r="F1042" s="2" t="s">
        <v>25241</v>
      </c>
      <c r="G1042" s="2" t="n">
        <v>135634</v>
      </c>
      <c r="H1042" s="3" t="str">
        <f>HYPERLINK("http://funmeta.oebiotech.com/network/135634", "http://funmeta.oebiotech.com/network/135634")</f>
      </c>
      <c r="I1042" s="2" t="s">
        <v>25243</v>
      </c>
      <c r="J1042" s="2"/>
      <c r="K1042" s="2"/>
      <c r="L1042" s="2"/>
      <c r="M1042" s="2"/>
      <c r="N1042" s="2" t="s">
        <v>25244</v>
      </c>
      <c r="O1042" s="2"/>
      <c r="P1042" s="2" t="s">
        <v>25245</v>
      </c>
      <c r="Q1042" s="2" t="s">
        <v>25246</v>
      </c>
      <c r="R1042" s="2" t="s">
        <v>794</v>
      </c>
      <c r="S1042" s="2" t="s">
        <v>7122</v>
      </c>
      <c r="T1042" s="2" t="s">
        <v>11022</v>
      </c>
      <c r="U1042" s="2" t="s">
        <v>25240</v>
      </c>
      <c r="V1042" s="2" t="s">
        <v>17039</v>
      </c>
      <c r="W1042" s="2"/>
    </row>
    <row r="1043">
      <c r="A1043" s="2" t="n">
        <v>811</v>
      </c>
      <c r="B1043" s="2" t="s">
        <v>16111</v>
      </c>
      <c r="C1043" s="2" t="s">
        <v>25247</v>
      </c>
      <c r="D1043" s="2" t="n">
        <v>1149.506414616</v>
      </c>
      <c r="E1043" s="2" t="n">
        <v>0.484442502242996</v>
      </c>
      <c r="F1043" s="2" t="s">
        <v>25249</v>
      </c>
      <c r="G1043" s="2" t="n">
        <v>58855</v>
      </c>
      <c r="H1043" s="3" t="str">
        <f>HYPERLINK("http://funmeta.oebiotech.com/network/58855", "http://funmeta.oebiotech.com/network/58855")</f>
      </c>
      <c r="I1043" s="2" t="s">
        <v>25251</v>
      </c>
      <c r="J1043" s="2"/>
      <c r="K1043" s="2"/>
      <c r="L1043" s="2" t="s">
        <v>25252</v>
      </c>
      <c r="M1043" s="2"/>
      <c r="N1043" s="2" t="s">
        <v>25253</v>
      </c>
      <c r="O1043" s="2" t="s">
        <v>25254</v>
      </c>
      <c r="P1043" s="2" t="s">
        <v>25255</v>
      </c>
      <c r="Q1043" s="2" t="s">
        <v>25256</v>
      </c>
      <c r="R1043" s="2" t="s">
        <v>794</v>
      </c>
      <c r="S1043" s="2" t="s">
        <v>1098</v>
      </c>
      <c r="T1043" s="2" t="s">
        <v>7646</v>
      </c>
      <c r="U1043" s="2" t="s">
        <v>25248</v>
      </c>
      <c r="V1043" s="2" t="s">
        <v>17970</v>
      </c>
      <c r="W1043" s="2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2024-08-02T14:49:25Z</dcterms:created>
</coreProperties>
</file>